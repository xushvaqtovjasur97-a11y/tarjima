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CУХРОБ\01.01.2024\Оргинал\"/>
    </mc:Choice>
  </mc:AlternateContent>
  <bookViews>
    <workbookView xWindow="0" yWindow="480" windowWidth="20730" windowHeight="11280" tabRatio="923" activeTab="1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Asset Provisioning" sheetId="48" r:id="rId8"/>
    <sheet name="Transactions of related parties" sheetId="43" r:id="rId9"/>
    <sheet name=" Largest risk" sheetId="44" r:id="rId10"/>
    <sheet name="Charge-offs and Recoveries" sheetId="13" r:id="rId11"/>
    <sheet name="loans_av rate" sheetId="35" r:id="rId12"/>
    <sheet name="Bank Capital Calc (2)" sheetId="41" state="hidden" r:id="rId13"/>
    <sheet name="loans type" sheetId="40" r:id="rId14"/>
    <sheet name="Deposits_av rate" sheetId="30" r:id="rId15"/>
    <sheet name="Economic Normatives" sheetId="20" r:id="rId16"/>
    <sheet name="Miscellaneous" sheetId="21" r:id="rId17"/>
    <sheet name="ПФУ" sheetId="42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add21" localSheetId="17" hidden="1">[1]tab17!#REF!</definedName>
    <definedName name="___add21" localSheetId="17" hidden="1">[1]tab17!#REF!</definedName>
    <definedName name="__123Graph_A" localSheetId="17" hidden="1">'[2]tab 19'!#REF!</definedName>
    <definedName name="__123Graph_B" localSheetId="17" hidden="1">[3]tab17!#REF!</definedName>
    <definedName name="__123Graph_X" localSheetId="17" hidden="1">[3]tab17!#REF!</definedName>
    <definedName name="__4__123Graph_ACHART_2" hidden="1">[4]A!$C$31:$AJ$31</definedName>
    <definedName name="__add21" localSheetId="17" hidden="1">[1]tab17!#REF!</definedName>
    <definedName name="_10__123Graph_AREALEX_WAGE" localSheetId="17" hidden="1">'[2]tab 19'!#REF!</definedName>
    <definedName name="_10__123Graph_BREALEX_WAGE" localSheetId="17" hidden="1">#REF!</definedName>
    <definedName name="_12__123Graph_BREALEX_WAGE" localSheetId="17" hidden="1">#REF!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7" hidden="1">#REF!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7" hidden="1">#REF!</definedName>
    <definedName name="_20__123Graph_BREALEX_WAGE" localSheetId="17" hidden="1">#REF!</definedName>
    <definedName name="_22__123Graph_CCHART_2" hidden="1">[4]A!$C$38:$AJ$38</definedName>
    <definedName name="_22__123Graph_XREALEX_WAGE" localSheetId="17" hidden="1">#REF!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7" hidden="1">#REF!</definedName>
    <definedName name="_36__123Graph_XREALEX_WAGE" localSheetId="17" hidden="1">#REF!</definedName>
    <definedName name="_5__123Graph_AREALEX_WAGE" localSheetId="17" hidden="1">'[2]tab 19'!#REF!</definedName>
    <definedName name="_6__123Graph_AREALEX_WAGE" localSheetId="17" hidden="1">'[5]tab 19'!#REF!</definedName>
    <definedName name="_8__123Graph_AREALEX_WAGE" localSheetId="17" hidden="1">'[2]tab 19'!#REF!</definedName>
    <definedName name="_9__123Graph_BCHART_2" hidden="1">[4]A!$C$36:$AJ$36</definedName>
    <definedName name="_add21" localSheetId="17" hidden="1">[1]tab17!#REF!</definedName>
    <definedName name="_Key1" localSheetId="17" hidden="1">#REF!</definedName>
    <definedName name="_Key2" localSheetId="17" hidden="1">#REF!</definedName>
    <definedName name="_Order2" hidden="1">0</definedName>
    <definedName name="_Parse_Out" localSheetId="17" hidden="1">#REF!</definedName>
    <definedName name="_Sort" localSheetId="17" hidden="1">#REF!</definedName>
    <definedName name="jop" localSheetId="12">#REF!</definedName>
    <definedName name="kol" localSheetId="12">#REF!</definedName>
    <definedName name="RISKTOTASS" localSheetId="13">SUM('[6]Calculation of Risk Weighted As'!$C$38:$F$38)</definedName>
    <definedName name="RISKTOTASS" localSheetId="17">SUM('[7]Calculation of Risk Weighted As'!$C$41:$G$41)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7" hidden="1">{"BOP_TAB",#N/A,FALSE,"N";"MIDTERM_TAB",#N/A,FALSE,"O"}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7" hidden="1">{"MONA",#N/A,FALSE,"S"}</definedName>
    <definedName name="wrn.Output._.tables." localSheetId="17" hidden="1">{#N/A,#N/A,FALSE,"I";#N/A,#N/A,FALSE,"J";#N/A,#N/A,FALSE,"K";#N/A,#N/A,FALSE,"L";#N/A,#N/A,FALSE,"M";#N/A,#N/A,FALSE,"N";#N/A,#N/A,FALSE,"O"}</definedName>
    <definedName name="wrn.WEO." localSheetId="17" hidden="1">{"WEO",#N/A,FALSE,"T"}</definedName>
    <definedName name="апв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9">' Largest risk'!$A$1:$Z$90</definedName>
    <definedName name="_xlnm.Print_Area" localSheetId="5">'Aging Analysis'!$A$1:$Y$35</definedName>
    <definedName name="_xlnm.Print_Area" localSheetId="2">'Analysis of Interest'!$A$1:$C$72</definedName>
    <definedName name="_xlnm.Print_Area" localSheetId="6">'Asset Classification'!$A$1:$AB$74</definedName>
    <definedName name="_xlnm.Print_Area" localSheetId="7">'Asset Provisioning'!$A$1:$AU$74</definedName>
    <definedName name="_xlnm.Print_Area" localSheetId="0">'Asset quality'!$A$1:$T$65</definedName>
    <definedName name="_xlnm.Print_Area" localSheetId="12">'Bank Capital Calc (2)'!$A$1:$C$55</definedName>
    <definedName name="_xlnm.Print_Area" localSheetId="3">'Changes in Equity'!$A$1:$C$14</definedName>
    <definedName name="_xlnm.Print_Area" localSheetId="10">'Charge-offs and Recoveries'!$A$1:$J$49</definedName>
    <definedName name="_xlnm.Print_Area" localSheetId="14">'Deposits_av rate'!$A$1:$N$16</definedName>
    <definedName name="_xlnm.Print_Area" localSheetId="15">'Economic Normatives'!$A$1:$K$45</definedName>
    <definedName name="_xlnm.Print_Area" localSheetId="1">'Income '!$A$1:$E$77</definedName>
    <definedName name="_xlnm.Print_Area" localSheetId="4">'Loans Receivable'!$A$1:$Y$85</definedName>
    <definedName name="_xlnm.Print_Area" localSheetId="13">'loans type'!$A$1:$Z$42</definedName>
    <definedName name="_xlnm.Print_Area" localSheetId="11">'loans_av rate'!$A$1:$H$44</definedName>
    <definedName name="_xlnm.Print_Area" localSheetId="16">Miscellaneous!$A$1:$C$25</definedName>
    <definedName name="_xlnm.Print_Area" localSheetId="8">'Transactions of related parties'!$A$1:$Z$90</definedName>
    <definedName name="_xlnm.Print_Area" localSheetId="17">ПФУ!$A$1:$B$39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62913"/>
</workbook>
</file>

<file path=xl/calcChain.xml><?xml version="1.0" encoding="utf-8"?>
<calcChain xmlns="http://schemas.openxmlformats.org/spreadsheetml/2006/main">
  <c r="J20" i="13" l="1"/>
  <c r="J21" i="13"/>
  <c r="J22" i="13"/>
  <c r="J23" i="13"/>
  <c r="J24" i="13"/>
  <c r="H48" i="13" l="1"/>
  <c r="H47" i="13"/>
  <c r="H46" i="13"/>
  <c r="H45" i="13"/>
  <c r="H44" i="13"/>
  <c r="H41" i="13"/>
  <c r="H40" i="13"/>
  <c r="H39" i="13"/>
  <c r="H38" i="13"/>
  <c r="H37" i="13"/>
  <c r="H36" i="13"/>
  <c r="H35" i="13"/>
  <c r="H34" i="13"/>
  <c r="I24" i="13"/>
  <c r="H24" i="13"/>
  <c r="I23" i="13"/>
  <c r="H23" i="13"/>
  <c r="I22" i="13"/>
  <c r="H22" i="13"/>
  <c r="I21" i="13"/>
  <c r="H21" i="13"/>
  <c r="I20" i="13"/>
  <c r="H20" i="13"/>
  <c r="J17" i="13"/>
  <c r="I17" i="13"/>
  <c r="H17" i="13"/>
  <c r="J16" i="13"/>
  <c r="I16" i="13"/>
  <c r="H16" i="13"/>
  <c r="J15" i="13"/>
  <c r="I15" i="13"/>
  <c r="H15" i="13"/>
  <c r="J14" i="13"/>
  <c r="I14" i="13"/>
  <c r="H14" i="13"/>
  <c r="J13" i="13"/>
  <c r="I13" i="13"/>
  <c r="H13" i="13"/>
  <c r="J12" i="13"/>
  <c r="I12" i="13"/>
  <c r="H12" i="13"/>
  <c r="J11" i="13"/>
  <c r="I11" i="13"/>
  <c r="H11" i="13"/>
  <c r="J10" i="13"/>
  <c r="I10" i="13"/>
  <c r="H10" i="13"/>
  <c r="C67" i="2" l="1"/>
  <c r="C66" i="2"/>
  <c r="C65" i="2"/>
  <c r="C64" i="2"/>
  <c r="C63" i="2"/>
  <c r="C62" i="2"/>
  <c r="C61" i="2"/>
  <c r="C60" i="2"/>
  <c r="C59" i="2"/>
  <c r="C58" i="2"/>
  <c r="C57" i="2"/>
  <c r="B54" i="42" l="1"/>
  <c r="B53" i="42"/>
  <c r="B52" i="42"/>
  <c r="B51" i="42"/>
  <c r="B50" i="42"/>
  <c r="B49" i="42"/>
  <c r="B48" i="42"/>
  <c r="B47" i="42"/>
  <c r="B38" i="42"/>
  <c r="B35" i="42"/>
  <c r="B33" i="42"/>
  <c r="M27" i="30"/>
  <c r="I27" i="30"/>
  <c r="G24" i="30"/>
  <c r="C24" i="30"/>
  <c r="P16" i="30"/>
  <c r="P15" i="30"/>
  <c r="P14" i="30"/>
  <c r="P13" i="30"/>
  <c r="P12" i="30"/>
  <c r="P11" i="30"/>
  <c r="P10" i="30"/>
  <c r="P9" i="30"/>
  <c r="P8" i="30"/>
  <c r="G42" i="9"/>
  <c r="E92" i="24"/>
  <c r="D92" i="24"/>
  <c r="C92" i="24"/>
  <c r="D14" i="6"/>
  <c r="D8" i="6"/>
  <c r="S12" i="40" l="1"/>
  <c r="AB9" i="40" l="1"/>
  <c r="AC9" i="40"/>
  <c r="AB11" i="40"/>
  <c r="AC11" i="40"/>
  <c r="AB12" i="40"/>
  <c r="AC12" i="40"/>
  <c r="AB16" i="40"/>
  <c r="AC16" i="40"/>
  <c r="AB17" i="40"/>
  <c r="AC17" i="40"/>
  <c r="AB21" i="40"/>
  <c r="AC21" i="40"/>
  <c r="AB22" i="40"/>
  <c r="AC22" i="40"/>
  <c r="AB23" i="40"/>
  <c r="AC23" i="40"/>
  <c r="AB24" i="40"/>
  <c r="AC24" i="40"/>
  <c r="AB25" i="40"/>
  <c r="AC25" i="40"/>
  <c r="AB26" i="40"/>
  <c r="AC26" i="40"/>
  <c r="AB29" i="40"/>
  <c r="AC29" i="40"/>
  <c r="AB30" i="40"/>
  <c r="AC30" i="40"/>
  <c r="AB31" i="40"/>
  <c r="AC31" i="40"/>
  <c r="AB32" i="40"/>
  <c r="AC32" i="40"/>
  <c r="AB33" i="40"/>
  <c r="AC33" i="40"/>
  <c r="AB35" i="40"/>
  <c r="AC35" i="40"/>
  <c r="AD15" i="40"/>
  <c r="AE15" i="40"/>
  <c r="AF15" i="40"/>
  <c r="AG15" i="40"/>
  <c r="AH15" i="40"/>
  <c r="AD13" i="40"/>
  <c r="AE13" i="40"/>
  <c r="AF13" i="40"/>
  <c r="AG13" i="40"/>
  <c r="AH13" i="40"/>
  <c r="T74" i="26"/>
  <c r="S74" i="26"/>
  <c r="R74" i="26"/>
  <c r="Q74" i="26"/>
  <c r="P74" i="26"/>
  <c r="H74" i="26"/>
  <c r="G74" i="26"/>
  <c r="F74" i="26"/>
  <c r="E74" i="26"/>
  <c r="G35" i="9"/>
  <c r="G6" i="2"/>
  <c r="G7" i="2"/>
  <c r="G13" i="2"/>
  <c r="G14" i="2"/>
  <c r="G23" i="2"/>
  <c r="G24" i="2"/>
  <c r="J84" i="24"/>
  <c r="C51" i="10"/>
  <c r="C49" i="10"/>
  <c r="C47" i="10"/>
  <c r="C45" i="10"/>
  <c r="C43" i="10"/>
  <c r="C41" i="10"/>
  <c r="C39" i="10"/>
  <c r="C37" i="10"/>
  <c r="C35" i="10"/>
  <c r="C29" i="10"/>
  <c r="C27" i="10"/>
  <c r="C25" i="10"/>
  <c r="C23" i="10"/>
  <c r="C21" i="10"/>
  <c r="C19" i="10"/>
  <c r="C17" i="10"/>
  <c r="C15" i="10"/>
  <c r="C13" i="10"/>
  <c r="C11" i="10"/>
  <c r="C9" i="10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E35" i="9"/>
  <c r="E24" i="30" l="1"/>
  <c r="E83" i="48" l="1"/>
  <c r="F83" i="48"/>
  <c r="G83" i="48"/>
  <c r="J83" i="48"/>
  <c r="K83" i="48"/>
  <c r="L83" i="48"/>
  <c r="O83" i="48"/>
  <c r="R83" i="48"/>
  <c r="S83" i="48"/>
  <c r="T83" i="48"/>
  <c r="W83" i="48"/>
  <c r="Z83" i="48"/>
  <c r="AA83" i="48"/>
  <c r="AB83" i="48"/>
  <c r="AE83" i="48"/>
  <c r="AH83" i="48"/>
  <c r="AI83" i="48"/>
  <c r="AJ83" i="48"/>
  <c r="AM83" i="48"/>
  <c r="AM73" i="48" l="1"/>
  <c r="AJ73" i="48"/>
  <c r="AI73" i="48"/>
  <c r="AN73" i="48" s="1"/>
  <c r="AH73" i="48"/>
  <c r="AK73" i="48" s="1"/>
  <c r="AE73" i="48"/>
  <c r="AB73" i="48"/>
  <c r="AA73" i="48"/>
  <c r="AF73" i="48" s="1"/>
  <c r="AG73" i="48" s="1"/>
  <c r="Z73" i="48"/>
  <c r="AC73" i="48" s="1"/>
  <c r="W73" i="48"/>
  <c r="T73" i="48"/>
  <c r="S73" i="48"/>
  <c r="X73" i="48" s="1"/>
  <c r="R73" i="48"/>
  <c r="U73" i="48" s="1"/>
  <c r="O73" i="48"/>
  <c r="L73" i="48"/>
  <c r="K73" i="48"/>
  <c r="P73" i="48" s="1"/>
  <c r="J73" i="48"/>
  <c r="M73" i="48" s="1"/>
  <c r="G73" i="48"/>
  <c r="F73" i="48"/>
  <c r="E73" i="48"/>
  <c r="H73" i="48" s="1"/>
  <c r="AM72" i="48"/>
  <c r="AM84" i="48" s="1"/>
  <c r="AJ72" i="48"/>
  <c r="AJ84" i="48" s="1"/>
  <c r="AI72" i="48"/>
  <c r="AH72" i="48"/>
  <c r="AE72" i="48"/>
  <c r="AE84" i="48" s="1"/>
  <c r="AB72" i="48"/>
  <c r="AB84" i="48" s="1"/>
  <c r="AA72" i="48"/>
  <c r="Z72" i="48"/>
  <c r="W72" i="48"/>
  <c r="W84" i="48" s="1"/>
  <c r="T72" i="48"/>
  <c r="T84" i="48" s="1"/>
  <c r="S72" i="48"/>
  <c r="R72" i="48"/>
  <c r="O72" i="48"/>
  <c r="O84" i="48" s="1"/>
  <c r="L72" i="48"/>
  <c r="L84" i="48" s="1"/>
  <c r="K72" i="48"/>
  <c r="J72" i="48"/>
  <c r="G72" i="48"/>
  <c r="G84" i="48" s="1"/>
  <c r="F72" i="48"/>
  <c r="F84" i="48" s="1"/>
  <c r="E72" i="48"/>
  <c r="F54" i="48"/>
  <c r="E54" i="48"/>
  <c r="H54" i="48" s="1"/>
  <c r="AK72" i="48" l="1"/>
  <c r="AL72" i="48" s="1"/>
  <c r="AH84" i="48"/>
  <c r="H72" i="48"/>
  <c r="I72" i="48" s="1"/>
  <c r="E84" i="48"/>
  <c r="M72" i="48"/>
  <c r="N72" i="48" s="1"/>
  <c r="J84" i="48"/>
  <c r="P72" i="48"/>
  <c r="Q72" i="48" s="1"/>
  <c r="K84" i="48"/>
  <c r="AN72" i="48"/>
  <c r="AO72" i="48" s="1"/>
  <c r="AI84" i="48"/>
  <c r="U72" i="48"/>
  <c r="V72" i="48" s="1"/>
  <c r="R84" i="48"/>
  <c r="X72" i="48"/>
  <c r="Y72" i="48" s="1"/>
  <c r="S84" i="48"/>
  <c r="AC72" i="48"/>
  <c r="AD72" i="48" s="1"/>
  <c r="Z84" i="48"/>
  <c r="AF72" i="48"/>
  <c r="AG72" i="48" s="1"/>
  <c r="AA84" i="48"/>
  <c r="AT73" i="48"/>
  <c r="AS72" i="48"/>
  <c r="AP72" i="48"/>
  <c r="N73" i="48"/>
  <c r="AD73" i="48"/>
  <c r="AP73" i="48"/>
  <c r="AS73" i="48"/>
  <c r="I73" i="48"/>
  <c r="AQ73" i="48"/>
  <c r="AL73" i="48"/>
  <c r="AO73" i="48"/>
  <c r="V73" i="48"/>
  <c r="Q73" i="48"/>
  <c r="Y73" i="48"/>
  <c r="AT72" i="48" l="1"/>
  <c r="AU72" i="48" s="1"/>
  <c r="AQ72" i="48"/>
  <c r="AR72" i="48" s="1"/>
  <c r="AU73" i="48"/>
  <c r="AR73" i="48"/>
  <c r="AM70" i="48"/>
  <c r="AJ70" i="48"/>
  <c r="AI70" i="48"/>
  <c r="AN70" i="48" s="1"/>
  <c r="AH70" i="48"/>
  <c r="AK70" i="48" s="1"/>
  <c r="AE70" i="48"/>
  <c r="AB70" i="48"/>
  <c r="AA70" i="48"/>
  <c r="Z70" i="48"/>
  <c r="AC70" i="48" s="1"/>
  <c r="W70" i="48"/>
  <c r="T70" i="48"/>
  <c r="S70" i="48"/>
  <c r="X70" i="48" s="1"/>
  <c r="R70" i="48"/>
  <c r="U70" i="48" s="1"/>
  <c r="O70" i="48"/>
  <c r="L70" i="48"/>
  <c r="K70" i="48"/>
  <c r="P70" i="48" s="1"/>
  <c r="J70" i="48"/>
  <c r="M70" i="48" s="1"/>
  <c r="G70" i="48"/>
  <c r="F70" i="48"/>
  <c r="E70" i="48"/>
  <c r="H70" i="48" s="1"/>
  <c r="AM69" i="48"/>
  <c r="AJ69" i="48"/>
  <c r="AI69" i="48"/>
  <c r="AN69" i="48" s="1"/>
  <c r="AH69" i="48"/>
  <c r="AK69" i="48" s="1"/>
  <c r="AE69" i="48"/>
  <c r="AB69" i="48"/>
  <c r="AA69" i="48"/>
  <c r="AF69" i="48" s="1"/>
  <c r="Z69" i="48"/>
  <c r="AC69" i="48" s="1"/>
  <c r="W69" i="48"/>
  <c r="T69" i="48"/>
  <c r="S69" i="48"/>
  <c r="X69" i="48" s="1"/>
  <c r="R69" i="48"/>
  <c r="U69" i="48" s="1"/>
  <c r="O69" i="48"/>
  <c r="L69" i="48"/>
  <c r="K69" i="48"/>
  <c r="P69" i="48" s="1"/>
  <c r="J69" i="48"/>
  <c r="M69" i="48" s="1"/>
  <c r="N69" i="48" s="1"/>
  <c r="G69" i="48"/>
  <c r="F69" i="48"/>
  <c r="E69" i="48"/>
  <c r="H69" i="48" s="1"/>
  <c r="AM68" i="48"/>
  <c r="AJ68" i="48"/>
  <c r="AI68" i="48"/>
  <c r="AN68" i="48" s="1"/>
  <c r="AH68" i="48"/>
  <c r="AK68" i="48" s="1"/>
  <c r="AE68" i="48"/>
  <c r="AB68" i="48"/>
  <c r="AA68" i="48"/>
  <c r="AF68" i="48" s="1"/>
  <c r="Z68" i="48"/>
  <c r="AC68" i="48" s="1"/>
  <c r="W68" i="48"/>
  <c r="T68" i="48"/>
  <c r="S68" i="48"/>
  <c r="R68" i="48"/>
  <c r="U68" i="48" s="1"/>
  <c r="O68" i="48"/>
  <c r="L68" i="48"/>
  <c r="K68" i="48"/>
  <c r="P68" i="48" s="1"/>
  <c r="J68" i="48"/>
  <c r="M68" i="48" s="1"/>
  <c r="G68" i="48"/>
  <c r="F68" i="48"/>
  <c r="E68" i="48"/>
  <c r="AM67" i="48"/>
  <c r="AJ67" i="48"/>
  <c r="AI67" i="48"/>
  <c r="AN67" i="48" s="1"/>
  <c r="AH67" i="48"/>
  <c r="AK67" i="48" s="1"/>
  <c r="AE67" i="48"/>
  <c r="AB67" i="48"/>
  <c r="AA67" i="48"/>
  <c r="AF67" i="48" s="1"/>
  <c r="Z67" i="48"/>
  <c r="AC67" i="48" s="1"/>
  <c r="W67" i="48"/>
  <c r="T67" i="48"/>
  <c r="S67" i="48"/>
  <c r="X67" i="48" s="1"/>
  <c r="R67" i="48"/>
  <c r="U67" i="48" s="1"/>
  <c r="O67" i="48"/>
  <c r="L67" i="48"/>
  <c r="K67" i="48"/>
  <c r="P67" i="48" s="1"/>
  <c r="J67" i="48"/>
  <c r="G67" i="48"/>
  <c r="F67" i="48"/>
  <c r="E67" i="48"/>
  <c r="H67" i="48" s="1"/>
  <c r="AM66" i="48"/>
  <c r="AJ66" i="48"/>
  <c r="AI66" i="48"/>
  <c r="AN66" i="48" s="1"/>
  <c r="AH66" i="48"/>
  <c r="AK66" i="48" s="1"/>
  <c r="AE66" i="48"/>
  <c r="AB66" i="48"/>
  <c r="AA66" i="48"/>
  <c r="AF66" i="48" s="1"/>
  <c r="Z66" i="48"/>
  <c r="AC66" i="48" s="1"/>
  <c r="W66" i="48"/>
  <c r="T66" i="48"/>
  <c r="S66" i="48"/>
  <c r="X66" i="48" s="1"/>
  <c r="R66" i="48"/>
  <c r="U66" i="48" s="1"/>
  <c r="O66" i="48"/>
  <c r="L66" i="48"/>
  <c r="K66" i="48"/>
  <c r="P66" i="48" s="1"/>
  <c r="J66" i="48"/>
  <c r="M66" i="48" s="1"/>
  <c r="G66" i="48"/>
  <c r="F66" i="48"/>
  <c r="E66" i="48"/>
  <c r="H66" i="48" s="1"/>
  <c r="AM65" i="48"/>
  <c r="AJ65" i="48"/>
  <c r="AI65" i="48"/>
  <c r="AN65" i="48" s="1"/>
  <c r="AH65" i="48"/>
  <c r="AK65" i="48" s="1"/>
  <c r="AE65" i="48"/>
  <c r="AB65" i="48"/>
  <c r="AA65" i="48"/>
  <c r="Z65" i="48"/>
  <c r="AC65" i="48" s="1"/>
  <c r="W65" i="48"/>
  <c r="T65" i="48"/>
  <c r="S65" i="48"/>
  <c r="X65" i="48" s="1"/>
  <c r="R65" i="48"/>
  <c r="U65" i="48" s="1"/>
  <c r="O65" i="48"/>
  <c r="L65" i="48"/>
  <c r="K65" i="48"/>
  <c r="P65" i="48" s="1"/>
  <c r="J65" i="48"/>
  <c r="M65" i="48" s="1"/>
  <c r="G65" i="48"/>
  <c r="F65" i="48"/>
  <c r="E65" i="48"/>
  <c r="H65" i="48" s="1"/>
  <c r="AM64" i="48"/>
  <c r="AJ64" i="48"/>
  <c r="AI64" i="48"/>
  <c r="AN64" i="48" s="1"/>
  <c r="AH64" i="48"/>
  <c r="AE64" i="48"/>
  <c r="AB64" i="48"/>
  <c r="AA64" i="48"/>
  <c r="AF64" i="48" s="1"/>
  <c r="Z64" i="48"/>
  <c r="AC64" i="48" s="1"/>
  <c r="W64" i="48"/>
  <c r="T64" i="48"/>
  <c r="S64" i="48"/>
  <c r="X64" i="48" s="1"/>
  <c r="R64" i="48"/>
  <c r="U64" i="48" s="1"/>
  <c r="O64" i="48"/>
  <c r="L64" i="48"/>
  <c r="K64" i="48"/>
  <c r="J64" i="48"/>
  <c r="M64" i="48" s="1"/>
  <c r="G64" i="48"/>
  <c r="F64" i="48"/>
  <c r="E64" i="48"/>
  <c r="H64" i="48" s="1"/>
  <c r="AM63" i="48"/>
  <c r="AJ63" i="48"/>
  <c r="AI63" i="48"/>
  <c r="AN63" i="48" s="1"/>
  <c r="AH63" i="48"/>
  <c r="AK63" i="48" s="1"/>
  <c r="AE63" i="48"/>
  <c r="AB63" i="48"/>
  <c r="AA63" i="48"/>
  <c r="AF63" i="48" s="1"/>
  <c r="Z63" i="48"/>
  <c r="AC63" i="48" s="1"/>
  <c r="W63" i="48"/>
  <c r="T63" i="48"/>
  <c r="S63" i="48"/>
  <c r="X63" i="48" s="1"/>
  <c r="R63" i="48"/>
  <c r="U63" i="48" s="1"/>
  <c r="O63" i="48"/>
  <c r="L63" i="48"/>
  <c r="K63" i="48"/>
  <c r="P63" i="48" s="1"/>
  <c r="J63" i="48"/>
  <c r="M63" i="48" s="1"/>
  <c r="G63" i="48"/>
  <c r="F63" i="48"/>
  <c r="E63" i="48"/>
  <c r="H63" i="48" s="1"/>
  <c r="AM62" i="48"/>
  <c r="AJ62" i="48"/>
  <c r="AI62" i="48"/>
  <c r="AN62" i="48" s="1"/>
  <c r="AH62" i="48"/>
  <c r="AK62" i="48" s="1"/>
  <c r="AE62" i="48"/>
  <c r="AB62" i="48"/>
  <c r="AA62" i="48"/>
  <c r="AF62" i="48" s="1"/>
  <c r="Z62" i="48"/>
  <c r="AC62" i="48" s="1"/>
  <c r="W62" i="48"/>
  <c r="T62" i="48"/>
  <c r="S62" i="48"/>
  <c r="X62" i="48" s="1"/>
  <c r="R62" i="48"/>
  <c r="U62" i="48" s="1"/>
  <c r="O62" i="48"/>
  <c r="L62" i="48"/>
  <c r="K62" i="48"/>
  <c r="P62" i="48" s="1"/>
  <c r="J62" i="48"/>
  <c r="M62" i="48" s="1"/>
  <c r="G62" i="48"/>
  <c r="F62" i="48"/>
  <c r="E62" i="48"/>
  <c r="H62" i="48" s="1"/>
  <c r="AM61" i="48"/>
  <c r="AJ61" i="48"/>
  <c r="AI61" i="48"/>
  <c r="AN61" i="48" s="1"/>
  <c r="AH61" i="48"/>
  <c r="AK61" i="48" s="1"/>
  <c r="AE61" i="48"/>
  <c r="AB61" i="48"/>
  <c r="AA61" i="48"/>
  <c r="AF61" i="48" s="1"/>
  <c r="Z61" i="48"/>
  <c r="AC61" i="48" s="1"/>
  <c r="W61" i="48"/>
  <c r="T61" i="48"/>
  <c r="S61" i="48"/>
  <c r="X61" i="48" s="1"/>
  <c r="R61" i="48"/>
  <c r="U61" i="48" s="1"/>
  <c r="V61" i="48" s="1"/>
  <c r="O61" i="48"/>
  <c r="L61" i="48"/>
  <c r="K61" i="48"/>
  <c r="P61" i="48" s="1"/>
  <c r="J61" i="48"/>
  <c r="M61" i="48" s="1"/>
  <c r="G61" i="48"/>
  <c r="F61" i="48"/>
  <c r="E61" i="48"/>
  <c r="AM60" i="48"/>
  <c r="AJ60" i="48"/>
  <c r="AI60" i="48"/>
  <c r="AN60" i="48" s="1"/>
  <c r="AH60" i="48"/>
  <c r="AK60" i="48" s="1"/>
  <c r="AE60" i="48"/>
  <c r="AB60" i="48"/>
  <c r="AA60" i="48"/>
  <c r="AF60" i="48" s="1"/>
  <c r="Z60" i="48"/>
  <c r="AC60" i="48" s="1"/>
  <c r="W60" i="48"/>
  <c r="T60" i="48"/>
  <c r="S60" i="48"/>
  <c r="R60" i="48"/>
  <c r="U60" i="48" s="1"/>
  <c r="O60" i="48"/>
  <c r="AS60" i="48" s="1"/>
  <c r="L60" i="48"/>
  <c r="K60" i="48"/>
  <c r="P60" i="48" s="1"/>
  <c r="J60" i="48"/>
  <c r="M60" i="48" s="1"/>
  <c r="G60" i="48"/>
  <c r="F60" i="48"/>
  <c r="E60" i="48"/>
  <c r="H60" i="48" s="1"/>
  <c r="AM59" i="48"/>
  <c r="AJ59" i="48"/>
  <c r="AI59" i="48"/>
  <c r="AN59" i="48" s="1"/>
  <c r="AH59" i="48"/>
  <c r="AK59" i="48" s="1"/>
  <c r="AE59" i="48"/>
  <c r="AB59" i="48"/>
  <c r="AA59" i="48"/>
  <c r="AF59" i="48" s="1"/>
  <c r="Z59" i="48"/>
  <c r="AC59" i="48" s="1"/>
  <c r="W59" i="48"/>
  <c r="T59" i="48"/>
  <c r="S59" i="48"/>
  <c r="X59" i="48" s="1"/>
  <c r="R59" i="48"/>
  <c r="U59" i="48" s="1"/>
  <c r="O59" i="48"/>
  <c r="L59" i="48"/>
  <c r="K59" i="48"/>
  <c r="P59" i="48" s="1"/>
  <c r="J59" i="48"/>
  <c r="G59" i="48"/>
  <c r="F59" i="48"/>
  <c r="E59" i="48"/>
  <c r="H59" i="48" s="1"/>
  <c r="AM58" i="48"/>
  <c r="AJ58" i="48"/>
  <c r="AI58" i="48"/>
  <c r="AN58" i="48" s="1"/>
  <c r="AH58" i="48"/>
  <c r="AK58" i="48" s="1"/>
  <c r="AE58" i="48"/>
  <c r="AB58" i="48"/>
  <c r="AA58" i="48"/>
  <c r="AF58" i="48" s="1"/>
  <c r="Z58" i="48"/>
  <c r="AC58" i="48" s="1"/>
  <c r="W58" i="48"/>
  <c r="T58" i="48"/>
  <c r="S58" i="48"/>
  <c r="X58" i="48" s="1"/>
  <c r="R58" i="48"/>
  <c r="U58" i="48" s="1"/>
  <c r="O58" i="48"/>
  <c r="L58" i="48"/>
  <c r="K58" i="48"/>
  <c r="P58" i="48" s="1"/>
  <c r="J58" i="48"/>
  <c r="M58" i="48" s="1"/>
  <c r="G58" i="48"/>
  <c r="F58" i="48"/>
  <c r="E58" i="48"/>
  <c r="H58" i="48" s="1"/>
  <c r="AM57" i="48"/>
  <c r="AJ57" i="48"/>
  <c r="AI57" i="48"/>
  <c r="AN57" i="48" s="1"/>
  <c r="AH57" i="48"/>
  <c r="AK57" i="48" s="1"/>
  <c r="AE57" i="48"/>
  <c r="AB57" i="48"/>
  <c r="AA57" i="48"/>
  <c r="AF57" i="48" s="1"/>
  <c r="Z57" i="48"/>
  <c r="AC57" i="48" s="1"/>
  <c r="W57" i="48"/>
  <c r="T57" i="48"/>
  <c r="S57" i="48"/>
  <c r="X57" i="48" s="1"/>
  <c r="R57" i="48"/>
  <c r="U57" i="48" s="1"/>
  <c r="O57" i="48"/>
  <c r="L57" i="48"/>
  <c r="K57" i="48"/>
  <c r="P57" i="48" s="1"/>
  <c r="J57" i="48"/>
  <c r="M57" i="48" s="1"/>
  <c r="G57" i="48"/>
  <c r="F57" i="48"/>
  <c r="E57" i="48"/>
  <c r="H57" i="48" s="1"/>
  <c r="AM52" i="48"/>
  <c r="AJ52" i="48"/>
  <c r="AI52" i="48"/>
  <c r="AH52" i="48"/>
  <c r="AK52" i="48" s="1"/>
  <c r="AE52" i="48"/>
  <c r="AB52" i="48"/>
  <c r="AA52" i="48"/>
  <c r="Z52" i="48"/>
  <c r="AC52" i="48" s="1"/>
  <c r="W52" i="48"/>
  <c r="T52" i="48"/>
  <c r="S52" i="48"/>
  <c r="X52" i="48" s="1"/>
  <c r="R52" i="48"/>
  <c r="O52" i="48"/>
  <c r="L52" i="48"/>
  <c r="K52" i="48"/>
  <c r="P52" i="48" s="1"/>
  <c r="J52" i="48"/>
  <c r="M52" i="48" s="1"/>
  <c r="G52" i="48"/>
  <c r="F52" i="48"/>
  <c r="E52" i="48"/>
  <c r="H52" i="48" s="1"/>
  <c r="AM51" i="48"/>
  <c r="AJ51" i="48"/>
  <c r="AI51" i="48"/>
  <c r="AN51" i="48" s="1"/>
  <c r="AH51" i="48"/>
  <c r="AK51" i="48" s="1"/>
  <c r="AE51" i="48"/>
  <c r="AB51" i="48"/>
  <c r="AA51" i="48"/>
  <c r="AF51" i="48" s="1"/>
  <c r="Z51" i="48"/>
  <c r="W51" i="48"/>
  <c r="T51" i="48"/>
  <c r="S51" i="48"/>
  <c r="X51" i="48" s="1"/>
  <c r="R51" i="48"/>
  <c r="U51" i="48" s="1"/>
  <c r="O51" i="48"/>
  <c r="L51" i="48"/>
  <c r="K51" i="48"/>
  <c r="P51" i="48" s="1"/>
  <c r="J51" i="48"/>
  <c r="M51" i="48" s="1"/>
  <c r="G51" i="48"/>
  <c r="F51" i="48"/>
  <c r="E51" i="48"/>
  <c r="H51" i="48" s="1"/>
  <c r="AM50" i="48"/>
  <c r="AJ50" i="48"/>
  <c r="AI50" i="48"/>
  <c r="AN50" i="48" s="1"/>
  <c r="AH50" i="48"/>
  <c r="AK50" i="48" s="1"/>
  <c r="AE50" i="48"/>
  <c r="AB50" i="48"/>
  <c r="AA50" i="48"/>
  <c r="AF50" i="48" s="1"/>
  <c r="Z50" i="48"/>
  <c r="AC50" i="48" s="1"/>
  <c r="AD50" i="48" s="1"/>
  <c r="W50" i="48"/>
  <c r="T50" i="48"/>
  <c r="S50" i="48"/>
  <c r="X50" i="48" s="1"/>
  <c r="R50" i="48"/>
  <c r="U50" i="48" s="1"/>
  <c r="O50" i="48"/>
  <c r="L50" i="48"/>
  <c r="K50" i="48"/>
  <c r="P50" i="48" s="1"/>
  <c r="J50" i="48"/>
  <c r="M50" i="48" s="1"/>
  <c r="G50" i="48"/>
  <c r="F50" i="48"/>
  <c r="E50" i="48"/>
  <c r="H50" i="48" s="1"/>
  <c r="AM49" i="48"/>
  <c r="AJ49" i="48"/>
  <c r="AI49" i="48"/>
  <c r="AN49" i="48" s="1"/>
  <c r="AH49" i="48"/>
  <c r="AK49" i="48" s="1"/>
  <c r="AE49" i="48"/>
  <c r="AB49" i="48"/>
  <c r="AA49" i="48"/>
  <c r="AF49" i="48" s="1"/>
  <c r="Z49" i="48"/>
  <c r="AC49" i="48" s="1"/>
  <c r="W49" i="48"/>
  <c r="T49" i="48"/>
  <c r="S49" i="48"/>
  <c r="X49" i="48" s="1"/>
  <c r="R49" i="48"/>
  <c r="U49" i="48" s="1"/>
  <c r="O49" i="48"/>
  <c r="L49" i="48"/>
  <c r="K49" i="48"/>
  <c r="P49" i="48" s="1"/>
  <c r="J49" i="48"/>
  <c r="M49" i="48" s="1"/>
  <c r="G49" i="48"/>
  <c r="F49" i="48"/>
  <c r="E49" i="48"/>
  <c r="H49" i="48" s="1"/>
  <c r="AM48" i="48"/>
  <c r="AJ48" i="48"/>
  <c r="AI48" i="48"/>
  <c r="AN48" i="48" s="1"/>
  <c r="AH48" i="48"/>
  <c r="AK48" i="48" s="1"/>
  <c r="AE48" i="48"/>
  <c r="AB48" i="48"/>
  <c r="AA48" i="48"/>
  <c r="AF48" i="48" s="1"/>
  <c r="Z48" i="48"/>
  <c r="AC48" i="48" s="1"/>
  <c r="W48" i="48"/>
  <c r="T48" i="48"/>
  <c r="S48" i="48"/>
  <c r="X48" i="48" s="1"/>
  <c r="R48" i="48"/>
  <c r="U48" i="48" s="1"/>
  <c r="O48" i="48"/>
  <c r="L48" i="48"/>
  <c r="K48" i="48"/>
  <c r="J48" i="48"/>
  <c r="M48" i="48" s="1"/>
  <c r="G48" i="48"/>
  <c r="F48" i="48"/>
  <c r="E48" i="48"/>
  <c r="AM47" i="48"/>
  <c r="AJ47" i="48"/>
  <c r="AI47" i="48"/>
  <c r="AN47" i="48" s="1"/>
  <c r="AH47" i="48"/>
  <c r="AK47" i="48" s="1"/>
  <c r="AE47" i="48"/>
  <c r="AB47" i="48"/>
  <c r="AA47" i="48"/>
  <c r="AF47" i="48" s="1"/>
  <c r="Z47" i="48"/>
  <c r="W47" i="48"/>
  <c r="T47" i="48"/>
  <c r="S47" i="48"/>
  <c r="X47" i="48" s="1"/>
  <c r="R47" i="48"/>
  <c r="U47" i="48" s="1"/>
  <c r="O47" i="48"/>
  <c r="L47" i="48"/>
  <c r="K47" i="48"/>
  <c r="P47" i="48" s="1"/>
  <c r="J47" i="48"/>
  <c r="M47" i="48" s="1"/>
  <c r="G47" i="48"/>
  <c r="F47" i="48"/>
  <c r="E47" i="48"/>
  <c r="H47" i="48" s="1"/>
  <c r="AM46" i="48"/>
  <c r="AJ46" i="48"/>
  <c r="AI46" i="48"/>
  <c r="AN46" i="48" s="1"/>
  <c r="AH46" i="48"/>
  <c r="AK46" i="48" s="1"/>
  <c r="AE46" i="48"/>
  <c r="AB46" i="48"/>
  <c r="AA46" i="48"/>
  <c r="AF46" i="48" s="1"/>
  <c r="Z46" i="48"/>
  <c r="AC46" i="48" s="1"/>
  <c r="W46" i="48"/>
  <c r="T46" i="48"/>
  <c r="S46" i="48"/>
  <c r="X46" i="48" s="1"/>
  <c r="R46" i="48"/>
  <c r="U46" i="48" s="1"/>
  <c r="O46" i="48"/>
  <c r="L46" i="48"/>
  <c r="AP46" i="48" s="1"/>
  <c r="K46" i="48"/>
  <c r="P46" i="48" s="1"/>
  <c r="J46" i="48"/>
  <c r="M46" i="48" s="1"/>
  <c r="G46" i="48"/>
  <c r="F46" i="48"/>
  <c r="E46" i="48"/>
  <c r="H46" i="48" s="1"/>
  <c r="AM45" i="48"/>
  <c r="AJ45" i="48"/>
  <c r="AI45" i="48"/>
  <c r="AH45" i="48"/>
  <c r="AK45" i="48" s="1"/>
  <c r="AE45" i="48"/>
  <c r="AB45" i="48"/>
  <c r="AA45" i="48"/>
  <c r="AF45" i="48" s="1"/>
  <c r="Z45" i="48"/>
  <c r="AC45" i="48" s="1"/>
  <c r="W45" i="48"/>
  <c r="T45" i="48"/>
  <c r="S45" i="48"/>
  <c r="X45" i="48" s="1"/>
  <c r="R45" i="48"/>
  <c r="U45" i="48" s="1"/>
  <c r="O45" i="48"/>
  <c r="L45" i="48"/>
  <c r="K45" i="48"/>
  <c r="P45" i="48" s="1"/>
  <c r="J45" i="48"/>
  <c r="M45" i="48" s="1"/>
  <c r="G45" i="48"/>
  <c r="F45" i="48"/>
  <c r="E45" i="48"/>
  <c r="H45" i="48" s="1"/>
  <c r="AM44" i="48"/>
  <c r="AJ44" i="48"/>
  <c r="AI44" i="48"/>
  <c r="AN44" i="48" s="1"/>
  <c r="AH44" i="48"/>
  <c r="AK44" i="48" s="1"/>
  <c r="AE44" i="48"/>
  <c r="AB44" i="48"/>
  <c r="AA44" i="48"/>
  <c r="AF44" i="48" s="1"/>
  <c r="Z44" i="48"/>
  <c r="AC44" i="48" s="1"/>
  <c r="W44" i="48"/>
  <c r="T44" i="48"/>
  <c r="S44" i="48"/>
  <c r="X44" i="48" s="1"/>
  <c r="R44" i="48"/>
  <c r="U44" i="48" s="1"/>
  <c r="O44" i="48"/>
  <c r="L44" i="48"/>
  <c r="K44" i="48"/>
  <c r="J44" i="48"/>
  <c r="G44" i="48"/>
  <c r="F44" i="48"/>
  <c r="E44" i="48"/>
  <c r="AM43" i="48"/>
  <c r="AJ43" i="48"/>
  <c r="AI43" i="48"/>
  <c r="AN43" i="48" s="1"/>
  <c r="AH43" i="48"/>
  <c r="AK43" i="48" s="1"/>
  <c r="AE43" i="48"/>
  <c r="AB43" i="48"/>
  <c r="AA43" i="48"/>
  <c r="AF43" i="48" s="1"/>
  <c r="Z43" i="48"/>
  <c r="AC43" i="48" s="1"/>
  <c r="W43" i="48"/>
  <c r="T43" i="48"/>
  <c r="S43" i="48"/>
  <c r="X43" i="48" s="1"/>
  <c r="R43" i="48"/>
  <c r="O43" i="48"/>
  <c r="L43" i="48"/>
  <c r="K43" i="48"/>
  <c r="P43" i="48" s="1"/>
  <c r="J43" i="48"/>
  <c r="M43" i="48" s="1"/>
  <c r="G43" i="48"/>
  <c r="F43" i="48"/>
  <c r="E43" i="48"/>
  <c r="H43" i="48" s="1"/>
  <c r="I43" i="48" s="1"/>
  <c r="AM42" i="48"/>
  <c r="AJ42" i="48"/>
  <c r="AI42" i="48"/>
  <c r="AN42" i="48" s="1"/>
  <c r="AH42" i="48"/>
  <c r="AK42" i="48" s="1"/>
  <c r="AE42" i="48"/>
  <c r="AB42" i="48"/>
  <c r="AA42" i="48"/>
  <c r="AF42" i="48" s="1"/>
  <c r="Z42" i="48"/>
  <c r="AC42" i="48" s="1"/>
  <c r="W42" i="48"/>
  <c r="T42" i="48"/>
  <c r="S42" i="48"/>
  <c r="X42" i="48" s="1"/>
  <c r="R42" i="48"/>
  <c r="U42" i="48" s="1"/>
  <c r="O42" i="48"/>
  <c r="L42" i="48"/>
  <c r="K42" i="48"/>
  <c r="P42" i="48" s="1"/>
  <c r="J42" i="48"/>
  <c r="M42" i="48" s="1"/>
  <c r="G42" i="48"/>
  <c r="F42" i="48"/>
  <c r="E42" i="48"/>
  <c r="H42" i="48" s="1"/>
  <c r="AM41" i="48"/>
  <c r="AJ41" i="48"/>
  <c r="AI41" i="48"/>
  <c r="AN41" i="48" s="1"/>
  <c r="AH41" i="48"/>
  <c r="AK41" i="48" s="1"/>
  <c r="AE41" i="48"/>
  <c r="AB41" i="48"/>
  <c r="AA41" i="48"/>
  <c r="AF41" i="48" s="1"/>
  <c r="Z41" i="48"/>
  <c r="AC41" i="48" s="1"/>
  <c r="W41" i="48"/>
  <c r="T41" i="48"/>
  <c r="S41" i="48"/>
  <c r="X41" i="48" s="1"/>
  <c r="R41" i="48"/>
  <c r="U41" i="48" s="1"/>
  <c r="O41" i="48"/>
  <c r="L41" i="48"/>
  <c r="K41" i="48"/>
  <c r="P41" i="48" s="1"/>
  <c r="J41" i="48"/>
  <c r="M41" i="48" s="1"/>
  <c r="G41" i="48"/>
  <c r="F41" i="48"/>
  <c r="E41" i="48"/>
  <c r="AM40" i="48"/>
  <c r="AJ40" i="48"/>
  <c r="AI40" i="48"/>
  <c r="AH40" i="48"/>
  <c r="AK40" i="48" s="1"/>
  <c r="AE40" i="48"/>
  <c r="AB40" i="48"/>
  <c r="AA40" i="48"/>
  <c r="Z40" i="48"/>
  <c r="W40" i="48"/>
  <c r="T40" i="48"/>
  <c r="S40" i="48"/>
  <c r="X40" i="48" s="1"/>
  <c r="R40" i="48"/>
  <c r="U40" i="48" s="1"/>
  <c r="O40" i="48"/>
  <c r="AS40" i="48" s="1"/>
  <c r="L40" i="48"/>
  <c r="K40" i="48"/>
  <c r="J40" i="48"/>
  <c r="M40" i="48" s="1"/>
  <c r="G40" i="48"/>
  <c r="F40" i="48"/>
  <c r="E40" i="48"/>
  <c r="H40" i="48" s="1"/>
  <c r="AM39" i="48"/>
  <c r="AJ39" i="48"/>
  <c r="AI39" i="48"/>
  <c r="AN39" i="48" s="1"/>
  <c r="AH39" i="48"/>
  <c r="AK39" i="48" s="1"/>
  <c r="AE39" i="48"/>
  <c r="AB39" i="48"/>
  <c r="AA39" i="48"/>
  <c r="AF39" i="48" s="1"/>
  <c r="Z39" i="48"/>
  <c r="AC39" i="48" s="1"/>
  <c r="W39" i="48"/>
  <c r="T39" i="48"/>
  <c r="S39" i="48"/>
  <c r="X39" i="48" s="1"/>
  <c r="R39" i="48"/>
  <c r="O39" i="48"/>
  <c r="L39" i="48"/>
  <c r="K39" i="48"/>
  <c r="P39" i="48" s="1"/>
  <c r="J39" i="48"/>
  <c r="M39" i="48" s="1"/>
  <c r="G39" i="48"/>
  <c r="F39" i="48"/>
  <c r="E39" i="48"/>
  <c r="H39" i="48" s="1"/>
  <c r="AM38" i="48"/>
  <c r="AJ38" i="48"/>
  <c r="AI38" i="48"/>
  <c r="AN38" i="48" s="1"/>
  <c r="AH38" i="48"/>
  <c r="AK38" i="48" s="1"/>
  <c r="AL38" i="48" s="1"/>
  <c r="AE38" i="48"/>
  <c r="AB38" i="48"/>
  <c r="AA38" i="48"/>
  <c r="AF38" i="48" s="1"/>
  <c r="AG38" i="48" s="1"/>
  <c r="Z38" i="48"/>
  <c r="AC38" i="48" s="1"/>
  <c r="W38" i="48"/>
  <c r="T38" i="48"/>
  <c r="S38" i="48"/>
  <c r="X38" i="48" s="1"/>
  <c r="R38" i="48"/>
  <c r="U38" i="48" s="1"/>
  <c r="O38" i="48"/>
  <c r="L38" i="48"/>
  <c r="K38" i="48"/>
  <c r="P38" i="48" s="1"/>
  <c r="J38" i="48"/>
  <c r="M38" i="48" s="1"/>
  <c r="G38" i="48"/>
  <c r="F38" i="48"/>
  <c r="E38" i="48"/>
  <c r="H38" i="48" s="1"/>
  <c r="AM37" i="48"/>
  <c r="AJ37" i="48"/>
  <c r="AI37" i="48"/>
  <c r="AN37" i="48" s="1"/>
  <c r="AH37" i="48"/>
  <c r="AK37" i="48" s="1"/>
  <c r="AE37" i="48"/>
  <c r="AB37" i="48"/>
  <c r="AA37" i="48"/>
  <c r="AF37" i="48" s="1"/>
  <c r="Z37" i="48"/>
  <c r="AC37" i="48" s="1"/>
  <c r="W37" i="48"/>
  <c r="T37" i="48"/>
  <c r="S37" i="48"/>
  <c r="X37" i="48" s="1"/>
  <c r="R37" i="48"/>
  <c r="U37" i="48" s="1"/>
  <c r="O37" i="48"/>
  <c r="L37" i="48"/>
  <c r="K37" i="48"/>
  <c r="P37" i="48" s="1"/>
  <c r="J37" i="48"/>
  <c r="M37" i="48" s="1"/>
  <c r="G37" i="48"/>
  <c r="F37" i="48"/>
  <c r="E37" i="48"/>
  <c r="H37" i="48" s="1"/>
  <c r="AM36" i="48"/>
  <c r="AJ36" i="48"/>
  <c r="AI36" i="48"/>
  <c r="AN36" i="48" s="1"/>
  <c r="AH36" i="48"/>
  <c r="AK36" i="48" s="1"/>
  <c r="AE36" i="48"/>
  <c r="AB36" i="48"/>
  <c r="AA36" i="48"/>
  <c r="Z36" i="48"/>
  <c r="AC36" i="48" s="1"/>
  <c r="W36" i="48"/>
  <c r="T36" i="48"/>
  <c r="S36" i="48"/>
  <c r="R36" i="48"/>
  <c r="U36" i="48" s="1"/>
  <c r="O36" i="48"/>
  <c r="L36" i="48"/>
  <c r="K36" i="48"/>
  <c r="P36" i="48" s="1"/>
  <c r="J36" i="48"/>
  <c r="M36" i="48" s="1"/>
  <c r="G36" i="48"/>
  <c r="F36" i="48"/>
  <c r="E36" i="48"/>
  <c r="AM35" i="48"/>
  <c r="AJ35" i="48"/>
  <c r="AI35" i="48"/>
  <c r="AN35" i="48" s="1"/>
  <c r="AH35" i="48"/>
  <c r="AK35" i="48" s="1"/>
  <c r="AE35" i="48"/>
  <c r="AB35" i="48"/>
  <c r="AA35" i="48"/>
  <c r="AF35" i="48" s="1"/>
  <c r="Z35" i="48"/>
  <c r="AC35" i="48" s="1"/>
  <c r="W35" i="48"/>
  <c r="T35" i="48"/>
  <c r="S35" i="48"/>
  <c r="X35" i="48" s="1"/>
  <c r="R35" i="48"/>
  <c r="U35" i="48" s="1"/>
  <c r="O35" i="48"/>
  <c r="L35" i="48"/>
  <c r="AP35" i="48" s="1"/>
  <c r="K35" i="48"/>
  <c r="P35" i="48" s="1"/>
  <c r="J35" i="48"/>
  <c r="G35" i="48"/>
  <c r="F35" i="48"/>
  <c r="E35" i="48"/>
  <c r="H35" i="48" s="1"/>
  <c r="AM30" i="48"/>
  <c r="AJ30" i="48"/>
  <c r="AI30" i="48"/>
  <c r="AH30" i="48"/>
  <c r="AK30" i="48" s="1"/>
  <c r="AE30" i="48"/>
  <c r="AB30" i="48"/>
  <c r="AA30" i="48"/>
  <c r="AF30" i="48" s="1"/>
  <c r="Z30" i="48"/>
  <c r="AC30" i="48" s="1"/>
  <c r="W30" i="48"/>
  <c r="T30" i="48"/>
  <c r="S30" i="48"/>
  <c r="X30" i="48" s="1"/>
  <c r="R30" i="48"/>
  <c r="O30" i="48"/>
  <c r="L30" i="48"/>
  <c r="K30" i="48"/>
  <c r="P30" i="48" s="1"/>
  <c r="J30" i="48"/>
  <c r="M30" i="48" s="1"/>
  <c r="G30" i="48"/>
  <c r="F30" i="48"/>
  <c r="E30" i="48"/>
  <c r="H30" i="48" s="1"/>
  <c r="AM29" i="48"/>
  <c r="AJ29" i="48"/>
  <c r="AI29" i="48"/>
  <c r="AH29" i="48"/>
  <c r="AK29" i="48" s="1"/>
  <c r="AE29" i="48"/>
  <c r="AB29" i="48"/>
  <c r="AA29" i="48"/>
  <c r="AF29" i="48" s="1"/>
  <c r="Z29" i="48"/>
  <c r="AC29" i="48" s="1"/>
  <c r="W29" i="48"/>
  <c r="T29" i="48"/>
  <c r="S29" i="48"/>
  <c r="X29" i="48" s="1"/>
  <c r="R29" i="48"/>
  <c r="U29" i="48" s="1"/>
  <c r="O29" i="48"/>
  <c r="L29" i="48"/>
  <c r="K29" i="48"/>
  <c r="P29" i="48" s="1"/>
  <c r="J29" i="48"/>
  <c r="M29" i="48" s="1"/>
  <c r="G29" i="48"/>
  <c r="F29" i="48"/>
  <c r="E29" i="48"/>
  <c r="H29" i="48" s="1"/>
  <c r="AM28" i="48"/>
  <c r="AJ28" i="48"/>
  <c r="AI28" i="48"/>
  <c r="AN28" i="48" s="1"/>
  <c r="AH28" i="48"/>
  <c r="AK28" i="48" s="1"/>
  <c r="AE28" i="48"/>
  <c r="AB28" i="48"/>
  <c r="AA28" i="48"/>
  <c r="AF28" i="48" s="1"/>
  <c r="Z28" i="48"/>
  <c r="AC28" i="48" s="1"/>
  <c r="W28" i="48"/>
  <c r="T28" i="48"/>
  <c r="S28" i="48"/>
  <c r="X28" i="48" s="1"/>
  <c r="R28" i="48"/>
  <c r="U28" i="48" s="1"/>
  <c r="O28" i="48"/>
  <c r="L28" i="48"/>
  <c r="K28" i="48"/>
  <c r="P28" i="48" s="1"/>
  <c r="J28" i="48"/>
  <c r="M28" i="48" s="1"/>
  <c r="G28" i="48"/>
  <c r="F28" i="48"/>
  <c r="E28" i="48"/>
  <c r="H28" i="48" s="1"/>
  <c r="AM27" i="48"/>
  <c r="AJ27" i="48"/>
  <c r="AI27" i="48"/>
  <c r="AN27" i="48" s="1"/>
  <c r="AH27" i="48"/>
  <c r="AE27" i="48"/>
  <c r="AB27" i="48"/>
  <c r="AA27" i="48"/>
  <c r="AF27" i="48" s="1"/>
  <c r="Z27" i="48"/>
  <c r="AC27" i="48" s="1"/>
  <c r="W27" i="48"/>
  <c r="T27" i="48"/>
  <c r="S27" i="48"/>
  <c r="X27" i="48" s="1"/>
  <c r="R27" i="48"/>
  <c r="U27" i="48" s="1"/>
  <c r="O27" i="48"/>
  <c r="L27" i="48"/>
  <c r="K27" i="48"/>
  <c r="P27" i="48" s="1"/>
  <c r="J27" i="48"/>
  <c r="M27" i="48" s="1"/>
  <c r="G27" i="48"/>
  <c r="F27" i="48"/>
  <c r="E27" i="48"/>
  <c r="H27" i="48" s="1"/>
  <c r="AM26" i="48"/>
  <c r="AJ26" i="48"/>
  <c r="AI26" i="48"/>
  <c r="AN26" i="48" s="1"/>
  <c r="AH26" i="48"/>
  <c r="AK26" i="48" s="1"/>
  <c r="AE26" i="48"/>
  <c r="AB26" i="48"/>
  <c r="AA26" i="48"/>
  <c r="AF26" i="48" s="1"/>
  <c r="Z26" i="48"/>
  <c r="AC26" i="48" s="1"/>
  <c r="W26" i="48"/>
  <c r="T26" i="48"/>
  <c r="S26" i="48"/>
  <c r="X26" i="48" s="1"/>
  <c r="R26" i="48"/>
  <c r="U26" i="48" s="1"/>
  <c r="O26" i="48"/>
  <c r="L26" i="48"/>
  <c r="K26" i="48"/>
  <c r="P26" i="48" s="1"/>
  <c r="J26" i="48"/>
  <c r="M26" i="48" s="1"/>
  <c r="G26" i="48"/>
  <c r="F26" i="48"/>
  <c r="E26" i="48"/>
  <c r="H26" i="48" s="1"/>
  <c r="AM25" i="48"/>
  <c r="AJ25" i="48"/>
  <c r="AI25" i="48"/>
  <c r="AN25" i="48" s="1"/>
  <c r="AH25" i="48"/>
  <c r="AK25" i="48" s="1"/>
  <c r="AE25" i="48"/>
  <c r="AB25" i="48"/>
  <c r="AA25" i="48"/>
  <c r="AF25" i="48" s="1"/>
  <c r="Z25" i="48"/>
  <c r="AC25" i="48" s="1"/>
  <c r="W25" i="48"/>
  <c r="T25" i="48"/>
  <c r="S25" i="48"/>
  <c r="X25" i="48" s="1"/>
  <c r="R25" i="48"/>
  <c r="U25" i="48" s="1"/>
  <c r="O25" i="48"/>
  <c r="L25" i="48"/>
  <c r="K25" i="48"/>
  <c r="J25" i="48"/>
  <c r="M25" i="48" s="1"/>
  <c r="G25" i="48"/>
  <c r="F25" i="48"/>
  <c r="E25" i="48"/>
  <c r="H25" i="48" s="1"/>
  <c r="AM24" i="48"/>
  <c r="AJ24" i="48"/>
  <c r="AI24" i="48"/>
  <c r="AN24" i="48" s="1"/>
  <c r="AH24" i="48"/>
  <c r="AE24" i="48"/>
  <c r="AB24" i="48"/>
  <c r="AA24" i="48"/>
  <c r="AF24" i="48" s="1"/>
  <c r="Z24" i="48"/>
  <c r="AC24" i="48" s="1"/>
  <c r="W24" i="48"/>
  <c r="T24" i="48"/>
  <c r="S24" i="48"/>
  <c r="R24" i="48"/>
  <c r="U24" i="48" s="1"/>
  <c r="O24" i="48"/>
  <c r="L24" i="48"/>
  <c r="K24" i="48"/>
  <c r="J24" i="48"/>
  <c r="M24" i="48" s="1"/>
  <c r="G24" i="48"/>
  <c r="F24" i="48"/>
  <c r="E24" i="48"/>
  <c r="H24" i="48" s="1"/>
  <c r="AM23" i="48"/>
  <c r="AJ23" i="48"/>
  <c r="AI23" i="48"/>
  <c r="AN23" i="48" s="1"/>
  <c r="AH23" i="48"/>
  <c r="AK23" i="48" s="1"/>
  <c r="AE23" i="48"/>
  <c r="AB23" i="48"/>
  <c r="AA23" i="48"/>
  <c r="AF23" i="48" s="1"/>
  <c r="Z23" i="48"/>
  <c r="W23" i="48"/>
  <c r="T23" i="48"/>
  <c r="S23" i="48"/>
  <c r="X23" i="48" s="1"/>
  <c r="R23" i="48"/>
  <c r="U23" i="48" s="1"/>
  <c r="O23" i="48"/>
  <c r="L23" i="48"/>
  <c r="K23" i="48"/>
  <c r="P23" i="48" s="1"/>
  <c r="J23" i="48"/>
  <c r="M23" i="48" s="1"/>
  <c r="G23" i="48"/>
  <c r="F23" i="48"/>
  <c r="E23" i="48"/>
  <c r="H23" i="48" s="1"/>
  <c r="AM22" i="48"/>
  <c r="AJ22" i="48"/>
  <c r="AI22" i="48"/>
  <c r="AN22" i="48" s="1"/>
  <c r="AH22" i="48"/>
  <c r="AK22" i="48" s="1"/>
  <c r="AE22" i="48"/>
  <c r="AB22" i="48"/>
  <c r="AA22" i="48"/>
  <c r="AF22" i="48" s="1"/>
  <c r="Z22" i="48"/>
  <c r="AC22" i="48" s="1"/>
  <c r="W22" i="48"/>
  <c r="T22" i="48"/>
  <c r="S22" i="48"/>
  <c r="X22" i="48" s="1"/>
  <c r="R22" i="48"/>
  <c r="U22" i="48" s="1"/>
  <c r="O22" i="48"/>
  <c r="L22" i="48"/>
  <c r="K22" i="48"/>
  <c r="P22" i="48" s="1"/>
  <c r="J22" i="48"/>
  <c r="M22" i="48" s="1"/>
  <c r="G22" i="48"/>
  <c r="F22" i="48"/>
  <c r="E22" i="48"/>
  <c r="H22" i="48" s="1"/>
  <c r="AM21" i="48"/>
  <c r="AJ21" i="48"/>
  <c r="AI21" i="48"/>
  <c r="AN21" i="48" s="1"/>
  <c r="AH21" i="48"/>
  <c r="AK21" i="48" s="1"/>
  <c r="AE21" i="48"/>
  <c r="AB21" i="48"/>
  <c r="AA21" i="48"/>
  <c r="AF21" i="48" s="1"/>
  <c r="Z21" i="48"/>
  <c r="AC21" i="48" s="1"/>
  <c r="W21" i="48"/>
  <c r="T21" i="48"/>
  <c r="S21" i="48"/>
  <c r="R21" i="48"/>
  <c r="U21" i="48" s="1"/>
  <c r="O21" i="48"/>
  <c r="L21" i="48"/>
  <c r="K21" i="48"/>
  <c r="P21" i="48" s="1"/>
  <c r="J21" i="48"/>
  <c r="M21" i="48" s="1"/>
  <c r="G21" i="48"/>
  <c r="F21" i="48"/>
  <c r="E21" i="48"/>
  <c r="H21" i="48" s="1"/>
  <c r="AM20" i="48"/>
  <c r="AJ20" i="48"/>
  <c r="AI20" i="48"/>
  <c r="AN20" i="48" s="1"/>
  <c r="AH20" i="48"/>
  <c r="AK20" i="48" s="1"/>
  <c r="AE20" i="48"/>
  <c r="AB20" i="48"/>
  <c r="AA20" i="48"/>
  <c r="AF20" i="48" s="1"/>
  <c r="Z20" i="48"/>
  <c r="AC20" i="48" s="1"/>
  <c r="W20" i="48"/>
  <c r="T20" i="48"/>
  <c r="S20" i="48"/>
  <c r="X20" i="48" s="1"/>
  <c r="R20" i="48"/>
  <c r="U20" i="48" s="1"/>
  <c r="O20" i="48"/>
  <c r="L20" i="48"/>
  <c r="K20" i="48"/>
  <c r="J20" i="48"/>
  <c r="M20" i="48" s="1"/>
  <c r="G20" i="48"/>
  <c r="F20" i="48"/>
  <c r="E20" i="48"/>
  <c r="H20" i="48" s="1"/>
  <c r="AM19" i="48"/>
  <c r="AJ19" i="48"/>
  <c r="AI19" i="48"/>
  <c r="AN19" i="48" s="1"/>
  <c r="AH19" i="48"/>
  <c r="AK19" i="48" s="1"/>
  <c r="AE19" i="48"/>
  <c r="AB19" i="48"/>
  <c r="AA19" i="48"/>
  <c r="AF19" i="48" s="1"/>
  <c r="Z19" i="48"/>
  <c r="AC19" i="48" s="1"/>
  <c r="W19" i="48"/>
  <c r="T19" i="48"/>
  <c r="S19" i="48"/>
  <c r="X19" i="48" s="1"/>
  <c r="R19" i="48"/>
  <c r="U19" i="48" s="1"/>
  <c r="O19" i="48"/>
  <c r="L19" i="48"/>
  <c r="K19" i="48"/>
  <c r="P19" i="48" s="1"/>
  <c r="J19" i="48"/>
  <c r="M19" i="48" s="1"/>
  <c r="G19" i="48"/>
  <c r="F19" i="48"/>
  <c r="E19" i="48"/>
  <c r="H19" i="48" s="1"/>
  <c r="AM18" i="48"/>
  <c r="AJ18" i="48"/>
  <c r="AI18" i="48"/>
  <c r="AN18" i="48" s="1"/>
  <c r="AH18" i="48"/>
  <c r="AK18" i="48" s="1"/>
  <c r="AE18" i="48"/>
  <c r="AB18" i="48"/>
  <c r="AA18" i="48"/>
  <c r="AF18" i="48" s="1"/>
  <c r="Z18" i="48"/>
  <c r="AC18" i="48" s="1"/>
  <c r="W18" i="48"/>
  <c r="T18" i="48"/>
  <c r="S18" i="48"/>
  <c r="X18" i="48" s="1"/>
  <c r="R18" i="48"/>
  <c r="U18" i="48" s="1"/>
  <c r="O18" i="48"/>
  <c r="L18" i="48"/>
  <c r="K18" i="48"/>
  <c r="P18" i="48" s="1"/>
  <c r="J18" i="48"/>
  <c r="M18" i="48" s="1"/>
  <c r="G18" i="48"/>
  <c r="F18" i="48"/>
  <c r="E18" i="48"/>
  <c r="AM17" i="48"/>
  <c r="AJ17" i="48"/>
  <c r="AI17" i="48"/>
  <c r="AN17" i="48" s="1"/>
  <c r="AH17" i="48"/>
  <c r="AK17" i="48" s="1"/>
  <c r="AE17" i="48"/>
  <c r="AB17" i="48"/>
  <c r="AA17" i="48"/>
  <c r="AF17" i="48" s="1"/>
  <c r="Z17" i="48"/>
  <c r="AC17" i="48" s="1"/>
  <c r="W17" i="48"/>
  <c r="T17" i="48"/>
  <c r="S17" i="48"/>
  <c r="X17" i="48" s="1"/>
  <c r="R17" i="48"/>
  <c r="U17" i="48" s="1"/>
  <c r="O17" i="48"/>
  <c r="L17" i="48"/>
  <c r="K17" i="48"/>
  <c r="P17" i="48" s="1"/>
  <c r="J17" i="48"/>
  <c r="M17" i="48" s="1"/>
  <c r="G17" i="48"/>
  <c r="F17" i="48"/>
  <c r="E17" i="48"/>
  <c r="H17" i="48" s="1"/>
  <c r="AM16" i="48"/>
  <c r="AJ16" i="48"/>
  <c r="AI16" i="48"/>
  <c r="AN16" i="48" s="1"/>
  <c r="AH16" i="48"/>
  <c r="AK16" i="48" s="1"/>
  <c r="AE16" i="48"/>
  <c r="AB16" i="48"/>
  <c r="AA16" i="48"/>
  <c r="AF16" i="48" s="1"/>
  <c r="Z16" i="48"/>
  <c r="AC16" i="48" s="1"/>
  <c r="W16" i="48"/>
  <c r="T16" i="48"/>
  <c r="S16" i="48"/>
  <c r="X16" i="48" s="1"/>
  <c r="R16" i="48"/>
  <c r="O16" i="48"/>
  <c r="L16" i="48"/>
  <c r="K16" i="48"/>
  <c r="P16" i="48" s="1"/>
  <c r="J16" i="48"/>
  <c r="M16" i="48" s="1"/>
  <c r="G16" i="48"/>
  <c r="F16" i="48"/>
  <c r="E16" i="48"/>
  <c r="H16" i="48" s="1"/>
  <c r="AM15" i="48"/>
  <c r="AJ15" i="48"/>
  <c r="AI15" i="48"/>
  <c r="AN15" i="48" s="1"/>
  <c r="AH15" i="48"/>
  <c r="AK15" i="48" s="1"/>
  <c r="AE15" i="48"/>
  <c r="AB15" i="48"/>
  <c r="AA15" i="48"/>
  <c r="AF15" i="48" s="1"/>
  <c r="Z15" i="48"/>
  <c r="AC15" i="48" s="1"/>
  <c r="W15" i="48"/>
  <c r="T15" i="48"/>
  <c r="S15" i="48"/>
  <c r="X15" i="48" s="1"/>
  <c r="R15" i="48"/>
  <c r="U15" i="48" s="1"/>
  <c r="O15" i="48"/>
  <c r="L15" i="48"/>
  <c r="K15" i="48"/>
  <c r="P15" i="48" s="1"/>
  <c r="J15" i="48"/>
  <c r="G15" i="48"/>
  <c r="F15" i="48"/>
  <c r="E15" i="48"/>
  <c r="H15" i="48" s="1"/>
  <c r="AM14" i="48"/>
  <c r="AJ14" i="48"/>
  <c r="AI14" i="48"/>
  <c r="AN14" i="48" s="1"/>
  <c r="AH14" i="48"/>
  <c r="AK14" i="48" s="1"/>
  <c r="AE14" i="48"/>
  <c r="AB14" i="48"/>
  <c r="AA14" i="48"/>
  <c r="AF14" i="48" s="1"/>
  <c r="Z14" i="48"/>
  <c r="AC14" i="48" s="1"/>
  <c r="W14" i="48"/>
  <c r="T14" i="48"/>
  <c r="S14" i="48"/>
  <c r="X14" i="48" s="1"/>
  <c r="R14" i="48"/>
  <c r="U14" i="48" s="1"/>
  <c r="O14" i="48"/>
  <c r="L14" i="48"/>
  <c r="K14" i="48"/>
  <c r="P14" i="48" s="1"/>
  <c r="J14" i="48"/>
  <c r="M14" i="48" s="1"/>
  <c r="G14" i="48"/>
  <c r="F14" i="48"/>
  <c r="E14" i="48"/>
  <c r="H14" i="48" s="1"/>
  <c r="AM13" i="48"/>
  <c r="AJ13" i="48"/>
  <c r="AI13" i="48"/>
  <c r="AN13" i="48" s="1"/>
  <c r="AH13" i="48"/>
  <c r="AK13" i="48" s="1"/>
  <c r="AE13" i="48"/>
  <c r="AB13" i="48"/>
  <c r="AA13" i="48"/>
  <c r="AF13" i="48" s="1"/>
  <c r="Z13" i="48"/>
  <c r="AC13" i="48" s="1"/>
  <c r="W13" i="48"/>
  <c r="T13" i="48"/>
  <c r="S13" i="48"/>
  <c r="X13" i="48" s="1"/>
  <c r="R13" i="48"/>
  <c r="U13" i="48" s="1"/>
  <c r="O13" i="48"/>
  <c r="L13" i="48"/>
  <c r="K13" i="48"/>
  <c r="P13" i="48" s="1"/>
  <c r="J13" i="48"/>
  <c r="M13" i="48" s="1"/>
  <c r="G13" i="48"/>
  <c r="F13" i="48"/>
  <c r="E13" i="48"/>
  <c r="H13" i="48" s="1"/>
  <c r="AM12" i="48"/>
  <c r="AJ12" i="48"/>
  <c r="AI12" i="48"/>
  <c r="AH12" i="48"/>
  <c r="AK12" i="48" s="1"/>
  <c r="AE12" i="48"/>
  <c r="AB12" i="48"/>
  <c r="AA12" i="48"/>
  <c r="Z12" i="48"/>
  <c r="W12" i="48"/>
  <c r="T12" i="48"/>
  <c r="S12" i="48"/>
  <c r="R12" i="48"/>
  <c r="U12" i="48" s="1"/>
  <c r="O12" i="48"/>
  <c r="L12" i="48"/>
  <c r="K12" i="48"/>
  <c r="P12" i="48" s="1"/>
  <c r="J12" i="48"/>
  <c r="M12" i="48" s="1"/>
  <c r="G12" i="48"/>
  <c r="F12" i="48"/>
  <c r="E12" i="48"/>
  <c r="H12" i="48" s="1"/>
  <c r="AM11" i="48"/>
  <c r="AJ11" i="48"/>
  <c r="AI11" i="48"/>
  <c r="AN11" i="48" s="1"/>
  <c r="AH11" i="48"/>
  <c r="AK11" i="48" s="1"/>
  <c r="AE11" i="48"/>
  <c r="AB11" i="48"/>
  <c r="AA11" i="48"/>
  <c r="AF11" i="48" s="1"/>
  <c r="Z11" i="48"/>
  <c r="AC11" i="48" s="1"/>
  <c r="W11" i="48"/>
  <c r="T11" i="48"/>
  <c r="S11" i="48"/>
  <c r="X11" i="48" s="1"/>
  <c r="R11" i="48"/>
  <c r="U11" i="48" s="1"/>
  <c r="O11" i="48"/>
  <c r="L11" i="48"/>
  <c r="K11" i="48"/>
  <c r="P11" i="48" s="1"/>
  <c r="J11" i="48"/>
  <c r="M11" i="48" s="1"/>
  <c r="G11" i="48"/>
  <c r="F11" i="48"/>
  <c r="E11" i="48"/>
  <c r="H11" i="48" s="1"/>
  <c r="AM10" i="48"/>
  <c r="AJ10" i="48"/>
  <c r="AI10" i="48"/>
  <c r="AN10" i="48" s="1"/>
  <c r="AH10" i="48"/>
  <c r="AK10" i="48" s="1"/>
  <c r="AE10" i="48"/>
  <c r="AB10" i="48"/>
  <c r="AA10" i="48"/>
  <c r="AF10" i="48" s="1"/>
  <c r="Z10" i="48"/>
  <c r="AC10" i="48" s="1"/>
  <c r="W10" i="48"/>
  <c r="T10" i="48"/>
  <c r="S10" i="48"/>
  <c r="X10" i="48" s="1"/>
  <c r="R10" i="48"/>
  <c r="U10" i="48" s="1"/>
  <c r="V10" i="48" s="1"/>
  <c r="O10" i="48"/>
  <c r="L10" i="48"/>
  <c r="K10" i="48"/>
  <c r="P10" i="48" s="1"/>
  <c r="J10" i="48"/>
  <c r="M10" i="48" s="1"/>
  <c r="G10" i="48"/>
  <c r="F10" i="48"/>
  <c r="E10" i="48"/>
  <c r="H10" i="48" s="1"/>
  <c r="AM9" i="48"/>
  <c r="AJ9" i="48"/>
  <c r="AI9" i="48"/>
  <c r="AN9" i="48" s="1"/>
  <c r="AH9" i="48"/>
  <c r="AK9" i="48" s="1"/>
  <c r="AE9" i="48"/>
  <c r="AB9" i="48"/>
  <c r="AA9" i="48"/>
  <c r="AF9" i="48" s="1"/>
  <c r="Z9" i="48"/>
  <c r="AC9" i="48" s="1"/>
  <c r="W9" i="48"/>
  <c r="T9" i="48"/>
  <c r="S9" i="48"/>
  <c r="X9" i="48" s="1"/>
  <c r="R9" i="48"/>
  <c r="U9" i="48" s="1"/>
  <c r="O9" i="48"/>
  <c r="L9" i="48"/>
  <c r="K9" i="48"/>
  <c r="J9" i="48"/>
  <c r="M9" i="48" s="1"/>
  <c r="N9" i="48" s="1"/>
  <c r="G9" i="48"/>
  <c r="F9" i="48"/>
  <c r="E9" i="48"/>
  <c r="H9" i="48" s="1"/>
  <c r="AM8" i="48"/>
  <c r="AJ8" i="48"/>
  <c r="AI8" i="48"/>
  <c r="AN8" i="48" s="1"/>
  <c r="AH8" i="48"/>
  <c r="AE8" i="48"/>
  <c r="AB8" i="48"/>
  <c r="AA8" i="48"/>
  <c r="AF8" i="48" s="1"/>
  <c r="Z8" i="48"/>
  <c r="AC8" i="48" s="1"/>
  <c r="W8" i="48"/>
  <c r="T8" i="48"/>
  <c r="S8" i="48"/>
  <c r="R8" i="48"/>
  <c r="U8" i="48" s="1"/>
  <c r="O8" i="48"/>
  <c r="L8" i="48"/>
  <c r="K8" i="48"/>
  <c r="P8" i="48" s="1"/>
  <c r="J8" i="48"/>
  <c r="M8" i="48" s="1"/>
  <c r="G8" i="48"/>
  <c r="F8" i="48"/>
  <c r="E8" i="48"/>
  <c r="H8" i="48" s="1"/>
  <c r="AM7" i="48"/>
  <c r="AJ7" i="48"/>
  <c r="AI7" i="48"/>
  <c r="AN7" i="48" s="1"/>
  <c r="AH7" i="48"/>
  <c r="AK7" i="48" s="1"/>
  <c r="AE7" i="48"/>
  <c r="AB7" i="48"/>
  <c r="AA7" i="48"/>
  <c r="AF7" i="48" s="1"/>
  <c r="Z7" i="48"/>
  <c r="W7" i="48"/>
  <c r="T7" i="48"/>
  <c r="S7" i="48"/>
  <c r="X7" i="48" s="1"/>
  <c r="R7" i="48"/>
  <c r="O7" i="48"/>
  <c r="L7" i="48"/>
  <c r="K7" i="48"/>
  <c r="P7" i="48" s="1"/>
  <c r="J7" i="48"/>
  <c r="M7" i="48" s="1"/>
  <c r="G7" i="48"/>
  <c r="F7" i="48"/>
  <c r="E7" i="48"/>
  <c r="H7" i="48" s="1"/>
  <c r="AU3" i="48"/>
  <c r="AH3" i="48"/>
  <c r="B3" i="48"/>
  <c r="AF70" i="48"/>
  <c r="X68" i="48"/>
  <c r="H68" i="48"/>
  <c r="M67" i="48"/>
  <c r="AF65" i="48"/>
  <c r="AK64" i="48"/>
  <c r="P64" i="48"/>
  <c r="H61" i="48"/>
  <c r="X60" i="48"/>
  <c r="M59" i="48"/>
  <c r="AN52" i="48"/>
  <c r="AF52" i="48"/>
  <c r="U52" i="48"/>
  <c r="AC51" i="48"/>
  <c r="P48" i="48"/>
  <c r="H48" i="48"/>
  <c r="AC47" i="48"/>
  <c r="AN45" i="48"/>
  <c r="P44" i="48"/>
  <c r="M44" i="48"/>
  <c r="H44" i="48"/>
  <c r="U43" i="48"/>
  <c r="H41" i="48"/>
  <c r="AN40" i="48"/>
  <c r="AF40" i="48"/>
  <c r="AC40" i="48"/>
  <c r="P40" i="48"/>
  <c r="U39" i="48"/>
  <c r="AF36" i="48"/>
  <c r="X36" i="48"/>
  <c r="H36" i="48"/>
  <c r="M35" i="48"/>
  <c r="AN30" i="48"/>
  <c r="U30" i="48"/>
  <c r="AN29" i="48"/>
  <c r="AK27" i="48"/>
  <c r="P25" i="48"/>
  <c r="AK24" i="48"/>
  <c r="X24" i="48"/>
  <c r="P24" i="48"/>
  <c r="AC23" i="48"/>
  <c r="X21" i="48"/>
  <c r="P20" i="48"/>
  <c r="H18" i="48"/>
  <c r="U16" i="48"/>
  <c r="M15" i="48"/>
  <c r="AN12" i="48"/>
  <c r="AF12" i="48"/>
  <c r="AC12" i="48"/>
  <c r="X12" i="48"/>
  <c r="P9" i="48"/>
  <c r="AK8" i="48"/>
  <c r="X8" i="48"/>
  <c r="AC7" i="48"/>
  <c r="U7" i="48"/>
  <c r="AP37" i="48" l="1"/>
  <c r="AP45" i="48"/>
  <c r="V46" i="48"/>
  <c r="I22" i="48"/>
  <c r="AD29" i="48"/>
  <c r="V17" i="48"/>
  <c r="AO26" i="48"/>
  <c r="Q64" i="48"/>
  <c r="AL26" i="48"/>
  <c r="N66" i="48"/>
  <c r="V37" i="48"/>
  <c r="Y38" i="48"/>
  <c r="AO42" i="48"/>
  <c r="AD45" i="48"/>
  <c r="AL45" i="48"/>
  <c r="AO14" i="48"/>
  <c r="N35" i="48"/>
  <c r="N63" i="48"/>
  <c r="N67" i="48"/>
  <c r="AS10" i="48"/>
  <c r="AP25" i="48"/>
  <c r="AS36" i="48"/>
  <c r="AG42" i="48"/>
  <c r="V8" i="48"/>
  <c r="Y10" i="48"/>
  <c r="AD25" i="48"/>
  <c r="AP28" i="48"/>
  <c r="Q27" i="48"/>
  <c r="AG69" i="48"/>
  <c r="AG46" i="48"/>
  <c r="I50" i="48"/>
  <c r="AO28" i="48"/>
  <c r="N8" i="48"/>
  <c r="AL12" i="48"/>
  <c r="Q13" i="48"/>
  <c r="Y17" i="48"/>
  <c r="I21" i="48"/>
  <c r="Y25" i="48"/>
  <c r="V28" i="48"/>
  <c r="Y29" i="48"/>
  <c r="AO21" i="48"/>
  <c r="AD51" i="48"/>
  <c r="AG36" i="48"/>
  <c r="AG40" i="48"/>
  <c r="V11" i="48"/>
  <c r="AO12" i="48"/>
  <c r="AO20" i="48"/>
  <c r="AD27" i="48"/>
  <c r="AO17" i="48"/>
  <c r="AL27" i="48"/>
  <c r="N15" i="48"/>
  <c r="AL23" i="48"/>
  <c r="I28" i="48"/>
  <c r="V30" i="48"/>
  <c r="AG51" i="48"/>
  <c r="AS68" i="48"/>
  <c r="AG47" i="48"/>
  <c r="V70" i="48"/>
  <c r="AD38" i="48"/>
  <c r="AO47" i="48"/>
  <c r="AL64" i="48"/>
  <c r="AG57" i="48"/>
  <c r="Q65" i="48"/>
  <c r="V68" i="48"/>
  <c r="Y45" i="48"/>
  <c r="I45" i="48"/>
  <c r="I38" i="48"/>
  <c r="N36" i="48"/>
  <c r="AG41" i="48"/>
  <c r="AO45" i="48"/>
  <c r="AL7" i="48"/>
  <c r="N11" i="48"/>
  <c r="AD11" i="48"/>
  <c r="V19" i="48"/>
  <c r="Y20" i="48"/>
  <c r="V23" i="48"/>
  <c r="AD10" i="48"/>
  <c r="AL70" i="48"/>
  <c r="AD9" i="48"/>
  <c r="N13" i="48"/>
  <c r="I52" i="48"/>
  <c r="V62" i="48"/>
  <c r="I23" i="48"/>
  <c r="I25" i="48"/>
  <c r="AP67" i="48"/>
  <c r="AS49" i="48"/>
  <c r="AO38" i="48"/>
  <c r="AG9" i="48"/>
  <c r="AO13" i="48"/>
  <c r="AP22" i="48"/>
  <c r="Q8" i="48"/>
  <c r="AG24" i="48"/>
  <c r="Y28" i="48"/>
  <c r="AP12" i="48"/>
  <c r="AP20" i="48"/>
  <c r="AO23" i="48"/>
  <c r="Y14" i="48"/>
  <c r="AG14" i="48"/>
  <c r="N39" i="48"/>
  <c r="AO49" i="48"/>
  <c r="AG50" i="48"/>
  <c r="Y35" i="48"/>
  <c r="Y44" i="48"/>
  <c r="Y9" i="48"/>
  <c r="AP30" i="48"/>
  <c r="AL57" i="48"/>
  <c r="AS64" i="48"/>
  <c r="Q66" i="48"/>
  <c r="AL28" i="48"/>
  <c r="AD46" i="48"/>
  <c r="AO7" i="48"/>
  <c r="AD13" i="48"/>
  <c r="AO16" i="48"/>
  <c r="AL21" i="48"/>
  <c r="AD22" i="48"/>
  <c r="Q41" i="48"/>
  <c r="Y49" i="48"/>
  <c r="AO70" i="48"/>
  <c r="AD12" i="48"/>
  <c r="AD57" i="48"/>
  <c r="Q26" i="48"/>
  <c r="AD69" i="48"/>
  <c r="AD40" i="48"/>
  <c r="AS26" i="48"/>
  <c r="AL22" i="48"/>
  <c r="Y50" i="48"/>
  <c r="Y58" i="48"/>
  <c r="I66" i="48"/>
  <c r="AD14" i="48"/>
  <c r="AG16" i="48"/>
  <c r="V22" i="48"/>
  <c r="AL11" i="48"/>
  <c r="AS18" i="48"/>
  <c r="AL20" i="48"/>
  <c r="AG21" i="48"/>
  <c r="AS30" i="48"/>
  <c r="AL37" i="48"/>
  <c r="Y48" i="48"/>
  <c r="Q57" i="48"/>
  <c r="N10" i="48"/>
  <c r="AO11" i="48"/>
  <c r="AP14" i="48"/>
  <c r="I20" i="48"/>
  <c r="AD26" i="48"/>
  <c r="I37" i="48"/>
  <c r="AO37" i="48"/>
  <c r="AP40" i="48"/>
  <c r="AP52" i="48"/>
  <c r="AG60" i="48"/>
  <c r="AS66" i="48"/>
  <c r="AO25" i="48"/>
  <c r="I47" i="48"/>
  <c r="AG48" i="48"/>
  <c r="I65" i="48"/>
  <c r="Y24" i="48"/>
  <c r="AS15" i="48"/>
  <c r="AD67" i="48"/>
  <c r="AP69" i="48"/>
  <c r="Y15" i="48"/>
  <c r="Q7" i="48"/>
  <c r="AO8" i="48"/>
  <c r="AG23" i="48"/>
  <c r="Y41" i="48"/>
  <c r="AL52" i="48"/>
  <c r="V69" i="48"/>
  <c r="AS25" i="48"/>
  <c r="I12" i="48"/>
  <c r="I11" i="48"/>
  <c r="AP23" i="48"/>
  <c r="AO30" i="48"/>
  <c r="I44" i="48"/>
  <c r="Y51" i="48"/>
  <c r="Q12" i="48"/>
  <c r="AG28" i="48"/>
  <c r="AG45" i="48"/>
  <c r="V59" i="48"/>
  <c r="AG68" i="48"/>
  <c r="V39" i="48"/>
  <c r="AD41" i="48"/>
  <c r="I67" i="48"/>
  <c r="AG10" i="48"/>
  <c r="AD24" i="48"/>
  <c r="Q49" i="48"/>
  <c r="AS17" i="48"/>
  <c r="AG19" i="48"/>
  <c r="AS16" i="48"/>
  <c r="AP48" i="48"/>
  <c r="AO68" i="48"/>
  <c r="AL24" i="48"/>
  <c r="I27" i="48"/>
  <c r="AL44" i="48"/>
  <c r="AD62" i="48"/>
  <c r="AO10" i="48"/>
  <c r="V12" i="48"/>
  <c r="I63" i="48"/>
  <c r="AD70" i="48"/>
  <c r="AO15" i="48"/>
  <c r="AP36" i="48"/>
  <c r="N40" i="48"/>
  <c r="Y22" i="48"/>
  <c r="AO69" i="48"/>
  <c r="AG25" i="48"/>
  <c r="AS41" i="48"/>
  <c r="AL8" i="48"/>
  <c r="AD15" i="48"/>
  <c r="Q18" i="48"/>
  <c r="Y36" i="48"/>
  <c r="AG18" i="48"/>
  <c r="AG44" i="48"/>
  <c r="AG67" i="48"/>
  <c r="Y30" i="48"/>
  <c r="I26" i="48"/>
  <c r="AD36" i="48"/>
  <c r="AS63" i="48"/>
  <c r="V64" i="48"/>
  <c r="AP66" i="48"/>
  <c r="I68" i="48"/>
  <c r="AP68" i="48"/>
  <c r="AP70" i="48"/>
  <c r="V36" i="48"/>
  <c r="AL46" i="48"/>
  <c r="AG49" i="48"/>
  <c r="I51" i="48"/>
  <c r="AL51" i="48"/>
  <c r="AD37" i="48"/>
  <c r="AG39" i="48"/>
  <c r="I41" i="48"/>
  <c r="AP41" i="48"/>
  <c r="N48" i="48"/>
  <c r="AG8" i="48"/>
  <c r="AQ22" i="48"/>
  <c r="Q24" i="48"/>
  <c r="V26" i="48"/>
  <c r="AQ27" i="48"/>
  <c r="Y16" i="48"/>
  <c r="AL41" i="48"/>
  <c r="AT51" i="48"/>
  <c r="AD8" i="48"/>
  <c r="Y11" i="48"/>
  <c r="AP13" i="48"/>
  <c r="AS14" i="48"/>
  <c r="V16" i="48"/>
  <c r="AS19" i="48"/>
  <c r="AP21" i="48"/>
  <c r="AO22" i="48"/>
  <c r="AS27" i="48"/>
  <c r="N29" i="48"/>
  <c r="Y37" i="48"/>
  <c r="AD39" i="48"/>
  <c r="AP42" i="48"/>
  <c r="Q45" i="48"/>
  <c r="AP47" i="48"/>
  <c r="AO48" i="48"/>
  <c r="AS59" i="48"/>
  <c r="AS61" i="48"/>
  <c r="AS65" i="48"/>
  <c r="Q67" i="48"/>
  <c r="AS69" i="48"/>
  <c r="I10" i="48"/>
  <c r="AS7" i="48"/>
  <c r="I8" i="48"/>
  <c r="V9" i="48"/>
  <c r="I13" i="48"/>
  <c r="V24" i="48"/>
  <c r="AL25" i="48"/>
  <c r="AD28" i="48"/>
  <c r="V29" i="48"/>
  <c r="AG37" i="48"/>
  <c r="AP38" i="48"/>
  <c r="I46" i="48"/>
  <c r="V50" i="48"/>
  <c r="AS62" i="48"/>
  <c r="AG66" i="48"/>
  <c r="AS70" i="48"/>
  <c r="AL68" i="48"/>
  <c r="N70" i="48"/>
  <c r="V14" i="48"/>
  <c r="N22" i="48"/>
  <c r="I30" i="48"/>
  <c r="AL30" i="48"/>
  <c r="V40" i="48"/>
  <c r="AQ41" i="48"/>
  <c r="V45" i="48"/>
  <c r="I49" i="48"/>
  <c r="AL49" i="48"/>
  <c r="AL58" i="48"/>
  <c r="AL66" i="48"/>
  <c r="V67" i="48"/>
  <c r="N68" i="48"/>
  <c r="Y7" i="48"/>
  <c r="AL13" i="48"/>
  <c r="AO18" i="48"/>
  <c r="AG26" i="48"/>
  <c r="AC53" i="48"/>
  <c r="AC74" i="48" s="1"/>
  <c r="V38" i="48"/>
  <c r="AO44" i="48"/>
  <c r="AD47" i="48"/>
  <c r="AS57" i="48"/>
  <c r="AG64" i="48"/>
  <c r="Y21" i="48"/>
  <c r="I36" i="48"/>
  <c r="Q15" i="48"/>
  <c r="Q36" i="48"/>
  <c r="Q60" i="48"/>
  <c r="AG13" i="48"/>
  <c r="AD23" i="48"/>
  <c r="AT25" i="48"/>
  <c r="AD44" i="48"/>
  <c r="Q25" i="48"/>
  <c r="V27" i="48"/>
  <c r="AS46" i="48"/>
  <c r="AS51" i="48"/>
  <c r="AD59" i="48"/>
  <c r="V65" i="48"/>
  <c r="I69" i="48"/>
  <c r="AL69" i="48"/>
  <c r="AL10" i="48"/>
  <c r="AT65" i="48"/>
  <c r="AQ14" i="48"/>
  <c r="N23" i="48"/>
  <c r="AT28" i="48"/>
  <c r="AG29" i="48"/>
  <c r="AQ37" i="48"/>
  <c r="AL40" i="48"/>
  <c r="V41" i="48"/>
  <c r="AP49" i="48"/>
  <c r="AL67" i="48"/>
  <c r="AQ28" i="48"/>
  <c r="I9" i="48"/>
  <c r="AO19" i="48"/>
  <c r="I24" i="48"/>
  <c r="AG27" i="48"/>
  <c r="I29" i="48"/>
  <c r="N47" i="48"/>
  <c r="AL50" i="48"/>
  <c r="V51" i="48"/>
  <c r="Q58" i="48"/>
  <c r="AG70" i="48"/>
  <c r="N28" i="48"/>
  <c r="AL60" i="48"/>
  <c r="AG12" i="48"/>
  <c r="AG17" i="48"/>
  <c r="V18" i="48"/>
  <c r="AO24" i="48"/>
  <c r="AO35" i="48"/>
  <c r="I40" i="48"/>
  <c r="Y46" i="48"/>
  <c r="N61" i="48"/>
  <c r="AD68" i="48"/>
  <c r="I70" i="48"/>
  <c r="V52" i="48"/>
  <c r="AG22" i="48"/>
  <c r="AL29" i="48"/>
  <c r="Q37" i="48"/>
  <c r="AO40" i="48"/>
  <c r="Q61" i="48"/>
  <c r="AG65" i="48"/>
  <c r="Q69" i="48"/>
  <c r="AP7" i="48"/>
  <c r="AO29" i="48"/>
  <c r="AS47" i="48"/>
  <c r="AO50" i="48"/>
  <c r="N52" i="48"/>
  <c r="AD60" i="48"/>
  <c r="N64" i="48"/>
  <c r="AL36" i="48"/>
  <c r="AT37" i="48"/>
  <c r="Y39" i="48"/>
  <c r="V44" i="48"/>
  <c r="AQ45" i="48"/>
  <c r="AR45" i="48" s="1"/>
  <c r="N45" i="48"/>
  <c r="V13" i="48"/>
  <c r="AT23" i="48"/>
  <c r="Y23" i="48"/>
  <c r="AQ29" i="48"/>
  <c r="AQ12" i="48"/>
  <c r="AQ17" i="48"/>
  <c r="AT26" i="48"/>
  <c r="Y26" i="48"/>
  <c r="AT36" i="48"/>
  <c r="AO36" i="48"/>
  <c r="AO41" i="48"/>
  <c r="AT41" i="48"/>
  <c r="AT70" i="48"/>
  <c r="Q70" i="48"/>
  <c r="AT39" i="48"/>
  <c r="AO39" i="48"/>
  <c r="AT10" i="48"/>
  <c r="AU10" i="48" s="1"/>
  <c r="AT68" i="48"/>
  <c r="Q68" i="48"/>
  <c r="AT24" i="48"/>
  <c r="AT27" i="48"/>
  <c r="Y27" i="48"/>
  <c r="AQ18" i="48"/>
  <c r="AT11" i="48"/>
  <c r="AT13" i="48"/>
  <c r="AT8" i="48"/>
  <c r="AL9" i="48"/>
  <c r="AG30" i="48"/>
  <c r="AS37" i="48"/>
  <c r="AS58" i="48"/>
  <c r="N24" i="48"/>
  <c r="AO51" i="48"/>
  <c r="AF53" i="48"/>
  <c r="AF74" i="48" s="1"/>
  <c r="AT46" i="48"/>
  <c r="AQ20" i="48"/>
  <c r="AT38" i="48"/>
  <c r="Q59" i="48"/>
  <c r="AQ19" i="48"/>
  <c r="AT29" i="48"/>
  <c r="AQ51" i="48"/>
  <c r="AO65" i="48"/>
  <c r="V21" i="48"/>
  <c r="AT20" i="48"/>
  <c r="AN53" i="48"/>
  <c r="AN74" i="48" s="1"/>
  <c r="V20" i="48"/>
  <c r="AP64" i="48"/>
  <c r="Q19" i="48"/>
  <c r="Q40" i="48"/>
  <c r="V47" i="48"/>
  <c r="AT52" i="48"/>
  <c r="AT69" i="48"/>
  <c r="AQ26" i="48"/>
  <c r="AT40" i="48"/>
  <c r="AU40" i="48" s="1"/>
  <c r="AT17" i="48"/>
  <c r="AO27" i="48"/>
  <c r="AQ30" i="48"/>
  <c r="AR30" i="48" s="1"/>
  <c r="AQ13" i="48"/>
  <c r="AQ40" i="48"/>
  <c r="AT9" i="48"/>
  <c r="AS11" i="48"/>
  <c r="AT14" i="48"/>
  <c r="AQ36" i="48"/>
  <c r="AQ47" i="48"/>
  <c r="AQ65" i="48"/>
  <c r="AS67" i="48"/>
  <c r="AT15" i="48"/>
  <c r="AT45" i="48"/>
  <c r="AQ66" i="48"/>
  <c r="AT16" i="48"/>
  <c r="AQ11" i="48"/>
  <c r="AT12" i="48"/>
  <c r="AQ52" i="48"/>
  <c r="AT22" i="48"/>
  <c r="AQ44" i="48"/>
  <c r="AT44" i="48"/>
  <c r="AD52" i="48"/>
  <c r="AQ62" i="48"/>
  <c r="AQ16" i="48"/>
  <c r="AQ15" i="48"/>
  <c r="AP10" i="48"/>
  <c r="Y18" i="48"/>
  <c r="AF31" i="48"/>
  <c r="AG7" i="48"/>
  <c r="N12" i="48"/>
  <c r="Q14" i="48"/>
  <c r="AG15" i="48"/>
  <c r="AD16" i="48"/>
  <c r="AD17" i="48"/>
  <c r="I19" i="48"/>
  <c r="AT7" i="48"/>
  <c r="P31" i="48"/>
  <c r="AK31" i="48"/>
  <c r="AP9" i="48"/>
  <c r="AP15" i="48"/>
  <c r="I18" i="48"/>
  <c r="AD18" i="48"/>
  <c r="AD20" i="48"/>
  <c r="Q29" i="48"/>
  <c r="N43" i="48"/>
  <c r="AP43" i="48"/>
  <c r="Y8" i="48"/>
  <c r="AQ9" i="48"/>
  <c r="AG20" i="48"/>
  <c r="AD21" i="48"/>
  <c r="Q28" i="48"/>
  <c r="X53" i="48"/>
  <c r="X74" i="48" s="1"/>
  <c r="AP39" i="48"/>
  <c r="AL39" i="48"/>
  <c r="M71" i="48"/>
  <c r="AQ57" i="48"/>
  <c r="AL15" i="48"/>
  <c r="AQ25" i="48"/>
  <c r="AR25" i="48" s="1"/>
  <c r="N25" i="48"/>
  <c r="I35" i="48"/>
  <c r="H53" i="48"/>
  <c r="H74" i="48" s="1"/>
  <c r="AQ42" i="48"/>
  <c r="N19" i="48"/>
  <c r="AQ21" i="48"/>
  <c r="AQ38" i="48"/>
  <c r="N38" i="48"/>
  <c r="AS9" i="48"/>
  <c r="H31" i="48"/>
  <c r="AP11" i="48"/>
  <c r="AL16" i="48"/>
  <c r="U31" i="48"/>
  <c r="N16" i="48"/>
  <c r="AP26" i="48"/>
  <c r="N26" i="48"/>
  <c r="V7" i="48"/>
  <c r="AN31" i="48"/>
  <c r="Q9" i="48"/>
  <c r="AQ10" i="48"/>
  <c r="AG11" i="48"/>
  <c r="AL17" i="48"/>
  <c r="N18" i="48"/>
  <c r="AL19" i="48"/>
  <c r="N20" i="48"/>
  <c r="AS24" i="48"/>
  <c r="AD35" i="48"/>
  <c r="AQ46" i="48"/>
  <c r="AR46" i="48" s="1"/>
  <c r="N46" i="48"/>
  <c r="AP8" i="48"/>
  <c r="I14" i="48"/>
  <c r="V15" i="48"/>
  <c r="AL18" i="48"/>
  <c r="AT19" i="48"/>
  <c r="AS20" i="48"/>
  <c r="Q20" i="48"/>
  <c r="N21" i="48"/>
  <c r="AD30" i="48"/>
  <c r="AG35" i="48"/>
  <c r="Q47" i="48"/>
  <c r="AT47" i="48"/>
  <c r="Q52" i="48"/>
  <c r="AS52" i="48"/>
  <c r="AN71" i="48"/>
  <c r="N17" i="48"/>
  <c r="I7" i="48"/>
  <c r="X31" i="48"/>
  <c r="AQ8" i="48"/>
  <c r="Q11" i="48"/>
  <c r="Y12" i="48"/>
  <c r="AS12" i="48"/>
  <c r="Q16" i="48"/>
  <c r="Q17" i="48"/>
  <c r="AT18" i="48"/>
  <c r="AU18" i="48" s="1"/>
  <c r="AS21" i="48"/>
  <c r="Q21" i="48"/>
  <c r="AK53" i="48"/>
  <c r="AK74" i="48" s="1"/>
  <c r="AL35" i="48"/>
  <c r="Y40" i="48"/>
  <c r="X71" i="48"/>
  <c r="AP17" i="48"/>
  <c r="AQ23" i="48"/>
  <c r="AP16" i="48"/>
  <c r="AP19" i="48"/>
  <c r="AT21" i="48"/>
  <c r="AS48" i="48"/>
  <c r="AT50" i="48"/>
  <c r="Q50" i="48"/>
  <c r="AQ60" i="48"/>
  <c r="AS8" i="48"/>
  <c r="AP18" i="48"/>
  <c r="Q22" i="48"/>
  <c r="AS22" i="48"/>
  <c r="AP27" i="48"/>
  <c r="N27" i="48"/>
  <c r="AQ35" i="48"/>
  <c r="AR35" i="48" s="1"/>
  <c r="M53" i="48"/>
  <c r="M74" i="48" s="1"/>
  <c r="AO9" i="48"/>
  <c r="I15" i="48"/>
  <c r="P53" i="48"/>
  <c r="P74" i="48" s="1"/>
  <c r="AT35" i="48"/>
  <c r="AD7" i="48"/>
  <c r="AC31" i="48"/>
  <c r="Y19" i="48"/>
  <c r="Q23" i="48"/>
  <c r="AS23" i="48"/>
  <c r="Q30" i="48"/>
  <c r="AT30" i="48"/>
  <c r="AS35" i="48"/>
  <c r="Q35" i="48"/>
  <c r="N30" i="48"/>
  <c r="U53" i="48"/>
  <c r="U74" i="48" s="1"/>
  <c r="V35" i="48"/>
  <c r="I39" i="48"/>
  <c r="Q10" i="48"/>
  <c r="Y13" i="48"/>
  <c r="AS13" i="48"/>
  <c r="N14" i="48"/>
  <c r="AL14" i="48"/>
  <c r="H71" i="48"/>
  <c r="N7" i="48"/>
  <c r="AQ7" i="48"/>
  <c r="M31" i="48"/>
  <c r="I16" i="48"/>
  <c r="I17" i="48"/>
  <c r="AD19" i="48"/>
  <c r="AQ24" i="48"/>
  <c r="N37" i="48"/>
  <c r="AP24" i="48"/>
  <c r="AP29" i="48"/>
  <c r="AT42" i="48"/>
  <c r="AL47" i="48"/>
  <c r="AS50" i="48"/>
  <c r="I57" i="48"/>
  <c r="AO59" i="48"/>
  <c r="AG61" i="48"/>
  <c r="Y63" i="48"/>
  <c r="AL65" i="48"/>
  <c r="AQ67" i="48"/>
  <c r="AQ68" i="48"/>
  <c r="AQ69" i="48"/>
  <c r="AQ70" i="48"/>
  <c r="AQ43" i="48"/>
  <c r="AP59" i="48"/>
  <c r="AT60" i="48"/>
  <c r="AU60" i="48" s="1"/>
  <c r="AS28" i="48"/>
  <c r="AS29" i="48"/>
  <c r="AS38" i="48"/>
  <c r="N41" i="48"/>
  <c r="V42" i="48"/>
  <c r="Q43" i="48"/>
  <c r="AL43" i="48"/>
  <c r="AQ48" i="48"/>
  <c r="AC71" i="48"/>
  <c r="I58" i="48"/>
  <c r="AO60" i="48"/>
  <c r="AQ61" i="48"/>
  <c r="AG62" i="48"/>
  <c r="Y64" i="48"/>
  <c r="AT43" i="48"/>
  <c r="Y47" i="48"/>
  <c r="AD49" i="48"/>
  <c r="AO52" i="48"/>
  <c r="Y59" i="48"/>
  <c r="AL61" i="48"/>
  <c r="AD63" i="48"/>
  <c r="AP65" i="48"/>
  <c r="AT66" i="48"/>
  <c r="AU66" i="48" s="1"/>
  <c r="AO66" i="48"/>
  <c r="AT67" i="48"/>
  <c r="AO67" i="48"/>
  <c r="Q38" i="48"/>
  <c r="Y42" i="48"/>
  <c r="AS42" i="48"/>
  <c r="AO43" i="48"/>
  <c r="Q46" i="48"/>
  <c r="AT48" i="48"/>
  <c r="AF71" i="48"/>
  <c r="AD58" i="48"/>
  <c r="V60" i="48"/>
  <c r="AP60" i="48"/>
  <c r="AT61" i="48"/>
  <c r="N62" i="48"/>
  <c r="I64" i="48"/>
  <c r="AP44" i="48"/>
  <c r="Q48" i="48"/>
  <c r="AL48" i="48"/>
  <c r="AP51" i="48"/>
  <c r="N57" i="48"/>
  <c r="I59" i="48"/>
  <c r="AO61" i="48"/>
  <c r="AG63" i="48"/>
  <c r="Y65" i="48"/>
  <c r="I42" i="48"/>
  <c r="V43" i="48"/>
  <c r="N44" i="48"/>
  <c r="N49" i="48"/>
  <c r="N51" i="48"/>
  <c r="Y52" i="48"/>
  <c r="AG58" i="48"/>
  <c r="Y60" i="48"/>
  <c r="Q62" i="48"/>
  <c r="AL62" i="48"/>
  <c r="AD64" i="48"/>
  <c r="V66" i="48"/>
  <c r="AQ39" i="48"/>
  <c r="AS44" i="48"/>
  <c r="AQ49" i="48"/>
  <c r="AP61" i="48"/>
  <c r="AT62" i="48"/>
  <c r="AD42" i="48"/>
  <c r="Y43" i="48"/>
  <c r="AS43" i="48"/>
  <c r="Q44" i="48"/>
  <c r="V48" i="48"/>
  <c r="P71" i="48"/>
  <c r="AT57" i="48"/>
  <c r="AK71" i="48"/>
  <c r="N58" i="48"/>
  <c r="I60" i="48"/>
  <c r="AO62" i="48"/>
  <c r="AQ63" i="48"/>
  <c r="Y66" i="48"/>
  <c r="Y67" i="48"/>
  <c r="Y68" i="48"/>
  <c r="Y69" i="48"/>
  <c r="Y70" i="48"/>
  <c r="V25" i="48"/>
  <c r="AO46" i="48"/>
  <c r="AT49" i="48"/>
  <c r="Q51" i="48"/>
  <c r="AO57" i="48"/>
  <c r="AQ58" i="48"/>
  <c r="AG59" i="48"/>
  <c r="Y61" i="48"/>
  <c r="Q63" i="48"/>
  <c r="AL63" i="48"/>
  <c r="AD65" i="48"/>
  <c r="AP62" i="48"/>
  <c r="AT63" i="48"/>
  <c r="AS39" i="48"/>
  <c r="AS45" i="48"/>
  <c r="I48" i="48"/>
  <c r="AQ50" i="48"/>
  <c r="V57" i="48"/>
  <c r="AP57" i="48"/>
  <c r="AT58" i="48"/>
  <c r="N59" i="48"/>
  <c r="I61" i="48"/>
  <c r="AO63" i="48"/>
  <c r="AQ64" i="48"/>
  <c r="N42" i="48"/>
  <c r="AD43" i="48"/>
  <c r="U71" i="48"/>
  <c r="AO58" i="48"/>
  <c r="AQ59" i="48"/>
  <c r="Y62" i="48"/>
  <c r="AD66" i="48"/>
  <c r="Q39" i="48"/>
  <c r="V49" i="48"/>
  <c r="AP50" i="48"/>
  <c r="AG52" i="48"/>
  <c r="Y57" i="48"/>
  <c r="AL59" i="48"/>
  <c r="AD61" i="48"/>
  <c r="V63" i="48"/>
  <c r="AP63" i="48"/>
  <c r="AT64" i="48"/>
  <c r="N65" i="48"/>
  <c r="Q42" i="48"/>
  <c r="AL42" i="48"/>
  <c r="AG43" i="48"/>
  <c r="AD48" i="48"/>
  <c r="N50" i="48"/>
  <c r="V58" i="48"/>
  <c r="AP58" i="48"/>
  <c r="AT59" i="48"/>
  <c r="N60" i="48"/>
  <c r="I62" i="48"/>
  <c r="AO64" i="48"/>
  <c r="AR37" i="48" l="1"/>
  <c r="AU58" i="48"/>
  <c r="AU36" i="48"/>
  <c r="AU57" i="48"/>
  <c r="AR28" i="48"/>
  <c r="AR67" i="48"/>
  <c r="AU23" i="48"/>
  <c r="AR40" i="48"/>
  <c r="AU68" i="48"/>
  <c r="AU49" i="48"/>
  <c r="AR20" i="48"/>
  <c r="AR22" i="48"/>
  <c r="AR7" i="48"/>
  <c r="AR12" i="48"/>
  <c r="AR52" i="48"/>
  <c r="AU21" i="48"/>
  <c r="AR50" i="48"/>
  <c r="AU16" i="48"/>
  <c r="AU67" i="48"/>
  <c r="AU51" i="48"/>
  <c r="AC77" i="48"/>
  <c r="AU19" i="48"/>
  <c r="AU27" i="48"/>
  <c r="AR23" i="48"/>
  <c r="AU14" i="48"/>
  <c r="AR14" i="48"/>
  <c r="AU26" i="48"/>
  <c r="AR66" i="48"/>
  <c r="AU15" i="48"/>
  <c r="AR15" i="48"/>
  <c r="AU25" i="48"/>
  <c r="AR70" i="48"/>
  <c r="AU64" i="48"/>
  <c r="AR69" i="48"/>
  <c r="AR36" i="48"/>
  <c r="AR68" i="48"/>
  <c r="AU30" i="48"/>
  <c r="AU65" i="48"/>
  <c r="AR38" i="48"/>
  <c r="AR42" i="48"/>
  <c r="AR13" i="48"/>
  <c r="AR47" i="48"/>
  <c r="AU62" i="48"/>
  <c r="AR26" i="48"/>
  <c r="AU17" i="48"/>
  <c r="AU44" i="48"/>
  <c r="AU69" i="48"/>
  <c r="AU52" i="48"/>
  <c r="AU59" i="48"/>
  <c r="AU46" i="48"/>
  <c r="AU8" i="48"/>
  <c r="AR27" i="48"/>
  <c r="AR41" i="48"/>
  <c r="AU13" i="48"/>
  <c r="AU63" i="48"/>
  <c r="AU29" i="48"/>
  <c r="AU37" i="48"/>
  <c r="AR62" i="48"/>
  <c r="AR21" i="48"/>
  <c r="AN77" i="48"/>
  <c r="AU70" i="48"/>
  <c r="AU41" i="48"/>
  <c r="AR48" i="48"/>
  <c r="AU61" i="48"/>
  <c r="AR58" i="48"/>
  <c r="AU43" i="48"/>
  <c r="Y53" i="48"/>
  <c r="Y74" i="48" s="1"/>
  <c r="AF77" i="48"/>
  <c r="AU38" i="48"/>
  <c r="AU47" i="48"/>
  <c r="AG71" i="48"/>
  <c r="AU24" i="48"/>
  <c r="AR63" i="48"/>
  <c r="AR44" i="48"/>
  <c r="AD71" i="48"/>
  <c r="AU28" i="48"/>
  <c r="AR17" i="48"/>
  <c r="AL71" i="48"/>
  <c r="Q71" i="48"/>
  <c r="AR65" i="48"/>
  <c r="N53" i="48"/>
  <c r="N74" i="48" s="1"/>
  <c r="AS71" i="48"/>
  <c r="AD53" i="48"/>
  <c r="AD74" i="48" s="1"/>
  <c r="AR49" i="48"/>
  <c r="AO31" i="48"/>
  <c r="AR10" i="48"/>
  <c r="AR19" i="48"/>
  <c r="AR11" i="48"/>
  <c r="AL31" i="48"/>
  <c r="Y31" i="48"/>
  <c r="AU12" i="48"/>
  <c r="AU45" i="48"/>
  <c r="AR51" i="48"/>
  <c r="AR29" i="48"/>
  <c r="AU9" i="48"/>
  <c r="AU20" i="48"/>
  <c r="AO53" i="48"/>
  <c r="AO74" i="48" s="1"/>
  <c r="AO71" i="48"/>
  <c r="AR18" i="48"/>
  <c r="AU39" i="48"/>
  <c r="AU22" i="48"/>
  <c r="AR64" i="48"/>
  <c r="Q31" i="48"/>
  <c r="AR61" i="48"/>
  <c r="AU11" i="48"/>
  <c r="AG31" i="48"/>
  <c r="AT71" i="48"/>
  <c r="AC76" i="48"/>
  <c r="AC75" i="48"/>
  <c r="AR43" i="48"/>
  <c r="Y71" i="48"/>
  <c r="AD31" i="48"/>
  <c r="V53" i="48"/>
  <c r="V74" i="48" s="1"/>
  <c r="H75" i="48"/>
  <c r="H76" i="48"/>
  <c r="U77" i="48"/>
  <c r="AF76" i="48"/>
  <c r="AF75" i="48"/>
  <c r="M76" i="48"/>
  <c r="M75" i="48"/>
  <c r="AQ71" i="48"/>
  <c r="AP53" i="48"/>
  <c r="AP74" i="48" s="1"/>
  <c r="X75" i="48"/>
  <c r="X76" i="48"/>
  <c r="N31" i="48"/>
  <c r="AT53" i="48"/>
  <c r="AT74" i="48" s="1"/>
  <c r="AL53" i="48"/>
  <c r="AL74" i="48" s="1"/>
  <c r="I31" i="48"/>
  <c r="AR60" i="48"/>
  <c r="AQ31" i="48"/>
  <c r="P77" i="48"/>
  <c r="AK77" i="48"/>
  <c r="AR39" i="48"/>
  <c r="Q53" i="48"/>
  <c r="Q74" i="48" s="1"/>
  <c r="AR8" i="48"/>
  <c r="N71" i="48"/>
  <c r="AR59" i="48"/>
  <c r="I71" i="48"/>
  <c r="AN75" i="48"/>
  <c r="AN76" i="48"/>
  <c r="X77" i="48"/>
  <c r="AR9" i="48"/>
  <c r="AP31" i="48"/>
  <c r="AU50" i="48"/>
  <c r="AS53" i="48"/>
  <c r="AS74" i="48" s="1"/>
  <c r="AU35" i="48"/>
  <c r="V31" i="48"/>
  <c r="AK76" i="48"/>
  <c r="AK75" i="48"/>
  <c r="P76" i="48"/>
  <c r="P75" i="48"/>
  <c r="AU48" i="48"/>
  <c r="AT31" i="48"/>
  <c r="AU7" i="48"/>
  <c r="AS31" i="48"/>
  <c r="AP71" i="48"/>
  <c r="AR57" i="48"/>
  <c r="V71" i="48"/>
  <c r="AU42" i="48"/>
  <c r="AR24" i="48"/>
  <c r="M77" i="48"/>
  <c r="AG53" i="48"/>
  <c r="AG74" i="48" s="1"/>
  <c r="H77" i="48"/>
  <c r="AQ53" i="48"/>
  <c r="AQ74" i="48" s="1"/>
  <c r="AR16" i="48"/>
  <c r="U75" i="48"/>
  <c r="U76" i="48"/>
  <c r="I53" i="48"/>
  <c r="I74" i="48" s="1"/>
  <c r="AU71" i="48" l="1"/>
  <c r="AS77" i="48"/>
  <c r="AU31" i="48"/>
  <c r="AR31" i="48"/>
  <c r="AU53" i="48"/>
  <c r="AU74" i="48" s="1"/>
  <c r="AR53" i="48"/>
  <c r="AR74" i="48" s="1"/>
  <c r="AR71" i="48"/>
  <c r="AP75" i="48"/>
  <c r="AP76" i="48"/>
  <c r="AS75" i="48"/>
  <c r="AS76" i="48"/>
  <c r="AQ75" i="48"/>
  <c r="AQ76" i="48"/>
  <c r="AT75" i="48"/>
  <c r="AT76" i="48"/>
  <c r="AQ77" i="48"/>
  <c r="AT77" i="48"/>
  <c r="AP77" i="48"/>
  <c r="AR75" i="48" l="1"/>
  <c r="AU77" i="48"/>
  <c r="AR76" i="48"/>
  <c r="AU76" i="48"/>
  <c r="AR77" i="48"/>
  <c r="AU75" i="48"/>
  <c r="AA74" i="43" l="1"/>
  <c r="AA76" i="43"/>
  <c r="AA77" i="43"/>
  <c r="AA78" i="43"/>
  <c r="AA79" i="43"/>
  <c r="AA80" i="43"/>
  <c r="AA81" i="43"/>
  <c r="AA82" i="43"/>
  <c r="AA83" i="43"/>
  <c r="AA84" i="43"/>
  <c r="AA85" i="43"/>
  <c r="AA86" i="43"/>
  <c r="AA87" i="43"/>
  <c r="AA88" i="43"/>
  <c r="AA55" i="43"/>
  <c r="AA56" i="43"/>
  <c r="AA57" i="43"/>
  <c r="AA58" i="43"/>
  <c r="AA59" i="43"/>
  <c r="AA60" i="43"/>
  <c r="AA61" i="43"/>
  <c r="AA62" i="43"/>
  <c r="AA63" i="43"/>
  <c r="AA64" i="43"/>
  <c r="AA65" i="43"/>
  <c r="AA66" i="43"/>
  <c r="AA67" i="43"/>
  <c r="AA68" i="43"/>
  <c r="AA69" i="43"/>
  <c r="AA70" i="43"/>
  <c r="AA71" i="43"/>
  <c r="AA72" i="43"/>
  <c r="AA73" i="43"/>
  <c r="AA75" i="43"/>
  <c r="G9" i="26" l="1"/>
  <c r="H9" i="26"/>
  <c r="F9" i="26"/>
  <c r="E9" i="26"/>
  <c r="S24" i="40" l="1"/>
  <c r="S25" i="40"/>
  <c r="S26" i="40"/>
  <c r="S34" i="40"/>
  <c r="F16" i="24" l="1"/>
  <c r="F17" i="24"/>
  <c r="I28" i="40" l="1"/>
  <c r="I27" i="40" s="1"/>
  <c r="J28" i="40"/>
  <c r="J27" i="40" s="1"/>
  <c r="K28" i="40"/>
  <c r="K27" i="40" s="1"/>
  <c r="L28" i="40"/>
  <c r="L27" i="40" s="1"/>
  <c r="M28" i="40"/>
  <c r="M27" i="40" s="1"/>
  <c r="N28" i="40"/>
  <c r="N27" i="40" s="1"/>
  <c r="O28" i="40"/>
  <c r="O27" i="40" s="1"/>
  <c r="P28" i="40"/>
  <c r="P27" i="40" s="1"/>
  <c r="Q28" i="40"/>
  <c r="Q27" i="40" s="1"/>
  <c r="R28" i="40"/>
  <c r="R27" i="40" s="1"/>
  <c r="T28" i="40"/>
  <c r="T27" i="40" s="1"/>
  <c r="U28" i="40"/>
  <c r="U27" i="40" s="1"/>
  <c r="V28" i="40"/>
  <c r="V27" i="40" s="1"/>
  <c r="W28" i="40"/>
  <c r="W27" i="40" s="1"/>
  <c r="X28" i="40"/>
  <c r="X27" i="40" s="1"/>
  <c r="Y28" i="40"/>
  <c r="Y27" i="40" s="1"/>
  <c r="Z28" i="40"/>
  <c r="Z27" i="40" s="1"/>
  <c r="I36" i="40"/>
  <c r="J36" i="40"/>
  <c r="K36" i="40"/>
  <c r="L36" i="40"/>
  <c r="M36" i="40"/>
  <c r="N36" i="40"/>
  <c r="O36" i="40"/>
  <c r="P36" i="40"/>
  <c r="Q36" i="40"/>
  <c r="R36" i="40"/>
  <c r="T36" i="40"/>
  <c r="U36" i="40"/>
  <c r="V36" i="40"/>
  <c r="W36" i="40"/>
  <c r="X36" i="40"/>
  <c r="Y36" i="40"/>
  <c r="Z36" i="40"/>
  <c r="E28" i="40"/>
  <c r="F28" i="40" s="1"/>
  <c r="G28" i="40"/>
  <c r="G27" i="40" s="1"/>
  <c r="H27" i="40" s="1"/>
  <c r="E36" i="40"/>
  <c r="F36" i="40" s="1"/>
  <c r="G36" i="40"/>
  <c r="H36" i="40" s="1"/>
  <c r="H28" i="40" l="1"/>
  <c r="E27" i="40"/>
  <c r="F27" i="40" s="1"/>
  <c r="C30" i="40"/>
  <c r="D30" i="40" s="1"/>
  <c r="I76" i="24"/>
  <c r="F62" i="24"/>
  <c r="I65" i="26"/>
  <c r="C15" i="35" l="1"/>
  <c r="C14" i="35"/>
  <c r="C25" i="35"/>
  <c r="D25" i="35" s="1"/>
  <c r="C24" i="35"/>
  <c r="D24" i="35" s="1"/>
  <c r="D14" i="35" l="1"/>
  <c r="AA24" i="40"/>
  <c r="D15" i="35"/>
  <c r="AA25" i="40"/>
  <c r="P16" i="40"/>
  <c r="L16" i="40"/>
  <c r="K16" i="40"/>
  <c r="D78" i="24"/>
  <c r="Z21" i="9"/>
  <c r="U80" i="10" l="1"/>
  <c r="Q80" i="10"/>
  <c r="M80" i="10"/>
  <c r="E11" i="40" l="1"/>
  <c r="G11" i="40"/>
  <c r="I11" i="40"/>
  <c r="K11" i="40"/>
  <c r="E16" i="40" l="1"/>
  <c r="G16" i="40"/>
  <c r="J16" i="40"/>
  <c r="I16" i="40"/>
  <c r="L11" i="40"/>
  <c r="J11" i="40"/>
  <c r="J9" i="40" l="1"/>
  <c r="J8" i="40" s="1"/>
  <c r="C26" i="40"/>
  <c r="D26" i="40" s="1"/>
  <c r="W16" i="40"/>
  <c r="V16" i="40"/>
  <c r="U16" i="40"/>
  <c r="O65" i="26"/>
  <c r="I70" i="24" l="1"/>
  <c r="H70" i="24"/>
  <c r="G70" i="24"/>
  <c r="O71" i="24" l="1"/>
  <c r="F71" i="24"/>
  <c r="H33" i="9"/>
  <c r="F33" i="9"/>
  <c r="C34" i="40" l="1"/>
  <c r="D34" i="40" s="1"/>
  <c r="L8" i="13"/>
  <c r="C33" i="40" l="1"/>
  <c r="D33" i="40" s="1"/>
  <c r="C32" i="40"/>
  <c r="D32" i="40" s="1"/>
  <c r="C31" i="40"/>
  <c r="D31" i="40" s="1"/>
  <c r="C29" i="40"/>
  <c r="D29" i="40" s="1"/>
  <c r="G75" i="43" l="1"/>
  <c r="Z75" i="43" s="1"/>
  <c r="G74" i="43"/>
  <c r="Z74" i="43" s="1"/>
  <c r="G73" i="43"/>
  <c r="Z73" i="43" s="1"/>
  <c r="G72" i="43"/>
  <c r="Z72" i="43" s="1"/>
  <c r="G71" i="43"/>
  <c r="Z71" i="43" s="1"/>
  <c r="G70" i="43"/>
  <c r="Z70" i="43" s="1"/>
  <c r="G69" i="43"/>
  <c r="Z69" i="43" s="1"/>
  <c r="G68" i="43"/>
  <c r="Z68" i="43" s="1"/>
  <c r="G67" i="43"/>
  <c r="Z67" i="43" s="1"/>
  <c r="G66" i="43"/>
  <c r="Z66" i="43" s="1"/>
  <c r="G65" i="43"/>
  <c r="Z65" i="43" s="1"/>
  <c r="G64" i="43"/>
  <c r="Z64" i="43" s="1"/>
  <c r="G63" i="43"/>
  <c r="Z63" i="43" s="1"/>
  <c r="G62" i="43"/>
  <c r="Z62" i="43" s="1"/>
  <c r="G61" i="43"/>
  <c r="Z61" i="43" s="1"/>
  <c r="G60" i="43"/>
  <c r="Z60" i="43" s="1"/>
  <c r="G59" i="43"/>
  <c r="Z59" i="43" s="1"/>
  <c r="G58" i="43"/>
  <c r="Z58" i="43" s="1"/>
  <c r="G57" i="43"/>
  <c r="Z57" i="43" s="1"/>
  <c r="G56" i="43"/>
  <c r="Z56" i="43" s="1"/>
  <c r="G55" i="43"/>
  <c r="Z55" i="43" s="1"/>
  <c r="G54" i="43"/>
  <c r="Z54" i="43" s="1"/>
  <c r="J33" i="9"/>
  <c r="I33" i="9"/>
  <c r="G84" i="24"/>
  <c r="G83" i="24"/>
  <c r="G82" i="24"/>
  <c r="G81" i="24"/>
  <c r="G80" i="24"/>
  <c r="G79" i="24"/>
  <c r="G78" i="24"/>
  <c r="G77" i="24"/>
  <c r="G76" i="24"/>
  <c r="G75" i="24"/>
  <c r="G74" i="24"/>
  <c r="G73" i="24"/>
  <c r="F52" i="24"/>
  <c r="F65" i="24"/>
  <c r="F64" i="24"/>
  <c r="F63" i="24"/>
  <c r="F61" i="24"/>
  <c r="F60" i="24"/>
  <c r="F70" i="24"/>
  <c r="F69" i="24"/>
  <c r="F68" i="24"/>
  <c r="F67" i="24"/>
  <c r="F66" i="24"/>
  <c r="I58" i="24"/>
  <c r="H58" i="24"/>
  <c r="G58" i="24"/>
  <c r="F57" i="24"/>
  <c r="F56" i="24"/>
  <c r="F55" i="24"/>
  <c r="F54" i="24"/>
  <c r="F53" i="24"/>
  <c r="I50" i="24"/>
  <c r="H50" i="24"/>
  <c r="G50" i="24"/>
  <c r="F49" i="24"/>
  <c r="F48" i="24"/>
  <c r="F47" i="24"/>
  <c r="F46" i="24"/>
  <c r="F45" i="24"/>
  <c r="I43" i="24"/>
  <c r="H43" i="24"/>
  <c r="G43" i="24"/>
  <c r="F42" i="24"/>
  <c r="F41" i="24"/>
  <c r="F40" i="24"/>
  <c r="F39" i="24"/>
  <c r="F38" i="24"/>
  <c r="I36" i="24"/>
  <c r="H36" i="24"/>
  <c r="G36" i="24"/>
  <c r="F35" i="24"/>
  <c r="F34" i="24"/>
  <c r="F33" i="24"/>
  <c r="F32" i="24"/>
  <c r="F31" i="24"/>
  <c r="I29" i="24"/>
  <c r="H29" i="24"/>
  <c r="G29" i="24"/>
  <c r="F28" i="24"/>
  <c r="F27" i="24"/>
  <c r="F26" i="24"/>
  <c r="F25" i="24"/>
  <c r="F24" i="24"/>
  <c r="I22" i="24"/>
  <c r="H22" i="24"/>
  <c r="G22" i="24"/>
  <c r="F21" i="24"/>
  <c r="F20" i="24"/>
  <c r="F19" i="24"/>
  <c r="F18" i="24"/>
  <c r="G14" i="24"/>
  <c r="F13" i="24"/>
  <c r="F12" i="24"/>
  <c r="F11" i="24"/>
  <c r="F10" i="24"/>
  <c r="F9" i="24"/>
  <c r="E84" i="24"/>
  <c r="E83" i="24"/>
  <c r="E82" i="24"/>
  <c r="E81" i="24"/>
  <c r="E80" i="24"/>
  <c r="E79" i="24"/>
  <c r="E78" i="24"/>
  <c r="E77" i="24"/>
  <c r="E76" i="24"/>
  <c r="E75" i="24"/>
  <c r="E74" i="24"/>
  <c r="E73" i="24"/>
  <c r="E70" i="24"/>
  <c r="E58" i="24"/>
  <c r="E50" i="24"/>
  <c r="E43" i="24"/>
  <c r="E36" i="24"/>
  <c r="E29" i="24"/>
  <c r="E22" i="24"/>
  <c r="E14" i="24"/>
  <c r="Z33" i="9" l="1"/>
  <c r="F50" i="24"/>
  <c r="F29" i="24"/>
  <c r="F43" i="24"/>
  <c r="F36" i="24"/>
  <c r="F22" i="24"/>
  <c r="F58" i="24"/>
  <c r="E85" i="24"/>
  <c r="E93" i="24" s="1"/>
  <c r="G85" i="24"/>
  <c r="AA58" i="44" l="1"/>
  <c r="G58" i="44"/>
  <c r="Z58" i="44" s="1"/>
  <c r="AA57" i="44"/>
  <c r="G57" i="44"/>
  <c r="Z57" i="44" s="1"/>
  <c r="AA56" i="44"/>
  <c r="G56" i="44"/>
  <c r="Z56" i="44" s="1"/>
  <c r="AA55" i="44"/>
  <c r="G55" i="44"/>
  <c r="Z55" i="44" s="1"/>
  <c r="AA54" i="44"/>
  <c r="G54" i="44"/>
  <c r="Z54" i="44" s="1"/>
  <c r="AA53" i="44"/>
  <c r="G53" i="44"/>
  <c r="Z53" i="44" s="1"/>
  <c r="AA52" i="44"/>
  <c r="G52" i="44"/>
  <c r="Z52" i="44" s="1"/>
  <c r="AA51" i="44"/>
  <c r="G51" i="44"/>
  <c r="Z51" i="44" s="1"/>
  <c r="AA50" i="44"/>
  <c r="G50" i="44"/>
  <c r="Z50" i="44" s="1"/>
  <c r="G49" i="44"/>
  <c r="Z49" i="44" s="1"/>
  <c r="AA49" i="44" s="1"/>
  <c r="G48" i="44"/>
  <c r="Z48" i="44" s="1"/>
  <c r="AA48" i="44" s="1"/>
  <c r="G47" i="44"/>
  <c r="Z47" i="44" s="1"/>
  <c r="AA47" i="44" s="1"/>
  <c r="G46" i="44"/>
  <c r="Z46" i="44" s="1"/>
  <c r="AA46" i="44" s="1"/>
  <c r="G45" i="44"/>
  <c r="Z45" i="44" s="1"/>
  <c r="AA45" i="44" s="1"/>
  <c r="G44" i="44"/>
  <c r="Z44" i="44" s="1"/>
  <c r="AA44" i="44" s="1"/>
  <c r="G43" i="44"/>
  <c r="Z43" i="44" s="1"/>
  <c r="G42" i="44"/>
  <c r="Z42" i="44" s="1"/>
  <c r="AA42" i="44" s="1"/>
  <c r="G41" i="44"/>
  <c r="Z41" i="44" s="1"/>
  <c r="G40" i="44"/>
  <c r="Z40" i="44" s="1"/>
  <c r="AA40" i="44" s="1"/>
  <c r="G39" i="44"/>
  <c r="Z39" i="44" s="1"/>
  <c r="G38" i="44"/>
  <c r="Z38" i="44" s="1"/>
  <c r="G37" i="44"/>
  <c r="Z37" i="44" s="1"/>
  <c r="G36" i="44"/>
  <c r="Z36" i="44" s="1"/>
  <c r="G35" i="44"/>
  <c r="Z35" i="44" s="1"/>
  <c r="G34" i="44"/>
  <c r="Z34" i="44" s="1"/>
  <c r="AA54" i="43"/>
  <c r="AA53" i="43"/>
  <c r="G53" i="43"/>
  <c r="Z53" i="43" s="1"/>
  <c r="AA52" i="43"/>
  <c r="G52" i="43"/>
  <c r="Z52" i="43" s="1"/>
  <c r="AA51" i="43"/>
  <c r="G51" i="43"/>
  <c r="Z51" i="43" s="1"/>
  <c r="AA50" i="43"/>
  <c r="G50" i="43"/>
  <c r="Z50" i="43" s="1"/>
  <c r="AA49" i="43"/>
  <c r="G49" i="43"/>
  <c r="Z49" i="43" s="1"/>
  <c r="AA48" i="43"/>
  <c r="G48" i="43"/>
  <c r="Z48" i="43" s="1"/>
  <c r="G47" i="43"/>
  <c r="Z47" i="43" s="1"/>
  <c r="AA47" i="43" s="1"/>
  <c r="AA38" i="44" l="1"/>
  <c r="AA43" i="44"/>
  <c r="AA41" i="44"/>
  <c r="AA37" i="44"/>
  <c r="AA39" i="44"/>
  <c r="C25" i="40"/>
  <c r="D25" i="40" s="1"/>
  <c r="C24" i="40"/>
  <c r="D24" i="40" s="1"/>
  <c r="O59" i="26" l="1"/>
  <c r="C59" i="26" s="1"/>
  <c r="I59" i="26"/>
  <c r="C51" i="48"/>
  <c r="A73" i="24" l="1"/>
  <c r="C71" i="24" l="1"/>
  <c r="C33" i="9" s="1"/>
  <c r="AC51" i="10" l="1"/>
  <c r="AD51" i="10" s="1"/>
  <c r="AV51" i="48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F73" i="24"/>
  <c r="D73" i="24"/>
  <c r="A10" i="24"/>
  <c r="A11" i="24" s="1"/>
  <c r="A12" i="24" s="1"/>
  <c r="C73" i="24" l="1"/>
  <c r="AA9" i="40" s="1"/>
  <c r="AB54" i="10"/>
  <c r="AA54" i="10"/>
  <c r="X54" i="10"/>
  <c r="AM54" i="48" s="1"/>
  <c r="W54" i="10"/>
  <c r="AJ54" i="48" s="1"/>
  <c r="V54" i="10"/>
  <c r="AI54" i="48" s="1"/>
  <c r="AN54" i="48" s="1"/>
  <c r="U54" i="10"/>
  <c r="AH54" i="48" s="1"/>
  <c r="AK54" i="48" s="1"/>
  <c r="T54" i="10"/>
  <c r="AE54" i="48" s="1"/>
  <c r="S54" i="10"/>
  <c r="AB54" i="48" s="1"/>
  <c r="R54" i="10"/>
  <c r="AA54" i="48" s="1"/>
  <c r="AF54" i="48" s="1"/>
  <c r="Q54" i="10"/>
  <c r="Z54" i="48" s="1"/>
  <c r="AC54" i="48" s="1"/>
  <c r="P54" i="10"/>
  <c r="W54" i="48" s="1"/>
  <c r="O54" i="10"/>
  <c r="T54" i="48" s="1"/>
  <c r="N54" i="10"/>
  <c r="S54" i="48" s="1"/>
  <c r="X54" i="48" s="1"/>
  <c r="M54" i="10"/>
  <c r="R54" i="48" s="1"/>
  <c r="U54" i="48" s="1"/>
  <c r="L54" i="10"/>
  <c r="O54" i="48" s="1"/>
  <c r="K54" i="10"/>
  <c r="L54" i="48" s="1"/>
  <c r="J54" i="10"/>
  <c r="K54" i="48" s="1"/>
  <c r="P54" i="48" s="1"/>
  <c r="I54" i="10"/>
  <c r="J54" i="48" s="1"/>
  <c r="M54" i="48" s="1"/>
  <c r="H54" i="10"/>
  <c r="G54" i="10"/>
  <c r="G54" i="48" s="1"/>
  <c r="I54" i="48" s="1"/>
  <c r="AB53" i="10"/>
  <c r="AA53" i="10"/>
  <c r="X53" i="10"/>
  <c r="AM53" i="48" s="1"/>
  <c r="AM74" i="48" s="1"/>
  <c r="W53" i="10"/>
  <c r="AH10" i="40" s="1"/>
  <c r="V53" i="10"/>
  <c r="AI53" i="48" s="1"/>
  <c r="AI74" i="48" s="1"/>
  <c r="U53" i="10"/>
  <c r="AH53" i="48" s="1"/>
  <c r="AH74" i="48" s="1"/>
  <c r="T53" i="10"/>
  <c r="AE53" i="48" s="1"/>
  <c r="AE74" i="48" s="1"/>
  <c r="S53" i="10"/>
  <c r="AG10" i="40" s="1"/>
  <c r="R53" i="10"/>
  <c r="AA53" i="48" s="1"/>
  <c r="AA74" i="48" s="1"/>
  <c r="Q53" i="10"/>
  <c r="Z53" i="48" s="1"/>
  <c r="Z74" i="48" s="1"/>
  <c r="P53" i="10"/>
  <c r="W53" i="48" s="1"/>
  <c r="W74" i="48" s="1"/>
  <c r="O53" i="10"/>
  <c r="AF10" i="40" s="1"/>
  <c r="N53" i="10"/>
  <c r="S53" i="48" s="1"/>
  <c r="S74" i="48" s="1"/>
  <c r="M53" i="10"/>
  <c r="R53" i="48" s="1"/>
  <c r="R74" i="48" s="1"/>
  <c r="L53" i="10"/>
  <c r="O53" i="48" s="1"/>
  <c r="O74" i="48" s="1"/>
  <c r="K53" i="10"/>
  <c r="L53" i="48" s="1"/>
  <c r="L74" i="48" s="1"/>
  <c r="J53" i="10"/>
  <c r="K53" i="48" s="1"/>
  <c r="K74" i="48" s="1"/>
  <c r="I53" i="10"/>
  <c r="J53" i="48" s="1"/>
  <c r="J74" i="48" s="1"/>
  <c r="H53" i="10"/>
  <c r="G53" i="10"/>
  <c r="G53" i="48" s="1"/>
  <c r="G74" i="48" s="1"/>
  <c r="F53" i="10"/>
  <c r="F53" i="48" s="1"/>
  <c r="F74" i="48" s="1"/>
  <c r="E53" i="10"/>
  <c r="E53" i="48" s="1"/>
  <c r="E74" i="48" s="1"/>
  <c r="Z52" i="10"/>
  <c r="Y52" i="10"/>
  <c r="D52" i="10"/>
  <c r="D52" i="48" s="1"/>
  <c r="C52" i="10"/>
  <c r="C52" i="48" s="1"/>
  <c r="Z51" i="10"/>
  <c r="Y51" i="10"/>
  <c r="D51" i="10"/>
  <c r="D51" i="48" s="1"/>
  <c r="B2" i="42"/>
  <c r="N2" i="30"/>
  <c r="Z3" i="40"/>
  <c r="H3" i="35"/>
  <c r="J3" i="13"/>
  <c r="Y3" i="44"/>
  <c r="AB3" i="10"/>
  <c r="X3" i="9"/>
  <c r="X3" i="24"/>
  <c r="C4" i="6"/>
  <c r="Y3" i="43"/>
  <c r="Y54" i="48" l="1"/>
  <c r="AG54" i="48"/>
  <c r="Q54" i="48"/>
  <c r="AO54" i="48"/>
  <c r="AS54" i="48"/>
  <c r="AD54" i="48"/>
  <c r="AB53" i="48"/>
  <c r="AB74" i="48" s="1"/>
  <c r="AP54" i="48"/>
  <c r="V54" i="48"/>
  <c r="AL54" i="48"/>
  <c r="AQ54" i="48"/>
  <c r="AJ53" i="48"/>
  <c r="AJ74" i="48" s="1"/>
  <c r="AT54" i="48"/>
  <c r="T53" i="48"/>
  <c r="T74" i="48" s="1"/>
  <c r="N54" i="48"/>
  <c r="C54" i="10"/>
  <c r="C54" i="48" s="1"/>
  <c r="C4" i="3"/>
  <c r="C9" i="2"/>
  <c r="E28" i="3" s="1"/>
  <c r="E3" i="2"/>
  <c r="K62" i="26"/>
  <c r="L62" i="26"/>
  <c r="K9" i="26"/>
  <c r="C65" i="26"/>
  <c r="AR54" i="48" l="1"/>
  <c r="AU54" i="48"/>
  <c r="AA88" i="44"/>
  <c r="AA87" i="44"/>
  <c r="AA86" i="44"/>
  <c r="AA85" i="44"/>
  <c r="AA84" i="44"/>
  <c r="AA83" i="44"/>
  <c r="AA82" i="44"/>
  <c r="Y89" i="44"/>
  <c r="X89" i="44"/>
  <c r="V89" i="44"/>
  <c r="T89" i="44"/>
  <c r="S89" i="44"/>
  <c r="R89" i="44"/>
  <c r="Q89" i="44"/>
  <c r="P89" i="44"/>
  <c r="O89" i="44"/>
  <c r="N89" i="44"/>
  <c r="M89" i="44"/>
  <c r="L89" i="44"/>
  <c r="K89" i="44"/>
  <c r="J89" i="44"/>
  <c r="I89" i="44"/>
  <c r="H89" i="44"/>
  <c r="Y89" i="43"/>
  <c r="X89" i="43"/>
  <c r="V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B3" i="44" l="1"/>
  <c r="U3" i="44"/>
  <c r="G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G17" i="44"/>
  <c r="Z17" i="44" s="1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AA30" i="44" s="1"/>
  <c r="G31" i="44"/>
  <c r="Z31" i="44" s="1"/>
  <c r="G32" i="44"/>
  <c r="Z32" i="44" s="1"/>
  <c r="G33" i="44"/>
  <c r="Z33" i="44" s="1"/>
  <c r="AA36" i="44" s="1"/>
  <c r="G59" i="44"/>
  <c r="Z59" i="44" s="1"/>
  <c r="G60" i="44"/>
  <c r="Z60" i="44" s="1"/>
  <c r="G61" i="44"/>
  <c r="Z61" i="44" s="1"/>
  <c r="G62" i="44"/>
  <c r="Z62" i="44" s="1"/>
  <c r="G63" i="44"/>
  <c r="Z63" i="44" s="1"/>
  <c r="G64" i="44"/>
  <c r="Z64" i="44" s="1"/>
  <c r="G65" i="44"/>
  <c r="Z65" i="44" s="1"/>
  <c r="G66" i="44"/>
  <c r="Z66" i="44" s="1"/>
  <c r="G67" i="44"/>
  <c r="Z67" i="44" s="1"/>
  <c r="G68" i="44"/>
  <c r="Z68" i="44" s="1"/>
  <c r="G69" i="44"/>
  <c r="Z69" i="44" s="1"/>
  <c r="G70" i="44"/>
  <c r="Z70" i="44" s="1"/>
  <c r="G71" i="44"/>
  <c r="Z71" i="44" s="1"/>
  <c r="G72" i="44"/>
  <c r="Z72" i="44" s="1"/>
  <c r="AA72" i="44" s="1"/>
  <c r="G73" i="44"/>
  <c r="Z73" i="44" s="1"/>
  <c r="G74" i="44"/>
  <c r="Z74" i="44" s="1"/>
  <c r="G75" i="44"/>
  <c r="Z75" i="44" s="1"/>
  <c r="G76" i="44"/>
  <c r="Z76" i="44" s="1"/>
  <c r="G77" i="44"/>
  <c r="Z77" i="44" s="1"/>
  <c r="G78" i="44"/>
  <c r="Z78" i="44" s="1"/>
  <c r="AA78" i="44" s="1"/>
  <c r="G79" i="44"/>
  <c r="Z79" i="44" s="1"/>
  <c r="AA79" i="44" s="1"/>
  <c r="G80" i="44"/>
  <c r="Z80" i="44" s="1"/>
  <c r="AA80" i="44" s="1"/>
  <c r="G81" i="44"/>
  <c r="Z81" i="44" s="1"/>
  <c r="AA81" i="44" s="1"/>
  <c r="G82" i="44"/>
  <c r="Z82" i="44" s="1"/>
  <c r="G83" i="44"/>
  <c r="Z83" i="44" s="1"/>
  <c r="G84" i="44"/>
  <c r="Z84" i="44" s="1"/>
  <c r="G85" i="44"/>
  <c r="Z85" i="44" s="1"/>
  <c r="G86" i="44"/>
  <c r="Z86" i="44" s="1"/>
  <c r="G87" i="44"/>
  <c r="Z87" i="44" s="1"/>
  <c r="G88" i="44"/>
  <c r="Z88" i="44" s="1"/>
  <c r="B3" i="43"/>
  <c r="U3" i="43"/>
  <c r="G9" i="43"/>
  <c r="G10" i="43"/>
  <c r="Z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G29" i="43"/>
  <c r="Z29" i="43" s="1"/>
  <c r="G30" i="43"/>
  <c r="Z30" i="43" s="1"/>
  <c r="G31" i="43"/>
  <c r="Z31" i="43" s="1"/>
  <c r="G32" i="43"/>
  <c r="Z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G39" i="43"/>
  <c r="Z39" i="43" s="1"/>
  <c r="G40" i="43"/>
  <c r="Z40" i="43" s="1"/>
  <c r="G41" i="43"/>
  <c r="Z41" i="43" s="1"/>
  <c r="G42" i="43"/>
  <c r="Z42" i="43" s="1"/>
  <c r="G43" i="43"/>
  <c r="Z43" i="43" s="1"/>
  <c r="G44" i="43"/>
  <c r="Z44" i="43" s="1"/>
  <c r="AA44" i="43" s="1"/>
  <c r="G45" i="43"/>
  <c r="Z45" i="43" s="1"/>
  <c r="AA45" i="43" s="1"/>
  <c r="G46" i="43"/>
  <c r="Z46" i="43" s="1"/>
  <c r="G76" i="43"/>
  <c r="Z76" i="43" s="1"/>
  <c r="G77" i="43"/>
  <c r="Z77" i="43" s="1"/>
  <c r="G78" i="43"/>
  <c r="Z78" i="43" s="1"/>
  <c r="G79" i="43"/>
  <c r="Z79" i="43" s="1"/>
  <c r="G80" i="43"/>
  <c r="Z80" i="43" s="1"/>
  <c r="G81" i="43"/>
  <c r="Z81" i="43" s="1"/>
  <c r="G82" i="43"/>
  <c r="Z82" i="43" s="1"/>
  <c r="G83" i="43"/>
  <c r="Z83" i="43" s="1"/>
  <c r="G84" i="43"/>
  <c r="Z84" i="43" s="1"/>
  <c r="G85" i="43"/>
  <c r="Z85" i="43" s="1"/>
  <c r="G86" i="43"/>
  <c r="Z86" i="43" s="1"/>
  <c r="G87" i="43"/>
  <c r="Z87" i="43" s="1"/>
  <c r="G88" i="43"/>
  <c r="Z88" i="43" s="1"/>
  <c r="AA34" i="44" l="1"/>
  <c r="AA35" i="44"/>
  <c r="AA46" i="43"/>
  <c r="AA32" i="43"/>
  <c r="AA43" i="43"/>
  <c r="AA31" i="43"/>
  <c r="AA31" i="44"/>
  <c r="AA38" i="43"/>
  <c r="AA39" i="43"/>
  <c r="AA40" i="43"/>
  <c r="AA42" i="43"/>
  <c r="AA41" i="43"/>
  <c r="AA66" i="44"/>
  <c r="AA29" i="44"/>
  <c r="AA23" i="43"/>
  <c r="AA21" i="44"/>
  <c r="AA28" i="44"/>
  <c r="AA27" i="44"/>
  <c r="AA26" i="44"/>
  <c r="AA77" i="44"/>
  <c r="AA73" i="44"/>
  <c r="AA76" i="44"/>
  <c r="AA75" i="44"/>
  <c r="AA74" i="44"/>
  <c r="AA24" i="43"/>
  <c r="AA23" i="44"/>
  <c r="AA22" i="44"/>
  <c r="AA71" i="44"/>
  <c r="AA70" i="44"/>
  <c r="AA16" i="44"/>
  <c r="AA60" i="44"/>
  <c r="AA59" i="44"/>
  <c r="AA68" i="44"/>
  <c r="AA69" i="44"/>
  <c r="AA67" i="44"/>
  <c r="AA64" i="44"/>
  <c r="AA63" i="44"/>
  <c r="AA65" i="44"/>
  <c r="AA62" i="44"/>
  <c r="AA61" i="44"/>
  <c r="AA25" i="44"/>
  <c r="AA24" i="44"/>
  <c r="AA33" i="44"/>
  <c r="AA32" i="44"/>
  <c r="AA28" i="43"/>
  <c r="G89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Z9" i="44"/>
  <c r="AA10" i="44" s="1"/>
  <c r="G89" i="44"/>
  <c r="AA18" i="44"/>
  <c r="AA17" i="44"/>
  <c r="Z9" i="43"/>
  <c r="AA12" i="43" s="1"/>
  <c r="AA22" i="43" l="1"/>
  <c r="AA21" i="43"/>
  <c r="AA15" i="44"/>
  <c r="AA18" i="43"/>
  <c r="AA20" i="43"/>
  <c r="AA19" i="43"/>
  <c r="AA17" i="43"/>
  <c r="AA16" i="43"/>
  <c r="AA15" i="43"/>
  <c r="AA10" i="43"/>
  <c r="AA11" i="43"/>
  <c r="AA14" i="44"/>
  <c r="AA11" i="44"/>
  <c r="AA12" i="44"/>
  <c r="AA13" i="44"/>
  <c r="AA13" i="43"/>
  <c r="AA14" i="43"/>
  <c r="AA9" i="43"/>
  <c r="Z89" i="43"/>
  <c r="AA9" i="44"/>
  <c r="Z89" i="44"/>
  <c r="Z90" i="44" l="1"/>
  <c r="Z90" i="43"/>
  <c r="AA90" i="43" l="1"/>
  <c r="V90" i="43" s="1"/>
  <c r="AA90" i="44"/>
  <c r="X90" i="44" s="1"/>
  <c r="J8" i="13"/>
  <c r="I8" i="13"/>
  <c r="H8" i="13"/>
  <c r="G8" i="13"/>
  <c r="F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T90" i="43" l="1"/>
  <c r="G90" i="43"/>
  <c r="M90" i="43"/>
  <c r="S90" i="43"/>
  <c r="O90" i="43"/>
  <c r="X90" i="43"/>
  <c r="Q90" i="43"/>
  <c r="Y90" i="43"/>
  <c r="K90" i="43"/>
  <c r="J90" i="43"/>
  <c r="N90" i="43"/>
  <c r="R90" i="43"/>
  <c r="L90" i="43"/>
  <c r="P90" i="43"/>
  <c r="I90" i="43"/>
  <c r="H90" i="43"/>
  <c r="O90" i="44"/>
  <c r="M90" i="44"/>
  <c r="G90" i="44"/>
  <c r="Q90" i="44"/>
  <c r="N90" i="44"/>
  <c r="V90" i="44"/>
  <c r="J90" i="44"/>
  <c r="L90" i="44"/>
  <c r="H90" i="44"/>
  <c r="R90" i="44"/>
  <c r="I90" i="44"/>
  <c r="K90" i="44"/>
  <c r="Y90" i="44"/>
  <c r="P90" i="44"/>
  <c r="T90" i="44"/>
  <c r="S90" i="44"/>
  <c r="G25" i="13"/>
  <c r="H25" i="13"/>
  <c r="E25" i="13"/>
  <c r="F25" i="13"/>
  <c r="D25" i="13"/>
  <c r="J25" i="13"/>
  <c r="I25" i="13"/>
  <c r="D49" i="13"/>
  <c r="E49" i="13"/>
  <c r="F49" i="13"/>
  <c r="G49" i="13"/>
  <c r="H49" i="13"/>
  <c r="I49" i="13"/>
  <c r="C16" i="21" l="1"/>
  <c r="C12" i="21" s="1"/>
  <c r="G3" i="13" l="1"/>
  <c r="I28" i="13" l="1"/>
  <c r="C28" i="13"/>
  <c r="J4" i="13"/>
  <c r="C4" i="13"/>
  <c r="AB31" i="10"/>
  <c r="AA31" i="10"/>
  <c r="AB71" i="10"/>
  <c r="AA71" i="10"/>
  <c r="AB74" i="10"/>
  <c r="AA74" i="10"/>
  <c r="C42" i="2"/>
  <c r="C41" i="2"/>
  <c r="C49" i="13" l="1"/>
  <c r="C25" i="13"/>
  <c r="D73" i="10" l="1"/>
  <c r="D73" i="48" s="1"/>
  <c r="D72" i="10"/>
  <c r="D70" i="10"/>
  <c r="D70" i="48" s="1"/>
  <c r="D69" i="10"/>
  <c r="D69" i="48" s="1"/>
  <c r="D68" i="10"/>
  <c r="D68" i="48" s="1"/>
  <c r="D67" i="10"/>
  <c r="D67" i="48" s="1"/>
  <c r="D66" i="10"/>
  <c r="D66" i="48" s="1"/>
  <c r="D65" i="10"/>
  <c r="D65" i="48" s="1"/>
  <c r="D64" i="10"/>
  <c r="D64" i="48" s="1"/>
  <c r="D63" i="10"/>
  <c r="D63" i="48" s="1"/>
  <c r="D62" i="10"/>
  <c r="D62" i="48" s="1"/>
  <c r="D61" i="10"/>
  <c r="D61" i="48" s="1"/>
  <c r="D60" i="10"/>
  <c r="D60" i="48" s="1"/>
  <c r="D59" i="10"/>
  <c r="D59" i="48" s="1"/>
  <c r="D58" i="10"/>
  <c r="D58" i="48" s="1"/>
  <c r="D57" i="10"/>
  <c r="D57" i="48" s="1"/>
  <c r="D50" i="10"/>
  <c r="D50" i="48" s="1"/>
  <c r="D49" i="10"/>
  <c r="D49" i="48" s="1"/>
  <c r="D48" i="10"/>
  <c r="D48" i="48" s="1"/>
  <c r="D47" i="10"/>
  <c r="D47" i="48" s="1"/>
  <c r="D46" i="10"/>
  <c r="D46" i="48" s="1"/>
  <c r="D45" i="10"/>
  <c r="D45" i="48" s="1"/>
  <c r="D44" i="10"/>
  <c r="D44" i="48" s="1"/>
  <c r="D43" i="10"/>
  <c r="D43" i="48" s="1"/>
  <c r="D42" i="10"/>
  <c r="D42" i="48" s="1"/>
  <c r="D41" i="10"/>
  <c r="D41" i="48" s="1"/>
  <c r="D40" i="10"/>
  <c r="D40" i="48" s="1"/>
  <c r="D39" i="10"/>
  <c r="D39" i="48" s="1"/>
  <c r="D38" i="10"/>
  <c r="D38" i="48" s="1"/>
  <c r="D37" i="10"/>
  <c r="D37" i="48" s="1"/>
  <c r="D36" i="10"/>
  <c r="D36" i="48" s="1"/>
  <c r="D35" i="10"/>
  <c r="D35" i="48" s="1"/>
  <c r="D30" i="10"/>
  <c r="D30" i="48" s="1"/>
  <c r="D29" i="10"/>
  <c r="D29" i="48" s="1"/>
  <c r="D28" i="10"/>
  <c r="D28" i="48" s="1"/>
  <c r="D27" i="10"/>
  <c r="D27" i="48" s="1"/>
  <c r="D26" i="10"/>
  <c r="D26" i="48" s="1"/>
  <c r="D25" i="10"/>
  <c r="D25" i="48" s="1"/>
  <c r="D24" i="10"/>
  <c r="D24" i="48" s="1"/>
  <c r="D23" i="10"/>
  <c r="D23" i="48" s="1"/>
  <c r="D22" i="10"/>
  <c r="D22" i="48" s="1"/>
  <c r="D21" i="10"/>
  <c r="D21" i="48" s="1"/>
  <c r="D20" i="10"/>
  <c r="D20" i="48" s="1"/>
  <c r="D19" i="10"/>
  <c r="D19" i="48" s="1"/>
  <c r="D18" i="10"/>
  <c r="D18" i="48" s="1"/>
  <c r="D17" i="10"/>
  <c r="D17" i="48" s="1"/>
  <c r="D16" i="10"/>
  <c r="D16" i="48" s="1"/>
  <c r="D15" i="10"/>
  <c r="D15" i="48" s="1"/>
  <c r="D14" i="10"/>
  <c r="D14" i="48" s="1"/>
  <c r="D13" i="10"/>
  <c r="D13" i="48" s="1"/>
  <c r="D12" i="10"/>
  <c r="D12" i="48" s="1"/>
  <c r="D11" i="10"/>
  <c r="D11" i="48" s="1"/>
  <c r="D10" i="10"/>
  <c r="D10" i="48" s="1"/>
  <c r="D9" i="10"/>
  <c r="D9" i="48" s="1"/>
  <c r="D8" i="10"/>
  <c r="D8" i="48" s="1"/>
  <c r="D7" i="10"/>
  <c r="D7" i="48" s="1"/>
  <c r="D72" i="48" l="1"/>
  <c r="D83" i="48"/>
  <c r="D53" i="10"/>
  <c r="D53" i="48" s="1"/>
  <c r="D54" i="10"/>
  <c r="D54" i="48" s="1"/>
  <c r="M11" i="40"/>
  <c r="N11" i="40"/>
  <c r="O11" i="40"/>
  <c r="P11" i="40"/>
  <c r="Q11" i="40"/>
  <c r="R11" i="40"/>
  <c r="T11" i="40"/>
  <c r="U11" i="40"/>
  <c r="U9" i="40" s="1"/>
  <c r="AE16" i="40" s="1"/>
  <c r="V11" i="40"/>
  <c r="W11" i="40"/>
  <c r="X11" i="40"/>
  <c r="Y11" i="40"/>
  <c r="Z11" i="40"/>
  <c r="C12" i="40"/>
  <c r="D12" i="40" s="1"/>
  <c r="C13" i="40"/>
  <c r="D13" i="40" s="1"/>
  <c r="S13" i="40"/>
  <c r="C14" i="40"/>
  <c r="D14" i="40" s="1"/>
  <c r="S14" i="40"/>
  <c r="C15" i="40"/>
  <c r="D15" i="40" s="1"/>
  <c r="S15" i="40"/>
  <c r="F16" i="40"/>
  <c r="H16" i="40"/>
  <c r="M16" i="40"/>
  <c r="N16" i="40"/>
  <c r="O16" i="40"/>
  <c r="Q16" i="40"/>
  <c r="R16" i="40"/>
  <c r="T16" i="40"/>
  <c r="X16" i="40"/>
  <c r="Y16" i="40"/>
  <c r="Z16" i="40"/>
  <c r="C17" i="40"/>
  <c r="D17" i="40" s="1"/>
  <c r="S17" i="40"/>
  <c r="C18" i="40"/>
  <c r="D18" i="40" s="1"/>
  <c r="S18" i="40"/>
  <c r="C19" i="40"/>
  <c r="D19" i="40" s="1"/>
  <c r="S19" i="40"/>
  <c r="C20" i="40"/>
  <c r="D20" i="40" s="1"/>
  <c r="S20" i="40"/>
  <c r="C21" i="40"/>
  <c r="D21" i="40" s="1"/>
  <c r="S21" i="40"/>
  <c r="C22" i="40"/>
  <c r="D22" i="40" s="1"/>
  <c r="S22" i="40"/>
  <c r="C23" i="40"/>
  <c r="D23" i="40" s="1"/>
  <c r="S23" i="40"/>
  <c r="S29" i="40"/>
  <c r="S30" i="40"/>
  <c r="S31" i="40"/>
  <c r="S32" i="40"/>
  <c r="S33" i="40"/>
  <c r="C35" i="40"/>
  <c r="S35" i="40"/>
  <c r="C37" i="40"/>
  <c r="D37" i="40" s="1"/>
  <c r="S37" i="40"/>
  <c r="C38" i="40"/>
  <c r="D38" i="40" s="1"/>
  <c r="S38" i="40"/>
  <c r="C39" i="40"/>
  <c r="D39" i="40" s="1"/>
  <c r="S39" i="40"/>
  <c r="C40" i="40"/>
  <c r="D40" i="40" s="1"/>
  <c r="S40" i="40"/>
  <c r="C41" i="40"/>
  <c r="D41" i="40" s="1"/>
  <c r="S41" i="40"/>
  <c r="C42" i="40"/>
  <c r="D42" i="40" s="1"/>
  <c r="S42" i="40"/>
  <c r="H29" i="9"/>
  <c r="F28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I35" i="9" l="1"/>
  <c r="J35" i="9"/>
  <c r="D74" i="48"/>
  <c r="D84" i="48"/>
  <c r="C28" i="40"/>
  <c r="C27" i="40" s="1"/>
  <c r="D35" i="40"/>
  <c r="S36" i="40"/>
  <c r="S28" i="40"/>
  <c r="S27" i="40" s="1"/>
  <c r="T9" i="40"/>
  <c r="C36" i="40"/>
  <c r="D36" i="40" s="1"/>
  <c r="O9" i="40"/>
  <c r="U8" i="40"/>
  <c r="Q73" i="26" s="1"/>
  <c r="Q75" i="26" s="1"/>
  <c r="I9" i="40"/>
  <c r="I8" i="40" s="1"/>
  <c r="G9" i="40"/>
  <c r="Z9" i="40"/>
  <c r="Z8" i="40" s="1"/>
  <c r="V9" i="40"/>
  <c r="AF16" i="40" s="1"/>
  <c r="Q9" i="40"/>
  <c r="AG14" i="40" s="1"/>
  <c r="M9" i="40"/>
  <c r="M8" i="40" s="1"/>
  <c r="Y9" i="40"/>
  <c r="P9" i="40"/>
  <c r="AF14" i="40" s="1"/>
  <c r="L9" i="40"/>
  <c r="L8" i="40" s="1"/>
  <c r="X9" i="40"/>
  <c r="AH16" i="40" s="1"/>
  <c r="K9" i="40"/>
  <c r="K8" i="40" s="1"/>
  <c r="E9" i="40"/>
  <c r="W9" i="40"/>
  <c r="AG16" i="40" s="1"/>
  <c r="R9" i="40"/>
  <c r="AH14" i="40" s="1"/>
  <c r="N9" i="40"/>
  <c r="AD14" i="40" s="1"/>
  <c r="H30" i="9"/>
  <c r="F20" i="9"/>
  <c r="H25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5" i="9"/>
  <c r="S11" i="40"/>
  <c r="F17" i="9"/>
  <c r="H27" i="9"/>
  <c r="H9" i="9"/>
  <c r="H10" i="9"/>
  <c r="I22" i="9"/>
  <c r="H16" i="9"/>
  <c r="H17" i="9"/>
  <c r="F25" i="9"/>
  <c r="H26" i="9"/>
  <c r="H31" i="9"/>
  <c r="H32" i="9"/>
  <c r="F35" i="9"/>
  <c r="F12" i="9"/>
  <c r="F13" i="9"/>
  <c r="F9" i="9"/>
  <c r="S16" i="40"/>
  <c r="F11" i="40"/>
  <c r="C16" i="40"/>
  <c r="D16" i="40" s="1"/>
  <c r="C11" i="40"/>
  <c r="H11" i="40"/>
  <c r="F10" i="9"/>
  <c r="F18" i="9"/>
  <c r="F30" i="9"/>
  <c r="F11" i="9"/>
  <c r="F19" i="9"/>
  <c r="F31" i="9"/>
  <c r="F14" i="9"/>
  <c r="F26" i="9"/>
  <c r="F15" i="9"/>
  <c r="F27" i="9"/>
  <c r="F16" i="9"/>
  <c r="T8" i="40" l="1"/>
  <c r="P73" i="26" s="1"/>
  <c r="P75" i="26" s="1"/>
  <c r="AD16" i="40"/>
  <c r="O8" i="40"/>
  <c r="E73" i="26" s="1"/>
  <c r="E75" i="26" s="1"/>
  <c r="AE14" i="40"/>
  <c r="D27" i="40"/>
  <c r="D28" i="40"/>
  <c r="H9" i="40"/>
  <c r="E8" i="40"/>
  <c r="F9" i="40"/>
  <c r="Y8" i="40"/>
  <c r="L25" i="13" s="1"/>
  <c r="L18" i="13"/>
  <c r="V8" i="40"/>
  <c r="W8" i="40"/>
  <c r="X8" i="40"/>
  <c r="Q8" i="40"/>
  <c r="G73" i="26" s="1"/>
  <c r="G75" i="26" s="1"/>
  <c r="R8" i="40"/>
  <c r="H73" i="26" s="1"/>
  <c r="H75" i="26" s="1"/>
  <c r="P8" i="40"/>
  <c r="F73" i="26" s="1"/>
  <c r="F75" i="26" s="1"/>
  <c r="N8" i="40"/>
  <c r="D73" i="26" s="1"/>
  <c r="S9" i="40"/>
  <c r="S8" i="40" s="1"/>
  <c r="D11" i="40"/>
  <c r="C9" i="40"/>
  <c r="G8" i="40"/>
  <c r="S73" i="26" l="1"/>
  <c r="S75" i="26" s="1"/>
  <c r="AG11" i="40"/>
  <c r="R73" i="26"/>
  <c r="R75" i="26" s="1"/>
  <c r="AF11" i="40"/>
  <c r="T73" i="26"/>
  <c r="T75" i="26" s="1"/>
  <c r="AH11" i="40"/>
  <c r="F8" i="40"/>
  <c r="D9" i="40"/>
  <c r="H8" i="40"/>
  <c r="C8" i="40"/>
  <c r="D8" i="40" l="1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I84" i="24"/>
  <c r="H84" i="24"/>
  <c r="F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D83" i="24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D82" i="24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D81" i="24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D80" i="24"/>
  <c r="Y79" i="24"/>
  <c r="X79" i="24"/>
  <c r="W79" i="24"/>
  <c r="V79" i="24"/>
  <c r="U79" i="24"/>
  <c r="T79" i="24"/>
  <c r="S79" i="24"/>
  <c r="R79" i="24"/>
  <c r="Q79" i="24"/>
  <c r="P79" i="24"/>
  <c r="N79" i="24"/>
  <c r="M79" i="24"/>
  <c r="L79" i="24"/>
  <c r="K79" i="24"/>
  <c r="J79" i="24"/>
  <c r="I79" i="24"/>
  <c r="H79" i="24"/>
  <c r="F79" i="24"/>
  <c r="D79" i="24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Y77" i="24"/>
  <c r="X77" i="24"/>
  <c r="W77" i="24"/>
  <c r="V77" i="24"/>
  <c r="U77" i="24"/>
  <c r="T77" i="24"/>
  <c r="S77" i="24"/>
  <c r="R77" i="24"/>
  <c r="Q77" i="24"/>
  <c r="P77" i="24"/>
  <c r="N77" i="24"/>
  <c r="M77" i="24"/>
  <c r="L77" i="24"/>
  <c r="K77" i="24"/>
  <c r="J77" i="24"/>
  <c r="I77" i="24"/>
  <c r="H77" i="24"/>
  <c r="F77" i="24"/>
  <c r="D77" i="24"/>
  <c r="Y76" i="24"/>
  <c r="X76" i="24"/>
  <c r="W76" i="24"/>
  <c r="V76" i="24"/>
  <c r="U76" i="24"/>
  <c r="T76" i="24"/>
  <c r="S76" i="24"/>
  <c r="R76" i="24"/>
  <c r="Q76" i="24"/>
  <c r="P76" i="24"/>
  <c r="N76" i="24"/>
  <c r="M76" i="24"/>
  <c r="L76" i="24"/>
  <c r="K76" i="24"/>
  <c r="J76" i="24"/>
  <c r="H76" i="24"/>
  <c r="F76" i="24"/>
  <c r="D76" i="24"/>
  <c r="Y75" i="24"/>
  <c r="X75" i="24"/>
  <c r="W75" i="24"/>
  <c r="V75" i="24"/>
  <c r="U75" i="24"/>
  <c r="T75" i="24"/>
  <c r="S75" i="24"/>
  <c r="R75" i="24"/>
  <c r="Q75" i="24"/>
  <c r="P75" i="24"/>
  <c r="N75" i="24"/>
  <c r="M75" i="24"/>
  <c r="L75" i="24"/>
  <c r="K75" i="24"/>
  <c r="J75" i="24"/>
  <c r="I75" i="24"/>
  <c r="H75" i="24"/>
  <c r="F75" i="24"/>
  <c r="D75" i="24"/>
  <c r="Y74" i="24"/>
  <c r="X74" i="24"/>
  <c r="W74" i="24"/>
  <c r="V74" i="24"/>
  <c r="U74" i="24"/>
  <c r="T74" i="24"/>
  <c r="S74" i="24"/>
  <c r="R74" i="24"/>
  <c r="Q74" i="24"/>
  <c r="P74" i="24"/>
  <c r="N74" i="24"/>
  <c r="M74" i="24"/>
  <c r="L74" i="24"/>
  <c r="K74" i="24"/>
  <c r="J74" i="24"/>
  <c r="I74" i="24"/>
  <c r="H74" i="24"/>
  <c r="F74" i="24"/>
  <c r="D74" i="24"/>
  <c r="Y70" i="24"/>
  <c r="X70" i="24"/>
  <c r="W70" i="24"/>
  <c r="V70" i="24"/>
  <c r="U70" i="24"/>
  <c r="T70" i="24"/>
  <c r="S70" i="24"/>
  <c r="R70" i="24"/>
  <c r="Q70" i="24"/>
  <c r="P70" i="24"/>
  <c r="N70" i="24"/>
  <c r="M70" i="24"/>
  <c r="L70" i="24"/>
  <c r="K70" i="24"/>
  <c r="J70" i="24"/>
  <c r="D70" i="24"/>
  <c r="O69" i="24"/>
  <c r="C69" i="24" s="1"/>
  <c r="O68" i="24"/>
  <c r="C68" i="24" s="1"/>
  <c r="O67" i="24"/>
  <c r="C67" i="24" s="1"/>
  <c r="O66" i="24"/>
  <c r="O81" i="24" s="1"/>
  <c r="O65" i="24"/>
  <c r="C65" i="24" s="1"/>
  <c r="O64" i="24"/>
  <c r="C64" i="24" s="1"/>
  <c r="O63" i="24"/>
  <c r="C63" i="24" s="1"/>
  <c r="O62" i="24"/>
  <c r="C62" i="24" s="1"/>
  <c r="O61" i="24"/>
  <c r="C61" i="24" s="1"/>
  <c r="O60" i="24"/>
  <c r="C60" i="24" s="1"/>
  <c r="Y58" i="24"/>
  <c r="X58" i="24"/>
  <c r="W58" i="24"/>
  <c r="V58" i="24"/>
  <c r="U58" i="24"/>
  <c r="T58" i="24"/>
  <c r="S58" i="24"/>
  <c r="R58" i="24"/>
  <c r="Q58" i="24"/>
  <c r="P58" i="24"/>
  <c r="N58" i="24"/>
  <c r="M58" i="24"/>
  <c r="L58" i="24"/>
  <c r="K58" i="24"/>
  <c r="J58" i="24"/>
  <c r="D58" i="24"/>
  <c r="O57" i="24"/>
  <c r="C57" i="24" s="1"/>
  <c r="O56" i="24"/>
  <c r="O55" i="24"/>
  <c r="C55" i="24" s="1"/>
  <c r="O54" i="24"/>
  <c r="C54" i="24" s="1"/>
  <c r="O53" i="24"/>
  <c r="C53" i="24" s="1"/>
  <c r="O52" i="24"/>
  <c r="C52" i="24" s="1"/>
  <c r="Y50" i="24"/>
  <c r="X50" i="24"/>
  <c r="W50" i="24"/>
  <c r="V50" i="24"/>
  <c r="U50" i="24"/>
  <c r="T50" i="24"/>
  <c r="S50" i="24"/>
  <c r="R50" i="24"/>
  <c r="Q50" i="24"/>
  <c r="P50" i="24"/>
  <c r="N50" i="24"/>
  <c r="M50" i="24"/>
  <c r="L50" i="24"/>
  <c r="K50" i="24"/>
  <c r="J50" i="24"/>
  <c r="D50" i="24"/>
  <c r="O49" i="24"/>
  <c r="C49" i="24" s="1"/>
  <c r="O48" i="24"/>
  <c r="C48" i="24" s="1"/>
  <c r="O47" i="24"/>
  <c r="C47" i="24" s="1"/>
  <c r="O46" i="24"/>
  <c r="C46" i="24" s="1"/>
  <c r="O45" i="24"/>
  <c r="C45" i="24" s="1"/>
  <c r="Y43" i="24"/>
  <c r="X43" i="24"/>
  <c r="W43" i="24"/>
  <c r="V43" i="24"/>
  <c r="U43" i="24"/>
  <c r="T43" i="24"/>
  <c r="S43" i="24"/>
  <c r="R43" i="24"/>
  <c r="Q43" i="24"/>
  <c r="P43" i="24"/>
  <c r="N43" i="24"/>
  <c r="M43" i="24"/>
  <c r="L43" i="24"/>
  <c r="K43" i="24"/>
  <c r="J43" i="24"/>
  <c r="D43" i="24"/>
  <c r="O42" i="24"/>
  <c r="C42" i="24" s="1"/>
  <c r="O41" i="24"/>
  <c r="C41" i="24" s="1"/>
  <c r="O40" i="24"/>
  <c r="C40" i="24" s="1"/>
  <c r="O39" i="24"/>
  <c r="C39" i="24" s="1"/>
  <c r="O38" i="24"/>
  <c r="C38" i="24" s="1"/>
  <c r="Y36" i="24"/>
  <c r="X36" i="24"/>
  <c r="W36" i="24"/>
  <c r="V36" i="24"/>
  <c r="U36" i="24"/>
  <c r="T36" i="24"/>
  <c r="S36" i="24"/>
  <c r="R36" i="24"/>
  <c r="Q36" i="24"/>
  <c r="P36" i="24"/>
  <c r="N36" i="24"/>
  <c r="M36" i="24"/>
  <c r="L36" i="24"/>
  <c r="K36" i="24"/>
  <c r="J36" i="24"/>
  <c r="D36" i="24"/>
  <c r="O35" i="24"/>
  <c r="C35" i="24" s="1"/>
  <c r="O34" i="24"/>
  <c r="C34" i="24" s="1"/>
  <c r="O33" i="24"/>
  <c r="C33" i="24" s="1"/>
  <c r="O32" i="24"/>
  <c r="C32" i="24" s="1"/>
  <c r="O31" i="24"/>
  <c r="C31" i="24" s="1"/>
  <c r="Y29" i="24"/>
  <c r="X29" i="24"/>
  <c r="W29" i="24"/>
  <c r="V29" i="24"/>
  <c r="U29" i="24"/>
  <c r="T29" i="24"/>
  <c r="S29" i="24"/>
  <c r="R29" i="24"/>
  <c r="Q29" i="24"/>
  <c r="P29" i="24"/>
  <c r="N29" i="24"/>
  <c r="M29" i="24"/>
  <c r="L29" i="24"/>
  <c r="K29" i="24"/>
  <c r="J29" i="24"/>
  <c r="D29" i="24"/>
  <c r="O28" i="24"/>
  <c r="C28" i="24" s="1"/>
  <c r="O27" i="24"/>
  <c r="C27" i="24" s="1"/>
  <c r="O26" i="24"/>
  <c r="C26" i="24" s="1"/>
  <c r="O25" i="24"/>
  <c r="C25" i="24" s="1"/>
  <c r="O24" i="24"/>
  <c r="Y22" i="24"/>
  <c r="X22" i="24"/>
  <c r="W22" i="24"/>
  <c r="V22" i="24"/>
  <c r="U22" i="24"/>
  <c r="T22" i="24"/>
  <c r="S22" i="24"/>
  <c r="R22" i="24"/>
  <c r="Q22" i="24"/>
  <c r="P22" i="24"/>
  <c r="N22" i="24"/>
  <c r="M22" i="24"/>
  <c r="L22" i="24"/>
  <c r="K22" i="24"/>
  <c r="J22" i="24"/>
  <c r="D22" i="24"/>
  <c r="O21" i="24"/>
  <c r="C21" i="24" s="1"/>
  <c r="O20" i="24"/>
  <c r="C20" i="24" s="1"/>
  <c r="O19" i="24"/>
  <c r="C19" i="24" s="1"/>
  <c r="O18" i="24"/>
  <c r="C18" i="24" s="1"/>
  <c r="O17" i="24"/>
  <c r="O16" i="24"/>
  <c r="C16" i="24" s="1"/>
  <c r="Y14" i="24"/>
  <c r="X14" i="24"/>
  <c r="W14" i="24"/>
  <c r="V14" i="24"/>
  <c r="U14" i="24"/>
  <c r="T14" i="24"/>
  <c r="S14" i="24"/>
  <c r="R14" i="24"/>
  <c r="Q14" i="24"/>
  <c r="P14" i="24"/>
  <c r="N14" i="24"/>
  <c r="M14" i="24"/>
  <c r="L14" i="24"/>
  <c r="K14" i="24"/>
  <c r="J14" i="24"/>
  <c r="I14" i="24"/>
  <c r="H14" i="24"/>
  <c r="D14" i="24"/>
  <c r="O13" i="24"/>
  <c r="C13" i="24" s="1"/>
  <c r="O12" i="24"/>
  <c r="O11" i="24"/>
  <c r="C11" i="24" s="1"/>
  <c r="O10" i="24"/>
  <c r="C10" i="24" s="1"/>
  <c r="O9" i="24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50" i="26"/>
  <c r="O51" i="26"/>
  <c r="O52" i="26"/>
  <c r="O55" i="26"/>
  <c r="O56" i="26"/>
  <c r="O57" i="26"/>
  <c r="O58" i="26"/>
  <c r="O60" i="26"/>
  <c r="O82" i="24" l="1"/>
  <c r="R85" i="24"/>
  <c r="S85" i="24"/>
  <c r="T85" i="24"/>
  <c r="U85" i="24"/>
  <c r="I85" i="24"/>
  <c r="W85" i="24"/>
  <c r="V85" i="24"/>
  <c r="D85" i="24"/>
  <c r="D93" i="24" s="1"/>
  <c r="F85" i="24"/>
  <c r="X85" i="24"/>
  <c r="H85" i="24"/>
  <c r="Y85" i="24"/>
  <c r="J85" i="24"/>
  <c r="K85" i="24"/>
  <c r="L85" i="24"/>
  <c r="M85" i="24"/>
  <c r="N85" i="24"/>
  <c r="P85" i="24"/>
  <c r="Q85" i="24"/>
  <c r="C82" i="24"/>
  <c r="C18" i="9" s="1"/>
  <c r="O50" i="24"/>
  <c r="C50" i="24" s="1"/>
  <c r="C30" i="9" s="1"/>
  <c r="O36" i="24"/>
  <c r="C36" i="24" s="1"/>
  <c r="C28" i="9" s="1"/>
  <c r="O78" i="24"/>
  <c r="C78" i="24" s="1"/>
  <c r="C10" i="9" s="1"/>
  <c r="O29" i="24"/>
  <c r="C29" i="24" s="1"/>
  <c r="C27" i="9" s="1"/>
  <c r="O80" i="24"/>
  <c r="C80" i="24" s="1"/>
  <c r="C11" i="9" s="1"/>
  <c r="O74" i="24"/>
  <c r="O14" i="24"/>
  <c r="C14" i="24" s="1"/>
  <c r="C25" i="9" s="1"/>
  <c r="C9" i="24"/>
  <c r="C12" i="24"/>
  <c r="O22" i="24"/>
  <c r="C22" i="24" s="1"/>
  <c r="C26" i="9" s="1"/>
  <c r="C24" i="24"/>
  <c r="O43" i="24"/>
  <c r="C43" i="24" s="1"/>
  <c r="C29" i="9" s="1"/>
  <c r="O83" i="24"/>
  <c r="C83" i="24" s="1"/>
  <c r="C19" i="9" s="1"/>
  <c r="C12" i="9"/>
  <c r="O84" i="24"/>
  <c r="C84" i="24" s="1"/>
  <c r="C20" i="9" s="1"/>
  <c r="O79" i="24"/>
  <c r="C79" i="24" s="1"/>
  <c r="C9" i="9" s="1"/>
  <c r="C81" i="24"/>
  <c r="C17" i="9" s="1"/>
  <c r="O75" i="24"/>
  <c r="C75" i="24" s="1"/>
  <c r="C14" i="9" s="1"/>
  <c r="C17" i="24"/>
  <c r="C66" i="24"/>
  <c r="O76" i="24"/>
  <c r="C76" i="24" s="1"/>
  <c r="C15" i="9" s="1"/>
  <c r="C56" i="24"/>
  <c r="O58" i="24"/>
  <c r="C58" i="24" s="1"/>
  <c r="C31" i="9" s="1"/>
  <c r="O77" i="24"/>
  <c r="C77" i="24" s="1"/>
  <c r="C16" i="9" s="1"/>
  <c r="O70" i="24"/>
  <c r="C70" i="24" s="1"/>
  <c r="C32" i="9" s="1"/>
  <c r="AC13" i="10" l="1"/>
  <c r="AD13" i="10" s="1"/>
  <c r="AV13" i="48"/>
  <c r="AC23" i="10"/>
  <c r="AD23" i="10" s="1"/>
  <c r="AV23" i="48"/>
  <c r="AC9" i="10"/>
  <c r="AD9" i="10" s="1"/>
  <c r="AV9" i="48"/>
  <c r="AC7" i="10"/>
  <c r="AV7" i="48"/>
  <c r="AC49" i="10"/>
  <c r="AD49" i="10" s="1"/>
  <c r="AV49" i="48"/>
  <c r="AC27" i="10"/>
  <c r="AD27" i="10" s="1"/>
  <c r="AV27" i="48"/>
  <c r="AC47" i="10"/>
  <c r="AD47" i="10" s="1"/>
  <c r="AV47" i="48"/>
  <c r="AC25" i="10"/>
  <c r="AD25" i="10" s="1"/>
  <c r="AV25" i="48"/>
  <c r="AC45" i="10"/>
  <c r="AD45" i="10" s="1"/>
  <c r="AV45" i="48"/>
  <c r="AC43" i="10"/>
  <c r="AD43" i="10" s="1"/>
  <c r="AV43" i="48"/>
  <c r="AC41" i="10"/>
  <c r="AD41" i="10" s="1"/>
  <c r="AV41" i="48"/>
  <c r="AC39" i="10"/>
  <c r="AD39" i="10" s="1"/>
  <c r="AV39" i="48"/>
  <c r="AC37" i="10"/>
  <c r="AD37" i="10" s="1"/>
  <c r="AV37" i="48"/>
  <c r="AC21" i="10"/>
  <c r="AD21" i="10" s="1"/>
  <c r="AV21" i="48"/>
  <c r="AC19" i="10"/>
  <c r="AD19" i="10" s="1"/>
  <c r="AV19" i="48"/>
  <c r="AC11" i="10"/>
  <c r="AD11" i="10" s="1"/>
  <c r="AV11" i="48"/>
  <c r="AC17" i="10"/>
  <c r="AD17" i="10" s="1"/>
  <c r="AV17" i="48"/>
  <c r="AC29" i="10"/>
  <c r="AD29" i="10" s="1"/>
  <c r="AV29" i="48"/>
  <c r="AC35" i="10"/>
  <c r="AD35" i="10" s="1"/>
  <c r="AV35" i="48"/>
  <c r="C35" i="9"/>
  <c r="C74" i="24"/>
  <c r="C13" i="9" s="1"/>
  <c r="AV15" i="48" s="1"/>
  <c r="O85" i="24"/>
  <c r="C85" i="24" s="1"/>
  <c r="AA8" i="40" s="1"/>
  <c r="AC53" i="10" l="1"/>
  <c r="AV53" i="48"/>
  <c r="AV71" i="48"/>
  <c r="AV31" i="48"/>
  <c r="B15" i="42"/>
  <c r="AC71" i="10"/>
  <c r="AC31" i="10"/>
  <c r="C22" i="9"/>
  <c r="D19" i="9" s="1"/>
  <c r="AC15" i="10"/>
  <c r="AD15" i="10" s="1"/>
  <c r="D33" i="9"/>
  <c r="D31" i="9"/>
  <c r="D29" i="9"/>
  <c r="D27" i="9"/>
  <c r="D25" i="9"/>
  <c r="D32" i="9"/>
  <c r="D30" i="9"/>
  <c r="D35" i="9"/>
  <c r="D28" i="9"/>
  <c r="D26" i="9"/>
  <c r="D18" i="9" l="1"/>
  <c r="D9" i="9"/>
  <c r="D13" i="9"/>
  <c r="D10" i="9"/>
  <c r="D15" i="9"/>
  <c r="D11" i="9"/>
  <c r="D12" i="9"/>
  <c r="D16" i="9"/>
  <c r="D14" i="9"/>
  <c r="D20" i="9"/>
  <c r="D17" i="9"/>
  <c r="D22" i="9"/>
  <c r="B3" i="42"/>
  <c r="B2" i="21" l="1"/>
  <c r="A2" i="42" l="1"/>
  <c r="I2" i="20"/>
  <c r="C2" i="21" s="1"/>
  <c r="V3" i="40"/>
  <c r="F3" i="35"/>
  <c r="U3" i="10"/>
  <c r="T3" i="9"/>
  <c r="T3" i="24"/>
  <c r="C3" i="6"/>
  <c r="C3" i="3"/>
  <c r="D3" i="2"/>
  <c r="B2" i="20"/>
  <c r="B2" i="30"/>
  <c r="B3" i="40"/>
  <c r="B3" i="35"/>
  <c r="B3" i="10"/>
  <c r="B3" i="9"/>
  <c r="B3" i="24"/>
  <c r="B3" i="6"/>
  <c r="B3" i="3"/>
  <c r="B3" i="2"/>
  <c r="W80" i="10" l="1"/>
  <c r="S80" i="10"/>
  <c r="O80" i="10"/>
  <c r="O7" i="42" l="1"/>
  <c r="P71" i="10" l="1"/>
  <c r="K71" i="10"/>
  <c r="L71" i="48" l="1"/>
  <c r="L80" i="48"/>
  <c r="W71" i="48"/>
  <c r="W77" i="48" s="1"/>
  <c r="W80" i="48"/>
  <c r="L77" i="48"/>
  <c r="P13" i="42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O8" i="42"/>
  <c r="O6" i="42"/>
  <c r="O5" i="42"/>
  <c r="W81" i="48" l="1"/>
  <c r="L81" i="48"/>
  <c r="B18" i="42"/>
  <c r="B21" i="42"/>
  <c r="L9" i="35"/>
  <c r="K9" i="35" l="1"/>
  <c r="J9" i="35" l="1"/>
  <c r="C75" i="2" l="1"/>
  <c r="C74" i="2"/>
  <c r="C51" i="2"/>
  <c r="C50" i="2"/>
  <c r="C49" i="2"/>
  <c r="C48" i="2"/>
  <c r="C47" i="2"/>
  <c r="C43" i="2"/>
  <c r="C40" i="2"/>
  <c r="C39" i="2"/>
  <c r="C38" i="2"/>
  <c r="C37" i="2"/>
  <c r="C33" i="2"/>
  <c r="C32" i="2"/>
  <c r="C31" i="2"/>
  <c r="C30" i="2"/>
  <c r="C25" i="2"/>
  <c r="C24" i="2"/>
  <c r="E68" i="3" s="1"/>
  <c r="C23" i="2"/>
  <c r="E67" i="3" s="1"/>
  <c r="C21" i="2"/>
  <c r="C20" i="2"/>
  <c r="C19" i="2"/>
  <c r="E61" i="3" s="1"/>
  <c r="C18" i="2"/>
  <c r="E52" i="3" s="1"/>
  <c r="C14" i="2"/>
  <c r="E40" i="3" s="1"/>
  <c r="C13" i="2"/>
  <c r="C12" i="2"/>
  <c r="E14" i="3" s="1"/>
  <c r="C11" i="2"/>
  <c r="C10" i="2"/>
  <c r="C8" i="2"/>
  <c r="C7" i="2"/>
  <c r="E18" i="3" s="1"/>
  <c r="C6" i="2"/>
  <c r="E17" i="3" s="1"/>
  <c r="E69" i="3" l="1"/>
  <c r="C52" i="2"/>
  <c r="D68" i="2"/>
  <c r="C52" i="41" l="1"/>
  <c r="C25" i="41"/>
  <c r="C31" i="41" s="1"/>
  <c r="C54" i="41"/>
  <c r="C3" i="41"/>
  <c r="B3" i="41"/>
  <c r="X71" i="10" l="1"/>
  <c r="W71" i="10"/>
  <c r="V71" i="10"/>
  <c r="U71" i="10"/>
  <c r="T71" i="10"/>
  <c r="S71" i="10"/>
  <c r="R71" i="10"/>
  <c r="Q71" i="10"/>
  <c r="O71" i="10"/>
  <c r="N71" i="10"/>
  <c r="M71" i="10"/>
  <c r="L71" i="10"/>
  <c r="J71" i="10"/>
  <c r="I71" i="10"/>
  <c r="H71" i="10"/>
  <c r="G71" i="10"/>
  <c r="F71" i="10"/>
  <c r="E71" i="10"/>
  <c r="Z67" i="10"/>
  <c r="Y67" i="10"/>
  <c r="C67" i="10"/>
  <c r="C67" i="48" s="1"/>
  <c r="Z70" i="10"/>
  <c r="Y70" i="10"/>
  <c r="C70" i="10"/>
  <c r="C70" i="48" s="1"/>
  <c r="Z69" i="10"/>
  <c r="Y69" i="10"/>
  <c r="C69" i="10"/>
  <c r="C69" i="48" s="1"/>
  <c r="Z68" i="10"/>
  <c r="Y68" i="10"/>
  <c r="C68" i="10"/>
  <c r="C68" i="48" s="1"/>
  <c r="Z66" i="10"/>
  <c r="Y66" i="10"/>
  <c r="C66" i="10"/>
  <c r="C66" i="48" s="1"/>
  <c r="Z65" i="10"/>
  <c r="Y65" i="10"/>
  <c r="C65" i="10"/>
  <c r="C65" i="48" s="1"/>
  <c r="Z64" i="10"/>
  <c r="Y64" i="10"/>
  <c r="C64" i="10"/>
  <c r="C64" i="48" s="1"/>
  <c r="Z63" i="10"/>
  <c r="Y63" i="10"/>
  <c r="C63" i="10"/>
  <c r="C63" i="48" s="1"/>
  <c r="Z62" i="10"/>
  <c r="Y62" i="10"/>
  <c r="C62" i="10"/>
  <c r="C62" i="48" s="1"/>
  <c r="Z61" i="10"/>
  <c r="Y61" i="10"/>
  <c r="C61" i="10"/>
  <c r="C61" i="48" s="1"/>
  <c r="Z60" i="10"/>
  <c r="Y60" i="10"/>
  <c r="C60" i="10"/>
  <c r="C60" i="48" s="1"/>
  <c r="Z59" i="10"/>
  <c r="Y59" i="10"/>
  <c r="C59" i="10"/>
  <c r="C59" i="48" s="1"/>
  <c r="Z58" i="10"/>
  <c r="Y58" i="10"/>
  <c r="C58" i="10"/>
  <c r="C58" i="48" s="1"/>
  <c r="Z57" i="10"/>
  <c r="Y57" i="10"/>
  <c r="C57" i="10"/>
  <c r="C57" i="48" s="1"/>
  <c r="E26" i="2"/>
  <c r="E15" i="2"/>
  <c r="D26" i="2"/>
  <c r="D15" i="2"/>
  <c r="E44" i="2"/>
  <c r="D44" i="2"/>
  <c r="E52" i="2"/>
  <c r="D52" i="2"/>
  <c r="C68" i="2"/>
  <c r="B26" i="42" s="1"/>
  <c r="K80" i="10"/>
  <c r="I80" i="10"/>
  <c r="G80" i="10"/>
  <c r="Q74" i="10"/>
  <c r="Z86" i="48" s="1"/>
  <c r="U74" i="10"/>
  <c r="G71" i="48" l="1"/>
  <c r="G77" i="48" s="1"/>
  <c r="G80" i="48"/>
  <c r="O71" i="48"/>
  <c r="O77" i="48" s="1"/>
  <c r="O80" i="48"/>
  <c r="Z71" i="48"/>
  <c r="Z77" i="48" s="1"/>
  <c r="Z80" i="48"/>
  <c r="AH71" i="48"/>
  <c r="AH77" i="48" s="1"/>
  <c r="AH80" i="48"/>
  <c r="R71" i="48"/>
  <c r="R77" i="48" s="1"/>
  <c r="R80" i="48"/>
  <c r="AA71" i="48"/>
  <c r="AA80" i="48"/>
  <c r="AI71" i="48"/>
  <c r="AI77" i="48" s="1"/>
  <c r="AI80" i="48"/>
  <c r="E71" i="48"/>
  <c r="E80" i="48"/>
  <c r="J71" i="48"/>
  <c r="J77" i="48" s="1"/>
  <c r="J80" i="48"/>
  <c r="S71" i="48"/>
  <c r="S77" i="48" s="1"/>
  <c r="S80" i="48"/>
  <c r="AB71" i="48"/>
  <c r="AB77" i="48" s="1"/>
  <c r="AB80" i="48"/>
  <c r="AJ71" i="48"/>
  <c r="AJ80" i="48"/>
  <c r="F71" i="48"/>
  <c r="F77" i="48" s="1"/>
  <c r="F80" i="48"/>
  <c r="K71" i="48"/>
  <c r="K77" i="48" s="1"/>
  <c r="K80" i="48"/>
  <c r="T71" i="48"/>
  <c r="T77" i="48" s="1"/>
  <c r="T80" i="48"/>
  <c r="AE71" i="48"/>
  <c r="AE77" i="48" s="1"/>
  <c r="AE80" i="48"/>
  <c r="AM71" i="48"/>
  <c r="AM80" i="48"/>
  <c r="AH86" i="48"/>
  <c r="AH87" i="48" s="1"/>
  <c r="AM77" i="48"/>
  <c r="Z87" i="48"/>
  <c r="Z71" i="10"/>
  <c r="AS80" i="48" s="1"/>
  <c r="AS81" i="48" s="1"/>
  <c r="D71" i="10"/>
  <c r="M74" i="10"/>
  <c r="Y71" i="10"/>
  <c r="AP80" i="48" s="1"/>
  <c r="AP81" i="48" s="1"/>
  <c r="C71" i="10"/>
  <c r="AD71" i="10" s="1"/>
  <c r="D22" i="2"/>
  <c r="D27" i="2" s="1"/>
  <c r="D29" i="2" s="1"/>
  <c r="D34" i="2" s="1"/>
  <c r="D54" i="2" s="1"/>
  <c r="D70" i="2" s="1"/>
  <c r="E22" i="2"/>
  <c r="E27" i="2" s="1"/>
  <c r="E29" i="2" s="1"/>
  <c r="E34" i="2" s="1"/>
  <c r="E54" i="2" s="1"/>
  <c r="E70" i="2" s="1"/>
  <c r="Y80" i="10"/>
  <c r="J81" i="48" l="1"/>
  <c r="AM81" i="48"/>
  <c r="T81" i="48"/>
  <c r="AI81" i="48"/>
  <c r="R81" i="48"/>
  <c r="Z81" i="48"/>
  <c r="G81" i="48"/>
  <c r="AB81" i="48"/>
  <c r="O81" i="48"/>
  <c r="AE81" i="48"/>
  <c r="S81" i="48"/>
  <c r="AJ81" i="48"/>
  <c r="F81" i="48"/>
  <c r="K81" i="48"/>
  <c r="AH81" i="48"/>
  <c r="E81" i="48"/>
  <c r="AA81" i="48"/>
  <c r="D71" i="48"/>
  <c r="D77" i="48" s="1"/>
  <c r="D80" i="48"/>
  <c r="D81" i="48" s="1"/>
  <c r="E77" i="48"/>
  <c r="AJ77" i="48"/>
  <c r="AA77" i="48"/>
  <c r="C71" i="48"/>
  <c r="C80" i="48"/>
  <c r="R86" i="48"/>
  <c r="R87" i="48" s="1"/>
  <c r="C81" i="48" l="1"/>
  <c r="I54" i="26"/>
  <c r="O64" i="26" l="1"/>
  <c r="C64" i="26" s="1"/>
  <c r="I64" i="26"/>
  <c r="O63" i="26" l="1"/>
  <c r="I9" i="30" l="1"/>
  <c r="J9" i="30" s="1"/>
  <c r="C9" i="30"/>
  <c r="D9" i="30" s="1"/>
  <c r="E52" i="35" l="1"/>
  <c r="C15" i="30" l="1"/>
  <c r="D15" i="30" s="1"/>
  <c r="C14" i="30"/>
  <c r="D14" i="30" s="1"/>
  <c r="C13" i="30"/>
  <c r="D13" i="30" s="1"/>
  <c r="C12" i="30"/>
  <c r="D12" i="30" s="1"/>
  <c r="C11" i="30"/>
  <c r="D11" i="30" s="1"/>
  <c r="C10" i="30"/>
  <c r="D10" i="30" s="1"/>
  <c r="I15" i="30"/>
  <c r="J15" i="30" s="1"/>
  <c r="I14" i="30"/>
  <c r="J14" i="30" s="1"/>
  <c r="I13" i="30"/>
  <c r="J13" i="30" s="1"/>
  <c r="I12" i="30"/>
  <c r="J12" i="30" s="1"/>
  <c r="I11" i="30"/>
  <c r="J11" i="30" s="1"/>
  <c r="I10" i="30"/>
  <c r="J10" i="30" s="1"/>
  <c r="I8" i="30"/>
  <c r="J8" i="30" s="1"/>
  <c r="C8" i="30"/>
  <c r="D8" i="30" s="1"/>
  <c r="C44" i="35"/>
  <c r="D44" i="35" s="1"/>
  <c r="C43" i="35"/>
  <c r="D43" i="35" s="1"/>
  <c r="C42" i="35"/>
  <c r="D42" i="35" s="1"/>
  <c r="C41" i="35"/>
  <c r="D41" i="35" s="1"/>
  <c r="C40" i="35"/>
  <c r="D40" i="35" s="1"/>
  <c r="C39" i="35"/>
  <c r="D39" i="35" s="1"/>
  <c r="C35" i="35"/>
  <c r="C34" i="35"/>
  <c r="C33" i="35"/>
  <c r="AA32" i="40" s="1"/>
  <c r="C32" i="35"/>
  <c r="AA31" i="40" s="1"/>
  <c r="C31" i="35"/>
  <c r="C30" i="35"/>
  <c r="C26" i="35"/>
  <c r="D26" i="35" s="1"/>
  <c r="C23" i="35"/>
  <c r="D23" i="35" s="1"/>
  <c r="C22" i="35"/>
  <c r="D22" i="35" s="1"/>
  <c r="C21" i="35"/>
  <c r="D21" i="35" s="1"/>
  <c r="C20" i="35"/>
  <c r="AA16" i="40" s="1"/>
  <c r="C16" i="35"/>
  <c r="C13" i="35"/>
  <c r="D13" i="35" s="1"/>
  <c r="C12" i="35"/>
  <c r="C11" i="35"/>
  <c r="C10" i="35"/>
  <c r="AA11" i="40" s="1"/>
  <c r="D31" i="35" l="1"/>
  <c r="AA30" i="40"/>
  <c r="D35" i="35"/>
  <c r="AA35" i="40"/>
  <c r="D30" i="35"/>
  <c r="AA29" i="40"/>
  <c r="D34" i="35"/>
  <c r="AA33" i="40"/>
  <c r="D11" i="35"/>
  <c r="AA23" i="40"/>
  <c r="AA22" i="40"/>
  <c r="D16" i="35"/>
  <c r="AA26" i="40"/>
  <c r="D12" i="35"/>
  <c r="AA21" i="40"/>
  <c r="D20" i="35"/>
  <c r="AA17" i="40" s="1"/>
  <c r="D10" i="35"/>
  <c r="AA12" i="40" s="1"/>
  <c r="D32" i="35"/>
  <c r="D33" i="35"/>
  <c r="H32" i="10"/>
  <c r="Q62" i="26" l="1"/>
  <c r="C33" i="26" l="1"/>
  <c r="I33" i="26"/>
  <c r="C32" i="26"/>
  <c r="I32" i="26"/>
  <c r="Z73" i="10"/>
  <c r="Y73" i="10"/>
  <c r="Z50" i="10"/>
  <c r="Y5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Y54" i="10" l="1"/>
  <c r="Z54" i="10"/>
  <c r="C60" i="26"/>
  <c r="I60" i="26"/>
  <c r="C58" i="26"/>
  <c r="I58" i="26"/>
  <c r="C57" i="26"/>
  <c r="I57" i="26"/>
  <c r="C56" i="26"/>
  <c r="I56" i="26"/>
  <c r="C55" i="26"/>
  <c r="I55" i="26"/>
  <c r="I53" i="26"/>
  <c r="C52" i="26"/>
  <c r="I52" i="26"/>
  <c r="C51" i="26"/>
  <c r="I51" i="26"/>
  <c r="C50" i="26"/>
  <c r="I50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4" i="26"/>
  <c r="I34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7" i="35" l="1"/>
  <c r="H37" i="35" s="1"/>
  <c r="E37" i="35"/>
  <c r="F37" i="35" s="1"/>
  <c r="C37" i="35"/>
  <c r="D37" i="35" s="1"/>
  <c r="G28" i="35"/>
  <c r="E28" i="35"/>
  <c r="C28" i="35"/>
  <c r="G18" i="35"/>
  <c r="H18" i="35" s="1"/>
  <c r="E18" i="35"/>
  <c r="F18" i="35" s="1"/>
  <c r="C18" i="35"/>
  <c r="D18" i="35" s="1"/>
  <c r="G8" i="35"/>
  <c r="H8" i="35" s="1"/>
  <c r="E8" i="35"/>
  <c r="F8" i="35" s="1"/>
  <c r="C8" i="35"/>
  <c r="D8" i="35" s="1"/>
  <c r="C16" i="30"/>
  <c r="AC27" i="40" l="1"/>
  <c r="AC36" i="40"/>
  <c r="AC28" i="40"/>
  <c r="D28" i="35"/>
  <c r="AA28" i="40"/>
  <c r="AA27" i="40"/>
  <c r="AA36" i="40"/>
  <c r="AB27" i="40"/>
  <c r="AB28" i="40"/>
  <c r="AB36" i="40"/>
  <c r="C25" i="30"/>
  <c r="C26" i="30" s="1"/>
  <c r="F28" i="35"/>
  <c r="L8" i="35"/>
  <c r="L10" i="35" s="1"/>
  <c r="J8" i="35"/>
  <c r="J10" i="35" s="1"/>
  <c r="K8" i="35"/>
  <c r="K10" i="35" s="1"/>
  <c r="G55" i="35"/>
  <c r="D16" i="30"/>
  <c r="C55" i="35"/>
  <c r="G51" i="35"/>
  <c r="H28" i="35"/>
  <c r="G59" i="35"/>
  <c r="E51" i="35"/>
  <c r="C59" i="35"/>
  <c r="C51" i="35"/>
  <c r="H62" i="26"/>
  <c r="G62" i="26"/>
  <c r="F62" i="26"/>
  <c r="E62" i="26"/>
  <c r="D62" i="26"/>
  <c r="J62" i="26"/>
  <c r="M62" i="26"/>
  <c r="N62" i="26"/>
  <c r="C63" i="26"/>
  <c r="C62" i="26" s="1"/>
  <c r="I63" i="26"/>
  <c r="I62" i="26" l="1"/>
  <c r="Z34" i="9"/>
  <c r="Z24" i="9"/>
  <c r="Z23" i="9"/>
  <c r="C7" i="10" l="1"/>
  <c r="C7" i="48" l="1"/>
  <c r="AD7" i="10"/>
  <c r="M16" i="30"/>
  <c r="M28" i="30" s="1"/>
  <c r="K16" i="30"/>
  <c r="L16" i="30" s="1"/>
  <c r="I16" i="30"/>
  <c r="G16" i="30"/>
  <c r="E16" i="30"/>
  <c r="F16" i="30" s="1"/>
  <c r="K28" i="30" l="1"/>
  <c r="I28" i="30"/>
  <c r="G25" i="30"/>
  <c r="G26" i="30" s="1"/>
  <c r="E25" i="30"/>
  <c r="E26" i="30" s="1"/>
  <c r="N16" i="30"/>
  <c r="H16" i="30"/>
  <c r="J16" i="30"/>
  <c r="N9" i="26"/>
  <c r="M9" i="26"/>
  <c r="L9" i="26"/>
  <c r="J9" i="26"/>
  <c r="K2" i="30" l="1"/>
  <c r="C26" i="2" l="1"/>
  <c r="T62" i="26" l="1"/>
  <c r="S62" i="26"/>
  <c r="R62" i="26"/>
  <c r="P62" i="26"/>
  <c r="O62" i="26"/>
  <c r="X32" i="10" l="1"/>
  <c r="AM32" i="48" s="1"/>
  <c r="W32" i="10"/>
  <c r="AJ32" i="48" s="1"/>
  <c r="V32" i="10"/>
  <c r="AI32" i="48" s="1"/>
  <c r="AN32" i="48" s="1"/>
  <c r="U32" i="10"/>
  <c r="AH32" i="48" s="1"/>
  <c r="AK32" i="48" s="1"/>
  <c r="T32" i="10"/>
  <c r="AE32" i="48" s="1"/>
  <c r="S32" i="10"/>
  <c r="AB32" i="48" s="1"/>
  <c r="R32" i="10"/>
  <c r="AA32" i="48" s="1"/>
  <c r="AF32" i="48" s="1"/>
  <c r="Q32" i="10"/>
  <c r="Z32" i="48" s="1"/>
  <c r="AC32" i="48" s="1"/>
  <c r="P32" i="10"/>
  <c r="W32" i="48" s="1"/>
  <c r="O32" i="10"/>
  <c r="T32" i="48" s="1"/>
  <c r="N32" i="10"/>
  <c r="S32" i="48" s="1"/>
  <c r="X32" i="48" s="1"/>
  <c r="M32" i="10"/>
  <c r="R32" i="48" s="1"/>
  <c r="U32" i="48" s="1"/>
  <c r="L32" i="10"/>
  <c r="O32" i="48" s="1"/>
  <c r="K32" i="10"/>
  <c r="L32" i="48" s="1"/>
  <c r="J32" i="10"/>
  <c r="K32" i="48" s="1"/>
  <c r="P32" i="48" s="1"/>
  <c r="AT32" i="48" s="1"/>
  <c r="I32" i="10"/>
  <c r="J32" i="48" s="1"/>
  <c r="M32" i="48" s="1"/>
  <c r="G32" i="10"/>
  <c r="G32" i="48" s="1"/>
  <c r="F32" i="10"/>
  <c r="F32" i="48" s="1"/>
  <c r="E32" i="10"/>
  <c r="E32" i="48" s="1"/>
  <c r="H32" i="48" s="1"/>
  <c r="X31" i="10"/>
  <c r="AM31" i="48" s="1"/>
  <c r="W31" i="10"/>
  <c r="AJ31" i="48" s="1"/>
  <c r="V31" i="10"/>
  <c r="AI31" i="48" s="1"/>
  <c r="U31" i="10"/>
  <c r="T31" i="10"/>
  <c r="AE31" i="48" s="1"/>
  <c r="S31" i="10"/>
  <c r="AB31" i="48" s="1"/>
  <c r="R31" i="10"/>
  <c r="AA31" i="48" s="1"/>
  <c r="Q31" i="10"/>
  <c r="P31" i="10"/>
  <c r="W31" i="48" s="1"/>
  <c r="O31" i="10"/>
  <c r="T31" i="48" s="1"/>
  <c r="N31" i="10"/>
  <c r="S31" i="48" s="1"/>
  <c r="M31" i="10"/>
  <c r="L31" i="10"/>
  <c r="O31" i="48" s="1"/>
  <c r="K31" i="10"/>
  <c r="AE10" i="40" s="1"/>
  <c r="AE11" i="40" s="1"/>
  <c r="J31" i="10"/>
  <c r="K31" i="48" s="1"/>
  <c r="I31" i="10"/>
  <c r="AE8" i="40" s="1"/>
  <c r="AE9" i="40" s="1"/>
  <c r="H31" i="10"/>
  <c r="G31" i="10"/>
  <c r="AD10" i="40" s="1"/>
  <c r="AD11" i="40" s="1"/>
  <c r="F31" i="10"/>
  <c r="F31" i="48" s="1"/>
  <c r="E31" i="10"/>
  <c r="AD8" i="40" s="1"/>
  <c r="AD9" i="40" s="1"/>
  <c r="X74" i="10"/>
  <c r="V74" i="10"/>
  <c r="T74" i="10"/>
  <c r="R74" i="10"/>
  <c r="AA86" i="48" s="1"/>
  <c r="P74" i="10"/>
  <c r="N74" i="10"/>
  <c r="L74" i="10"/>
  <c r="J74" i="10"/>
  <c r="H74" i="10"/>
  <c r="F74" i="10"/>
  <c r="Z30" i="10"/>
  <c r="Y3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L42" i="13" s="1"/>
  <c r="Z12" i="10"/>
  <c r="Y12" i="10"/>
  <c r="Z11" i="10"/>
  <c r="Y11" i="10"/>
  <c r="Z10" i="10"/>
  <c r="Y10" i="10"/>
  <c r="Z9" i="10"/>
  <c r="Y9" i="10"/>
  <c r="Z8" i="10"/>
  <c r="Y8" i="10"/>
  <c r="Z7" i="10"/>
  <c r="Y7" i="10"/>
  <c r="Z72" i="10"/>
  <c r="AS83" i="48" s="1"/>
  <c r="AS84" i="48" s="1"/>
  <c r="Z35" i="10"/>
  <c r="Z53" i="10" s="1"/>
  <c r="G54" i="35"/>
  <c r="G56" i="35" s="1"/>
  <c r="C72" i="10"/>
  <c r="C73" i="10"/>
  <c r="C73" i="48" s="1"/>
  <c r="C30" i="10"/>
  <c r="C30" i="48" s="1"/>
  <c r="C29" i="48"/>
  <c r="C28" i="10"/>
  <c r="C28" i="48" s="1"/>
  <c r="C27" i="48"/>
  <c r="C26" i="10"/>
  <c r="C26" i="48" s="1"/>
  <c r="C25" i="48"/>
  <c r="C24" i="10"/>
  <c r="C24" i="48" s="1"/>
  <c r="C23" i="48"/>
  <c r="C22" i="10"/>
  <c r="C22" i="48" s="1"/>
  <c r="C21" i="48"/>
  <c r="C20" i="10"/>
  <c r="C20" i="48" s="1"/>
  <c r="C19" i="48"/>
  <c r="C18" i="10"/>
  <c r="C18" i="48" s="1"/>
  <c r="C17" i="48"/>
  <c r="C16" i="10"/>
  <c r="C16" i="48" s="1"/>
  <c r="C15" i="48"/>
  <c r="C14" i="10"/>
  <c r="C14" i="48" s="1"/>
  <c r="C13" i="48"/>
  <c r="C12" i="10"/>
  <c r="C12" i="48" s="1"/>
  <c r="C11" i="48"/>
  <c r="C10" i="10"/>
  <c r="C10" i="48" s="1"/>
  <c r="C9" i="48"/>
  <c r="C8" i="10"/>
  <c r="C8" i="48" s="1"/>
  <c r="C50" i="10"/>
  <c r="C50" i="48" s="1"/>
  <c r="C49" i="48"/>
  <c r="C48" i="10"/>
  <c r="C48" i="48" s="1"/>
  <c r="C47" i="48"/>
  <c r="C46" i="10"/>
  <c r="C46" i="48" s="1"/>
  <c r="C45" i="48"/>
  <c r="C44" i="10"/>
  <c r="C44" i="48" s="1"/>
  <c r="C43" i="48"/>
  <c r="C42" i="10"/>
  <c r="C42" i="48" s="1"/>
  <c r="C41" i="48"/>
  <c r="C40" i="10"/>
  <c r="C40" i="48" s="1"/>
  <c r="C39" i="48"/>
  <c r="C38" i="10"/>
  <c r="C38" i="48" s="1"/>
  <c r="C37" i="48"/>
  <c r="C36" i="10"/>
  <c r="C36" i="48" s="1"/>
  <c r="C35" i="48"/>
  <c r="R31" i="48" l="1"/>
  <c r="R76" i="48" s="1"/>
  <c r="AF8" i="40"/>
  <c r="AF9" i="40" s="1"/>
  <c r="Z31" i="48"/>
  <c r="Z76" i="48" s="1"/>
  <c r="AG8" i="40"/>
  <c r="AG9" i="40" s="1"/>
  <c r="AH31" i="48"/>
  <c r="AH76" i="48" s="1"/>
  <c r="AH8" i="40"/>
  <c r="AH9" i="40" s="1"/>
  <c r="C72" i="48"/>
  <c r="C83" i="48"/>
  <c r="W86" i="48"/>
  <c r="W87" i="48" s="1"/>
  <c r="AM86" i="48"/>
  <c r="AM87" i="48" s="1"/>
  <c r="K86" i="48"/>
  <c r="K87" i="48" s="1"/>
  <c r="O86" i="48"/>
  <c r="O87" i="48" s="1"/>
  <c r="AE86" i="48"/>
  <c r="AE87" i="48" s="1"/>
  <c r="F86" i="48"/>
  <c r="F87" i="48" s="1"/>
  <c r="S86" i="48"/>
  <c r="S87" i="48" s="1"/>
  <c r="AI86" i="48"/>
  <c r="AI87" i="48" s="1"/>
  <c r="AQ32" i="48"/>
  <c r="AA87" i="48"/>
  <c r="O76" i="48"/>
  <c r="O75" i="48"/>
  <c r="R75" i="48"/>
  <c r="S76" i="48"/>
  <c r="S75" i="48"/>
  <c r="AP32" i="48"/>
  <c r="N32" i="48"/>
  <c r="T75" i="48"/>
  <c r="T76" i="48"/>
  <c r="Q32" i="48"/>
  <c r="W75" i="48"/>
  <c r="W76" i="48"/>
  <c r="Z75" i="48"/>
  <c r="AA75" i="48"/>
  <c r="AA76" i="48"/>
  <c r="V32" i="48"/>
  <c r="AB76" i="48"/>
  <c r="AB75" i="48"/>
  <c r="AS32" i="48"/>
  <c r="AU32" i="48" s="1"/>
  <c r="Y32" i="48"/>
  <c r="AE75" i="48"/>
  <c r="AE76" i="48"/>
  <c r="E31" i="48"/>
  <c r="F76" i="48"/>
  <c r="F75" i="48"/>
  <c r="AI76" i="48"/>
  <c r="AI75" i="48"/>
  <c r="AD32" i="48"/>
  <c r="G31" i="48"/>
  <c r="AJ75" i="48"/>
  <c r="AJ76" i="48"/>
  <c r="AG32" i="48"/>
  <c r="AM76" i="48"/>
  <c r="AM75" i="48"/>
  <c r="J31" i="48"/>
  <c r="K76" i="48"/>
  <c r="K75" i="48"/>
  <c r="AL32" i="48"/>
  <c r="L31" i="48"/>
  <c r="I32" i="48"/>
  <c r="AO32" i="48"/>
  <c r="H92" i="24"/>
  <c r="H93" i="24" s="1"/>
  <c r="C54" i="35"/>
  <c r="C56" i="35" s="1"/>
  <c r="I92" i="24"/>
  <c r="I93" i="24" s="1"/>
  <c r="G92" i="24"/>
  <c r="G93" i="24" s="1"/>
  <c r="F92" i="24"/>
  <c r="F93" i="24" s="1"/>
  <c r="B14" i="42"/>
  <c r="B13" i="42" s="1"/>
  <c r="B11" i="42"/>
  <c r="C53" i="10"/>
  <c r="AD53" i="10" s="1"/>
  <c r="Y32" i="10"/>
  <c r="I74" i="10"/>
  <c r="I82" i="10"/>
  <c r="M82" i="10"/>
  <c r="Q82" i="10"/>
  <c r="U82" i="10"/>
  <c r="K74" i="10"/>
  <c r="K82" i="10"/>
  <c r="S74" i="10"/>
  <c r="S82" i="10"/>
  <c r="W74" i="10"/>
  <c r="W82" i="10"/>
  <c r="O74" i="10"/>
  <c r="O82" i="10"/>
  <c r="E74" i="10"/>
  <c r="G74" i="10"/>
  <c r="G82" i="10"/>
  <c r="Z31" i="10"/>
  <c r="Y31" i="10"/>
  <c r="L49" i="13" s="1"/>
  <c r="Z32" i="10"/>
  <c r="D31" i="10"/>
  <c r="D32" i="10"/>
  <c r="D32" i="48" s="1"/>
  <c r="D74" i="10"/>
  <c r="C32" i="10"/>
  <c r="C32" i="48" s="1"/>
  <c r="C31" i="10"/>
  <c r="AD31" i="10" s="1"/>
  <c r="Z74" i="10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AA9" i="9" s="1"/>
  <c r="Z12" i="9"/>
  <c r="AH75" i="48" l="1"/>
  <c r="D31" i="48"/>
  <c r="D76" i="48" s="1"/>
  <c r="AC8" i="40"/>
  <c r="AB8" i="40" s="1"/>
  <c r="AR32" i="48"/>
  <c r="C84" i="48"/>
  <c r="G86" i="48"/>
  <c r="G87" i="48" s="1"/>
  <c r="J86" i="48"/>
  <c r="J87" i="48" s="1"/>
  <c r="T86" i="48"/>
  <c r="T87" i="48" s="1"/>
  <c r="AB86" i="48"/>
  <c r="AB87" i="48" s="1"/>
  <c r="D86" i="48"/>
  <c r="D87" i="48" s="1"/>
  <c r="AS86" i="48"/>
  <c r="AS87" i="48" s="1"/>
  <c r="E86" i="48"/>
  <c r="E87" i="48" s="1"/>
  <c r="AJ86" i="48"/>
  <c r="AJ87" i="48" s="1"/>
  <c r="L86" i="48"/>
  <c r="L87" i="48" s="1"/>
  <c r="C74" i="10"/>
  <c r="C53" i="48"/>
  <c r="C58" i="35"/>
  <c r="C60" i="35" s="1"/>
  <c r="C31" i="48"/>
  <c r="J76" i="48"/>
  <c r="J75" i="48"/>
  <c r="E75" i="48"/>
  <c r="E76" i="48"/>
  <c r="G76" i="48"/>
  <c r="G75" i="48"/>
  <c r="L76" i="48"/>
  <c r="L75" i="48"/>
  <c r="G58" i="35"/>
  <c r="G52" i="35" s="1"/>
  <c r="L32" i="13"/>
  <c r="D75" i="48" l="1"/>
  <c r="C77" i="48"/>
  <c r="C74" i="48"/>
  <c r="C86" i="48"/>
  <c r="C52" i="35"/>
  <c r="C76" i="48"/>
  <c r="C75" i="48"/>
  <c r="G60" i="35"/>
  <c r="T9" i="26"/>
  <c r="W81" i="10" s="1"/>
  <c r="W83" i="10" s="1"/>
  <c r="S9" i="26"/>
  <c r="S81" i="10" s="1"/>
  <c r="S83" i="10" s="1"/>
  <c r="R9" i="26"/>
  <c r="O81" i="10" s="1"/>
  <c r="O83" i="10" s="1"/>
  <c r="I12" i="26"/>
  <c r="I9" i="26" s="1"/>
  <c r="C87" i="48" l="1"/>
  <c r="C12" i="26"/>
  <c r="Z22" i="9"/>
  <c r="C70" i="3"/>
  <c r="C61" i="3"/>
  <c r="G19" i="2" s="1"/>
  <c r="C52" i="3"/>
  <c r="G18" i="2" s="1"/>
  <c r="C36" i="3"/>
  <c r="C28" i="3"/>
  <c r="G9" i="2" s="1"/>
  <c r="C19" i="3"/>
  <c r="C14" i="3"/>
  <c r="G12" i="2" s="1"/>
  <c r="A13" i="24"/>
  <c r="A14" i="24" s="1"/>
  <c r="A17" i="24" s="1"/>
  <c r="A18" i="24" s="1"/>
  <c r="A19" i="24" s="1"/>
  <c r="A20" i="24" s="1"/>
  <c r="A21" i="24" s="1"/>
  <c r="A22" i="24" s="1"/>
  <c r="A25" i="24" s="1"/>
  <c r="A26" i="24" s="1"/>
  <c r="A27" i="24" s="1"/>
  <c r="A28" i="24" s="1"/>
  <c r="A29" i="24" s="1"/>
  <c r="A32" i="24" s="1"/>
  <c r="A33" i="24" s="1"/>
  <c r="A34" i="24" s="1"/>
  <c r="A35" i="24" s="1"/>
  <c r="A36" i="24" s="1"/>
  <c r="A39" i="24" s="1"/>
  <c r="A40" i="24" s="1"/>
  <c r="A41" i="24" s="1"/>
  <c r="A42" i="24" s="1"/>
  <c r="A43" i="24" s="1"/>
  <c r="A46" i="24" s="1"/>
  <c r="A47" i="24" s="1"/>
  <c r="A48" i="24" s="1"/>
  <c r="A49" i="24" s="1"/>
  <c r="A50" i="24" s="1"/>
  <c r="A53" i="24" s="1"/>
  <c r="A54" i="24" s="1"/>
  <c r="A55" i="24" s="1"/>
  <c r="Y72" i="10"/>
  <c r="AP83" i="48" s="1"/>
  <c r="AP84" i="48" s="1"/>
  <c r="Y35" i="10"/>
  <c r="Y53" i="10" s="1"/>
  <c r="C44" i="2"/>
  <c r="C7" i="6"/>
  <c r="K34" i="20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5" i="2"/>
  <c r="E42" i="3" s="1"/>
  <c r="C22" i="2"/>
  <c r="C27" i="2" s="1"/>
  <c r="E72" i="3" s="1"/>
  <c r="A57" i="24"/>
  <c r="A58" i="24" s="1"/>
  <c r="A61" i="24" s="1"/>
  <c r="A62" i="24" s="1"/>
  <c r="A63" i="24" s="1"/>
  <c r="A64" i="24" s="1"/>
  <c r="A65" i="24" s="1"/>
  <c r="A66" i="24" s="1"/>
  <c r="A67" i="24" s="1"/>
  <c r="A68" i="24" s="1"/>
  <c r="A69" i="24" s="1"/>
  <c r="A70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Y82" i="10"/>
  <c r="C42" i="3"/>
  <c r="G15" i="2" s="1"/>
  <c r="C63" i="3"/>
  <c r="C72" i="3" s="1"/>
  <c r="G27" i="2" s="1"/>
  <c r="Z35" i="9"/>
  <c r="K33" i="9" s="1"/>
  <c r="K32" i="9" l="1"/>
  <c r="K35" i="9"/>
  <c r="K31" i="9"/>
  <c r="K29" i="9"/>
  <c r="K28" i="9"/>
  <c r="K30" i="9"/>
  <c r="K27" i="9"/>
  <c r="K26" i="9"/>
  <c r="K25" i="9"/>
  <c r="C29" i="2"/>
  <c r="Y74" i="10"/>
  <c r="AP86" i="48" l="1"/>
  <c r="AP87" i="48" s="1"/>
  <c r="B27" i="42"/>
  <c r="B23" i="42"/>
  <c r="C34" i="2"/>
  <c r="C54" i="2" s="1"/>
  <c r="C70" i="2" s="1"/>
  <c r="B17" i="42" s="1"/>
  <c r="B16" i="42" s="1"/>
  <c r="E46" i="41"/>
  <c r="C45" i="41"/>
  <c r="C44" i="41"/>
  <c r="D52" i="41"/>
  <c r="B24" i="42" l="1"/>
  <c r="B22" i="42" s="1"/>
  <c r="B25" i="42"/>
  <c r="C46" i="41"/>
  <c r="C43" i="41" s="1"/>
  <c r="C35" i="41" s="1"/>
  <c r="C40" i="41" s="1"/>
  <c r="K44" i="20" l="1"/>
  <c r="C51" i="41"/>
  <c r="F14" i="24" l="1"/>
  <c r="O49" i="26" l="1"/>
  <c r="C49" i="26" l="1"/>
  <c r="Q9" i="26"/>
  <c r="K81" i="10" s="1"/>
  <c r="K83" i="10" l="1"/>
  <c r="Y81" i="10"/>
  <c r="Y83" i="10" s="1"/>
  <c r="O53" i="26" l="1"/>
  <c r="C53" i="26" l="1"/>
  <c r="K29" i="20" l="1"/>
  <c r="K27" i="20"/>
  <c r="P9" i="26" l="1"/>
  <c r="G81" i="10" s="1"/>
  <c r="G83" i="10" s="1"/>
  <c r="O54" i="26"/>
  <c r="O9" i="26" l="1"/>
  <c r="C54" i="26" l="1"/>
  <c r="D73" i="2" l="1"/>
  <c r="D77" i="2" s="1"/>
  <c r="E73" i="2"/>
  <c r="E77" i="2" s="1"/>
  <c r="C71" i="2"/>
  <c r="C73" i="2" s="1"/>
  <c r="C77" i="2" s="1"/>
  <c r="C8" i="6" l="1"/>
  <c r="B20" i="42"/>
  <c r="B19" i="42" s="1"/>
  <c r="C14" i="6" l="1"/>
  <c r="Q9" i="30" l="1"/>
  <c r="E8" i="6" l="1"/>
  <c r="C93" i="24" l="1"/>
  <c r="Q14" i="30" l="1"/>
  <c r="Q11" i="30"/>
  <c r="M29" i="30" l="1"/>
  <c r="Q15" i="30"/>
  <c r="Q12" i="30"/>
  <c r="Q10" i="30" l="1"/>
  <c r="Q13" i="30"/>
  <c r="B32" i="42" l="1"/>
  <c r="B29" i="42" s="1"/>
  <c r="E14" i="6" l="1"/>
  <c r="B12" i="42" l="1"/>
  <c r="B10" i="42" s="1"/>
  <c r="B39" i="42"/>
  <c r="K27" i="30"/>
  <c r="K29" i="30" s="1"/>
  <c r="I29" i="30"/>
  <c r="Q8" i="30" l="1"/>
  <c r="B31" i="42" l="1"/>
  <c r="Q16" i="30"/>
  <c r="B37" i="42" l="1"/>
  <c r="D9" i="26" l="1"/>
  <c r="E80" i="10"/>
  <c r="E82" i="10" s="1"/>
  <c r="C41" i="26"/>
  <c r="C9" i="26" s="1"/>
  <c r="D74" i="26"/>
  <c r="D75" i="26" s="1"/>
  <c r="B6" i="42" l="1"/>
  <c r="B9" i="42"/>
  <c r="B8" i="42" l="1"/>
  <c r="B7" i="42" s="1"/>
  <c r="I25" i="20"/>
  <c r="K25" i="20" s="1"/>
  <c r="I36" i="20"/>
  <c r="K36" i="20" s="1"/>
  <c r="I31" i="20"/>
  <c r="K31" i="20" s="1"/>
  <c r="I39" i="20"/>
  <c r="K39" i="20" s="1"/>
  <c r="I41" i="20"/>
  <c r="K41" i="20" s="1"/>
  <c r="I11" i="20"/>
  <c r="K11" i="20" s="1"/>
  <c r="I9" i="20"/>
  <c r="K9" i="20" s="1"/>
  <c r="B5" i="42" l="1"/>
  <c r="B4" i="42" s="1"/>
  <c r="I7" i="20" l="1"/>
  <c r="K7" i="20" s="1"/>
  <c r="M49" i="13" l="1"/>
  <c r="I23" i="20" l="1"/>
  <c r="K23" i="20" s="1"/>
  <c r="I20" i="20" l="1"/>
  <c r="K20" i="20" s="1"/>
  <c r="C73" i="26" l="1"/>
  <c r="B36" i="42"/>
  <c r="I13" i="20"/>
  <c r="K13" i="20" s="1"/>
  <c r="B30" i="42" l="1"/>
  <c r="B28" i="42" s="1"/>
  <c r="B34" i="42"/>
  <c r="I16" i="20" l="1"/>
  <c r="K16" i="20" s="1"/>
  <c r="I21" i="20" l="1"/>
  <c r="K21" i="20" s="1"/>
  <c r="I22" i="20"/>
  <c r="K22" i="20" s="1"/>
  <c r="I19" i="20"/>
  <c r="K19" i="20" s="1"/>
  <c r="I18" i="20" l="1"/>
  <c r="K18" i="20" s="1"/>
</calcChain>
</file>

<file path=xl/sharedStrings.xml><?xml version="1.0" encoding="utf-8"?>
<sst xmlns="http://schemas.openxmlformats.org/spreadsheetml/2006/main" count="1933" uniqueCount="859">
  <si>
    <t>Подпись Председателя правления:</t>
  </si>
  <si>
    <t>Подпись Главного Бухгалтера:</t>
  </si>
  <si>
    <t>1</t>
  </si>
  <si>
    <t>5</t>
  </si>
  <si>
    <t>4</t>
  </si>
  <si>
    <t>2</t>
  </si>
  <si>
    <t>3</t>
  </si>
  <si>
    <t>7</t>
  </si>
  <si>
    <t>6</t>
  </si>
  <si>
    <t xml:space="preserve">  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</si>
  <si>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</si>
  <si>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</si>
  <si>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</si>
  <si>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</si>
  <si>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</si>
  <si>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</si>
  <si>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</si>
  <si>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</si>
  <si>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</si>
  <si>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</si>
  <si>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</si>
  <si>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</si>
  <si>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</si>
  <si>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</si>
  <si>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Активы для расчета левеража</t>
  </si>
  <si>
    <t>4.2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</si>
  <si>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</si>
  <si>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</si>
  <si>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</si>
  <si>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</si>
  <si>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</si>
  <si>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</si>
  <si>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 xml:space="preserve">Общие активы </t>
  </si>
  <si>
    <t>Коэффициент левеража</t>
  </si>
  <si>
    <t>2.2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</si>
  <si>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</si>
  <si>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</si>
  <si>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</si>
  <si>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</si>
  <si>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</si>
  <si>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</si>
  <si>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</si>
  <si>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</si>
  <si>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</si>
  <si>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</si>
  <si>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</si>
  <si>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</si>
  <si>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</si>
  <si>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</si>
  <si>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</si>
  <si>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</si>
  <si>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</si>
  <si>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</si>
  <si>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</si>
  <si>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</si>
  <si>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</si>
  <si>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</si>
  <si>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</si>
  <si>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</si>
  <si>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</si>
  <si>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</si>
  <si>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</si>
  <si>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</si>
  <si>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</si>
  <si>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(Ж)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</si>
  <si>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</si>
  <si>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</si>
  <si>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</si>
  <si>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</si>
  <si>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</si>
  <si>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</si>
  <si>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</si>
  <si>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</si>
  <si>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</si>
  <si>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</si>
  <si>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</si>
  <si>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%</t>
  </si>
  <si>
    <t>Всего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</si>
  <si>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</si>
  <si>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</si>
  <si>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</si>
  <si>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</si>
  <si>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</si>
  <si>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</si>
  <si>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</si>
  <si>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</si>
  <si>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</si>
  <si>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</si>
  <si>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</si>
  <si>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В</t>
  </si>
  <si>
    <t>Е</t>
  </si>
  <si>
    <t>3.</t>
  </si>
  <si>
    <t>1.1</t>
  </si>
  <si>
    <t>1.2</t>
  </si>
  <si>
    <t>1.3</t>
  </si>
  <si>
    <t>1.4</t>
  </si>
  <si>
    <t>Формула</t>
  </si>
  <si>
    <t xml:space="preserve">                              A</t>
  </si>
  <si>
    <t>Мин</t>
  </si>
  <si>
    <t>Левераж</t>
  </si>
  <si>
    <t>2.1</t>
  </si>
  <si>
    <t>3.1</t>
  </si>
  <si>
    <t>Макс</t>
  </si>
  <si>
    <t>3.2</t>
  </si>
  <si>
    <t>4.1</t>
  </si>
  <si>
    <t xml:space="preserve"> 5.1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</si>
  <si>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</si>
  <si>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</si>
  <si>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</si>
  <si>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</si>
  <si>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</si>
  <si>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</si>
  <si>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</si>
  <si>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</si>
  <si>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</si>
  <si>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</si>
  <si>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</si>
  <si>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</si>
  <si>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</si>
  <si>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</si>
  <si>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</si>
  <si>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</si>
  <si>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</si>
  <si>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</si>
  <si>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</si>
  <si>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</si>
  <si>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</si>
  <si>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</si>
  <si>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</si>
  <si>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</si>
  <si>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</si>
  <si>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</si>
  <si>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</si>
  <si>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</si>
  <si>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</si>
  <si>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</si>
  <si>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</si>
  <si>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</si>
  <si>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</si>
  <si>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</si>
  <si>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</si>
  <si>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</si>
  <si>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</si>
  <si>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</si>
  <si>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</si>
  <si>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</si>
  <si>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</si>
  <si>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 xml:space="preserve">1. </t>
  </si>
  <si>
    <t xml:space="preserve">2. </t>
  </si>
  <si>
    <t xml:space="preserve">4. </t>
  </si>
  <si>
    <t xml:space="preserve">5. </t>
  </si>
  <si>
    <t xml:space="preserve">7. </t>
  </si>
  <si>
    <t xml:space="preserve">9. </t>
  </si>
  <si>
    <t xml:space="preserve">10. </t>
  </si>
  <si>
    <t>О</t>
  </si>
  <si>
    <t>П</t>
  </si>
  <si>
    <t>Р</t>
  </si>
  <si>
    <t>С</t>
  </si>
  <si>
    <t xml:space="preserve">8. </t>
  </si>
  <si>
    <t xml:space="preserve">3. </t>
  </si>
  <si>
    <t xml:space="preserve">6. </t>
  </si>
  <si>
    <t>4.1.</t>
  </si>
  <si>
    <t>4.2.</t>
  </si>
  <si>
    <t>Сумма</t>
  </si>
  <si>
    <t>3.4</t>
  </si>
  <si>
    <t>(К1)</t>
  </si>
  <si>
    <t>(З1)</t>
  </si>
  <si>
    <t>(Л1)</t>
  </si>
  <si>
    <t>(М1)</t>
  </si>
  <si>
    <t>(Н1)</t>
  </si>
  <si>
    <t>(О1)</t>
  </si>
  <si>
    <t>(П1)</t>
  </si>
  <si>
    <t>(Р1)</t>
  </si>
  <si>
    <t>Таблица-5</t>
  </si>
  <si>
    <t>автокредит</t>
  </si>
  <si>
    <t>2.5.</t>
  </si>
  <si>
    <t>микрокредит</t>
  </si>
  <si>
    <t>лизинг</t>
  </si>
  <si>
    <t>факторинг</t>
  </si>
  <si>
    <t>Т</t>
  </si>
  <si>
    <t>РАСЧЕТ РЕГУЛЯТИВНОГО КАПИТАЛА БАНКА</t>
  </si>
  <si>
    <t>(Б1)</t>
  </si>
  <si>
    <t>(Б3)</t>
  </si>
  <si>
    <t>4.3.</t>
  </si>
  <si>
    <t>4.4.</t>
  </si>
  <si>
    <t>4.5.</t>
  </si>
  <si>
    <t>4.6.</t>
  </si>
  <si>
    <t>50</t>
  </si>
  <si>
    <t>У</t>
  </si>
  <si>
    <t>Физлица</t>
  </si>
  <si>
    <t>Юрзлица</t>
  </si>
  <si>
    <t>51</t>
  </si>
  <si>
    <t xml:space="preserve">Прибыль за текущий год </t>
  </si>
  <si>
    <t>Ф</t>
  </si>
  <si>
    <t>Х</t>
  </si>
  <si>
    <t>Ц</t>
  </si>
  <si>
    <t>Ч</t>
  </si>
  <si>
    <t>Ш</t>
  </si>
  <si>
    <t>90908-90958</t>
  </si>
  <si>
    <t xml:space="preserve"> 6.1</t>
  </si>
  <si>
    <t>Всего активы (средний за период)</t>
  </si>
  <si>
    <t>Совокупный капитал (средний за период)</t>
  </si>
  <si>
    <t>Актив</t>
  </si>
  <si>
    <t>Капитал</t>
  </si>
  <si>
    <t>Месяц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</si>
  <si>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</si>
  <si>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</si>
  <si>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</si>
  <si>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</si>
  <si>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</si>
  <si>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</si>
  <si>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</si>
  <si>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</si>
  <si>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</si>
  <si>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</si>
  <si>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</si>
  <si>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</si>
  <si>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</si>
  <si>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</si>
  <si>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1.7.</t>
  </si>
  <si>
    <t>1.8.</t>
  </si>
  <si>
    <t>Е8</t>
  </si>
  <si>
    <t>Е7</t>
  </si>
  <si>
    <t>Е6</t>
  </si>
  <si>
    <t>Е5</t>
  </si>
  <si>
    <t>Е4</t>
  </si>
  <si>
    <t>Е3</t>
  </si>
  <si>
    <t>Е2</t>
  </si>
  <si>
    <t>Е1</t>
  </si>
  <si>
    <t>Активлар таркиби*</t>
  </si>
  <si>
    <t>Қолдиқ</t>
  </si>
  <si>
    <t>Сифат тоифаси</t>
  </si>
  <si>
    <t>Муддати ўтган қарздорлик (брутто)</t>
  </si>
  <si>
    <t>Зарарларни қоплаш захираси</t>
  </si>
  <si>
    <t>Жами</t>
  </si>
  <si>
    <t>30 кунгача</t>
  </si>
  <si>
    <t>31дан  90 кунгача</t>
  </si>
  <si>
    <t>91дан  180 кунгача</t>
  </si>
  <si>
    <t>181 дан 365 кунгача</t>
  </si>
  <si>
    <t>366 кун ва ундан ортиқ</t>
  </si>
  <si>
    <t>ҳақиқатдан яратилган захиралар</t>
  </si>
  <si>
    <t>сифат тоифаси бўйича</t>
  </si>
  <si>
    <t>АКТИВЛАР ТАСНИФИ ВА УЛАР БЎЙИЧА ЯРАТИЛГАН ЭҲТИМОЛИЙ ЙЎҚОТИШЛАРНИ ҚОПЛАШ ЗАХИРАЛАРИ ТЎҒРИСИДА ҲИСОБОТ</t>
  </si>
  <si>
    <t>2-жадвал</t>
  </si>
  <si>
    <t>минг. сўмда</t>
  </si>
  <si>
    <t>Кассадаги нақд пул ва бошқа тўлов ҳужжатлари</t>
  </si>
  <si>
    <t>Олди-сотдига мўлжалланган қимматбаҳо металлар, тошлар ва тангалар</t>
  </si>
  <si>
    <t>Мижозларнинг аккредитив ва/ёки траст ҳужжатлари билан кафолатланган тратталари бўйича мажбуриятлари</t>
  </si>
  <si>
    <t>Банкнинг тўланмаган акцептлари бўйича мижозларнинг мажбуриятлари</t>
  </si>
  <si>
    <t>РЕПО битимлари бўйича сотиб олинган қимматли қоғозлар</t>
  </si>
  <si>
    <t>Марказий банкка берилган қисқа муддатли кредитлар</t>
  </si>
  <si>
    <t>Бошқа банкларга берилган қисқа муддатли кредитлар</t>
  </si>
  <si>
    <t>Ҳукуматга берилган қисқа муддатли кредитлар</t>
  </si>
  <si>
    <t>Бюджет ташкилотларига берилган қисқа муддатли кредитлар</t>
  </si>
  <si>
    <t>Жисмоний шахсларга берилган қисқа муддатли кредитлар</t>
  </si>
  <si>
    <t>Якка тартибдаги тадбиркорларга берилган қисқа муддатли кредитлар</t>
  </si>
  <si>
    <t>Чет эл капитали иштирокидаги корхоналарга берилган қисқа муддатли кредитлар</t>
  </si>
  <si>
    <t>Нодавлат нотижорат ташкилотларига берилган қисқа муддатли кредитлар</t>
  </si>
  <si>
    <t>Хусусий корхоналар, хўжалик ширкатлари ва жамиятларга берилган қисқа муддатли кредитлар</t>
  </si>
  <si>
    <t>Банк бўлмаган молиявий муассасаларга берилган қисқа муддатли кредитлар</t>
  </si>
  <si>
    <t>Давлат эҳтиёжлари учун харид қилинадиган қишлоқ хўжалиги маҳсулотларини етиштириш учун берилган қисқа муддатли кредитлар</t>
  </si>
  <si>
    <t>Бошқа банкларга берилган узоқ муддатли кредитлар</t>
  </si>
  <si>
    <t>Ҳукуматга берилган узоқ муддатли кредитлар</t>
  </si>
  <si>
    <t>Бюджет ташкилотларига берилган узоқ муддатли кредитлар</t>
  </si>
  <si>
    <t>Жисмоний шахсларга берилган узоқ муддатли кредитлар</t>
  </si>
  <si>
    <t>Якка тартибдаги тадбиркорларга берилган узоқ муддатли кредитлар</t>
  </si>
  <si>
    <t>Нодавлат нотижорат ташкилотларига берилган узоқ муддатли кредитлар</t>
  </si>
  <si>
    <t>Чет эл капитали иштирокидаги корхоналарга берилган узоқ муддатли кредитлар</t>
  </si>
  <si>
    <t>Банк бўлмаган молиявий муассасаларга берилган узоқ муддатли кредитлар</t>
  </si>
  <si>
    <t>Хусусий корхоналар, хўжалик ширкатлари ва жамиятларга берилган узоқ муддатли кредитлар</t>
  </si>
  <si>
    <t>Лизинг (молиявий ижара)</t>
  </si>
  <si>
    <t>Асосий воситалар</t>
  </si>
  <si>
    <t>Номоддий активлар</t>
  </si>
  <si>
    <t>Банкнинг бошқа хусусий мулклари</t>
  </si>
  <si>
    <t>Ҳосилавий инструментларнинг ревальвацияси натижасида ўзлаштирилмаган фойда</t>
  </si>
  <si>
    <t>Транзит ҳисобварақлари</t>
  </si>
  <si>
    <t>Бошқа активлар</t>
  </si>
  <si>
    <t xml:space="preserve"> БАЛАНСДАН ТАШҚАРИ МОДДАЛАР</t>
  </si>
  <si>
    <t>Аккредитивлар</t>
  </si>
  <si>
    <t>Кафолат ва кафилликлар</t>
  </si>
  <si>
    <t>Банкнинг кредит ва лизинг бериш бўйича мажбуриятлари</t>
  </si>
  <si>
    <t>Жами активлар</t>
  </si>
  <si>
    <t>МОЛИЯВИЙ НАТИЖАЛАР ТЎҒРИСИДА ҲИСОБОТ</t>
  </si>
  <si>
    <t>3-жадвал</t>
  </si>
  <si>
    <t>Кўрсаткичлар</t>
  </si>
  <si>
    <t>миллий валютада</t>
  </si>
  <si>
    <t>хорижий валютада
(экв. сўмда)</t>
  </si>
  <si>
    <t>1.</t>
  </si>
  <si>
    <t>ФОИЗЛИ ДАРОМАДЛАР</t>
  </si>
  <si>
    <t>a.</t>
  </si>
  <si>
    <t>Марказий банкдаги ҳисобварақлар бўйича фоизли даромадлар</t>
  </si>
  <si>
    <t>б.</t>
  </si>
  <si>
    <t>Бошқа банклардаги ҳисобварақлар бўйича фоизли даромадлар</t>
  </si>
  <si>
    <t>в.</t>
  </si>
  <si>
    <t>г.</t>
  </si>
  <si>
    <t>Қимматли қоғозлар ва уларга қилинган инвестициялар бўйича фоизли даромадлар</t>
  </si>
  <si>
    <t>д.</t>
  </si>
  <si>
    <t>Мижозларнинг мажбуриятлари бўйича ҳисобланган фоизлар</t>
  </si>
  <si>
    <t>е.</t>
  </si>
  <si>
    <t>Банкнинг тўланмаган акцептлари юзасидан мижозлар мажбуриятлари бўйича фоизли даромадлар</t>
  </si>
  <si>
    <t>ж.</t>
  </si>
  <si>
    <t>Кредит ва лизинг операциялари бўйича фоизлар, дисконтлар (чегирмалар) ва бадаллар</t>
  </si>
  <si>
    <t>з.</t>
  </si>
  <si>
    <t>Қимматли қоғозлар билан амалга оширилган РЕПО битимлари бўйича фоизли даромадлар</t>
  </si>
  <si>
    <t>и.</t>
  </si>
  <si>
    <t>Бошқа фоизли даромадлар</t>
  </si>
  <si>
    <t>к.</t>
  </si>
  <si>
    <t>Жами фоизли даромадлар</t>
  </si>
  <si>
    <t>Амортизацияланган қиймати бўйича баҳоланадиган қарз қимматли қоғозларга қилинган инвестициялар бўйича фоизли даромадлар</t>
  </si>
  <si>
    <t>2.</t>
  </si>
  <si>
    <t>ФОИЗЛИ ХAРAЖAТЛAР</t>
  </si>
  <si>
    <t>а.</t>
  </si>
  <si>
    <t>Талаб қилиб олингунча сақланадиган депозитлар бўйича фоизли харажатлар</t>
  </si>
  <si>
    <t>Муддатли депозитлар бўйича фоизли харажатлар</t>
  </si>
  <si>
    <t>Марказий банкнинг ҳисобварақлари бўйича фоизли харажатлар</t>
  </si>
  <si>
    <t>Бошқа банкларнинг ҳисобварақлари бўйича фоизли харажатлар</t>
  </si>
  <si>
    <t>Жами депозитлар бўйича фоизли харажатлар</t>
  </si>
  <si>
    <t>Кредитлар бўйича фоизли харажатлар</t>
  </si>
  <si>
    <t>Қимматли қоғозлар билан амалга оширилган РЕПО битимлари бўйича фоизли харажатлар</t>
  </si>
  <si>
    <t>Бошқа фоизли харажатлар</t>
  </si>
  <si>
    <t>Жами кредит ва бошқа қарздорликлар бўйича фоизли харажатлар</t>
  </si>
  <si>
    <t>Жами фоизли харажатлар</t>
  </si>
  <si>
    <t>Активлар бўйича эҳтимолий йўқотишларга қарши яратилган захираларни баҳолашдан олдинги соф даромад</t>
  </si>
  <si>
    <t>Минус: Кредит ва лизинглар бўйича кўрилиши мумкин бўлган зарарларни баҳолаш</t>
  </si>
  <si>
    <t>Минус: Қимматли қоғозлар бўйича кўрилиши мумкин бўлган зарарларни баҳолаш</t>
  </si>
  <si>
    <t>Минус: Инвестициялар бўйича кўрилиши мумкин бўлган зарарларни баҳолаш</t>
  </si>
  <si>
    <t>Минус: Бошқа активлар бўйича кўрилиши мумкин бўлган зарарларни баҳолаш</t>
  </si>
  <si>
    <t>Активлар бўйича эҳтимолий зарарларни баҳолашдан кейинги соф даромад</t>
  </si>
  <si>
    <t>4.</t>
  </si>
  <si>
    <t>ФОИЗСИЗ ДАРОМАДЛАР</t>
  </si>
  <si>
    <t>Хорижий валюталардаги фойда</t>
  </si>
  <si>
    <t>Тижорат операцияларидан олинган фойда</t>
  </si>
  <si>
    <t>Инвестициядан олинган фойда ва дивидендлар</t>
  </si>
  <si>
    <t>Бошқа фоизсиз даромадлар</t>
  </si>
  <si>
    <t>шундан</t>
  </si>
  <si>
    <t>Активлар бўйича эҳтимолий йўқотишларга қарши яратилган захираларни қайтарилиши</t>
  </si>
  <si>
    <t>Ҳисобдан чиқарилган кредитлар қайтарилиши билан боғлиқ даромадлар</t>
  </si>
  <si>
    <t>Жами фоизсиз даромадлар</t>
  </si>
  <si>
    <t>5.</t>
  </si>
  <si>
    <t>ФОИЗСИЗ ХАРАЖАТЛАР</t>
  </si>
  <si>
    <t>Хорижий валютада кўрилган зарарлар</t>
  </si>
  <si>
    <t>Тижорат операцияларидан кўрилган зарарлар</t>
  </si>
  <si>
    <t>Инвестициядан кўрилган зарарлар</t>
  </si>
  <si>
    <t>Бошқа фоизсиз харажатлар</t>
  </si>
  <si>
    <t>Жами фоизсиз харажатлар</t>
  </si>
  <si>
    <t>6.</t>
  </si>
  <si>
    <t>ОПЕРАЦИОН ХАРАЖАТЛАРДАН ОЛДИНГИ СОФ ДАРОМАД</t>
  </si>
  <si>
    <t>7.</t>
  </si>
  <si>
    <t>ОПЕРАЦИОН ХАРАЖАТЛАР</t>
  </si>
  <si>
    <t>Банк хизматчиларига иш ҳақи ва бошқа харажатлар</t>
  </si>
  <si>
    <t>а1)</t>
  </si>
  <si>
    <t xml:space="preserve">шундан, раҳбар ходимларга тўловлар </t>
  </si>
  <si>
    <t>Ижара ва таъминот харажатлари</t>
  </si>
  <si>
    <t>Хизмат сафари ва транспорт харажатлари</t>
  </si>
  <si>
    <t>Маъмурий харажатлар</t>
  </si>
  <si>
    <t>Репрезентация ва хайрия</t>
  </si>
  <si>
    <t>Эскириш харажатлари</t>
  </si>
  <si>
    <t>Суғурта харажатлари</t>
  </si>
  <si>
    <t>Солиқлар (фойда солиғидан ташқари) ва лицензиялар</t>
  </si>
  <si>
    <t>Жарима ва пенялар</t>
  </si>
  <si>
    <t>Бошқа операцион харажатлар</t>
  </si>
  <si>
    <t>л.</t>
  </si>
  <si>
    <t>Жами операцион харажатлар</t>
  </si>
  <si>
    <t>8.</t>
  </si>
  <si>
    <t xml:space="preserve">Солиқ тўлангунга қадар соф фойда ва бошқа тузатишлар </t>
  </si>
  <si>
    <t>Фойда солиғини баҳолаш</t>
  </si>
  <si>
    <t>9.</t>
  </si>
  <si>
    <t>ТУЗАТИШЛАР КИРИТИЛГУНГА ҚАДАР ДАРОМАД</t>
  </si>
  <si>
    <t>Кўзда тутилмаган даромад ёки зарарлар, соф</t>
  </si>
  <si>
    <t>Фойда бўйича тузатишлар, соф</t>
  </si>
  <si>
    <t>10.</t>
  </si>
  <si>
    <t>СОФ ФОЙДА (ЗАРАР)</t>
  </si>
  <si>
    <t>4-жадвал</t>
  </si>
  <si>
    <t>ФОИЗЛИ ДАРОМАД ВА ХАРАЖАТЛАР ТАҲЛИЛИ</t>
  </si>
  <si>
    <t>КРЕДИТ ВА ЛИЗИНГ ОПЕРАЦИЯЛАРИ БЎЙИЧА ФОИЗЛИ ДАРОМАДЛАР</t>
  </si>
  <si>
    <t>Жами кредит ва лизинг операциялари бўйича фоизли даромад</t>
  </si>
  <si>
    <t>ВАКИЛЛИК ҲИСОБВАРАҚЛАРИ БЎЙИЧА ФОИЗЛИ ДАРОМАДЛАР</t>
  </si>
  <si>
    <t>Жами вакиллик ҳисобварағи бўйича фоизли даромадлар</t>
  </si>
  <si>
    <t>ҚИММАТЛИ ҚОҒОЗЛАР ВА УЛАРГА ҚИЛИНГАН ИНВЕСТИЦИЯЛАР БЎЙИЧА ФОИЗЛИ ДАРОМАДЛАР</t>
  </si>
  <si>
    <t>Давлат қимматли қоғозлари</t>
  </si>
  <si>
    <t>Марказий банкнинг облигациялари ва бошқа қимматли қоғозлари</t>
  </si>
  <si>
    <t>Давлат корхоналарининг қарз қимматли қоғозлари бўйича фоизли даромадлар</t>
  </si>
  <si>
    <t>Еврооблигациялар бўйича фоизли даромадлар</t>
  </si>
  <si>
    <t>Хусусий корхоналарнинг қимматли қоғозлари</t>
  </si>
  <si>
    <t>Бошқа қимматли қоғозлар</t>
  </si>
  <si>
    <t>Жами олди-сотди қимматли қоғозлар бўйича фоизли даромадлар</t>
  </si>
  <si>
    <t>ИНВЕСТИЦИЯЛАР БЎЙИЧА ФОИЗЛИ ДАРОМАДЛАР</t>
  </si>
  <si>
    <t>Марказий банкнинг облигациялари ва бошқа қарз қимматли қоғозларига қилинган инвестициялар бўйича фоизли даромадлар</t>
  </si>
  <si>
    <t>Корхоналарнинг қарз қимматли қоғозларига қилинган инвестициялар бўйича фоизли даромадлар</t>
  </si>
  <si>
    <t>Еврооблигациялар</t>
  </si>
  <si>
    <t>Жами инвестициялар бўйича фоизли даромадлар</t>
  </si>
  <si>
    <t>БОШҚА ФОИЗЛИ ДАРОМАДЛАР</t>
  </si>
  <si>
    <t>Қимматли қоғозлар билан амалга оширилган репо битимлари бўйича фоизли даромадлар</t>
  </si>
  <si>
    <t>ЖАМИ ФОИЗЛИ ДАРОМАДЛАР</t>
  </si>
  <si>
    <t>ДЕПОЗИТЛАР БЎЙИЧА ФОИЗЛИ ХАРАЖАТЛАР</t>
  </si>
  <si>
    <t>A.</t>
  </si>
  <si>
    <t>Талаб қилиб олингунча сақланадиган депозитлар</t>
  </si>
  <si>
    <t>Ҳукумат</t>
  </si>
  <si>
    <t>Жисмоний шахслар</t>
  </si>
  <si>
    <t>Давлат корхоналари</t>
  </si>
  <si>
    <t>Қўшма ва чет эл капитали иштирокидаги корхоналар</t>
  </si>
  <si>
    <t>Хусусий корхоналар</t>
  </si>
  <si>
    <t>Бошқа депозитлар</t>
  </si>
  <si>
    <t>Жами талаб қилиб олингунча сақланадиган депозитлар бўйича фоизли харажатлар</t>
  </si>
  <si>
    <t>Б.</t>
  </si>
  <si>
    <t>Муддатли депозитлар</t>
  </si>
  <si>
    <t>Жами муддатли депозитлар бўйича фоизли харажатлар</t>
  </si>
  <si>
    <t>В.</t>
  </si>
  <si>
    <t>ЖАМИ ДЕПОЗИТЛАР БЎЙИЧА ФОИЗЛИ ХАРАЖАТЛАР</t>
  </si>
  <si>
    <t>БОШҚА МАЖБУРИЯТЛАР БЎЙИЧА ФОИЗЛИ ХАРАЖАТЛАР</t>
  </si>
  <si>
    <t>Банкнинг тўланмаган акцептлари бўйича фоизли харажатлари</t>
  </si>
  <si>
    <t>Жами бошқa мажбуриятлар бўйича фоизли хaрaжaтлaр</t>
  </si>
  <si>
    <t>ЖАМИ ФОИЗЛИ ХAРAЖAТЛAР</t>
  </si>
  <si>
    <t>ХУСУСИЙ КАПИТАЛДАГИ ЎЗГАРИШЛАР</t>
  </si>
  <si>
    <t>7-жадвал</t>
  </si>
  <si>
    <t>Ўтган йил учун дастлабки ҳисобланган умумий капитал</t>
  </si>
  <si>
    <t>Хусусий капиталдаги ўтган йил учун ҳисоботларда кўрсатилмаган тузатишлар, (соф)</t>
  </si>
  <si>
    <t>Ўтган календар йили якуни бўйича балансдаги тузатишлар (3=1-2 )</t>
  </si>
  <si>
    <t>Йил бошидан соф фойда (зарар)</t>
  </si>
  <si>
    <t>Жорий йилда сотиш, айирбошлаш, сотиб олиш ёки қайтиб сотиб олиш (соф кирим)</t>
  </si>
  <si>
    <t>Жорий йил учун бошланғич қийматига нисбатан баҳолаш қийматининг ошган суммаси</t>
  </si>
  <si>
    <t>МИНУС: Имтиёзли акциялар бўйича эълон қилинган пул дивидендлари</t>
  </si>
  <si>
    <t>МИНУС: Оддий акциялар бўйича эълон қилинган пуллик дивидендлар</t>
  </si>
  <si>
    <t>Жорий йилнинг соф хусусий капиталига таъсир этувчи бошқа моддалар</t>
  </si>
  <si>
    <t xml:space="preserve">Жорий давр якуни бўйича жами хусусий капитал </t>
  </si>
  <si>
    <t>АЛОҚАДОР ШАХСЛАР БИЛАН ТУЗИЛГАН БИТИМЛАР ТЎҒРИСИДА ҲИСОБОТ</t>
  </si>
  <si>
    <t>11-жадвал</t>
  </si>
  <si>
    <t>Мижоз номи</t>
  </si>
  <si>
    <t>СТИР</t>
  </si>
  <si>
    <t>Фаолият тури (ИФУТ)</t>
  </si>
  <si>
    <t>Валюта коди</t>
  </si>
  <si>
    <t>Гурух рақами</t>
  </si>
  <si>
    <t>Жорий қарздорлик, брутто</t>
  </si>
  <si>
    <t>Кредит ёки лизинглар бўйича шартлари қайта кўрилганлиги сони</t>
  </si>
  <si>
    <t>Нормативдан чегирмалар</t>
  </si>
  <si>
    <t>Таснифи (сонда)</t>
  </si>
  <si>
    <t>Яратилган захиралар</t>
  </si>
  <si>
    <t>Активлар манбаси</t>
  </si>
  <si>
    <t>Жорий қарздорлик, соф</t>
  </si>
  <si>
    <t>баланс активлари</t>
  </si>
  <si>
    <t>балансдан ташқари активлари</t>
  </si>
  <si>
    <t>Банклараро кредит ва депозитлар маблағлари бўйича жорий қарздорлик, вакиллик ҳисобварақларидаги қолдиқлар, банклараро ўзаро ҳисоб-китоблар учун маблағлар, бошқа жойлаштирилган маблағлар (овернайт ва клиринг операцияларидан ташқари), шунингдек улардан олинадиган даромадлар</t>
  </si>
  <si>
    <t>Кредитлар, лизинг, факторинг, ва улардан олинган даромадлар</t>
  </si>
  <si>
    <t>Инвестициялар ва улардан олинган даромадлар</t>
  </si>
  <si>
    <t>юқорида қайд этилмаган бошқа баланс активлари бўйича жорий қарздорликлар, шунингдек улар бўйича даромадлар</t>
  </si>
  <si>
    <t>Аккредитивлар ва улардан олинган даромадлар</t>
  </si>
  <si>
    <t>Кафолатлар, кафилликлар ва улардан олинган даромадлар</t>
  </si>
  <si>
    <t>Ўзлаштирилмаган кредит линиялари, қайтариб олинмайдиган мажбуриятлар  ҳамда улардан олинган даромадлар</t>
  </si>
  <si>
    <t xml:space="preserve">Юқорида кўрсатилмаган бошқа балансдан ташқари активлар ва улардан олинган даромадлар </t>
  </si>
  <si>
    <t>Гаров тури</t>
  </si>
  <si>
    <t>қолдиқ</t>
  </si>
  <si>
    <t>таваккалчилик даражаси</t>
  </si>
  <si>
    <t>ЖАМИ БАНККА АЛОҚАДОР БЎЛГАН БАРЧА ШАХСЛАРГА ТЎҒРИ КЕЛУВЧИ ТАВАККАЛЧИЛИКНИНГ ЭНГ КЎП МИҚДОРИ</t>
  </si>
  <si>
    <t>БАНКНИНГ БИР ҚАРЗ ОЛУВЧИ ЁКИ ЎЗАРО АЛОҚАДОР ҚАРЗ ОЛУВЧИЛАР ГУРУҲИ УЧУН ТАВАККАЛЧИЛИКНИНГ ЭНГ КЎП МИҚДОРИ</t>
  </si>
  <si>
    <t>БАНКНИНГ ЙИРИК ТАВАККАЛЧИЛИКЛАРИ ҲИСОБОТИ</t>
  </si>
  <si>
    <t>12-жадвал</t>
  </si>
  <si>
    <t>ЖAМИ ЙИРИК ХАТАРЛАР</t>
  </si>
  <si>
    <t>БAНК ТОМОНИДАН БЕРИЛГАН ЭНГ ЙИРИК ХАТАР</t>
  </si>
  <si>
    <t>13-жадвал</t>
  </si>
  <si>
    <t>ҲИСОБДАН ЧИҚАРИЛГАН КРЕДИТЛАРНИНГ ҚАЙТАРИЛИШИ ВА ЭҲТИМОЛИЙ ЙЎҚОТИШЛАРГА ҚАРШИ 
ЗАХИРАЛАР ҲАРАКАТИ ТЎҒРИСИДА ҲИСОБОТ</t>
  </si>
  <si>
    <t>1-қисм. ҲИСОБДАН ЧИҚАРИЛГАН КРЕДИТЛАРНИНГ ҚАЙТАРИЛИШИ</t>
  </si>
  <si>
    <t>Иқтисодиёт тармоқлари ва кредит турлари</t>
  </si>
  <si>
    <t>Кредит ва лизингларни ҳисобдан чиқариш ва қайтариш</t>
  </si>
  <si>
    <t>Ҳисобдан чиқарилган кредит ва лизинглар</t>
  </si>
  <si>
    <t>Ҳисобга қайтарилган кредит ва лизинглар</t>
  </si>
  <si>
    <t>Фарқи</t>
  </si>
  <si>
    <t>Хорижий валютада</t>
  </si>
  <si>
    <t>Юридик шахслар</t>
  </si>
  <si>
    <t>Саноат</t>
  </si>
  <si>
    <t>Қишлоқ хўжалиги</t>
  </si>
  <si>
    <t>Транспорт ва коммуникация</t>
  </si>
  <si>
    <t>Қурилиш соҳаси</t>
  </si>
  <si>
    <t>Савдо ва умумий хизмат</t>
  </si>
  <si>
    <t>Моддий ва техник таъминотни ривожлантириш</t>
  </si>
  <si>
    <t xml:space="preserve">Уй-жой коммунал хизмати </t>
  </si>
  <si>
    <t>Бошқа соҳалар</t>
  </si>
  <si>
    <t>ипотека кредитлари</t>
  </si>
  <si>
    <t>Микроқарз ва овердрафтлар (бошқа мақсадсиз кредитлар)</t>
  </si>
  <si>
    <t>истеъмол кредитлари</t>
  </si>
  <si>
    <t>жисмоний шахслар учун бошқа кредитлар</t>
  </si>
  <si>
    <t xml:space="preserve">Кредит ва лизинг бўйича эҳтимолий йўқотишларга қарши захиралар </t>
  </si>
  <si>
    <t>Ҳисобдан чиқарилган захиралар</t>
  </si>
  <si>
    <t>Шакллантирилган захиралар</t>
  </si>
  <si>
    <t>Сўнги 12 ой ичида яратилган захиралар</t>
  </si>
  <si>
    <t>2-қисм. ЭҲТИМОЛИЙ ЙЎҚОТИШЛАРГА ҚАРШИ ЗАХИРАЛАР ҲАРАКАТИ</t>
  </si>
  <si>
    <t>20-жадвал</t>
  </si>
  <si>
    <t>КРЕДИТ ВА ЛИЗИНГЛАР БЎЙИЧА ЎРТАЧА ТОРТИЛГАН ФОИЗ СТАВКАЛАРИ ТЎҒРИСИДА ҲИСОБОТ</t>
  </si>
  <si>
    <t>Кредитлаш турлари</t>
  </si>
  <si>
    <t>жами</t>
  </si>
  <si>
    <t>шунингдек</t>
  </si>
  <si>
    <t>хорижий валютада</t>
  </si>
  <si>
    <t>жами қолдиғи</t>
  </si>
  <si>
    <t>ўртача тортилган фоиз ставкалари</t>
  </si>
  <si>
    <t>Жисмоний шахслар (имтиёзли кредитлар)</t>
  </si>
  <si>
    <t>шунингдек:</t>
  </si>
  <si>
    <t>микроқарз (бошқа мақсадсиз кредитлар)</t>
  </si>
  <si>
    <t>Жисмоний шахслар (тижорат кредитлар)</t>
  </si>
  <si>
    <t>Юридик шахслар (имтиёзли кредитлар)</t>
  </si>
  <si>
    <t>синдициялаштирилган кредитлар</t>
  </si>
  <si>
    <t>банклараро кредитлар</t>
  </si>
  <si>
    <t>юридик шахслар учун бошқа кредитлар</t>
  </si>
  <si>
    <t>Юридик шахслар (тижорат кредитлар)</t>
  </si>
  <si>
    <t>КРЕДИТ ПОРТФЕЛЬ ТАРКИБИ ТЎҒРИСИДА ҲИСОБОТ</t>
  </si>
  <si>
    <t>20 А-жадвал</t>
  </si>
  <si>
    <t xml:space="preserve">Тўлов муддатлари бўйича </t>
  </si>
  <si>
    <t>Кредит ва лизингларни сифати бўйича таснифлаш</t>
  </si>
  <si>
    <t xml:space="preserve">Балансдан ташқарига чиқарилган барча кредит ва лизинглар </t>
  </si>
  <si>
    <t xml:space="preserve">Шартлари қайта кўриб чиқилган кредитлар </t>
  </si>
  <si>
    <t xml:space="preserve">1 йилгача </t>
  </si>
  <si>
    <t xml:space="preserve">1 йилдан 5 йилгача </t>
  </si>
  <si>
    <t xml:space="preserve">5 йилдан 10 йилгача </t>
  </si>
  <si>
    <t xml:space="preserve">10 йилдан 15 йилгача </t>
  </si>
  <si>
    <t xml:space="preserve">15 йилдан юқори </t>
  </si>
  <si>
    <t>Кредит ва лизингларни сифати бўйича захиралар яратилиши таснифи</t>
  </si>
  <si>
    <t>Э</t>
  </si>
  <si>
    <t>ЖАМИ</t>
  </si>
  <si>
    <t xml:space="preserve">Жисмоний шахслар </t>
  </si>
  <si>
    <t>кўчмас мулкни сотиб олиш учун</t>
  </si>
  <si>
    <t>кўчмас мулкни таъмирлаш учун</t>
  </si>
  <si>
    <t>кўчмас мулкни реконструкцияси учун</t>
  </si>
  <si>
    <t>кўчмас мулкни қурулиши учун</t>
  </si>
  <si>
    <t>шундан автокредитга</t>
  </si>
  <si>
    <t>таълим кредитлари</t>
  </si>
  <si>
    <t>тадбиркорликни ривожлантириш учун ажратилган кредитлар</t>
  </si>
  <si>
    <t xml:space="preserve">Юридик шахслар </t>
  </si>
  <si>
    <t>шундан, кредит турлари бўйича</t>
  </si>
  <si>
    <t>нобанк кредит ташкилотларига ажратилган кредитлар</t>
  </si>
  <si>
    <t>бошқа кредит турлари</t>
  </si>
  <si>
    <t>шундан, кредит мақсадлари бўйича</t>
  </si>
  <si>
    <t>бошланғич капитал учун ажратилган кредитлар</t>
  </si>
  <si>
    <t>айланма маблағни тўлдириш учун ажратилган кредитлар</t>
  </si>
  <si>
    <t>асосий воситаларни сотиб олиш, модернизациялаштириш ва приватизациялаштириш учун ажратилган кредитлар</t>
  </si>
  <si>
    <t>маҳсулотларни импорти ва экспорти билан боғлиқ харажатлари қоплаш учун ажратилган кредитлар</t>
  </si>
  <si>
    <t>ҳукумат томонидан  ажратилган кредитлар</t>
  </si>
  <si>
    <t>бошқа мақсадли кредитлар</t>
  </si>
  <si>
    <t>БАНК ТОМОНИДАН ЖАЛБ ҚИЛИНГАН ДЕПОЗИТЛАРНИНГ ЎРТАЧА ТОРТИЛГАН ФОИЗ СТАВКАЛАРИ ТЎҒРИСИДА ҲИСОБОТ</t>
  </si>
  <si>
    <t>21-жадвал</t>
  </si>
  <si>
    <t>Жалб қилинган 
маблағларнинг муддатлари</t>
  </si>
  <si>
    <t>Жисмоний шахсларнинг депозит (омонат) лари</t>
  </si>
  <si>
    <t>Юридик шахсларнинг депозит (омонат) лари</t>
  </si>
  <si>
    <t>жами сумма</t>
  </si>
  <si>
    <t>Муддатсиз</t>
  </si>
  <si>
    <t>1-7 кун</t>
  </si>
  <si>
    <t>8-30 кун</t>
  </si>
  <si>
    <t>31-90 кун</t>
  </si>
  <si>
    <t>91-180 кун</t>
  </si>
  <si>
    <t>181-365 кун</t>
  </si>
  <si>
    <t>366-730 кун</t>
  </si>
  <si>
    <t>2 йилдан ортиқ</t>
  </si>
  <si>
    <t>Жами (1, 2, 3, 4, 5, 6, 7, 8 қаторлар йиғиндиси)</t>
  </si>
  <si>
    <t>22-жадвал</t>
  </si>
  <si>
    <t>Пруденциал меъёрлар</t>
  </si>
  <si>
    <t>Ҳисоб-китоблар формуласи</t>
  </si>
  <si>
    <t>Меъёрларнинг жорий кўрсаткичи</t>
  </si>
  <si>
    <t>Белгиланган меъёр
қиймати</t>
  </si>
  <si>
    <t>Капитал монандлик кўрсаткичлари</t>
  </si>
  <si>
    <t>Регулятив капиталнинг монандлик коэффициенти</t>
  </si>
  <si>
    <t>I даражали капиталнинг монандлик коэффициенти</t>
  </si>
  <si>
    <t>I даражали асосий капиталнинг монандлик коэффициенти</t>
  </si>
  <si>
    <t>Жами регулятив капитал</t>
  </si>
  <si>
    <t>Таваккалчиликка тортилган активлар</t>
  </si>
  <si>
    <t>I даражали капитал</t>
  </si>
  <si>
    <t>I даражали асосий капитал</t>
  </si>
  <si>
    <t>Активлар+балансдан ташқари инструментлар+дериватив (ҳосилавий) инструментлар - I даражали асосий капиталдаги чегирмалар</t>
  </si>
  <si>
    <t>Ликвидлилик кўрсаткичлари</t>
  </si>
  <si>
    <t>Юқори ликвидли активларнинг жами активлардаги улуши</t>
  </si>
  <si>
    <t>Ликвидликни қоплаш меъёри коэффициенти</t>
  </si>
  <si>
    <t>2.3</t>
  </si>
  <si>
    <t>Соф барқарор молиялаштириш меъёри коэффициенти</t>
  </si>
  <si>
    <t>Юқори ликвидли активлар</t>
  </si>
  <si>
    <t>Кейинги 30 кун ичида соф чиқим</t>
  </si>
  <si>
    <t>Барқарор молиялаштиришнинг мавжуд миқдори</t>
  </si>
  <si>
    <t>Барқарор молиялаштиришнинг зарур миқдори</t>
  </si>
  <si>
    <t>Қарз олувчилар билан боғлиқ меъёрлар</t>
  </si>
  <si>
    <t>Банкнинг бир қарз олувчи ёки ўзаро алоқадор қарз олувчилар гуруҳи учун таваккалчиликнинг энг кўп миқдори</t>
  </si>
  <si>
    <t>Банклараро операциялар учун бир банкка ёки ўзаро алоқадор банклар гуруҳига тўғри келувчи максимал таваккалчилик</t>
  </si>
  <si>
    <t>Банкнинг бир қарздор ёки ўзаро алоқадор қарздорлар гуруҳига тўғри келувчи таъминотсиз (ишончга асосланган) кредит, шунингдек факторинг хизматлари учун таваккалчиликнинг энг кўп миқдори</t>
  </si>
  <si>
    <t>Банкнинг барча йирик таваккалчиликларининг умумий миқдори</t>
  </si>
  <si>
    <t>Бир қарз олувчига ёки ўзаро алоқадор қарздорлар гуруҳига тўғри келувчи максимал хатар, таъминланган активлар</t>
  </si>
  <si>
    <t>Банклараро операциялар учун бир банкка ёки ўзаро алоқадор банклар гуруҳига тўғри келадиган максимал хатар</t>
  </si>
  <si>
    <t>Бир қарз олувчи ёки ўзаро алоқадор қарздорлар гуруҳига тўғри келувчи таъминланмаган активнинг максимал қиймати (банклараро операциялар бўйича хатарлар ҳисобга олинмаганда)</t>
  </si>
  <si>
    <t xml:space="preserve">Барча йирик хатарларнинг суммаси </t>
  </si>
  <si>
    <t>Қимматли қоғозлар билан операциялар бўйича меъёрлар</t>
  </si>
  <si>
    <t>Бир юридик шахснинг устав фондидаги (устав капиталидаги) улушларини ёки акцияларини сотиб олишнинг максимал қиймати</t>
  </si>
  <si>
    <t>Банкка алоқадор шахслар ва уларга тўғри келувчи таваккалчилик кўрсаткичлари</t>
  </si>
  <si>
    <t>Банкка алоқадор битта шахсга тўғри келувчи таваккалчиликнинг энг кўп миқдори</t>
  </si>
  <si>
    <t>Банкка алоқадор бўлган барча шахсларга тўғри келувчи таваккалчиликнинг энг кўп миқдори</t>
  </si>
  <si>
    <t>Банк билан алоқадор бир шахсга тўғри келувчи хатарнинг максимал қиймати, таъминланган активлар</t>
  </si>
  <si>
    <t>Банк билан алоқадор шахсларга тўғри келувчи хатарларнинг жами суммаси</t>
  </si>
  <si>
    <t>БОШҚА МАЪЛУМОТЛАР</t>
  </si>
  <si>
    <t>23-жадвал</t>
  </si>
  <si>
    <t>Банк ходимлари сони, бош офис, бўлим ва филиалларини ҳисобга олган ҳолда</t>
  </si>
  <si>
    <t>Штат жадвали бўйича ходимлар сони</t>
  </si>
  <si>
    <t xml:space="preserve">Амалда ишлайдиган банк ходимлари сони </t>
  </si>
  <si>
    <t>Банкнинг умумий бўлинмалари сони, бош офис ва филиалларини ҳисобга олган ҳолда</t>
  </si>
  <si>
    <t>шундан:</t>
  </si>
  <si>
    <t>филиаллар сони</t>
  </si>
  <si>
    <t>мини банклар сони</t>
  </si>
  <si>
    <t>банкдан ташқарида жойлашган чакана кассалар сони</t>
  </si>
  <si>
    <t>банк хизматлари марказлари сони</t>
  </si>
  <si>
    <t>Банк мижозлари базаси</t>
  </si>
  <si>
    <t>жисмоний шахслар</t>
  </si>
  <si>
    <t>якка тартибдаги тадбиркорлар</t>
  </si>
  <si>
    <t>юридик шахслар</t>
  </si>
  <si>
    <t>шундан банкда асосий ҳисоб рақами мавжуд мижозлар сони</t>
  </si>
  <si>
    <t>давлат корхоналари</t>
  </si>
  <si>
    <t>хусусий корхоналар</t>
  </si>
  <si>
    <t>фермер ҳўжалиги</t>
  </si>
  <si>
    <t>ҳукумат</t>
  </si>
  <si>
    <t>бошқалар</t>
  </si>
  <si>
    <t>Банк рейтинги</t>
  </si>
  <si>
    <t>Рейтинг компаниянинг номи</t>
  </si>
  <si>
    <t>Банкнинг рейтинг баҳоси</t>
  </si>
  <si>
    <t>МОЛИЯВИЙ БАРҚАРОРЛИК КЎРСАТКИЧЛАРИ</t>
  </si>
  <si>
    <t>Асосий кўрсаткичлар</t>
  </si>
  <si>
    <t>Регулятив капиталнинг таваккалчиликни ҳисобга олган ҳолдаги активларнинг умумий суммасига нисбати</t>
  </si>
  <si>
    <t>Таваккалчиликни ҳисобга олган ҳолдаги активларнинг умумий суммаси</t>
  </si>
  <si>
    <t>I даражали капиталнинг таваккалчиликни ҳисобга олган ҳолдаги активларнинг умумий суммасига нисбати</t>
  </si>
  <si>
    <t xml:space="preserve">Захиралар чегирилган ҳолда харакатсиз кредитлар/жами капитал </t>
  </si>
  <si>
    <t>Захиралар чегирилган ҳолда харакатсиз кредитлар миқдори</t>
  </si>
  <si>
    <t xml:space="preserve">Жами капитал </t>
  </si>
  <si>
    <t xml:space="preserve">Харакатсиз кредитлар/жами кредитлар миқдори </t>
  </si>
  <si>
    <t>Харакатсиз кредитлар</t>
  </si>
  <si>
    <t xml:space="preserve">Жами кредитлар миқдори </t>
  </si>
  <si>
    <t xml:space="preserve">Активлар рентабеллиги </t>
  </si>
  <si>
    <t>Солиқ тўлангунга қадар соф фойда</t>
  </si>
  <si>
    <t>Жами активлар (мазкур давр учун ўртача)</t>
  </si>
  <si>
    <t xml:space="preserve">Капитал рентабеллиги </t>
  </si>
  <si>
    <t>Соф фойда</t>
  </si>
  <si>
    <t>Жами капитал ҳажми (мазкур давр учун ўртача)</t>
  </si>
  <si>
    <t>Фоизли маржа/ялпи даромад</t>
  </si>
  <si>
    <t>Фоизли маржа</t>
  </si>
  <si>
    <t>Ялпи даромад</t>
  </si>
  <si>
    <t>Фоизсиз харажатлар/ялпи даромад</t>
  </si>
  <si>
    <t>Фоизсиз харажатлар</t>
  </si>
  <si>
    <t>Ликвид активлар/жами активлар</t>
  </si>
  <si>
    <t>Ликвид активлар</t>
  </si>
  <si>
    <t xml:space="preserve">Ликвид активлар/қисқа муддатли мажбуриятлар </t>
  </si>
  <si>
    <t xml:space="preserve">Қисқа муддатли мажбуриятлар </t>
  </si>
  <si>
    <t>Жами капитал/жами активлар</t>
  </si>
  <si>
    <t xml:space="preserve">Очиқ валюта позицияси, соф / Жами капитал </t>
  </si>
  <si>
    <t>Очиқ валюта позицияси, соф</t>
  </si>
  <si>
    <t>АКТИВЛАР СИФАТИ БЎЙИЧА ТАСНИФЛАНИШИ ТЎҒРИСИДА ҲИСОБОТ</t>
  </si>
  <si>
    <t>10-жадвал</t>
  </si>
  <si>
    <t>Жами суммаси</t>
  </si>
  <si>
    <t>шундан, хорижий валютада
(экв. сўмда)</t>
  </si>
  <si>
    <t>Стандарт</t>
  </si>
  <si>
    <t>Субстандарт</t>
  </si>
  <si>
    <t>Махсус захиралар
 (мин 10%)</t>
  </si>
  <si>
    <t>Қониқарсиз</t>
  </si>
  <si>
    <t>Махсус захиралар
 (мин 25%)</t>
  </si>
  <si>
    <t>Шубҳали</t>
  </si>
  <si>
    <t>Махсус захиралар
 (мин 50%)</t>
  </si>
  <si>
    <t>Умидсиз</t>
  </si>
  <si>
    <t>Махсус захиралар
 (мин 100%)</t>
  </si>
  <si>
    <t>Жами махсус захиралар суммаси</t>
  </si>
  <si>
    <t>ҳисобот ойида балансдан ташқари ҳисобдан чиқарилган кредитлар</t>
  </si>
  <si>
    <t xml:space="preserve">ҳисобот ойида балансдан ташқари қайтган кредитлар суммаси </t>
  </si>
  <si>
    <t>Мижозлар тури бўйича</t>
  </si>
  <si>
    <t>Марказий банк</t>
  </si>
  <si>
    <t>шундан, таъминланмаган қисми</t>
  </si>
  <si>
    <t>Бошқа банклар</t>
  </si>
  <si>
    <t xml:space="preserve">Давлат корхоналари </t>
  </si>
  <si>
    <t>Фермер хўжалиги</t>
  </si>
  <si>
    <t xml:space="preserve">Нобанк молиявий институтлар </t>
  </si>
  <si>
    <t>Нодавлат нотижорат ташкилотлар</t>
  </si>
  <si>
    <t>Бюджет ташкилотлари</t>
  </si>
  <si>
    <t>Бошқалар</t>
  </si>
  <si>
    <t>Жами кредит ва лизинг суммаси</t>
  </si>
  <si>
    <t>Иқтисодиёт соҳалари бўйича</t>
  </si>
  <si>
    <t>Ҳудудлар қирқимида</t>
  </si>
  <si>
    <t>Қорақалпоғистон Республикаси</t>
  </si>
  <si>
    <t>Андижон вилояти</t>
  </si>
  <si>
    <t>Бухоро вилояти</t>
  </si>
  <si>
    <t>Жиззах вилояти</t>
  </si>
  <si>
    <t>Қашқадарё вилояти</t>
  </si>
  <si>
    <t>Навоий вилояти</t>
  </si>
  <si>
    <t>Наманган вилояти</t>
  </si>
  <si>
    <t>Самарқанд вилояти</t>
  </si>
  <si>
    <t>Сурхондарё вилояти</t>
  </si>
  <si>
    <t>Сирдарё вилояти</t>
  </si>
  <si>
    <t>Тошкент шаҳар</t>
  </si>
  <si>
    <t>Тошкент вилояти</t>
  </si>
  <si>
    <t>Фарғона вилояти</t>
  </si>
  <si>
    <t>Хоразм вилояти</t>
  </si>
  <si>
    <t>Бошқа таснифланган активлар</t>
  </si>
  <si>
    <t>Жами таснифланган активлар суммаси</t>
  </si>
  <si>
    <t>ОЛИНИШИ ЛОЗИМ БЎЛГАН МУДДАТИ ЎТГАН КРЕДИТ ВА МОЛИЯВИЙ ЛИЗИНГ ТАҲЛИЛИ</t>
  </si>
  <si>
    <t>9-жадвал</t>
  </si>
  <si>
    <t>Жами кредит суммаси</t>
  </si>
  <si>
    <t>Шартлари қайта кўрилган кредит ва лизинглар</t>
  </si>
  <si>
    <t>Суд жараёнидаги қарздорликлар</t>
  </si>
  <si>
    <t xml:space="preserve">Муддати ўтган </t>
  </si>
  <si>
    <t>шу жумладан, кечиктирилган муддати бўйича</t>
  </si>
  <si>
    <t>1-30 кун</t>
  </si>
  <si>
    <t>31-60 кун</t>
  </si>
  <si>
    <t>61-90 кун</t>
  </si>
  <si>
    <t>асосий қарздорлик</t>
  </si>
  <si>
    <t>фоиз тўловлари</t>
  </si>
  <si>
    <t>Фермер хўжаликлари</t>
  </si>
  <si>
    <t>Нобанк молиявий институтлар</t>
  </si>
  <si>
    <t>Савдо ва умумий овқатланиш</t>
  </si>
  <si>
    <t>Уй-жой коммунал хизмати</t>
  </si>
  <si>
    <t>8-жадвал</t>
  </si>
  <si>
    <t>ИҚТИСОДИЁТ ТАРМОҚЛАРИ, МИЖОЗЛАР ТУРЛАРИ, ВА ТАЪМИНОТ ТУРЛАРИ БЎЙИЧА АЖРАТИЛГАН КРЕДИТЛАР ВА ЛИЗИНГЛАР ҲИСОБОТИ</t>
  </si>
  <si>
    <t>Иқтисодиёт тармоқлари бўйича</t>
  </si>
  <si>
    <t>Кредит суммаси</t>
  </si>
  <si>
    <t>Жами жисмоний шахслар</t>
  </si>
  <si>
    <t>Кредит ва лизинг операциялари</t>
  </si>
  <si>
    <t xml:space="preserve">Банк бўлмаган молиявий муассасалар </t>
  </si>
  <si>
    <t>шундан муаммоли кредитлар</t>
  </si>
  <si>
    <t>NPL</t>
  </si>
  <si>
    <t>(В1)</t>
  </si>
  <si>
    <t>(В2)</t>
  </si>
  <si>
    <t>Депозитлар</t>
  </si>
  <si>
    <t>Ўзбекистон Республикаси Ҳукумати тамонидан кафолатланган кредитлар</t>
  </si>
  <si>
    <t xml:space="preserve">Ўзбекистон Республикаси Ҳукумати томонидан кафолатланган хорижий валютадаги (эквивалент сўмда) кредитлар </t>
  </si>
  <si>
    <t>Транспорт воситалари</t>
  </si>
  <si>
    <t>Инвентарлар</t>
  </si>
  <si>
    <t>Кўчмас мулк</t>
  </si>
  <si>
    <t>турар жой
 (хонадон)</t>
  </si>
  <si>
    <t>тижорат кўчмас мулки</t>
  </si>
  <si>
    <t>Асбоб ускуналар</t>
  </si>
  <si>
    <t>Векселлар (облигациялар)</t>
  </si>
  <si>
    <t>Акциялар</t>
  </si>
  <si>
    <t>Учинчи шахс кафолати</t>
  </si>
  <si>
    <t>Учинчи шахс кафиллиги</t>
  </si>
  <si>
    <t>Суғурта полиси</t>
  </si>
  <si>
    <t xml:space="preserve">Таъминотсиз </t>
  </si>
  <si>
    <t>Бошқа кафолатлар</t>
  </si>
  <si>
    <t>(В3)</t>
  </si>
  <si>
    <t>(Д1)</t>
  </si>
  <si>
    <t>(З2)</t>
  </si>
  <si>
    <r>
      <t>(В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</si>
  <si>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</si>
  <si>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</si>
  <si>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</si>
  <si>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</si>
  <si>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</si>
  <si>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</si>
  <si>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</si>
  <si>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</si>
  <si>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</si>
  <si>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</si>
  <si>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family val="2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</si>
  <si>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 xml:space="preserve">Ипотека кредитлари </t>
    </r>
    <r>
      <rPr>
        <b/>
        <sz val="14"/>
        <rFont val="Times New Roman"/>
        <family val="1"/>
        <charset val="204"/>
      </rPr>
      <t>(имтиёзли кредитлар)</t>
    </r>
    <r>
      <rPr>
        <sz val="14"/>
        <rFont val="Times New Roman"/>
        <family val="1"/>
        <charset val="204"/>
      </rPr>
      <t xml:space="preserve">
шундан:</t>
    </r>
  </si>
  <si>
    <r>
      <t>Ипотека кредитлари</t>
    </r>
    <r>
      <rPr>
        <b/>
        <sz val="14"/>
        <rFont val="Times New Roman"/>
        <family val="1"/>
        <charset val="204"/>
      </rPr>
      <t xml:space="preserve"> (тижорат кредитлар)</t>
    </r>
    <r>
      <rPr>
        <sz val="14"/>
        <rFont val="Times New Roman"/>
        <family val="1"/>
        <charset val="204"/>
      </rPr>
      <t xml:space="preserve">
шундан:</t>
    </r>
  </si>
  <si>
    <t>Ой</t>
  </si>
  <si>
    <t>Ликвидли активлар</t>
  </si>
  <si>
    <t>Кассадаги нақд пул ва бошқа тўлов ҳужжатлари ва қимматбаҳо металлар</t>
  </si>
  <si>
    <t>Банкнинг Марказий банкдаги маблағлар</t>
  </si>
  <si>
    <t>Бошқа банклар ва молиявий ташкилотлардан олиниши лозим бўлган маблағлар</t>
  </si>
  <si>
    <t>Бошқа банклар ва молиявий ташкилотлардан олиниши лозим бўлган маблағлар - соф депозитлар</t>
  </si>
  <si>
    <t>Ўзбекистон Республикаси Ҳукумати ва Марказий банк тамонидан чиқарилган қимматли қоғозлар (векселлар, облигациялар ва бошқа қимматли қоғозлар)</t>
  </si>
  <si>
    <t>Таваккалчилик даражаси паст бўлган мамлакатлар томонидан чиқарилган қимматли қоғозлар</t>
  </si>
  <si>
    <t>Бошқа осон сотиладиган қимматли қоғозлар</t>
  </si>
  <si>
    <t>Жами ликвид активлар</t>
  </si>
  <si>
    <t>Стандарт активлар бўйича яратилган захирлар</t>
  </si>
  <si>
    <t>Фойда ёки зарар орқали ҳаққоний қийматда баҳоланадиган қимматли қоғозлар</t>
  </si>
  <si>
    <t>Бошқа умумлашган даромад орқали ҳаққоний қийматда баҳоланадиган қимматли қоғозларга қилинган инвестициялар</t>
  </si>
  <si>
    <t>Сотиб олинган дебиторлик қарзлари — Факторинг</t>
  </si>
  <si>
    <t>Давлат корхоналари, ташкилотлари ва муассасаларига берилган қисқа муддатли кредитлар</t>
  </si>
  <si>
    <t>Тадбиркорлик фаолиятини қўллаб-қувватлаш давлат жамғармаси кўмагида берилган қисқа муддатли кредитлар</t>
  </si>
  <si>
    <t>Давлат эҳтиёжлари учун харид қилинадиган қишлоқ хўжалиги маҳсулотларини етиштириш учун берилган узоқ муддатли кредитлар</t>
  </si>
  <si>
    <t>Тадбиркорлик фаолиятини қўллаб-қувватлаш давлат жамғармаси кўмагида берилган узоқ муддатли кредитлар</t>
  </si>
  <si>
    <t>Давлат корхоналари, ташкилотлари ва муассасаларига берилган узоқ муддатли кредитлар</t>
  </si>
  <si>
    <t>Мижозларнинг банк карталаридан ҳисобдан чиқарилиши лозим бўлган маблағлар бўйича транзит ҳисобварақлари</t>
  </si>
  <si>
    <t>Валюталар савдоси ва валюта позициялари</t>
  </si>
  <si>
    <t>Муддати узайтирилган дебитор қарздорлик</t>
  </si>
  <si>
    <t>Олиниши лозим бўлган ҳисобланган фоизсиз даромадлар</t>
  </si>
  <si>
    <t>Амортизацияланган қиймати бўйича баҳоланадиган қарз қимматли қоғозларга қилинган инвестициялар</t>
  </si>
  <si>
    <t>Олиниши лозим бўлган ҳисобланган фоизлар</t>
  </si>
  <si>
    <t>Суд ёки ижро иши юритиш жараёнидаги кредитлар ва лизинг</t>
  </si>
  <si>
    <t>Қарам хўжалик жамиятларига, биргаликдаги корхоналарга ва шўъба хўжалик жамиятларига қилинган инвестициялар</t>
  </si>
  <si>
    <t>Қўлда тўлдирилади</t>
  </si>
  <si>
    <t>ушбу қаторда барча юридик шахсларнинг сони кўрсатилади</t>
  </si>
  <si>
    <t>ушбу қаторда банкда асосий ҳисоб рақами мавжуд юридик шахсларнинг сони кўрсатилади</t>
  </si>
  <si>
    <t>миллий 
валютада</t>
  </si>
  <si>
    <t>Бошқарув Раис имзоси:</t>
  </si>
  <si>
    <t>Бош бухгалтер имзоси:</t>
  </si>
  <si>
    <t>Стандарт активлар бўйича яратилган захиралар (1%)</t>
  </si>
  <si>
    <t>2.6.</t>
  </si>
  <si>
    <t>2.7.</t>
  </si>
  <si>
    <t>Кўрсатилган хизматлар ва воситачилик учун олинган даромадлар</t>
  </si>
  <si>
    <t>Воситачилик ва кўрсатилган хизматлар учун харажатлар</t>
  </si>
  <si>
    <t>ПРУДЕНЦИАЛ МЕЪЁРЛАР ҲИСОБ-КИТОБИ</t>
  </si>
  <si>
    <t>Стандарт активлар бўйича яратилган захиралар (мин 1%)</t>
  </si>
  <si>
    <t>Субстандарт активлар бўйича яратилган захиралар (мин 10%)</t>
  </si>
  <si>
    <t>Қониқарсиз активлар бўйича яратилган захиралар (мин 25%)</t>
  </si>
  <si>
    <t>Шубҳали активлар бўйича яратилган захиралар (мин 50%)</t>
  </si>
  <si>
    <t>Умидсиз активлар бўйича яратилган захиралар (мин 100%)</t>
  </si>
  <si>
    <t>Ҳақиқатдан яратилган заҳира</t>
  </si>
  <si>
    <t xml:space="preserve"> Яратилиши лозим бўлган заҳира</t>
  </si>
  <si>
    <t>10 А-жадвал</t>
  </si>
  <si>
    <t xml:space="preserve">Бошқа банкларга берилган кредитлар </t>
  </si>
  <si>
    <t xml:space="preserve">Ҳукуматга берилган кредитлар </t>
  </si>
  <si>
    <t xml:space="preserve">Жисмоний шахсларга берилган кредит ва лизинглар </t>
  </si>
  <si>
    <t>Давлат корхоналарига берилган кредит ва лизинглар</t>
  </si>
  <si>
    <t>Қўшма ва чет эл капитали иштирокидаги корхоналарга берилган кредит ва лизинглар</t>
  </si>
  <si>
    <t>Хусусий корхоналар, хўжалик ширкатлари ва жамиятларга берилган кредит ва лизинглар</t>
  </si>
  <si>
    <t>Бошқа кредит ва лизинглар</t>
  </si>
  <si>
    <t>АКТИВЛАР ВА УЛАРНИНГ ТАСНИФИ БЎЙИЧА ШАКЛЛАНТИРИЛГАН ЗАХИРАЛАР</t>
  </si>
  <si>
    <t>Қимматли қоғозлар билан битимларни амалга ошириш, юридик шахсларнинг устав фондидаги (устав капиталидаги) улушларини ёки акцияларини сотиб олиш йиғиндиси</t>
  </si>
  <si>
    <t xml:space="preserve">Кўчмас мулк ва бошқа мол-мулкларнинг жами қиймати </t>
  </si>
  <si>
    <t>Кўчмас мулк ва бошқа мол-мулкларга оид меъёрий кўрсаткич</t>
  </si>
  <si>
    <t>№1</t>
  </si>
  <si>
    <t>"MKBANK"</t>
  </si>
  <si>
    <t>ООО "SESAME"</t>
  </si>
  <si>
    <t>ИП ООО "EPSILON DEVELOPMENT COMPANY"</t>
  </si>
  <si>
    <t>нефт</t>
  </si>
  <si>
    <t>ISKANOV ILKHOMJON XOLDOROVICH</t>
  </si>
  <si>
    <t>XAKIMOV ABDUSOLIX MELIYEVICH</t>
  </si>
  <si>
    <t>ABRAXMATOV ULUGBEK PARDAYEVICH</t>
  </si>
  <si>
    <t>ALLANAZAROV TIMUR DAVLETNAZAROVICH</t>
  </si>
  <si>
    <t>НАРЗИЕВ АХРОР АБДУРАЗАКОВИЧ</t>
  </si>
  <si>
    <t>БЕШИМОВ АЗАМАТ ХАМРОБОЕВИЧ</t>
  </si>
  <si>
    <t>Safarov Abdumajit Abduxamitovich</t>
  </si>
  <si>
    <t>NORQULOV BAHROM TURAMURODOVICH</t>
  </si>
  <si>
    <t>SULAYMONOV RUSTAM DAVUTOVICH</t>
  </si>
  <si>
    <t>ВАфаев Еркин Жураевич</t>
  </si>
  <si>
    <t>SATTAROV SHAVKAT YUSUFOVICH</t>
  </si>
  <si>
    <t>TOSHPULATOV ADHAM SUYUNOVICH</t>
  </si>
  <si>
    <t>MADUMAROV XUSNIDDIN KOMILOVICH</t>
  </si>
  <si>
    <t>KOMILOV QOBILBEK IXTIYOR O'G'LI</t>
  </si>
  <si>
    <t>TOSHPULATOV SHERZOD SHAROF O'G'LI</t>
  </si>
  <si>
    <t>MUSTAFAYEV ALISHER ABDULLOYEVICH</t>
  </si>
  <si>
    <t>XALILOV RASHIDMIRZA RAVSHANMIRZAYEVICH</t>
  </si>
  <si>
    <t>XAYITALIYEV NAZIRJON YUNUSALIYEVICH</t>
  </si>
  <si>
    <t>MAMADJANOV IBROXIMJON ABDUSHUKUROVICH</t>
  </si>
  <si>
    <t>JUMAEV KHUSEN OBIDOVICH</t>
  </si>
  <si>
    <t>AD0242451</t>
  </si>
  <si>
    <t>AD3464379</t>
  </si>
  <si>
    <t>AC0103897</t>
  </si>
  <si>
    <t>AD0577253</t>
  </si>
  <si>
    <t>AD3360600</t>
  </si>
  <si>
    <t>AB9725681</t>
  </si>
  <si>
    <t>AB9651590</t>
  </si>
  <si>
    <t>AA6746334</t>
  </si>
  <si>
    <t>AA7734222</t>
  </si>
  <si>
    <t>AA3770014</t>
  </si>
  <si>
    <t>AA3371233</t>
  </si>
  <si>
    <t>AB9086414</t>
  </si>
  <si>
    <t>AD2148671</t>
  </si>
  <si>
    <t>AB0377399</t>
  </si>
  <si>
    <t>AD0192415</t>
  </si>
  <si>
    <t>AA9104216</t>
  </si>
  <si>
    <t>AD1234969</t>
  </si>
  <si>
    <t>AB0251464</t>
  </si>
  <si>
    <t>AC2726633</t>
  </si>
  <si>
    <t>AA6434618</t>
  </si>
  <si>
    <t>AA6377822</t>
  </si>
  <si>
    <t>AD1364173</t>
  </si>
  <si>
    <t>AD1948131</t>
  </si>
  <si>
    <t>KA1314784</t>
  </si>
  <si>
    <t>AB1324226</t>
  </si>
  <si>
    <t>AA8111986</t>
  </si>
  <si>
    <t>000</t>
  </si>
  <si>
    <t>ВВ-</t>
  </si>
  <si>
    <t>Фитч Рейтингс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</si>
</sst>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5">
    <numFmt numFmtId="43" formatCode="_-* #,##0.00\ _₽_-;\-* #,##0.00\ _₽_-;_-* &quot;-&quot;??\ _₽_-;_-@_-"/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0.000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#,##0.0_р_."/>
    <numFmt numFmtId="183" formatCode="&quot;   &quot;@"/>
    <numFmt numFmtId="184" formatCode="&quot;      &quot;@"/>
    <numFmt numFmtId="185" formatCode="&quot;            &quot;@"/>
    <numFmt numFmtId="186" formatCode="_-* #,##0.00\ &quot;сум&quot;_-;\-* #,##0.00\ &quot;сум&quot;_-;_-* &quot;-&quot;??\ &quot;сум&quot;_-;_-@_-"/>
    <numFmt numFmtId="187" formatCode="&quot;$&quot;#,##0\ ;\(&quot;$&quot;#,##0\)"/>
    <numFmt numFmtId="188" formatCode="_([$€-2]* #,##0.00_);_([$€-2]* \(#,##0.00\);_([$€-2]* &quot;-&quot;??_)"/>
    <numFmt numFmtId="189" formatCode="General_)"/>
    <numFmt numFmtId="190" formatCode="_(* #,##0_);_(* \(#,##0\);_(* &quot;-&quot;_);_(@_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[Black]#,##0.0;[Black]\-#,##0.0;;"/>
    <numFmt numFmtId="194" formatCode="#,##0_ ;[Red]\-#,##0\ "/>
    <numFmt numFmtId="195" formatCode="[$-843]dd\ mmmm\ yyyy\ \й\и\л;@"/>
    <numFmt numFmtId="196" formatCode="_-* #,##0.0_р_._-;\-* #,##0.0_р_._-;_-* &quot;-&quot;??_р_._-;_-@_-"/>
    <numFmt numFmtId="197" formatCode="#,##0_ ;\-#,##0\ "/>
  </numFmts>
  <fonts count="125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b/>
      <sz val="14"/>
      <name val="Arial Cyr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FF0000"/>
      <name val="Times New Roman Cyr"/>
      <family val="1"/>
      <charset val="204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b/>
      <sz val="25"/>
      <name val="Arial Cyr"/>
      <family val="2"/>
      <charset val="204"/>
    </font>
    <font>
      <b/>
      <sz val="16"/>
      <name val="Times New Roman"/>
      <family val="1"/>
      <charset val="204"/>
    </font>
    <font>
      <b/>
      <sz val="20"/>
      <name val="Arial Cyr"/>
      <charset val="204"/>
    </font>
    <font>
      <i/>
      <sz val="10"/>
      <name val="Arial Cyr"/>
      <family val="2"/>
      <charset val="204"/>
    </font>
    <font>
      <b/>
      <sz val="8"/>
      <name val="Arial Cyr"/>
      <family val="2"/>
      <charset val="204"/>
    </font>
    <font>
      <sz val="9"/>
      <name val="Arial Cyr"/>
      <family val="2"/>
      <charset val="204"/>
    </font>
    <font>
      <i/>
      <sz val="12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b/>
      <sz val="10"/>
      <color theme="0" tint="-0.499984740745262"/>
      <name val="Arial Cyr"/>
      <family val="2"/>
      <charset val="204"/>
    </font>
    <font>
      <b/>
      <sz val="11"/>
      <color theme="0" tint="-0.499984740745262"/>
      <name val="Arial Cyr"/>
      <family val="2"/>
      <charset val="204"/>
    </font>
    <font>
      <sz val="11"/>
      <color theme="0" tint="-0.499984740745262"/>
      <name val="Arial Cyr"/>
      <family val="2"/>
      <charset val="204"/>
    </font>
    <font>
      <sz val="11"/>
      <color theme="0" tint="-0.499984740745262"/>
      <name val="Times New Roman"/>
      <family val="1"/>
      <charset val="204"/>
    </font>
    <font>
      <sz val="8"/>
      <color theme="0" tint="-0.34998626667073579"/>
      <name val="Arial Cyr"/>
      <family val="2"/>
      <charset val="204"/>
    </font>
    <font>
      <sz val="10"/>
      <color theme="0" tint="-0.14999847407452621"/>
      <name val="Arial Cyr"/>
      <family val="2"/>
      <charset val="204"/>
    </font>
    <font>
      <sz val="10"/>
      <color theme="0" tint="-0.249977111117893"/>
      <name val="Arial Cyr"/>
      <family val="2"/>
      <charset val="204"/>
    </font>
    <font>
      <sz val="10"/>
      <color theme="0" tint="-0.499984740745262"/>
      <name val="Arial Cyr"/>
      <charset val="204"/>
    </font>
    <font>
      <sz val="9"/>
      <name val="Arial Cyr"/>
      <charset val="204"/>
    </font>
    <font>
      <b/>
      <sz val="10"/>
      <color theme="0" tint="-0.499984740745262"/>
      <name val="Arial Cyr"/>
      <charset val="204"/>
    </font>
    <font>
      <sz val="10"/>
      <color rgb="FFFF0000"/>
      <name val="Arial Cyr"/>
      <charset val="204"/>
    </font>
    <font>
      <sz val="8"/>
      <name val="Arial Cyr"/>
      <charset val="204"/>
    </font>
    <font>
      <sz val="12"/>
      <color theme="0" tint="-0.249977111117893"/>
      <name val="Times New Roman"/>
      <family val="1"/>
      <charset val="204"/>
    </font>
    <font>
      <b/>
      <sz val="20"/>
      <color rgb="FFB6FF5D"/>
      <name val="Times New Roman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1">
    <xf numFmtId="0" fontId="0" fillId="0" borderId="0"/>
    <xf numFmtId="0" fontId="26" fillId="0" borderId="0"/>
    <xf numFmtId="9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0" fontId="30" fillId="0" borderId="0" applyNumberFormat="0" applyFont="0" applyFill="0" applyBorder="0" applyAlignment="0" applyProtection="0">
      <alignment vertical="top"/>
    </xf>
    <xf numFmtId="166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0" fillId="0" borderId="0" applyNumberFormat="0" applyFont="0" applyFill="0" applyBorder="0" applyAlignment="0" applyProtection="0">
      <alignment vertical="top"/>
    </xf>
    <xf numFmtId="9" fontId="3" fillId="0" borderId="0" applyFont="0" applyFill="0" applyBorder="0" applyAlignment="0" applyProtection="0"/>
    <xf numFmtId="0" fontId="58" fillId="0" borderId="0">
      <protection locked="0"/>
    </xf>
    <xf numFmtId="0" fontId="58" fillId="0" borderId="0">
      <protection locked="0"/>
    </xf>
    <xf numFmtId="0" fontId="58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8" fillId="0" borderId="17">
      <protection locked="0"/>
    </xf>
    <xf numFmtId="173" fontId="60" fillId="0" borderId="0">
      <protection locked="0"/>
    </xf>
    <xf numFmtId="174" fontId="60" fillId="0" borderId="17">
      <protection locked="0"/>
    </xf>
    <xf numFmtId="175" fontId="60" fillId="0" borderId="0">
      <protection locked="0"/>
    </xf>
    <xf numFmtId="4" fontId="60" fillId="0" borderId="0">
      <protection locked="0"/>
    </xf>
    <xf numFmtId="176" fontId="60" fillId="0" borderId="0">
      <protection locked="0"/>
    </xf>
    <xf numFmtId="174" fontId="61" fillId="0" borderId="0">
      <protection locked="0"/>
    </xf>
    <xf numFmtId="174" fontId="62" fillId="0" borderId="0">
      <protection locked="0"/>
    </xf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1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63" fillId="0" borderId="5">
      <alignment horizontal="center"/>
    </xf>
    <xf numFmtId="165" fontId="30" fillId="0" borderId="0" applyFont="0" applyFill="0" applyBorder="0" applyAlignment="0" applyProtection="0"/>
    <xf numFmtId="166" fontId="30" fillId="0" borderId="0" applyFont="0" applyFill="0" applyBorder="0" applyAlignment="0" applyProtection="0"/>
    <xf numFmtId="0" fontId="64" fillId="0" borderId="0"/>
    <xf numFmtId="0" fontId="30" fillId="0" borderId="0"/>
    <xf numFmtId="9" fontId="32" fillId="0" borderId="0" applyFont="0" applyFill="0" applyBorder="0" applyAlignment="0" applyProtection="0"/>
    <xf numFmtId="0" fontId="65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10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7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65" fillId="0" borderId="0"/>
    <xf numFmtId="0" fontId="68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6" fillId="0" borderId="0"/>
    <xf numFmtId="0" fontId="65" fillId="0" borderId="0"/>
    <xf numFmtId="0" fontId="2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6" fillId="0" borderId="0"/>
    <xf numFmtId="0" fontId="30" fillId="0" borderId="0"/>
    <xf numFmtId="0" fontId="65" fillId="0" borderId="0"/>
    <xf numFmtId="0" fontId="30" fillId="0" borderId="0"/>
    <xf numFmtId="0" fontId="6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" fillId="0" borderId="0"/>
    <xf numFmtId="0" fontId="67" fillId="0" borderId="0"/>
    <xf numFmtId="0" fontId="2" fillId="0" borderId="0"/>
    <xf numFmtId="0" fontId="65" fillId="0" borderId="0"/>
    <xf numFmtId="0" fontId="6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/>
    <xf numFmtId="0" fontId="32" fillId="0" borderId="0"/>
    <xf numFmtId="0" fontId="32" fillId="0" borderId="0"/>
    <xf numFmtId="0" fontId="3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32" fillId="0" borderId="0"/>
    <xf numFmtId="0" fontId="30" fillId="0" borderId="0"/>
    <xf numFmtId="0" fontId="3" fillId="0" borderId="0"/>
    <xf numFmtId="0" fontId="32" fillId="0" borderId="0"/>
    <xf numFmtId="0" fontId="2" fillId="0" borderId="0"/>
    <xf numFmtId="0" fontId="32" fillId="0" borderId="0"/>
    <xf numFmtId="0" fontId="3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2" fillId="0" borderId="0"/>
    <xf numFmtId="0" fontId="67" fillId="0" borderId="0"/>
    <xf numFmtId="0" fontId="65" fillId="0" borderId="0"/>
    <xf numFmtId="0" fontId="70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71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2" fillId="0" borderId="0"/>
    <xf numFmtId="0" fontId="2" fillId="0" borderId="0"/>
    <xf numFmtId="0" fontId="71" fillId="0" borderId="0"/>
    <xf numFmtId="0" fontId="30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72" fillId="0" borderId="0"/>
    <xf numFmtId="0" fontId="32" fillId="0" borderId="0"/>
    <xf numFmtId="0" fontId="67" fillId="0" borderId="0"/>
    <xf numFmtId="0" fontId="65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32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67" fillId="0" borderId="0"/>
    <xf numFmtId="0" fontId="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65" fillId="0" borderId="0"/>
    <xf numFmtId="0" fontId="2" fillId="0" borderId="0"/>
    <xf numFmtId="0" fontId="65" fillId="0" borderId="0"/>
    <xf numFmtId="0" fontId="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30" fillId="0" borderId="0"/>
    <xf numFmtId="0" fontId="65" fillId="0" borderId="0"/>
    <xf numFmtId="0" fontId="65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7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/>
    <xf numFmtId="0" fontId="2" fillId="0" borderId="0"/>
    <xf numFmtId="0" fontId="69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3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2" fillId="0" borderId="0"/>
    <xf numFmtId="0" fontId="32" fillId="0" borderId="0"/>
    <xf numFmtId="0" fontId="3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66" fillId="0" borderId="0"/>
    <xf numFmtId="0" fontId="66" fillId="0" borderId="0"/>
    <xf numFmtId="0" fontId="32" fillId="0" borderId="0"/>
    <xf numFmtId="0" fontId="32" fillId="0" borderId="0"/>
    <xf numFmtId="0" fontId="31" fillId="0" borderId="0"/>
    <xf numFmtId="0" fontId="2" fillId="0" borderId="0"/>
    <xf numFmtId="0" fontId="32" fillId="0" borderId="0"/>
    <xf numFmtId="0" fontId="2" fillId="0" borderId="0"/>
    <xf numFmtId="0" fontId="2" fillId="0" borderId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0" fontId="69" fillId="7" borderId="16" applyNumberFormat="0" applyFont="0" applyAlignment="0" applyProtection="0"/>
    <xf numFmtId="9" fontId="6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74" fillId="0" borderId="0"/>
    <xf numFmtId="165" fontId="3" fillId="0" borderId="0" applyFont="0" applyFill="0" applyBorder="0" applyAlignment="0" applyProtection="0"/>
    <xf numFmtId="165" fontId="31" fillId="0" borderId="0" applyFont="0" applyFill="0" applyBorder="0" applyAlignment="0" applyProtection="0"/>
    <xf numFmtId="165" fontId="3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69" fillId="0" borderId="0" applyFont="0" applyFill="0" applyBorder="0" applyAlignment="0" applyProtection="0"/>
    <xf numFmtId="164" fontId="69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8" fontId="30" fillId="0" borderId="0" applyFont="0" applyFill="0" applyBorder="0" applyAlignment="0" applyProtection="0"/>
    <xf numFmtId="166" fontId="75" fillId="0" borderId="0" applyFont="0" applyFill="0" applyBorder="0" applyAlignment="0" applyProtection="0"/>
    <xf numFmtId="170" fontId="3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7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172" fontId="69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6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75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75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75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9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6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9" fontId="30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80" fontId="69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75" fillId="0" borderId="0" applyFont="0" applyFill="0" applyBorder="0" applyAlignment="0" applyProtection="0"/>
    <xf numFmtId="181" fontId="67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7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65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7" fontId="30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58" fillId="0" borderId="0">
      <protection locked="0"/>
    </xf>
    <xf numFmtId="0" fontId="8" fillId="0" borderId="0">
      <alignment vertical="top"/>
    </xf>
    <xf numFmtId="183" fontId="80" fillId="0" borderId="0" applyFont="0" applyFill="0" applyBorder="0" applyAlignment="0" applyProtection="0"/>
    <xf numFmtId="184" fontId="80" fillId="0" borderId="0" applyFont="0" applyFill="0" applyBorder="0" applyAlignment="0" applyProtection="0"/>
    <xf numFmtId="0" fontId="69" fillId="22" borderId="0" applyNumberFormat="0" applyBorder="0" applyAlignment="0" applyProtection="0"/>
    <xf numFmtId="0" fontId="69" fillId="23" borderId="0" applyNumberFormat="0" applyBorder="0" applyAlignment="0" applyProtection="0"/>
    <xf numFmtId="0" fontId="69" fillId="24" borderId="0" applyNumberFormat="0" applyBorder="0" applyAlignment="0" applyProtection="0"/>
    <xf numFmtId="0" fontId="69" fillId="25" borderId="0" applyNumberFormat="0" applyBorder="0" applyAlignment="0" applyProtection="0"/>
    <xf numFmtId="0" fontId="69" fillId="26" borderId="0" applyNumberFormat="0" applyBorder="0" applyAlignment="0" applyProtection="0"/>
    <xf numFmtId="0" fontId="69" fillId="27" borderId="0" applyNumberFormat="0" applyBorder="0" applyAlignment="0" applyProtection="0"/>
    <xf numFmtId="185" fontId="80" fillId="0" borderId="0" applyFont="0" applyFill="0" applyBorder="0" applyAlignment="0" applyProtection="0"/>
    <xf numFmtId="0" fontId="69" fillId="28" borderId="0" applyNumberFormat="0" applyBorder="0" applyAlignment="0" applyProtection="0"/>
    <xf numFmtId="0" fontId="69" fillId="29" borderId="0" applyNumberFormat="0" applyBorder="0" applyAlignment="0" applyProtection="0"/>
    <xf numFmtId="0" fontId="69" fillId="30" borderId="0" applyNumberFormat="0" applyBorder="0" applyAlignment="0" applyProtection="0"/>
    <xf numFmtId="0" fontId="69" fillId="25" borderId="0" applyNumberFormat="0" applyBorder="0" applyAlignment="0" applyProtection="0"/>
    <xf numFmtId="0" fontId="69" fillId="28" borderId="0" applyNumberFormat="0" applyBorder="0" applyAlignment="0" applyProtection="0"/>
    <xf numFmtId="0" fontId="69" fillId="31" borderId="0" applyNumberFormat="0" applyBorder="0" applyAlignment="0" applyProtection="0"/>
    <xf numFmtId="0" fontId="81" fillId="32" borderId="0" applyNumberFormat="0" applyBorder="0" applyAlignment="0" applyProtection="0"/>
    <xf numFmtId="0" fontId="81" fillId="29" borderId="0" applyNumberFormat="0" applyBorder="0" applyAlignment="0" applyProtection="0"/>
    <xf numFmtId="0" fontId="81" fillId="30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5" borderId="0" applyNumberFormat="0" applyBorder="0" applyAlignment="0" applyProtection="0"/>
    <xf numFmtId="0" fontId="81" fillId="36" borderId="0" applyNumberFormat="0" applyBorder="0" applyAlignment="0" applyProtection="0"/>
    <xf numFmtId="0" fontId="81" fillId="37" borderId="0" applyNumberFormat="0" applyBorder="0" applyAlignment="0" applyProtection="0"/>
    <xf numFmtId="0" fontId="81" fillId="38" borderId="0" applyNumberFormat="0" applyBorder="0" applyAlignment="0" applyProtection="0"/>
    <xf numFmtId="0" fontId="81" fillId="33" borderId="0" applyNumberFormat="0" applyBorder="0" applyAlignment="0" applyProtection="0"/>
    <xf numFmtId="0" fontId="81" fillId="34" borderId="0" applyNumberFormat="0" applyBorder="0" applyAlignment="0" applyProtection="0"/>
    <xf numFmtId="0" fontId="81" fillId="39" borderId="0" applyNumberFormat="0" applyBorder="0" applyAlignment="0" applyProtection="0"/>
    <xf numFmtId="0" fontId="82" fillId="23" borderId="0" applyNumberFormat="0" applyBorder="0" applyAlignment="0" applyProtection="0"/>
    <xf numFmtId="0" fontId="83" fillId="40" borderId="20" applyNumberFormat="0" applyAlignment="0" applyProtection="0"/>
    <xf numFmtId="0" fontId="84" fillId="41" borderId="21" applyNumberFormat="0" applyAlignment="0" applyProtection="0"/>
    <xf numFmtId="177" fontId="85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14" fillId="0" borderId="0" applyNumberFormat="0" applyFont="0" applyFill="0" applyBorder="0" applyAlignment="0"/>
    <xf numFmtId="186" fontId="30" fillId="0" borderId="0" applyFont="0" applyFill="0" applyBorder="0" applyAlignment="0" applyProtection="0"/>
    <xf numFmtId="187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8" fontId="20" fillId="0" borderId="0" applyFont="0" applyFill="0" applyBorder="0" applyAlignment="0" applyProtection="0"/>
    <xf numFmtId="189" fontId="86" fillId="0" borderId="0"/>
    <xf numFmtId="0" fontId="87" fillId="0" borderId="0" applyNumberFormat="0" applyFill="0" applyBorder="0" applyAlignment="0" applyProtection="0"/>
    <xf numFmtId="2" fontId="30" fillId="0" borderId="0" applyFont="0" applyFill="0" applyBorder="0" applyAlignment="0" applyProtection="0"/>
    <xf numFmtId="0" fontId="88" fillId="24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22" applyNumberFormat="0" applyFill="0" applyAlignment="0" applyProtection="0"/>
    <xf numFmtId="0" fontId="91" fillId="0" borderId="0" applyNumberFormat="0" applyFill="0" applyBorder="0" applyAlignment="0" applyProtection="0"/>
    <xf numFmtId="172" fontId="80" fillId="0" borderId="0" applyFont="0" applyFill="0" applyBorder="0" applyAlignment="0" applyProtection="0"/>
    <xf numFmtId="0" fontId="92" fillId="27" borderId="20" applyNumberFormat="0" applyAlignment="0" applyProtection="0"/>
    <xf numFmtId="0" fontId="93" fillId="0" borderId="23" applyNumberFormat="0" applyFill="0" applyAlignment="0" applyProtection="0"/>
    <xf numFmtId="19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72" fontId="94" fillId="0" borderId="0" applyFill="0" applyBorder="0"/>
    <xf numFmtId="0" fontId="95" fillId="42" borderId="0" applyNumberFormat="0" applyBorder="0" applyAlignment="0" applyProtection="0"/>
    <xf numFmtId="0" fontId="94" fillId="0" borderId="0"/>
    <xf numFmtId="0" fontId="32" fillId="43" borderId="24" applyNumberFormat="0" applyFont="0" applyAlignment="0" applyProtection="0"/>
    <xf numFmtId="0" fontId="96" fillId="40" borderId="25" applyNumberFormat="0" applyAlignment="0" applyProtection="0"/>
    <xf numFmtId="9" fontId="30" fillId="0" borderId="0" applyFont="0" applyFill="0" applyBorder="0" applyAlignment="0" applyProtection="0"/>
    <xf numFmtId="193" fontId="80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30" fillId="0" borderId="26" applyNumberFormat="0" applyFont="0" applyFill="0" applyAlignment="0" applyProtection="0"/>
    <xf numFmtId="0" fontId="98" fillId="0" borderId="0" applyNumberFormat="0" applyFill="0" applyBorder="0" applyAlignment="0" applyProtection="0"/>
    <xf numFmtId="0" fontId="3" fillId="0" borderId="0"/>
    <xf numFmtId="0" fontId="1" fillId="0" borderId="0"/>
    <xf numFmtId="43" fontId="1" fillId="0" borderId="0" applyFont="0" applyFill="0" applyBorder="0" applyAlignment="0" applyProtection="0"/>
  </cellStyleXfs>
  <cellXfs count="911">
    <xf numFmtId="0" fontId="0" fillId="0" borderId="0" xfId="0"/>
    <xf numFmtId="0" fontId="4" fillId="0" borderId="0" xfId="0" applyFont="1"/>
    <xf numFmtId="0" fontId="7" fillId="0" borderId="0" xfId="0" applyFont="1" applyBorder="1"/>
    <xf numFmtId="0" fontId="5" fillId="0" borderId="0" xfId="0" applyFont="1" applyBorder="1" applyAlignment="1">
      <alignment horizontal="centerContinuous"/>
    </xf>
    <xf numFmtId="0" fontId="5" fillId="0" borderId="0" xfId="0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Continuous"/>
    </xf>
    <xf numFmtId="0" fontId="9" fillId="0" borderId="0" xfId="0" applyFont="1"/>
    <xf numFmtId="0" fontId="9" fillId="0" borderId="0" xfId="0" applyFont="1" applyBorder="1"/>
    <xf numFmtId="0" fontId="8" fillId="0" borderId="0" xfId="0" applyFont="1" applyAlignment="1" applyProtection="1">
      <alignment horizontal="centerContinuous"/>
    </xf>
    <xf numFmtId="0" fontId="6" fillId="0" borderId="2" xfId="0" applyFont="1" applyBorder="1" applyAlignment="1">
      <alignment horizontal="center" vertical="center" wrapText="1"/>
    </xf>
    <xf numFmtId="0" fontId="16" fillId="0" borderId="0" xfId="4" applyNumberFormat="1" applyFont="1" applyFill="1" applyBorder="1" applyAlignment="1" applyProtection="1">
      <alignment vertical="center"/>
    </xf>
    <xf numFmtId="0" fontId="16" fillId="0" borderId="0" xfId="4" applyNumberFormat="1" applyFont="1" applyFill="1" applyBorder="1" applyAlignment="1" applyProtection="1">
      <alignment vertical="top"/>
    </xf>
    <xf numFmtId="0" fontId="16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0" fontId="6" fillId="0" borderId="0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3" fontId="3" fillId="0" borderId="1" xfId="0" applyNumberFormat="1" applyFont="1" applyFill="1" applyBorder="1" applyAlignment="1" applyProtection="1">
      <alignment vertical="center"/>
      <protection locked="0"/>
    </xf>
    <xf numFmtId="3" fontId="29" fillId="0" borderId="1" xfId="0" applyNumberFormat="1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33" fillId="0" borderId="0" xfId="0" applyFont="1"/>
    <xf numFmtId="3" fontId="33" fillId="0" borderId="0" xfId="0" applyNumberFormat="1" applyFont="1" applyBorder="1" applyAlignment="1">
      <alignment horizontal="centerContinuous"/>
    </xf>
    <xf numFmtId="0" fontId="9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vertical="center"/>
    </xf>
    <xf numFmtId="3" fontId="9" fillId="0" borderId="1" xfId="0" applyNumberFormat="1" applyFont="1" applyBorder="1" applyAlignment="1" applyProtection="1">
      <alignment horizontal="right" vertical="center"/>
      <protection locked="0"/>
    </xf>
    <xf numFmtId="3" fontId="9" fillId="0" borderId="1" xfId="0" applyNumberFormat="1" applyFont="1" applyBorder="1" applyAlignment="1" applyProtection="1">
      <alignment vertical="center"/>
    </xf>
    <xf numFmtId="0" fontId="5" fillId="0" borderId="0" xfId="0" applyFont="1" applyAlignment="1">
      <alignment horizontal="center"/>
    </xf>
    <xf numFmtId="0" fontId="5" fillId="0" borderId="0" xfId="0" applyFont="1" applyBorder="1"/>
    <xf numFmtId="0" fontId="34" fillId="0" borderId="0" xfId="0" applyFont="1" applyProtection="1">
      <protection hidden="1"/>
    </xf>
    <xf numFmtId="0" fontId="3" fillId="0" borderId="0" xfId="0" applyFont="1" applyFill="1" applyProtection="1"/>
    <xf numFmtId="0" fontId="3" fillId="0" borderId="0" xfId="0" applyFont="1" applyBorder="1" applyProtection="1"/>
    <xf numFmtId="169" fontId="22" fillId="0" borderId="0" xfId="3" applyNumberFormat="1" applyFont="1" applyBorder="1" applyAlignment="1" applyProtection="1">
      <alignment horizontal="center" vertical="center" wrapText="1"/>
    </xf>
    <xf numFmtId="0" fontId="19" fillId="0" borderId="0" xfId="0" applyFont="1" applyProtection="1"/>
    <xf numFmtId="0" fontId="19" fillId="0" borderId="0" xfId="0" applyFont="1" applyBorder="1" applyAlignment="1" applyProtection="1">
      <alignment wrapText="1"/>
    </xf>
    <xf numFmtId="0" fontId="19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wrapText="1"/>
    </xf>
    <xf numFmtId="0" fontId="18" fillId="0" borderId="1" xfId="0" applyFont="1" applyBorder="1" applyAlignment="1" applyProtection="1">
      <alignment horizontal="center" vertical="center"/>
    </xf>
    <xf numFmtId="169" fontId="18" fillId="0" borderId="1" xfId="3" applyNumberFormat="1" applyFont="1" applyBorder="1" applyAlignment="1" applyProtection="1">
      <alignment horizontal="left" vertical="center"/>
    </xf>
    <xf numFmtId="3" fontId="18" fillId="0" borderId="1" xfId="3" applyNumberFormat="1" applyFont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horizontal="center" wrapText="1"/>
    </xf>
    <xf numFmtId="3" fontId="19" fillId="0" borderId="1" xfId="3" applyNumberFormat="1" applyFont="1" applyFill="1" applyBorder="1" applyAlignment="1" applyProtection="1">
      <alignment horizontal="center" wrapText="1"/>
    </xf>
    <xf numFmtId="3" fontId="27" fillId="0" borderId="1" xfId="3" applyNumberFormat="1" applyFont="1" applyFill="1" applyBorder="1" applyAlignment="1" applyProtection="1">
      <alignment horizontal="center" wrapText="1"/>
    </xf>
    <xf numFmtId="0" fontId="18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left" vertical="center" wrapText="1" indent="2"/>
    </xf>
    <xf numFmtId="0" fontId="24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8" fillId="0" borderId="1" xfId="0" applyFont="1" applyFill="1" applyBorder="1" applyAlignment="1" applyProtection="1">
      <alignment horizontal="left" vertical="center" indent="2"/>
    </xf>
    <xf numFmtId="0" fontId="19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Fill="1" applyBorder="1" applyAlignment="1" applyProtection="1">
      <alignment horizontal="center" wrapText="1"/>
    </xf>
    <xf numFmtId="0" fontId="27" fillId="0" borderId="0" xfId="0" applyFont="1" applyProtection="1"/>
    <xf numFmtId="0" fontId="27" fillId="0" borderId="1" xfId="0" applyFont="1" applyFill="1" applyBorder="1" applyAlignment="1" applyProtection="1">
      <alignment horizontal="center" vertical="center" wrapText="1"/>
    </xf>
    <xf numFmtId="0" fontId="27" fillId="0" borderId="0" xfId="0" applyFont="1" applyAlignment="1" applyProtection="1">
      <alignment vertical="center"/>
    </xf>
    <xf numFmtId="0" fontId="19" fillId="0" borderId="1" xfId="0" applyFont="1" applyBorder="1" applyAlignment="1" applyProtection="1">
      <alignment horizontal="center" vertical="center" wrapText="1"/>
    </xf>
    <xf numFmtId="0" fontId="18" fillId="0" borderId="1" xfId="0" applyFont="1" applyBorder="1" applyAlignment="1" applyProtection="1">
      <alignment horizontal="left" vertical="center" indent="2"/>
    </xf>
    <xf numFmtId="0" fontId="18" fillId="0" borderId="1" xfId="0" applyFont="1" applyBorder="1" applyAlignment="1" applyProtection="1">
      <alignment horizontal="left" vertical="center" wrapText="1" indent="2"/>
    </xf>
    <xf numFmtId="3" fontId="27" fillId="0" borderId="1" xfId="3" applyNumberFormat="1" applyFont="1" applyBorder="1" applyAlignment="1" applyProtection="1">
      <alignment horizontal="center" vertical="center" wrapText="1"/>
    </xf>
    <xf numFmtId="0" fontId="19" fillId="0" borderId="0" xfId="0" applyFont="1" applyFill="1" applyAlignment="1" applyProtection="1">
      <alignment vertical="center"/>
    </xf>
    <xf numFmtId="0" fontId="31" fillId="0" borderId="1" xfId="0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2"/>
    </xf>
    <xf numFmtId="3" fontId="31" fillId="0" borderId="1" xfId="3" applyNumberFormat="1" applyFont="1" applyFill="1" applyBorder="1" applyAlignment="1" applyProtection="1">
      <alignment horizontal="center"/>
    </xf>
    <xf numFmtId="0" fontId="31" fillId="0" borderId="0" xfId="0" applyFont="1" applyFill="1" applyAlignment="1" applyProtection="1">
      <alignment vertical="center"/>
    </xf>
    <xf numFmtId="0" fontId="31" fillId="0" borderId="1" xfId="0" applyFont="1" applyBorder="1" applyAlignment="1" applyProtection="1">
      <alignment horizontal="center" vertical="center" wrapText="1"/>
    </xf>
    <xf numFmtId="0" fontId="31" fillId="0" borderId="1" xfId="0" applyFont="1" applyBorder="1" applyAlignment="1" applyProtection="1">
      <alignment horizontal="left" vertical="center" wrapText="1" indent="2"/>
    </xf>
    <xf numFmtId="0" fontId="31" fillId="0" borderId="0" xfId="0" applyFont="1" applyAlignment="1" applyProtection="1">
      <alignment vertical="center"/>
    </xf>
    <xf numFmtId="0" fontId="18" fillId="0" borderId="0" xfId="0" applyFont="1" applyBorder="1" applyProtection="1"/>
    <xf numFmtId="169" fontId="19" fillId="0" borderId="0" xfId="3" applyNumberFormat="1" applyFont="1" applyProtection="1"/>
    <xf numFmtId="0" fontId="18" fillId="0" borderId="0" xfId="0" applyFont="1" applyFill="1" applyBorder="1" applyAlignment="1" applyProtection="1">
      <alignment horizontal="right"/>
    </xf>
    <xf numFmtId="170" fontId="19" fillId="0" borderId="0" xfId="0" applyNumberFormat="1" applyFont="1" applyBorder="1" applyAlignment="1" applyProtection="1">
      <alignment wrapText="1"/>
    </xf>
    <xf numFmtId="3" fontId="31" fillId="0" borderId="1" xfId="3" applyNumberFormat="1" applyFont="1" applyBorder="1" applyAlignment="1" applyProtection="1">
      <alignment horizontal="center" vertical="center"/>
      <protection locked="0"/>
    </xf>
    <xf numFmtId="3" fontId="18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Fill="1" applyBorder="1" applyAlignment="1" applyProtection="1">
      <alignment horizontal="center" wrapText="1"/>
      <protection locked="0"/>
    </xf>
    <xf numFmtId="0" fontId="27" fillId="0" borderId="1" xfId="0" applyFont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left" vertical="center" wrapText="1" indent="2"/>
    </xf>
    <xf numFmtId="10" fontId="27" fillId="0" borderId="1" xfId="2" applyNumberFormat="1" applyFont="1" applyFill="1" applyBorder="1" applyAlignment="1" applyProtection="1">
      <alignment horizontal="center" vertical="center"/>
    </xf>
    <xf numFmtId="0" fontId="16" fillId="0" borderId="0" xfId="5" applyNumberFormat="1" applyFont="1" applyFill="1" applyBorder="1" applyAlignment="1" applyProtection="1">
      <alignment vertical="top"/>
    </xf>
    <xf numFmtId="0" fontId="16" fillId="0" borderId="0" xfId="5" applyNumberFormat="1" applyFont="1" applyFill="1" applyBorder="1" applyAlignment="1" applyProtection="1">
      <alignment horizontal="center" vertical="center"/>
    </xf>
    <xf numFmtId="0" fontId="35" fillId="0" borderId="0" xfId="5" applyNumberFormat="1" applyFont="1" applyFill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7" fillId="0" borderId="1" xfId="3" applyNumberFormat="1" applyFont="1" applyFill="1" applyBorder="1" applyAlignment="1" applyProtection="1">
      <alignment horizontal="center" vertical="center" wrapText="1"/>
    </xf>
    <xf numFmtId="3" fontId="31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7" fillId="0" borderId="0" xfId="3" applyFont="1" applyFill="1" applyBorder="1" applyAlignment="1" applyProtection="1">
      <alignment vertical="center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left" vertical="center" indent="2"/>
    </xf>
    <xf numFmtId="3" fontId="16" fillId="0" borderId="0" xfId="4" applyNumberFormat="1" applyFont="1" applyFill="1" applyBorder="1" applyAlignment="1" applyProtection="1">
      <alignment vertical="top"/>
    </xf>
    <xf numFmtId="3" fontId="40" fillId="0" borderId="1" xfId="3" applyNumberFormat="1" applyFont="1" applyFill="1" applyBorder="1" applyAlignment="1" applyProtection="1">
      <alignment horizontal="center"/>
    </xf>
    <xf numFmtId="0" fontId="16" fillId="0" borderId="0" xfId="5" applyNumberFormat="1" applyFont="1" applyFill="1" applyBorder="1" applyAlignment="1" applyProtection="1">
      <alignment horizontal="center" vertical="top"/>
    </xf>
    <xf numFmtId="15" fontId="16" fillId="0" borderId="0" xfId="5" applyNumberFormat="1" applyFont="1" applyFill="1" applyBorder="1" applyAlignment="1" applyProtection="1">
      <alignment vertical="top"/>
    </xf>
    <xf numFmtId="0" fontId="41" fillId="0" borderId="0" xfId="0" applyFont="1" applyBorder="1" applyAlignment="1">
      <alignment horizontal="center" vertical="center"/>
    </xf>
    <xf numFmtId="15" fontId="31" fillId="0" borderId="0" xfId="0" applyNumberFormat="1" applyFont="1" applyBorder="1" applyAlignment="1" applyProtection="1">
      <alignment horizontal="left" wrapText="1" indent="3"/>
    </xf>
    <xf numFmtId="169" fontId="22" fillId="0" borderId="0" xfId="3" applyNumberFormat="1" applyFont="1" applyBorder="1" applyAlignment="1" applyProtection="1">
      <alignment horizontal="left" indent="2"/>
    </xf>
    <xf numFmtId="3" fontId="28" fillId="0" borderId="0" xfId="0" applyNumberFormat="1" applyFont="1"/>
    <xf numFmtId="3" fontId="42" fillId="0" borderId="0" xfId="0" applyNumberFormat="1" applyFont="1" applyAlignment="1">
      <alignment horizontal="center"/>
    </xf>
    <xf numFmtId="0" fontId="39" fillId="0" borderId="0" xfId="5" applyNumberFormat="1" applyFont="1" applyFill="1" applyBorder="1" applyAlignment="1" applyProtection="1">
      <alignment horizontal="center" vertical="top"/>
    </xf>
    <xf numFmtId="3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6" fillId="0" borderId="1" xfId="4" applyNumberFormat="1" applyFont="1" applyFill="1" applyBorder="1" applyAlignment="1" applyProtection="1">
      <alignment horizontal="center" vertical="top" wrapText="1"/>
      <protection locked="0"/>
    </xf>
    <xf numFmtId="0" fontId="43" fillId="0" borderId="1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wrapText="1"/>
    </xf>
    <xf numFmtId="0" fontId="8" fillId="0" borderId="0" xfId="0" applyFont="1" applyBorder="1" applyAlignment="1" applyProtection="1">
      <alignment horizontal="centerContinuous" vertical="center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6" fillId="0" borderId="1" xfId="5" applyNumberFormat="1" applyFont="1" applyFill="1" applyBorder="1" applyAlignment="1" applyProtection="1">
      <alignment horizontal="center" vertical="center" wrapText="1"/>
    </xf>
    <xf numFmtId="1" fontId="9" fillId="0" borderId="1" xfId="0" applyNumberFormat="1" applyFont="1" applyBorder="1" applyAlignment="1" applyProtection="1">
      <alignment vertical="center"/>
    </xf>
    <xf numFmtId="9" fontId="9" fillId="0" borderId="1" xfId="0" applyNumberFormat="1" applyFont="1" applyBorder="1" applyAlignment="1" applyProtection="1">
      <alignment vertical="center"/>
    </xf>
    <xf numFmtId="3" fontId="19" fillId="0" borderId="1" xfId="3" applyNumberFormat="1" applyFont="1" applyFill="1" applyBorder="1" applyAlignment="1" applyProtection="1">
      <alignment horizontal="center" vertical="center" wrapText="1"/>
    </xf>
    <xf numFmtId="0" fontId="31" fillId="0" borderId="1" xfId="0" applyFont="1" applyFill="1" applyBorder="1" applyAlignment="1" applyProtection="1">
      <alignment horizontal="left" vertical="center" wrapText="1" indent="1"/>
    </xf>
    <xf numFmtId="0" fontId="31" fillId="0" borderId="1" xfId="0" applyFont="1" applyFill="1" applyBorder="1" applyAlignment="1" applyProtection="1">
      <alignment horizontal="left" vertical="center" indent="1"/>
    </xf>
    <xf numFmtId="0" fontId="19" fillId="0" borderId="1" xfId="0" applyFont="1" applyBorder="1" applyAlignment="1" applyProtection="1">
      <alignment horizontal="left" vertical="center" wrapText="1" indent="1"/>
    </xf>
    <xf numFmtId="0" fontId="19" fillId="0" borderId="1" xfId="0" applyFont="1" applyFill="1" applyBorder="1" applyAlignment="1" applyProtection="1">
      <alignment horizontal="left" vertical="center" wrapText="1" indent="1"/>
    </xf>
    <xf numFmtId="9" fontId="16" fillId="0" borderId="0" xfId="2" applyFont="1" applyFill="1" applyBorder="1" applyAlignment="1" applyProtection="1">
      <alignment vertical="top"/>
    </xf>
    <xf numFmtId="9" fontId="16" fillId="0" borderId="1" xfId="2" applyFont="1" applyFill="1" applyBorder="1" applyAlignment="1" applyProtection="1">
      <alignment horizontal="center" vertical="center" wrapText="1"/>
    </xf>
    <xf numFmtId="3" fontId="42" fillId="3" borderId="1" xfId="0" applyNumberFormat="1" applyFont="1" applyFill="1" applyBorder="1" applyAlignment="1" applyProtection="1">
      <alignment horizontal="center" vertical="center" wrapText="1"/>
    </xf>
    <xf numFmtId="3" fontId="28" fillId="3" borderId="1" xfId="0" applyNumberFormat="1" applyFont="1" applyFill="1" applyBorder="1" applyAlignment="1" applyProtection="1">
      <alignment horizontal="center" vertical="center" wrapText="1"/>
    </xf>
    <xf numFmtId="3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horizontal="center" vertical="center" wrapText="1"/>
    </xf>
    <xf numFmtId="0" fontId="16" fillId="0" borderId="1" xfId="4" applyNumberFormat="1" applyFont="1" applyFill="1" applyBorder="1" applyAlignment="1" applyProtection="1">
      <alignment vertical="center" wrapText="1"/>
    </xf>
    <xf numFmtId="0" fontId="27" fillId="0" borderId="1" xfId="0" applyFont="1" applyFill="1" applyBorder="1" applyAlignment="1" applyProtection="1">
      <alignment horizontal="left" vertical="center" wrapText="1" indent="2"/>
    </xf>
    <xf numFmtId="3" fontId="28" fillId="0" borderId="3" xfId="0" applyNumberFormat="1" applyFont="1" applyBorder="1" applyAlignment="1" applyProtection="1">
      <alignment vertical="center"/>
    </xf>
    <xf numFmtId="3" fontId="28" fillId="0" borderId="1" xfId="0" applyNumberFormat="1" applyFont="1" applyFill="1" applyBorder="1" applyAlignment="1">
      <alignment horizontal="center" vertical="center" wrapText="1"/>
    </xf>
    <xf numFmtId="0" fontId="46" fillId="0" borderId="0" xfId="0" applyFont="1" applyProtection="1"/>
    <xf numFmtId="166" fontId="46" fillId="0" borderId="0" xfId="3" applyFont="1" applyBorder="1" applyProtection="1"/>
    <xf numFmtId="0" fontId="46" fillId="0" borderId="0" xfId="0" applyFont="1" applyAlignment="1" applyProtection="1">
      <alignment vertical="center"/>
    </xf>
    <xf numFmtId="166" fontId="46" fillId="0" borderId="0" xfId="3" applyFont="1" applyBorder="1" applyAlignment="1" applyProtection="1">
      <alignment vertical="center"/>
    </xf>
    <xf numFmtId="0" fontId="37" fillId="0" borderId="0" xfId="0" applyFont="1" applyFill="1" applyAlignment="1" applyProtection="1">
      <alignment vertical="center"/>
    </xf>
    <xf numFmtId="3" fontId="47" fillId="0" borderId="0" xfId="0" applyNumberFormat="1" applyFont="1" applyProtection="1"/>
    <xf numFmtId="166" fontId="47" fillId="0" borderId="0" xfId="3" applyFont="1" applyBorder="1" applyProtection="1"/>
    <xf numFmtId="0" fontId="47" fillId="0" borderId="0" xfId="0" applyFont="1" applyProtection="1"/>
    <xf numFmtId="0" fontId="47" fillId="0" borderId="0" xfId="0" applyFont="1" applyAlignment="1" applyProtection="1">
      <alignment vertical="center"/>
    </xf>
    <xf numFmtId="166" fontId="47" fillId="0" borderId="0" xfId="3" applyFont="1" applyBorder="1" applyAlignment="1" applyProtection="1">
      <alignment vertical="center"/>
    </xf>
    <xf numFmtId="169" fontId="47" fillId="0" borderId="0" xfId="3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0" fontId="46" fillId="0" borderId="0" xfId="0" applyFont="1" applyFill="1" applyAlignment="1" applyProtection="1">
      <alignment vertical="center"/>
    </xf>
    <xf numFmtId="166" fontId="46" fillId="0" borderId="0" xfId="3" applyFont="1" applyFill="1" applyBorder="1" applyAlignment="1" applyProtection="1">
      <alignment vertical="center"/>
    </xf>
    <xf numFmtId="3" fontId="46" fillId="0" borderId="0" xfId="0" applyNumberFormat="1" applyFont="1" applyFill="1" applyAlignment="1" applyProtection="1">
      <alignment vertical="center"/>
    </xf>
    <xf numFmtId="0" fontId="48" fillId="0" borderId="0" xfId="0" applyFont="1" applyFill="1" applyAlignment="1" applyProtection="1">
      <alignment vertical="center"/>
    </xf>
    <xf numFmtId="166" fontId="48" fillId="0" borderId="0" xfId="3" applyFont="1" applyFill="1" applyBorder="1" applyAlignment="1" applyProtection="1">
      <alignment vertical="center"/>
    </xf>
    <xf numFmtId="3" fontId="48" fillId="0" borderId="0" xfId="0" applyNumberFormat="1" applyFont="1" applyFill="1" applyAlignment="1" applyProtection="1">
      <alignment vertical="center"/>
    </xf>
    <xf numFmtId="0" fontId="48" fillId="0" borderId="0" xfId="0" applyFont="1" applyAlignment="1" applyProtection="1">
      <alignment vertical="center"/>
    </xf>
    <xf numFmtId="166" fontId="48" fillId="0" borderId="0" xfId="3" applyFont="1" applyBorder="1" applyAlignment="1" applyProtection="1">
      <alignment vertical="center"/>
    </xf>
    <xf numFmtId="0" fontId="16" fillId="0" borderId="0" xfId="0" applyFont="1"/>
    <xf numFmtId="49" fontId="16" fillId="6" borderId="1" xfId="4" applyNumberFormat="1" applyFont="1" applyFill="1" applyBorder="1" applyAlignment="1" applyProtection="1">
      <alignment horizontal="center" vertical="center" wrapText="1"/>
    </xf>
    <xf numFmtId="3" fontId="16" fillId="6" borderId="1" xfId="4" applyNumberFormat="1" applyFont="1" applyFill="1" applyBorder="1" applyAlignment="1" applyProtection="1">
      <alignment horizontal="center" vertical="center" wrapText="1"/>
    </xf>
    <xf numFmtId="0" fontId="51" fillId="0" borderId="0" xfId="0" applyFont="1" applyAlignment="1" applyProtection="1">
      <alignment vertical="center"/>
    </xf>
    <xf numFmtId="3" fontId="31" fillId="0" borderId="1" xfId="3" applyNumberFormat="1" applyFont="1" applyFill="1" applyBorder="1" applyAlignment="1" applyProtection="1">
      <alignment horizontal="center"/>
      <protection locked="0"/>
    </xf>
    <xf numFmtId="166" fontId="51" fillId="0" borderId="0" xfId="3" applyFont="1" applyBorder="1" applyAlignment="1" applyProtection="1">
      <alignment vertical="center"/>
    </xf>
    <xf numFmtId="3" fontId="51" fillId="0" borderId="1" xfId="3" applyNumberFormat="1" applyFont="1" applyFill="1" applyBorder="1" applyAlignment="1" applyProtection="1">
      <alignment horizontal="center"/>
    </xf>
    <xf numFmtId="0" fontId="39" fillId="0" borderId="0" xfId="4" applyNumberFormat="1" applyFont="1" applyFill="1" applyBorder="1" applyAlignment="1" applyProtection="1">
      <alignment horizontal="center" vertical="center"/>
    </xf>
    <xf numFmtId="3" fontId="9" fillId="0" borderId="10" xfId="0" applyNumberFormat="1" applyFont="1" applyBorder="1"/>
    <xf numFmtId="3" fontId="9" fillId="0" borderId="0" xfId="0" applyNumberFormat="1" applyFont="1" applyBorder="1"/>
    <xf numFmtId="3" fontId="5" fillId="0" borderId="0" xfId="0" applyNumberFormat="1" applyFont="1" applyBorder="1"/>
    <xf numFmtId="170" fontId="12" fillId="0" borderId="10" xfId="0" applyNumberFormat="1" applyFont="1" applyBorder="1" applyAlignment="1">
      <alignment horizontal="centerContinuous"/>
    </xf>
    <xf numFmtId="0" fontId="33" fillId="0" borderId="0" xfId="0" applyFont="1" applyBorder="1"/>
    <xf numFmtId="3" fontId="53" fillId="0" borderId="0" xfId="0" applyNumberFormat="1" applyFont="1" applyBorder="1" applyAlignment="1">
      <alignment horizontal="centerContinuous"/>
    </xf>
    <xf numFmtId="3" fontId="54" fillId="0" borderId="0" xfId="0" applyNumberFormat="1" applyFont="1" applyBorder="1" applyAlignment="1">
      <alignment horizontal="centerContinuous"/>
    </xf>
    <xf numFmtId="0" fontId="54" fillId="0" borderId="0" xfId="0" applyFont="1" applyBorder="1"/>
    <xf numFmtId="3" fontId="53" fillId="0" borderId="0" xfId="0" applyNumberFormat="1" applyFont="1" applyBorder="1" applyAlignment="1">
      <alignment horizontal="center"/>
    </xf>
    <xf numFmtId="0" fontId="54" fillId="0" borderId="0" xfId="0" applyFont="1"/>
    <xf numFmtId="0" fontId="55" fillId="0" borderId="0" xfId="4" applyNumberFormat="1" applyFont="1" applyFill="1" applyBorder="1" applyAlignment="1" applyProtection="1">
      <alignment vertical="top"/>
    </xf>
    <xf numFmtId="3" fontId="55" fillId="0" borderId="0" xfId="4" applyNumberFormat="1" applyFont="1" applyFill="1" applyBorder="1" applyAlignment="1" applyProtection="1">
      <alignment vertical="top"/>
    </xf>
    <xf numFmtId="9" fontId="45" fillId="5" borderId="1" xfId="2" applyFont="1" applyFill="1" applyBorder="1" applyAlignment="1" applyProtection="1">
      <alignment horizontal="center" vertical="center" wrapText="1"/>
      <protection locked="0"/>
    </xf>
    <xf numFmtId="0" fontId="45" fillId="0" borderId="0" xfId="5" applyNumberFormat="1" applyFont="1" applyFill="1" applyBorder="1" applyAlignment="1" applyProtection="1">
      <alignment horizontal="center" vertical="center"/>
    </xf>
    <xf numFmtId="0" fontId="45" fillId="0" borderId="0" xfId="5" applyNumberFormat="1" applyFont="1" applyFill="1" applyBorder="1" applyAlignment="1" applyProtection="1">
      <alignment vertical="center"/>
    </xf>
    <xf numFmtId="172" fontId="16" fillId="0" borderId="1" xfId="5" applyNumberFormat="1" applyFont="1" applyFill="1" applyBorder="1" applyAlignment="1" applyProtection="1">
      <alignment horizontal="center" vertical="center" wrapText="1"/>
    </xf>
    <xf numFmtId="172" fontId="16" fillId="0" borderId="1" xfId="5" applyNumberFormat="1" applyFont="1" applyFill="1" applyBorder="1" applyAlignment="1" applyProtection="1">
      <alignment horizontal="center" vertical="center" wrapText="1"/>
      <protection locked="0"/>
    </xf>
    <xf numFmtId="172" fontId="14" fillId="0" borderId="1" xfId="5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3" fontId="20" fillId="5" borderId="1" xfId="7" applyNumberFormat="1" applyFont="1" applyFill="1" applyBorder="1" applyAlignment="1" applyProtection="1">
      <alignment horizontal="center" vertical="center" wrapText="1"/>
      <protection locked="0"/>
    </xf>
    <xf numFmtId="172" fontId="17" fillId="5" borderId="1" xfId="7" applyNumberFormat="1" applyFont="1" applyFill="1" applyBorder="1" applyAlignment="1" applyProtection="1">
      <alignment horizontal="center" vertical="center" wrapText="1"/>
    </xf>
    <xf numFmtId="171" fontId="17" fillId="5" borderId="1" xfId="2" applyNumberFormat="1" applyFont="1" applyFill="1" applyBorder="1" applyAlignment="1" applyProtection="1">
      <alignment horizontal="center" vertical="center" wrapText="1"/>
    </xf>
    <xf numFmtId="0" fontId="9" fillId="0" borderId="0" xfId="0" applyFont="1" applyProtection="1"/>
    <xf numFmtId="3" fontId="20" fillId="5" borderId="1" xfId="7" applyNumberFormat="1" applyFont="1" applyFill="1" applyBorder="1" applyAlignment="1" applyProtection="1">
      <alignment horizontal="center" vertical="center" wrapText="1"/>
    </xf>
    <xf numFmtId="3" fontId="10" fillId="0" borderId="1" xfId="3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vertical="center"/>
    </xf>
    <xf numFmtId="0" fontId="16" fillId="0" borderId="0" xfId="0" applyFont="1" applyFill="1"/>
    <xf numFmtId="0" fontId="51" fillId="20" borderId="1" xfId="0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vertical="top"/>
    </xf>
    <xf numFmtId="9" fontId="35" fillId="0" borderId="0" xfId="10" applyFont="1" applyFill="1" applyBorder="1" applyAlignment="1" applyProtection="1">
      <alignment vertical="top"/>
    </xf>
    <xf numFmtId="0" fontId="35" fillId="0" borderId="0" xfId="9" applyNumberFormat="1" applyFont="1" applyFill="1" applyBorder="1" applyAlignment="1" applyProtection="1">
      <alignment vertical="center"/>
    </xf>
    <xf numFmtId="0" fontId="35" fillId="0" borderId="0" xfId="9" applyNumberFormat="1" applyFont="1" applyFill="1" applyBorder="1" applyAlignment="1" applyProtection="1">
      <alignment horizontal="center" vertical="center"/>
    </xf>
    <xf numFmtId="3" fontId="39" fillId="0" borderId="1" xfId="9" applyNumberFormat="1" applyFont="1" applyFill="1" applyBorder="1" applyAlignment="1" applyProtection="1">
      <alignment horizontal="center" vertical="center" wrapText="1"/>
    </xf>
    <xf numFmtId="0" fontId="57" fillId="0" borderId="0" xfId="9" applyNumberFormat="1" applyFont="1" applyFill="1" applyBorder="1" applyAlignment="1" applyProtection="1">
      <alignment horizontal="center" vertical="center"/>
    </xf>
    <xf numFmtId="0" fontId="31" fillId="20" borderId="1" xfId="0" applyFont="1" applyFill="1" applyBorder="1" applyAlignment="1" applyProtection="1">
      <alignment horizontal="left" vertical="center" wrapText="1" indent="1"/>
    </xf>
    <xf numFmtId="0" fontId="39" fillId="0" borderId="0" xfId="9" applyNumberFormat="1" applyFont="1" applyFill="1" applyBorder="1" applyAlignment="1" applyProtection="1">
      <alignment horizontal="center" vertical="center"/>
    </xf>
    <xf numFmtId="172" fontId="35" fillId="0" borderId="0" xfId="9" applyNumberFormat="1" applyFont="1" applyFill="1" applyBorder="1" applyAlignment="1" applyProtection="1">
      <alignment horizontal="center" vertical="center" wrapText="1"/>
    </xf>
    <xf numFmtId="0" fontId="16" fillId="0" borderId="0" xfId="9" applyNumberFormat="1" applyFont="1" applyFill="1" applyBorder="1" applyAlignment="1" applyProtection="1">
      <alignment horizontal="center" vertical="top"/>
    </xf>
    <xf numFmtId="0" fontId="16" fillId="0" borderId="0" xfId="9" applyNumberFormat="1" applyFont="1" applyFill="1" applyBorder="1" applyAlignment="1" applyProtection="1">
      <alignment vertical="top"/>
    </xf>
    <xf numFmtId="0" fontId="5" fillId="0" borderId="0" xfId="0" applyFont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</xf>
    <xf numFmtId="3" fontId="35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39" fillId="21" borderId="1" xfId="9" applyNumberFormat="1" applyFont="1" applyFill="1" applyBorder="1" applyAlignment="1" applyProtection="1">
      <alignment horizontal="center" vertical="center" wrapText="1"/>
    </xf>
    <xf numFmtId="0" fontId="9" fillId="0" borderId="0" xfId="0" applyFont="1" applyAlignment="1" applyProtection="1">
      <alignment vertical="center"/>
    </xf>
    <xf numFmtId="0" fontId="5" fillId="0" borderId="0" xfId="0" applyFont="1" applyBorder="1" applyProtection="1"/>
    <xf numFmtId="0" fontId="9" fillId="0" borderId="0" xfId="0" applyFont="1" applyAlignment="1" applyProtection="1">
      <alignment vertical="center"/>
      <protection locked="0"/>
    </xf>
    <xf numFmtId="0" fontId="5" fillId="0" borderId="0" xfId="0" applyFont="1" applyBorder="1" applyProtection="1">
      <protection locked="0"/>
    </xf>
    <xf numFmtId="0" fontId="9" fillId="0" borderId="0" xfId="0" applyFont="1" applyProtection="1">
      <protection locked="0"/>
    </xf>
    <xf numFmtId="0" fontId="79" fillId="0" borderId="0" xfId="0" applyFont="1" applyFill="1" applyProtection="1"/>
    <xf numFmtId="0" fontId="79" fillId="0" borderId="0" xfId="0" applyFont="1" applyFill="1" applyBorder="1" applyAlignment="1" applyProtection="1"/>
    <xf numFmtId="14" fontId="79" fillId="0" borderId="0" xfId="0" applyNumberFormat="1" applyFont="1" applyFill="1" applyProtection="1"/>
    <xf numFmtId="0" fontId="79" fillId="0" borderId="0" xfId="0" applyFont="1" applyFill="1" applyAlignment="1" applyProtection="1">
      <alignment wrapText="1"/>
    </xf>
    <xf numFmtId="0" fontId="79" fillId="0" borderId="0" xfId="0" applyFont="1" applyFill="1" applyAlignment="1" applyProtection="1">
      <alignment horizontal="center"/>
    </xf>
    <xf numFmtId="0" fontId="100" fillId="0" borderId="0" xfId="0" applyFont="1" applyFill="1" applyProtection="1"/>
    <xf numFmtId="0" fontId="3" fillId="0" borderId="1" xfId="0" applyFont="1" applyFill="1" applyBorder="1" applyAlignment="1" applyProtection="1">
      <alignment horizontal="left" vertical="center" wrapText="1" indent="2"/>
    </xf>
    <xf numFmtId="14" fontId="79" fillId="0" borderId="0" xfId="0" applyNumberFormat="1" applyFont="1" applyFill="1" applyAlignment="1" applyProtection="1">
      <alignment horizontal="center" vertical="center"/>
    </xf>
    <xf numFmtId="0" fontId="79" fillId="0" borderId="0" xfId="0" applyFont="1" applyFill="1" applyAlignment="1" applyProtection="1">
      <alignment horizontal="center" vertical="center" wrapText="1"/>
    </xf>
    <xf numFmtId="0" fontId="79" fillId="0" borderId="0" xfId="0" applyFont="1" applyFill="1" applyAlignment="1" applyProtection="1">
      <alignment horizontal="center" vertical="center"/>
    </xf>
    <xf numFmtId="14" fontId="79" fillId="0" borderId="0" xfId="0" applyNumberFormat="1" applyFont="1" applyFill="1" applyAlignment="1" applyProtection="1">
      <alignment horizontal="center" vertical="center" wrapText="1"/>
    </xf>
    <xf numFmtId="0" fontId="15" fillId="0" borderId="0" xfId="0" applyFont="1" applyFill="1" applyProtection="1"/>
    <xf numFmtId="0" fontId="15" fillId="0" borderId="0" xfId="0" applyFont="1" applyFill="1" applyAlignment="1" applyProtection="1">
      <alignment horizontal="center"/>
    </xf>
    <xf numFmtId="3" fontId="15" fillId="0" borderId="0" xfId="0" applyNumberFormat="1" applyFont="1" applyFill="1" applyAlignment="1" applyProtection="1">
      <alignment horizontal="center"/>
    </xf>
    <xf numFmtId="3" fontId="79" fillId="0" borderId="0" xfId="0" applyNumberFormat="1" applyFont="1" applyFill="1" applyProtection="1"/>
    <xf numFmtId="10" fontId="78" fillId="0" borderId="1" xfId="1225" applyNumberFormat="1" applyFont="1" applyFill="1" applyBorder="1" applyAlignment="1" applyProtection="1">
      <alignment horizontal="center" vertical="center" wrapText="1"/>
    </xf>
    <xf numFmtId="182" fontId="79" fillId="0" borderId="18" xfId="1225" applyNumberFormat="1" applyFont="1" applyFill="1" applyBorder="1" applyAlignment="1" applyProtection="1">
      <alignment horizontal="center" vertical="center" wrapText="1"/>
    </xf>
    <xf numFmtId="182" fontId="79" fillId="0" borderId="19" xfId="1225" applyNumberFormat="1" applyFont="1" applyFill="1" applyBorder="1" applyAlignment="1" applyProtection="1">
      <alignment horizontal="center" vertical="center" wrapText="1"/>
    </xf>
    <xf numFmtId="0" fontId="28" fillId="0" borderId="1" xfId="0" applyFont="1" applyFill="1" applyBorder="1" applyAlignment="1" applyProtection="1">
      <alignment horizontal="left" vertical="center" wrapText="1" indent="2"/>
    </xf>
    <xf numFmtId="49" fontId="6" fillId="0" borderId="1" xfId="0" applyNumberFormat="1" applyFont="1" applyBorder="1" applyAlignment="1" applyProtection="1">
      <alignment horizontal="center" vertical="center"/>
    </xf>
    <xf numFmtId="169" fontId="79" fillId="0" borderId="0" xfId="3" applyNumberFormat="1" applyFont="1" applyFill="1" applyAlignment="1" applyProtection="1">
      <alignment horizontal="center" vertical="center"/>
      <protection locked="0"/>
    </xf>
    <xf numFmtId="3" fontId="39" fillId="3" borderId="1" xfId="0" applyNumberFormat="1" applyFont="1" applyFill="1" applyBorder="1" applyAlignment="1" applyProtection="1">
      <alignment horizontal="center" vertical="center" wrapText="1"/>
    </xf>
    <xf numFmtId="0" fontId="29" fillId="0" borderId="4" xfId="0" applyFont="1" applyFill="1" applyBorder="1" applyAlignment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Fill="1" applyAlignment="1">
      <alignment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2" fontId="3" fillId="0" borderId="3" xfId="0" applyNumberFormat="1" applyFont="1" applyFill="1" applyBorder="1" applyAlignment="1" applyProtection="1">
      <alignment horizontal="center"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0" fontId="3" fillId="0" borderId="0" xfId="0" applyFont="1" applyFill="1" applyAlignment="1" applyProtection="1">
      <alignment vertical="center"/>
    </xf>
    <xf numFmtId="3" fontId="38" fillId="0" borderId="0" xfId="0" applyNumberFormat="1" applyFont="1" applyBorder="1" applyAlignment="1">
      <alignment horizontal="center"/>
    </xf>
    <xf numFmtId="0" fontId="99" fillId="0" borderId="0" xfId="0" applyFont="1" applyFill="1" applyBorder="1" applyAlignment="1" applyProtection="1">
      <alignment horizontal="center" vertical="center" wrapText="1"/>
    </xf>
    <xf numFmtId="0" fontId="41" fillId="0" borderId="0" xfId="0" applyFont="1" applyBorder="1" applyAlignment="1" applyProtection="1">
      <alignment horizontal="center" vertical="center"/>
      <protection locked="0"/>
    </xf>
    <xf numFmtId="0" fontId="6" fillId="0" borderId="0" xfId="0" applyFont="1" applyBorder="1" applyProtection="1"/>
    <xf numFmtId="0" fontId="6" fillId="0" borderId="0" xfId="0" applyFont="1" applyAlignment="1" applyProtection="1">
      <alignment vertical="center"/>
    </xf>
    <xf numFmtId="0" fontId="6" fillId="0" borderId="0" xfId="0" applyFont="1" applyFill="1" applyProtection="1"/>
    <xf numFmtId="3" fontId="13" fillId="0" borderId="1" xfId="0" applyNumberFormat="1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 applyProtection="1">
      <alignment horizontal="centerContinuous" vertical="center"/>
    </xf>
    <xf numFmtId="3" fontId="36" fillId="0" borderId="0" xfId="0" applyNumberFormat="1" applyFont="1" applyBorder="1" applyAlignment="1" applyProtection="1">
      <alignment horizontal="centerContinuous"/>
    </xf>
    <xf numFmtId="3" fontId="12" fillId="0" borderId="0" xfId="0" applyNumberFormat="1" applyFont="1" applyBorder="1" applyAlignment="1" applyProtection="1">
      <alignment horizontal="centerContinuous"/>
    </xf>
    <xf numFmtId="0" fontId="52" fillId="0" borderId="0" xfId="0" applyFont="1" applyProtection="1"/>
    <xf numFmtId="3" fontId="5" fillId="0" borderId="0" xfId="0" applyNumberFormat="1" applyFont="1" applyBorder="1" applyAlignment="1" applyProtection="1">
      <alignment horizontal="centerContinuous"/>
    </xf>
    <xf numFmtId="0" fontId="42" fillId="0" borderId="0" xfId="0" applyFont="1" applyBorder="1" applyAlignment="1" applyProtection="1">
      <alignment horizontal="center"/>
    </xf>
    <xf numFmtId="3" fontId="50" fillId="0" borderId="0" xfId="0" applyNumberFormat="1" applyFont="1" applyBorder="1" applyProtection="1"/>
    <xf numFmtId="0" fontId="13" fillId="0" borderId="0" xfId="0" applyFont="1" applyProtection="1"/>
    <xf numFmtId="0" fontId="13" fillId="0" borderId="0" xfId="0" applyFont="1" applyBorder="1" applyAlignment="1" applyProtection="1">
      <alignment horizontal="center" vertical="center" textRotation="90" wrapText="1"/>
    </xf>
    <xf numFmtId="0" fontId="13" fillId="0" borderId="0" xfId="0" applyFont="1" applyBorder="1" applyProtection="1"/>
    <xf numFmtId="3" fontId="49" fillId="0" borderId="3" xfId="0" applyNumberFormat="1" applyFont="1" applyBorder="1" applyAlignment="1" applyProtection="1">
      <alignment horizontal="center" vertical="center"/>
    </xf>
    <xf numFmtId="0" fontId="9" fillId="0" borderId="0" xfId="0" applyFont="1" applyAlignment="1" applyProtection="1">
      <alignment horizontal="center" vertical="center"/>
    </xf>
    <xf numFmtId="3" fontId="13" fillId="0" borderId="0" xfId="0" applyNumberFormat="1" applyFont="1" applyProtection="1"/>
    <xf numFmtId="0" fontId="13" fillId="0" borderId="0" xfId="0" applyFont="1" applyFill="1" applyProtection="1"/>
    <xf numFmtId="0" fontId="13" fillId="0" borderId="0" xfId="0" applyFont="1" applyFill="1" applyBorder="1" applyProtection="1"/>
    <xf numFmtId="0" fontId="5" fillId="0" borderId="0" xfId="0" applyFont="1" applyBorder="1" applyAlignment="1" applyProtection="1">
      <alignment horizontal="center" vertical="center"/>
    </xf>
    <xf numFmtId="170" fontId="3" fillId="0" borderId="0" xfId="0" quotePrefix="1" applyNumberFormat="1" applyFont="1" applyBorder="1" applyAlignment="1" applyProtection="1">
      <alignment horizontal="center" vertical="center"/>
    </xf>
    <xf numFmtId="0" fontId="42" fillId="0" borderId="0" xfId="0" applyFont="1" applyBorder="1" applyAlignment="1" applyProtection="1">
      <alignment horizontal="left" indent="1"/>
    </xf>
    <xf numFmtId="0" fontId="29" fillId="0" borderId="0" xfId="0" applyFont="1" applyBorder="1" applyAlignment="1" applyProtection="1">
      <alignment horizontal="center"/>
    </xf>
    <xf numFmtId="0" fontId="29" fillId="0" borderId="0" xfId="0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/>
    </xf>
    <xf numFmtId="0" fontId="3" fillId="0" borderId="0" xfId="0" applyFont="1" applyProtection="1"/>
    <xf numFmtId="0" fontId="5" fillId="0" borderId="0" xfId="0" applyFont="1" applyBorder="1" applyAlignment="1" applyProtection="1">
      <alignment horizontal="left" vertical="center" indent="2"/>
    </xf>
    <xf numFmtId="3" fontId="3" fillId="0" borderId="0" xfId="0" applyNumberFormat="1" applyFont="1" applyAlignment="1">
      <alignment horizontal="centerContinuous"/>
    </xf>
    <xf numFmtId="3" fontId="3" fillId="0" borderId="0" xfId="0" applyNumberFormat="1" applyFont="1" applyAlignment="1">
      <alignment horizontal="center"/>
    </xf>
    <xf numFmtId="0" fontId="3" fillId="0" borderId="0" xfId="0" applyFont="1"/>
    <xf numFmtId="3" fontId="29" fillId="0" borderId="1" xfId="0" applyNumberFormat="1" applyFont="1" applyBorder="1" applyAlignment="1" applyProtection="1">
      <alignment horizontal="center" vertical="center"/>
    </xf>
    <xf numFmtId="3" fontId="29" fillId="0" borderId="1" xfId="0" applyNumberFormat="1" applyFont="1" applyFill="1" applyBorder="1" applyAlignment="1" applyProtection="1">
      <alignment horizontal="center" vertical="center"/>
    </xf>
    <xf numFmtId="0" fontId="3" fillId="0" borderId="0" xfId="0" applyFont="1" applyAlignment="1" applyProtection="1">
      <alignment vertical="center"/>
    </xf>
    <xf numFmtId="3" fontId="3" fillId="0" borderId="0" xfId="0" applyNumberFormat="1" applyFont="1" applyProtection="1"/>
    <xf numFmtId="170" fontId="3" fillId="0" borderId="0" xfId="0" applyNumberFormat="1" applyFont="1" applyProtection="1"/>
    <xf numFmtId="3" fontId="6" fillId="0" borderId="0" xfId="0" applyNumberFormat="1" applyFont="1" applyAlignment="1" applyProtection="1">
      <alignment horizontal="centerContinuous"/>
    </xf>
    <xf numFmtId="3" fontId="11" fillId="0" borderId="0" xfId="0" quotePrefix="1" applyNumberFormat="1" applyFont="1" applyAlignment="1" applyProtection="1">
      <alignment horizontal="left" vertical="center"/>
    </xf>
    <xf numFmtId="170" fontId="0" fillId="0" borderId="0" xfId="0" applyNumberFormat="1" applyFont="1" applyBorder="1" applyAlignment="1" applyProtection="1"/>
    <xf numFmtId="0" fontId="101" fillId="0" borderId="0" xfId="0" applyFont="1" applyAlignment="1" applyProtection="1">
      <alignment horizontal="center" vertical="center"/>
    </xf>
    <xf numFmtId="3" fontId="3" fillId="0" borderId="1" xfId="0" applyNumberFormat="1" applyFont="1" applyBorder="1" applyAlignment="1" applyProtection="1">
      <alignment horizontal="left" vertical="center" wrapText="1" indent="1"/>
    </xf>
    <xf numFmtId="3" fontId="3" fillId="0" borderId="1" xfId="0" applyNumberFormat="1" applyFont="1" applyBorder="1" applyAlignment="1" applyProtection="1">
      <alignment horizontal="right"/>
    </xf>
    <xf numFmtId="3" fontId="9" fillId="0" borderId="0" xfId="0" applyNumberFormat="1" applyFont="1" applyProtection="1"/>
    <xf numFmtId="3" fontId="3" fillId="0" borderId="0" xfId="0" applyNumberFormat="1" applyFont="1" applyBorder="1" applyProtection="1"/>
    <xf numFmtId="170" fontId="0" fillId="0" borderId="0" xfId="0" applyNumberFormat="1" applyFont="1" applyBorder="1" applyAlignment="1" applyProtection="1">
      <alignment horizontal="center"/>
    </xf>
    <xf numFmtId="0" fontId="33" fillId="0" borderId="0" xfId="0" applyFont="1" applyProtection="1"/>
    <xf numFmtId="3" fontId="3" fillId="0" borderId="1" xfId="0" applyNumberFormat="1" applyFont="1" applyBorder="1" applyAlignment="1" applyProtection="1">
      <alignment horizontal="left" vertical="center" wrapText="1" indent="1"/>
      <protection locked="0"/>
    </xf>
    <xf numFmtId="0" fontId="15" fillId="0" borderId="0" xfId="0" applyFont="1"/>
    <xf numFmtId="0" fontId="15" fillId="0" borderId="0" xfId="0" applyFont="1" applyAlignment="1">
      <alignment vertical="center"/>
    </xf>
    <xf numFmtId="3" fontId="6" fillId="3" borderId="1" xfId="0" applyNumberFormat="1" applyFont="1" applyFill="1" applyBorder="1" applyAlignment="1" applyProtection="1">
      <alignment horizontal="center" vertical="center" wrapText="1"/>
    </xf>
    <xf numFmtId="3" fontId="15" fillId="0" borderId="0" xfId="0" applyNumberFormat="1" applyFont="1" applyAlignment="1">
      <alignment vertical="center"/>
    </xf>
    <xf numFmtId="0" fontId="15" fillId="0" borderId="0" xfId="0" applyFont="1" applyFill="1" applyAlignment="1">
      <alignment vertical="center"/>
    </xf>
    <xf numFmtId="3" fontId="41" fillId="3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Border="1" applyAlignment="1" applyProtection="1">
      <alignment horizontal="right" vertical="center" wrapText="1" indent="1"/>
      <protection locked="0"/>
    </xf>
    <xf numFmtId="0" fontId="6" fillId="0" borderId="0" xfId="0" applyFont="1" applyBorder="1" applyAlignment="1" applyProtection="1">
      <alignment vertical="center"/>
    </xf>
    <xf numFmtId="3" fontId="3" fillId="0" borderId="3" xfId="1288" applyNumberFormat="1" applyFont="1" applyFill="1" applyBorder="1" applyAlignment="1" applyProtection="1"/>
    <xf numFmtId="0" fontId="3" fillId="0" borderId="0" xfId="0" applyFont="1" applyAlignment="1" applyProtection="1">
      <alignment vertical="center" wrapText="1"/>
    </xf>
    <xf numFmtId="3" fontId="3" fillId="0" borderId="1" xfId="0" applyNumberFormat="1" applyFont="1" applyFill="1" applyBorder="1" applyAlignment="1" applyProtection="1">
      <alignment horizontal="right" vertical="center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3" fontId="3" fillId="0" borderId="1" xfId="0" applyNumberFormat="1" applyFont="1" applyBorder="1" applyAlignment="1" applyProtection="1">
      <alignment vertical="center"/>
      <protection locked="0"/>
    </xf>
    <xf numFmtId="3" fontId="3" fillId="0" borderId="3" xfId="1288" applyNumberFormat="1" applyFont="1" applyFill="1" applyBorder="1" applyProtection="1"/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3" fontId="6" fillId="0" borderId="1" xfId="0" applyNumberFormat="1" applyFont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right" vertical="center"/>
      <protection locked="0"/>
    </xf>
    <xf numFmtId="3" fontId="3" fillId="0" borderId="1" xfId="1288" applyNumberFormat="1" applyFont="1" applyFill="1" applyBorder="1" applyAlignment="1" applyProtection="1">
      <protection locked="0"/>
    </xf>
    <xf numFmtId="3" fontId="3" fillId="0" borderId="3" xfId="1288" applyNumberFormat="1" applyFont="1" applyFill="1" applyBorder="1" applyProtection="1">
      <protection locked="0"/>
    </xf>
    <xf numFmtId="0" fontId="28" fillId="0" borderId="0" xfId="0" applyFont="1" applyProtection="1"/>
    <xf numFmtId="3" fontId="3" fillId="0" borderId="0" xfId="0" applyNumberFormat="1" applyFont="1" applyBorder="1" applyAlignment="1" applyProtection="1">
      <alignment horizontal="center"/>
    </xf>
    <xf numFmtId="3" fontId="42" fillId="0" borderId="0" xfId="0" applyNumberFormat="1" applyFont="1" applyAlignment="1" applyProtection="1">
      <alignment horizontal="center"/>
    </xf>
    <xf numFmtId="3" fontId="3" fillId="0" borderId="0" xfId="0" applyNumberFormat="1" applyFont="1" applyAlignment="1" applyProtection="1">
      <alignment horizontal="center"/>
    </xf>
    <xf numFmtId="170" fontId="6" fillId="0" borderId="0" xfId="0" applyNumberFormat="1" applyFont="1" applyAlignment="1" applyProtection="1">
      <alignment horizontal="center"/>
    </xf>
    <xf numFmtId="194" fontId="3" fillId="0" borderId="1" xfId="0" applyNumberFormat="1" applyFont="1" applyFill="1" applyBorder="1" applyAlignment="1" applyProtection="1">
      <alignment horizontal="right" vertical="center"/>
    </xf>
    <xf numFmtId="194" fontId="3" fillId="0" borderId="1" xfId="0" applyNumberFormat="1" applyFont="1" applyBorder="1" applyAlignment="1" applyProtection="1">
      <alignment vertical="center" wrapText="1"/>
      <protection locked="0"/>
    </xf>
    <xf numFmtId="194" fontId="3" fillId="0" borderId="1" xfId="0" applyNumberFormat="1" applyFont="1" applyBorder="1" applyAlignment="1" applyProtection="1">
      <alignment vertical="center"/>
      <protection locked="0"/>
    </xf>
    <xf numFmtId="194" fontId="3" fillId="0" borderId="3" xfId="1288" applyNumberFormat="1" applyFont="1" applyFill="1" applyBorder="1" applyProtection="1"/>
    <xf numFmtId="194" fontId="3" fillId="0" borderId="1" xfId="0" applyNumberFormat="1" applyFont="1" applyFill="1" applyBorder="1" applyAlignment="1" applyProtection="1">
      <alignment horizontal="right" vertical="center"/>
      <protection locked="0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15" fontId="3" fillId="0" borderId="0" xfId="0" applyNumberFormat="1" applyFont="1" applyProtection="1"/>
    <xf numFmtId="3" fontId="3" fillId="4" borderId="7" xfId="0" applyNumberFormat="1" applyFont="1" applyFill="1" applyBorder="1" applyAlignment="1" applyProtection="1">
      <alignment horizontal="right"/>
    </xf>
    <xf numFmtId="3" fontId="3" fillId="0" borderId="3" xfId="1288" applyNumberFormat="1" applyFont="1" applyFill="1" applyBorder="1" applyAlignment="1" applyProtection="1">
      <alignment vertical="center"/>
    </xf>
    <xf numFmtId="3" fontId="3" fillId="4" borderId="7" xfId="0" applyNumberFormat="1" applyFont="1" applyFill="1" applyBorder="1" applyAlignment="1" applyProtection="1">
      <alignment horizontal="right" vertical="center"/>
    </xf>
    <xf numFmtId="0" fontId="3" fillId="0" borderId="0" xfId="0" applyFont="1" applyAlignment="1" applyProtection="1">
      <alignment wrapText="1"/>
    </xf>
    <xf numFmtId="195" fontId="30" fillId="0" borderId="9" xfId="4" applyNumberFormat="1" applyFont="1" applyFill="1" applyBorder="1" applyAlignment="1" applyProtection="1">
      <alignment vertical="center" wrapText="1"/>
      <protection locked="0"/>
    </xf>
    <xf numFmtId="195" fontId="30" fillId="0" borderId="9" xfId="4" applyNumberFormat="1" applyFont="1" applyFill="1" applyBorder="1" applyAlignment="1" applyProtection="1">
      <alignment horizontal="right" vertical="center" wrapText="1"/>
      <protection locked="0"/>
    </xf>
    <xf numFmtId="195" fontId="39" fillId="3" borderId="1" xfId="0" applyNumberFormat="1" applyFont="1" applyFill="1" applyBorder="1" applyAlignment="1" applyProtection="1">
      <alignment horizontal="center" vertical="center" wrapText="1"/>
    </xf>
    <xf numFmtId="170" fontId="0" fillId="0" borderId="9" xfId="0" applyNumberFormat="1" applyFont="1" applyBorder="1" applyAlignment="1" applyProtection="1">
      <alignment horizontal="center"/>
    </xf>
    <xf numFmtId="168" fontId="8" fillId="0" borderId="5" xfId="0" applyNumberFormat="1" applyFont="1" applyFill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3" fontId="16" fillId="0" borderId="0" xfId="5" applyNumberFormat="1" applyFont="1" applyFill="1" applyBorder="1" applyAlignment="1" applyProtection="1">
      <alignment horizontal="center" vertical="center"/>
    </xf>
    <xf numFmtId="196" fontId="100" fillId="0" borderId="0" xfId="3" applyNumberFormat="1" applyFont="1" applyFill="1" applyProtection="1"/>
    <xf numFmtId="196" fontId="99" fillId="0" borderId="0" xfId="3" applyNumberFormat="1" applyFont="1" applyFill="1" applyBorder="1" applyAlignment="1" applyProtection="1">
      <alignment vertical="center" wrapText="1"/>
    </xf>
    <xf numFmtId="196" fontId="79" fillId="0" borderId="0" xfId="3" applyNumberFormat="1" applyFont="1" applyFill="1" applyProtection="1"/>
    <xf numFmtId="196" fontId="9" fillId="0" borderId="0" xfId="3" applyNumberFormat="1" applyFont="1" applyProtection="1">
      <protection locked="0"/>
    </xf>
    <xf numFmtId="3" fontId="103" fillId="0" borderId="0" xfId="0" applyNumberFormat="1" applyFont="1" applyBorder="1" applyAlignment="1">
      <alignment horizontal="center" vertical="center"/>
    </xf>
    <xf numFmtId="0" fontId="35" fillId="0" borderId="0" xfId="4" applyNumberFormat="1" applyFont="1" applyFill="1" applyBorder="1" applyAlignment="1" applyProtection="1">
      <alignment horizontal="right" vertical="top" indent="2"/>
    </xf>
    <xf numFmtId="15" fontId="35" fillId="0" borderId="0" xfId="4" applyNumberFormat="1" applyFont="1" applyFill="1" applyBorder="1" applyAlignment="1" applyProtection="1">
      <alignment horizontal="center"/>
    </xf>
    <xf numFmtId="49" fontId="14" fillId="5" borderId="1" xfId="4" applyNumberFormat="1" applyFont="1" applyFill="1" applyBorder="1" applyAlignment="1" applyProtection="1">
      <alignment horizontal="center" vertical="center" wrapText="1"/>
    </xf>
    <xf numFmtId="0" fontId="14" fillId="5" borderId="1" xfId="4" applyNumberFormat="1" applyFont="1" applyFill="1" applyBorder="1" applyAlignment="1" applyProtection="1">
      <alignment horizontal="center" vertical="center" wrapText="1"/>
    </xf>
    <xf numFmtId="3" fontId="14" fillId="5" borderId="1" xfId="4" applyNumberFormat="1" applyFont="1" applyFill="1" applyBorder="1" applyAlignment="1" applyProtection="1">
      <alignment horizontal="center" vertical="center" wrapText="1"/>
    </xf>
    <xf numFmtId="49" fontId="14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4" fillId="6" borderId="1" xfId="4" applyNumberFormat="1" applyFont="1" applyFill="1" applyBorder="1" applyAlignment="1" applyProtection="1">
      <alignment horizontal="center" vertical="center" wrapText="1"/>
    </xf>
    <xf numFmtId="49" fontId="16" fillId="0" borderId="1" xfId="4" applyNumberFormat="1" applyFont="1" applyFill="1" applyBorder="1" applyAlignment="1" applyProtection="1">
      <alignment horizontal="center" vertical="center" wrapText="1"/>
    </xf>
    <xf numFmtId="0" fontId="32" fillId="0" borderId="0" xfId="0" applyFont="1"/>
    <xf numFmtId="0" fontId="16" fillId="0" borderId="0" xfId="4" applyNumberFormat="1" applyFont="1" applyFill="1" applyBorder="1" applyAlignment="1" applyProtection="1">
      <alignment vertical="center" wrapText="1"/>
    </xf>
    <xf numFmtId="0" fontId="16" fillId="0" borderId="0" xfId="4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70" fontId="0" fillId="0" borderId="0" xfId="0" applyNumberFormat="1" applyFont="1" applyBorder="1" applyAlignment="1" applyProtection="1">
      <alignment horizontal="left" indent="2"/>
    </xf>
    <xf numFmtId="0" fontId="28" fillId="0" borderId="2" xfId="0" applyFont="1" applyFill="1" applyBorder="1" applyAlignment="1" applyProtection="1">
      <alignment horizontal="left" vertical="center" wrapText="1" indent="1"/>
    </xf>
    <xf numFmtId="0" fontId="0" fillId="0" borderId="2" xfId="0" quotePrefix="1" applyFont="1" applyFill="1" applyBorder="1" applyAlignment="1" applyProtection="1">
      <alignment horizontal="left" vertical="center" indent="1"/>
    </xf>
    <xf numFmtId="3" fontId="3" fillId="0" borderId="3" xfId="0" applyNumberFormat="1" applyFont="1" applyBorder="1" applyAlignment="1" applyProtection="1">
      <alignment vertical="center"/>
    </xf>
    <xf numFmtId="0" fontId="39" fillId="0" borderId="1" xfId="1225" applyFont="1" applyFill="1" applyBorder="1" applyAlignment="1" applyProtection="1">
      <alignment horizontal="left" vertical="center" wrapText="1"/>
    </xf>
    <xf numFmtId="49" fontId="79" fillId="0" borderId="0" xfId="0" applyNumberFormat="1" applyFont="1" applyFill="1" applyProtection="1"/>
    <xf numFmtId="0" fontId="35" fillId="0" borderId="18" xfId="1225" applyFont="1" applyFill="1" applyBorder="1" applyAlignment="1" applyProtection="1">
      <alignment horizontal="left" vertical="center" wrapText="1" indent="2"/>
    </xf>
    <xf numFmtId="0" fontId="35" fillId="0" borderId="19" xfId="1225" applyFont="1" applyFill="1" applyBorder="1" applyAlignment="1" applyProtection="1">
      <alignment horizontal="left" vertical="center" wrapText="1" indent="2"/>
    </xf>
    <xf numFmtId="0" fontId="78" fillId="0" borderId="1" xfId="1225" applyFont="1" applyFill="1" applyBorder="1" applyAlignment="1" applyProtection="1">
      <alignment horizontal="left" vertical="center" wrapText="1"/>
    </xf>
    <xf numFmtId="0" fontId="79" fillId="0" borderId="18" xfId="1225" applyFont="1" applyFill="1" applyBorder="1" applyAlignment="1" applyProtection="1">
      <alignment horizontal="left" vertical="center" wrapText="1" indent="2"/>
    </xf>
    <xf numFmtId="0" fontId="79" fillId="0" borderId="19" xfId="1225" applyFont="1" applyFill="1" applyBorder="1" applyAlignment="1" applyProtection="1">
      <alignment horizontal="left" vertical="center" wrapText="1" indent="2"/>
    </xf>
    <xf numFmtId="0" fontId="5" fillId="0" borderId="0" xfId="0" applyFont="1" applyBorder="1" applyAlignment="1">
      <alignment horizontal="centerContinuous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Protection="1">
      <protection hidden="1"/>
    </xf>
    <xf numFmtId="0" fontId="28" fillId="0" borderId="1" xfId="0" applyFont="1" applyBorder="1" applyAlignment="1">
      <alignment horizontal="left" vertical="center" indent="2"/>
    </xf>
    <xf numFmtId="3" fontId="3" fillId="0" borderId="1" xfId="0" applyNumberFormat="1" applyFont="1" applyBorder="1" applyProtection="1">
      <protection locked="0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1"/>
    </xf>
    <xf numFmtId="3" fontId="3" fillId="2" borderId="3" xfId="0" applyNumberFormat="1" applyFont="1" applyFill="1" applyBorder="1"/>
    <xf numFmtId="0" fontId="3" fillId="0" borderId="0" xfId="0" applyFont="1" applyBorder="1" applyProtection="1">
      <protection hidden="1"/>
    </xf>
    <xf numFmtId="0" fontId="3" fillId="0" borderId="0" xfId="0" applyFont="1" applyBorder="1"/>
    <xf numFmtId="0" fontId="3" fillId="0" borderId="1" xfId="0" applyFont="1" applyBorder="1" applyAlignment="1">
      <alignment horizontal="left" vertical="center" indent="2"/>
    </xf>
    <xf numFmtId="0" fontId="6" fillId="0" borderId="1" xfId="0" applyFont="1" applyBorder="1" applyAlignment="1">
      <alignment horizontal="left" vertical="center" wrapText="1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0" fontId="6" fillId="0" borderId="0" xfId="0" applyFont="1" applyBorder="1"/>
    <xf numFmtId="0" fontId="3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3" fontId="3" fillId="0" borderId="3" xfId="0" applyNumberFormat="1" applyFont="1" applyBorder="1" applyAlignment="1" applyProtection="1">
      <alignment vertical="center"/>
      <protection locked="0"/>
    </xf>
    <xf numFmtId="167" fontId="3" fillId="0" borderId="3" xfId="0" applyNumberFormat="1" applyFont="1" applyBorder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</xf>
    <xf numFmtId="3" fontId="13" fillId="0" borderId="0" xfId="0" applyNumberFormat="1" applyFont="1" applyBorder="1" applyAlignment="1" applyProtection="1">
      <alignment horizontal="center"/>
    </xf>
    <xf numFmtId="3" fontId="9" fillId="0" borderId="3" xfId="0" applyNumberFormat="1" applyFont="1" applyBorder="1" applyAlignment="1" applyProtection="1">
      <alignment horizontal="center" vertical="center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3" xfId="0" quotePrefix="1" applyNumberFormat="1" applyFont="1" applyBorder="1" applyAlignment="1" applyProtection="1">
      <alignment horizontal="center" vertical="center"/>
    </xf>
    <xf numFmtId="0" fontId="9" fillId="0" borderId="3" xfId="0" applyFont="1" applyBorder="1" applyAlignment="1" applyProtection="1">
      <alignment horizontal="center" vertical="center"/>
    </xf>
    <xf numFmtId="3" fontId="36" fillId="0" borderId="0" xfId="0" applyNumberFormat="1" applyFont="1" applyBorder="1" applyAlignment="1">
      <alignment horizontal="center"/>
    </xf>
    <xf numFmtId="3" fontId="9" fillId="0" borderId="0" xfId="0" applyNumberFormat="1" applyFont="1" applyBorder="1" applyAlignment="1">
      <alignment vertical="top"/>
    </xf>
    <xf numFmtId="3" fontId="42" fillId="0" borderId="1" xfId="0" applyNumberFormat="1" applyFont="1" applyBorder="1" applyAlignment="1">
      <alignment horizontal="center" vertical="center"/>
    </xf>
    <xf numFmtId="3" fontId="44" fillId="0" borderId="1" xfId="0" applyNumberFormat="1" applyFont="1" applyBorder="1" applyAlignment="1">
      <alignment vertical="center"/>
    </xf>
    <xf numFmtId="3" fontId="44" fillId="0" borderId="1" xfId="0" applyNumberFormat="1" applyFont="1" applyFill="1" applyBorder="1" applyAlignment="1">
      <alignment vertical="center"/>
    </xf>
    <xf numFmtId="0" fontId="44" fillId="0" borderId="1" xfId="0" applyFont="1" applyFill="1" applyBorder="1" applyAlignment="1">
      <alignment vertical="center" wrapText="1"/>
    </xf>
    <xf numFmtId="3" fontId="5" fillId="3" borderId="1" xfId="0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5" fillId="0" borderId="0" xfId="0" applyNumberFormat="1" applyFont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left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 textRotation="90" wrapText="1"/>
    </xf>
    <xf numFmtId="3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 applyProtection="1">
      <alignment vertical="center"/>
    </xf>
    <xf numFmtId="3" fontId="6" fillId="0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left" vertical="center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/>
    <xf numFmtId="169" fontId="3" fillId="0" borderId="0" xfId="3" applyNumberFormat="1" applyFont="1"/>
    <xf numFmtId="169" fontId="106" fillId="0" borderId="0" xfId="3" applyNumberFormat="1" applyFont="1"/>
    <xf numFmtId="3" fontId="5" fillId="0" borderId="0" xfId="0" applyNumberFormat="1" applyFont="1" applyAlignment="1" applyProtection="1">
      <alignment horizontal="center"/>
    </xf>
    <xf numFmtId="169" fontId="3" fillId="0" borderId="0" xfId="3" applyNumberFormat="1" applyFont="1" applyProtection="1"/>
    <xf numFmtId="3" fontId="50" fillId="3" borderId="3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169" fontId="6" fillId="0" borderId="0" xfId="3" applyNumberFormat="1" applyFont="1" applyProtection="1"/>
    <xf numFmtId="0" fontId="3" fillId="0" borderId="2" xfId="0" applyFont="1" applyBorder="1" applyAlignment="1" applyProtection="1">
      <alignment horizontal="left" vertical="center" indent="1"/>
      <protection locked="0"/>
    </xf>
    <xf numFmtId="169" fontId="3" fillId="0" borderId="0" xfId="3" applyNumberFormat="1" applyFont="1" applyAlignment="1" applyProtection="1">
      <alignment vertical="center" wrapText="1"/>
    </xf>
    <xf numFmtId="0" fontId="0" fillId="0" borderId="1" xfId="0" applyNumberFormat="1" applyFont="1" applyBorder="1" applyProtection="1">
      <protection locked="0"/>
    </xf>
    <xf numFmtId="169" fontId="3" fillId="0" borderId="0" xfId="3" applyNumberFormat="1" applyFont="1" applyAlignment="1" applyProtection="1">
      <alignment vertical="center"/>
    </xf>
    <xf numFmtId="169" fontId="3" fillId="0" borderId="0" xfId="3" applyNumberFormat="1" applyFont="1" applyBorder="1" applyProtection="1"/>
    <xf numFmtId="169" fontId="3" fillId="0" borderId="0" xfId="3" applyNumberFormat="1" applyFont="1" applyAlignment="1" applyProtection="1">
      <alignment wrapText="1"/>
    </xf>
    <xf numFmtId="3" fontId="5" fillId="0" borderId="0" xfId="0" applyNumberFormat="1" applyFont="1" applyAlignment="1" applyProtection="1">
      <alignment horizontal="center" vertical="center" wrapText="1"/>
    </xf>
    <xf numFmtId="3" fontId="44" fillId="0" borderId="10" xfId="0" applyNumberFormat="1" applyFont="1" applyBorder="1" applyProtection="1"/>
    <xf numFmtId="3" fontId="29" fillId="0" borderId="1" xfId="0" applyNumberFormat="1" applyFont="1" applyBorder="1" applyAlignment="1" applyProtection="1">
      <alignment horizontal="left" vertical="center" wrapText="1" indent="1"/>
    </xf>
    <xf numFmtId="16" fontId="16" fillId="0" borderId="1" xfId="5" applyNumberFormat="1" applyFont="1" applyFill="1" applyBorder="1" applyAlignment="1" applyProtection="1">
      <alignment horizontal="left" vertical="center" wrapText="1" indent="2"/>
    </xf>
    <xf numFmtId="3" fontId="9" fillId="0" borderId="10" xfId="0" applyNumberFormat="1" applyFont="1" applyBorder="1" applyProtection="1"/>
    <xf numFmtId="0" fontId="14" fillId="0" borderId="0" xfId="5" applyNumberFormat="1" applyFont="1" applyFill="1" applyBorder="1" applyAlignment="1" applyProtection="1">
      <alignment horizontal="center" vertical="center"/>
    </xf>
    <xf numFmtId="9" fontId="14" fillId="0" borderId="0" xfId="2" applyFont="1" applyFill="1" applyBorder="1" applyAlignment="1" applyProtection="1">
      <alignment horizontal="center" vertical="center"/>
    </xf>
    <xf numFmtId="15" fontId="20" fillId="0" borderId="0" xfId="5" applyNumberFormat="1" applyFont="1" applyFill="1" applyBorder="1" applyAlignment="1" applyProtection="1">
      <alignment horizont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0" fontId="16" fillId="5" borderId="1" xfId="5" applyNumberFormat="1" applyFont="1" applyFill="1" applyBorder="1" applyAlignment="1" applyProtection="1">
      <alignment horizontal="left" vertical="center" wrapText="1" indent="2"/>
    </xf>
    <xf numFmtId="0" fontId="14" fillId="5" borderId="1" xfId="5" applyNumberFormat="1" applyFont="1" applyFill="1" applyBorder="1" applyAlignment="1" applyProtection="1">
      <alignment horizontal="left" vertical="center" wrapText="1" indent="2"/>
    </xf>
    <xf numFmtId="171" fontId="14" fillId="0" borderId="1" xfId="2" applyNumberFormat="1" applyFont="1" applyFill="1" applyBorder="1" applyAlignment="1" applyProtection="1">
      <alignment horizontal="center" vertical="center" wrapText="1"/>
    </xf>
    <xf numFmtId="0" fontId="107" fillId="5" borderId="1" xfId="5" applyNumberFormat="1" applyFont="1" applyFill="1" applyBorder="1" applyAlignment="1" applyProtection="1">
      <alignment horizontal="left" vertical="center" wrapText="1" indent="4"/>
    </xf>
    <xf numFmtId="0" fontId="16" fillId="5" borderId="1" xfId="5" applyNumberFormat="1" applyFont="1" applyFill="1" applyBorder="1" applyAlignment="1" applyProtection="1">
      <alignment horizontal="left" vertical="center" wrapText="1" indent="1"/>
    </xf>
    <xf numFmtId="171" fontId="16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5" applyNumberFormat="1" applyFont="1" applyFill="1" applyBorder="1" applyAlignment="1" applyProtection="1">
      <alignment horizontal="left" vertical="center" wrapText="1" indent="2"/>
    </xf>
    <xf numFmtId="0" fontId="16" fillId="0" borderId="1" xfId="5" applyNumberFormat="1" applyFont="1" applyFill="1" applyBorder="1" applyAlignment="1" applyProtection="1">
      <alignment horizontal="left" vertical="center" wrapText="1" indent="1"/>
    </xf>
    <xf numFmtId="0" fontId="3" fillId="0" borderId="0" xfId="0" applyFont="1" applyAlignment="1">
      <alignment vertical="center" wrapText="1"/>
    </xf>
    <xf numFmtId="172" fontId="16" fillId="0" borderId="0" xfId="5" applyNumberFormat="1" applyFont="1" applyFill="1" applyBorder="1" applyAlignment="1" applyProtection="1">
      <alignment horizontal="center" vertical="top"/>
    </xf>
    <xf numFmtId="0" fontId="39" fillId="0" borderId="9" xfId="9" applyNumberFormat="1" applyFont="1" applyFill="1" applyBorder="1" applyAlignment="1" applyProtection="1">
      <alignment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3" fontId="35" fillId="0" borderId="0" xfId="9" applyNumberFormat="1" applyFont="1" applyFill="1" applyBorder="1" applyAlignment="1" applyProtection="1">
      <alignment horizontal="center" vertical="center"/>
    </xf>
    <xf numFmtId="0" fontId="35" fillId="5" borderId="1" xfId="9" applyNumberFormat="1" applyFont="1" applyFill="1" applyBorder="1" applyAlignment="1" applyProtection="1">
      <alignment horizontal="left" vertical="center" wrapText="1" indent="2"/>
    </xf>
    <xf numFmtId="0" fontId="39" fillId="5" borderId="1" xfId="9" applyNumberFormat="1" applyFont="1" applyFill="1" applyBorder="1" applyAlignment="1" applyProtection="1">
      <alignment horizontal="left" vertical="center" wrapText="1" indent="2"/>
    </xf>
    <xf numFmtId="171" fontId="39" fillId="0" borderId="1" xfId="10" applyNumberFormat="1" applyFont="1" applyFill="1" applyBorder="1" applyAlignment="1" applyProtection="1">
      <alignment horizontal="center" vertical="center" wrapText="1"/>
    </xf>
    <xf numFmtId="3" fontId="39" fillId="0" borderId="0" xfId="9" applyNumberFormat="1" applyFont="1" applyFill="1" applyBorder="1" applyAlignment="1" applyProtection="1">
      <alignment horizontal="center" vertical="center"/>
    </xf>
    <xf numFmtId="0" fontId="35" fillId="21" borderId="1" xfId="9" applyNumberFormat="1" applyFont="1" applyFill="1" applyBorder="1" applyAlignment="1" applyProtection="1">
      <alignment horizontal="center" vertical="center" wrapText="1"/>
    </xf>
    <xf numFmtId="0" fontId="35" fillId="21" borderId="1" xfId="9" applyNumberFormat="1" applyFont="1" applyFill="1" applyBorder="1" applyAlignment="1" applyProtection="1">
      <alignment horizontal="left" vertical="center" wrapText="1" indent="1"/>
    </xf>
    <xf numFmtId="171" fontId="39" fillId="21" borderId="1" xfId="10" applyNumberFormat="1" applyFont="1" applyFill="1" applyBorder="1" applyAlignment="1" applyProtection="1">
      <alignment horizontal="center" vertical="center" wrapText="1"/>
    </xf>
    <xf numFmtId="0" fontId="35" fillId="0" borderId="1" xfId="9" applyNumberFormat="1" applyFont="1" applyFill="1" applyBorder="1" applyAlignment="1" applyProtection="1">
      <alignment horizontal="center" vertical="center" wrapText="1"/>
    </xf>
    <xf numFmtId="0" fontId="35" fillId="5" borderId="1" xfId="9" applyNumberFormat="1" applyFont="1" applyFill="1" applyBorder="1" applyAlignment="1" applyProtection="1">
      <alignment horizontal="left" vertical="center" wrapText="1" indent="1"/>
    </xf>
    <xf numFmtId="171" fontId="35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57" fillId="0" borderId="1" xfId="9" applyNumberFormat="1" applyFont="1" applyFill="1" applyBorder="1" applyAlignment="1" applyProtection="1">
      <alignment horizontal="center" vertical="center" wrapText="1"/>
    </xf>
    <xf numFmtId="0" fontId="57" fillId="5" borderId="1" xfId="9" applyNumberFormat="1" applyFont="1" applyFill="1" applyBorder="1" applyAlignment="1" applyProtection="1">
      <alignment horizontal="left" vertical="center" wrapText="1" indent="1"/>
    </xf>
    <xf numFmtId="0" fontId="35" fillId="0" borderId="1" xfId="9" applyNumberFormat="1" applyFont="1" applyFill="1" applyBorder="1" applyAlignment="1" applyProtection="1">
      <alignment horizontal="left" vertical="center" wrapText="1" indent="1"/>
    </xf>
    <xf numFmtId="0" fontId="35" fillId="0" borderId="0" xfId="9" applyNumberFormat="1" applyFont="1" applyFill="1" applyBorder="1" applyAlignment="1" applyProtection="1">
      <alignment horizontal="center" vertical="center" wrapText="1"/>
    </xf>
    <xf numFmtId="0" fontId="35" fillId="0" borderId="0" xfId="9" applyNumberFormat="1" applyFont="1" applyFill="1" applyBorder="1" applyAlignment="1" applyProtection="1">
      <alignment horizontal="left" vertical="center" wrapText="1" indent="1"/>
    </xf>
    <xf numFmtId="171" fontId="35" fillId="0" borderId="0" xfId="1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center" vertical="center" wrapText="1"/>
    </xf>
    <xf numFmtId="0" fontId="45" fillId="5" borderId="1" xfId="5" applyNumberFormat="1" applyFont="1" applyFill="1" applyBorder="1" applyAlignment="1" applyProtection="1">
      <alignment horizontal="left" vertical="center" wrapText="1" indent="2"/>
    </xf>
    <xf numFmtId="3" fontId="45" fillId="0" borderId="0" xfId="5" applyNumberFormat="1" applyFont="1" applyFill="1" applyBorder="1" applyAlignment="1" applyProtection="1">
      <alignment horizontal="center" vertical="center"/>
    </xf>
    <xf numFmtId="0" fontId="21" fillId="5" borderId="1" xfId="5" applyNumberFormat="1" applyFont="1" applyFill="1" applyBorder="1" applyAlignment="1" applyProtection="1">
      <alignment horizontal="left" vertical="center" wrapText="1" indent="1"/>
    </xf>
    <xf numFmtId="3" fontId="21" fillId="0" borderId="0" xfId="5" applyNumberFormat="1" applyFont="1" applyFill="1" applyBorder="1" applyAlignment="1" applyProtection="1">
      <alignment horizontal="center" vertical="center"/>
    </xf>
    <xf numFmtId="170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0" fontId="6" fillId="0" borderId="1" xfId="0" applyFont="1" applyBorder="1" applyAlignment="1" applyProtection="1">
      <alignment horizontal="center" vertical="center"/>
    </xf>
    <xf numFmtId="0" fontId="6" fillId="0" borderId="0" xfId="0" applyFont="1" applyProtection="1"/>
    <xf numFmtId="2" fontId="3" fillId="0" borderId="5" xfId="0" applyNumberFormat="1" applyFont="1" applyBorder="1" applyAlignment="1" applyProtection="1">
      <alignment horizontal="center" vertical="center"/>
    </xf>
    <xf numFmtId="168" fontId="3" fillId="0" borderId="3" xfId="0" applyNumberFormat="1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left" vertical="center" indent="4"/>
    </xf>
    <xf numFmtId="0" fontId="104" fillId="0" borderId="1" xfId="0" applyFont="1" applyFill="1" applyBorder="1" applyAlignment="1" applyProtection="1">
      <alignment horizontal="left" vertical="center" indent="4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2"/>
    </xf>
    <xf numFmtId="0" fontId="104" fillId="0" borderId="4" xfId="0" applyFont="1" applyBorder="1" applyAlignment="1">
      <alignment horizontal="center" vertical="center"/>
    </xf>
    <xf numFmtId="0" fontId="104" fillId="0" borderId="1" xfId="0" applyFont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104" fillId="0" borderId="4" xfId="0" applyFont="1" applyFill="1" applyBorder="1" applyAlignment="1">
      <alignment horizontal="center" vertical="center"/>
    </xf>
    <xf numFmtId="0" fontId="104" fillId="0" borderId="1" xfId="0" applyFont="1" applyFill="1" applyBorder="1" applyAlignment="1">
      <alignment horizontal="left" vertical="center" wrapText="1" indent="4"/>
    </xf>
    <xf numFmtId="0" fontId="28" fillId="0" borderId="4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 indent="4"/>
    </xf>
    <xf numFmtId="0" fontId="0" fillId="0" borderId="4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 wrapText="1" indent="4"/>
    </xf>
    <xf numFmtId="0" fontId="29" fillId="0" borderId="1" xfId="0" applyFont="1" applyFill="1" applyBorder="1" applyAlignment="1">
      <alignment horizontal="left" vertical="center" wrapText="1" indent="5"/>
    </xf>
    <xf numFmtId="0" fontId="28" fillId="0" borderId="4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 indent="2"/>
    </xf>
    <xf numFmtId="0" fontId="3" fillId="0" borderId="0" xfId="0" applyFont="1" applyAlignment="1">
      <alignment wrapText="1"/>
    </xf>
    <xf numFmtId="169" fontId="79" fillId="0" borderId="0" xfId="3" applyNumberFormat="1" applyFont="1" applyFill="1" applyAlignment="1" applyProtection="1">
      <alignment vertical="center"/>
    </xf>
    <xf numFmtId="169" fontId="78" fillId="0" borderId="0" xfId="3" applyNumberFormat="1" applyFont="1" applyFill="1" applyAlignment="1" applyProtection="1">
      <alignment vertical="center"/>
    </xf>
    <xf numFmtId="170" fontId="3" fillId="0" borderId="0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3" fontId="13" fillId="3" borderId="1" xfId="0" applyNumberFormat="1" applyFont="1" applyFill="1" applyBorder="1" applyAlignment="1" applyProtection="1">
      <alignment horizontal="center"/>
    </xf>
    <xf numFmtId="3" fontId="11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Protection="1"/>
    <xf numFmtId="3" fontId="13" fillId="0" borderId="1" xfId="0" applyNumberFormat="1" applyFont="1" applyBorder="1" applyAlignment="1" applyProtection="1">
      <alignment horizontal="center" vertical="center"/>
    </xf>
    <xf numFmtId="3" fontId="13" fillId="0" borderId="1" xfId="0" applyNumberFormat="1" applyFont="1" applyBorder="1" applyAlignment="1" applyProtection="1">
      <alignment horizontal="left" vertical="center" indent="2"/>
    </xf>
    <xf numFmtId="3" fontId="13" fillId="0" borderId="1" xfId="0" applyNumberFormat="1" applyFont="1" applyBorder="1" applyAlignment="1" applyProtection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3" fontId="13" fillId="0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13" fillId="3" borderId="1" xfId="0" applyNumberFormat="1" applyFont="1" applyFill="1" applyBorder="1" applyAlignment="1" applyProtection="1">
      <alignment vertical="center"/>
    </xf>
    <xf numFmtId="9" fontId="13" fillId="3" borderId="1" xfId="2" applyFont="1" applyFill="1" applyBorder="1" applyAlignment="1" applyProtection="1">
      <alignment vertical="center"/>
    </xf>
    <xf numFmtId="3" fontId="13" fillId="0" borderId="1" xfId="0" applyNumberFormat="1" applyFont="1" applyFill="1" applyBorder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3" fontId="11" fillId="0" borderId="1" xfId="0" applyNumberFormat="1" applyFont="1" applyBorder="1" applyAlignment="1" applyProtection="1">
      <alignment horizontal="left" vertical="center" indent="2"/>
    </xf>
    <xf numFmtId="3" fontId="6" fillId="0" borderId="1" xfId="0" applyNumberFormat="1" applyFont="1" applyFill="1" applyBorder="1" applyAlignment="1">
      <alignment horizontal="right" vertical="center" wrapText="1"/>
    </xf>
    <xf numFmtId="195" fontId="17" fillId="3" borderId="1" xfId="0" applyNumberFormat="1" applyFont="1" applyFill="1" applyBorder="1" applyAlignment="1" applyProtection="1">
      <alignment horizontal="center" vertical="center" wrapText="1"/>
    </xf>
    <xf numFmtId="169" fontId="45" fillId="0" borderId="0" xfId="3" applyNumberFormat="1" applyFont="1" applyFill="1" applyBorder="1" applyAlignment="1" applyProtection="1">
      <alignment horizontal="center" vertical="top"/>
    </xf>
    <xf numFmtId="3" fontId="45" fillId="0" borderId="0" xfId="5" applyNumberFormat="1" applyFont="1" applyFill="1" applyBorder="1" applyAlignment="1" applyProtection="1">
      <alignment horizontal="center" vertical="top"/>
    </xf>
    <xf numFmtId="169" fontId="45" fillId="0" borderId="0" xfId="3" applyNumberFormat="1" applyFont="1" applyFill="1" applyBorder="1" applyAlignment="1" applyProtection="1">
      <alignment vertical="top"/>
    </xf>
    <xf numFmtId="0" fontId="45" fillId="0" borderId="0" xfId="5" applyNumberFormat="1" applyFont="1" applyFill="1" applyBorder="1" applyAlignment="1" applyProtection="1">
      <alignment vertical="top"/>
    </xf>
    <xf numFmtId="0" fontId="109" fillId="0" borderId="0" xfId="0" applyFont="1" applyAlignment="1">
      <alignment vertical="center"/>
    </xf>
    <xf numFmtId="0" fontId="14" fillId="0" borderId="0" xfId="4" applyNumberFormat="1" applyFont="1" applyFill="1" applyBorder="1" applyAlignment="1" applyProtection="1">
      <alignment vertical="center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168" fontId="8" fillId="0" borderId="5" xfId="0" applyNumberFormat="1" applyFont="1" applyFill="1" applyBorder="1" applyAlignment="1" applyProtection="1">
      <alignment horizontal="center" vertical="center"/>
    </xf>
    <xf numFmtId="0" fontId="28" fillId="0" borderId="2" xfId="0" applyFont="1" applyFill="1" applyBorder="1" applyAlignment="1" applyProtection="1">
      <alignment horizontal="center" vertical="center" wrapText="1"/>
    </xf>
    <xf numFmtId="0" fontId="0" fillId="0" borderId="2" xfId="0" quotePrefix="1" applyFont="1" applyFill="1" applyBorder="1" applyAlignment="1" applyProtection="1">
      <alignment horizontal="center" vertical="center" wrapText="1"/>
    </xf>
    <xf numFmtId="0" fontId="109" fillId="0" borderId="0" xfId="0" applyFont="1" applyAlignment="1">
      <alignment horizontal="justify" vertical="center"/>
    </xf>
    <xf numFmtId="0" fontId="112" fillId="0" borderId="0" xfId="0" applyFont="1" applyBorder="1"/>
    <xf numFmtId="0" fontId="113" fillId="0" borderId="0" xfId="0" applyFont="1"/>
    <xf numFmtId="0" fontId="114" fillId="0" borderId="0" xfId="5" applyNumberFormat="1" applyFont="1" applyFill="1" applyBorder="1" applyAlignment="1" applyProtection="1">
      <alignment horizontal="center" vertical="top"/>
    </xf>
    <xf numFmtId="169" fontId="114" fillId="0" borderId="0" xfId="3" applyNumberFormat="1" applyFont="1" applyFill="1" applyBorder="1" applyAlignment="1" applyProtection="1">
      <alignment horizontal="center" vertical="top"/>
    </xf>
    <xf numFmtId="0" fontId="114" fillId="0" borderId="0" xfId="5" applyNumberFormat="1" applyFont="1" applyFill="1" applyBorder="1" applyAlignment="1" applyProtection="1">
      <alignment vertical="top"/>
    </xf>
    <xf numFmtId="169" fontId="114" fillId="0" borderId="0" xfId="3" applyNumberFormat="1" applyFont="1" applyFill="1" applyBorder="1" applyAlignment="1" applyProtection="1">
      <alignment vertical="top"/>
    </xf>
    <xf numFmtId="172" fontId="114" fillId="0" borderId="0" xfId="5" applyNumberFormat="1" applyFont="1" applyFill="1" applyBorder="1" applyAlignment="1" applyProtection="1">
      <alignment horizontal="center" vertical="top"/>
    </xf>
    <xf numFmtId="9" fontId="114" fillId="0" borderId="0" xfId="2" applyFont="1" applyFill="1" applyBorder="1" applyAlignment="1" applyProtection="1">
      <alignment vertical="top"/>
    </xf>
    <xf numFmtId="3" fontId="114" fillId="0" borderId="0" xfId="5" applyNumberFormat="1" applyFont="1" applyFill="1" applyBorder="1" applyAlignment="1" applyProtection="1">
      <alignment horizontal="center" vertical="center"/>
    </xf>
    <xf numFmtId="3" fontId="3" fillId="0" borderId="3" xfId="0" applyNumberFormat="1" applyFont="1" applyFill="1" applyBorder="1" applyAlignment="1" applyProtection="1">
      <alignment horizontal="center"/>
    </xf>
    <xf numFmtId="3" fontId="28" fillId="0" borderId="1" xfId="0" applyNumberFormat="1" applyFont="1" applyBorder="1" applyProtection="1"/>
    <xf numFmtId="0" fontId="28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indent="2"/>
    </xf>
    <xf numFmtId="3" fontId="28" fillId="2" borderId="3" xfId="0" applyNumberFormat="1" applyFont="1" applyFill="1" applyBorder="1"/>
    <xf numFmtId="0" fontId="110" fillId="0" borderId="0" xfId="0" applyFont="1" applyFill="1" applyProtection="1"/>
    <xf numFmtId="0" fontId="110" fillId="0" borderId="0" xfId="0" applyFont="1" applyProtection="1"/>
    <xf numFmtId="0" fontId="111" fillId="0" borderId="0" xfId="0" applyFont="1" applyAlignment="1" applyProtection="1">
      <alignment vertical="center"/>
    </xf>
    <xf numFmtId="0" fontId="111" fillId="0" borderId="0" xfId="0" applyFont="1" applyProtection="1"/>
    <xf numFmtId="0" fontId="111" fillId="0" borderId="0" xfId="0" applyFont="1" applyFill="1" applyProtection="1"/>
    <xf numFmtId="3" fontId="39" fillId="0" borderId="1" xfId="9" applyNumberFormat="1" applyFont="1" applyFill="1" applyBorder="1" applyAlignment="1" applyProtection="1">
      <alignment horizontal="center" vertical="center" wrapText="1"/>
      <protection locked="0"/>
    </xf>
    <xf numFmtId="169" fontId="35" fillId="0" borderId="0" xfId="3" applyNumberFormat="1" applyFont="1" applyFill="1" applyBorder="1" applyAlignment="1" applyProtection="1">
      <alignment horizontal="center" vertical="center"/>
    </xf>
    <xf numFmtId="0" fontId="11" fillId="0" borderId="0" xfId="0" applyFont="1" applyBorder="1" applyProtection="1"/>
    <xf numFmtId="0" fontId="12" fillId="0" borderId="0" xfId="0" applyFont="1" applyBorder="1" applyAlignment="1" applyProtection="1">
      <alignment horizontal="left" indent="2"/>
    </xf>
    <xf numFmtId="0" fontId="78" fillId="0" borderId="0" xfId="0" applyFont="1" applyFill="1" applyBorder="1" applyAlignment="1" applyProtection="1">
      <alignment horizontal="left" vertical="center" wrapText="1" indent="2"/>
    </xf>
    <xf numFmtId="0" fontId="12" fillId="0" borderId="0" xfId="0" applyFont="1" applyBorder="1" applyProtection="1"/>
    <xf numFmtId="3" fontId="28" fillId="0" borderId="1" xfId="0" applyNumberFormat="1" applyFont="1" applyBorder="1" applyAlignment="1">
      <alignment horizontal="center" vertical="center" wrapText="1"/>
    </xf>
    <xf numFmtId="3" fontId="28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vertical="center" wrapText="1"/>
    </xf>
    <xf numFmtId="3" fontId="0" fillId="0" borderId="1" xfId="0" applyNumberFormat="1" applyFont="1" applyFill="1" applyBorder="1" applyAlignment="1" applyProtection="1">
      <alignment vertical="center" wrapText="1"/>
      <protection locked="0"/>
    </xf>
    <xf numFmtId="3" fontId="28" fillId="0" borderId="1" xfId="0" applyNumberFormat="1" applyFont="1" applyFill="1" applyBorder="1" applyAlignment="1">
      <alignment vertical="center" wrapText="1"/>
    </xf>
    <xf numFmtId="3" fontId="6" fillId="0" borderId="1" xfId="0" applyNumberFormat="1" applyFont="1" applyFill="1" applyBorder="1" applyAlignment="1" applyProtection="1">
      <alignment vertical="center" wrapText="1"/>
      <protection locked="0"/>
    </xf>
    <xf numFmtId="3" fontId="0" fillId="0" borderId="1" xfId="0" applyNumberFormat="1" applyFont="1" applyFill="1" applyBorder="1" applyAlignment="1" applyProtection="1">
      <alignment horizontal="right" vertical="center" wrapText="1"/>
      <protection locked="0"/>
    </xf>
    <xf numFmtId="3" fontId="41" fillId="3" borderId="1" xfId="0" applyNumberFormat="1" applyFont="1" applyFill="1" applyBorder="1" applyAlignment="1" applyProtection="1">
      <alignment horizontal="center" vertical="center"/>
    </xf>
    <xf numFmtId="3" fontId="41" fillId="3" borderId="1" xfId="0" applyNumberFormat="1" applyFont="1" applyFill="1" applyBorder="1" applyAlignment="1" applyProtection="1">
      <alignment vertical="center"/>
    </xf>
    <xf numFmtId="0" fontId="41" fillId="0" borderId="0" xfId="0" applyFont="1" applyFill="1" applyProtection="1"/>
    <xf numFmtId="0" fontId="41" fillId="0" borderId="0" xfId="0" applyFont="1" applyFill="1" applyBorder="1" applyProtection="1"/>
    <xf numFmtId="3" fontId="41" fillId="0" borderId="0" xfId="0" applyNumberFormat="1" applyFont="1" applyProtection="1"/>
    <xf numFmtId="3" fontId="9" fillId="3" borderId="1" xfId="0" applyNumberFormat="1" applyFont="1" applyFill="1" applyBorder="1" applyAlignment="1" applyProtection="1">
      <alignment horizontal="center" vertical="center" wrapText="1"/>
    </xf>
    <xf numFmtId="9" fontId="9" fillId="3" borderId="1" xfId="2" applyFont="1" applyFill="1" applyBorder="1" applyAlignment="1" applyProtection="1">
      <alignment horizontal="center" vertical="center" wrapText="1"/>
    </xf>
    <xf numFmtId="9" fontId="9" fillId="0" borderId="1" xfId="0" applyNumberFormat="1" applyFont="1" applyBorder="1" applyProtection="1"/>
    <xf numFmtId="166" fontId="35" fillId="0" borderId="0" xfId="3" applyFont="1" applyFill="1" applyBorder="1" applyAlignment="1" applyProtection="1">
      <alignment horizontal="center" vertical="center"/>
    </xf>
    <xf numFmtId="166" fontId="45" fillId="0" borderId="0" xfId="3" applyFont="1" applyFill="1" applyBorder="1" applyAlignment="1" applyProtection="1">
      <alignment horizontal="center" vertical="center"/>
    </xf>
    <xf numFmtId="197" fontId="45" fillId="0" borderId="0" xfId="3" applyNumberFormat="1" applyFont="1" applyFill="1" applyBorder="1" applyAlignment="1" applyProtection="1">
      <alignment horizontal="center" vertical="top"/>
    </xf>
    <xf numFmtId="3" fontId="9" fillId="0" borderId="0" xfId="0" applyNumberFormat="1" applyFont="1"/>
    <xf numFmtId="3" fontId="9" fillId="0" borderId="0" xfId="0" applyNumberFormat="1" applyFont="1" applyAlignment="1" applyProtection="1">
      <alignment horizontal="center" vertical="center"/>
    </xf>
    <xf numFmtId="171" fontId="35" fillId="0" borderId="0" xfId="2" applyNumberFormat="1" applyFont="1" applyFill="1" applyBorder="1" applyAlignment="1" applyProtection="1">
      <alignment horizontal="center" vertical="center"/>
    </xf>
    <xf numFmtId="0" fontId="0" fillId="0" borderId="2" xfId="0" applyFont="1" applyFill="1" applyBorder="1" applyAlignment="1" applyProtection="1">
      <alignment horizontal="left" vertical="center" indent="1"/>
    </xf>
    <xf numFmtId="166" fontId="3" fillId="0" borderId="0" xfId="3" applyFont="1"/>
    <xf numFmtId="166" fontId="14" fillId="0" borderId="0" xfId="3" applyFont="1" applyFill="1" applyBorder="1" applyAlignment="1" applyProtection="1">
      <alignment horizontal="center" vertical="center"/>
    </xf>
    <xf numFmtId="166" fontId="109" fillId="0" borderId="0" xfId="3" applyFont="1" applyAlignment="1">
      <alignment vertical="center"/>
    </xf>
    <xf numFmtId="166" fontId="16" fillId="0" borderId="0" xfId="3" applyFont="1" applyFill="1" applyBorder="1" applyAlignment="1" applyProtection="1">
      <alignment vertical="center"/>
    </xf>
    <xf numFmtId="166" fontId="14" fillId="0" borderId="0" xfId="3" applyFont="1" applyFill="1" applyBorder="1" applyAlignment="1" applyProtection="1">
      <alignment vertical="center"/>
    </xf>
    <xf numFmtId="3" fontId="11" fillId="3" borderId="1" xfId="0" applyNumberFormat="1" applyFont="1" applyFill="1" applyBorder="1" applyAlignment="1" applyProtection="1">
      <alignment horizontal="center" vertical="center" wrapText="1"/>
    </xf>
    <xf numFmtId="3" fontId="13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3" fontId="28" fillId="0" borderId="3" xfId="0" applyNumberFormat="1" applyFont="1" applyFill="1" applyBorder="1" applyAlignment="1" applyProtection="1">
      <alignment horizontal="center"/>
    </xf>
    <xf numFmtId="3" fontId="6" fillId="0" borderId="3" xfId="0" applyNumberFormat="1" applyFont="1" applyBorder="1" applyAlignment="1" applyProtection="1">
      <alignment horizontal="center" vertical="center" wrapText="1"/>
    </xf>
    <xf numFmtId="3" fontId="3" fillId="0" borderId="3" xfId="0" applyNumberFormat="1" applyFont="1" applyBorder="1" applyAlignment="1" applyProtection="1">
      <alignment vertical="center" wrapText="1"/>
      <protection locked="0"/>
    </xf>
    <xf numFmtId="3" fontId="3" fillId="0" borderId="3" xfId="0" applyNumberFormat="1" applyFont="1" applyFill="1" applyBorder="1" applyAlignment="1" applyProtection="1">
      <alignment horizontal="right" vertical="center"/>
      <protection locked="0"/>
    </xf>
    <xf numFmtId="3" fontId="3" fillId="0" borderId="3" xfId="0" applyNumberFormat="1" applyFont="1" applyFill="1" applyBorder="1" applyAlignment="1" applyProtection="1">
      <alignment horizontal="center" vertical="center"/>
      <protection locked="0"/>
    </xf>
    <xf numFmtId="3" fontId="3" fillId="0" borderId="3" xfId="0" applyNumberFormat="1" applyFont="1" applyFill="1" applyBorder="1" applyAlignment="1" applyProtection="1">
      <alignment vertical="center"/>
      <protection locked="0"/>
    </xf>
    <xf numFmtId="3" fontId="3" fillId="0" borderId="3" xfId="0" applyNumberFormat="1" applyFont="1" applyFill="1" applyBorder="1" applyAlignment="1" applyProtection="1">
      <alignment horizontal="right" vertical="center"/>
    </xf>
    <xf numFmtId="0" fontId="56" fillId="0" borderId="0" xfId="4" quotePrefix="1" applyNumberFormat="1" applyFont="1" applyFill="1" applyBorder="1" applyAlignment="1" applyProtection="1">
      <alignment horizontal="center" vertical="top"/>
      <protection locked="0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171" fontId="16" fillId="0" borderId="1" xfId="2" applyNumberFormat="1" applyFont="1" applyFill="1" applyBorder="1" applyAlignment="1" applyProtection="1">
      <alignment horizontal="center" vertical="center" wrapText="1"/>
    </xf>
    <xf numFmtId="171" fontId="35" fillId="0" borderId="1" xfId="10" applyNumberFormat="1" applyFont="1" applyFill="1" applyBorder="1" applyAlignment="1" applyProtection="1">
      <alignment horizontal="center" vertical="center" wrapText="1"/>
    </xf>
    <xf numFmtId="9" fontId="45" fillId="5" borderId="1" xfId="2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vertical="center"/>
      <protection locked="0"/>
    </xf>
    <xf numFmtId="194" fontId="28" fillId="0" borderId="1" xfId="0" applyNumberFormat="1" applyFont="1" applyFill="1" applyBorder="1" applyAlignment="1" applyProtection="1">
      <alignment vertical="center"/>
    </xf>
    <xf numFmtId="194" fontId="11" fillId="3" borderId="1" xfId="0" applyNumberFormat="1" applyFont="1" applyFill="1" applyBorder="1" applyAlignment="1" applyProtection="1">
      <alignment horizontal="center" vertical="center" wrapText="1"/>
    </xf>
    <xf numFmtId="166" fontId="3" fillId="0" borderId="0" xfId="3" applyFont="1" applyProtection="1"/>
    <xf numFmtId="166" fontId="3" fillId="0" borderId="0" xfId="3" applyFont="1" applyBorder="1" applyProtection="1"/>
    <xf numFmtId="0" fontId="12" fillId="0" borderId="0" xfId="0" applyFont="1" applyAlignment="1" applyProtection="1">
      <alignment horizontal="centerContinuous"/>
    </xf>
    <xf numFmtId="3" fontId="3" fillId="0" borderId="0" xfId="0" applyNumberFormat="1" applyFont="1" applyAlignment="1" applyProtection="1">
      <alignment horizontal="centerContinuous"/>
    </xf>
    <xf numFmtId="0" fontId="15" fillId="0" borderId="0" xfId="0" applyFont="1" applyProtection="1"/>
    <xf numFmtId="3" fontId="28" fillId="0" borderId="0" xfId="0" applyNumberFormat="1" applyFont="1" applyProtection="1"/>
    <xf numFmtId="3" fontId="3" fillId="0" borderId="0" xfId="0" applyNumberFormat="1" applyFont="1" applyAlignment="1" applyProtection="1">
      <alignment horizontal="left"/>
    </xf>
    <xf numFmtId="3" fontId="6" fillId="0" borderId="1" xfId="0" applyNumberFormat="1" applyFont="1" applyFill="1" applyBorder="1" applyAlignment="1" applyProtection="1">
      <alignment horizontal="center" vertical="center" wrapText="1"/>
    </xf>
    <xf numFmtId="0" fontId="13" fillId="0" borderId="0" xfId="0" applyFont="1" applyAlignment="1" applyProtection="1">
      <alignment vertical="center"/>
    </xf>
    <xf numFmtId="3" fontId="6" fillId="0" borderId="1" xfId="0" applyNumberFormat="1" applyFont="1" applyFill="1" applyBorder="1" applyAlignment="1" applyProtection="1">
      <alignment horizontal="center" vertical="center"/>
    </xf>
    <xf numFmtId="194" fontId="28" fillId="0" borderId="1" xfId="0" applyNumberFormat="1" applyFont="1" applyFill="1" applyBorder="1" applyAlignment="1" applyProtection="1">
      <alignment vertical="center" wrapText="1"/>
    </xf>
    <xf numFmtId="194" fontId="0" fillId="0" borderId="1" xfId="0" applyNumberFormat="1" applyFont="1" applyFill="1" applyBorder="1" applyAlignment="1" applyProtection="1">
      <alignment vertical="center" wrapText="1"/>
    </xf>
    <xf numFmtId="3" fontId="15" fillId="0" borderId="0" xfId="0" applyNumberFormat="1" applyFont="1" applyAlignment="1" applyProtection="1">
      <alignment vertical="center"/>
    </xf>
    <xf numFmtId="0" fontId="15" fillId="0" borderId="0" xfId="0" applyFont="1" applyAlignment="1" applyProtection="1">
      <alignment vertical="center"/>
    </xf>
    <xf numFmtId="3" fontId="0" fillId="0" borderId="1" xfId="0" applyNumberFormat="1" applyFont="1" applyFill="1" applyBorder="1" applyAlignment="1" applyProtection="1">
      <alignment horizontal="left" vertical="center"/>
    </xf>
    <xf numFmtId="194" fontId="6" fillId="0" borderId="1" xfId="0" applyNumberFormat="1" applyFont="1" applyFill="1" applyBorder="1" applyAlignment="1" applyProtection="1">
      <alignment vertical="center" wrapText="1"/>
    </xf>
    <xf numFmtId="194" fontId="6" fillId="0" borderId="1" xfId="0" applyNumberFormat="1" applyFont="1" applyBorder="1" applyAlignment="1" applyProtection="1">
      <alignment vertical="center" wrapText="1"/>
    </xf>
    <xf numFmtId="194" fontId="0" fillId="0" borderId="1" xfId="0" applyNumberFormat="1" applyBorder="1" applyAlignment="1" applyProtection="1">
      <alignment vertical="center" wrapText="1"/>
    </xf>
    <xf numFmtId="3" fontId="13" fillId="0" borderId="0" xfId="0" applyNumberFormat="1" applyFont="1" applyAlignment="1" applyProtection="1">
      <alignment vertical="center"/>
    </xf>
    <xf numFmtId="3" fontId="3" fillId="0" borderId="1" xfId="0" applyNumberFormat="1" applyFont="1" applyFill="1" applyBorder="1" applyAlignment="1" applyProtection="1">
      <alignment horizontal="left" vertical="center"/>
    </xf>
    <xf numFmtId="194" fontId="6" fillId="0" borderId="1" xfId="0" applyNumberFormat="1" applyFont="1" applyFill="1" applyBorder="1" applyAlignment="1" applyProtection="1">
      <alignment horizontal="center" vertical="center" wrapText="1"/>
    </xf>
    <xf numFmtId="194" fontId="6" fillId="0" borderId="1" xfId="0" applyNumberFormat="1" applyFont="1" applyBorder="1" applyAlignment="1" applyProtection="1">
      <alignment horizontal="center" vertical="center" wrapText="1"/>
    </xf>
    <xf numFmtId="194" fontId="28" fillId="0" borderId="1" xfId="0" applyNumberFormat="1" applyFont="1" applyBorder="1" applyAlignment="1" applyProtection="1">
      <alignment horizontal="center" vertical="center" wrapText="1"/>
    </xf>
    <xf numFmtId="194" fontId="0" fillId="0" borderId="1" xfId="0" applyNumberFormat="1" applyFont="1" applyFill="1" applyBorder="1" applyAlignment="1" applyProtection="1">
      <alignment horizontal="right" vertical="center" wrapText="1"/>
    </xf>
    <xf numFmtId="194" fontId="0" fillId="0" borderId="1" xfId="0" applyNumberFormat="1" applyBorder="1" applyAlignment="1" applyProtection="1">
      <alignment horizontal="right" vertical="center" wrapText="1"/>
    </xf>
    <xf numFmtId="0" fontId="15" fillId="0" borderId="0" xfId="0" applyFont="1" applyFill="1" applyAlignment="1" applyProtection="1">
      <alignment vertical="center"/>
    </xf>
    <xf numFmtId="0" fontId="0" fillId="0" borderId="1" xfId="0" applyFont="1" applyFill="1" applyBorder="1" applyAlignment="1">
      <alignment horizontal="left" vertical="center" indent="2"/>
    </xf>
    <xf numFmtId="0" fontId="0" fillId="0" borderId="1" xfId="0" applyFont="1" applyFill="1" applyBorder="1" applyAlignment="1">
      <alignment horizontal="left" vertical="center" wrapText="1" indent="2"/>
    </xf>
    <xf numFmtId="0" fontId="34" fillId="0" borderId="0" xfId="0" applyFont="1" applyProtection="1"/>
    <xf numFmtId="0" fontId="115" fillId="0" borderId="0" xfId="0" applyFont="1" applyProtection="1"/>
    <xf numFmtId="3" fontId="34" fillId="0" borderId="0" xfId="0" applyNumberFormat="1" applyFont="1" applyProtection="1"/>
    <xf numFmtId="194" fontId="34" fillId="0" borderId="0" xfId="0" applyNumberFormat="1" applyFont="1" applyProtection="1"/>
    <xf numFmtId="194" fontId="3" fillId="0" borderId="0" xfId="0" applyNumberFormat="1" applyFont="1" applyBorder="1" applyProtection="1"/>
    <xf numFmtId="3" fontId="0" fillId="0" borderId="1" xfId="0" applyNumberFormat="1" applyFont="1" applyFill="1" applyBorder="1" applyAlignment="1" applyProtection="1">
      <alignment horizontal="right" vertical="center"/>
      <protection locked="0"/>
    </xf>
    <xf numFmtId="3" fontId="0" fillId="0" borderId="3" xfId="0" applyNumberFormat="1" applyFont="1" applyBorder="1" applyAlignment="1" applyProtection="1">
      <alignment vertical="center"/>
    </xf>
    <xf numFmtId="0" fontId="117" fillId="0" borderId="0" xfId="0" applyFont="1" applyProtection="1">
      <protection hidden="1"/>
    </xf>
    <xf numFmtId="3" fontId="117" fillId="0" borderId="0" xfId="0" applyNumberFormat="1" applyFont="1" applyProtection="1">
      <protection hidden="1"/>
    </xf>
    <xf numFmtId="0" fontId="117" fillId="0" borderId="0" xfId="0" applyFont="1" applyBorder="1" applyProtection="1">
      <protection hidden="1"/>
    </xf>
    <xf numFmtId="0" fontId="117" fillId="0" borderId="0" xfId="0" applyFont="1" applyBorder="1"/>
    <xf numFmtId="0" fontId="117" fillId="0" borderId="0" xfId="0" applyFont="1" applyBorder="1" applyProtection="1"/>
    <xf numFmtId="0" fontId="42" fillId="0" borderId="0" xfId="0" applyFont="1" applyAlignment="1" applyProtection="1">
      <alignment horizontal="center" vertical="center" wrapText="1"/>
    </xf>
    <xf numFmtId="0" fontId="0" fillId="0" borderId="0" xfId="0" applyFont="1" applyBorder="1" applyProtection="1"/>
    <xf numFmtId="197" fontId="118" fillId="0" borderId="0" xfId="3" applyNumberFormat="1" applyFont="1" applyBorder="1" applyProtection="1"/>
    <xf numFmtId="0" fontId="42" fillId="0" borderId="0" xfId="0" applyFont="1" applyBorder="1" applyAlignment="1" applyProtection="1">
      <alignment horizontal="center" wrapText="1"/>
    </xf>
    <xf numFmtId="170" fontId="0" fillId="0" borderId="0" xfId="0" applyNumberFormat="1" applyFont="1" applyBorder="1" applyAlignment="1" applyProtection="1">
      <alignment horizontal="center" wrapText="1"/>
    </xf>
    <xf numFmtId="195" fontId="119" fillId="0" borderId="9" xfId="4" applyNumberFormat="1" applyFont="1" applyFill="1" applyBorder="1" applyAlignment="1" applyProtection="1">
      <alignment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</xf>
    <xf numFmtId="0" fontId="28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2" xfId="0" applyFont="1" applyBorder="1" applyAlignment="1" applyProtection="1">
      <alignment horizontal="left" vertical="center" indent="1"/>
    </xf>
    <xf numFmtId="0" fontId="0" fillId="0" borderId="2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left" vertical="center" wrapText="1" indent="1"/>
    </xf>
    <xf numFmtId="0" fontId="0" fillId="0" borderId="1" xfId="0" applyFont="1" applyBorder="1" applyAlignment="1" applyProtection="1">
      <alignment horizontal="left" vertical="center" indent="1"/>
    </xf>
    <xf numFmtId="0" fontId="0" fillId="0" borderId="2" xfId="0" quotePrefix="1" applyFont="1" applyBorder="1" applyAlignment="1" applyProtection="1">
      <alignment horizontal="center" vertical="center" wrapText="1"/>
    </xf>
    <xf numFmtId="0" fontId="0" fillId="0" borderId="2" xfId="0" quotePrefix="1" applyFont="1" applyBorder="1" applyAlignment="1" applyProtection="1">
      <alignment horizontal="left" vertical="center" wrapText="1" indent="1"/>
    </xf>
    <xf numFmtId="3" fontId="0" fillId="0" borderId="3" xfId="0" applyNumberFormat="1" applyFont="1" applyBorder="1" applyAlignment="1" applyProtection="1">
      <alignment vertical="center"/>
      <protection locked="0"/>
    </xf>
    <xf numFmtId="0" fontId="0" fillId="0" borderId="2" xfId="0" quotePrefix="1" applyFont="1" applyBorder="1" applyAlignment="1" applyProtection="1">
      <alignment horizontal="left" vertical="center" indent="1"/>
    </xf>
    <xf numFmtId="0" fontId="28" fillId="0" borderId="2" xfId="0" quotePrefix="1" applyFont="1" applyBorder="1" applyAlignment="1" applyProtection="1">
      <alignment horizontal="left" vertical="center" indent="1"/>
    </xf>
    <xf numFmtId="3" fontId="0" fillId="2" borderId="3" xfId="0" applyNumberFormat="1" applyFont="1" applyFill="1" applyBorder="1" applyAlignment="1" applyProtection="1">
      <alignment vertical="center"/>
    </xf>
    <xf numFmtId="0" fontId="0" fillId="0" borderId="2" xfId="0" applyFont="1" applyFill="1" applyBorder="1" applyAlignment="1" applyProtection="1">
      <alignment horizontal="center" vertical="center" wrapText="1"/>
    </xf>
    <xf numFmtId="0" fontId="28" fillId="0" borderId="2" xfId="0" applyFont="1" applyFill="1" applyBorder="1" applyAlignment="1" applyProtection="1">
      <alignment horizontal="left" vertical="center" indent="1"/>
    </xf>
    <xf numFmtId="0" fontId="28" fillId="0" borderId="0" xfId="0" applyFont="1" applyBorder="1" applyProtection="1"/>
    <xf numFmtId="197" fontId="120" fillId="0" borderId="0" xfId="3" applyNumberFormat="1" applyFont="1" applyBorder="1" applyProtection="1"/>
    <xf numFmtId="0" fontId="28" fillId="0" borderId="2" xfId="0" quotePrefix="1" applyFont="1" applyFill="1" applyBorder="1" applyAlignment="1" applyProtection="1">
      <alignment horizontal="center" vertical="center" wrapText="1"/>
    </xf>
    <xf numFmtId="0" fontId="28" fillId="0" borderId="2" xfId="0" quotePrefix="1" applyFont="1" applyFill="1" applyBorder="1" applyAlignment="1" applyProtection="1">
      <alignment horizontal="left" vertical="center" indent="1"/>
    </xf>
    <xf numFmtId="0" fontId="121" fillId="0" borderId="0" xfId="0" applyFont="1" applyBorder="1" applyProtection="1"/>
    <xf numFmtId="3" fontId="0" fillId="0" borderId="3" xfId="0" applyNumberFormat="1" applyFont="1" applyFill="1" applyBorder="1" applyAlignment="1" applyProtection="1">
      <alignment vertical="center"/>
    </xf>
    <xf numFmtId="3" fontId="0" fillId="4" borderId="1" xfId="0" applyNumberFormat="1" applyFont="1" applyFill="1" applyBorder="1" applyAlignment="1" applyProtection="1">
      <alignment horizontal="right" vertical="center"/>
    </xf>
    <xf numFmtId="0" fontId="0" fillId="0" borderId="2" xfId="0" applyFont="1" applyFill="1" applyBorder="1" applyAlignment="1" applyProtection="1">
      <alignment horizontal="left" vertical="center" wrapText="1" indent="1"/>
    </xf>
    <xf numFmtId="197" fontId="118" fillId="0" borderId="0" xfId="3" quotePrefix="1" applyNumberFormat="1" applyFont="1" applyBorder="1" applyAlignment="1" applyProtection="1">
      <alignment horizontal="left"/>
    </xf>
    <xf numFmtId="0" fontId="122" fillId="0" borderId="0" xfId="0" applyFont="1" applyBorder="1" applyProtection="1"/>
    <xf numFmtId="197" fontId="122" fillId="0" borderId="0" xfId="3" applyNumberFormat="1" applyFont="1" applyBorder="1" applyProtection="1"/>
    <xf numFmtId="0" fontId="0" fillId="0" borderId="0" xfId="0" applyFont="1" applyProtection="1"/>
    <xf numFmtId="0" fontId="28" fillId="0" borderId="0" xfId="0" applyFont="1" applyBorder="1" applyAlignment="1" applyProtection="1">
      <alignment horizontal="center" vertical="center" wrapText="1"/>
    </xf>
    <xf numFmtId="0" fontId="28" fillId="0" borderId="0" xfId="0" applyFont="1" applyBorder="1" applyAlignment="1" applyProtection="1">
      <alignment horizontal="center" wrapText="1"/>
    </xf>
    <xf numFmtId="0" fontId="0" fillId="0" borderId="0" xfId="0" applyFont="1" applyBorder="1" applyAlignment="1" applyProtection="1">
      <alignment horizontal="center" wrapText="1"/>
    </xf>
    <xf numFmtId="3" fontId="0" fillId="0" borderId="1" xfId="0" applyNumberFormat="1" applyFont="1" applyBorder="1" applyProtection="1">
      <protection locked="0"/>
    </xf>
    <xf numFmtId="3" fontId="123" fillId="0" borderId="0" xfId="4" applyNumberFormat="1" applyFont="1" applyFill="1" applyBorder="1" applyAlignment="1" applyProtection="1">
      <alignment vertical="top"/>
    </xf>
    <xf numFmtId="0" fontId="123" fillId="0" borderId="0" xfId="4" applyNumberFormat="1" applyFont="1" applyFill="1" applyBorder="1" applyAlignment="1" applyProtection="1">
      <alignment vertical="top"/>
    </xf>
    <xf numFmtId="166" fontId="123" fillId="0" borderId="0" xfId="3" applyFont="1" applyFill="1" applyBorder="1" applyAlignment="1" applyProtection="1">
      <alignment vertical="top"/>
    </xf>
    <xf numFmtId="0" fontId="117" fillId="0" borderId="0" xfId="0" applyFont="1" applyProtection="1"/>
    <xf numFmtId="3" fontId="117" fillId="0" borderId="0" xfId="0" applyNumberFormat="1" applyFont="1" applyAlignment="1" applyProtection="1">
      <alignment vertical="center"/>
    </xf>
    <xf numFmtId="0" fontId="117" fillId="0" borderId="0" xfId="0" applyFont="1" applyAlignment="1" applyProtection="1">
      <alignment vertical="center"/>
    </xf>
    <xf numFmtId="166" fontId="117" fillId="0" borderId="0" xfId="3" applyFont="1" applyAlignment="1" applyProtection="1">
      <alignment horizontal="center" vertical="center"/>
    </xf>
    <xf numFmtId="166" fontId="117" fillId="0" borderId="0" xfId="3" applyFont="1" applyProtection="1"/>
    <xf numFmtId="166" fontId="117" fillId="0" borderId="0" xfId="3" applyFont="1" applyBorder="1" applyProtection="1"/>
    <xf numFmtId="3" fontId="116" fillId="0" borderId="0" xfId="0" applyNumberFormat="1" applyFont="1" applyProtection="1"/>
    <xf numFmtId="0" fontId="116" fillId="0" borderId="0" xfId="0" applyFont="1" applyProtection="1"/>
    <xf numFmtId="3" fontId="9" fillId="0" borderId="0" xfId="0" applyNumberFormat="1" applyFont="1" applyAlignment="1">
      <alignment vertical="center"/>
    </xf>
    <xf numFmtId="166" fontId="33" fillId="0" borderId="0" xfId="3" applyFont="1" applyAlignment="1">
      <alignment vertical="center"/>
    </xf>
    <xf numFmtId="166" fontId="33" fillId="0" borderId="0" xfId="3" applyFont="1" applyFill="1" applyAlignment="1">
      <alignment vertical="center"/>
    </xf>
    <xf numFmtId="166" fontId="33" fillId="0" borderId="0" xfId="3" applyFont="1"/>
    <xf numFmtId="166" fontId="33" fillId="0" borderId="0" xfId="3" applyFont="1" applyBorder="1" applyProtection="1"/>
    <xf numFmtId="0" fontId="124" fillId="0" borderId="0" xfId="0" applyFont="1" applyAlignment="1" applyProtection="1">
      <alignment horizontal="center"/>
    </xf>
    <xf numFmtId="3" fontId="38" fillId="3" borderId="5" xfId="0" applyNumberFormat="1" applyFont="1" applyFill="1" applyBorder="1" applyAlignment="1" applyProtection="1">
      <alignment horizontal="center" vertical="center" wrapText="1"/>
    </xf>
    <xf numFmtId="3" fontId="38" fillId="3" borderId="12" xfId="0" applyNumberFormat="1" applyFont="1" applyFill="1" applyBorder="1" applyAlignment="1" applyProtection="1">
      <alignment horizontal="center" vertical="center" wrapText="1"/>
    </xf>
    <xf numFmtId="3" fontId="38" fillId="3" borderId="3" xfId="0" applyNumberFormat="1" applyFont="1" applyFill="1" applyBorder="1" applyAlignment="1" applyProtection="1">
      <alignment horizontal="center" vertical="center" wrapText="1"/>
    </xf>
    <xf numFmtId="195" fontId="39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38" fillId="3" borderId="1" xfId="0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 wrapText="1"/>
    </xf>
    <xf numFmtId="0" fontId="102" fillId="0" borderId="0" xfId="4" applyNumberFormat="1" applyFont="1" applyFill="1" applyBorder="1" applyAlignment="1" applyProtection="1">
      <alignment horizontal="center" vertical="center"/>
    </xf>
    <xf numFmtId="0" fontId="38" fillId="0" borderId="0" xfId="0" applyFont="1" applyBorder="1" applyAlignment="1" applyProtection="1">
      <alignment horizontal="center" vertical="center" wrapText="1"/>
    </xf>
    <xf numFmtId="3" fontId="38" fillId="3" borderId="7" xfId="0" applyNumberFormat="1" applyFont="1" applyFill="1" applyBorder="1" applyAlignment="1" applyProtection="1">
      <alignment horizontal="center" vertical="center" wrapText="1"/>
    </xf>
    <xf numFmtId="3" fontId="38" fillId="3" borderId="11" xfId="0" applyNumberFormat="1" applyFont="1" applyFill="1" applyBorder="1" applyAlignment="1" applyProtection="1">
      <alignment horizontal="center" vertical="center" wrapText="1"/>
    </xf>
    <xf numFmtId="3" fontId="38" fillId="3" borderId="15" xfId="0" applyNumberFormat="1" applyFont="1" applyFill="1" applyBorder="1" applyAlignment="1" applyProtection="1">
      <alignment horizontal="center" vertical="center" wrapText="1"/>
    </xf>
    <xf numFmtId="3" fontId="38" fillId="3" borderId="10" xfId="0" applyNumberFormat="1" applyFont="1" applyFill="1" applyBorder="1" applyAlignment="1" applyProtection="1">
      <alignment horizontal="center" vertical="center" wrapText="1"/>
    </xf>
    <xf numFmtId="3" fontId="38" fillId="3" borderId="0" xfId="0" applyNumberFormat="1" applyFont="1" applyFill="1" applyBorder="1" applyAlignment="1" applyProtection="1">
      <alignment horizontal="center" vertical="center" wrapText="1"/>
    </xf>
    <xf numFmtId="3" fontId="38" fillId="3" borderId="13" xfId="0" applyNumberFormat="1" applyFont="1" applyFill="1" applyBorder="1" applyAlignment="1" applyProtection="1">
      <alignment horizontal="center" vertical="center" wrapText="1"/>
    </xf>
    <xf numFmtId="3" fontId="38" fillId="3" borderId="2" xfId="0" applyNumberFormat="1" applyFont="1" applyFill="1" applyBorder="1" applyAlignment="1" applyProtection="1">
      <alignment horizontal="center" vertical="center" wrapText="1"/>
    </xf>
    <xf numFmtId="3" fontId="38" fillId="3" borderId="9" xfId="0" applyNumberFormat="1" applyFont="1" applyFill="1" applyBorder="1" applyAlignment="1" applyProtection="1">
      <alignment horizontal="center" vertical="center" wrapText="1"/>
    </xf>
    <xf numFmtId="3" fontId="38" fillId="3" borderId="14" xfId="0" applyNumberFormat="1" applyFont="1" applyFill="1" applyBorder="1" applyAlignment="1" applyProtection="1">
      <alignment horizontal="center" vertical="center" wrapText="1"/>
    </xf>
    <xf numFmtId="3" fontId="38" fillId="3" borderId="4" xfId="0" applyNumberFormat="1" applyFont="1" applyFill="1" applyBorder="1" applyAlignment="1" applyProtection="1">
      <alignment horizontal="center" vertical="center" wrapText="1"/>
    </xf>
    <xf numFmtId="3" fontId="38" fillId="3" borderId="8" xfId="0" applyNumberFormat="1" applyFont="1" applyFill="1" applyBorder="1" applyAlignment="1" applyProtection="1">
      <alignment horizontal="center" vertical="center" wrapText="1"/>
    </xf>
    <xf numFmtId="3" fontId="38" fillId="3" borderId="6" xfId="0" applyNumberFormat="1" applyFont="1" applyFill="1" applyBorder="1" applyAlignment="1" applyProtection="1">
      <alignment horizontal="center" vertical="center" wrapText="1"/>
    </xf>
    <xf numFmtId="0" fontId="42" fillId="0" borderId="0" xfId="0" applyFont="1" applyBorder="1" applyAlignment="1" applyProtection="1">
      <alignment horizontal="center"/>
    </xf>
    <xf numFmtId="0" fontId="5" fillId="0" borderId="0" xfId="0" applyFont="1" applyBorder="1" applyAlignment="1" applyProtection="1">
      <alignment horizontal="center" vertical="center"/>
    </xf>
    <xf numFmtId="195" fontId="30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3" fillId="3" borderId="1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textRotation="90" wrapText="1"/>
    </xf>
    <xf numFmtId="3" fontId="13" fillId="3" borderId="3" xfId="0" applyNumberFormat="1" applyFont="1" applyFill="1" applyBorder="1" applyAlignment="1" applyProtection="1">
      <alignment horizontal="center" vertical="center" textRotation="90" wrapText="1"/>
    </xf>
    <xf numFmtId="3" fontId="13" fillId="3" borderId="1" xfId="0" applyNumberFormat="1" applyFont="1" applyFill="1" applyBorder="1" applyAlignment="1" applyProtection="1">
      <alignment horizontal="center" vertical="center" wrapText="1"/>
    </xf>
    <xf numFmtId="3" fontId="13" fillId="3" borderId="5" xfId="0" applyNumberFormat="1" applyFont="1" applyFill="1" applyBorder="1" applyAlignment="1" applyProtection="1">
      <alignment horizontal="center" vertical="center"/>
    </xf>
    <xf numFmtId="3" fontId="13" fillId="3" borderId="12" xfId="0" applyNumberFormat="1" applyFont="1" applyFill="1" applyBorder="1" applyAlignment="1" applyProtection="1">
      <alignment horizontal="center" vertical="center"/>
    </xf>
    <xf numFmtId="3" fontId="13" fillId="3" borderId="3" xfId="0" applyNumberFormat="1" applyFont="1" applyFill="1" applyBorder="1" applyAlignment="1" applyProtection="1">
      <alignment horizontal="center" vertical="center"/>
    </xf>
    <xf numFmtId="3" fontId="13" fillId="3" borderId="5" xfId="0" applyNumberFormat="1" applyFont="1" applyFill="1" applyBorder="1" applyAlignment="1" applyProtection="1">
      <alignment horizontal="center" vertical="center" wrapText="1"/>
    </xf>
    <xf numFmtId="3" fontId="13" fillId="3" borderId="12" xfId="0" applyNumberFormat="1" applyFont="1" applyFill="1" applyBorder="1" applyAlignment="1" applyProtection="1">
      <alignment horizontal="center" vertical="center" wrapText="1"/>
    </xf>
    <xf numFmtId="3" fontId="13" fillId="3" borderId="3" xfId="0" applyNumberFormat="1" applyFont="1" applyFill="1" applyBorder="1" applyAlignment="1" applyProtection="1">
      <alignment horizontal="center" vertical="center" wrapText="1"/>
    </xf>
    <xf numFmtId="3" fontId="13" fillId="3" borderId="4" xfId="0" applyNumberFormat="1" applyFont="1" applyFill="1" applyBorder="1" applyAlignment="1" applyProtection="1">
      <alignment horizontal="center" vertical="center" wrapText="1"/>
    </xf>
    <xf numFmtId="3" fontId="13" fillId="3" borderId="6" xfId="0" applyNumberFormat="1" applyFont="1" applyFill="1" applyBorder="1" applyAlignment="1" applyProtection="1">
      <alignment horizontal="center" vertical="center" wrapText="1"/>
    </xf>
    <xf numFmtId="195" fontId="8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42" fillId="3" borderId="7" xfId="0" applyNumberFormat="1" applyFont="1" applyFill="1" applyBorder="1" applyAlignment="1" applyProtection="1">
      <alignment horizontal="center" vertical="center" wrapText="1"/>
    </xf>
    <xf numFmtId="3" fontId="42" fillId="3" borderId="15" xfId="0" applyNumberFormat="1" applyFont="1" applyFill="1" applyBorder="1" applyAlignment="1" applyProtection="1">
      <alignment horizontal="center" vertical="center" wrapText="1"/>
    </xf>
    <xf numFmtId="3" fontId="42" fillId="3" borderId="2" xfId="0" applyNumberFormat="1" applyFont="1" applyFill="1" applyBorder="1" applyAlignment="1" applyProtection="1">
      <alignment horizontal="center" vertical="center" wrapText="1"/>
    </xf>
    <xf numFmtId="3" fontId="42" fillId="3" borderId="14" xfId="0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 applyProtection="1">
      <alignment horizontal="center" vertical="center" wrapText="1"/>
    </xf>
    <xf numFmtId="3" fontId="42" fillId="3" borderId="12" xfId="0" applyNumberFormat="1" applyFont="1" applyFill="1" applyBorder="1" applyAlignment="1" applyProtection="1">
      <alignment horizontal="center" vertical="center" wrapText="1"/>
    </xf>
    <xf numFmtId="3" fontId="42" fillId="3" borderId="3" xfId="0" applyNumberFormat="1" applyFont="1" applyFill="1" applyBorder="1" applyAlignment="1" applyProtection="1">
      <alignment horizontal="center" vertical="center" wrapText="1"/>
    </xf>
    <xf numFmtId="3" fontId="42" fillId="3" borderId="4" xfId="0" applyNumberFormat="1" applyFont="1" applyFill="1" applyBorder="1" applyAlignment="1" applyProtection="1">
      <alignment horizontal="center" vertical="center" wrapText="1"/>
    </xf>
    <xf numFmtId="3" fontId="42" fillId="3" borderId="6" xfId="0" applyNumberFormat="1" applyFont="1" applyFill="1" applyBorder="1" applyAlignment="1" applyProtection="1">
      <alignment horizontal="center" vertical="center" wrapText="1"/>
    </xf>
    <xf numFmtId="3" fontId="42" fillId="3" borderId="8" xfId="0" applyNumberFormat="1" applyFont="1" applyFill="1" applyBorder="1" applyAlignment="1" applyProtection="1">
      <alignment horizontal="center" vertical="center" wrapText="1"/>
    </xf>
    <xf numFmtId="3" fontId="28" fillId="0" borderId="4" xfId="0" applyNumberFormat="1" applyFont="1" applyFill="1" applyBorder="1" applyAlignment="1" applyProtection="1">
      <alignment horizontal="center" vertical="center" wrapText="1"/>
    </xf>
    <xf numFmtId="3" fontId="28" fillId="0" borderId="8" xfId="0" applyNumberFormat="1" applyFont="1" applyFill="1" applyBorder="1" applyAlignment="1" applyProtection="1">
      <alignment horizontal="center" vertical="center" wrapText="1"/>
    </xf>
    <xf numFmtId="3" fontId="6" fillId="0" borderId="5" xfId="0" applyNumberFormat="1" applyFont="1" applyFill="1" applyBorder="1" applyAlignment="1" applyProtection="1">
      <alignment horizontal="center" vertical="center" textRotation="90" wrapText="1"/>
    </xf>
    <xf numFmtId="3" fontId="6" fillId="0" borderId="3" xfId="0" applyNumberFormat="1" applyFont="1" applyFill="1" applyBorder="1" applyAlignment="1" applyProtection="1">
      <alignment horizontal="center" vertical="center" textRotation="90" wrapText="1"/>
    </xf>
    <xf numFmtId="195" fontId="85" fillId="0" borderId="9" xfId="4" applyNumberFormat="1" applyFont="1" applyFill="1" applyBorder="1" applyAlignment="1" applyProtection="1">
      <alignment horizontal="center" vertical="center" wrapText="1"/>
    </xf>
    <xf numFmtId="3" fontId="6" fillId="0" borderId="5" xfId="0" quotePrefix="1" applyNumberFormat="1" applyFont="1" applyFill="1" applyBorder="1" applyAlignment="1" applyProtection="1">
      <alignment horizontal="center" vertical="center"/>
    </xf>
    <xf numFmtId="3" fontId="6" fillId="0" borderId="3" xfId="0" quotePrefix="1" applyNumberFormat="1" applyFont="1" applyFill="1" applyBorder="1" applyAlignment="1" applyProtection="1">
      <alignment horizontal="center" vertical="center"/>
    </xf>
    <xf numFmtId="3" fontId="6" fillId="0" borderId="5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center" vertical="center"/>
    </xf>
    <xf numFmtId="3" fontId="6" fillId="0" borderId="4" xfId="0" applyNumberFormat="1" applyFont="1" applyBorder="1" applyAlignment="1" applyProtection="1">
      <alignment horizontal="left" vertical="center" wrapText="1" indent="1"/>
    </xf>
    <xf numFmtId="3" fontId="6" fillId="0" borderId="8" xfId="0" applyNumberFormat="1" applyFont="1" applyBorder="1" applyAlignment="1" applyProtection="1">
      <alignment horizontal="left" vertical="center" wrapText="1" indent="1"/>
    </xf>
    <xf numFmtId="3" fontId="6" fillId="0" borderId="6" xfId="0" applyNumberFormat="1" applyFont="1" applyBorder="1" applyAlignment="1" applyProtection="1">
      <alignment horizontal="left" vertical="center" wrapText="1" indent="1"/>
    </xf>
    <xf numFmtId="3" fontId="41" fillId="3" borderId="4" xfId="0" applyNumberFormat="1" applyFont="1" applyFill="1" applyBorder="1" applyAlignment="1" applyProtection="1">
      <alignment horizontal="center" vertical="center" wrapText="1"/>
    </xf>
    <xf numFmtId="3" fontId="41" fillId="3" borderId="6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textRotation="90" wrapText="1"/>
    </xf>
    <xf numFmtId="3" fontId="41" fillId="3" borderId="12" xfId="0" applyNumberFormat="1" applyFont="1" applyFill="1" applyBorder="1" applyAlignment="1" applyProtection="1">
      <alignment horizontal="center" vertical="center" textRotation="90" wrapText="1"/>
    </xf>
    <xf numFmtId="3" fontId="41" fillId="3" borderId="3" xfId="0" applyNumberFormat="1" applyFont="1" applyFill="1" applyBorder="1" applyAlignment="1" applyProtection="1">
      <alignment horizontal="center" vertical="center" textRotation="90" wrapText="1"/>
    </xf>
    <xf numFmtId="3" fontId="41" fillId="3" borderId="7" xfId="0" applyNumberFormat="1" applyFont="1" applyFill="1" applyBorder="1" applyAlignment="1" applyProtection="1">
      <alignment horizontal="center" vertical="center" wrapText="1"/>
    </xf>
    <xf numFmtId="3" fontId="41" fillId="3" borderId="15" xfId="0" applyNumberFormat="1" applyFont="1" applyFill="1" applyBorder="1" applyAlignment="1" applyProtection="1">
      <alignment horizontal="center" vertical="center" wrapText="1"/>
    </xf>
    <xf numFmtId="3" fontId="41" fillId="3" borderId="2" xfId="0" applyNumberFormat="1" applyFont="1" applyFill="1" applyBorder="1" applyAlignment="1" applyProtection="1">
      <alignment horizontal="center" vertical="center" wrapText="1"/>
    </xf>
    <xf numFmtId="3" fontId="41" fillId="3" borderId="14" xfId="0" applyNumberFormat="1" applyFont="1" applyFill="1" applyBorder="1" applyAlignment="1" applyProtection="1">
      <alignment horizontal="center" vertical="center" wrapText="1"/>
    </xf>
    <xf numFmtId="0" fontId="16" fillId="0" borderId="0" xfId="0" applyFont="1" applyAlignment="1">
      <alignment horizontal="left" indent="1"/>
    </xf>
    <xf numFmtId="3" fontId="3" fillId="0" borderId="9" xfId="0" applyNumberFormat="1" applyFont="1" applyBorder="1" applyAlignment="1" applyProtection="1">
      <alignment horizontal="center"/>
    </xf>
    <xf numFmtId="0" fontId="36" fillId="0" borderId="0" xfId="0" applyFont="1" applyAlignment="1" applyProtection="1">
      <alignment horizontal="center" vertical="center"/>
    </xf>
    <xf numFmtId="3" fontId="50" fillId="3" borderId="4" xfId="0" applyNumberFormat="1" applyFont="1" applyFill="1" applyBorder="1" applyAlignment="1" applyProtection="1">
      <alignment horizontal="center" vertical="center" wrapText="1"/>
    </xf>
    <xf numFmtId="3" fontId="50" fillId="3" borderId="8" xfId="0" applyNumberFormat="1" applyFont="1" applyFill="1" applyBorder="1" applyAlignment="1" applyProtection="1">
      <alignment horizontal="center" vertical="center" wrapText="1"/>
    </xf>
    <xf numFmtId="3" fontId="50" fillId="3" borderId="6" xfId="0" applyNumberFormat="1" applyFont="1" applyFill="1" applyBorder="1" applyAlignment="1" applyProtection="1">
      <alignment horizontal="center" vertical="center" wrapText="1"/>
    </xf>
    <xf numFmtId="3" fontId="41" fillId="3" borderId="5" xfId="0" applyNumberFormat="1" applyFont="1" applyFill="1" applyBorder="1" applyAlignment="1" applyProtection="1">
      <alignment horizontal="center" vertical="center" wrapText="1"/>
    </xf>
    <xf numFmtId="3" fontId="41" fillId="3" borderId="12" xfId="0" applyNumberFormat="1" applyFont="1" applyFill="1" applyBorder="1" applyAlignment="1" applyProtection="1">
      <alignment horizontal="center" vertical="center" wrapText="1"/>
    </xf>
    <xf numFmtId="3" fontId="41" fillId="3" borderId="3" xfId="0" applyNumberFormat="1" applyFont="1" applyFill="1" applyBorder="1" applyAlignment="1" applyProtection="1">
      <alignment horizontal="center" vertical="center" wrapText="1"/>
    </xf>
    <xf numFmtId="3" fontId="41" fillId="3" borderId="4" xfId="0" applyNumberFormat="1" applyFont="1" applyFill="1" applyBorder="1" applyAlignment="1" applyProtection="1">
      <alignment horizontal="center" vertical="center" textRotation="90" wrapText="1"/>
    </xf>
    <xf numFmtId="3" fontId="41" fillId="3" borderId="6" xfId="0" applyNumberFormat="1" applyFont="1" applyFill="1" applyBorder="1" applyAlignment="1" applyProtection="1">
      <alignment horizontal="center" vertical="center" textRotation="90" wrapText="1"/>
    </xf>
    <xf numFmtId="170" fontId="0" fillId="0" borderId="9" xfId="0" applyNumberFormat="1" applyFont="1" applyBorder="1" applyAlignment="1" applyProtection="1">
      <alignment horizontal="center"/>
    </xf>
    <xf numFmtId="3" fontId="6" fillId="0" borderId="4" xfId="0" applyNumberFormat="1" applyFont="1" applyBorder="1" applyAlignment="1" applyProtection="1">
      <alignment horizontal="left" wrapText="1" indent="2"/>
    </xf>
    <xf numFmtId="3" fontId="6" fillId="0" borderId="8" xfId="0" applyNumberFormat="1" applyFont="1" applyBorder="1" applyAlignment="1" applyProtection="1">
      <alignment horizontal="left" wrapText="1" indent="2"/>
    </xf>
    <xf numFmtId="3" fontId="6" fillId="0" borderId="6" xfId="0" applyNumberFormat="1" applyFont="1" applyBorder="1" applyAlignment="1" applyProtection="1">
      <alignment horizontal="left" wrapText="1" indent="2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6" fillId="3" borderId="3" xfId="0" applyNumberFormat="1" applyFont="1" applyFill="1" applyBorder="1" applyAlignment="1" applyProtection="1">
      <alignment horizontal="center" vertical="center" wrapText="1"/>
    </xf>
    <xf numFmtId="3" fontId="41" fillId="3" borderId="8" xfId="0" applyNumberFormat="1" applyFont="1" applyFill="1" applyBorder="1" applyAlignment="1" applyProtection="1">
      <alignment horizontal="center" vertical="center" wrapText="1"/>
    </xf>
    <xf numFmtId="3" fontId="41" fillId="3" borderId="10" xfId="0" applyNumberFormat="1" applyFont="1" applyFill="1" applyBorder="1" applyAlignment="1" applyProtection="1">
      <alignment horizontal="center" vertical="center" wrapText="1"/>
    </xf>
    <xf numFmtId="3" fontId="41" fillId="3" borderId="13" xfId="0" applyNumberFormat="1" applyFont="1" applyFill="1" applyBorder="1" applyAlignment="1" applyProtection="1">
      <alignment horizontal="center" vertical="center" wrapText="1"/>
    </xf>
    <xf numFmtId="3" fontId="41" fillId="3" borderId="9" xfId="0" applyNumberFormat="1" applyFont="1" applyFill="1" applyBorder="1" applyAlignment="1" applyProtection="1">
      <alignment horizontal="center" vertical="center" wrapText="1"/>
    </xf>
    <xf numFmtId="3" fontId="5" fillId="0" borderId="0" xfId="0" applyNumberFormat="1" applyFont="1" applyAlignment="1" applyProtection="1">
      <alignment horizontal="center" vertical="center" wrapText="1"/>
    </xf>
    <xf numFmtId="14" fontId="41" fillId="3" borderId="5" xfId="0" applyNumberFormat="1" applyFont="1" applyFill="1" applyBorder="1" applyAlignment="1" applyProtection="1">
      <alignment horizontal="center" vertical="center" wrapText="1"/>
    </xf>
    <xf numFmtId="14" fontId="41" fillId="3" borderId="12" xfId="0" applyNumberFormat="1" applyFont="1" applyFill="1" applyBorder="1" applyAlignment="1" applyProtection="1">
      <alignment horizontal="center" vertical="center" wrapText="1"/>
    </xf>
    <xf numFmtId="14" fontId="41" fillId="3" borderId="3" xfId="0" applyNumberFormat="1" applyFont="1" applyFill="1" applyBorder="1" applyAlignment="1" applyProtection="1">
      <alignment horizontal="center" vertical="center" wrapText="1"/>
    </xf>
    <xf numFmtId="0" fontId="39" fillId="0" borderId="0" xfId="5" applyNumberFormat="1" applyFont="1" applyFill="1" applyBorder="1" applyAlignment="1" applyProtection="1">
      <alignment horizontal="center" vertical="center" wrapText="1"/>
    </xf>
    <xf numFmtId="0" fontId="14" fillId="0" borderId="0" xfId="5" applyNumberFormat="1" applyFont="1" applyFill="1" applyBorder="1" applyAlignment="1" applyProtection="1">
      <alignment horizontal="center" vertical="center"/>
    </xf>
    <xf numFmtId="3" fontId="16" fillId="3" borderId="7" xfId="0" applyNumberFormat="1" applyFont="1" applyFill="1" applyBorder="1" applyAlignment="1" applyProtection="1">
      <alignment horizontal="center" vertical="center" wrapText="1"/>
    </xf>
    <xf numFmtId="3" fontId="16" fillId="3" borderId="15" xfId="0" applyNumberFormat="1" applyFont="1" applyFill="1" applyBorder="1" applyAlignment="1" applyProtection="1">
      <alignment horizontal="center" vertical="center" wrapText="1"/>
    </xf>
    <xf numFmtId="3" fontId="16" fillId="3" borderId="2" xfId="0" applyNumberFormat="1" applyFont="1" applyFill="1" applyBorder="1" applyAlignment="1" applyProtection="1">
      <alignment horizontal="center" vertical="center" wrapText="1"/>
    </xf>
    <xf numFmtId="3" fontId="16" fillId="3" borderId="14" xfId="0" applyNumberFormat="1" applyFont="1" applyFill="1" applyBorder="1" applyAlignment="1" applyProtection="1">
      <alignment horizontal="center" vertical="center" wrapText="1"/>
    </xf>
    <xf numFmtId="3" fontId="16" fillId="3" borderId="4" xfId="0" applyNumberFormat="1" applyFont="1" applyFill="1" applyBorder="1" applyAlignment="1" applyProtection="1">
      <alignment horizontal="center" vertical="center" wrapText="1"/>
    </xf>
    <xf numFmtId="3" fontId="16" fillId="3" borderId="8" xfId="0" applyNumberFormat="1" applyFont="1" applyFill="1" applyBorder="1" applyAlignment="1" applyProtection="1">
      <alignment horizontal="center" vertical="center" wrapText="1"/>
    </xf>
    <xf numFmtId="3" fontId="16" fillId="3" borderId="6" xfId="0" applyNumberFormat="1" applyFont="1" applyFill="1" applyBorder="1" applyAlignment="1" applyProtection="1">
      <alignment horizontal="center" vertical="center" wrapText="1"/>
    </xf>
    <xf numFmtId="195" fontId="30" fillId="0" borderId="9" xfId="4" applyNumberFormat="1" applyFont="1" applyFill="1" applyBorder="1" applyAlignment="1" applyProtection="1">
      <alignment horizontal="center" wrapText="1"/>
      <protection locked="0"/>
    </xf>
    <xf numFmtId="0" fontId="22" fillId="0" borderId="0" xfId="0" applyFont="1" applyBorder="1" applyAlignment="1" applyProtection="1">
      <alignment horizontal="center" vertical="center"/>
    </xf>
    <xf numFmtId="0" fontId="23" fillId="0" borderId="0" xfId="0" applyFont="1" applyBorder="1" applyAlignment="1" applyProtection="1">
      <alignment horizontal="center" vertical="center"/>
    </xf>
    <xf numFmtId="3" fontId="35" fillId="3" borderId="1" xfId="0" applyNumberFormat="1" applyFont="1" applyFill="1" applyBorder="1" applyAlignment="1" applyProtection="1">
      <alignment horizontal="center" vertical="center" wrapText="1"/>
    </xf>
    <xf numFmtId="0" fontId="108" fillId="0" borderId="0" xfId="9" applyNumberFormat="1" applyFont="1" applyFill="1" applyBorder="1" applyAlignment="1" applyProtection="1">
      <alignment horizontal="center" vertical="center" wrapText="1"/>
    </xf>
    <xf numFmtId="3" fontId="35" fillId="3" borderId="5" xfId="0" applyNumberFormat="1" applyFont="1" applyFill="1" applyBorder="1" applyAlignment="1" applyProtection="1">
      <alignment horizontal="center" vertical="center" wrapText="1"/>
    </xf>
    <xf numFmtId="3" fontId="35" fillId="3" borderId="12" xfId="0" applyNumberFormat="1" applyFont="1" applyFill="1" applyBorder="1" applyAlignment="1" applyProtection="1">
      <alignment horizontal="center" vertical="center" wrapText="1"/>
    </xf>
    <xf numFmtId="3" fontId="35" fillId="3" borderId="3" xfId="0" applyNumberFormat="1" applyFont="1" applyFill="1" applyBorder="1" applyAlignment="1" applyProtection="1">
      <alignment horizontal="center" vertical="center" wrapText="1"/>
    </xf>
    <xf numFmtId="3" fontId="35" fillId="3" borderId="7" xfId="0" applyNumberFormat="1" applyFont="1" applyFill="1" applyBorder="1" applyAlignment="1" applyProtection="1">
      <alignment horizontal="center" vertical="center" wrapText="1"/>
    </xf>
    <xf numFmtId="3" fontId="35" fillId="3" borderId="11" xfId="0" applyNumberFormat="1" applyFont="1" applyFill="1" applyBorder="1" applyAlignment="1" applyProtection="1">
      <alignment horizontal="center" vertical="center" wrapText="1"/>
    </xf>
    <xf numFmtId="3" fontId="35" fillId="3" borderId="15" xfId="0" applyNumberFormat="1" applyFont="1" applyFill="1" applyBorder="1" applyAlignment="1" applyProtection="1">
      <alignment horizontal="center" vertical="center" wrapText="1"/>
    </xf>
    <xf numFmtId="3" fontId="35" fillId="3" borderId="2" xfId="0" applyNumberFormat="1" applyFont="1" applyFill="1" applyBorder="1" applyAlignment="1" applyProtection="1">
      <alignment horizontal="center" vertical="center" wrapText="1"/>
    </xf>
    <xf numFmtId="3" fontId="35" fillId="3" borderId="9" xfId="0" applyNumberFormat="1" applyFont="1" applyFill="1" applyBorder="1" applyAlignment="1" applyProtection="1">
      <alignment horizontal="center" vertical="center" wrapText="1"/>
    </xf>
    <xf numFmtId="3" fontId="35" fillId="3" borderId="14" xfId="0" applyNumberFormat="1" applyFont="1" applyFill="1" applyBorder="1" applyAlignment="1" applyProtection="1">
      <alignment horizontal="center" vertical="center" wrapText="1"/>
    </xf>
    <xf numFmtId="3" fontId="35" fillId="3" borderId="4" xfId="0" applyNumberFormat="1" applyFont="1" applyFill="1" applyBorder="1" applyAlignment="1" applyProtection="1">
      <alignment horizontal="center" vertical="center" wrapText="1"/>
    </xf>
    <xf numFmtId="3" fontId="35" fillId="3" borderId="8" xfId="0" applyNumberFormat="1" applyFont="1" applyFill="1" applyBorder="1" applyAlignment="1" applyProtection="1">
      <alignment horizontal="center" vertical="center" wrapText="1"/>
    </xf>
    <xf numFmtId="3" fontId="35" fillId="3" borderId="6" xfId="0" applyNumberFormat="1" applyFont="1" applyFill="1" applyBorder="1" applyAlignment="1" applyProtection="1">
      <alignment horizontal="center" vertical="center" wrapText="1"/>
    </xf>
    <xf numFmtId="195" fontId="35" fillId="0" borderId="9" xfId="4" applyNumberFormat="1" applyFont="1" applyFill="1" applyBorder="1" applyAlignment="1" applyProtection="1">
      <alignment horizontal="center" vertical="center" wrapText="1"/>
      <protection locked="0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168" fontId="8" fillId="0" borderId="1" xfId="0" applyNumberFormat="1" applyFont="1" applyFill="1" applyBorder="1" applyAlignment="1" applyProtection="1">
      <alignment horizontal="center" vertical="center"/>
    </xf>
    <xf numFmtId="168" fontId="3" fillId="0" borderId="1" xfId="0" applyNumberFormat="1" applyFont="1" applyFill="1" applyBorder="1" applyAlignment="1" applyProtection="1">
      <alignment horizontal="center" vertical="center"/>
    </xf>
    <xf numFmtId="0" fontId="106" fillId="0" borderId="11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 wrapText="1"/>
    </xf>
    <xf numFmtId="0" fontId="3" fillId="0" borderId="13" xfId="0" applyFont="1" applyFill="1" applyBorder="1" applyAlignment="1" applyProtection="1">
      <alignment horizontal="center" vertical="center" wrapText="1"/>
    </xf>
    <xf numFmtId="0" fontId="106" fillId="0" borderId="4" xfId="0" applyFont="1" applyFill="1" applyBorder="1" applyAlignment="1" applyProtection="1">
      <alignment horizontal="center" vertical="center" wrapText="1"/>
    </xf>
    <xf numFmtId="0" fontId="106" fillId="0" borderId="8" xfId="0" applyFont="1" applyFill="1" applyBorder="1" applyAlignment="1" applyProtection="1">
      <alignment horizontal="center" vertical="center" wrapText="1"/>
    </xf>
    <xf numFmtId="0" fontId="106" fillId="0" borderId="6" xfId="0" applyFont="1" applyFill="1" applyBorder="1" applyAlignment="1" applyProtection="1">
      <alignment horizontal="center" vertical="center" wrapText="1"/>
    </xf>
    <xf numFmtId="168" fontId="8" fillId="0" borderId="5" xfId="0" applyNumberFormat="1" applyFont="1" applyFill="1" applyBorder="1" applyAlignment="1" applyProtection="1">
      <alignment horizontal="center" vertical="center"/>
    </xf>
    <xf numFmtId="168" fontId="8" fillId="0" borderId="3" xfId="0" applyNumberFormat="1" applyFont="1" applyFill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 vertical="center"/>
    </xf>
    <xf numFmtId="0" fontId="106" fillId="0" borderId="8" xfId="0" applyFont="1" applyBorder="1" applyAlignment="1" applyProtection="1">
      <alignment horizontal="center" vertical="center"/>
    </xf>
    <xf numFmtId="0" fontId="106" fillId="0" borderId="6" xfId="0" applyFont="1" applyBorder="1" applyAlignment="1" applyProtection="1">
      <alignment horizontal="center" vertical="center"/>
    </xf>
    <xf numFmtId="49" fontId="3" fillId="0" borderId="5" xfId="0" applyNumberFormat="1" applyFont="1" applyFill="1" applyBorder="1" applyAlignment="1" applyProtection="1">
      <alignment horizontal="center" vertical="center"/>
    </xf>
    <xf numFmtId="49" fontId="3" fillId="0" borderId="3" xfId="0" applyNumberFormat="1" applyFont="1" applyFill="1" applyBorder="1" applyAlignment="1" applyProtection="1">
      <alignment horizontal="center"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168" fontId="8" fillId="0" borderId="5" xfId="0" applyNumberFormat="1" applyFont="1" applyFill="1" applyBorder="1" applyAlignment="1" applyProtection="1">
      <alignment horizontal="center" vertical="center"/>
      <protection locked="0"/>
    </xf>
    <xf numFmtId="168" fontId="3" fillId="0" borderId="3" xfId="0" applyNumberFormat="1" applyFont="1" applyFill="1" applyBorder="1" applyAlignment="1" applyProtection="1">
      <alignment horizontal="center" vertical="center"/>
      <protection locked="0"/>
    </xf>
    <xf numFmtId="0" fontId="106" fillId="0" borderId="10" xfId="0" applyFont="1" applyFill="1" applyBorder="1" applyAlignment="1" applyProtection="1">
      <alignment horizontal="center" vertical="center" wrapText="1"/>
    </xf>
    <xf numFmtId="0" fontId="106" fillId="0" borderId="0" xfId="0" quotePrefix="1" applyFont="1" applyFill="1" applyBorder="1" applyAlignment="1" applyProtection="1">
      <alignment horizontal="center" vertical="center" wrapText="1"/>
    </xf>
    <xf numFmtId="0" fontId="106" fillId="0" borderId="13" xfId="0" quotePrefix="1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168" fontId="3" fillId="0" borderId="3" xfId="0" applyNumberFormat="1" applyFont="1" applyFill="1" applyBorder="1" applyAlignment="1" applyProtection="1">
      <alignment horizontal="center" vertical="center"/>
    </xf>
    <xf numFmtId="0" fontId="106" fillId="0" borderId="4" xfId="0" quotePrefix="1" applyFont="1" applyFill="1" applyBorder="1" applyAlignment="1" applyProtection="1">
      <alignment horizontal="center" vertical="center" wrapText="1"/>
    </xf>
    <xf numFmtId="0" fontId="106" fillId="0" borderId="8" xfId="0" quotePrefix="1" applyFont="1" applyFill="1" applyBorder="1" applyAlignment="1" applyProtection="1">
      <alignment horizontal="center" vertical="center" wrapText="1"/>
    </xf>
    <xf numFmtId="0" fontId="106" fillId="0" borderId="6" xfId="0" quotePrefix="1" applyFont="1" applyFill="1" applyBorder="1" applyAlignment="1" applyProtection="1">
      <alignment horizontal="center" vertical="center" wrapText="1"/>
    </xf>
    <xf numFmtId="0" fontId="106" fillId="0" borderId="4" xfId="0" applyFont="1" applyFill="1" applyBorder="1" applyAlignment="1" applyProtection="1">
      <alignment horizontal="center" vertical="center"/>
    </xf>
    <xf numFmtId="0" fontId="106" fillId="0" borderId="8" xfId="0" applyFont="1" applyFill="1" applyBorder="1" applyAlignment="1" applyProtection="1">
      <alignment horizontal="center" vertical="center"/>
    </xf>
    <xf numFmtId="0" fontId="106" fillId="0" borderId="6" xfId="0" applyFont="1" applyFill="1" applyBorder="1" applyAlignment="1" applyProtection="1">
      <alignment horizontal="center" vertical="center"/>
    </xf>
    <xf numFmtId="49" fontId="3" fillId="0" borderId="12" xfId="0" applyNumberFormat="1" applyFont="1" applyFill="1" applyBorder="1" applyAlignment="1" applyProtection="1">
      <alignment horizontal="center" vertical="center"/>
    </xf>
    <xf numFmtId="49" fontId="3" fillId="0" borderId="5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horizontal="center" vertical="center"/>
    </xf>
    <xf numFmtId="0" fontId="106" fillId="0" borderId="7" xfId="0" applyFont="1" applyFill="1" applyBorder="1" applyAlignment="1" applyProtection="1">
      <alignment horizontal="center" vertical="center" wrapText="1"/>
    </xf>
    <xf numFmtId="0" fontId="106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 applyProtection="1">
      <alignment horizontal="center" vertical="center" wrapText="1"/>
    </xf>
    <xf numFmtId="0" fontId="106" fillId="0" borderId="2" xfId="0" quotePrefix="1" applyFont="1" applyFill="1" applyBorder="1" applyAlignment="1" applyProtection="1">
      <alignment horizontal="center" vertical="center" wrapText="1"/>
    </xf>
    <xf numFmtId="0" fontId="106" fillId="0" borderId="9" xfId="0" applyFont="1" applyFill="1" applyBorder="1" applyAlignment="1" applyProtection="1">
      <alignment horizontal="center" vertical="center" wrapText="1"/>
    </xf>
    <xf numFmtId="0" fontId="106" fillId="0" borderId="14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wrapText="1"/>
    </xf>
    <xf numFmtId="0" fontId="6" fillId="0" borderId="8" xfId="0" applyFont="1" applyFill="1" applyBorder="1" applyAlignment="1" applyProtection="1">
      <alignment horizontal="center"/>
    </xf>
    <xf numFmtId="0" fontId="6" fillId="0" borderId="1" xfId="0" applyFont="1" applyFill="1" applyBorder="1" applyAlignment="1" applyProtection="1">
      <alignment horizontal="center"/>
    </xf>
    <xf numFmtId="0" fontId="3" fillId="0" borderId="8" xfId="0" applyFont="1" applyFill="1" applyBorder="1" applyAlignment="1" applyProtection="1">
      <alignment horizontal="center" vertical="center" wrapText="1"/>
    </xf>
    <xf numFmtId="0" fontId="3" fillId="0" borderId="6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/>
    </xf>
    <xf numFmtId="0" fontId="3" fillId="0" borderId="7" xfId="0" applyFont="1" applyFill="1" applyBorder="1" applyAlignment="1" applyProtection="1">
      <alignment horizontal="center" vertical="center" wrapText="1"/>
    </xf>
    <xf numFmtId="0" fontId="106" fillId="0" borderId="11" xfId="0" quotePrefix="1" applyFont="1" applyFill="1" applyBorder="1" applyAlignment="1" applyProtection="1">
      <alignment horizontal="center" vertical="center" wrapText="1"/>
    </xf>
    <xf numFmtId="0" fontId="106" fillId="0" borderId="15" xfId="0" quotePrefix="1" applyFont="1" applyFill="1" applyBorder="1" applyAlignment="1" applyProtection="1">
      <alignment horizontal="center" vertical="center" wrapText="1"/>
    </xf>
    <xf numFmtId="0" fontId="106" fillId="0" borderId="7" xfId="0" quotePrefix="1" applyFont="1" applyFill="1" applyBorder="1" applyAlignment="1" applyProtection="1">
      <alignment horizontal="center" vertical="center" wrapText="1"/>
    </xf>
    <xf numFmtId="0" fontId="3" fillId="0" borderId="10" xfId="0" applyFont="1" applyFill="1" applyBorder="1" applyAlignment="1" applyProtection="1">
      <alignment horizontal="center" vertical="center" wrapText="1"/>
    </xf>
    <xf numFmtId="0" fontId="0" fillId="0" borderId="3" xfId="0" applyFont="1" applyBorder="1" applyProtection="1"/>
    <xf numFmtId="0" fontId="106" fillId="0" borderId="10" xfId="0" quotePrefix="1" applyFont="1" applyFill="1" applyBorder="1" applyAlignment="1" applyProtection="1">
      <alignment horizontal="center" vertical="center" wrapText="1"/>
    </xf>
    <xf numFmtId="0" fontId="106" fillId="0" borderId="9" xfId="0" quotePrefix="1" applyFont="1" applyFill="1" applyBorder="1" applyAlignment="1" applyProtection="1">
      <alignment horizontal="center" vertical="center" wrapText="1"/>
    </xf>
    <xf numFmtId="0" fontId="106" fillId="0" borderId="7" xfId="0" applyFont="1" applyBorder="1" applyAlignment="1" applyProtection="1">
      <alignment horizontal="center" vertical="center" wrapText="1"/>
    </xf>
    <xf numFmtId="0" fontId="106" fillId="0" borderId="11" xfId="0" quotePrefix="1" applyFont="1" applyBorder="1" applyAlignment="1" applyProtection="1">
      <alignment horizontal="center" vertical="center" wrapText="1"/>
    </xf>
    <xf numFmtId="0" fontId="106" fillId="0" borderId="15" xfId="0" quotePrefix="1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center"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4" xfId="0" applyFont="1" applyBorder="1" applyAlignment="1" applyProtection="1">
      <alignment horizontal="center" vertical="center"/>
    </xf>
    <xf numFmtId="0" fontId="106" fillId="0" borderId="4" xfId="0" applyFont="1" applyBorder="1" applyAlignment="1" applyProtection="1">
      <alignment horizontal="center"/>
    </xf>
    <xf numFmtId="0" fontId="106" fillId="0" borderId="8" xfId="0" applyFont="1" applyBorder="1" applyAlignment="1" applyProtection="1">
      <alignment horizontal="center"/>
    </xf>
    <xf numFmtId="0" fontId="106" fillId="0" borderId="6" xfId="0" applyFont="1" applyBorder="1" applyAlignment="1" applyProtection="1">
      <alignment horizontal="center"/>
    </xf>
    <xf numFmtId="0" fontId="106" fillId="0" borderId="4" xfId="0" applyFont="1" applyBorder="1" applyAlignment="1" applyProtection="1">
      <alignment horizontal="center" vertical="center" wrapText="1"/>
    </xf>
    <xf numFmtId="0" fontId="106" fillId="0" borderId="8" xfId="0" applyFont="1" applyBorder="1" applyAlignment="1" applyProtection="1">
      <alignment horizontal="center" vertical="center" wrapText="1"/>
    </xf>
    <xf numFmtId="0" fontId="106" fillId="0" borderId="6" xfId="0" applyFont="1" applyBorder="1" applyAlignment="1" applyProtection="1">
      <alignment horizontal="center" vertical="center" wrapText="1"/>
    </xf>
    <xf numFmtId="0" fontId="106" fillId="0" borderId="7" xfId="0" applyFont="1" applyBorder="1" applyAlignment="1" applyProtection="1">
      <alignment horizontal="center" vertical="center"/>
    </xf>
    <xf numFmtId="0" fontId="3" fillId="0" borderId="11" xfId="0" applyFont="1" applyBorder="1" applyAlignment="1" applyProtection="1">
      <alignment horizontal="center" vertical="center"/>
    </xf>
    <xf numFmtId="0" fontId="3" fillId="0" borderId="15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13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168" fontId="8" fillId="0" borderId="5" xfId="0" applyNumberFormat="1" applyFont="1" applyBorder="1" applyAlignment="1" applyProtection="1">
      <alignment horizontal="center" vertical="center"/>
    </xf>
    <xf numFmtId="168" fontId="3" fillId="0" borderId="12" xfId="0" applyNumberFormat="1" applyFont="1" applyBorder="1" applyAlignment="1" applyProtection="1">
      <alignment horizontal="center" vertical="center"/>
    </xf>
    <xf numFmtId="0" fontId="106" fillId="0" borderId="7" xfId="0" applyFont="1" applyBorder="1" applyAlignment="1" applyProtection="1">
      <alignment horizontal="center"/>
    </xf>
    <xf numFmtId="0" fontId="106" fillId="0" borderId="11" xfId="0" applyFont="1" applyBorder="1" applyAlignment="1" applyProtection="1">
      <alignment horizontal="center"/>
    </xf>
    <xf numFmtId="0" fontId="106" fillId="0" borderId="15" xfId="0" applyFont="1" applyBorder="1" applyAlignment="1" applyProtection="1">
      <alignment horizontal="center"/>
    </xf>
    <xf numFmtId="0" fontId="5" fillId="0" borderId="0" xfId="0" applyFont="1" applyFill="1" applyAlignment="1" applyProtection="1">
      <alignment horizontal="center" vertical="center"/>
    </xf>
    <xf numFmtId="0" fontId="14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0" fontId="106" fillId="0" borderId="11" xfId="0" applyFont="1" applyBorder="1" applyAlignment="1" applyProtection="1">
      <alignment horizontal="center" vertical="center"/>
    </xf>
    <xf numFmtId="0" fontId="106" fillId="0" borderId="15" xfId="0" applyFont="1" applyBorder="1" applyAlignment="1" applyProtection="1">
      <alignment horizontal="center" vertical="center"/>
    </xf>
    <xf numFmtId="3" fontId="21" fillId="3" borderId="1" xfId="0" applyNumberFormat="1" applyFont="1" applyFill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/>
    </xf>
    <xf numFmtId="0" fontId="99" fillId="0" borderId="0" xfId="0" applyFont="1" applyFill="1" applyBorder="1" applyAlignment="1" applyProtection="1">
      <alignment horizontal="center" vertical="center" wrapText="1"/>
    </xf>
  </cellXfs>
  <cellStyles count="1291">
    <cellStyle name="”ќђќ‘ћ‚›‰" xfId="11"/>
    <cellStyle name="”љ‘ђћ‚ђќќ›‰" xfId="12"/>
    <cellStyle name="„…ќ…†ќ›‰" xfId="13"/>
    <cellStyle name="‡ђѓћ‹ћ‚ћљ1" xfId="14"/>
    <cellStyle name="‡ђѓћ‹ћ‚ћљ2" xfId="15"/>
    <cellStyle name="’ћѓћ‚›‰" xfId="16"/>
    <cellStyle name="" xfId="17"/>
    <cellStyle name="" xfId="18"/>
    <cellStyle name="" xfId="19"/>
    <cellStyle name="" xfId="20"/>
    <cellStyle name="" xfId="21"/>
    <cellStyle name="1" xfId="22"/>
    <cellStyle name="2" xfId="23"/>
    <cellStyle name="1 indent" xfId="1226"/>
    <cellStyle name="2 indents" xfId="1227"/>
    <cellStyle name="20% - Accent1" xfId="1228"/>
    <cellStyle name="20% - Accent2" xfId="1229"/>
    <cellStyle name="20% - Accent3" xfId="1230"/>
    <cellStyle name="20% - Accent4" xfId="1231"/>
    <cellStyle name="20% - Accent5" xfId="1232"/>
    <cellStyle name="20% - Accent6" xfId="1233"/>
    <cellStyle name="20% - Акцент1 10" xfId="24"/>
    <cellStyle name="20% - Акцент1 11" xfId="25"/>
    <cellStyle name="20% - Акцент1 12" xfId="26"/>
    <cellStyle name="20% - Акцент1 13" xfId="27"/>
    <cellStyle name="20% - Акцент1 14" xfId="28"/>
    <cellStyle name="20% - Акцент1 15" xfId="29"/>
    <cellStyle name="20% - Акцент1 16" xfId="30"/>
    <cellStyle name="20% - Акцент1 17" xfId="31"/>
    <cellStyle name="20% - Акцент1 18" xfId="32"/>
    <cellStyle name="20% - Акцент1 19" xfId="33"/>
    <cellStyle name="20% - Акцент1 2" xfId="34"/>
    <cellStyle name="20% - Акцент1 20" xfId="35"/>
    <cellStyle name="20% - Акцент1 21" xfId="36"/>
    <cellStyle name="20% - Акцент1 22" xfId="37"/>
    <cellStyle name="20% - Акцент1 23" xfId="38"/>
    <cellStyle name="20% - Акцент1 24" xfId="39"/>
    <cellStyle name="20% - Акцент1 25" xfId="40"/>
    <cellStyle name="20% - Акцент1 26" xfId="41"/>
    <cellStyle name="20% - Акцент1 3" xfId="42"/>
    <cellStyle name="20% - Акцент1 4" xfId="43"/>
    <cellStyle name="20% - Акцент1 5" xfId="44"/>
    <cellStyle name="20% - Акцент1 6" xfId="45"/>
    <cellStyle name="20% - Акцент1 7" xfId="46"/>
    <cellStyle name="20% - Акцент1 8" xfId="47"/>
    <cellStyle name="20% - Акцент1 9" xfId="48"/>
    <cellStyle name="20% - Акцент2 10" xfId="49"/>
    <cellStyle name="20% - Акцент2 11" xfId="50"/>
    <cellStyle name="20% - Акцент2 12" xfId="51"/>
    <cellStyle name="20% - Акцент2 13" xfId="52"/>
    <cellStyle name="20% - Акцент2 14" xfId="53"/>
    <cellStyle name="20% - Акцент2 15" xfId="54"/>
    <cellStyle name="20% - Акцент2 16" xfId="55"/>
    <cellStyle name="20% - Акцент2 17" xfId="56"/>
    <cellStyle name="20% - Акцент2 18" xfId="57"/>
    <cellStyle name="20% - Акцент2 19" xfId="58"/>
    <cellStyle name="20% - Акцент2 2" xfId="59"/>
    <cellStyle name="20% - Акцент2 20" xfId="60"/>
    <cellStyle name="20% - Акцент2 21" xfId="61"/>
    <cellStyle name="20% - Акцент2 22" xfId="62"/>
    <cellStyle name="20% - Акцент2 23" xfId="63"/>
    <cellStyle name="20% - Акцент2 24" xfId="64"/>
    <cellStyle name="20% - Акцент2 25" xfId="65"/>
    <cellStyle name="20% - Акцент2 26" xfId="66"/>
    <cellStyle name="20% - Акцент2 3" xfId="67"/>
    <cellStyle name="20% - Акцент2 4" xfId="68"/>
    <cellStyle name="20% - Акцент2 5" xfId="69"/>
    <cellStyle name="20% - Акцент2 6" xfId="70"/>
    <cellStyle name="20% - Акцент2 7" xfId="71"/>
    <cellStyle name="20% - Акцент2 8" xfId="72"/>
    <cellStyle name="20% - Акцент2 9" xfId="73"/>
    <cellStyle name="20% - Акцент3 10" xfId="74"/>
    <cellStyle name="20% - Акцент3 11" xfId="75"/>
    <cellStyle name="20% - Акцент3 12" xfId="76"/>
    <cellStyle name="20% - Акцент3 13" xfId="77"/>
    <cellStyle name="20% - Акцент3 14" xfId="78"/>
    <cellStyle name="20% - Акцент3 15" xfId="79"/>
    <cellStyle name="20% - Акцент3 16" xfId="80"/>
    <cellStyle name="20% - Акцент3 17" xfId="81"/>
    <cellStyle name="20% - Акцент3 18" xfId="82"/>
    <cellStyle name="20% - Акцент3 19" xfId="83"/>
    <cellStyle name="20% - Акцент3 2" xfId="84"/>
    <cellStyle name="20% - Акцент3 20" xfId="85"/>
    <cellStyle name="20% - Акцент3 21" xfId="86"/>
    <cellStyle name="20% - Акцент3 22" xfId="87"/>
    <cellStyle name="20% - Акцент3 23" xfId="88"/>
    <cellStyle name="20% - Акцент3 24" xfId="89"/>
    <cellStyle name="20% - Акцент3 25" xfId="90"/>
    <cellStyle name="20% - Акцент3 26" xfId="91"/>
    <cellStyle name="20% - Акцент3 3" xfId="92"/>
    <cellStyle name="20% - Акцент3 4" xfId="93"/>
    <cellStyle name="20% - Акцент3 5" xfId="94"/>
    <cellStyle name="20% - Акцент3 6" xfId="95"/>
    <cellStyle name="20% - Акцент3 7" xfId="96"/>
    <cellStyle name="20% - Акцент3 8" xfId="97"/>
    <cellStyle name="20% - Акцент3 9" xfId="98"/>
    <cellStyle name="20% - Акцент4 10" xfId="99"/>
    <cellStyle name="20% - Акцент4 11" xfId="100"/>
    <cellStyle name="20% - Акцент4 12" xfId="101"/>
    <cellStyle name="20% - Акцент4 13" xfId="102"/>
    <cellStyle name="20% - Акцент4 14" xfId="103"/>
    <cellStyle name="20% - Акцент4 15" xfId="104"/>
    <cellStyle name="20% - Акцент4 16" xfId="105"/>
    <cellStyle name="20% - Акцент4 17" xfId="106"/>
    <cellStyle name="20% - Акцент4 18" xfId="107"/>
    <cellStyle name="20% - Акцент4 19" xfId="108"/>
    <cellStyle name="20% - Акцент4 2" xfId="109"/>
    <cellStyle name="20% - Акцент4 20" xfId="110"/>
    <cellStyle name="20% - Акцент4 21" xfId="111"/>
    <cellStyle name="20% - Акцент4 22" xfId="112"/>
    <cellStyle name="20% - Акцент4 23" xfId="113"/>
    <cellStyle name="20% - Акцент4 24" xfId="114"/>
    <cellStyle name="20% - Акцент4 25" xfId="115"/>
    <cellStyle name="20% - Акцент4 26" xfId="116"/>
    <cellStyle name="20% - Акцент4 3" xfId="117"/>
    <cellStyle name="20% - Акцент4 4" xfId="118"/>
    <cellStyle name="20% - Акцент4 5" xfId="119"/>
    <cellStyle name="20% - Акцент4 6" xfId="120"/>
    <cellStyle name="20% - Акцент4 7" xfId="121"/>
    <cellStyle name="20% - Акцент4 8" xfId="122"/>
    <cellStyle name="20% - Акцент4 9" xfId="123"/>
    <cellStyle name="20% - Акцент5 10" xfId="124"/>
    <cellStyle name="20% - Акцент5 11" xfId="125"/>
    <cellStyle name="20% - Акцент5 12" xfId="126"/>
    <cellStyle name="20% - Акцент5 13" xfId="127"/>
    <cellStyle name="20% - Акцент5 14" xfId="128"/>
    <cellStyle name="20% - Акцент5 15" xfId="129"/>
    <cellStyle name="20% - Акцент5 16" xfId="130"/>
    <cellStyle name="20% - Акцент5 17" xfId="131"/>
    <cellStyle name="20% - Акцент5 18" xfId="132"/>
    <cellStyle name="20% - Акцент5 19" xfId="133"/>
    <cellStyle name="20% - Акцент5 2" xfId="134"/>
    <cellStyle name="20% - Акцент5 20" xfId="135"/>
    <cellStyle name="20% - Акцент5 21" xfId="136"/>
    <cellStyle name="20% - Акцент5 22" xfId="137"/>
    <cellStyle name="20% - Акцент5 23" xfId="138"/>
    <cellStyle name="20% - Акцент5 24" xfId="139"/>
    <cellStyle name="20% - Акцент5 25" xfId="140"/>
    <cellStyle name="20% - Акцент5 26" xfId="141"/>
    <cellStyle name="20% - Акцент5 3" xfId="142"/>
    <cellStyle name="20% - Акцент5 4" xfId="143"/>
    <cellStyle name="20% - Акцент5 5" xfId="144"/>
    <cellStyle name="20% - Акцент5 6" xfId="145"/>
    <cellStyle name="20% - Акцент5 7" xfId="146"/>
    <cellStyle name="20% - Акцент5 8" xfId="147"/>
    <cellStyle name="20% - Акцент5 9" xfId="148"/>
    <cellStyle name="20% - Акцент6 10" xfId="149"/>
    <cellStyle name="20% - Акцент6 11" xfId="150"/>
    <cellStyle name="20% - Акцент6 12" xfId="151"/>
    <cellStyle name="20% - Акцент6 13" xfId="152"/>
    <cellStyle name="20% - Акцент6 14" xfId="153"/>
    <cellStyle name="20% - Акцент6 15" xfId="154"/>
    <cellStyle name="20% - Акцент6 16" xfId="155"/>
    <cellStyle name="20% - Акцент6 17" xfId="156"/>
    <cellStyle name="20% - Акцент6 18" xfId="157"/>
    <cellStyle name="20% - Акцент6 19" xfId="158"/>
    <cellStyle name="20% - Акцент6 2" xfId="159"/>
    <cellStyle name="20% - Акцент6 20" xfId="160"/>
    <cellStyle name="20% - Акцент6 21" xfId="161"/>
    <cellStyle name="20% - Акцент6 22" xfId="162"/>
    <cellStyle name="20% - Акцент6 23" xfId="163"/>
    <cellStyle name="20% - Акцент6 24" xfId="164"/>
    <cellStyle name="20% - Акцент6 25" xfId="165"/>
    <cellStyle name="20% - Акцент6 26" xfId="166"/>
    <cellStyle name="20% - Акцент6 3" xfId="167"/>
    <cellStyle name="20% - Акцент6 4" xfId="168"/>
    <cellStyle name="20% - Акцент6 5" xfId="169"/>
    <cellStyle name="20% - Акцент6 6" xfId="170"/>
    <cellStyle name="20% - Акцент6 7" xfId="171"/>
    <cellStyle name="20% - Акцент6 8" xfId="172"/>
    <cellStyle name="20% - Акцент6 9" xfId="173"/>
    <cellStyle name="4 indents" xfId="1234"/>
    <cellStyle name="40% - Accent1" xfId="1235"/>
    <cellStyle name="40% - Accent2" xfId="1236"/>
    <cellStyle name="40% - Accent3" xfId="1237"/>
    <cellStyle name="40% - Accent4" xfId="1238"/>
    <cellStyle name="40% - Accent5" xfId="1239"/>
    <cellStyle name="40% - Accent6" xfId="1240"/>
    <cellStyle name="40% - Акцент1 10" xfId="174"/>
    <cellStyle name="40% - Акцент1 11" xfId="175"/>
    <cellStyle name="40% - Акцент1 12" xfId="176"/>
    <cellStyle name="40% - Акцент1 13" xfId="177"/>
    <cellStyle name="40% - Акцент1 14" xfId="178"/>
    <cellStyle name="40% - Акцент1 15" xfId="179"/>
    <cellStyle name="40% - Акцент1 16" xfId="180"/>
    <cellStyle name="40% - Акцент1 17" xfId="181"/>
    <cellStyle name="40% - Акцент1 18" xfId="182"/>
    <cellStyle name="40% - Акцент1 19" xfId="183"/>
    <cellStyle name="40% - Акцент1 2" xfId="184"/>
    <cellStyle name="40% - Акцент1 20" xfId="185"/>
    <cellStyle name="40% - Акцент1 21" xfId="186"/>
    <cellStyle name="40% - Акцент1 22" xfId="187"/>
    <cellStyle name="40% - Акцент1 23" xfId="188"/>
    <cellStyle name="40% - Акцент1 24" xfId="189"/>
    <cellStyle name="40% - Акцент1 25" xfId="190"/>
    <cellStyle name="40% - Акцент1 26" xfId="191"/>
    <cellStyle name="40% - Акцент1 3" xfId="192"/>
    <cellStyle name="40% - Акцент1 4" xfId="193"/>
    <cellStyle name="40% - Акцент1 5" xfId="194"/>
    <cellStyle name="40% - Акцент1 6" xfId="195"/>
    <cellStyle name="40% - Акцент1 7" xfId="196"/>
    <cellStyle name="40% - Акцент1 8" xfId="197"/>
    <cellStyle name="40% - Акцент1 9" xfId="198"/>
    <cellStyle name="40% - Акцент2 10" xfId="199"/>
    <cellStyle name="40% - Акцент2 11" xfId="200"/>
    <cellStyle name="40% - Акцент2 12" xfId="201"/>
    <cellStyle name="40% - Акцент2 13" xfId="202"/>
    <cellStyle name="40% - Акцент2 14" xfId="203"/>
    <cellStyle name="40% - Акцент2 15" xfId="204"/>
    <cellStyle name="40% - Акцент2 16" xfId="205"/>
    <cellStyle name="40% - Акцент2 17" xfId="206"/>
    <cellStyle name="40% - Акцент2 18" xfId="207"/>
    <cellStyle name="40% - Акцент2 19" xfId="208"/>
    <cellStyle name="40% - Акцент2 2" xfId="209"/>
    <cellStyle name="40% - Акцент2 20" xfId="210"/>
    <cellStyle name="40% - Акцент2 21" xfId="211"/>
    <cellStyle name="40% - Акцент2 22" xfId="212"/>
    <cellStyle name="40% - Акцент2 23" xfId="213"/>
    <cellStyle name="40% - Акцент2 24" xfId="214"/>
    <cellStyle name="40% - Акцент2 25" xfId="215"/>
    <cellStyle name="40% - Акцент2 26" xfId="216"/>
    <cellStyle name="40% - Акцент2 3" xfId="217"/>
    <cellStyle name="40% - Акцент2 4" xfId="218"/>
    <cellStyle name="40% - Акцент2 5" xfId="219"/>
    <cellStyle name="40% - Акцент2 6" xfId="220"/>
    <cellStyle name="40% - Акцент2 7" xfId="221"/>
    <cellStyle name="40% - Акцент2 8" xfId="222"/>
    <cellStyle name="40% - Акцент2 9" xfId="223"/>
    <cellStyle name="40% - Акцент3 10" xfId="224"/>
    <cellStyle name="40% - Акцент3 11" xfId="225"/>
    <cellStyle name="40% - Акцент3 12" xfId="226"/>
    <cellStyle name="40% - Акцент3 13" xfId="227"/>
    <cellStyle name="40% - Акцент3 14" xfId="228"/>
    <cellStyle name="40% - Акцент3 15" xfId="229"/>
    <cellStyle name="40% - Акцент3 16" xfId="230"/>
    <cellStyle name="40% - Акцент3 17" xfId="231"/>
    <cellStyle name="40% - Акцент3 18" xfId="232"/>
    <cellStyle name="40% - Акцент3 19" xfId="233"/>
    <cellStyle name="40% - Акцент3 2" xfId="234"/>
    <cellStyle name="40% - Акцент3 20" xfId="235"/>
    <cellStyle name="40% - Акцент3 21" xfId="236"/>
    <cellStyle name="40% - Акцент3 22" xfId="237"/>
    <cellStyle name="40% - Акцент3 23" xfId="238"/>
    <cellStyle name="40% - Акцент3 24" xfId="239"/>
    <cellStyle name="40% - Акцент3 25" xfId="240"/>
    <cellStyle name="40% - Акцент3 26" xfId="241"/>
    <cellStyle name="40% - Акцент3 3" xfId="242"/>
    <cellStyle name="40% - Акцент3 4" xfId="243"/>
    <cellStyle name="40% - Акцент3 5" xfId="244"/>
    <cellStyle name="40% - Акцент3 6" xfId="245"/>
    <cellStyle name="40% - Акцент3 7" xfId="246"/>
    <cellStyle name="40% - Акцент3 8" xfId="247"/>
    <cellStyle name="40% - Акцент3 9" xfId="248"/>
    <cellStyle name="40% - Акцент4 10" xfId="249"/>
    <cellStyle name="40% - Акцент4 11" xfId="250"/>
    <cellStyle name="40% - Акцент4 12" xfId="251"/>
    <cellStyle name="40% - Акцент4 13" xfId="252"/>
    <cellStyle name="40% - Акцент4 14" xfId="253"/>
    <cellStyle name="40% - Акцент4 15" xfId="254"/>
    <cellStyle name="40% - Акцент4 16" xfId="255"/>
    <cellStyle name="40% - Акцент4 17" xfId="256"/>
    <cellStyle name="40% - Акцент4 18" xfId="257"/>
    <cellStyle name="40% - Акцент4 19" xfId="258"/>
    <cellStyle name="40% - Акцент4 2" xfId="259"/>
    <cellStyle name="40% - Акцент4 20" xfId="260"/>
    <cellStyle name="40% - Акцент4 21" xfId="261"/>
    <cellStyle name="40% - Акцент4 22" xfId="262"/>
    <cellStyle name="40% - Акцент4 23" xfId="263"/>
    <cellStyle name="40% - Акцент4 24" xfId="264"/>
    <cellStyle name="40% - Акцент4 25" xfId="265"/>
    <cellStyle name="40% - Акцент4 26" xfId="266"/>
    <cellStyle name="40% - Акцент4 3" xfId="267"/>
    <cellStyle name="40% - Акцент4 4" xfId="268"/>
    <cellStyle name="40% - Акцент4 5" xfId="269"/>
    <cellStyle name="40% - Акцент4 6" xfId="270"/>
    <cellStyle name="40% - Акцент4 7" xfId="271"/>
    <cellStyle name="40% - Акцент4 8" xfId="272"/>
    <cellStyle name="40% - Акцент4 9" xfId="273"/>
    <cellStyle name="40% - Акцент5 10" xfId="274"/>
    <cellStyle name="40% - Акцент5 11" xfId="275"/>
    <cellStyle name="40% - Акцент5 12" xfId="276"/>
    <cellStyle name="40% - Акцент5 13" xfId="277"/>
    <cellStyle name="40% - Акцент5 14" xfId="278"/>
    <cellStyle name="40% - Акцент5 15" xfId="279"/>
    <cellStyle name="40% - Акцент5 16" xfId="280"/>
    <cellStyle name="40% - Акцент5 17" xfId="281"/>
    <cellStyle name="40% - Акцент5 18" xfId="282"/>
    <cellStyle name="40% - Акцент5 19" xfId="283"/>
    <cellStyle name="40% - Акцент5 2" xfId="284"/>
    <cellStyle name="40% - Акцент5 20" xfId="285"/>
    <cellStyle name="40% - Акцент5 21" xfId="286"/>
    <cellStyle name="40% - Акцент5 22" xfId="287"/>
    <cellStyle name="40% - Акцент5 23" xfId="288"/>
    <cellStyle name="40% - Акцент5 24" xfId="289"/>
    <cellStyle name="40% - Акцент5 25" xfId="290"/>
    <cellStyle name="40% - Акцент5 26" xfId="291"/>
    <cellStyle name="40% - Акцент5 3" xfId="292"/>
    <cellStyle name="40% - Акцент5 4" xfId="293"/>
    <cellStyle name="40% - Акцент5 5" xfId="294"/>
    <cellStyle name="40% - Акцент5 6" xfId="295"/>
    <cellStyle name="40% - Акцент5 7" xfId="296"/>
    <cellStyle name="40% - Акцент5 8" xfId="297"/>
    <cellStyle name="40% - Акцент5 9" xfId="298"/>
    <cellStyle name="40% - Акцент6 10" xfId="299"/>
    <cellStyle name="40% - Акцент6 11" xfId="300"/>
    <cellStyle name="40% - Акцент6 12" xfId="301"/>
    <cellStyle name="40% - Акцент6 13" xfId="302"/>
    <cellStyle name="40% - Акцент6 14" xfId="303"/>
    <cellStyle name="40% - Акцент6 15" xfId="304"/>
    <cellStyle name="40% - Акцент6 16" xfId="305"/>
    <cellStyle name="40% - Акцент6 17" xfId="306"/>
    <cellStyle name="40% - Акцент6 18" xfId="307"/>
    <cellStyle name="40% - Акцент6 19" xfId="308"/>
    <cellStyle name="40% - Акцент6 2" xfId="309"/>
    <cellStyle name="40% - Акцент6 20" xfId="310"/>
    <cellStyle name="40% - Акцент6 21" xfId="311"/>
    <cellStyle name="40% - Акцент6 22" xfId="312"/>
    <cellStyle name="40% - Акцент6 23" xfId="313"/>
    <cellStyle name="40% - Акцент6 24" xfId="314"/>
    <cellStyle name="40% - Акцент6 25" xfId="315"/>
    <cellStyle name="40% - Акцент6 26" xfId="316"/>
    <cellStyle name="40% - Акцент6 3" xfId="317"/>
    <cellStyle name="40% - Акцент6 4" xfId="318"/>
    <cellStyle name="40% - Акцент6 5" xfId="319"/>
    <cellStyle name="40% - Акцент6 6" xfId="320"/>
    <cellStyle name="40% - Акцент6 7" xfId="321"/>
    <cellStyle name="40% - Акцент6 8" xfId="322"/>
    <cellStyle name="40% - Акцент6 9" xfId="323"/>
    <cellStyle name="60% - Accent1" xfId="1241"/>
    <cellStyle name="60% - Accent2" xfId="1242"/>
    <cellStyle name="60% - Accent3" xfId="1243"/>
    <cellStyle name="60% - Accent4" xfId="1244"/>
    <cellStyle name="60% - Accent5" xfId="1245"/>
    <cellStyle name="60% - Accent6" xfId="1246"/>
    <cellStyle name="Accent1" xfId="1247"/>
    <cellStyle name="Accent2" xfId="1248"/>
    <cellStyle name="Accent3" xfId="1249"/>
    <cellStyle name="Accent4" xfId="1250"/>
    <cellStyle name="Accent5" xfId="1251"/>
    <cellStyle name="Accent6" xfId="1252"/>
    <cellStyle name="Bad" xfId="1253"/>
    <cellStyle name="Calculation" xfId="1254"/>
    <cellStyle name="Check Cell" xfId="1255"/>
    <cellStyle name="Column_Title" xfId="324"/>
    <cellStyle name="Comma [0]_1 MAIN" xfId="325"/>
    <cellStyle name="Comma 2" xfId="1256"/>
    <cellStyle name="Comma_1 MAIN" xfId="326"/>
    <cellStyle name="Comma0" xfId="1257"/>
    <cellStyle name="common" xfId="1258"/>
    <cellStyle name="Currency_Copy of SEI1098d" xfId="1259"/>
    <cellStyle name="Currency0" xfId="1260"/>
    <cellStyle name="Date" xfId="1261"/>
    <cellStyle name="Euro" xfId="1262"/>
    <cellStyle name="Excel.Chart" xfId="1263"/>
    <cellStyle name="Explanatory Text" xfId="1264"/>
    <cellStyle name="Fixed" xfId="1265"/>
    <cellStyle name="Good" xfId="1266"/>
    <cellStyle name="Heading 1" xfId="1267"/>
    <cellStyle name="Heading 2" xfId="1268"/>
    <cellStyle name="Heading 3" xfId="1269"/>
    <cellStyle name="Heading 4" xfId="1270"/>
    <cellStyle name="imf-one decimal" xfId="1271"/>
    <cellStyle name="Input" xfId="1272"/>
    <cellStyle name="Linked Cell" xfId="1273"/>
    <cellStyle name="Millares [0]_11.1.3. bis" xfId="1274"/>
    <cellStyle name="Millares_11.1.3. bis" xfId="1275"/>
    <cellStyle name="Moneda [0]_11.1.3. bis" xfId="1276"/>
    <cellStyle name="Moneda_11.1.3. bis" xfId="1277"/>
    <cellStyle name="mystyle" xfId="1278"/>
    <cellStyle name="Neutral" xfId="1279"/>
    <cellStyle name="Normal - Style1" xfId="1280"/>
    <cellStyle name="Normal 2" xfId="327"/>
    <cellStyle name="Normal 2 2" xfId="1225"/>
    <cellStyle name="Normal_1 MAIN" xfId="328"/>
    <cellStyle name="Note" xfId="1281"/>
    <cellStyle name="Output" xfId="1282"/>
    <cellStyle name="Percent 2" xfId="329"/>
    <cellStyle name="Percent_Copy of SEI1098d" xfId="1283"/>
    <cellStyle name="percentage difference" xfId="1284"/>
    <cellStyle name="Title" xfId="1285"/>
    <cellStyle name="Total" xfId="1286"/>
    <cellStyle name="Warning Text" xfId="1287"/>
    <cellStyle name="Обычный" xfId="0" builtinId="0"/>
    <cellStyle name="Обычный 10" xfId="330"/>
    <cellStyle name="Обычный 10 10" xfId="331"/>
    <cellStyle name="Обычный 10 11" xfId="332"/>
    <cellStyle name="Обычный 10 2" xfId="333"/>
    <cellStyle name="Обычный 10 2 2" xfId="334"/>
    <cellStyle name="Обычный 10 2 2 2" xfId="335"/>
    <cellStyle name="Обычный 10 2 3" xfId="336"/>
    <cellStyle name="Обычный 10 3" xfId="337"/>
    <cellStyle name="Обычный 10 3 2" xfId="338"/>
    <cellStyle name="Обычный 10 3 3" xfId="339"/>
    <cellStyle name="Обычный 10 4" xfId="340"/>
    <cellStyle name="Обычный 10 5" xfId="341"/>
    <cellStyle name="Обычный 10 6" xfId="342"/>
    <cellStyle name="Обычный 10 7" xfId="343"/>
    <cellStyle name="Обычный 10 8" xfId="344"/>
    <cellStyle name="Обычный 10 9" xfId="345"/>
    <cellStyle name="Обычный 100" xfId="346"/>
    <cellStyle name="Обычный 100 2" xfId="347"/>
    <cellStyle name="Обычный 100 2 2" xfId="348"/>
    <cellStyle name="Обычный 101" xfId="349"/>
    <cellStyle name="Обычный 102" xfId="350"/>
    <cellStyle name="Обычный 103" xfId="351"/>
    <cellStyle name="Обычный 104" xfId="352"/>
    <cellStyle name="Обычный 105" xfId="1289"/>
    <cellStyle name="Обычный 106" xfId="353"/>
    <cellStyle name="Обычный 107" xfId="354"/>
    <cellStyle name="Обычный 109" xfId="355"/>
    <cellStyle name="Обычный 11" xfId="356"/>
    <cellStyle name="Обычный 11 2" xfId="357"/>
    <cellStyle name="Обычный 11 2 2" xfId="358"/>
    <cellStyle name="Обычный 11 3" xfId="359"/>
    <cellStyle name="Обычный 11 4" xfId="360"/>
    <cellStyle name="Обычный 11 6" xfId="361"/>
    <cellStyle name="Обычный 110" xfId="362"/>
    <cellStyle name="Обычный 112" xfId="363"/>
    <cellStyle name="Обычный 113" xfId="364"/>
    <cellStyle name="Обычный 115" xfId="365"/>
    <cellStyle name="Обычный 116" xfId="366"/>
    <cellStyle name="Обычный 118" xfId="367"/>
    <cellStyle name="Обычный 12" xfId="368"/>
    <cellStyle name="Обычный 12 2" xfId="369"/>
    <cellStyle name="Обычный 12 2 2" xfId="370"/>
    <cellStyle name="Обычный 12 3" xfId="371"/>
    <cellStyle name="Обычный 12 4" xfId="372"/>
    <cellStyle name="Обычный 12 5" xfId="373"/>
    <cellStyle name="Обычный 12 6" xfId="374"/>
    <cellStyle name="Обычный 12 7" xfId="375"/>
    <cellStyle name="Обычный 12 8" xfId="376"/>
    <cellStyle name="Обычный 120" xfId="377"/>
    <cellStyle name="Обычный 121" xfId="378"/>
    <cellStyle name="Обычный 122" xfId="379"/>
    <cellStyle name="Обычный 123" xfId="380"/>
    <cellStyle name="Обычный 13" xfId="381"/>
    <cellStyle name="Обычный 13 2" xfId="382"/>
    <cellStyle name="Обычный 13 2 2" xfId="383"/>
    <cellStyle name="Обычный 14" xfId="384"/>
    <cellStyle name="Обычный 14 2" xfId="385"/>
    <cellStyle name="Обычный 14 2 2" xfId="386"/>
    <cellStyle name="Обычный 14 3" xfId="387"/>
    <cellStyle name="Обычный 14 4" xfId="388"/>
    <cellStyle name="Обычный 14 5" xfId="389"/>
    <cellStyle name="Обычный 144" xfId="390"/>
    <cellStyle name="Обычный 147" xfId="391"/>
    <cellStyle name="Обычный 148" xfId="392"/>
    <cellStyle name="Обычный 15" xfId="393"/>
    <cellStyle name="Обычный 15 2" xfId="394"/>
    <cellStyle name="Обычный 15 2 2" xfId="395"/>
    <cellStyle name="Обычный 15 2 3" xfId="396"/>
    <cellStyle name="Обычный 15 2 4" xfId="397"/>
    <cellStyle name="Обычный 15 2 5" xfId="398"/>
    <cellStyle name="Обычный 15 2 6" xfId="399"/>
    <cellStyle name="Обычный 15 3" xfId="400"/>
    <cellStyle name="Обычный 15 4" xfId="401"/>
    <cellStyle name="Обычный 15 5" xfId="402"/>
    <cellStyle name="Обычный 16" xfId="403"/>
    <cellStyle name="Обычный 16 10" xfId="404"/>
    <cellStyle name="Обычный 16 11" xfId="405"/>
    <cellStyle name="Обычный 16 12" xfId="406"/>
    <cellStyle name="Обычный 16 13" xfId="407"/>
    <cellStyle name="Обычный 16 14" xfId="408"/>
    <cellStyle name="Обычный 16 2" xfId="409"/>
    <cellStyle name="Обычный 16 2 2" xfId="410"/>
    <cellStyle name="Обычный 16 3" xfId="411"/>
    <cellStyle name="Обычный 16 3 2" xfId="412"/>
    <cellStyle name="Обычный 16 4" xfId="413"/>
    <cellStyle name="Обычный 16 4 2" xfId="414"/>
    <cellStyle name="Обычный 16 5" xfId="415"/>
    <cellStyle name="Обычный 16 6" xfId="416"/>
    <cellStyle name="Обычный 16 7" xfId="417"/>
    <cellStyle name="Обычный 16 8" xfId="418"/>
    <cellStyle name="Обычный 16 9" xfId="419"/>
    <cellStyle name="Обычный 17" xfId="420"/>
    <cellStyle name="Обычный 17 2" xfId="421"/>
    <cellStyle name="Обычный 17 2 2" xfId="422"/>
    <cellStyle name="Обычный 17 3" xfId="423"/>
    <cellStyle name="Обычный 17 4" xfId="424"/>
    <cellStyle name="Обычный 18" xfId="425"/>
    <cellStyle name="Обычный 18 2" xfId="426"/>
    <cellStyle name="Обычный 18 2 2" xfId="427"/>
    <cellStyle name="Обычный 18 2 2 2" xfId="428"/>
    <cellStyle name="Обычный 18 2 3" xfId="429"/>
    <cellStyle name="Обычный 18 2 4" xfId="430"/>
    <cellStyle name="Обычный 18 3" xfId="431"/>
    <cellStyle name="Обычный 18 3 2" xfId="432"/>
    <cellStyle name="Обычный 18 4" xfId="433"/>
    <cellStyle name="Обычный 18 5" xfId="434"/>
    <cellStyle name="Обычный 18 6" xfId="435"/>
    <cellStyle name="Обычный 188" xfId="436"/>
    <cellStyle name="Обычный 19" xfId="437"/>
    <cellStyle name="Обычный 19 2" xfId="438"/>
    <cellStyle name="Обычный 19 2 2" xfId="439"/>
    <cellStyle name="Обычный 19 2 3" xfId="440"/>
    <cellStyle name="Обычный 19 3" xfId="441"/>
    <cellStyle name="Обычный 190" xfId="442"/>
    <cellStyle name="Обычный 2" xfId="1"/>
    <cellStyle name="Обычный 2 10" xfId="443"/>
    <cellStyle name="Обычный 2 11" xfId="444"/>
    <cellStyle name="Обычный 2 12" xfId="445"/>
    <cellStyle name="Обычный 2 13" xfId="446"/>
    <cellStyle name="Обычный 2 14" xfId="447"/>
    <cellStyle name="Обычный 2 15" xfId="448"/>
    <cellStyle name="Обычный 2 16" xfId="449"/>
    <cellStyle name="Обычный 2 17" xfId="450"/>
    <cellStyle name="Обычный 2 18" xfId="451"/>
    <cellStyle name="Обычный 2 19" xfId="452"/>
    <cellStyle name="Обычный 2 2" xfId="453"/>
    <cellStyle name="Обычный 2 2 10" xfId="454"/>
    <cellStyle name="Обычный 2 2 10 2" xfId="455"/>
    <cellStyle name="Обычный 2 2 11" xfId="456"/>
    <cellStyle name="Обычный 2 2 11 2" xfId="457"/>
    <cellStyle name="Обычный 2 2 12" xfId="458"/>
    <cellStyle name="Обычный 2 2 12 2" xfId="459"/>
    <cellStyle name="Обычный 2 2 13" xfId="460"/>
    <cellStyle name="Обычный 2 2 13 2" xfId="461"/>
    <cellStyle name="Обычный 2 2 14" xfId="462"/>
    <cellStyle name="Обычный 2 2 14 2" xfId="463"/>
    <cellStyle name="Обычный 2 2 15" xfId="464"/>
    <cellStyle name="Обычный 2 2 15 2" xfId="465"/>
    <cellStyle name="Обычный 2 2 16" xfId="466"/>
    <cellStyle name="Обычный 2 2 16 2" xfId="467"/>
    <cellStyle name="Обычный 2 2 17" xfId="468"/>
    <cellStyle name="Обычный 2 2 17 2" xfId="469"/>
    <cellStyle name="Обычный 2 2 18" xfId="470"/>
    <cellStyle name="Обычный 2 2 18 2" xfId="471"/>
    <cellStyle name="Обычный 2 2 19" xfId="472"/>
    <cellStyle name="Обычный 2 2 19 2" xfId="473"/>
    <cellStyle name="Обычный 2 2 2" xfId="474"/>
    <cellStyle name="Обычный 2 2 2 10" xfId="475"/>
    <cellStyle name="Обычный 2 2 2 11" xfId="476"/>
    <cellStyle name="Обычный 2 2 2 12" xfId="477"/>
    <cellStyle name="Обычный 2 2 2 13" xfId="478"/>
    <cellStyle name="Обычный 2 2 2 14" xfId="479"/>
    <cellStyle name="Обычный 2 2 2 15" xfId="480"/>
    <cellStyle name="Обычный 2 2 2 16" xfId="481"/>
    <cellStyle name="Обычный 2 2 2 17" xfId="482"/>
    <cellStyle name="Обычный 2 2 2 18" xfId="483"/>
    <cellStyle name="Обычный 2 2 2 19" xfId="484"/>
    <cellStyle name="Обычный 2 2 2 2" xfId="485"/>
    <cellStyle name="Обычный 2 2 2 2 10" xfId="486"/>
    <cellStyle name="Обычный 2 2 2 2 11" xfId="487"/>
    <cellStyle name="Обычный 2 2 2 2 12" xfId="488"/>
    <cellStyle name="Обычный 2 2 2 2 13" xfId="489"/>
    <cellStyle name="Обычный 2 2 2 2 14" xfId="490"/>
    <cellStyle name="Обычный 2 2 2 2 15" xfId="491"/>
    <cellStyle name="Обычный 2 2 2 2 16" xfId="492"/>
    <cellStyle name="Обычный 2 2 2 2 17" xfId="493"/>
    <cellStyle name="Обычный 2 2 2 2 18" xfId="494"/>
    <cellStyle name="Обычный 2 2 2 2 19" xfId="495"/>
    <cellStyle name="Обычный 2 2 2 2 2" xfId="496"/>
    <cellStyle name="Обычный 2 2 2 2 20" xfId="497"/>
    <cellStyle name="Обычный 2 2 2 2 21" xfId="498"/>
    <cellStyle name="Обычный 2 2 2 2 22" xfId="499"/>
    <cellStyle name="Обычный 2 2 2 2 23" xfId="500"/>
    <cellStyle name="Обычный 2 2 2 2 24" xfId="501"/>
    <cellStyle name="Обычный 2 2 2 2 25" xfId="502"/>
    <cellStyle name="Обычный 2 2 2 2 26" xfId="503"/>
    <cellStyle name="Обычный 2 2 2 2 27" xfId="504"/>
    <cellStyle name="Обычный 2 2 2 2 28" xfId="505"/>
    <cellStyle name="Обычный 2 2 2 2 29" xfId="506"/>
    <cellStyle name="Обычный 2 2 2 2 3" xfId="507"/>
    <cellStyle name="Обычный 2 2 2 2 30" xfId="508"/>
    <cellStyle name="Обычный 2 2 2 2 4" xfId="509"/>
    <cellStyle name="Обычный 2 2 2 2 5" xfId="510"/>
    <cellStyle name="Обычный 2 2 2 2 6" xfId="511"/>
    <cellStyle name="Обычный 2 2 2 2 7" xfId="512"/>
    <cellStyle name="Обычный 2 2 2 2 8" xfId="513"/>
    <cellStyle name="Обычный 2 2 2 2 9" xfId="514"/>
    <cellStyle name="Обычный 2 2 2 20" xfId="515"/>
    <cellStyle name="Обычный 2 2 2 21" xfId="516"/>
    <cellStyle name="Обычный 2 2 2 22" xfId="517"/>
    <cellStyle name="Обычный 2 2 2 23" xfId="518"/>
    <cellStyle name="Обычный 2 2 2 24" xfId="519"/>
    <cellStyle name="Обычный 2 2 2 25" xfId="520"/>
    <cellStyle name="Обычный 2 2 2 26" xfId="521"/>
    <cellStyle name="Обычный 2 2 2 27" xfId="522"/>
    <cellStyle name="Обычный 2 2 2 28" xfId="523"/>
    <cellStyle name="Обычный 2 2 2 29" xfId="524"/>
    <cellStyle name="Обычный 2 2 2 3" xfId="525"/>
    <cellStyle name="Обычный 2 2 2 30" xfId="526"/>
    <cellStyle name="Обычный 2 2 2 31" xfId="527"/>
    <cellStyle name="Обычный 2 2 2 4" xfId="528"/>
    <cellStyle name="Обычный 2 2 2 5" xfId="529"/>
    <cellStyle name="Обычный 2 2 2 6" xfId="530"/>
    <cellStyle name="Обычный 2 2 2 7" xfId="531"/>
    <cellStyle name="Обычный 2 2 2 8" xfId="532"/>
    <cellStyle name="Обычный 2 2 2 9" xfId="533"/>
    <cellStyle name="Обычный 2 2 20" xfId="534"/>
    <cellStyle name="Обычный 2 2 20 2" xfId="535"/>
    <cellStyle name="Обычный 2 2 21" xfId="536"/>
    <cellStyle name="Обычный 2 2 21 2" xfId="537"/>
    <cellStyle name="Обычный 2 2 22" xfId="538"/>
    <cellStyle name="Обычный 2 2 22 2" xfId="539"/>
    <cellStyle name="Обычный 2 2 23" xfId="540"/>
    <cellStyle name="Обычный 2 2 23 2" xfId="541"/>
    <cellStyle name="Обычный 2 2 24" xfId="542"/>
    <cellStyle name="Обычный 2 2 24 2" xfId="543"/>
    <cellStyle name="Обычный 2 2 25" xfId="544"/>
    <cellStyle name="Обычный 2 2 25 2" xfId="545"/>
    <cellStyle name="Обычный 2 2 26" xfId="546"/>
    <cellStyle name="Обычный 2 2 26 2" xfId="547"/>
    <cellStyle name="Обычный 2 2 27" xfId="548"/>
    <cellStyle name="Обычный 2 2 27 2" xfId="549"/>
    <cellStyle name="Обычный 2 2 28" xfId="550"/>
    <cellStyle name="Обычный 2 2 28 2" xfId="551"/>
    <cellStyle name="Обычный 2 2 29" xfId="552"/>
    <cellStyle name="Обычный 2 2 29 2" xfId="553"/>
    <cellStyle name="Обычный 2 2 3" xfId="554"/>
    <cellStyle name="Обычный 2 2 3 2" xfId="555"/>
    <cellStyle name="Обычный 2 2 30" xfId="556"/>
    <cellStyle name="Обычный 2 2 30 2" xfId="557"/>
    <cellStyle name="Обычный 2 2 31" xfId="558"/>
    <cellStyle name="Обычный 2 2 31 2" xfId="559"/>
    <cellStyle name="Обычный 2 2 32" xfId="560"/>
    <cellStyle name="Обычный 2 2 4" xfId="561"/>
    <cellStyle name="Обычный 2 2 4 2" xfId="562"/>
    <cellStyle name="Обычный 2 2 5" xfId="563"/>
    <cellStyle name="Обычный 2 2 5 2" xfId="564"/>
    <cellStyle name="Обычный 2 2 6" xfId="565"/>
    <cellStyle name="Обычный 2 2 6 2" xfId="566"/>
    <cellStyle name="Обычный 2 2 7" xfId="567"/>
    <cellStyle name="Обычный 2 2 7 2" xfId="568"/>
    <cellStyle name="Обычный 2 2 8" xfId="569"/>
    <cellStyle name="Обычный 2 2 8 2" xfId="570"/>
    <cellStyle name="Обычный 2 2 9" xfId="571"/>
    <cellStyle name="Обычный 2 2 9 2" xfId="572"/>
    <cellStyle name="Обычный 2 20" xfId="573"/>
    <cellStyle name="Обычный 2 21" xfId="574"/>
    <cellStyle name="Обычный 2 22" xfId="575"/>
    <cellStyle name="Обычный 2 23" xfId="576"/>
    <cellStyle name="Обычный 2 24" xfId="577"/>
    <cellStyle name="Обычный 2 25" xfId="578"/>
    <cellStyle name="Обычный 2 26" xfId="579"/>
    <cellStyle name="Обычный 2 27" xfId="580"/>
    <cellStyle name="Обычный 2 28" xfId="581"/>
    <cellStyle name="Обычный 2 29" xfId="582"/>
    <cellStyle name="Обычный 2 3" xfId="583"/>
    <cellStyle name="Обычный 2 3 2" xfId="584"/>
    <cellStyle name="Обычный 2 3 3" xfId="585"/>
    <cellStyle name="Обычный 2 30" xfId="586"/>
    <cellStyle name="Обычный 2 31" xfId="587"/>
    <cellStyle name="Обычный 2 32" xfId="588"/>
    <cellStyle name="Обычный 2 33" xfId="589"/>
    <cellStyle name="Обычный 2 34" xfId="590"/>
    <cellStyle name="Обычный 2 34 2" xfId="591"/>
    <cellStyle name="Обычный 2 35" xfId="592"/>
    <cellStyle name="Обычный 2 36" xfId="593"/>
    <cellStyle name="Обычный 2 4" xfId="594"/>
    <cellStyle name="Обычный 2 4 2" xfId="595"/>
    <cellStyle name="Обычный 2 4 3" xfId="596"/>
    <cellStyle name="Обычный 2 5" xfId="597"/>
    <cellStyle name="Обычный 2 5 2" xfId="598"/>
    <cellStyle name="Обычный 2 5 3" xfId="599"/>
    <cellStyle name="Обычный 2 6" xfId="600"/>
    <cellStyle name="Обычный 2 7" xfId="601"/>
    <cellStyle name="Обычный 2 8" xfId="602"/>
    <cellStyle name="Обычный 2 9" xfId="603"/>
    <cellStyle name="Обычный 20" xfId="604"/>
    <cellStyle name="Обычный 20 10" xfId="605"/>
    <cellStyle name="Обычный 20 11" xfId="606"/>
    <cellStyle name="Обычный 20 12" xfId="607"/>
    <cellStyle name="Обычный 20 13" xfId="608"/>
    <cellStyle name="Обычный 20 14" xfId="609"/>
    <cellStyle name="Обычный 20 15" xfId="610"/>
    <cellStyle name="Обычный 20 16" xfId="611"/>
    <cellStyle name="Обычный 20 17" xfId="612"/>
    <cellStyle name="Обычный 20 18" xfId="613"/>
    <cellStyle name="Обычный 20 19" xfId="614"/>
    <cellStyle name="Обычный 20 2" xfId="615"/>
    <cellStyle name="Обычный 20 2 2" xfId="616"/>
    <cellStyle name="Обычный 20 2 2 2" xfId="617"/>
    <cellStyle name="Обычный 20 2 3" xfId="618"/>
    <cellStyle name="Обычный 20 2 4" xfId="619"/>
    <cellStyle name="Обычный 20 20" xfId="620"/>
    <cellStyle name="Обычный 20 21" xfId="621"/>
    <cellStyle name="Обычный 20 22" xfId="622"/>
    <cellStyle name="Обычный 20 23" xfId="623"/>
    <cellStyle name="Обычный 20 24" xfId="624"/>
    <cellStyle name="Обычный 20 25" xfId="625"/>
    <cellStyle name="Обычный 20 26" xfId="626"/>
    <cellStyle name="Обычный 20 27" xfId="627"/>
    <cellStyle name="Обычный 20 28" xfId="628"/>
    <cellStyle name="Обычный 20 29" xfId="629"/>
    <cellStyle name="Обычный 20 3" xfId="630"/>
    <cellStyle name="Обычный 20 3 2" xfId="631"/>
    <cellStyle name="Обычный 20 30" xfId="632"/>
    <cellStyle name="Обычный 20 31" xfId="633"/>
    <cellStyle name="Обычный 20 32" xfId="634"/>
    <cellStyle name="Обычный 20 4" xfId="635"/>
    <cellStyle name="Обычный 20 5" xfId="636"/>
    <cellStyle name="Обычный 20 6" xfId="637"/>
    <cellStyle name="Обычный 20 7" xfId="638"/>
    <cellStyle name="Обычный 20 8" xfId="639"/>
    <cellStyle name="Обычный 20 9" xfId="640"/>
    <cellStyle name="Обычный 21" xfId="641"/>
    <cellStyle name="Обычный 21 2" xfId="642"/>
    <cellStyle name="Обычный 21 2 2" xfId="643"/>
    <cellStyle name="Обычный 21 2 3" xfId="644"/>
    <cellStyle name="Обычный 21 2 4" xfId="645"/>
    <cellStyle name="Обычный 22" xfId="646"/>
    <cellStyle name="Обычный 22 10" xfId="647"/>
    <cellStyle name="Обычный 22 11" xfId="648"/>
    <cellStyle name="Обычный 22 12" xfId="649"/>
    <cellStyle name="Обычный 22 13" xfId="650"/>
    <cellStyle name="Обычный 22 14" xfId="651"/>
    <cellStyle name="Обычный 22 15" xfId="652"/>
    <cellStyle name="Обычный 22 16" xfId="653"/>
    <cellStyle name="Обычный 22 17" xfId="654"/>
    <cellStyle name="Обычный 22 18" xfId="655"/>
    <cellStyle name="Обычный 22 19" xfId="656"/>
    <cellStyle name="Обычный 22 2" xfId="657"/>
    <cellStyle name="Обычный 22 2 2" xfId="658"/>
    <cellStyle name="Обычный 22 2 3" xfId="659"/>
    <cellStyle name="Обычный 22 20" xfId="660"/>
    <cellStyle name="Обычный 22 21" xfId="661"/>
    <cellStyle name="Обычный 22 22" xfId="662"/>
    <cellStyle name="Обычный 22 23" xfId="663"/>
    <cellStyle name="Обычный 22 24" xfId="664"/>
    <cellStyle name="Обычный 22 25" xfId="665"/>
    <cellStyle name="Обычный 22 26" xfId="666"/>
    <cellStyle name="Обычный 22 27" xfId="667"/>
    <cellStyle name="Обычный 22 28" xfId="668"/>
    <cellStyle name="Обычный 22 29" xfId="669"/>
    <cellStyle name="Обычный 22 3" xfId="670"/>
    <cellStyle name="Обычный 22 30" xfId="671"/>
    <cellStyle name="Обычный 22 31" xfId="672"/>
    <cellStyle name="Обычный 22 32" xfId="673"/>
    <cellStyle name="Обычный 22 4" xfId="674"/>
    <cellStyle name="Обычный 22 5" xfId="675"/>
    <cellStyle name="Обычный 22 6" xfId="676"/>
    <cellStyle name="Обычный 22 7" xfId="677"/>
    <cellStyle name="Обычный 22 8" xfId="678"/>
    <cellStyle name="Обычный 22 9" xfId="679"/>
    <cellStyle name="Обычный 23" xfId="680"/>
    <cellStyle name="Обычный 24" xfId="681"/>
    <cellStyle name="Обычный 24 2" xfId="682"/>
    <cellStyle name="Обычный 24 3" xfId="683"/>
    <cellStyle name="Обычный 24 4" xfId="684"/>
    <cellStyle name="Обычный 25" xfId="685"/>
    <cellStyle name="Обычный 25 2" xfId="686"/>
    <cellStyle name="Обычный 256" xfId="687"/>
    <cellStyle name="Обычный 256 2" xfId="688"/>
    <cellStyle name="Обычный 26" xfId="689"/>
    <cellStyle name="Обычный 26 10" xfId="690"/>
    <cellStyle name="Обычный 26 11" xfId="691"/>
    <cellStyle name="Обычный 26 12" xfId="692"/>
    <cellStyle name="Обычный 26 13" xfId="693"/>
    <cellStyle name="Обычный 26 14" xfId="694"/>
    <cellStyle name="Обычный 26 15" xfId="695"/>
    <cellStyle name="Обычный 26 16" xfId="696"/>
    <cellStyle name="Обычный 26 17" xfId="697"/>
    <cellStyle name="Обычный 26 18" xfId="698"/>
    <cellStyle name="Обычный 26 19" xfId="699"/>
    <cellStyle name="Обычный 26 2" xfId="700"/>
    <cellStyle name="Обычный 26 20" xfId="701"/>
    <cellStyle name="Обычный 26 21" xfId="702"/>
    <cellStyle name="Обычный 26 22" xfId="703"/>
    <cellStyle name="Обычный 26 23" xfId="704"/>
    <cellStyle name="Обычный 26 24" xfId="705"/>
    <cellStyle name="Обычный 26 25" xfId="706"/>
    <cellStyle name="Обычный 26 26" xfId="707"/>
    <cellStyle name="Обычный 26 27" xfId="708"/>
    <cellStyle name="Обычный 26 28" xfId="709"/>
    <cellStyle name="Обычный 26 29" xfId="710"/>
    <cellStyle name="Обычный 26 3" xfId="711"/>
    <cellStyle name="Обычный 26 3 2" xfId="712"/>
    <cellStyle name="Обычный 26 30" xfId="713"/>
    <cellStyle name="Обычный 26 31" xfId="714"/>
    <cellStyle name="Обычный 26 32" xfId="715"/>
    <cellStyle name="Обычный 26 4" xfId="716"/>
    <cellStyle name="Обычный 26 5" xfId="717"/>
    <cellStyle name="Обычный 26 6" xfId="718"/>
    <cellStyle name="Обычный 26 7" xfId="719"/>
    <cellStyle name="Обычный 26 8" xfId="720"/>
    <cellStyle name="Обычный 26 9" xfId="721"/>
    <cellStyle name="Обычный 27" xfId="722"/>
    <cellStyle name="Обычный 27 2" xfId="723"/>
    <cellStyle name="Обычный 28" xfId="724"/>
    <cellStyle name="Обычный 29" xfId="725"/>
    <cellStyle name="Обычный 3" xfId="5"/>
    <cellStyle name="Обычный 3 2" xfId="726"/>
    <cellStyle name="Обычный 3 2 2" xfId="727"/>
    <cellStyle name="Обычный 3 2 2 2" xfId="728"/>
    <cellStyle name="Обычный 3 2 3" xfId="729"/>
    <cellStyle name="Обычный 3 2 4" xfId="730"/>
    <cellStyle name="Обычный 3 3" xfId="731"/>
    <cellStyle name="Обычный 3 3 2" xfId="732"/>
    <cellStyle name="Обычный 3 3 2 2" xfId="733"/>
    <cellStyle name="Обычный 3 3 3" xfId="734"/>
    <cellStyle name="Обычный 3 4" xfId="735"/>
    <cellStyle name="Обычный 3 5" xfId="736"/>
    <cellStyle name="Обычный 3 5 2" xfId="737"/>
    <cellStyle name="Обычный 3 6" xfId="738"/>
    <cellStyle name="Обычный 3 7" xfId="739"/>
    <cellStyle name="Обычный 3 8" xfId="9"/>
    <cellStyle name="Обычный 30" xfId="740"/>
    <cellStyle name="Обычный 30 2" xfId="741"/>
    <cellStyle name="Обычный 31" xfId="742"/>
    <cellStyle name="Обычный 31 2" xfId="743"/>
    <cellStyle name="Обычный 32" xfId="744"/>
    <cellStyle name="Обычный 32 2" xfId="745"/>
    <cellStyle name="Обычный 33" xfId="746"/>
    <cellStyle name="Обычный 33 2" xfId="747"/>
    <cellStyle name="Обычный 34" xfId="748"/>
    <cellStyle name="Обычный 34 2" xfId="749"/>
    <cellStyle name="Обычный 35" xfId="750"/>
    <cellStyle name="Обычный 35 10" xfId="751"/>
    <cellStyle name="Обычный 35 11" xfId="752"/>
    <cellStyle name="Обычный 35 12" xfId="753"/>
    <cellStyle name="Обычный 35 13" xfId="754"/>
    <cellStyle name="Обычный 35 14" xfId="755"/>
    <cellStyle name="Обычный 35 15" xfId="756"/>
    <cellStyle name="Обычный 35 16" xfId="757"/>
    <cellStyle name="Обычный 35 17" xfId="758"/>
    <cellStyle name="Обычный 35 18" xfId="759"/>
    <cellStyle name="Обычный 35 19" xfId="760"/>
    <cellStyle name="Обычный 35 2" xfId="761"/>
    <cellStyle name="Обычный 35 2 2" xfId="762"/>
    <cellStyle name="Обычный 35 20" xfId="763"/>
    <cellStyle name="Обычный 35 21" xfId="764"/>
    <cellStyle name="Обычный 35 22" xfId="765"/>
    <cellStyle name="Обычный 35 23" xfId="766"/>
    <cellStyle name="Обычный 35 24" xfId="767"/>
    <cellStyle name="Обычный 35 25" xfId="768"/>
    <cellStyle name="Обычный 35 26" xfId="769"/>
    <cellStyle name="Обычный 35 27" xfId="770"/>
    <cellStyle name="Обычный 35 28" xfId="771"/>
    <cellStyle name="Обычный 35 29" xfId="772"/>
    <cellStyle name="Обычный 35 3" xfId="773"/>
    <cellStyle name="Обычный 35 30" xfId="774"/>
    <cellStyle name="Обычный 35 31" xfId="775"/>
    <cellStyle name="Обычный 35 4" xfId="776"/>
    <cellStyle name="Обычный 35 5" xfId="777"/>
    <cellStyle name="Обычный 35 6" xfId="778"/>
    <cellStyle name="Обычный 35 7" xfId="779"/>
    <cellStyle name="Обычный 35 8" xfId="780"/>
    <cellStyle name="Обычный 35 9" xfId="781"/>
    <cellStyle name="Обычный 36" xfId="782"/>
    <cellStyle name="Обычный 36 2" xfId="783"/>
    <cellStyle name="Обычный 37" xfId="784"/>
    <cellStyle name="Обычный 37 2" xfId="785"/>
    <cellStyle name="Обычный 38" xfId="786"/>
    <cellStyle name="Обычный 38 2" xfId="787"/>
    <cellStyle name="Обычный 39" xfId="788"/>
    <cellStyle name="Обычный 39 2" xfId="789"/>
    <cellStyle name="Обычный 4" xfId="6"/>
    <cellStyle name="Обычный 4 2" xfId="4"/>
    <cellStyle name="Обычный 4 2 2" xfId="790"/>
    <cellStyle name="Обычный 4 2 3" xfId="791"/>
    <cellStyle name="Обычный 4 3" xfId="792"/>
    <cellStyle name="Обычный 4 3 2" xfId="793"/>
    <cellStyle name="Обычный 4 4" xfId="794"/>
    <cellStyle name="Обычный 4 4 2" xfId="795"/>
    <cellStyle name="Обычный 4 5" xfId="796"/>
    <cellStyle name="Обычный 40" xfId="797"/>
    <cellStyle name="Обычный 40 10" xfId="798"/>
    <cellStyle name="Обычный 40 11" xfId="799"/>
    <cellStyle name="Обычный 40 12" xfId="800"/>
    <cellStyle name="Обычный 40 13" xfId="801"/>
    <cellStyle name="Обычный 40 14" xfId="802"/>
    <cellStyle name="Обычный 40 15" xfId="803"/>
    <cellStyle name="Обычный 40 16" xfId="804"/>
    <cellStyle name="Обычный 40 17" xfId="805"/>
    <cellStyle name="Обычный 40 18" xfId="806"/>
    <cellStyle name="Обычный 40 19" xfId="807"/>
    <cellStyle name="Обычный 40 2" xfId="808"/>
    <cellStyle name="Обычный 40 2 2" xfId="809"/>
    <cellStyle name="Обычный 40 20" xfId="810"/>
    <cellStyle name="Обычный 40 21" xfId="811"/>
    <cellStyle name="Обычный 40 22" xfId="812"/>
    <cellStyle name="Обычный 40 23" xfId="813"/>
    <cellStyle name="Обычный 40 24" xfId="814"/>
    <cellStyle name="Обычный 40 25" xfId="815"/>
    <cellStyle name="Обычный 40 26" xfId="816"/>
    <cellStyle name="Обычный 40 27" xfId="817"/>
    <cellStyle name="Обычный 40 28" xfId="818"/>
    <cellStyle name="Обычный 40 29" xfId="819"/>
    <cellStyle name="Обычный 40 3" xfId="820"/>
    <cellStyle name="Обычный 40 30" xfId="821"/>
    <cellStyle name="Обычный 40 31" xfId="822"/>
    <cellStyle name="Обычный 40 32" xfId="823"/>
    <cellStyle name="Обычный 40 4" xfId="824"/>
    <cellStyle name="Обычный 40 5" xfId="825"/>
    <cellStyle name="Обычный 40 6" xfId="826"/>
    <cellStyle name="Обычный 40 7" xfId="827"/>
    <cellStyle name="Обычный 40 8" xfId="828"/>
    <cellStyle name="Обычный 40 9" xfId="829"/>
    <cellStyle name="Обычный 41" xfId="830"/>
    <cellStyle name="Обычный 41 10" xfId="831"/>
    <cellStyle name="Обычный 41 11" xfId="832"/>
    <cellStyle name="Обычный 41 12" xfId="833"/>
    <cellStyle name="Обычный 41 13" xfId="834"/>
    <cellStyle name="Обычный 41 14" xfId="835"/>
    <cellStyle name="Обычный 41 15" xfId="836"/>
    <cellStyle name="Обычный 41 16" xfId="837"/>
    <cellStyle name="Обычный 41 17" xfId="838"/>
    <cellStyle name="Обычный 41 18" xfId="839"/>
    <cellStyle name="Обычный 41 19" xfId="840"/>
    <cellStyle name="Обычный 41 2" xfId="841"/>
    <cellStyle name="Обычный 41 2 2" xfId="842"/>
    <cellStyle name="Обычный 41 20" xfId="843"/>
    <cellStyle name="Обычный 41 21" xfId="844"/>
    <cellStyle name="Обычный 41 22" xfId="845"/>
    <cellStyle name="Обычный 41 23" xfId="846"/>
    <cellStyle name="Обычный 41 24" xfId="847"/>
    <cellStyle name="Обычный 41 25" xfId="848"/>
    <cellStyle name="Обычный 41 26" xfId="849"/>
    <cellStyle name="Обычный 41 27" xfId="850"/>
    <cellStyle name="Обычный 41 28" xfId="851"/>
    <cellStyle name="Обычный 41 29" xfId="852"/>
    <cellStyle name="Обычный 41 3" xfId="853"/>
    <cellStyle name="Обычный 41 30" xfId="854"/>
    <cellStyle name="Обычный 41 31" xfId="855"/>
    <cellStyle name="Обычный 41 32" xfId="856"/>
    <cellStyle name="Обычный 41 4" xfId="857"/>
    <cellStyle name="Обычный 41 5" xfId="858"/>
    <cellStyle name="Обычный 41 6" xfId="859"/>
    <cellStyle name="Обычный 41 7" xfId="860"/>
    <cellStyle name="Обычный 41 8" xfId="861"/>
    <cellStyle name="Обычный 41 9" xfId="862"/>
    <cellStyle name="Обычный 42" xfId="863"/>
    <cellStyle name="Обычный 43" xfId="864"/>
    <cellStyle name="Обычный 44" xfId="865"/>
    <cellStyle name="Обычный 45" xfId="866"/>
    <cellStyle name="Обычный 46" xfId="867"/>
    <cellStyle name="Обычный 47" xfId="868"/>
    <cellStyle name="Обычный 47 2" xfId="869"/>
    <cellStyle name="Обычный 47 3" xfId="870"/>
    <cellStyle name="Обычный 47 4" xfId="871"/>
    <cellStyle name="Обычный 47 5" xfId="872"/>
    <cellStyle name="Обычный 47 6" xfId="873"/>
    <cellStyle name="Обычный 47 7" xfId="874"/>
    <cellStyle name="Обычный 48" xfId="875"/>
    <cellStyle name="Обычный 48 2" xfId="876"/>
    <cellStyle name="Обычный 48 3" xfId="877"/>
    <cellStyle name="Обычный 49" xfId="878"/>
    <cellStyle name="Обычный 5" xfId="879"/>
    <cellStyle name="Обычный 5 2" xfId="880"/>
    <cellStyle name="Обычный 5 2 2" xfId="881"/>
    <cellStyle name="Обычный 5 2 2 2" xfId="882"/>
    <cellStyle name="Обычный 5 2 3" xfId="883"/>
    <cellStyle name="Обычный 5 3" xfId="884"/>
    <cellStyle name="Обычный 5 3 2" xfId="885"/>
    <cellStyle name="Обычный 5 3 2 2" xfId="886"/>
    <cellStyle name="Обычный 5 3 3" xfId="887"/>
    <cellStyle name="Обычный 5 3 4" xfId="888"/>
    <cellStyle name="Обычный 5 4" xfId="889"/>
    <cellStyle name="Обычный 5 4 2" xfId="890"/>
    <cellStyle name="Обычный 5 5" xfId="891"/>
    <cellStyle name="Обычный 5 5 2" xfId="892"/>
    <cellStyle name="Обычный 5 6" xfId="893"/>
    <cellStyle name="Обычный 5 6 2" xfId="894"/>
    <cellStyle name="Обычный 5 7" xfId="895"/>
    <cellStyle name="Обычный 5 7 2" xfId="896"/>
    <cellStyle name="Обычный 5 8" xfId="897"/>
    <cellStyle name="Обычный 5 8 2" xfId="898"/>
    <cellStyle name="Обычный 50" xfId="899"/>
    <cellStyle name="Обычный 51" xfId="900"/>
    <cellStyle name="Обычный 52" xfId="901"/>
    <cellStyle name="Обычный 53" xfId="902"/>
    <cellStyle name="Обычный 54" xfId="903"/>
    <cellStyle name="Обычный 55" xfId="904"/>
    <cellStyle name="Обычный 56" xfId="905"/>
    <cellStyle name="Обычный 57" xfId="906"/>
    <cellStyle name="Обычный 58" xfId="907"/>
    <cellStyle name="Обычный 59" xfId="908"/>
    <cellStyle name="Обычный 6" xfId="909"/>
    <cellStyle name="Обычный 6 2" xfId="910"/>
    <cellStyle name="Обычный 6 2 2" xfId="911"/>
    <cellStyle name="Обычный 6 2 3" xfId="912"/>
    <cellStyle name="Обычный 6 3" xfId="913"/>
    <cellStyle name="Обычный 6 3 2" xfId="914"/>
    <cellStyle name="Обычный 6 4" xfId="915"/>
    <cellStyle name="Обычный 6 5" xfId="916"/>
    <cellStyle name="Обычный 6 6" xfId="917"/>
    <cellStyle name="Обычный 60" xfId="918"/>
    <cellStyle name="Обычный 61" xfId="919"/>
    <cellStyle name="Обычный 62" xfId="920"/>
    <cellStyle name="Обычный 63" xfId="921"/>
    <cellStyle name="Обычный 64" xfId="922"/>
    <cellStyle name="Обычный 65" xfId="923"/>
    <cellStyle name="Обычный 65 2" xfId="924"/>
    <cellStyle name="Обычный 66" xfId="925"/>
    <cellStyle name="Обычный 66 2" xfId="926"/>
    <cellStyle name="Обычный 66 3" xfId="927"/>
    <cellStyle name="Обычный 67" xfId="928"/>
    <cellStyle name="Обычный 68" xfId="929"/>
    <cellStyle name="Обычный 69" xfId="930"/>
    <cellStyle name="Обычный 7" xfId="931"/>
    <cellStyle name="Обычный 7 2" xfId="932"/>
    <cellStyle name="Обычный 7 2 2" xfId="933"/>
    <cellStyle name="Обычный 7 2 3" xfId="934"/>
    <cellStyle name="Обычный 7 3" xfId="935"/>
    <cellStyle name="Обычный 7 3 2" xfId="936"/>
    <cellStyle name="Обычный 7 4" xfId="937"/>
    <cellStyle name="Обычный 7 4 2" xfId="938"/>
    <cellStyle name="Обычный 7 5" xfId="939"/>
    <cellStyle name="Обычный 70" xfId="940"/>
    <cellStyle name="Обычный 71" xfId="941"/>
    <cellStyle name="Обычный 72" xfId="942"/>
    <cellStyle name="Обычный 73" xfId="943"/>
    <cellStyle name="Обычный 73 2" xfId="944"/>
    <cellStyle name="Обычный 73 3" xfId="945"/>
    <cellStyle name="Обычный 73 4" xfId="946"/>
    <cellStyle name="Обычный 74" xfId="947"/>
    <cellStyle name="Обычный 75" xfId="948"/>
    <cellStyle name="Обычный 75 2" xfId="949"/>
    <cellStyle name="Обычный 76" xfId="950"/>
    <cellStyle name="Обычный 77" xfId="951"/>
    <cellStyle name="Обычный 78" xfId="952"/>
    <cellStyle name="Обычный 78 2" xfId="953"/>
    <cellStyle name="Обычный 78 3" xfId="954"/>
    <cellStyle name="Обычный 79" xfId="955"/>
    <cellStyle name="Обычный 8" xfId="956"/>
    <cellStyle name="Обычный 8 2" xfId="957"/>
    <cellStyle name="Обычный 8 2 2" xfId="958"/>
    <cellStyle name="Обычный 8 2 3" xfId="959"/>
    <cellStyle name="Обычный 8 3" xfId="960"/>
    <cellStyle name="Обычный 8 3 2" xfId="961"/>
    <cellStyle name="Обычный 8 4" xfId="962"/>
    <cellStyle name="Обычный 8 5" xfId="963"/>
    <cellStyle name="Обычный 8 6" xfId="964"/>
    <cellStyle name="Обычный 80" xfId="965"/>
    <cellStyle name="Обычный 81" xfId="966"/>
    <cellStyle name="Обычный 82" xfId="967"/>
    <cellStyle name="Обычный 83" xfId="968"/>
    <cellStyle name="Обычный 84" xfId="969"/>
    <cellStyle name="Обычный 85" xfId="970"/>
    <cellStyle name="Обычный 86" xfId="971"/>
    <cellStyle name="Обычный 87" xfId="972"/>
    <cellStyle name="Обычный 87 2" xfId="973"/>
    <cellStyle name="Обычный 87 3" xfId="974"/>
    <cellStyle name="Обычный 88" xfId="975"/>
    <cellStyle name="Обычный 88 2" xfId="976"/>
    <cellStyle name="Обычный 88 3" xfId="977"/>
    <cellStyle name="Обычный 89" xfId="978"/>
    <cellStyle name="Обычный 9" xfId="979"/>
    <cellStyle name="Обычный 9 2" xfId="980"/>
    <cellStyle name="Обычный 9 2 2" xfId="981"/>
    <cellStyle name="Обычный 9 2 3" xfId="982"/>
    <cellStyle name="Обычный 9 3" xfId="983"/>
    <cellStyle name="Обычный 9 3 2" xfId="984"/>
    <cellStyle name="Обычный 9 4" xfId="985"/>
    <cellStyle name="Обычный 90" xfId="986"/>
    <cellStyle name="Обычный 90 2" xfId="987"/>
    <cellStyle name="Обычный 91" xfId="988"/>
    <cellStyle name="Обычный 92" xfId="989"/>
    <cellStyle name="Обычный 92 2" xfId="990"/>
    <cellStyle name="Обычный 93" xfId="991"/>
    <cellStyle name="Обычный 93 2" xfId="992"/>
    <cellStyle name="Обычный 93 3" xfId="993"/>
    <cellStyle name="Обычный 94" xfId="994"/>
    <cellStyle name="Обычный 94 2" xfId="995"/>
    <cellStyle name="Обычный 94 3" xfId="996"/>
    <cellStyle name="Обычный 95" xfId="997"/>
    <cellStyle name="Обычный 95 2" xfId="998"/>
    <cellStyle name="Обычный 96" xfId="999"/>
    <cellStyle name="Обычный 97" xfId="1000"/>
    <cellStyle name="Обычный 97 2" xfId="1001"/>
    <cellStyle name="Обычный 98" xfId="1002"/>
    <cellStyle name="Обычный 99" xfId="1003"/>
    <cellStyle name="Обычный 99 2" xfId="1004"/>
    <cellStyle name="Обычный 99 2 2" xfId="1005"/>
    <cellStyle name="Обычный_Книга3" xfId="1288"/>
    <cellStyle name="Примечание 10" xfId="1006"/>
    <cellStyle name="Примечание 11" xfId="1007"/>
    <cellStyle name="Примечание 12" xfId="1008"/>
    <cellStyle name="Примечание 13" xfId="1009"/>
    <cellStyle name="Примечание 14" xfId="1010"/>
    <cellStyle name="Примечание 15" xfId="1011"/>
    <cellStyle name="Примечание 16" xfId="1012"/>
    <cellStyle name="Примечание 17" xfId="1013"/>
    <cellStyle name="Примечание 18" xfId="1014"/>
    <cellStyle name="Примечание 19" xfId="1015"/>
    <cellStyle name="Примечание 2" xfId="1016"/>
    <cellStyle name="Примечание 2 2" xfId="1017"/>
    <cellStyle name="Примечание 2 3" xfId="1018"/>
    <cellStyle name="Примечание 20" xfId="1019"/>
    <cellStyle name="Примечание 21" xfId="1020"/>
    <cellStyle name="Примечание 22" xfId="1021"/>
    <cellStyle name="Примечание 23" xfId="1022"/>
    <cellStyle name="Примечание 24" xfId="1023"/>
    <cellStyle name="Примечание 25" xfId="1024"/>
    <cellStyle name="Примечание 26" xfId="1025"/>
    <cellStyle name="Примечание 27" xfId="1026"/>
    <cellStyle name="Примечание 28" xfId="1027"/>
    <cellStyle name="Примечание 29" xfId="1028"/>
    <cellStyle name="Примечание 3" xfId="1029"/>
    <cellStyle name="Примечание 3 2" xfId="1030"/>
    <cellStyle name="Примечание 3 3" xfId="1031"/>
    <cellStyle name="Примечание 30" xfId="1032"/>
    <cellStyle name="Примечание 4" xfId="1033"/>
    <cellStyle name="Примечание 4 2" xfId="1034"/>
    <cellStyle name="Примечание 4 3" xfId="1035"/>
    <cellStyle name="Примечание 5" xfId="1036"/>
    <cellStyle name="Примечание 5 2" xfId="1037"/>
    <cellStyle name="Примечание 5 3" xfId="1038"/>
    <cellStyle name="Примечание 6" xfId="1039"/>
    <cellStyle name="Примечание 6 2" xfId="1040"/>
    <cellStyle name="Примечание 6 3" xfId="1041"/>
    <cellStyle name="Примечание 7" xfId="1042"/>
    <cellStyle name="Примечание 7 2" xfId="1043"/>
    <cellStyle name="Примечание 7 3" xfId="1044"/>
    <cellStyle name="Примечание 8" xfId="1045"/>
    <cellStyle name="Примечание 8 2" xfId="1046"/>
    <cellStyle name="Примечание 8 3" xfId="1047"/>
    <cellStyle name="Примечание 9" xfId="1048"/>
    <cellStyle name="Примечание 9 2" xfId="1049"/>
    <cellStyle name="Процентный" xfId="2" builtinId="5"/>
    <cellStyle name="Процентный 2" xfId="8"/>
    <cellStyle name="Процентный 2 2" xfId="1050"/>
    <cellStyle name="Процентный 2 2 2" xfId="10"/>
    <cellStyle name="Процентный 2 2 3" xfId="1051"/>
    <cellStyle name="Процентный 2 3" xfId="1052"/>
    <cellStyle name="Процентный 2 4" xfId="1053"/>
    <cellStyle name="Процентный 2 5" xfId="1054"/>
    <cellStyle name="Процентный 2 6" xfId="1055"/>
    <cellStyle name="Процентный 2 7" xfId="1056"/>
    <cellStyle name="Процентный 3" xfId="1057"/>
    <cellStyle name="Процентный 4" xfId="1058"/>
    <cellStyle name="Стиль 1" xfId="1059"/>
    <cellStyle name="Финансовый" xfId="3" builtinId="3"/>
    <cellStyle name="Финансовый [0] 2" xfId="1060"/>
    <cellStyle name="Финансовый [0] 2 2" xfId="1061"/>
    <cellStyle name="Финансовый [0] 67" xfId="1062"/>
    <cellStyle name="Финансовый 10" xfId="1063"/>
    <cellStyle name="Финансовый 10 2" xfId="1064"/>
    <cellStyle name="Финансовый 11" xfId="1065"/>
    <cellStyle name="Финансовый 11 2" xfId="1066"/>
    <cellStyle name="Финансовый 12" xfId="1290"/>
    <cellStyle name="Финансовый 13" xfId="1067"/>
    <cellStyle name="Финансовый 13 2" xfId="1068"/>
    <cellStyle name="Финансовый 13 3" xfId="1069"/>
    <cellStyle name="Финансовый 17" xfId="1070"/>
    <cellStyle name="Финансовый 19" xfId="1071"/>
    <cellStyle name="Финансовый 19 2" xfId="1072"/>
    <cellStyle name="Финансовый 19 3" xfId="1073"/>
    <cellStyle name="Финансовый 2" xfId="7"/>
    <cellStyle name="Финансовый 2 10" xfId="1074"/>
    <cellStyle name="Финансовый 2 11" xfId="1075"/>
    <cellStyle name="Финансовый 2 12" xfId="1076"/>
    <cellStyle name="Финансовый 2 13" xfId="1077"/>
    <cellStyle name="Финансовый 2 14" xfId="1078"/>
    <cellStyle name="Финансовый 2 15" xfId="1079"/>
    <cellStyle name="Финансовый 2 16" xfId="1080"/>
    <cellStyle name="Финансовый 2 17" xfId="1081"/>
    <cellStyle name="Финансовый 2 18" xfId="1082"/>
    <cellStyle name="Финансовый 2 19" xfId="1083"/>
    <cellStyle name="Финансовый 2 2" xfId="1084"/>
    <cellStyle name="Финансовый 2 2 2" xfId="1085"/>
    <cellStyle name="Финансовый 2 2 2 2" xfId="1086"/>
    <cellStyle name="Финансовый 2 2 2 3" xfId="1087"/>
    <cellStyle name="Финансовый 2 2 3" xfId="1088"/>
    <cellStyle name="Финансовый 2 2 4" xfId="1089"/>
    <cellStyle name="Финансовый 2 20" xfId="1090"/>
    <cellStyle name="Финансовый 2 21" xfId="1091"/>
    <cellStyle name="Финансовый 2 22" xfId="1092"/>
    <cellStyle name="Финансовый 2 23" xfId="1093"/>
    <cellStyle name="Финансовый 2 24" xfId="1094"/>
    <cellStyle name="Финансовый 2 25" xfId="1095"/>
    <cellStyle name="Финансовый 2 26" xfId="1096"/>
    <cellStyle name="Финансовый 2 27" xfId="1097"/>
    <cellStyle name="Финансовый 2 28" xfId="1098"/>
    <cellStyle name="Финансовый 2 29" xfId="1099"/>
    <cellStyle name="Финансовый 2 3" xfId="1100"/>
    <cellStyle name="Финансовый 2 3 2" xfId="1101"/>
    <cellStyle name="Финансовый 2 3 3" xfId="1102"/>
    <cellStyle name="Финансовый 2 3 4" xfId="1103"/>
    <cellStyle name="Финансовый 2 30" xfId="1104"/>
    <cellStyle name="Финансовый 2 4" xfId="1105"/>
    <cellStyle name="Финансовый 2 4 2" xfId="1106"/>
    <cellStyle name="Финансовый 2 4 3" xfId="1107"/>
    <cellStyle name="Финансовый 2 4 4" xfId="1108"/>
    <cellStyle name="Финансовый 2 5" xfId="1109"/>
    <cellStyle name="Финансовый 2 5 2" xfId="1110"/>
    <cellStyle name="Финансовый 2 6" xfId="1111"/>
    <cellStyle name="Финансовый 2 6 2" xfId="1112"/>
    <cellStyle name="Финансовый 2 7" xfId="1113"/>
    <cellStyle name="Финансовый 2 8" xfId="1114"/>
    <cellStyle name="Финансовый 2 9" xfId="1115"/>
    <cellStyle name="Финансовый 20" xfId="1116"/>
    <cellStyle name="Финансовый 21" xfId="1117"/>
    <cellStyle name="Финансовый 23" xfId="1118"/>
    <cellStyle name="Финансовый 24" xfId="1119"/>
    <cellStyle name="Финансовый 25" xfId="1120"/>
    <cellStyle name="Финансовый 26" xfId="1121"/>
    <cellStyle name="Финансовый 27" xfId="1122"/>
    <cellStyle name="Финансовый 28" xfId="1123"/>
    <cellStyle name="Финансовый 3" xfId="1124"/>
    <cellStyle name="Финансовый 3 10" xfId="1125"/>
    <cellStyle name="Финансовый 3 11" xfId="1126"/>
    <cellStyle name="Финансовый 3 12" xfId="1127"/>
    <cellStyle name="Финансовый 3 13" xfId="1128"/>
    <cellStyle name="Финансовый 3 14" xfId="1129"/>
    <cellStyle name="Финансовый 3 15" xfId="1130"/>
    <cellStyle name="Финансовый 3 16" xfId="1131"/>
    <cellStyle name="Финансовый 3 17" xfId="1132"/>
    <cellStyle name="Финансовый 3 18" xfId="1133"/>
    <cellStyle name="Финансовый 3 19" xfId="1134"/>
    <cellStyle name="Финансовый 3 2" xfId="1135"/>
    <cellStyle name="Финансовый 3 2 2" xfId="1136"/>
    <cellStyle name="Финансовый 3 2 2 2" xfId="1137"/>
    <cellStyle name="Финансовый 3 2 2 3" xfId="1138"/>
    <cellStyle name="Финансовый 3 2 3" xfId="1139"/>
    <cellStyle name="Финансовый 3 2 3 2" xfId="1140"/>
    <cellStyle name="Финансовый 3 2 4" xfId="1141"/>
    <cellStyle name="Финансовый 3 2 5" xfId="1142"/>
    <cellStyle name="Финансовый 3 2 6" xfId="1143"/>
    <cellStyle name="Финансовый 3 20" xfId="1144"/>
    <cellStyle name="Финансовый 3 21" xfId="1145"/>
    <cellStyle name="Финансовый 3 22" xfId="1146"/>
    <cellStyle name="Финансовый 3 3" xfId="1147"/>
    <cellStyle name="Финансовый 3 3 2" xfId="1148"/>
    <cellStyle name="Финансовый 3 3 3" xfId="1149"/>
    <cellStyle name="Финансовый 3 4" xfId="1150"/>
    <cellStyle name="Финансовый 3 4 2" xfId="1151"/>
    <cellStyle name="Финансовый 3 4 3" xfId="1152"/>
    <cellStyle name="Финансовый 3 5" xfId="1153"/>
    <cellStyle name="Финансовый 3 5 2" xfId="1154"/>
    <cellStyle name="Финансовый 3 5 3" xfId="1155"/>
    <cellStyle name="Финансовый 3 5 4" xfId="1156"/>
    <cellStyle name="Финансовый 3 6" xfId="1157"/>
    <cellStyle name="Финансовый 3 6 2" xfId="1158"/>
    <cellStyle name="Финансовый 3 7" xfId="1159"/>
    <cellStyle name="Финансовый 3 7 2" xfId="1160"/>
    <cellStyle name="Финансовый 3 8" xfId="1161"/>
    <cellStyle name="Финансовый 3 9" xfId="1162"/>
    <cellStyle name="Финансовый 30" xfId="1163"/>
    <cellStyle name="Финансовый 31" xfId="1164"/>
    <cellStyle name="Финансовый 31 2" xfId="1165"/>
    <cellStyle name="Финансовый 32" xfId="1166"/>
    <cellStyle name="Финансовый 32 2" xfId="1167"/>
    <cellStyle name="Финансовый 33" xfId="1168"/>
    <cellStyle name="Финансовый 33 2" xfId="1169"/>
    <cellStyle name="Финансовый 34" xfId="1170"/>
    <cellStyle name="Финансовый 34 2" xfId="1171"/>
    <cellStyle name="Финансовый 35" xfId="1172"/>
    <cellStyle name="Финансовый 35 2" xfId="1173"/>
    <cellStyle name="Финансовый 36" xfId="1174"/>
    <cellStyle name="Финансовый 36 2" xfId="1175"/>
    <cellStyle name="Финансовый 37" xfId="1176"/>
    <cellStyle name="Финансовый 37 2" xfId="1177"/>
    <cellStyle name="Финансовый 38" xfId="1178"/>
    <cellStyle name="Финансовый 38 2" xfId="1179"/>
    <cellStyle name="Финансовый 39" xfId="1180"/>
    <cellStyle name="Финансовый 4" xfId="1181"/>
    <cellStyle name="Финансовый 4 2" xfId="1182"/>
    <cellStyle name="Финансовый 4 2 2" xfId="1183"/>
    <cellStyle name="Финансовый 4 2 2 2" xfId="1184"/>
    <cellStyle name="Финансовый 4 2 3" xfId="1185"/>
    <cellStyle name="Финансовый 4 3" xfId="1186"/>
    <cellStyle name="Финансовый 4 3 2" xfId="1187"/>
    <cellStyle name="Финансовый 4 4" xfId="1188"/>
    <cellStyle name="Финансовый 4 4 2" xfId="1189"/>
    <cellStyle name="Финансовый 4 5" xfId="1190"/>
    <cellStyle name="Финансовый 4 6" xfId="1191"/>
    <cellStyle name="Финансовый 4 7" xfId="1192"/>
    <cellStyle name="Финансовый 4 8" xfId="1193"/>
    <cellStyle name="Финансовый 4 9" xfId="1194"/>
    <cellStyle name="Финансовый 40" xfId="1195"/>
    <cellStyle name="Финансовый 41" xfId="1196"/>
    <cellStyle name="Финансовый 42" xfId="1197"/>
    <cellStyle name="Финансовый 42 2" xfId="1198"/>
    <cellStyle name="Финансовый 44" xfId="1199"/>
    <cellStyle name="Финансовый 46" xfId="1200"/>
    <cellStyle name="Финансовый 47" xfId="1201"/>
    <cellStyle name="Финансовый 5" xfId="1202"/>
    <cellStyle name="Финансовый 5 2" xfId="1203"/>
    <cellStyle name="Финансовый 5 2 2" xfId="1204"/>
    <cellStyle name="Финансовый 5 3" xfId="1205"/>
    <cellStyle name="Финансовый 5 3 2" xfId="1206"/>
    <cellStyle name="Финансовый 5 3 3" xfId="1207"/>
    <cellStyle name="Финансовый 5 4" xfId="1208"/>
    <cellStyle name="Финансовый 5 5" xfId="1209"/>
    <cellStyle name="Финансовый 6" xfId="1210"/>
    <cellStyle name="Финансовый 6 2" xfId="1211"/>
    <cellStyle name="Финансовый 6 2 2" xfId="1212"/>
    <cellStyle name="Финансовый 6 2 3" xfId="1213"/>
    <cellStyle name="Финансовый 6 3" xfId="1214"/>
    <cellStyle name="Финансовый 6 4" xfId="1215"/>
    <cellStyle name="Финансовый 7" xfId="1216"/>
    <cellStyle name="Финансовый 7 2" xfId="1217"/>
    <cellStyle name="Финансовый 7 2 2" xfId="1218"/>
    <cellStyle name="Финансовый 7 2 3" xfId="1219"/>
    <cellStyle name="Финансовый 7 3" xfId="1220"/>
    <cellStyle name="Финансовый 8" xfId="1221"/>
    <cellStyle name="Финансовый 8 2" xfId="1222"/>
    <cellStyle name="Финансовый 9" xfId="1223"/>
    <cellStyle name="Џђћ–…ќ’ќ›‰" xfId="1224"/>
  </cellStyles>
  <dxfs count="430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99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FF"/>
      <color rgb="FFFF00FF"/>
      <color rgb="FFCC00CC"/>
      <color rgb="FFFD9FF6"/>
      <color rgb="FFF8A4E0"/>
      <color rgb="FFD9F29C"/>
      <color rgb="FFFF33CC"/>
      <color rgb="FFFF66FF"/>
      <color rgb="FF35E2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Sheet"/>
      <sheetName val="tab31_old"/>
      <sheetName val="Пост_по_регион_(2)"/>
      <sheetName val="Лист2"/>
      <sheetName val="Сабаб"/>
      <sheetName val="UZB redtab Jan 04"/>
      <sheetName val="жадвал"/>
      <sheetName val="Танишиб чиқиш учун"/>
      <sheetName val="tab 19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  <sheetName val="BAL"/>
      <sheetName val="진행 DATA (2)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quality"/>
      <sheetName val="Income "/>
      <sheetName val="Analysis of Interest"/>
      <sheetName val="Changes in Equity"/>
      <sheetName val="Loans Receivable"/>
      <sheetName val="Aging Analysis"/>
      <sheetName val="Asset Classification"/>
      <sheetName val="Asset Provisioning"/>
      <sheetName val="Transactions of related parties"/>
      <sheetName val=" Largest risk"/>
      <sheetName val="Charge-offs and Recoveries"/>
      <sheetName val="loans_av rate"/>
      <sheetName val="Bank Capital Calc (2)"/>
      <sheetName val="loans type"/>
      <sheetName val="Deposits_av rate"/>
      <sheetName val="Economic Normatives"/>
      <sheetName val="Miscellaneous"/>
      <sheetName val="ПФУ"/>
      <sheetName val="Balance"/>
      <sheetName val="Bank Capital Calc."/>
      <sheetName val="Calculation of Risk Weighted As"/>
      <sheetName val="Recociliation "/>
      <sheetName val="Loan Classification"/>
      <sheetName val="Loans to Affiliated P."/>
      <sheetName val="Twenty Largest"/>
      <sheetName val="Deposits by Client"/>
      <sheetName val="Investment Securities"/>
      <sheetName val="Liquidity Analysis"/>
      <sheetName val="Bank Assets Analysis"/>
      <sheetName val="Bank Liabilities Analysis"/>
      <sheetName val="Commitments"/>
    </sheetNames>
    <sheetDataSet>
      <sheetData sheetId="0">
        <row r="38">
          <cell r="C38">
            <v>3118777057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>
        <row r="28">
          <cell r="H28">
            <v>0</v>
          </cell>
        </row>
      </sheetData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  <sheetName val="НОЯБР 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5">
          <cell r="C25">
            <v>14437080535</v>
          </cell>
          <cell r="D25">
            <v>10746116443</v>
          </cell>
          <cell r="E25">
            <v>3690964092</v>
          </cell>
        </row>
        <row r="26">
          <cell r="C26">
            <v>225983787</v>
          </cell>
        </row>
        <row r="47">
          <cell r="C47">
            <v>19061519219</v>
          </cell>
        </row>
        <row r="76">
          <cell r="C76">
            <v>41104897</v>
          </cell>
        </row>
        <row r="77">
          <cell r="C77">
            <v>3933608006</v>
          </cell>
        </row>
      </sheetData>
      <sheetData sheetId="1"/>
      <sheetData sheetId="2">
        <row r="18">
          <cell r="C18">
            <v>8.1311246978419557E-2</v>
          </cell>
        </row>
        <row r="24">
          <cell r="C24">
            <v>1.3165602389449131</v>
          </cell>
          <cell r="D24">
            <v>1.0154409112305951</v>
          </cell>
          <cell r="E24">
            <v>1.9773468714170854</v>
          </cell>
        </row>
        <row r="29">
          <cell r="C29">
            <v>1.0834579430265152</v>
          </cell>
          <cell r="D29">
            <v>1.1187238616732407</v>
          </cell>
          <cell r="E29">
            <v>0.9719413157360105</v>
          </cell>
        </row>
        <row r="51">
          <cell r="C51">
            <v>722231958</v>
          </cell>
        </row>
        <row r="52">
          <cell r="C52">
            <v>307687193</v>
          </cell>
        </row>
        <row r="53">
          <cell r="C53">
            <v>564196094</v>
          </cell>
        </row>
        <row r="54">
          <cell r="C54">
            <v>0</v>
          </cell>
        </row>
        <row r="55">
          <cell r="C55">
            <v>10000000</v>
          </cell>
        </row>
        <row r="58">
          <cell r="C58">
            <v>1604115245</v>
          </cell>
        </row>
      </sheetData>
      <sheetData sheetId="3">
        <row r="31">
          <cell r="S31">
            <v>41579224</v>
          </cell>
        </row>
      </sheetData>
      <sheetData sheetId="4"/>
      <sheetData sheetId="5">
        <row r="20">
          <cell r="C20">
            <v>877239193</v>
          </cell>
          <cell r="E20">
            <v>8129111</v>
          </cell>
          <cell r="G20">
            <v>524482027</v>
          </cell>
          <cell r="I20">
            <v>367819667</v>
          </cell>
          <cell r="K20">
            <v>971038402</v>
          </cell>
          <cell r="M20">
            <v>1144029799</v>
          </cell>
          <cell r="O20">
            <v>1120770387</v>
          </cell>
          <cell r="Q20">
            <v>1347669768</v>
          </cell>
          <cell r="S20">
            <v>6361178354</v>
          </cell>
        </row>
        <row r="40">
          <cell r="C40">
            <v>1013865990</v>
          </cell>
          <cell r="E40">
            <v>69466978</v>
          </cell>
          <cell r="G40">
            <v>920647826</v>
          </cell>
          <cell r="I40">
            <v>979229919</v>
          </cell>
          <cell r="K40">
            <v>1931659935</v>
          </cell>
          <cell r="M40">
            <v>2176541191</v>
          </cell>
        </row>
      </sheetData>
      <sheetData sheetId="6"/>
      <sheetData sheetId="7"/>
      <sheetData sheetId="8">
        <row r="6">
          <cell r="C6">
            <v>301048155</v>
          </cell>
          <cell r="D6">
            <v>11441923</v>
          </cell>
        </row>
        <row r="15">
          <cell r="C15">
            <v>1381384515</v>
          </cell>
          <cell r="D15">
            <v>61295992</v>
          </cell>
        </row>
        <row r="22">
          <cell r="C22">
            <v>6361178354</v>
          </cell>
          <cell r="D22">
            <v>1106287176</v>
          </cell>
        </row>
      </sheetData>
      <sheetData sheetId="9">
        <row r="5">
          <cell r="B5">
            <v>0</v>
          </cell>
        </row>
        <row r="6">
          <cell r="B6">
            <v>0</v>
          </cell>
        </row>
        <row r="15">
          <cell r="B15">
            <v>107220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3862916653</v>
          </cell>
        </row>
        <row r="44">
          <cell r="C44">
            <v>4082975225</v>
          </cell>
        </row>
        <row r="45">
          <cell r="C45">
            <v>21945455509.353848</v>
          </cell>
        </row>
        <row r="49">
          <cell r="C49">
            <v>0.1760169649408081</v>
          </cell>
        </row>
        <row r="50">
          <cell r="C50">
            <v>0.17602353486595448</v>
          </cell>
        </row>
        <row r="51">
          <cell r="C51">
            <v>0.18605105841889255</v>
          </cell>
        </row>
        <row r="57">
          <cell r="C57">
            <v>0.1943580524966497</v>
          </cell>
        </row>
      </sheetData>
      <sheetData sheetId="1"/>
      <sheetData sheetId="2"/>
      <sheetData sheetId="3"/>
      <sheetData sheetId="4"/>
      <sheetData sheetId="5">
        <row r="26">
          <cell r="C26">
            <v>222816363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AG79"/>
  <sheetViews>
    <sheetView view="pageBreakPreview" zoomScale="55" zoomScaleNormal="55" zoomScaleSheetLayoutView="55" workbookViewId="0">
      <pane xSplit="3" ySplit="9" topLeftCell="D38" activePane="bottomRight" state="frozen"/>
      <selection activeCell="J47" sqref="J47"/>
      <selection pane="topRight" activeCell="J47" sqref="J47"/>
      <selection pane="bottomLeft" activeCell="J47" sqref="J47"/>
      <selection pane="bottomRight" activeCell="A67" sqref="A67"/>
    </sheetView>
  </sheetViews>
  <sheetFormatPr defaultRowHeight="15.75"/>
  <cols>
    <col min="1" max="1" width="8" style="11" customWidth="1"/>
    <col min="2" max="2" width="108.7109375" style="12" customWidth="1"/>
    <col min="3" max="3" width="19.42578125" style="88" customWidth="1"/>
    <col min="4" max="8" width="18.28515625" style="11" customWidth="1"/>
    <col min="9" max="9" width="19.42578125" style="11" customWidth="1"/>
    <col min="10" max="14" width="18" style="11" customWidth="1"/>
    <col min="15" max="15" width="19.42578125" style="11" customWidth="1"/>
    <col min="16" max="20" width="16" style="11" customWidth="1"/>
    <col min="21" max="21" width="9.140625" style="11"/>
    <col min="22" max="22" width="14.85546875" style="11" customWidth="1"/>
    <col min="23" max="23" width="16.7109375" style="11" customWidth="1"/>
    <col min="24" max="16384" width="9.140625" style="11"/>
  </cols>
  <sheetData>
    <row r="1" spans="1:24" s="86" customFormat="1" ht="27.75" customHeight="1">
      <c r="A1" s="701" t="s">
        <v>242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3" t="s">
        <v>243</v>
      </c>
      <c r="T1" s="703"/>
      <c r="V1" s="695" t="s">
        <v>805</v>
      </c>
    </row>
    <row r="2" spans="1:24" ht="8.25" customHeight="1"/>
    <row r="3" spans="1:24" s="161" customFormat="1" ht="26.25">
      <c r="B3" s="593" t="s">
        <v>806</v>
      </c>
      <c r="C3" s="162"/>
      <c r="N3" s="325"/>
      <c r="Q3" s="699">
        <v>45289</v>
      </c>
      <c r="R3" s="699"/>
      <c r="S3" s="326"/>
      <c r="T3" s="327" t="s">
        <v>244</v>
      </c>
    </row>
    <row r="4" spans="1:24" s="150" customFormat="1" ht="30.75" customHeight="1">
      <c r="A4" s="696" t="s">
        <v>61</v>
      </c>
      <c r="B4" s="696" t="s">
        <v>229</v>
      </c>
      <c r="C4" s="696" t="s">
        <v>230</v>
      </c>
      <c r="D4" s="704" t="s">
        <v>231</v>
      </c>
      <c r="E4" s="705"/>
      <c r="F4" s="705"/>
      <c r="G4" s="705"/>
      <c r="H4" s="706"/>
      <c r="I4" s="713" t="s">
        <v>232</v>
      </c>
      <c r="J4" s="714"/>
      <c r="K4" s="714"/>
      <c r="L4" s="714"/>
      <c r="M4" s="714"/>
      <c r="N4" s="715"/>
      <c r="O4" s="700" t="s">
        <v>233</v>
      </c>
      <c r="P4" s="700"/>
      <c r="Q4" s="700"/>
      <c r="R4" s="700"/>
      <c r="S4" s="700"/>
      <c r="T4" s="700"/>
    </row>
    <row r="5" spans="1:24" s="150" customFormat="1" ht="30.75" customHeight="1">
      <c r="A5" s="697"/>
      <c r="B5" s="697"/>
      <c r="C5" s="697"/>
      <c r="D5" s="707"/>
      <c r="E5" s="708"/>
      <c r="F5" s="708"/>
      <c r="G5" s="708"/>
      <c r="H5" s="709"/>
      <c r="I5" s="696" t="s">
        <v>234</v>
      </c>
      <c r="J5" s="696" t="s">
        <v>235</v>
      </c>
      <c r="K5" s="696" t="s">
        <v>236</v>
      </c>
      <c r="L5" s="696" t="s">
        <v>237</v>
      </c>
      <c r="M5" s="696" t="s">
        <v>238</v>
      </c>
      <c r="N5" s="696" t="s">
        <v>239</v>
      </c>
      <c r="O5" s="700" t="s">
        <v>240</v>
      </c>
      <c r="P5" s="700"/>
      <c r="Q5" s="700"/>
      <c r="R5" s="700"/>
      <c r="S5" s="700"/>
      <c r="T5" s="700"/>
    </row>
    <row r="6" spans="1:24" s="150" customFormat="1" ht="30.75" customHeight="1">
      <c r="A6" s="697"/>
      <c r="B6" s="697"/>
      <c r="C6" s="697"/>
      <c r="D6" s="710"/>
      <c r="E6" s="711"/>
      <c r="F6" s="711"/>
      <c r="G6" s="711"/>
      <c r="H6" s="712"/>
      <c r="I6" s="697"/>
      <c r="J6" s="697"/>
      <c r="K6" s="697"/>
      <c r="L6" s="697"/>
      <c r="M6" s="697"/>
      <c r="N6" s="697"/>
      <c r="O6" s="700" t="s">
        <v>234</v>
      </c>
      <c r="P6" s="700" t="s">
        <v>241</v>
      </c>
      <c r="Q6" s="700"/>
      <c r="R6" s="700"/>
      <c r="S6" s="700"/>
      <c r="T6" s="700"/>
    </row>
    <row r="7" spans="1:24" s="150" customFormat="1" ht="21" customHeight="1">
      <c r="A7" s="698"/>
      <c r="B7" s="698"/>
      <c r="C7" s="698"/>
      <c r="D7" s="526" t="s">
        <v>120</v>
      </c>
      <c r="E7" s="526" t="s">
        <v>53</v>
      </c>
      <c r="F7" s="526" t="s">
        <v>55</v>
      </c>
      <c r="G7" s="526" t="s">
        <v>56</v>
      </c>
      <c r="H7" s="526" t="s">
        <v>59</v>
      </c>
      <c r="I7" s="698"/>
      <c r="J7" s="698"/>
      <c r="K7" s="698"/>
      <c r="L7" s="698"/>
      <c r="M7" s="698"/>
      <c r="N7" s="698"/>
      <c r="O7" s="700"/>
      <c r="P7" s="594" t="s">
        <v>120</v>
      </c>
      <c r="Q7" s="594" t="s">
        <v>53</v>
      </c>
      <c r="R7" s="594" t="s">
        <v>55</v>
      </c>
      <c r="S7" s="594" t="s">
        <v>56</v>
      </c>
      <c r="T7" s="594" t="s">
        <v>59</v>
      </c>
    </row>
    <row r="8" spans="1:24" s="13" customFormat="1">
      <c r="A8" s="328" t="s">
        <v>78</v>
      </c>
      <c r="B8" s="329" t="s">
        <v>79</v>
      </c>
      <c r="C8" s="330" t="s">
        <v>89</v>
      </c>
      <c r="D8" s="329" t="s">
        <v>80</v>
      </c>
      <c r="E8" s="329" t="s">
        <v>81</v>
      </c>
      <c r="F8" s="329" t="s">
        <v>90</v>
      </c>
      <c r="G8" s="329" t="s">
        <v>82</v>
      </c>
      <c r="H8" s="329" t="s">
        <v>83</v>
      </c>
      <c r="I8" s="329" t="s">
        <v>84</v>
      </c>
      <c r="J8" s="329" t="s">
        <v>85</v>
      </c>
      <c r="K8" s="329" t="s">
        <v>86</v>
      </c>
      <c r="L8" s="329" t="s">
        <v>87</v>
      </c>
      <c r="M8" s="329" t="s">
        <v>88</v>
      </c>
      <c r="N8" s="329" t="s">
        <v>154</v>
      </c>
      <c r="O8" s="329" t="s">
        <v>155</v>
      </c>
      <c r="P8" s="329" t="s">
        <v>156</v>
      </c>
      <c r="Q8" s="329" t="s">
        <v>157</v>
      </c>
      <c r="R8" s="329" t="s">
        <v>179</v>
      </c>
      <c r="S8" s="329" t="s">
        <v>188</v>
      </c>
      <c r="T8" s="329" t="s">
        <v>193</v>
      </c>
    </row>
    <row r="9" spans="1:24" s="13" customFormat="1" ht="29.25" customHeight="1">
      <c r="A9" s="331"/>
      <c r="B9" s="332" t="s">
        <v>281</v>
      </c>
      <c r="C9" s="333">
        <f>SUM(C10:C58)+C60-C59</f>
        <v>19061519219</v>
      </c>
      <c r="D9" s="333">
        <f>SUM(D10:D58)-D59+D60</f>
        <v>14896225607</v>
      </c>
      <c r="E9" s="333">
        <f>SUM(E10:E58)-E59+E60</f>
        <v>3532847141</v>
      </c>
      <c r="F9" s="333">
        <f>SUM(F10:F58)-F59+F60</f>
        <v>102373443</v>
      </c>
      <c r="G9" s="333">
        <f>SUM(G10:G58)-G59+G60</f>
        <v>237587084</v>
      </c>
      <c r="H9" s="333">
        <f>SUM(H10:H58)-H59+H60</f>
        <v>525217870</v>
      </c>
      <c r="I9" s="333">
        <f t="shared" ref="I9:T9" si="0">SUM(I10:I60)</f>
        <v>1150824346.0718598</v>
      </c>
      <c r="J9" s="333">
        <f t="shared" si="0"/>
        <v>68401025.826589942</v>
      </c>
      <c r="K9" s="333">
        <f t="shared" si="0"/>
        <v>189258480.07617015</v>
      </c>
      <c r="L9" s="333">
        <f t="shared" si="0"/>
        <v>345060875.08184969</v>
      </c>
      <c r="M9" s="333">
        <f t="shared" si="0"/>
        <v>119695004.70721006</v>
      </c>
      <c r="N9" s="333">
        <f t="shared" si="0"/>
        <v>428408960.38003987</v>
      </c>
      <c r="O9" s="333">
        <f t="shared" si="0"/>
        <v>232731926</v>
      </c>
      <c r="P9" s="333">
        <f t="shared" si="0"/>
        <v>0</v>
      </c>
      <c r="Q9" s="333">
        <f t="shared" si="0"/>
        <v>115457985</v>
      </c>
      <c r="R9" s="333">
        <f t="shared" si="0"/>
        <v>1716703</v>
      </c>
      <c r="S9" s="333">
        <f t="shared" si="0"/>
        <v>12546992</v>
      </c>
      <c r="T9" s="333">
        <f t="shared" si="0"/>
        <v>103010246</v>
      </c>
      <c r="V9" s="579"/>
      <c r="W9" s="579"/>
    </row>
    <row r="10" spans="1:24" s="10" customFormat="1" ht="23.25" customHeight="1">
      <c r="A10" s="334" t="s">
        <v>2</v>
      </c>
      <c r="B10" s="119" t="s">
        <v>245</v>
      </c>
      <c r="C10" s="117">
        <f>SUM(D10:H10)-O10+P10</f>
        <v>722231783</v>
      </c>
      <c r="D10" s="98">
        <v>722231783</v>
      </c>
      <c r="E10" s="98"/>
      <c r="F10" s="98"/>
      <c r="G10" s="98"/>
      <c r="H10" s="98"/>
      <c r="I10" s="117">
        <f t="shared" ref="I10:I11" si="1">SUM(J10:N10)</f>
        <v>0</v>
      </c>
      <c r="J10" s="98"/>
      <c r="K10" s="98"/>
      <c r="L10" s="98"/>
      <c r="M10" s="98"/>
      <c r="N10" s="98"/>
      <c r="O10" s="117">
        <f>SUM(P10:T10)</f>
        <v>0</v>
      </c>
      <c r="P10" s="98"/>
      <c r="Q10" s="98"/>
      <c r="R10" s="98"/>
      <c r="S10" s="98"/>
      <c r="T10" s="98"/>
      <c r="U10" s="10">
        <v>10100</v>
      </c>
      <c r="V10" s="580"/>
      <c r="W10" s="581"/>
      <c r="X10" s="524"/>
    </row>
    <row r="11" spans="1:24" s="10" customFormat="1" ht="23.25" customHeight="1">
      <c r="A11" s="334" t="s">
        <v>5</v>
      </c>
      <c r="B11" s="119" t="s">
        <v>750</v>
      </c>
      <c r="C11" s="117">
        <f t="shared" ref="C11:C60" si="2">SUM(D11:H11)-O11+P11</f>
        <v>307687193</v>
      </c>
      <c r="D11" s="98">
        <v>307687193</v>
      </c>
      <c r="E11" s="98"/>
      <c r="F11" s="98"/>
      <c r="G11" s="98"/>
      <c r="H11" s="98"/>
      <c r="I11" s="117">
        <f t="shared" si="1"/>
        <v>0</v>
      </c>
      <c r="J11" s="98"/>
      <c r="K11" s="98"/>
      <c r="L11" s="98"/>
      <c r="M11" s="98"/>
      <c r="N11" s="98"/>
      <c r="O11" s="117">
        <f t="shared" ref="O11:O60" si="3">SUM(P11:T11)</f>
        <v>0</v>
      </c>
      <c r="P11" s="98"/>
      <c r="Q11" s="98"/>
      <c r="R11" s="98"/>
      <c r="S11" s="98"/>
      <c r="T11" s="98"/>
      <c r="U11" s="143">
        <v>10300</v>
      </c>
      <c r="V11" s="580"/>
      <c r="W11" s="582"/>
      <c r="X11" s="524"/>
    </row>
    <row r="12" spans="1:24" s="10" customFormat="1" ht="23.25" customHeight="1">
      <c r="A12" s="334" t="s">
        <v>6</v>
      </c>
      <c r="B12" s="119" t="s">
        <v>751</v>
      </c>
      <c r="C12" s="117">
        <f t="shared" si="2"/>
        <v>1069350609</v>
      </c>
      <c r="D12" s="98">
        <v>1069350609</v>
      </c>
      <c r="E12" s="98"/>
      <c r="F12" s="98"/>
      <c r="G12" s="98"/>
      <c r="H12" s="98"/>
      <c r="I12" s="117">
        <f>SUM(J12:N12)</f>
        <v>0</v>
      </c>
      <c r="J12" s="98"/>
      <c r="K12" s="98"/>
      <c r="L12" s="98"/>
      <c r="M12" s="98"/>
      <c r="N12" s="98"/>
      <c r="O12" s="117">
        <f t="shared" si="3"/>
        <v>0</v>
      </c>
      <c r="P12" s="98"/>
      <c r="Q12" s="98"/>
      <c r="R12" s="98"/>
      <c r="S12" s="98"/>
      <c r="T12" s="98"/>
      <c r="U12" s="143">
        <v>10500</v>
      </c>
      <c r="V12" s="524"/>
      <c r="X12" s="524"/>
    </row>
    <row r="13" spans="1:24" s="10" customFormat="1" ht="23.25" customHeight="1">
      <c r="A13" s="334" t="s">
        <v>4</v>
      </c>
      <c r="B13" s="119" t="s">
        <v>758</v>
      </c>
      <c r="C13" s="117">
        <f t="shared" si="2"/>
        <v>0</v>
      </c>
      <c r="D13" s="98">
        <v>0</v>
      </c>
      <c r="E13" s="98"/>
      <c r="F13" s="98"/>
      <c r="G13" s="98"/>
      <c r="H13" s="98"/>
      <c r="I13" s="117">
        <f t="shared" ref="I13:I60" si="4">SUM(J13:N13)</f>
        <v>0</v>
      </c>
      <c r="J13" s="98"/>
      <c r="K13" s="98"/>
      <c r="L13" s="98"/>
      <c r="M13" s="98"/>
      <c r="N13" s="98"/>
      <c r="O13" s="117">
        <f t="shared" si="3"/>
        <v>0</v>
      </c>
      <c r="P13" s="98"/>
      <c r="Q13" s="98"/>
      <c r="R13" s="98"/>
      <c r="S13" s="98"/>
      <c r="T13" s="98"/>
      <c r="U13" s="10">
        <v>10700</v>
      </c>
      <c r="V13" s="524"/>
      <c r="X13" s="524"/>
    </row>
    <row r="14" spans="1:24" s="10" customFormat="1" ht="35.25" customHeight="1">
      <c r="A14" s="334" t="s">
        <v>3</v>
      </c>
      <c r="B14" s="119" t="s">
        <v>759</v>
      </c>
      <c r="C14" s="117">
        <f t="shared" si="2"/>
        <v>10000000</v>
      </c>
      <c r="D14" s="98">
        <v>10000000</v>
      </c>
      <c r="E14" s="98"/>
      <c r="F14" s="98"/>
      <c r="G14" s="98"/>
      <c r="H14" s="98"/>
      <c r="I14" s="117">
        <f t="shared" si="4"/>
        <v>0</v>
      </c>
      <c r="J14" s="98"/>
      <c r="K14" s="98"/>
      <c r="L14" s="98"/>
      <c r="M14" s="98"/>
      <c r="N14" s="98"/>
      <c r="O14" s="117">
        <f t="shared" si="3"/>
        <v>0</v>
      </c>
      <c r="P14" s="98"/>
      <c r="Q14" s="98"/>
      <c r="R14" s="98"/>
      <c r="S14" s="98"/>
      <c r="T14" s="98"/>
      <c r="U14" s="10">
        <v>10800</v>
      </c>
      <c r="V14" s="524"/>
      <c r="X14" s="524"/>
    </row>
    <row r="15" spans="1:24" s="10" customFormat="1" ht="23.25" customHeight="1">
      <c r="A15" s="334" t="s">
        <v>8</v>
      </c>
      <c r="B15" s="119" t="s">
        <v>246</v>
      </c>
      <c r="C15" s="117">
        <f t="shared" si="2"/>
        <v>175</v>
      </c>
      <c r="D15" s="98">
        <v>175</v>
      </c>
      <c r="E15" s="98"/>
      <c r="F15" s="98"/>
      <c r="G15" s="98"/>
      <c r="H15" s="98"/>
      <c r="I15" s="117">
        <f t="shared" si="4"/>
        <v>0</v>
      </c>
      <c r="J15" s="98"/>
      <c r="K15" s="98"/>
      <c r="L15" s="98"/>
      <c r="M15" s="98"/>
      <c r="N15" s="98"/>
      <c r="O15" s="117">
        <f t="shared" si="3"/>
        <v>0</v>
      </c>
      <c r="P15" s="98"/>
      <c r="Q15" s="98"/>
      <c r="R15" s="98"/>
      <c r="S15" s="98"/>
      <c r="T15" s="98"/>
      <c r="U15" s="10">
        <v>10900</v>
      </c>
      <c r="V15" s="524"/>
      <c r="X15" s="524"/>
    </row>
    <row r="16" spans="1:24" s="10" customFormat="1" ht="23.25" customHeight="1">
      <c r="A16" s="334" t="s">
        <v>7</v>
      </c>
      <c r="B16" s="119" t="s">
        <v>760</v>
      </c>
      <c r="C16" s="117">
        <f t="shared" si="2"/>
        <v>0</v>
      </c>
      <c r="D16" s="98">
        <v>0</v>
      </c>
      <c r="E16" s="98">
        <v>0</v>
      </c>
      <c r="F16" s="98">
        <v>0</v>
      </c>
      <c r="G16" s="98">
        <v>0</v>
      </c>
      <c r="H16" s="98">
        <v>188313</v>
      </c>
      <c r="I16" s="117">
        <f t="shared" si="4"/>
        <v>188313.39299000002</v>
      </c>
      <c r="J16" s="98">
        <v>0</v>
      </c>
      <c r="K16" s="98">
        <v>0</v>
      </c>
      <c r="L16" s="98">
        <v>0</v>
      </c>
      <c r="M16" s="98">
        <v>0</v>
      </c>
      <c r="N16" s="98">
        <v>188313.39299000002</v>
      </c>
      <c r="O16" s="117">
        <f t="shared" si="3"/>
        <v>188313</v>
      </c>
      <c r="P16" s="98">
        <v>0</v>
      </c>
      <c r="Q16" s="98">
        <v>0</v>
      </c>
      <c r="R16" s="98">
        <v>0</v>
      </c>
      <c r="S16" s="98">
        <v>0</v>
      </c>
      <c r="T16" s="98">
        <v>188313</v>
      </c>
      <c r="U16" s="10">
        <v>11100</v>
      </c>
      <c r="V16" s="524"/>
      <c r="X16" s="524"/>
    </row>
    <row r="17" spans="1:24" ht="31.5">
      <c r="A17" s="118">
        <v>8</v>
      </c>
      <c r="B17" s="119" t="s">
        <v>247</v>
      </c>
      <c r="C17" s="117">
        <f t="shared" si="2"/>
        <v>0</v>
      </c>
      <c r="D17" s="98"/>
      <c r="E17" s="98"/>
      <c r="F17" s="98"/>
      <c r="G17" s="98"/>
      <c r="H17" s="98"/>
      <c r="I17" s="117">
        <f t="shared" si="4"/>
        <v>0</v>
      </c>
      <c r="J17" s="98"/>
      <c r="K17" s="98"/>
      <c r="L17" s="98"/>
      <c r="M17" s="98"/>
      <c r="N17" s="98"/>
      <c r="O17" s="117">
        <f t="shared" si="3"/>
        <v>0</v>
      </c>
      <c r="P17" s="98"/>
      <c r="Q17" s="98"/>
      <c r="R17" s="98"/>
      <c r="S17" s="98"/>
      <c r="T17" s="98"/>
      <c r="U17" s="143">
        <v>11500</v>
      </c>
      <c r="V17" s="524"/>
      <c r="W17" s="10"/>
      <c r="X17" s="524"/>
    </row>
    <row r="18" spans="1:24" ht="23.25" customHeight="1">
      <c r="A18" s="118">
        <v>9</v>
      </c>
      <c r="B18" s="119" t="s">
        <v>248</v>
      </c>
      <c r="C18" s="117">
        <f t="shared" si="2"/>
        <v>0</v>
      </c>
      <c r="D18" s="98"/>
      <c r="E18" s="98"/>
      <c r="F18" s="98"/>
      <c r="G18" s="98"/>
      <c r="H18" s="98"/>
      <c r="I18" s="117">
        <f t="shared" si="4"/>
        <v>0</v>
      </c>
      <c r="J18" s="98"/>
      <c r="K18" s="98"/>
      <c r="L18" s="98"/>
      <c r="M18" s="98"/>
      <c r="N18" s="98"/>
      <c r="O18" s="117">
        <f t="shared" si="3"/>
        <v>0</v>
      </c>
      <c r="P18" s="98"/>
      <c r="Q18" s="98"/>
      <c r="R18" s="98"/>
      <c r="S18" s="98"/>
      <c r="T18" s="98"/>
      <c r="U18" s="143">
        <v>11700</v>
      </c>
      <c r="V18" s="524"/>
      <c r="W18" s="10"/>
      <c r="X18" s="524"/>
    </row>
    <row r="19" spans="1:24" ht="23.25" customHeight="1">
      <c r="A19" s="118">
        <v>10</v>
      </c>
      <c r="B19" s="336" t="s">
        <v>249</v>
      </c>
      <c r="C19" s="117">
        <f t="shared" si="2"/>
        <v>0</v>
      </c>
      <c r="D19" s="98"/>
      <c r="E19" s="98"/>
      <c r="F19" s="98"/>
      <c r="G19" s="98"/>
      <c r="H19" s="98"/>
      <c r="I19" s="117">
        <f t="shared" si="4"/>
        <v>0</v>
      </c>
      <c r="J19" s="98"/>
      <c r="K19" s="98"/>
      <c r="L19" s="98"/>
      <c r="M19" s="98"/>
      <c r="N19" s="98"/>
      <c r="O19" s="117">
        <f t="shared" si="3"/>
        <v>0</v>
      </c>
      <c r="P19" s="98"/>
      <c r="Q19" s="98"/>
      <c r="R19" s="98"/>
      <c r="S19" s="98"/>
      <c r="T19" s="98"/>
      <c r="U19" s="143">
        <v>11800</v>
      </c>
      <c r="V19" s="524"/>
      <c r="W19" s="10"/>
      <c r="X19" s="524"/>
    </row>
    <row r="20" spans="1:24" ht="23.25" customHeight="1">
      <c r="A20" s="118">
        <v>11</v>
      </c>
      <c r="B20" s="119" t="s">
        <v>250</v>
      </c>
      <c r="C20" s="117">
        <f t="shared" si="2"/>
        <v>0</v>
      </c>
      <c r="D20" s="98"/>
      <c r="E20" s="98"/>
      <c r="F20" s="98"/>
      <c r="G20" s="98"/>
      <c r="H20" s="98"/>
      <c r="I20" s="117">
        <f t="shared" si="4"/>
        <v>0</v>
      </c>
      <c r="J20" s="98"/>
      <c r="K20" s="98"/>
      <c r="L20" s="98"/>
      <c r="M20" s="98"/>
      <c r="N20" s="98"/>
      <c r="O20" s="117">
        <f t="shared" si="3"/>
        <v>0</v>
      </c>
      <c r="P20" s="98"/>
      <c r="Q20" s="98"/>
      <c r="R20" s="98"/>
      <c r="S20" s="98"/>
      <c r="T20" s="98"/>
      <c r="U20" s="143">
        <v>11900</v>
      </c>
      <c r="V20" s="524"/>
      <c r="W20" s="10"/>
      <c r="X20" s="524"/>
    </row>
    <row r="21" spans="1:24" ht="23.25" customHeight="1">
      <c r="A21" s="118">
        <v>12</v>
      </c>
      <c r="B21" s="119" t="s">
        <v>251</v>
      </c>
      <c r="C21" s="117">
        <f t="shared" si="2"/>
        <v>0</v>
      </c>
      <c r="D21" s="98"/>
      <c r="E21" s="98"/>
      <c r="F21" s="98"/>
      <c r="G21" s="98"/>
      <c r="H21" s="98"/>
      <c r="I21" s="117">
        <f t="shared" si="4"/>
        <v>0</v>
      </c>
      <c r="J21" s="98"/>
      <c r="K21" s="98"/>
      <c r="L21" s="98"/>
      <c r="M21" s="98"/>
      <c r="N21" s="98"/>
      <c r="O21" s="117">
        <f t="shared" si="3"/>
        <v>0</v>
      </c>
      <c r="P21" s="98"/>
      <c r="Q21" s="98"/>
      <c r="R21" s="98"/>
      <c r="S21" s="98"/>
      <c r="T21" s="98"/>
      <c r="U21" s="143">
        <v>12100</v>
      </c>
      <c r="V21" s="524"/>
      <c r="W21" s="10"/>
      <c r="X21" s="524"/>
    </row>
    <row r="22" spans="1:24" ht="23.25" customHeight="1">
      <c r="A22" s="118">
        <v>13</v>
      </c>
      <c r="B22" s="119" t="s">
        <v>252</v>
      </c>
      <c r="C22" s="117">
        <f t="shared" si="2"/>
        <v>0</v>
      </c>
      <c r="D22" s="98"/>
      <c r="E22" s="98"/>
      <c r="F22" s="98"/>
      <c r="G22" s="98"/>
      <c r="H22" s="98"/>
      <c r="I22" s="117">
        <f t="shared" si="4"/>
        <v>0</v>
      </c>
      <c r="J22" s="98"/>
      <c r="K22" s="98"/>
      <c r="L22" s="98"/>
      <c r="M22" s="98"/>
      <c r="N22" s="98"/>
      <c r="O22" s="117">
        <f t="shared" si="3"/>
        <v>0</v>
      </c>
      <c r="P22" s="98"/>
      <c r="Q22" s="98"/>
      <c r="R22" s="98"/>
      <c r="S22" s="98"/>
      <c r="T22" s="98"/>
      <c r="U22" s="143">
        <v>12300</v>
      </c>
      <c r="V22" s="524"/>
      <c r="W22" s="10"/>
      <c r="X22" s="524"/>
    </row>
    <row r="23" spans="1:24" ht="23.25" customHeight="1">
      <c r="A23" s="118">
        <v>14</v>
      </c>
      <c r="B23" s="119" t="s">
        <v>253</v>
      </c>
      <c r="C23" s="117">
        <f t="shared" si="2"/>
        <v>0</v>
      </c>
      <c r="D23" s="98"/>
      <c r="E23" s="98"/>
      <c r="F23" s="98"/>
      <c r="G23" s="98"/>
      <c r="H23" s="98"/>
      <c r="I23" s="117">
        <f t="shared" si="4"/>
        <v>0</v>
      </c>
      <c r="J23" s="98"/>
      <c r="K23" s="98"/>
      <c r="L23" s="98"/>
      <c r="M23" s="98"/>
      <c r="N23" s="98"/>
      <c r="O23" s="117">
        <f t="shared" si="3"/>
        <v>0</v>
      </c>
      <c r="P23" s="98"/>
      <c r="Q23" s="98"/>
      <c r="R23" s="98"/>
      <c r="S23" s="98"/>
      <c r="T23" s="98"/>
      <c r="U23" s="143">
        <v>12400</v>
      </c>
      <c r="V23" s="524"/>
      <c r="W23" s="10"/>
      <c r="X23" s="524"/>
    </row>
    <row r="24" spans="1:24" ht="23.25" customHeight="1">
      <c r="A24" s="118">
        <v>15</v>
      </c>
      <c r="B24" s="119" t="s">
        <v>254</v>
      </c>
      <c r="C24" s="117">
        <f>SUM(D24:H24)-O24+P24</f>
        <v>425176266</v>
      </c>
      <c r="D24" s="98">
        <v>412878943</v>
      </c>
      <c r="E24" s="98">
        <v>8233005</v>
      </c>
      <c r="F24" s="98">
        <v>812628</v>
      </c>
      <c r="G24" s="98">
        <v>600797</v>
      </c>
      <c r="H24" s="98">
        <v>4867251</v>
      </c>
      <c r="I24" s="117">
        <f t="shared" si="4"/>
        <v>9222923.6697700005</v>
      </c>
      <c r="J24" s="98">
        <v>614966.22859999922</v>
      </c>
      <c r="K24" s="98">
        <v>1577800.3508500014</v>
      </c>
      <c r="L24" s="98">
        <v>2676034.739490001</v>
      </c>
      <c r="M24" s="98">
        <v>1533693.3494199989</v>
      </c>
      <c r="N24" s="98">
        <v>2820429.0014099996</v>
      </c>
      <c r="O24" s="117">
        <f t="shared" si="3"/>
        <v>2216358</v>
      </c>
      <c r="P24" s="98"/>
      <c r="Q24" s="98">
        <v>0</v>
      </c>
      <c r="R24" s="98">
        <v>78616</v>
      </c>
      <c r="S24" s="98">
        <v>103414</v>
      </c>
      <c r="T24" s="98">
        <v>2034328</v>
      </c>
      <c r="U24" s="143">
        <v>12500</v>
      </c>
      <c r="V24" s="524"/>
      <c r="W24" s="10"/>
      <c r="X24" s="524"/>
    </row>
    <row r="25" spans="1:24" ht="23.25" customHeight="1">
      <c r="A25" s="118">
        <v>16</v>
      </c>
      <c r="B25" s="119" t="s">
        <v>255</v>
      </c>
      <c r="C25" s="117">
        <f t="shared" si="2"/>
        <v>58493535</v>
      </c>
      <c r="D25" s="98">
        <v>58046354</v>
      </c>
      <c r="E25" s="98">
        <v>566231</v>
      </c>
      <c r="F25" s="98">
        <v>4821</v>
      </c>
      <c r="G25" s="98">
        <v>0</v>
      </c>
      <c r="H25" s="98">
        <v>530788</v>
      </c>
      <c r="I25" s="117">
        <f t="shared" si="4"/>
        <v>977242.74766000011</v>
      </c>
      <c r="J25" s="98">
        <v>27635.76843</v>
      </c>
      <c r="K25" s="98">
        <v>136860.09473000001</v>
      </c>
      <c r="L25" s="98">
        <v>142936.22965999998</v>
      </c>
      <c r="M25" s="98">
        <v>24051.189710000002</v>
      </c>
      <c r="N25" s="98">
        <v>645759.46513000014</v>
      </c>
      <c r="O25" s="117">
        <f t="shared" si="3"/>
        <v>654659</v>
      </c>
      <c r="P25" s="98">
        <v>0</v>
      </c>
      <c r="Q25" s="98">
        <v>127187</v>
      </c>
      <c r="R25" s="98">
        <v>650</v>
      </c>
      <c r="S25" s="98">
        <v>0</v>
      </c>
      <c r="T25" s="98">
        <v>526822</v>
      </c>
      <c r="U25" s="143">
        <v>12600</v>
      </c>
      <c r="V25" s="524"/>
      <c r="W25" s="10"/>
      <c r="X25" s="524"/>
    </row>
    <row r="26" spans="1:24" ht="23.25" customHeight="1">
      <c r="A26" s="118">
        <v>17</v>
      </c>
      <c r="B26" s="119" t="s">
        <v>761</v>
      </c>
      <c r="C26" s="117">
        <f>SUM(D26:H26)-O26+P26</f>
        <v>65476564</v>
      </c>
      <c r="D26" s="98">
        <v>65129467</v>
      </c>
      <c r="E26" s="98">
        <v>372934</v>
      </c>
      <c r="F26" s="98">
        <v>0</v>
      </c>
      <c r="G26" s="98">
        <v>0</v>
      </c>
      <c r="H26" s="98">
        <v>160630</v>
      </c>
      <c r="I26" s="117">
        <f t="shared" si="4"/>
        <v>695115.15216000006</v>
      </c>
      <c r="J26" s="98">
        <v>322180.70816000004</v>
      </c>
      <c r="K26" s="98">
        <v>0</v>
      </c>
      <c r="L26" s="98">
        <v>372934.44400000002</v>
      </c>
      <c r="M26" s="98">
        <v>0</v>
      </c>
      <c r="N26" s="98">
        <v>0</v>
      </c>
      <c r="O26" s="117">
        <f t="shared" si="3"/>
        <v>186467</v>
      </c>
      <c r="P26" s="98">
        <v>0</v>
      </c>
      <c r="Q26" s="98">
        <v>25837</v>
      </c>
      <c r="R26" s="98">
        <v>0</v>
      </c>
      <c r="S26" s="98">
        <v>0</v>
      </c>
      <c r="T26" s="98">
        <v>160630</v>
      </c>
      <c r="U26" s="143">
        <v>12700</v>
      </c>
      <c r="V26" s="524"/>
      <c r="W26" s="525"/>
      <c r="X26" s="524"/>
    </row>
    <row r="27" spans="1:24" ht="33.75" customHeight="1">
      <c r="A27" s="118">
        <v>18</v>
      </c>
      <c r="B27" s="119" t="s">
        <v>762</v>
      </c>
      <c r="C27" s="117">
        <f t="shared" si="2"/>
        <v>0</v>
      </c>
      <c r="D27" s="98"/>
      <c r="E27" s="98"/>
      <c r="F27" s="98"/>
      <c r="G27" s="98"/>
      <c r="H27" s="98"/>
      <c r="I27" s="117">
        <f t="shared" si="4"/>
        <v>0</v>
      </c>
      <c r="J27" s="98"/>
      <c r="K27" s="98"/>
      <c r="L27" s="98"/>
      <c r="M27" s="98"/>
      <c r="N27" s="98"/>
      <c r="O27" s="117">
        <f t="shared" si="3"/>
        <v>0</v>
      </c>
      <c r="P27" s="98"/>
      <c r="Q27" s="98"/>
      <c r="R27" s="98"/>
      <c r="S27" s="98"/>
      <c r="T27" s="98"/>
      <c r="U27" s="143">
        <v>12800</v>
      </c>
      <c r="V27" s="524"/>
      <c r="W27" s="525"/>
      <c r="X27" s="530"/>
    </row>
    <row r="28" spans="1:24" ht="23.25" customHeight="1">
      <c r="A28" s="118">
        <v>19</v>
      </c>
      <c r="B28" s="119" t="s">
        <v>256</v>
      </c>
      <c r="C28" s="117">
        <f t="shared" si="2"/>
        <v>79896470</v>
      </c>
      <c r="D28" s="98">
        <v>17234047</v>
      </c>
      <c r="E28" s="98">
        <v>69624915</v>
      </c>
      <c r="F28" s="98">
        <v>0</v>
      </c>
      <c r="G28" s="98">
        <v>0</v>
      </c>
      <c r="H28" s="98">
        <v>0</v>
      </c>
      <c r="I28" s="117">
        <f t="shared" si="4"/>
        <v>34812457.61276</v>
      </c>
      <c r="J28" s="98">
        <v>0</v>
      </c>
      <c r="K28" s="98">
        <v>34812457.61276</v>
      </c>
      <c r="L28" s="98">
        <v>0</v>
      </c>
      <c r="M28" s="98">
        <v>0</v>
      </c>
      <c r="N28" s="98">
        <v>0</v>
      </c>
      <c r="O28" s="117">
        <f t="shared" si="3"/>
        <v>6962492</v>
      </c>
      <c r="P28" s="98">
        <v>0</v>
      </c>
      <c r="Q28" s="98">
        <v>6962492</v>
      </c>
      <c r="R28" s="98">
        <v>0</v>
      </c>
      <c r="S28" s="98">
        <v>0</v>
      </c>
      <c r="T28" s="98">
        <v>0</v>
      </c>
      <c r="U28" s="143">
        <v>12900</v>
      </c>
      <c r="V28" s="524"/>
      <c r="W28" s="10"/>
      <c r="X28" s="524"/>
    </row>
    <row r="29" spans="1:24" ht="24" customHeight="1">
      <c r="A29" s="118">
        <v>20</v>
      </c>
      <c r="B29" s="119" t="s">
        <v>257</v>
      </c>
      <c r="C29" s="117">
        <f t="shared" si="2"/>
        <v>7852</v>
      </c>
      <c r="D29" s="98">
        <v>7852</v>
      </c>
      <c r="E29" s="98">
        <v>0</v>
      </c>
      <c r="F29" s="98">
        <v>0</v>
      </c>
      <c r="G29" s="98">
        <v>0</v>
      </c>
      <c r="H29" s="98">
        <v>0</v>
      </c>
      <c r="I29" s="117">
        <f t="shared" si="4"/>
        <v>0</v>
      </c>
      <c r="J29" s="98"/>
      <c r="K29" s="98"/>
      <c r="L29" s="98"/>
      <c r="M29" s="98"/>
      <c r="N29" s="98"/>
      <c r="O29" s="117">
        <f t="shared" si="3"/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143">
        <v>13000</v>
      </c>
      <c r="V29" s="524"/>
      <c r="W29" s="10"/>
      <c r="X29" s="524"/>
    </row>
    <row r="30" spans="1:24" ht="33.75" customHeight="1">
      <c r="A30" s="118">
        <v>21</v>
      </c>
      <c r="B30" s="119" t="s">
        <v>258</v>
      </c>
      <c r="C30" s="117">
        <f t="shared" si="2"/>
        <v>920456713</v>
      </c>
      <c r="D30" s="98">
        <v>755509507</v>
      </c>
      <c r="E30" s="98">
        <v>166440486</v>
      </c>
      <c r="F30" s="98">
        <v>402455</v>
      </c>
      <c r="G30" s="98">
        <v>327356</v>
      </c>
      <c r="H30" s="98">
        <v>25190542</v>
      </c>
      <c r="I30" s="117">
        <f t="shared" si="4"/>
        <v>143925984.56086996</v>
      </c>
      <c r="J30" s="98">
        <v>40474767.195229992</v>
      </c>
      <c r="K30" s="98">
        <v>17150279.441509999</v>
      </c>
      <c r="L30" s="98">
        <v>24795502.165319994</v>
      </c>
      <c r="M30" s="98">
        <v>30977562.748319998</v>
      </c>
      <c r="N30" s="98">
        <v>30527873.010489997</v>
      </c>
      <c r="O30" s="117">
        <f t="shared" si="3"/>
        <v>27413633</v>
      </c>
      <c r="P30" s="98"/>
      <c r="Q30" s="98">
        <v>4247993</v>
      </c>
      <c r="R30" s="98">
        <v>0</v>
      </c>
      <c r="S30" s="98">
        <v>31519</v>
      </c>
      <c r="T30" s="98">
        <v>23134121</v>
      </c>
      <c r="U30" s="143">
        <v>13100</v>
      </c>
      <c r="V30" s="524"/>
      <c r="W30" s="10"/>
      <c r="X30" s="524"/>
    </row>
    <row r="31" spans="1:24" ht="23.25" customHeight="1">
      <c r="A31" s="118">
        <v>22</v>
      </c>
      <c r="B31" s="119" t="s">
        <v>259</v>
      </c>
      <c r="C31" s="117">
        <f t="shared" si="2"/>
        <v>0</v>
      </c>
      <c r="D31" s="98"/>
      <c r="E31" s="98"/>
      <c r="F31" s="98"/>
      <c r="G31" s="98"/>
      <c r="H31" s="98"/>
      <c r="I31" s="117">
        <f t="shared" si="4"/>
        <v>0</v>
      </c>
      <c r="J31" s="98"/>
      <c r="K31" s="98"/>
      <c r="L31" s="98"/>
      <c r="M31" s="98"/>
      <c r="N31" s="98"/>
      <c r="O31" s="117">
        <f t="shared" si="3"/>
        <v>0</v>
      </c>
      <c r="P31" s="98"/>
      <c r="Q31" s="98"/>
      <c r="R31" s="98"/>
      <c r="S31" s="98"/>
      <c r="T31" s="98"/>
      <c r="U31" s="143">
        <v>13200</v>
      </c>
      <c r="V31" s="524"/>
      <c r="W31" s="10"/>
      <c r="X31" s="524"/>
    </row>
    <row r="32" spans="1:24" ht="32.25" customHeight="1">
      <c r="A32" s="118">
        <v>23</v>
      </c>
      <c r="B32" s="119" t="s">
        <v>260</v>
      </c>
      <c r="C32" s="117">
        <f t="shared" si="2"/>
        <v>0</v>
      </c>
      <c r="D32" s="98"/>
      <c r="E32" s="98"/>
      <c r="F32" s="98"/>
      <c r="G32" s="98"/>
      <c r="H32" s="98"/>
      <c r="I32" s="117">
        <f t="shared" ref="I32:I33" si="5">SUM(J32:N32)</f>
        <v>0</v>
      </c>
      <c r="J32" s="98"/>
      <c r="K32" s="98"/>
      <c r="L32" s="98"/>
      <c r="M32" s="98"/>
      <c r="N32" s="98"/>
      <c r="O32" s="117">
        <f t="shared" si="3"/>
        <v>0</v>
      </c>
      <c r="P32" s="98"/>
      <c r="Q32" s="98"/>
      <c r="R32" s="98"/>
      <c r="S32" s="98"/>
      <c r="T32" s="98"/>
      <c r="U32" s="143">
        <v>13300</v>
      </c>
      <c r="V32" s="524"/>
      <c r="W32" s="10"/>
      <c r="X32" s="524"/>
    </row>
    <row r="33" spans="1:24" ht="32.25" customHeight="1">
      <c r="A33" s="118">
        <v>24</v>
      </c>
      <c r="B33" s="119" t="s">
        <v>763</v>
      </c>
      <c r="C33" s="117">
        <f t="shared" si="2"/>
        <v>0</v>
      </c>
      <c r="D33" s="98"/>
      <c r="E33" s="98"/>
      <c r="F33" s="98"/>
      <c r="G33" s="98"/>
      <c r="H33" s="98"/>
      <c r="I33" s="117">
        <f t="shared" si="5"/>
        <v>0</v>
      </c>
      <c r="J33" s="98"/>
      <c r="K33" s="98"/>
      <c r="L33" s="98"/>
      <c r="M33" s="98"/>
      <c r="N33" s="98"/>
      <c r="O33" s="117">
        <f t="shared" si="3"/>
        <v>0</v>
      </c>
      <c r="P33" s="98"/>
      <c r="Q33" s="98"/>
      <c r="R33" s="98"/>
      <c r="S33" s="98"/>
      <c r="T33" s="98"/>
      <c r="U33" s="143">
        <v>14300</v>
      </c>
      <c r="V33" s="524"/>
      <c r="W33" s="525"/>
      <c r="X33" s="524"/>
    </row>
    <row r="34" spans="1:24" ht="33.75" customHeight="1">
      <c r="A34" s="118">
        <v>25</v>
      </c>
      <c r="B34" s="119" t="s">
        <v>764</v>
      </c>
      <c r="C34" s="117">
        <f t="shared" si="2"/>
        <v>123032250</v>
      </c>
      <c r="D34" s="98">
        <v>92009867</v>
      </c>
      <c r="E34" s="98">
        <v>34340214</v>
      </c>
      <c r="F34" s="98">
        <v>0</v>
      </c>
      <c r="G34" s="98">
        <v>0</v>
      </c>
      <c r="H34" s="98">
        <v>1302169</v>
      </c>
      <c r="I34" s="117">
        <f t="shared" si="4"/>
        <v>9170690.7894800007</v>
      </c>
      <c r="J34" s="98">
        <v>331867.08385999996</v>
      </c>
      <c r="K34" s="98">
        <v>805452.00391999993</v>
      </c>
      <c r="L34" s="98">
        <v>2456847.4114399999</v>
      </c>
      <c r="M34" s="98">
        <v>0</v>
      </c>
      <c r="N34" s="98">
        <v>5576524.2902600002</v>
      </c>
      <c r="O34" s="117">
        <f t="shared" si="3"/>
        <v>4620000</v>
      </c>
      <c r="P34" s="98"/>
      <c r="Q34" s="98">
        <v>4620000</v>
      </c>
      <c r="R34" s="98">
        <v>0</v>
      </c>
      <c r="S34" s="98">
        <v>0</v>
      </c>
      <c r="T34" s="98">
        <v>0</v>
      </c>
      <c r="U34" s="143">
        <v>14400</v>
      </c>
      <c r="V34" s="524"/>
      <c r="W34" s="525"/>
      <c r="X34" s="524"/>
    </row>
    <row r="35" spans="1:24" ht="23.25" customHeight="1">
      <c r="A35" s="118">
        <v>26</v>
      </c>
      <c r="B35" s="119" t="s">
        <v>261</v>
      </c>
      <c r="C35" s="117">
        <f t="shared" si="2"/>
        <v>0</v>
      </c>
      <c r="D35" s="98"/>
      <c r="E35" s="98"/>
      <c r="F35" s="98"/>
      <c r="G35" s="98"/>
      <c r="H35" s="98"/>
      <c r="I35" s="117">
        <f t="shared" si="4"/>
        <v>0</v>
      </c>
      <c r="J35" s="98"/>
      <c r="K35" s="98"/>
      <c r="L35" s="98"/>
      <c r="M35" s="98"/>
      <c r="N35" s="98"/>
      <c r="O35" s="117">
        <f t="shared" si="3"/>
        <v>0</v>
      </c>
      <c r="P35" s="98"/>
      <c r="Q35" s="98"/>
      <c r="R35" s="98"/>
      <c r="S35" s="98"/>
      <c r="T35" s="98"/>
      <c r="U35" s="143">
        <v>14500</v>
      </c>
      <c r="V35" s="524"/>
      <c r="W35" s="10"/>
      <c r="X35" s="524"/>
    </row>
    <row r="36" spans="1:24" ht="23.25" customHeight="1">
      <c r="A36" s="118">
        <v>27</v>
      </c>
      <c r="B36" s="119" t="s">
        <v>262</v>
      </c>
      <c r="C36" s="117">
        <f t="shared" si="2"/>
        <v>0</v>
      </c>
      <c r="D36" s="98"/>
      <c r="E36" s="98"/>
      <c r="F36" s="98"/>
      <c r="G36" s="98"/>
      <c r="H36" s="98"/>
      <c r="I36" s="117">
        <f t="shared" si="4"/>
        <v>0</v>
      </c>
      <c r="J36" s="98"/>
      <c r="K36" s="98"/>
      <c r="L36" s="98"/>
      <c r="M36" s="98"/>
      <c r="N36" s="98"/>
      <c r="O36" s="117">
        <f t="shared" si="3"/>
        <v>0</v>
      </c>
      <c r="P36" s="98"/>
      <c r="Q36" s="98"/>
      <c r="R36" s="98"/>
      <c r="S36" s="98"/>
      <c r="T36" s="98"/>
      <c r="U36" s="143">
        <v>14700</v>
      </c>
      <c r="V36" s="524"/>
      <c r="W36" s="10"/>
      <c r="X36" s="524"/>
    </row>
    <row r="37" spans="1:24" ht="23.25" customHeight="1">
      <c r="A37" s="118">
        <v>28</v>
      </c>
      <c r="B37" s="119" t="s">
        <v>263</v>
      </c>
      <c r="C37" s="117">
        <f t="shared" si="2"/>
        <v>0</v>
      </c>
      <c r="D37" s="98"/>
      <c r="E37" s="98"/>
      <c r="F37" s="98"/>
      <c r="G37" s="98"/>
      <c r="H37" s="98"/>
      <c r="I37" s="117">
        <f t="shared" si="4"/>
        <v>0</v>
      </c>
      <c r="J37" s="98"/>
      <c r="K37" s="98"/>
      <c r="L37" s="98"/>
      <c r="M37" s="98"/>
      <c r="N37" s="98"/>
      <c r="O37" s="117">
        <f t="shared" si="3"/>
        <v>0</v>
      </c>
      <c r="P37" s="98"/>
      <c r="Q37" s="98"/>
      <c r="R37" s="98"/>
      <c r="S37" s="98"/>
      <c r="T37" s="98"/>
      <c r="U37" s="143">
        <v>14800</v>
      </c>
      <c r="V37" s="524"/>
      <c r="W37" s="10"/>
      <c r="X37" s="524"/>
    </row>
    <row r="38" spans="1:24" ht="23.25" customHeight="1">
      <c r="A38" s="118">
        <v>29</v>
      </c>
      <c r="B38" s="119" t="s">
        <v>264</v>
      </c>
      <c r="C38" s="117">
        <f t="shared" si="2"/>
        <v>4857087022</v>
      </c>
      <c r="D38" s="98">
        <v>3653185804</v>
      </c>
      <c r="E38" s="98">
        <v>854918773</v>
      </c>
      <c r="F38" s="98">
        <v>87962499</v>
      </c>
      <c r="G38" s="98">
        <v>194591739</v>
      </c>
      <c r="H38" s="98">
        <v>119676221</v>
      </c>
      <c r="I38" s="117">
        <f t="shared" si="4"/>
        <v>355100526.9539696</v>
      </c>
      <c r="J38" s="98">
        <v>9211463.3630299252</v>
      </c>
      <c r="K38" s="98">
        <v>43737030.752090059</v>
      </c>
      <c r="L38" s="98">
        <v>124885875.21096975</v>
      </c>
      <c r="M38" s="98">
        <v>28171151.943960048</v>
      </c>
      <c r="N38" s="98">
        <v>149095005.68391979</v>
      </c>
      <c r="O38" s="117">
        <f t="shared" si="3"/>
        <v>53248014</v>
      </c>
      <c r="P38" s="98"/>
      <c r="Q38" s="98">
        <v>25961664</v>
      </c>
      <c r="R38" s="98">
        <v>1411187</v>
      </c>
      <c r="S38" s="98">
        <v>10581755</v>
      </c>
      <c r="T38" s="98">
        <v>15293408</v>
      </c>
      <c r="U38" s="143">
        <v>14900</v>
      </c>
      <c r="V38" s="524"/>
      <c r="W38" s="10"/>
      <c r="X38" s="524"/>
    </row>
    <row r="39" spans="1:24" ht="23.25" customHeight="1">
      <c r="A39" s="118">
        <v>30</v>
      </c>
      <c r="B39" s="119" t="s">
        <v>265</v>
      </c>
      <c r="C39" s="117">
        <f t="shared" si="2"/>
        <v>105193961</v>
      </c>
      <c r="D39" s="98">
        <v>36246760</v>
      </c>
      <c r="E39" s="98">
        <v>64616688</v>
      </c>
      <c r="F39" s="98">
        <v>3434982</v>
      </c>
      <c r="G39" s="98">
        <v>7406493</v>
      </c>
      <c r="H39" s="98">
        <v>3710752</v>
      </c>
      <c r="I39" s="117">
        <f t="shared" si="4"/>
        <v>47356781.817450017</v>
      </c>
      <c r="J39" s="98">
        <v>407695.24873000005</v>
      </c>
      <c r="K39" s="98">
        <v>3175984.6055799993</v>
      </c>
      <c r="L39" s="98">
        <v>4888103.0891499966</v>
      </c>
      <c r="M39" s="98">
        <v>1266102.4840099995</v>
      </c>
      <c r="N39" s="98">
        <v>37618896.389980018</v>
      </c>
      <c r="O39" s="117">
        <f t="shared" si="3"/>
        <v>10221714</v>
      </c>
      <c r="P39" s="98">
        <v>0</v>
      </c>
      <c r="Q39" s="98">
        <v>8772407</v>
      </c>
      <c r="R39" s="98">
        <v>36649</v>
      </c>
      <c r="S39" s="98">
        <v>694225</v>
      </c>
      <c r="T39" s="98">
        <v>718433</v>
      </c>
      <c r="U39" s="143">
        <v>15000</v>
      </c>
      <c r="V39" s="524"/>
      <c r="W39" s="10"/>
      <c r="X39" s="524"/>
    </row>
    <row r="40" spans="1:24" ht="33.75" customHeight="1">
      <c r="A40" s="118">
        <v>31</v>
      </c>
      <c r="B40" s="119" t="s">
        <v>765</v>
      </c>
      <c r="C40" s="117">
        <f t="shared" si="2"/>
        <v>75404162</v>
      </c>
      <c r="D40" s="98">
        <v>54547769</v>
      </c>
      <c r="E40" s="98">
        <v>20472399</v>
      </c>
      <c r="F40" s="98">
        <v>0</v>
      </c>
      <c r="G40" s="98">
        <v>0</v>
      </c>
      <c r="H40" s="98">
        <v>383994</v>
      </c>
      <c r="I40" s="117">
        <f t="shared" si="4"/>
        <v>5926832.0905099995</v>
      </c>
      <c r="J40" s="98">
        <v>0</v>
      </c>
      <c r="K40" s="98">
        <v>579612.39806000004</v>
      </c>
      <c r="L40" s="98">
        <v>199408.51949999999</v>
      </c>
      <c r="M40" s="98">
        <v>5147811.1729499996</v>
      </c>
      <c r="N40" s="98">
        <v>0</v>
      </c>
      <c r="O40" s="117">
        <f t="shared" si="3"/>
        <v>0</v>
      </c>
      <c r="P40" s="98"/>
      <c r="Q40" s="98"/>
      <c r="R40" s="98"/>
      <c r="S40" s="98"/>
      <c r="T40" s="98"/>
      <c r="U40" s="143">
        <v>15100</v>
      </c>
      <c r="V40" s="524"/>
      <c r="W40" s="525"/>
      <c r="X40" s="524"/>
    </row>
    <row r="41" spans="1:24" ht="23.25" customHeight="1">
      <c r="A41" s="118">
        <v>32</v>
      </c>
      <c r="B41" s="119" t="s">
        <v>266</v>
      </c>
      <c r="C41" s="117">
        <f t="shared" si="2"/>
        <v>5139565</v>
      </c>
      <c r="D41" s="98">
        <v>5046825</v>
      </c>
      <c r="E41" s="98">
        <v>92740</v>
      </c>
      <c r="F41" s="98">
        <v>0</v>
      </c>
      <c r="G41" s="98">
        <v>0</v>
      </c>
      <c r="H41" s="98">
        <v>0</v>
      </c>
      <c r="I41" s="117">
        <f t="shared" si="4"/>
        <v>6245.7814600000002</v>
      </c>
      <c r="J41" s="98">
        <v>1463.9968700000002</v>
      </c>
      <c r="K41" s="98">
        <v>4781.7845900000002</v>
      </c>
      <c r="L41" s="98">
        <v>0</v>
      </c>
      <c r="M41" s="98">
        <v>0</v>
      </c>
      <c r="N41" s="98">
        <v>0</v>
      </c>
      <c r="O41" s="117">
        <f t="shared" si="3"/>
        <v>0</v>
      </c>
      <c r="P41" s="98"/>
      <c r="Q41" s="98"/>
      <c r="R41" s="98"/>
      <c r="S41" s="98"/>
      <c r="T41" s="98"/>
      <c r="U41" s="143">
        <v>15200</v>
      </c>
      <c r="V41" s="524"/>
      <c r="W41" s="10"/>
      <c r="X41" s="524"/>
    </row>
    <row r="42" spans="1:24" ht="23.25" customHeight="1">
      <c r="A42" s="118">
        <v>33</v>
      </c>
      <c r="B42" s="119" t="s">
        <v>267</v>
      </c>
      <c r="C42" s="117">
        <f t="shared" si="2"/>
        <v>199756126</v>
      </c>
      <c r="D42" s="98">
        <v>152143396</v>
      </c>
      <c r="E42" s="98">
        <v>49998471</v>
      </c>
      <c r="F42" s="98">
        <v>0</v>
      </c>
      <c r="G42" s="98">
        <v>0</v>
      </c>
      <c r="H42" s="98">
        <v>0</v>
      </c>
      <c r="I42" s="117">
        <f t="shared" si="4"/>
        <v>11750141.458630001</v>
      </c>
      <c r="J42" s="98">
        <v>190926.66697999998</v>
      </c>
      <c r="K42" s="98">
        <v>10261290.93685</v>
      </c>
      <c r="L42" s="98">
        <v>401003.85561999999</v>
      </c>
      <c r="M42" s="98">
        <v>896919.99917999993</v>
      </c>
      <c r="N42" s="98">
        <v>0</v>
      </c>
      <c r="O42" s="117">
        <f t="shared" si="3"/>
        <v>2385741</v>
      </c>
      <c r="P42" s="98"/>
      <c r="Q42" s="98">
        <v>2385741</v>
      </c>
      <c r="R42" s="98">
        <v>0</v>
      </c>
      <c r="S42" s="98">
        <v>0</v>
      </c>
      <c r="T42" s="98">
        <v>0</v>
      </c>
      <c r="U42" s="143">
        <v>15300</v>
      </c>
      <c r="V42" s="524"/>
      <c r="W42" s="10"/>
      <c r="X42" s="524"/>
    </row>
    <row r="43" spans="1:24" ht="23.25" customHeight="1">
      <c r="A43" s="118">
        <v>34</v>
      </c>
      <c r="B43" s="119" t="s">
        <v>268</v>
      </c>
      <c r="C43" s="117">
        <f t="shared" si="2"/>
        <v>0</v>
      </c>
      <c r="D43" s="98"/>
      <c r="E43" s="98"/>
      <c r="F43" s="98"/>
      <c r="G43" s="98"/>
      <c r="H43" s="98"/>
      <c r="I43" s="117">
        <f t="shared" si="4"/>
        <v>0</v>
      </c>
      <c r="J43" s="98"/>
      <c r="K43" s="98"/>
      <c r="L43" s="98"/>
      <c r="M43" s="98"/>
      <c r="N43" s="98"/>
      <c r="O43" s="117">
        <f t="shared" si="3"/>
        <v>0</v>
      </c>
      <c r="P43" s="98"/>
      <c r="Q43" s="98"/>
      <c r="R43" s="98"/>
      <c r="S43" s="98"/>
      <c r="T43" s="98"/>
      <c r="U43" s="143">
        <v>15400</v>
      </c>
      <c r="V43" s="524"/>
      <c r="W43" s="10"/>
      <c r="X43" s="524"/>
    </row>
    <row r="44" spans="1:24" ht="33.75" customHeight="1">
      <c r="A44" s="118">
        <v>35</v>
      </c>
      <c r="B44" s="119" t="s">
        <v>269</v>
      </c>
      <c r="C44" s="117">
        <f t="shared" si="2"/>
        <v>7219232750</v>
      </c>
      <c r="D44" s="98">
        <v>4648436870</v>
      </c>
      <c r="E44" s="98">
        <v>2263170285</v>
      </c>
      <c r="F44" s="98">
        <v>9756058</v>
      </c>
      <c r="G44" s="98">
        <v>34660699</v>
      </c>
      <c r="H44" s="98">
        <v>368986362</v>
      </c>
      <c r="I44" s="117">
        <f t="shared" si="4"/>
        <v>531470242.0888502</v>
      </c>
      <c r="J44" s="98">
        <v>16818059.566700011</v>
      </c>
      <c r="K44" s="98">
        <v>77016930.095230088</v>
      </c>
      <c r="L44" s="98">
        <v>184242229.41669998</v>
      </c>
      <c r="M44" s="98">
        <v>51677711.819660015</v>
      </c>
      <c r="N44" s="98">
        <v>201715311.1905601</v>
      </c>
      <c r="O44" s="117">
        <f t="shared" si="3"/>
        <v>105777524</v>
      </c>
      <c r="P44" s="98"/>
      <c r="Q44" s="98">
        <v>43718501</v>
      </c>
      <c r="R44" s="98">
        <v>189601</v>
      </c>
      <c r="S44" s="98">
        <v>1136079</v>
      </c>
      <c r="T44" s="98">
        <v>60733343</v>
      </c>
      <c r="U44" s="143">
        <v>15500</v>
      </c>
      <c r="V44" s="524"/>
      <c r="W44" s="10"/>
      <c r="X44" s="524"/>
    </row>
    <row r="45" spans="1:24" ht="18" customHeight="1">
      <c r="A45" s="118">
        <v>36</v>
      </c>
      <c r="B45" s="119" t="s">
        <v>270</v>
      </c>
      <c r="C45" s="117">
        <f t="shared" si="2"/>
        <v>35164288</v>
      </c>
      <c r="D45" s="98">
        <v>35164288</v>
      </c>
      <c r="E45" s="98">
        <v>0</v>
      </c>
      <c r="F45" s="98">
        <v>0</v>
      </c>
      <c r="G45" s="98">
        <v>0</v>
      </c>
      <c r="H45" s="98">
        <v>220848</v>
      </c>
      <c r="I45" s="117">
        <f t="shared" si="4"/>
        <v>220847.9553</v>
      </c>
      <c r="J45" s="98">
        <v>0</v>
      </c>
      <c r="K45" s="98">
        <v>0</v>
      </c>
      <c r="L45" s="98">
        <v>0</v>
      </c>
      <c r="M45" s="98">
        <v>0</v>
      </c>
      <c r="N45" s="98">
        <v>220847.9553</v>
      </c>
      <c r="O45" s="117">
        <f t="shared" si="3"/>
        <v>220848</v>
      </c>
      <c r="P45" s="98">
        <v>0</v>
      </c>
      <c r="Q45" s="98">
        <v>0</v>
      </c>
      <c r="R45" s="98">
        <v>0</v>
      </c>
      <c r="S45" s="98">
        <v>0</v>
      </c>
      <c r="T45" s="98">
        <v>220848</v>
      </c>
      <c r="U45" s="143">
        <v>15600</v>
      </c>
      <c r="V45" s="524"/>
      <c r="W45" s="10"/>
      <c r="X45" s="524"/>
    </row>
    <row r="46" spans="1:24" ht="23.25" customHeight="1">
      <c r="A46" s="118">
        <v>37</v>
      </c>
      <c r="B46" s="119" t="s">
        <v>772</v>
      </c>
      <c r="C46" s="117">
        <f t="shared" si="2"/>
        <v>41579224</v>
      </c>
      <c r="D46" s="98">
        <v>53467248</v>
      </c>
      <c r="E46" s="98"/>
      <c r="F46" s="98"/>
      <c r="G46" s="98"/>
      <c r="H46" s="98"/>
      <c r="I46" s="117">
        <f t="shared" si="4"/>
        <v>0</v>
      </c>
      <c r="J46" s="98"/>
      <c r="K46" s="98"/>
      <c r="L46" s="98"/>
      <c r="M46" s="98"/>
      <c r="N46" s="98"/>
      <c r="O46" s="117">
        <f t="shared" si="3"/>
        <v>11888024</v>
      </c>
      <c r="P46" s="98"/>
      <c r="Q46" s="98">
        <v>11888024</v>
      </c>
      <c r="R46" s="98"/>
      <c r="S46" s="98"/>
      <c r="T46" s="98"/>
      <c r="U46" s="143">
        <v>15700</v>
      </c>
      <c r="V46" s="524"/>
      <c r="W46" s="525"/>
      <c r="X46" s="524"/>
    </row>
    <row r="47" spans="1:24" ht="33.75" customHeight="1">
      <c r="A47" s="118">
        <v>38</v>
      </c>
      <c r="B47" s="119" t="s">
        <v>773</v>
      </c>
      <c r="C47" s="117">
        <f t="shared" si="2"/>
        <v>107220</v>
      </c>
      <c r="D47" s="98">
        <v>107220</v>
      </c>
      <c r="E47" s="98"/>
      <c r="F47" s="98"/>
      <c r="G47" s="98"/>
      <c r="H47" s="98"/>
      <c r="I47" s="117">
        <f t="shared" si="4"/>
        <v>0</v>
      </c>
      <c r="J47" s="98"/>
      <c r="K47" s="98"/>
      <c r="L47" s="98"/>
      <c r="M47" s="98"/>
      <c r="N47" s="98"/>
      <c r="O47" s="117">
        <f t="shared" si="3"/>
        <v>0</v>
      </c>
      <c r="P47" s="98"/>
      <c r="Q47" s="98">
        <v>0</v>
      </c>
      <c r="R47" s="98"/>
      <c r="S47" s="98"/>
      <c r="T47" s="98"/>
      <c r="U47" s="143">
        <v>15800</v>
      </c>
      <c r="V47" s="524"/>
      <c r="W47" s="525"/>
      <c r="X47" s="524"/>
    </row>
    <row r="48" spans="1:24" ht="23.25" customHeight="1">
      <c r="A48" s="118">
        <v>39</v>
      </c>
      <c r="B48" s="119" t="s">
        <v>770</v>
      </c>
      <c r="C48" s="117">
        <f t="shared" si="2"/>
        <v>0</v>
      </c>
      <c r="D48" s="98">
        <v>0</v>
      </c>
      <c r="E48" s="98"/>
      <c r="F48" s="98"/>
      <c r="G48" s="98"/>
      <c r="H48" s="98"/>
      <c r="I48" s="117">
        <f t="shared" si="4"/>
        <v>0</v>
      </c>
      <c r="J48" s="98"/>
      <c r="K48" s="98"/>
      <c r="L48" s="98"/>
      <c r="M48" s="98"/>
      <c r="N48" s="98"/>
      <c r="O48" s="117">
        <f t="shared" si="3"/>
        <v>0</v>
      </c>
      <c r="P48" s="98"/>
      <c r="Q48" s="98">
        <v>0</v>
      </c>
      <c r="R48" s="98"/>
      <c r="S48" s="98"/>
      <c r="T48" s="98"/>
      <c r="U48" s="143">
        <v>15900</v>
      </c>
      <c r="V48" s="524"/>
      <c r="W48" s="525"/>
      <c r="X48" s="524"/>
    </row>
    <row r="49" spans="1:30" ht="23.25" customHeight="1">
      <c r="A49" s="118">
        <v>40</v>
      </c>
      <c r="B49" s="119" t="s">
        <v>771</v>
      </c>
      <c r="C49" s="117">
        <f t="shared" si="2"/>
        <v>1122473892</v>
      </c>
      <c r="D49" s="98">
        <v>1127993430</v>
      </c>
      <c r="E49" s="98"/>
      <c r="F49" s="98"/>
      <c r="G49" s="98"/>
      <c r="H49" s="98"/>
      <c r="I49" s="117">
        <f t="shared" si="4"/>
        <v>0</v>
      </c>
      <c r="J49" s="98"/>
      <c r="K49" s="98"/>
      <c r="L49" s="98"/>
      <c r="M49" s="98"/>
      <c r="N49" s="98"/>
      <c r="O49" s="117">
        <f t="shared" si="3"/>
        <v>5519538</v>
      </c>
      <c r="P49" s="98"/>
      <c r="Q49" s="98">
        <v>5519538</v>
      </c>
      <c r="R49" s="98"/>
      <c r="S49" s="98"/>
      <c r="T49" s="98"/>
      <c r="U49" s="143">
        <v>16300</v>
      </c>
      <c r="V49" s="524"/>
      <c r="W49" s="525"/>
      <c r="X49" s="524"/>
    </row>
    <row r="50" spans="1:30" ht="23.25" customHeight="1">
      <c r="A50" s="118">
        <v>41</v>
      </c>
      <c r="B50" s="119" t="s">
        <v>769</v>
      </c>
      <c r="C50" s="117">
        <f t="shared" si="2"/>
        <v>107474</v>
      </c>
      <c r="D50" s="98">
        <v>107474</v>
      </c>
      <c r="E50" s="98"/>
      <c r="F50" s="98"/>
      <c r="G50" s="98"/>
      <c r="H50" s="98"/>
      <c r="I50" s="117">
        <f t="shared" si="4"/>
        <v>0</v>
      </c>
      <c r="J50" s="98"/>
      <c r="K50" s="98"/>
      <c r="L50" s="98"/>
      <c r="M50" s="98"/>
      <c r="N50" s="98"/>
      <c r="O50" s="117">
        <f t="shared" si="3"/>
        <v>0</v>
      </c>
      <c r="P50" s="98"/>
      <c r="Q50" s="98">
        <v>0</v>
      </c>
      <c r="R50" s="98"/>
      <c r="S50" s="98"/>
      <c r="T50" s="98"/>
      <c r="U50" s="143">
        <v>16400</v>
      </c>
      <c r="V50" s="524"/>
      <c r="W50" s="525"/>
      <c r="X50" s="524"/>
    </row>
    <row r="51" spans="1:30" ht="23.25" customHeight="1">
      <c r="A51" s="118">
        <v>42</v>
      </c>
      <c r="B51" s="119" t="s">
        <v>271</v>
      </c>
      <c r="C51" s="117">
        <f t="shared" si="2"/>
        <v>919755390</v>
      </c>
      <c r="D51" s="98">
        <v>919755390</v>
      </c>
      <c r="E51" s="98"/>
      <c r="F51" s="98"/>
      <c r="G51" s="98"/>
      <c r="H51" s="98"/>
      <c r="I51" s="117">
        <f t="shared" si="4"/>
        <v>0</v>
      </c>
      <c r="J51" s="98"/>
      <c r="K51" s="98"/>
      <c r="L51" s="98"/>
      <c r="M51" s="98"/>
      <c r="N51" s="98"/>
      <c r="O51" s="117">
        <f t="shared" si="3"/>
        <v>0</v>
      </c>
      <c r="P51" s="98"/>
      <c r="Q51" s="98">
        <v>0</v>
      </c>
      <c r="R51" s="98"/>
      <c r="S51" s="98"/>
      <c r="T51" s="98"/>
      <c r="U51" s="143">
        <v>16500</v>
      </c>
      <c r="V51" s="524"/>
      <c r="W51" s="525"/>
      <c r="X51" s="524"/>
    </row>
    <row r="52" spans="1:30" ht="23.25" customHeight="1">
      <c r="A52" s="118">
        <v>43</v>
      </c>
      <c r="B52" s="119" t="s">
        <v>272</v>
      </c>
      <c r="C52" s="117">
        <f t="shared" si="2"/>
        <v>13124663</v>
      </c>
      <c r="D52" s="98">
        <v>13124663</v>
      </c>
      <c r="E52" s="98"/>
      <c r="F52" s="98"/>
      <c r="G52" s="98"/>
      <c r="H52" s="98"/>
      <c r="I52" s="117">
        <f t="shared" si="4"/>
        <v>0</v>
      </c>
      <c r="J52" s="98"/>
      <c r="K52" s="98"/>
      <c r="L52" s="98"/>
      <c r="M52" s="98"/>
      <c r="N52" s="98"/>
      <c r="O52" s="117">
        <f t="shared" si="3"/>
        <v>0</v>
      </c>
      <c r="P52" s="98"/>
      <c r="Q52" s="98">
        <v>0</v>
      </c>
      <c r="R52" s="98"/>
      <c r="S52" s="98"/>
      <c r="T52" s="98"/>
      <c r="U52" s="143">
        <v>16600</v>
      </c>
      <c r="V52" s="524"/>
      <c r="W52" s="525"/>
      <c r="X52" s="524"/>
    </row>
    <row r="53" spans="1:30" ht="23.25" customHeight="1">
      <c r="A53" s="118">
        <v>44</v>
      </c>
      <c r="B53" s="119" t="s">
        <v>273</v>
      </c>
      <c r="C53" s="117">
        <f t="shared" si="2"/>
        <v>196566905</v>
      </c>
      <c r="D53" s="98">
        <v>197376727</v>
      </c>
      <c r="E53" s="98"/>
      <c r="F53" s="98"/>
      <c r="G53" s="98"/>
      <c r="H53" s="98"/>
      <c r="I53" s="117">
        <f t="shared" si="4"/>
        <v>0</v>
      </c>
      <c r="J53" s="98"/>
      <c r="K53" s="98"/>
      <c r="L53" s="98"/>
      <c r="M53" s="98"/>
      <c r="N53" s="98"/>
      <c r="O53" s="117">
        <f t="shared" si="3"/>
        <v>809822</v>
      </c>
      <c r="P53" s="98"/>
      <c r="Q53" s="98">
        <v>809822</v>
      </c>
      <c r="R53" s="98"/>
      <c r="S53" s="98"/>
      <c r="T53" s="98"/>
      <c r="U53" s="178">
        <v>16700</v>
      </c>
      <c r="V53" s="524"/>
      <c r="W53" s="525"/>
      <c r="X53" s="524"/>
    </row>
    <row r="54" spans="1:30" ht="23.25" customHeight="1">
      <c r="A54" s="118">
        <v>45</v>
      </c>
      <c r="B54" s="119" t="s">
        <v>768</v>
      </c>
      <c r="C54" s="117">
        <f t="shared" ref="C54" si="6">SUM(D54:H54)-O54+P54</f>
        <v>288266990</v>
      </c>
      <c r="D54" s="98">
        <v>288685769</v>
      </c>
      <c r="E54" s="98"/>
      <c r="F54" s="98"/>
      <c r="G54" s="98"/>
      <c r="H54" s="98"/>
      <c r="I54" s="117">
        <f t="shared" ref="I54" si="7">SUM(J54:N54)</f>
        <v>0</v>
      </c>
      <c r="J54" s="98"/>
      <c r="K54" s="98"/>
      <c r="L54" s="98"/>
      <c r="M54" s="98"/>
      <c r="N54" s="98"/>
      <c r="O54" s="117">
        <f t="shared" ref="O54" si="8">SUM(P54:T54)</f>
        <v>418779</v>
      </c>
      <c r="P54" s="98"/>
      <c r="Q54" s="98">
        <v>418779</v>
      </c>
      <c r="R54" s="98"/>
      <c r="S54" s="98"/>
      <c r="T54" s="98"/>
      <c r="U54" s="178">
        <v>16800</v>
      </c>
      <c r="V54" s="524"/>
      <c r="W54" s="525"/>
      <c r="X54" s="524"/>
    </row>
    <row r="55" spans="1:30" ht="23.25" customHeight="1">
      <c r="A55" s="118">
        <v>46</v>
      </c>
      <c r="B55" s="119" t="s">
        <v>274</v>
      </c>
      <c r="C55" s="117">
        <f t="shared" si="2"/>
        <v>0</v>
      </c>
      <c r="D55" s="98">
        <v>0</v>
      </c>
      <c r="E55" s="98"/>
      <c r="F55" s="98"/>
      <c r="G55" s="98"/>
      <c r="H55" s="98"/>
      <c r="I55" s="117">
        <f t="shared" si="4"/>
        <v>0</v>
      </c>
      <c r="J55" s="98"/>
      <c r="K55" s="98"/>
      <c r="L55" s="98"/>
      <c r="M55" s="98"/>
      <c r="N55" s="98"/>
      <c r="O55" s="117">
        <f t="shared" si="3"/>
        <v>0</v>
      </c>
      <c r="P55" s="98"/>
      <c r="Q55" s="98">
        <v>0</v>
      </c>
      <c r="R55" s="98"/>
      <c r="S55" s="98"/>
      <c r="T55" s="98"/>
      <c r="U55" s="178">
        <v>16900</v>
      </c>
      <c r="V55" s="524"/>
      <c r="W55" s="525"/>
      <c r="X55" s="524"/>
    </row>
    <row r="56" spans="1:30" ht="23.25" customHeight="1">
      <c r="A56" s="118">
        <v>47</v>
      </c>
      <c r="B56" s="119" t="s">
        <v>767</v>
      </c>
      <c r="C56" s="117">
        <f t="shared" si="2"/>
        <v>0</v>
      </c>
      <c r="D56" s="98">
        <v>0</v>
      </c>
      <c r="E56" s="98"/>
      <c r="F56" s="98"/>
      <c r="G56" s="98"/>
      <c r="H56" s="98"/>
      <c r="I56" s="117">
        <f t="shared" si="4"/>
        <v>0</v>
      </c>
      <c r="J56" s="98"/>
      <c r="K56" s="98"/>
      <c r="L56" s="98"/>
      <c r="M56" s="98"/>
      <c r="N56" s="98"/>
      <c r="O56" s="117">
        <f t="shared" si="3"/>
        <v>0</v>
      </c>
      <c r="P56" s="98"/>
      <c r="Q56" s="98">
        <v>0</v>
      </c>
      <c r="R56" s="98"/>
      <c r="S56" s="98"/>
      <c r="T56" s="98"/>
      <c r="U56" s="178">
        <v>17100</v>
      </c>
      <c r="V56" s="524"/>
      <c r="W56" s="525"/>
      <c r="X56" s="524"/>
    </row>
    <row r="57" spans="1:30" ht="23.25" customHeight="1">
      <c r="A57" s="118">
        <v>48</v>
      </c>
      <c r="B57" s="119" t="s">
        <v>275</v>
      </c>
      <c r="C57" s="117">
        <f t="shared" si="2"/>
        <v>0</v>
      </c>
      <c r="D57" s="98">
        <v>0</v>
      </c>
      <c r="E57" s="98"/>
      <c r="F57" s="98"/>
      <c r="G57" s="98"/>
      <c r="H57" s="98"/>
      <c r="I57" s="117">
        <f t="shared" si="4"/>
        <v>0</v>
      </c>
      <c r="J57" s="98"/>
      <c r="K57" s="98"/>
      <c r="L57" s="98"/>
      <c r="M57" s="98"/>
      <c r="N57" s="98"/>
      <c r="O57" s="117">
        <f t="shared" si="3"/>
        <v>0</v>
      </c>
      <c r="P57" s="98"/>
      <c r="Q57" s="98">
        <v>0</v>
      </c>
      <c r="R57" s="98"/>
      <c r="S57" s="98"/>
      <c r="T57" s="98"/>
      <c r="U57" s="178">
        <v>17300</v>
      </c>
      <c r="V57" s="524"/>
      <c r="W57" s="525"/>
      <c r="X57" s="524"/>
    </row>
    <row r="58" spans="1:30" ht="35.25" customHeight="1">
      <c r="A58" s="118">
        <v>49</v>
      </c>
      <c r="B58" s="119" t="s">
        <v>766</v>
      </c>
      <c r="C58" s="117">
        <f t="shared" si="2"/>
        <v>10599092</v>
      </c>
      <c r="D58" s="98">
        <v>10599092</v>
      </c>
      <c r="E58" s="98"/>
      <c r="F58" s="98"/>
      <c r="G58" s="98"/>
      <c r="H58" s="98"/>
      <c r="I58" s="117">
        <f t="shared" si="4"/>
        <v>0</v>
      </c>
      <c r="J58" s="98"/>
      <c r="K58" s="98"/>
      <c r="L58" s="98"/>
      <c r="M58" s="98"/>
      <c r="N58" s="98"/>
      <c r="O58" s="117">
        <f t="shared" si="3"/>
        <v>0</v>
      </c>
      <c r="P58" s="98"/>
      <c r="Q58" s="98">
        <v>0</v>
      </c>
      <c r="R58" s="98"/>
      <c r="S58" s="98"/>
      <c r="T58" s="98"/>
      <c r="U58" s="178">
        <v>17400</v>
      </c>
      <c r="V58" s="524"/>
      <c r="W58" s="525"/>
      <c r="X58" s="524"/>
      <c r="Y58" s="337"/>
      <c r="Z58" s="337"/>
      <c r="AA58" s="337"/>
      <c r="AB58" s="337"/>
      <c r="AC58" s="337"/>
      <c r="AD58" s="337"/>
    </row>
    <row r="59" spans="1:30" ht="23.25" customHeight="1">
      <c r="A59" s="118" t="s">
        <v>187</v>
      </c>
      <c r="B59" s="119" t="s">
        <v>757</v>
      </c>
      <c r="C59" s="117">
        <f>SUM(D59:H59)-O59</f>
        <v>126094117</v>
      </c>
      <c r="D59" s="98">
        <v>126094117</v>
      </c>
      <c r="E59" s="98"/>
      <c r="F59" s="98"/>
      <c r="G59" s="98"/>
      <c r="H59" s="98"/>
      <c r="I59" s="117">
        <f t="shared" si="4"/>
        <v>0</v>
      </c>
      <c r="J59" s="98"/>
      <c r="K59" s="98"/>
      <c r="L59" s="98"/>
      <c r="M59" s="98"/>
      <c r="N59" s="98"/>
      <c r="O59" s="117">
        <f t="shared" si="3"/>
        <v>0</v>
      </c>
      <c r="P59" s="98"/>
      <c r="Q59" s="98">
        <v>0</v>
      </c>
      <c r="R59" s="98"/>
      <c r="S59" s="98"/>
      <c r="T59" s="98"/>
      <c r="U59" s="178">
        <v>17700</v>
      </c>
      <c r="V59" s="524"/>
      <c r="W59" s="525"/>
      <c r="X59" s="524"/>
    </row>
    <row r="60" spans="1:30" s="337" customFormat="1" ht="23.25" customHeight="1">
      <c r="A60" s="334" t="s">
        <v>191</v>
      </c>
      <c r="B60" s="119" t="s">
        <v>276</v>
      </c>
      <c r="C60" s="117">
        <f t="shared" si="2"/>
        <v>316245202</v>
      </c>
      <c r="D60" s="98">
        <v>316245202</v>
      </c>
      <c r="E60" s="98"/>
      <c r="F60" s="98"/>
      <c r="G60" s="98"/>
      <c r="H60" s="98"/>
      <c r="I60" s="117">
        <f t="shared" si="4"/>
        <v>0</v>
      </c>
      <c r="J60" s="98"/>
      <c r="K60" s="98"/>
      <c r="L60" s="98"/>
      <c r="M60" s="98"/>
      <c r="N60" s="98"/>
      <c r="O60" s="117">
        <f t="shared" si="3"/>
        <v>0</v>
      </c>
      <c r="P60" s="98"/>
      <c r="Q60" s="98">
        <v>0</v>
      </c>
      <c r="R60" s="98"/>
      <c r="S60" s="98"/>
      <c r="T60" s="98"/>
      <c r="U60" s="178">
        <v>19900</v>
      </c>
      <c r="V60" s="524"/>
      <c r="W60" s="525"/>
      <c r="X60" s="524"/>
      <c r="Y60" s="10"/>
      <c r="Z60" s="10"/>
      <c r="AA60" s="10"/>
      <c r="AB60" s="10"/>
      <c r="AC60" s="10"/>
      <c r="AD60" s="10"/>
    </row>
    <row r="61" spans="1:30" s="337" customFormat="1" ht="15" customHeight="1">
      <c r="A61" s="334"/>
      <c r="B61" s="119"/>
      <c r="C61" s="117"/>
      <c r="D61" s="117"/>
      <c r="E61" s="118"/>
      <c r="F61" s="118"/>
      <c r="G61" s="118"/>
      <c r="H61" s="118"/>
      <c r="I61" s="117"/>
      <c r="J61" s="98"/>
      <c r="K61" s="98"/>
      <c r="L61" s="98"/>
      <c r="M61" s="98"/>
      <c r="N61" s="98"/>
      <c r="O61" s="117"/>
      <c r="P61" s="100"/>
      <c r="Q61" s="100"/>
      <c r="R61" s="100"/>
      <c r="S61" s="100"/>
      <c r="T61" s="100"/>
      <c r="U61" s="143"/>
      <c r="V61" s="335"/>
      <c r="W61" s="10"/>
      <c r="X61" s="10"/>
      <c r="Y61" s="10"/>
      <c r="Z61" s="10"/>
      <c r="AA61" s="10"/>
      <c r="AB61" s="10"/>
      <c r="AC61" s="10"/>
      <c r="AD61" s="10"/>
    </row>
    <row r="62" spans="1:30" s="10" customFormat="1" ht="23.25" customHeight="1">
      <c r="A62" s="144"/>
      <c r="B62" s="332" t="s">
        <v>277</v>
      </c>
      <c r="C62" s="145">
        <f t="shared" ref="C62:H62" si="9">SUM(C63:C65)</f>
        <v>836354833</v>
      </c>
      <c r="D62" s="145">
        <f t="shared" si="9"/>
        <v>836354833</v>
      </c>
      <c r="E62" s="145">
        <f t="shared" si="9"/>
        <v>0</v>
      </c>
      <c r="F62" s="145">
        <f t="shared" si="9"/>
        <v>0</v>
      </c>
      <c r="G62" s="145">
        <f t="shared" si="9"/>
        <v>0</v>
      </c>
      <c r="H62" s="145">
        <f t="shared" si="9"/>
        <v>0</v>
      </c>
      <c r="I62" s="145">
        <f t="shared" ref="I62:I63" si="10">SUM(J62:N62)</f>
        <v>0</v>
      </c>
      <c r="J62" s="145">
        <f>SUM(J63:J65)</f>
        <v>0</v>
      </c>
      <c r="K62" s="145">
        <f t="shared" ref="K62:L62" si="11">SUM(K63:K65)</f>
        <v>0</v>
      </c>
      <c r="L62" s="145">
        <f t="shared" si="11"/>
        <v>0</v>
      </c>
      <c r="M62" s="145">
        <f t="shared" ref="M62:T62" si="12">SUM(M63:M65)</f>
        <v>0</v>
      </c>
      <c r="N62" s="145">
        <f t="shared" si="12"/>
        <v>0</v>
      </c>
      <c r="O62" s="145">
        <f t="shared" si="12"/>
        <v>0</v>
      </c>
      <c r="P62" s="145">
        <f t="shared" si="12"/>
        <v>0</v>
      </c>
      <c r="Q62" s="145">
        <f t="shared" si="12"/>
        <v>0</v>
      </c>
      <c r="R62" s="145">
        <f t="shared" si="12"/>
        <v>0</v>
      </c>
      <c r="S62" s="145">
        <f t="shared" si="12"/>
        <v>0</v>
      </c>
      <c r="T62" s="145">
        <f t="shared" si="12"/>
        <v>0</v>
      </c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ht="23.25" customHeight="1">
      <c r="A63" s="334" t="s">
        <v>2</v>
      </c>
      <c r="B63" s="119" t="s">
        <v>278</v>
      </c>
      <c r="C63" s="117">
        <f t="shared" ref="C63" si="13">SUM(D63:H63)-O63+P63</f>
        <v>6246822</v>
      </c>
      <c r="D63" s="98">
        <v>6246822</v>
      </c>
      <c r="E63" s="99"/>
      <c r="F63" s="99"/>
      <c r="G63" s="99"/>
      <c r="H63" s="99"/>
      <c r="I63" s="117">
        <f t="shared" si="10"/>
        <v>0</v>
      </c>
      <c r="J63" s="100"/>
      <c r="K63" s="100"/>
      <c r="L63" s="100"/>
      <c r="M63" s="100"/>
      <c r="N63" s="100"/>
      <c r="O63" s="117">
        <f t="shared" ref="O63" si="14">SUM(P63:T63)</f>
        <v>0</v>
      </c>
      <c r="P63" s="98"/>
      <c r="Q63" s="100"/>
      <c r="R63" s="100"/>
      <c r="S63" s="100"/>
      <c r="T63" s="100"/>
      <c r="U63" s="143" t="s">
        <v>198</v>
      </c>
    </row>
    <row r="64" spans="1:30" ht="23.25" customHeight="1">
      <c r="A64" s="334" t="s">
        <v>5</v>
      </c>
      <c r="B64" s="119" t="s">
        <v>279</v>
      </c>
      <c r="C64" s="117">
        <f>SUM(D64:H64)-O64+P64</f>
        <v>522511709</v>
      </c>
      <c r="D64" s="98">
        <v>522511709</v>
      </c>
      <c r="E64" s="99"/>
      <c r="F64" s="99"/>
      <c r="G64" s="99"/>
      <c r="H64" s="99"/>
      <c r="I64" s="117">
        <f>SUM(J64:N64)</f>
        <v>0</v>
      </c>
      <c r="J64" s="100"/>
      <c r="K64" s="100"/>
      <c r="L64" s="100"/>
      <c r="M64" s="100"/>
      <c r="N64" s="100"/>
      <c r="O64" s="117">
        <f>SUM(P64:T64)</f>
        <v>0</v>
      </c>
      <c r="P64" s="98"/>
      <c r="Q64" s="100"/>
      <c r="R64" s="100"/>
      <c r="S64" s="100"/>
      <c r="T64" s="100"/>
      <c r="U64" s="11">
        <v>90993</v>
      </c>
    </row>
    <row r="65" spans="1:33" ht="23.25" customHeight="1">
      <c r="A65" s="334" t="s">
        <v>6</v>
      </c>
      <c r="B65" s="119" t="s">
        <v>280</v>
      </c>
      <c r="C65" s="117">
        <f t="shared" ref="C65" si="15">SUM(D65:H65)-O65+P65</f>
        <v>307596302</v>
      </c>
      <c r="D65" s="98">
        <v>307596302</v>
      </c>
      <c r="E65" s="99"/>
      <c r="F65" s="99"/>
      <c r="G65" s="99"/>
      <c r="H65" s="99"/>
      <c r="I65" s="117">
        <f>SUM(J65:N65)</f>
        <v>0</v>
      </c>
      <c r="J65" s="100"/>
      <c r="K65" s="100"/>
      <c r="L65" s="100"/>
      <c r="M65" s="100"/>
      <c r="N65" s="100"/>
      <c r="O65" s="117">
        <f>SUM(P65:T65)</f>
        <v>0</v>
      </c>
      <c r="P65" s="98"/>
      <c r="Q65" s="98"/>
      <c r="R65" s="100"/>
      <c r="S65" s="100"/>
      <c r="T65" s="100"/>
      <c r="U65" s="11">
        <v>91809</v>
      </c>
    </row>
    <row r="67" spans="1:33" s="258" customFormat="1" ht="15" customHeight="1">
      <c r="A67" s="34"/>
      <c r="B67" s="196" t="s">
        <v>778</v>
      </c>
      <c r="C67" s="34"/>
      <c r="D67" s="34"/>
      <c r="E67" s="34"/>
      <c r="F67" s="338"/>
      <c r="G67" s="338"/>
      <c r="H67" s="338"/>
      <c r="I67" s="338"/>
      <c r="J67" s="338"/>
      <c r="K67" s="338"/>
      <c r="L67" s="338"/>
      <c r="M67" s="338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</row>
    <row r="68" spans="1:33" s="258" customFormat="1" ht="11.25" customHeight="1">
      <c r="A68" s="34"/>
      <c r="B68" s="196"/>
      <c r="C68" s="34"/>
      <c r="D68" s="34"/>
      <c r="E68" s="34"/>
      <c r="F68" s="338"/>
      <c r="G68" s="338"/>
      <c r="H68" s="338"/>
      <c r="I68" s="338"/>
      <c r="J68" s="338"/>
      <c r="K68" s="338"/>
      <c r="L68" s="338"/>
      <c r="M68" s="338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</row>
    <row r="69" spans="1:33" s="258" customFormat="1" ht="15" customHeight="1">
      <c r="A69" s="34"/>
      <c r="B69" s="196" t="s">
        <v>779</v>
      </c>
      <c r="C69" s="34"/>
      <c r="D69" s="34"/>
      <c r="E69" s="34"/>
      <c r="F69" s="338"/>
      <c r="G69" s="338"/>
      <c r="H69" s="338"/>
      <c r="I69" s="338"/>
      <c r="J69" s="338"/>
      <c r="K69" s="338"/>
      <c r="L69" s="338"/>
      <c r="M69" s="338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</row>
    <row r="70" spans="1:33" s="258" customFormat="1" ht="15" customHeight="1">
      <c r="A70" s="34"/>
      <c r="B70" s="232"/>
      <c r="C70" s="34"/>
      <c r="D70" s="34"/>
      <c r="E70" s="34"/>
      <c r="F70" s="338"/>
      <c r="G70" s="338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34"/>
      <c r="AF70" s="34"/>
      <c r="AG70" s="34"/>
    </row>
    <row r="73" spans="1:33">
      <c r="C73" s="88">
        <f>+[8]Balance!$C$47</f>
        <v>19061519219</v>
      </c>
      <c r="D73" s="679">
        <f>+'loans type'!N8</f>
        <v>10039054997</v>
      </c>
      <c r="E73" s="679">
        <f>+'loans type'!O8</f>
        <v>3532847141</v>
      </c>
      <c r="F73" s="679">
        <f>+'loans type'!P8</f>
        <v>102373443</v>
      </c>
      <c r="G73" s="679">
        <f>+'loans type'!Q8</f>
        <v>237587084</v>
      </c>
      <c r="H73" s="679">
        <f>+'loans type'!R8</f>
        <v>525217870</v>
      </c>
      <c r="I73" s="680"/>
      <c r="J73" s="680"/>
      <c r="K73" s="680"/>
      <c r="L73" s="680"/>
      <c r="M73" s="680"/>
      <c r="N73" s="680"/>
      <c r="O73" s="680"/>
      <c r="P73" s="679">
        <f>+'loans type'!T8</f>
        <v>0</v>
      </c>
      <c r="Q73" s="679">
        <f>+'loans type'!U8</f>
        <v>108709846</v>
      </c>
      <c r="R73" s="679">
        <f>+'loans type'!V8</f>
        <v>1716703</v>
      </c>
      <c r="S73" s="679">
        <f>+'loans type'!W8</f>
        <v>12546992</v>
      </c>
      <c r="T73" s="679">
        <f>+'loans type'!X8</f>
        <v>103010246</v>
      </c>
      <c r="U73" s="680"/>
    </row>
    <row r="74" spans="1:33">
      <c r="D74" s="679">
        <f>+D16+D20+D21+D22+D23+D24+D25+D26+D27+D28+D29+D30+D31+D32+D33+D34+D35+D36+D37+D38+D39+D40+D41+D42+D43+D44+D45+D46</f>
        <v>10039054997</v>
      </c>
      <c r="E74" s="679">
        <f t="shared" ref="E74:H74" si="16">+E16+E19+E20+E21+E22+E23+E24+E25+E26+E27+E28+E29+E30+E31+E32+E33+E34+E35+E36+E37+E38+E39+E40+E41+E42+E43+E44+E45+E46</f>
        <v>3532847141</v>
      </c>
      <c r="F74" s="679">
        <f t="shared" si="16"/>
        <v>102373443</v>
      </c>
      <c r="G74" s="679">
        <f t="shared" si="16"/>
        <v>237587084</v>
      </c>
      <c r="H74" s="679">
        <f t="shared" si="16"/>
        <v>525217870</v>
      </c>
      <c r="I74" s="680"/>
      <c r="J74" s="680"/>
      <c r="K74" s="680"/>
      <c r="L74" s="680"/>
      <c r="M74" s="680"/>
      <c r="N74" s="680"/>
      <c r="O74" s="680"/>
      <c r="P74" s="679">
        <f>+P16+P19+P20+P21+P22+P23+P24+P25+P26+P27+P28+P29+P30+P31+P32+P33+P34+P35+P36+P37+P38+P39+P40+P41+P42+P43+P44+P45+P46</f>
        <v>0</v>
      </c>
      <c r="Q74" s="679">
        <f>+Q16+Q19+Q20+Q21+Q22+Q23+Q24+Q25+Q26+Q27+Q28+Q29+Q30+Q31+Q32+Q33+Q34+Q35+Q36+Q37+Q38+Q39+Q40+Q41+Q42+Q43+Q44+Q45+Q46</f>
        <v>108709846</v>
      </c>
      <c r="R74" s="679">
        <f>+R16+R19+R20+R21+R22+R23+R24+R25+R26+R27+R28+R29+R30+R31+R32+R33+R34+R35+R36+R37+R38+R39+R40+R41+R42+R43+R44+R45+R46</f>
        <v>1716703</v>
      </c>
      <c r="S74" s="679">
        <f>+S16+S19+S20+S21+S22+S23+S24+S25+S26+S27+S28+S29+S30+S31+S32+S33+S34+S35+S36+S37+S38+S39+S40+S41+S42+S43+S44+S45+S46</f>
        <v>12546992</v>
      </c>
      <c r="T74" s="679">
        <f>+T16+T19+T20+T21+T22+T23+T24+T25+T26+T27+T28+T29+T30+T31+T32+T33+T34+T35+T36+T37+T38+T39+T40+T41+T42+T43+T44+T45+T46</f>
        <v>103010246</v>
      </c>
      <c r="U74" s="680"/>
    </row>
    <row r="75" spans="1:33">
      <c r="D75" s="681">
        <f>+D73-D74</f>
        <v>0</v>
      </c>
      <c r="E75" s="681">
        <f t="shared" ref="E75:H75" si="17">+E73-E74</f>
        <v>0</v>
      </c>
      <c r="F75" s="681">
        <f t="shared" si="17"/>
        <v>0</v>
      </c>
      <c r="G75" s="681">
        <f t="shared" si="17"/>
        <v>0</v>
      </c>
      <c r="H75" s="681">
        <f t="shared" si="17"/>
        <v>0</v>
      </c>
      <c r="I75" s="681"/>
      <c r="J75" s="681"/>
      <c r="K75" s="681"/>
      <c r="L75" s="681"/>
      <c r="M75" s="681"/>
      <c r="N75" s="681"/>
      <c r="O75" s="681"/>
      <c r="P75" s="681">
        <f>+P73-P74</f>
        <v>0</v>
      </c>
      <c r="Q75" s="681">
        <f>+Q73-Q74</f>
        <v>0</v>
      </c>
      <c r="R75" s="681">
        <f>+R73-R74</f>
        <v>0</v>
      </c>
      <c r="S75" s="681">
        <f>+S73-S74</f>
        <v>0</v>
      </c>
      <c r="T75" s="681">
        <f>+T73-T74</f>
        <v>0</v>
      </c>
      <c r="U75" s="680"/>
    </row>
    <row r="76" spans="1:33"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0"/>
      <c r="P76" s="680"/>
      <c r="Q76" s="680"/>
      <c r="R76" s="680"/>
      <c r="S76" s="680"/>
      <c r="T76" s="680"/>
      <c r="U76" s="680"/>
    </row>
    <row r="77" spans="1:33"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0"/>
      <c r="P77" s="680"/>
      <c r="Q77" s="680"/>
      <c r="R77" s="680"/>
      <c r="S77" s="680"/>
      <c r="T77" s="680"/>
      <c r="U77" s="680"/>
    </row>
    <row r="78" spans="1:33"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</row>
    <row r="79" spans="1:33">
      <c r="D79" s="680"/>
      <c r="E79" s="680"/>
      <c r="F79" s="680"/>
      <c r="G79" s="680"/>
      <c r="H79" s="680"/>
      <c r="I79" s="680"/>
      <c r="J79" s="680"/>
      <c r="K79" s="680"/>
      <c r="L79" s="680"/>
      <c r="M79" s="680"/>
      <c r="N79" s="680"/>
      <c r="O79" s="680"/>
      <c r="P79" s="680"/>
      <c r="Q79" s="680"/>
      <c r="R79" s="680"/>
      <c r="S79" s="680"/>
      <c r="T79" s="680"/>
      <c r="U79" s="680"/>
    </row>
  </sheetData>
  <sheetProtection password="CACA" sheet="1" objects="1" scenarios="1"/>
  <mergeCells count="18">
    <mergeCell ref="N5:N7"/>
    <mergeCell ref="O5:T5"/>
    <mergeCell ref="K5:K7"/>
    <mergeCell ref="Q3:R3"/>
    <mergeCell ref="O6:O7"/>
    <mergeCell ref="P6:T6"/>
    <mergeCell ref="A1:R1"/>
    <mergeCell ref="S1:T1"/>
    <mergeCell ref="A4:A7"/>
    <mergeCell ref="B4:B7"/>
    <mergeCell ref="C4:C7"/>
    <mergeCell ref="D4:H6"/>
    <mergeCell ref="I4:N4"/>
    <mergeCell ref="O4:T4"/>
    <mergeCell ref="I5:I7"/>
    <mergeCell ref="J5:J7"/>
    <mergeCell ref="L5:L7"/>
    <mergeCell ref="M5:M7"/>
  </mergeCells>
  <conditionalFormatting sqref="C9">
    <cfRule type="cellIs" dxfId="429" priority="3" operator="notEqual">
      <formula>$C$73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U62 U66 C66 R66:T66 R62:T62 Q66 D62:H62 H64 I49:I53 H63 D66:H66 H65 D61:H61 I17:I18 I15:I16 I12:I14 I19:I35" unlockedFormula="1"/>
    <ignoredError sqref="T61 R65:T65 R63:T64 Q63:Q64 O49:O53 Q62 O17:O18 O12:O16 O19:O35" formulaRange="1" unlockedFormula="1"/>
    <ignoredError sqref="O36:O48 O10:O11" formulaRange="1"/>
    <ignoredError sqref="I60 I54:I58 I61 I65:N65 I59 I66:J66 L66:P66 I62 I64:N64 J62:N62 I63:N63 K66" formula="1" unlockedFormula="1"/>
    <ignoredError sqref="R61:S61 Q61 O54:O58 P62 O59 O65 O60 O61:P61 O63:O64 O62" formula="1" formulaRange="1" unlockedFormula="1"/>
    <ignoredError sqref="C60:C61 C54:C58" formula="1"/>
    <ignoredError sqref="A10:B10 A15:B15 A11 A12 A13 A14 B17:B25 A16 B28:B32 B35:B39 B41:B45 B51:B53 B55 B57 B59:B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AD92"/>
  <sheetViews>
    <sheetView tabSelected="1" view="pageBreakPreview" zoomScaleSheetLayoutView="100" workbookViewId="0">
      <pane xSplit="2" ySplit="4" topLeftCell="C29" activePane="bottomRight" state="frozen"/>
      <selection activeCell="J47" sqref="J47"/>
      <selection pane="topRight" activeCell="J47" sqref="J47"/>
      <selection pane="bottomLeft" activeCell="J47" sqref="J47"/>
      <selection pane="bottomRight" activeCell="C41" sqref="C41"/>
    </sheetView>
  </sheetViews>
  <sheetFormatPr defaultRowHeight="15" customHeight="1"/>
  <cols>
    <col min="1" max="1" width="5.7109375" style="677" customWidth="1"/>
    <col min="2" max="2" width="80.28515625" style="642" customWidth="1"/>
    <col min="3" max="3" width="16.85546875" style="642" customWidth="1"/>
    <col min="4" max="4" width="17.7109375" style="642" customWidth="1"/>
    <col min="5" max="5" width="16.85546875" style="642" customWidth="1"/>
    <col min="6" max="6" width="7.42578125" style="642" customWidth="1"/>
    <col min="7" max="7" width="18.5703125" style="643" customWidth="1"/>
    <col min="8" max="10" width="7.42578125" style="642" customWidth="1"/>
    <col min="11" max="16384" width="9.140625" style="642"/>
  </cols>
  <sheetData>
    <row r="1" spans="1:7" ht="18.75" customHeight="1">
      <c r="A1" s="716" t="s">
        <v>282</v>
      </c>
      <c r="B1" s="716"/>
      <c r="C1" s="716"/>
      <c r="D1" s="716"/>
      <c r="E1" s="641" t="s">
        <v>283</v>
      </c>
    </row>
    <row r="2" spans="1:7" ht="7.5" customHeight="1">
      <c r="A2" s="644"/>
      <c r="B2" s="242"/>
      <c r="C2" s="641"/>
      <c r="D2" s="641"/>
      <c r="E2" s="641"/>
    </row>
    <row r="3" spans="1:7" ht="15" customHeight="1">
      <c r="A3" s="645"/>
      <c r="B3" s="231" t="str">
        <f>+'Asset quality'!B3</f>
        <v>"MKBANK"</v>
      </c>
      <c r="D3" s="646">
        <f>+'Asset quality'!Q3</f>
        <v>45289</v>
      </c>
      <c r="E3" s="339" t="str">
        <f>+'Asset quality'!T3</f>
        <v>минг. сўмда</v>
      </c>
    </row>
    <row r="4" spans="1:7" ht="42" customHeight="1">
      <c r="A4" s="116" t="s">
        <v>61</v>
      </c>
      <c r="B4" s="116" t="s">
        <v>284</v>
      </c>
      <c r="C4" s="116" t="s">
        <v>234</v>
      </c>
      <c r="D4" s="116" t="s">
        <v>777</v>
      </c>
      <c r="E4" s="116" t="s">
        <v>286</v>
      </c>
    </row>
    <row r="5" spans="1:7" ht="15" customHeight="1">
      <c r="A5" s="647" t="s">
        <v>287</v>
      </c>
      <c r="B5" s="648" t="s">
        <v>288</v>
      </c>
      <c r="C5" s="116"/>
      <c r="D5" s="116"/>
      <c r="E5" s="116"/>
    </row>
    <row r="6" spans="1:7" ht="15" customHeight="1">
      <c r="A6" s="649" t="s">
        <v>289</v>
      </c>
      <c r="B6" s="650" t="s">
        <v>290</v>
      </c>
      <c r="C6" s="635">
        <f>+D6+E6</f>
        <v>32946849</v>
      </c>
      <c r="D6" s="657">
        <v>32946849</v>
      </c>
      <c r="E6" s="657">
        <v>0</v>
      </c>
      <c r="G6" s="643">
        <f>+'Analysis of Interest'!C17</f>
        <v>32946849</v>
      </c>
    </row>
    <row r="7" spans="1:7" ht="15" customHeight="1">
      <c r="A7" s="649" t="s">
        <v>291</v>
      </c>
      <c r="B7" s="650" t="s">
        <v>292</v>
      </c>
      <c r="C7" s="635">
        <f t="shared" ref="C7:C14" si="0">+D7+E7</f>
        <v>57718507</v>
      </c>
      <c r="D7" s="657">
        <v>57718507</v>
      </c>
      <c r="E7" s="657">
        <v>0</v>
      </c>
      <c r="G7" s="643">
        <f>+'Analysis of Interest'!C18</f>
        <v>57718507</v>
      </c>
    </row>
    <row r="8" spans="1:7" ht="25.5">
      <c r="A8" s="649" t="s">
        <v>293</v>
      </c>
      <c r="B8" s="651" t="s">
        <v>308</v>
      </c>
      <c r="C8" s="635">
        <f t="shared" si="0"/>
        <v>0</v>
      </c>
      <c r="D8" s="657">
        <v>0</v>
      </c>
      <c r="E8" s="657">
        <v>0</v>
      </c>
    </row>
    <row r="9" spans="1:7" ht="15" customHeight="1">
      <c r="A9" s="649" t="s">
        <v>294</v>
      </c>
      <c r="B9" s="651" t="s">
        <v>295</v>
      </c>
      <c r="C9" s="635">
        <f t="shared" ref="C9" si="1">+D9+E9</f>
        <v>43218594</v>
      </c>
      <c r="D9" s="657">
        <v>43218594</v>
      </c>
      <c r="E9" s="657">
        <v>0</v>
      </c>
      <c r="G9" s="643">
        <f>+'Analysis of Interest'!C28</f>
        <v>43218594</v>
      </c>
    </row>
    <row r="10" spans="1:7" ht="15" customHeight="1">
      <c r="A10" s="652" t="s">
        <v>296</v>
      </c>
      <c r="B10" s="653" t="s">
        <v>297</v>
      </c>
      <c r="C10" s="635">
        <f t="shared" si="0"/>
        <v>0</v>
      </c>
      <c r="D10" s="657">
        <v>0</v>
      </c>
      <c r="E10" s="657">
        <v>0</v>
      </c>
    </row>
    <row r="11" spans="1:7" ht="25.5">
      <c r="A11" s="652" t="s">
        <v>298</v>
      </c>
      <c r="B11" s="653" t="s">
        <v>299</v>
      </c>
      <c r="C11" s="635">
        <f t="shared" si="0"/>
        <v>0</v>
      </c>
      <c r="D11" s="657">
        <v>0</v>
      </c>
      <c r="E11" s="657">
        <v>0</v>
      </c>
    </row>
    <row r="12" spans="1:7" ht="15" customHeight="1">
      <c r="A12" s="652" t="s">
        <v>300</v>
      </c>
      <c r="B12" s="654" t="s">
        <v>301</v>
      </c>
      <c r="C12" s="635">
        <f t="shared" si="0"/>
        <v>2137567249</v>
      </c>
      <c r="D12" s="657">
        <v>2137567249</v>
      </c>
      <c r="E12" s="657">
        <v>0</v>
      </c>
      <c r="G12" s="643">
        <f>+'Analysis of Interest'!C14</f>
        <v>2137567249</v>
      </c>
    </row>
    <row r="13" spans="1:7" ht="25.5">
      <c r="A13" s="655" t="s">
        <v>302</v>
      </c>
      <c r="B13" s="656" t="s">
        <v>303</v>
      </c>
      <c r="C13" s="635">
        <f t="shared" si="0"/>
        <v>0</v>
      </c>
      <c r="D13" s="657">
        <v>0</v>
      </c>
      <c r="E13" s="657">
        <v>0</v>
      </c>
      <c r="G13" s="643">
        <f>+'Analysis of Interest'!C39</f>
        <v>0</v>
      </c>
    </row>
    <row r="14" spans="1:7" ht="15" customHeight="1">
      <c r="A14" s="655" t="s">
        <v>304</v>
      </c>
      <c r="B14" s="658" t="s">
        <v>305</v>
      </c>
      <c r="C14" s="635">
        <f t="shared" si="0"/>
        <v>948265285</v>
      </c>
      <c r="D14" s="657">
        <v>948265285</v>
      </c>
      <c r="E14" s="657">
        <v>0</v>
      </c>
      <c r="G14" s="643">
        <f>+'Analysis of Interest'!C40</f>
        <v>948265285</v>
      </c>
    </row>
    <row r="15" spans="1:7" ht="15" customHeight="1">
      <c r="A15" s="647" t="s">
        <v>306</v>
      </c>
      <c r="B15" s="659" t="s">
        <v>307</v>
      </c>
      <c r="C15" s="121">
        <f>SUM(C6:C14)</f>
        <v>3219716484</v>
      </c>
      <c r="D15" s="121">
        <f>SUM(D6:D14)</f>
        <v>3219716484</v>
      </c>
      <c r="E15" s="121">
        <f>SUM(E6:E14)</f>
        <v>0</v>
      </c>
      <c r="G15" s="643">
        <f>+'Analysis of Interest'!C42</f>
        <v>3219716484</v>
      </c>
    </row>
    <row r="16" spans="1:7" ht="7.5" customHeight="1">
      <c r="A16" s="647"/>
      <c r="B16" s="648"/>
      <c r="C16" s="660"/>
      <c r="D16" s="660"/>
      <c r="E16" s="660"/>
    </row>
    <row r="17" spans="1:7" ht="15" customHeight="1">
      <c r="A17" s="647" t="s">
        <v>309</v>
      </c>
      <c r="B17" s="648" t="s">
        <v>310</v>
      </c>
      <c r="C17" s="116"/>
      <c r="D17" s="116"/>
      <c r="E17" s="116"/>
    </row>
    <row r="18" spans="1:7" ht="15" customHeight="1">
      <c r="A18" s="661" t="s">
        <v>311</v>
      </c>
      <c r="B18" s="577" t="s">
        <v>312</v>
      </c>
      <c r="C18" s="635">
        <f t="shared" ref="C18:C21" si="2">+D18+E18</f>
        <v>35914220</v>
      </c>
      <c r="D18" s="657">
        <v>35914220</v>
      </c>
      <c r="E18" s="657">
        <v>0</v>
      </c>
      <c r="G18" s="643">
        <f>+'Analysis of Interest'!C52</f>
        <v>35914220</v>
      </c>
    </row>
    <row r="19" spans="1:7" ht="15" customHeight="1">
      <c r="A19" s="661" t="s">
        <v>291</v>
      </c>
      <c r="B19" s="577" t="s">
        <v>313</v>
      </c>
      <c r="C19" s="635">
        <f t="shared" si="2"/>
        <v>789793935</v>
      </c>
      <c r="D19" s="657">
        <v>789793935</v>
      </c>
      <c r="E19" s="657">
        <v>0</v>
      </c>
      <c r="G19" s="643">
        <f>+'Analysis of Interest'!C61</f>
        <v>789793935</v>
      </c>
    </row>
    <row r="20" spans="1:7" ht="15" customHeight="1">
      <c r="A20" s="661" t="s">
        <v>293</v>
      </c>
      <c r="B20" s="577" t="s">
        <v>314</v>
      </c>
      <c r="C20" s="635">
        <f t="shared" si="2"/>
        <v>0</v>
      </c>
      <c r="D20" s="657">
        <v>0</v>
      </c>
      <c r="E20" s="657">
        <v>0</v>
      </c>
    </row>
    <row r="21" spans="1:7" ht="15" customHeight="1">
      <c r="A21" s="661" t="s">
        <v>294</v>
      </c>
      <c r="B21" s="577" t="s">
        <v>315</v>
      </c>
      <c r="C21" s="635">
        <f t="shared" si="2"/>
        <v>240156601</v>
      </c>
      <c r="D21" s="657">
        <v>240156601</v>
      </c>
      <c r="E21" s="657">
        <v>0</v>
      </c>
    </row>
    <row r="22" spans="1:7" s="663" customFormat="1" ht="15" customHeight="1">
      <c r="A22" s="528" t="s">
        <v>296</v>
      </c>
      <c r="B22" s="662" t="s">
        <v>316</v>
      </c>
      <c r="C22" s="121">
        <f>SUM(C18:C21)</f>
        <v>1065864756</v>
      </c>
      <c r="D22" s="121">
        <f>SUM(D18:D21)</f>
        <v>1065864756</v>
      </c>
      <c r="E22" s="121">
        <f>SUM(E18:E21)</f>
        <v>0</v>
      </c>
      <c r="G22" s="664"/>
    </row>
    <row r="23" spans="1:7" ht="15.75" customHeight="1">
      <c r="A23" s="661" t="s">
        <v>298</v>
      </c>
      <c r="B23" s="577" t="s">
        <v>317</v>
      </c>
      <c r="C23" s="635">
        <f t="shared" ref="C23:C25" si="3">+D23+E23</f>
        <v>511342153</v>
      </c>
      <c r="D23" s="657">
        <v>511342153</v>
      </c>
      <c r="E23" s="657">
        <v>0</v>
      </c>
      <c r="G23" s="643">
        <f>+'Analysis of Interest'!C67</f>
        <v>511342153</v>
      </c>
    </row>
    <row r="24" spans="1:7" ht="15.75" customHeight="1">
      <c r="A24" s="529" t="s">
        <v>300</v>
      </c>
      <c r="B24" s="341" t="s">
        <v>318</v>
      </c>
      <c r="C24" s="635">
        <f t="shared" si="3"/>
        <v>0</v>
      </c>
      <c r="D24" s="657">
        <v>0</v>
      </c>
      <c r="E24" s="657">
        <v>0</v>
      </c>
      <c r="G24" s="643">
        <f>+'Analysis of Interest'!C68</f>
        <v>0</v>
      </c>
    </row>
    <row r="25" spans="1:7" ht="15.75" customHeight="1">
      <c r="A25" s="529" t="s">
        <v>302</v>
      </c>
      <c r="B25" s="341" t="s">
        <v>319</v>
      </c>
      <c r="C25" s="635">
        <f t="shared" si="3"/>
        <v>898623953</v>
      </c>
      <c r="D25" s="657">
        <v>898623953</v>
      </c>
      <c r="E25" s="657">
        <v>0</v>
      </c>
    </row>
    <row r="26" spans="1:7" ht="15" customHeight="1">
      <c r="A26" s="665" t="s">
        <v>304</v>
      </c>
      <c r="B26" s="666" t="s">
        <v>320</v>
      </c>
      <c r="C26" s="121">
        <f>SUM(C23:C25)</f>
        <v>1409966106</v>
      </c>
      <c r="D26" s="121">
        <f>SUM(D23:D25)</f>
        <v>1409966106</v>
      </c>
      <c r="E26" s="121">
        <f>SUM(E23:E25)</f>
        <v>0</v>
      </c>
    </row>
    <row r="27" spans="1:7" ht="15" customHeight="1">
      <c r="A27" s="665" t="s">
        <v>306</v>
      </c>
      <c r="B27" s="666" t="s">
        <v>321</v>
      </c>
      <c r="C27" s="121">
        <f>C26+C22</f>
        <v>2475830862</v>
      </c>
      <c r="D27" s="121">
        <f>D26+D22</f>
        <v>2475830862</v>
      </c>
      <c r="E27" s="121">
        <f>E26+E22</f>
        <v>0</v>
      </c>
      <c r="G27" s="643">
        <f>+'Analysis of Interest'!C72</f>
        <v>2475830862</v>
      </c>
    </row>
    <row r="28" spans="1:7" ht="7.5" customHeight="1">
      <c r="A28" s="661"/>
      <c r="B28" s="577"/>
      <c r="C28" s="660"/>
      <c r="D28" s="660"/>
      <c r="E28" s="660"/>
    </row>
    <row r="29" spans="1:7" s="663" customFormat="1" ht="25.5">
      <c r="A29" s="528" t="s">
        <v>91</v>
      </c>
      <c r="B29" s="340" t="s">
        <v>322</v>
      </c>
      <c r="C29" s="121">
        <f>C15-C27</f>
        <v>743885622</v>
      </c>
      <c r="D29" s="121">
        <f>D15-D27</f>
        <v>743885622</v>
      </c>
      <c r="E29" s="121">
        <f>E15-E27</f>
        <v>0</v>
      </c>
      <c r="G29" s="664"/>
    </row>
    <row r="30" spans="1:7" ht="15.75" customHeight="1">
      <c r="A30" s="529" t="s">
        <v>311</v>
      </c>
      <c r="B30" s="341" t="s">
        <v>323</v>
      </c>
      <c r="C30" s="635">
        <f t="shared" ref="C30:C33" si="4">+D30+E30</f>
        <v>401409141</v>
      </c>
      <c r="D30" s="657">
        <v>401409141</v>
      </c>
      <c r="E30" s="657">
        <v>0</v>
      </c>
    </row>
    <row r="31" spans="1:7" ht="15.75" customHeight="1">
      <c r="A31" s="529" t="s">
        <v>291</v>
      </c>
      <c r="B31" s="341" t="s">
        <v>324</v>
      </c>
      <c r="C31" s="635">
        <f t="shared" si="4"/>
        <v>0</v>
      </c>
      <c r="D31" s="657">
        <v>0</v>
      </c>
      <c r="E31" s="657">
        <v>0</v>
      </c>
    </row>
    <row r="32" spans="1:7" ht="15.75" customHeight="1">
      <c r="A32" s="529" t="s">
        <v>293</v>
      </c>
      <c r="B32" s="341" t="s">
        <v>325</v>
      </c>
      <c r="C32" s="635">
        <f t="shared" si="4"/>
        <v>0</v>
      </c>
      <c r="D32" s="657">
        <v>0</v>
      </c>
      <c r="E32" s="657">
        <v>0</v>
      </c>
    </row>
    <row r="33" spans="1:8" ht="15.75" customHeight="1">
      <c r="A33" s="529" t="s">
        <v>294</v>
      </c>
      <c r="B33" s="341" t="s">
        <v>326</v>
      </c>
      <c r="C33" s="635">
        <f t="shared" si="4"/>
        <v>886772</v>
      </c>
      <c r="D33" s="657">
        <v>886772</v>
      </c>
      <c r="E33" s="657">
        <v>0</v>
      </c>
    </row>
    <row r="34" spans="1:8" ht="12.75">
      <c r="A34" s="528" t="s">
        <v>296</v>
      </c>
      <c r="B34" s="340" t="s">
        <v>327</v>
      </c>
      <c r="C34" s="121">
        <f>C29-C30-C31-C32-C33</f>
        <v>341589709</v>
      </c>
      <c r="D34" s="121">
        <f>D29-D30-D31-D32-D33</f>
        <v>341589709</v>
      </c>
      <c r="E34" s="121">
        <f>E29-E30-E31-E32-E33</f>
        <v>0</v>
      </c>
    </row>
    <row r="35" spans="1:8" ht="7.5" customHeight="1">
      <c r="A35" s="661"/>
      <c r="B35" s="577"/>
      <c r="C35" s="660"/>
      <c r="D35" s="660"/>
      <c r="E35" s="660"/>
    </row>
    <row r="36" spans="1:8" ht="15" customHeight="1">
      <c r="A36" s="528" t="s">
        <v>328</v>
      </c>
      <c r="B36" s="662" t="s">
        <v>329</v>
      </c>
      <c r="C36" s="116"/>
      <c r="D36" s="116"/>
      <c r="E36" s="116"/>
    </row>
    <row r="37" spans="1:8" ht="15" customHeight="1">
      <c r="A37" s="661" t="s">
        <v>311</v>
      </c>
      <c r="B37" s="577" t="s">
        <v>783</v>
      </c>
      <c r="C37" s="635">
        <f t="shared" ref="C37:C43" si="5">+D37+E37</f>
        <v>191647281</v>
      </c>
      <c r="D37" s="657">
        <v>191647281</v>
      </c>
      <c r="E37" s="657">
        <v>0</v>
      </c>
      <c r="H37" s="667"/>
    </row>
    <row r="38" spans="1:8" ht="15" customHeight="1">
      <c r="A38" s="661" t="s">
        <v>291</v>
      </c>
      <c r="B38" s="577" t="s">
        <v>330</v>
      </c>
      <c r="C38" s="635">
        <f t="shared" si="5"/>
        <v>844239856</v>
      </c>
      <c r="D38" s="657">
        <v>0</v>
      </c>
      <c r="E38" s="657">
        <v>844239856</v>
      </c>
    </row>
    <row r="39" spans="1:8" ht="15" customHeight="1">
      <c r="A39" s="661" t="s">
        <v>293</v>
      </c>
      <c r="B39" s="577" t="s">
        <v>331</v>
      </c>
      <c r="C39" s="635">
        <f t="shared" si="5"/>
        <v>0</v>
      </c>
      <c r="D39" s="657">
        <v>0</v>
      </c>
      <c r="E39" s="657">
        <v>0</v>
      </c>
    </row>
    <row r="40" spans="1:8" ht="15" customHeight="1">
      <c r="A40" s="661" t="s">
        <v>294</v>
      </c>
      <c r="B40" s="577" t="s">
        <v>332</v>
      </c>
      <c r="C40" s="635">
        <f t="shared" si="5"/>
        <v>0</v>
      </c>
      <c r="D40" s="657">
        <v>0</v>
      </c>
      <c r="E40" s="657">
        <v>0</v>
      </c>
    </row>
    <row r="41" spans="1:8" ht="15" customHeight="1">
      <c r="A41" s="661" t="s">
        <v>296</v>
      </c>
      <c r="B41" s="577" t="s">
        <v>335</v>
      </c>
      <c r="C41" s="635">
        <f>+D41+E41</f>
        <v>365514209</v>
      </c>
      <c r="D41" s="657">
        <v>365514209</v>
      </c>
      <c r="E41" s="657">
        <v>0</v>
      </c>
    </row>
    <row r="42" spans="1:8" ht="15" customHeight="1">
      <c r="A42" s="661" t="s">
        <v>298</v>
      </c>
      <c r="B42" s="577" t="s">
        <v>336</v>
      </c>
      <c r="C42" s="635">
        <f>+D42+E42</f>
        <v>0</v>
      </c>
      <c r="D42" s="657">
        <v>0</v>
      </c>
      <c r="E42" s="657">
        <v>0</v>
      </c>
    </row>
    <row r="43" spans="1:8" ht="15" customHeight="1">
      <c r="A43" s="661" t="s">
        <v>300</v>
      </c>
      <c r="B43" s="577" t="s">
        <v>333</v>
      </c>
      <c r="C43" s="635">
        <f t="shared" si="5"/>
        <v>78128123</v>
      </c>
      <c r="D43" s="657">
        <v>78128123</v>
      </c>
      <c r="E43" s="657">
        <v>0</v>
      </c>
    </row>
    <row r="44" spans="1:8" ht="15" customHeight="1">
      <c r="A44" s="528" t="s">
        <v>298</v>
      </c>
      <c r="B44" s="662" t="s">
        <v>337</v>
      </c>
      <c r="C44" s="121">
        <f>SUM(C37:C43)</f>
        <v>1479529469</v>
      </c>
      <c r="D44" s="121">
        <f>SUM(D37:D43)</f>
        <v>635289613</v>
      </c>
      <c r="E44" s="121">
        <f>SUM(E37:E43)</f>
        <v>844239856</v>
      </c>
    </row>
    <row r="45" spans="1:8" ht="7.5" customHeight="1">
      <c r="A45" s="661"/>
      <c r="B45" s="577"/>
      <c r="C45" s="660"/>
      <c r="D45" s="660"/>
      <c r="E45" s="660"/>
    </row>
    <row r="46" spans="1:8" ht="15" customHeight="1">
      <c r="A46" s="528" t="s">
        <v>338</v>
      </c>
      <c r="B46" s="662" t="s">
        <v>339</v>
      </c>
      <c r="C46" s="116"/>
      <c r="D46" s="116"/>
      <c r="E46" s="116"/>
    </row>
    <row r="47" spans="1:8" ht="15" customHeight="1">
      <c r="A47" s="661" t="s">
        <v>311</v>
      </c>
      <c r="B47" s="577" t="s">
        <v>784</v>
      </c>
      <c r="C47" s="635">
        <f t="shared" ref="C47:C51" si="6">+D47+E47</f>
        <v>83097508</v>
      </c>
      <c r="D47" s="657">
        <v>83097508</v>
      </c>
      <c r="E47" s="657">
        <v>0</v>
      </c>
    </row>
    <row r="48" spans="1:8" ht="15" customHeight="1">
      <c r="A48" s="661" t="s">
        <v>291</v>
      </c>
      <c r="B48" s="577" t="s">
        <v>340</v>
      </c>
      <c r="C48" s="635">
        <f t="shared" si="6"/>
        <v>813703460</v>
      </c>
      <c r="D48" s="657">
        <v>0</v>
      </c>
      <c r="E48" s="657">
        <v>813703460</v>
      </c>
    </row>
    <row r="49" spans="1:5" ht="15" customHeight="1">
      <c r="A49" s="661" t="s">
        <v>293</v>
      </c>
      <c r="B49" s="577" t="s">
        <v>341</v>
      </c>
      <c r="C49" s="635">
        <f t="shared" si="6"/>
        <v>0</v>
      </c>
      <c r="D49" s="657">
        <v>0</v>
      </c>
      <c r="E49" s="657">
        <v>0</v>
      </c>
    </row>
    <row r="50" spans="1:5" ht="15" customHeight="1">
      <c r="A50" s="661" t="s">
        <v>294</v>
      </c>
      <c r="B50" s="577" t="s">
        <v>342</v>
      </c>
      <c r="C50" s="635">
        <f t="shared" si="6"/>
        <v>0</v>
      </c>
      <c r="D50" s="657">
        <v>0</v>
      </c>
      <c r="E50" s="657">
        <v>0</v>
      </c>
    </row>
    <row r="51" spans="1:5" ht="15" customHeight="1">
      <c r="A51" s="661" t="s">
        <v>296</v>
      </c>
      <c r="B51" s="577" t="s">
        <v>343</v>
      </c>
      <c r="C51" s="635">
        <f t="shared" si="6"/>
        <v>4068131</v>
      </c>
      <c r="D51" s="657">
        <v>4068131</v>
      </c>
      <c r="E51" s="657"/>
    </row>
    <row r="52" spans="1:5" ht="15" customHeight="1">
      <c r="A52" s="528" t="s">
        <v>298</v>
      </c>
      <c r="B52" s="662" t="s">
        <v>344</v>
      </c>
      <c r="C52" s="121">
        <f>SUM(C47:C51)</f>
        <v>900869099</v>
      </c>
      <c r="D52" s="121">
        <f>SUM(D47:D51)</f>
        <v>87165639</v>
      </c>
      <c r="E52" s="121">
        <f>SUM(E47:E51)</f>
        <v>813703460</v>
      </c>
    </row>
    <row r="53" spans="1:5" ht="7.5" customHeight="1">
      <c r="A53" s="528"/>
      <c r="B53" s="662"/>
      <c r="C53" s="635"/>
      <c r="D53" s="635"/>
      <c r="E53" s="635"/>
    </row>
    <row r="54" spans="1:5" ht="15" customHeight="1">
      <c r="A54" s="528" t="s">
        <v>345</v>
      </c>
      <c r="B54" s="662" t="s">
        <v>346</v>
      </c>
      <c r="C54" s="121">
        <f>C34+C44-C52</f>
        <v>920250079</v>
      </c>
      <c r="D54" s="121">
        <f>D34+D44-D52</f>
        <v>889713683</v>
      </c>
      <c r="E54" s="121">
        <f>E34+E44-E52</f>
        <v>30536396</v>
      </c>
    </row>
    <row r="55" spans="1:5" ht="7.5" customHeight="1">
      <c r="A55" s="528"/>
      <c r="B55" s="662"/>
      <c r="C55" s="668"/>
      <c r="D55" s="668"/>
      <c r="E55" s="668"/>
    </row>
    <row r="56" spans="1:5" ht="15" customHeight="1">
      <c r="A56" s="528" t="s">
        <v>347</v>
      </c>
      <c r="B56" s="662" t="s">
        <v>348</v>
      </c>
      <c r="C56" s="116"/>
      <c r="D56" s="116"/>
      <c r="E56" s="116"/>
    </row>
    <row r="57" spans="1:5" ht="15" customHeight="1">
      <c r="A57" s="661" t="s">
        <v>311</v>
      </c>
      <c r="B57" s="577" t="s">
        <v>349</v>
      </c>
      <c r="C57" s="657">
        <f>+D57</f>
        <v>552767015</v>
      </c>
      <c r="D57" s="657">
        <v>552767015</v>
      </c>
      <c r="E57" s="669"/>
    </row>
    <row r="58" spans="1:5" ht="15" customHeight="1">
      <c r="A58" s="670" t="s">
        <v>350</v>
      </c>
      <c r="B58" s="577" t="s">
        <v>351</v>
      </c>
      <c r="C58" s="657">
        <f t="shared" ref="C58:C67" si="7">+D58</f>
        <v>8044131</v>
      </c>
      <c r="D58" s="657">
        <v>8044131</v>
      </c>
      <c r="E58" s="669"/>
    </row>
    <row r="59" spans="1:5" ht="15" customHeight="1">
      <c r="A59" s="661" t="s">
        <v>291</v>
      </c>
      <c r="B59" s="577" t="s">
        <v>352</v>
      </c>
      <c r="C59" s="657">
        <f t="shared" si="7"/>
        <v>95492484</v>
      </c>
      <c r="D59" s="657">
        <v>95492484</v>
      </c>
      <c r="E59" s="669"/>
    </row>
    <row r="60" spans="1:5" ht="15" customHeight="1">
      <c r="A60" s="661" t="s">
        <v>293</v>
      </c>
      <c r="B60" s="577" t="s">
        <v>353</v>
      </c>
      <c r="C60" s="657">
        <f t="shared" si="7"/>
        <v>12669505</v>
      </c>
      <c r="D60" s="657">
        <v>12669505</v>
      </c>
      <c r="E60" s="669"/>
    </row>
    <row r="61" spans="1:5" ht="15" customHeight="1">
      <c r="A61" s="661" t="s">
        <v>294</v>
      </c>
      <c r="B61" s="577" t="s">
        <v>354</v>
      </c>
      <c r="C61" s="657">
        <f t="shared" si="7"/>
        <v>21007812</v>
      </c>
      <c r="D61" s="657">
        <v>21007812</v>
      </c>
      <c r="E61" s="669"/>
    </row>
    <row r="62" spans="1:5" ht="15" customHeight="1">
      <c r="A62" s="661" t="s">
        <v>296</v>
      </c>
      <c r="B62" s="577" t="s">
        <v>355</v>
      </c>
      <c r="C62" s="657">
        <f t="shared" si="7"/>
        <v>24611051</v>
      </c>
      <c r="D62" s="657">
        <v>24611051</v>
      </c>
      <c r="E62" s="669"/>
    </row>
    <row r="63" spans="1:5" ht="15" customHeight="1">
      <c r="A63" s="661" t="s">
        <v>298</v>
      </c>
      <c r="B63" s="577" t="s">
        <v>356</v>
      </c>
      <c r="C63" s="657">
        <f t="shared" si="7"/>
        <v>70140997</v>
      </c>
      <c r="D63" s="657">
        <v>70140997</v>
      </c>
      <c r="E63" s="669"/>
    </row>
    <row r="64" spans="1:5" ht="15" customHeight="1">
      <c r="A64" s="661" t="s">
        <v>300</v>
      </c>
      <c r="B64" s="577" t="s">
        <v>357</v>
      </c>
      <c r="C64" s="657">
        <f t="shared" si="7"/>
        <v>38286374</v>
      </c>
      <c r="D64" s="657">
        <v>38286374</v>
      </c>
      <c r="E64" s="669"/>
    </row>
    <row r="65" spans="1:30" ht="15" customHeight="1">
      <c r="A65" s="661" t="s">
        <v>302</v>
      </c>
      <c r="B65" s="577" t="s">
        <v>358</v>
      </c>
      <c r="C65" s="657">
        <f t="shared" si="7"/>
        <v>10653781</v>
      </c>
      <c r="D65" s="657">
        <v>10653781</v>
      </c>
      <c r="E65" s="669"/>
    </row>
    <row r="66" spans="1:30" ht="15" customHeight="1">
      <c r="A66" s="661" t="s">
        <v>304</v>
      </c>
      <c r="B66" s="577" t="s">
        <v>359</v>
      </c>
      <c r="C66" s="657">
        <f t="shared" si="7"/>
        <v>0</v>
      </c>
      <c r="D66" s="657">
        <v>0</v>
      </c>
      <c r="E66" s="669"/>
    </row>
    <row r="67" spans="1:30" ht="15" customHeight="1">
      <c r="A67" s="661" t="s">
        <v>306</v>
      </c>
      <c r="B67" s="577" t="s">
        <v>360</v>
      </c>
      <c r="C67" s="657">
        <f t="shared" si="7"/>
        <v>32537900</v>
      </c>
      <c r="D67" s="657">
        <v>32537900</v>
      </c>
      <c r="E67" s="669"/>
    </row>
    <row r="68" spans="1:30" ht="15" customHeight="1">
      <c r="A68" s="647" t="s">
        <v>361</v>
      </c>
      <c r="B68" s="648" t="s">
        <v>362</v>
      </c>
      <c r="C68" s="121">
        <f>SUM(C57:C67)-C58</f>
        <v>858166919</v>
      </c>
      <c r="D68" s="121">
        <f>SUM(D57:D67)-D58</f>
        <v>858166919</v>
      </c>
      <c r="E68" s="669"/>
      <c r="G68" s="671"/>
    </row>
    <row r="69" spans="1:30" ht="7.5" customHeight="1">
      <c r="A69" s="649" t="s">
        <v>9</v>
      </c>
      <c r="B69" s="650" t="s">
        <v>9</v>
      </c>
      <c r="C69" s="660"/>
      <c r="D69" s="660"/>
      <c r="E69" s="660"/>
    </row>
    <row r="70" spans="1:30" ht="15" customHeight="1">
      <c r="A70" s="647" t="s">
        <v>363</v>
      </c>
      <c r="B70" s="648" t="s">
        <v>364</v>
      </c>
      <c r="C70" s="121">
        <f>C54-C68</f>
        <v>62083160</v>
      </c>
      <c r="D70" s="121">
        <f>D54-D68</f>
        <v>31546764</v>
      </c>
      <c r="E70" s="121">
        <f>+E54-(C68-D68)</f>
        <v>30536396</v>
      </c>
      <c r="G70" s="671"/>
    </row>
    <row r="71" spans="1:30" ht="15" customHeight="1">
      <c r="A71" s="649" t="s">
        <v>311</v>
      </c>
      <c r="B71" s="650" t="s">
        <v>365</v>
      </c>
      <c r="C71" s="635">
        <f>+D71+E71</f>
        <v>20978263</v>
      </c>
      <c r="D71" s="657">
        <v>20978263</v>
      </c>
      <c r="E71" s="657">
        <v>0</v>
      </c>
    </row>
    <row r="72" spans="1:30" ht="7.5" customHeight="1">
      <c r="A72" s="649"/>
      <c r="B72" s="650"/>
      <c r="C72" s="635"/>
      <c r="D72" s="635"/>
      <c r="E72" s="635"/>
    </row>
    <row r="73" spans="1:30" ht="15" customHeight="1">
      <c r="A73" s="647" t="s">
        <v>366</v>
      </c>
      <c r="B73" s="648" t="s">
        <v>367</v>
      </c>
      <c r="C73" s="121">
        <f>C70-C71</f>
        <v>41104897</v>
      </c>
      <c r="D73" s="121">
        <f>D70-D71</f>
        <v>10568501</v>
      </c>
      <c r="E73" s="121">
        <f>E70-E71</f>
        <v>30536396</v>
      </c>
      <c r="G73" s="671"/>
    </row>
    <row r="74" spans="1:30" ht="15" customHeight="1">
      <c r="A74" s="649" t="s">
        <v>311</v>
      </c>
      <c r="B74" s="650" t="s">
        <v>368</v>
      </c>
      <c r="C74" s="635">
        <f t="shared" ref="C74:C75" si="8">+D74+E74</f>
        <v>0</v>
      </c>
      <c r="D74" s="657">
        <v>0</v>
      </c>
      <c r="E74" s="657">
        <v>0</v>
      </c>
    </row>
    <row r="75" spans="1:30" ht="15" customHeight="1">
      <c r="A75" s="649" t="s">
        <v>291</v>
      </c>
      <c r="B75" s="650" t="s">
        <v>369</v>
      </c>
      <c r="C75" s="635">
        <f t="shared" si="8"/>
        <v>0</v>
      </c>
      <c r="D75" s="657">
        <v>0</v>
      </c>
      <c r="E75" s="657">
        <v>0</v>
      </c>
    </row>
    <row r="76" spans="1:30" ht="7.5" customHeight="1">
      <c r="A76" s="647"/>
      <c r="B76" s="648"/>
      <c r="C76" s="660"/>
      <c r="D76" s="660"/>
      <c r="E76" s="660"/>
    </row>
    <row r="77" spans="1:30" ht="15" customHeight="1">
      <c r="A77" s="647" t="s">
        <v>370</v>
      </c>
      <c r="B77" s="648" t="s">
        <v>371</v>
      </c>
      <c r="C77" s="121">
        <f>C73+C74+C75</f>
        <v>41104897</v>
      </c>
      <c r="D77" s="121">
        <f>D73+D74+D75</f>
        <v>10568501</v>
      </c>
      <c r="E77" s="121">
        <f>E73+E74+E75</f>
        <v>30536396</v>
      </c>
      <c r="G77" s="671"/>
    </row>
    <row r="78" spans="1:30" ht="15" customHeight="1">
      <c r="A78" s="642"/>
    </row>
    <row r="79" spans="1:30" s="674" customFormat="1" ht="19.5" customHeight="1">
      <c r="A79" s="642"/>
      <c r="B79" s="663" t="s">
        <v>778</v>
      </c>
      <c r="C79" s="642"/>
      <c r="D79" s="642"/>
      <c r="E79" s="642"/>
      <c r="F79" s="672"/>
      <c r="G79" s="673"/>
      <c r="H79" s="672"/>
      <c r="I79" s="672"/>
      <c r="J79" s="672"/>
      <c r="K79" s="672"/>
      <c r="L79" s="672"/>
      <c r="M79" s="672"/>
      <c r="N79" s="642"/>
      <c r="O79" s="642"/>
      <c r="P79" s="642"/>
      <c r="Q79" s="642"/>
      <c r="R79" s="642"/>
      <c r="S79" s="642"/>
      <c r="T79" s="642"/>
      <c r="U79" s="642"/>
      <c r="V79" s="642"/>
      <c r="W79" s="642"/>
      <c r="X79" s="642"/>
      <c r="Y79" s="642"/>
      <c r="Z79" s="642"/>
      <c r="AA79" s="642"/>
      <c r="AB79" s="642"/>
      <c r="AC79" s="642"/>
      <c r="AD79" s="642"/>
    </row>
    <row r="80" spans="1:30" s="674" customFormat="1" ht="12.75" customHeight="1">
      <c r="A80" s="642"/>
      <c r="B80" s="663"/>
      <c r="C80" s="642"/>
      <c r="D80" s="642"/>
      <c r="E80" s="642"/>
      <c r="F80" s="672"/>
      <c r="G80" s="673"/>
      <c r="H80" s="672"/>
      <c r="I80" s="672"/>
      <c r="J80" s="672"/>
      <c r="K80" s="672"/>
      <c r="L80" s="672"/>
      <c r="M80" s="672"/>
      <c r="N80" s="642"/>
      <c r="O80" s="642"/>
      <c r="P80" s="642"/>
      <c r="Q80" s="642"/>
      <c r="R80" s="642"/>
      <c r="S80" s="642"/>
      <c r="T80" s="642"/>
      <c r="U80" s="642"/>
      <c r="V80" s="642"/>
      <c r="W80" s="642"/>
      <c r="X80" s="642"/>
      <c r="Y80" s="642"/>
      <c r="Z80" s="642"/>
      <c r="AA80" s="642"/>
      <c r="AB80" s="642"/>
      <c r="AC80" s="642"/>
      <c r="AD80" s="642"/>
    </row>
    <row r="81" spans="1:30" s="674" customFormat="1" ht="19.5" customHeight="1">
      <c r="A81" s="642"/>
      <c r="B81" s="663" t="s">
        <v>779</v>
      </c>
      <c r="C81" s="642"/>
      <c r="D81" s="642"/>
      <c r="E81" s="642"/>
      <c r="F81" s="672"/>
      <c r="G81" s="673"/>
      <c r="H81" s="672"/>
      <c r="I81" s="672"/>
      <c r="J81" s="672"/>
      <c r="K81" s="672"/>
      <c r="L81" s="672"/>
      <c r="M81" s="67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42"/>
      <c r="AB81" s="642"/>
      <c r="AC81" s="642"/>
      <c r="AD81" s="642"/>
    </row>
    <row r="82" spans="1:30" ht="15" customHeight="1">
      <c r="A82" s="642"/>
    </row>
    <row r="83" spans="1:30" ht="15" customHeight="1">
      <c r="A83" s="642"/>
    </row>
    <row r="84" spans="1:30" ht="15" customHeight="1">
      <c r="A84" s="642"/>
    </row>
    <row r="85" spans="1:30" ht="15" customHeight="1">
      <c r="A85" s="642"/>
    </row>
    <row r="86" spans="1:30" ht="15" customHeight="1">
      <c r="A86" s="642"/>
    </row>
    <row r="87" spans="1:30" ht="15" customHeight="1">
      <c r="A87" s="675"/>
    </row>
    <row r="88" spans="1:30" ht="15" customHeight="1">
      <c r="A88" s="675"/>
    </row>
    <row r="92" spans="1:30" ht="15" customHeight="1">
      <c r="A92" s="676"/>
    </row>
  </sheetData>
  <sheetProtection password="CACA" sheet="1" objects="1" scenarios="1"/>
  <mergeCells count="1">
    <mergeCell ref="A1:D1"/>
  </mergeCells>
  <phoneticPr fontId="15" type="noConversion"/>
  <conditionalFormatting sqref="G15">
    <cfRule type="cellIs" dxfId="428" priority="69" operator="notEqual">
      <formula>$C$15</formula>
    </cfRule>
  </conditionalFormatting>
  <conditionalFormatting sqref="C6">
    <cfRule type="cellIs" dxfId="427" priority="23" operator="notEqual">
      <formula>G6</formula>
    </cfRule>
    <cfRule type="cellIs" dxfId="426" priority="25" operator="notEqual">
      <formula>G6</formula>
    </cfRule>
  </conditionalFormatting>
  <conditionalFormatting sqref="C7">
    <cfRule type="cellIs" dxfId="425" priority="21" operator="notEqual">
      <formula>G7</formula>
    </cfRule>
    <cfRule type="cellIs" dxfId="424" priority="22" operator="notEqual">
      <formula>G7</formula>
    </cfRule>
  </conditionalFormatting>
  <conditionalFormatting sqref="C9">
    <cfRule type="cellIs" dxfId="423" priority="19" operator="notEqual">
      <formula>G9</formula>
    </cfRule>
    <cfRule type="cellIs" dxfId="422" priority="20" operator="notEqual">
      <formula>G9</formula>
    </cfRule>
  </conditionalFormatting>
  <conditionalFormatting sqref="C12">
    <cfRule type="cellIs" dxfId="421" priority="17" operator="notEqual">
      <formula>G12</formula>
    </cfRule>
    <cfRule type="cellIs" dxfId="420" priority="18" operator="notEqual">
      <formula>G12</formula>
    </cfRule>
  </conditionalFormatting>
  <conditionalFormatting sqref="C13">
    <cfRule type="cellIs" dxfId="419" priority="15" operator="notEqual">
      <formula>G13</formula>
    </cfRule>
    <cfRule type="cellIs" dxfId="418" priority="16" operator="notEqual">
      <formula>G13</formula>
    </cfRule>
  </conditionalFormatting>
  <conditionalFormatting sqref="C14">
    <cfRule type="cellIs" dxfId="417" priority="13" operator="notEqual">
      <formula>G14</formula>
    </cfRule>
    <cfRule type="cellIs" dxfId="416" priority="14" operator="notEqual">
      <formula>G14</formula>
    </cfRule>
  </conditionalFormatting>
  <conditionalFormatting sqref="C18">
    <cfRule type="cellIs" dxfId="415" priority="11" operator="notEqual">
      <formula>G18</formula>
    </cfRule>
    <cfRule type="cellIs" dxfId="414" priority="12" operator="notEqual">
      <formula>G18</formula>
    </cfRule>
  </conditionalFormatting>
  <conditionalFormatting sqref="C19">
    <cfRule type="cellIs" dxfId="413" priority="9" operator="notEqual">
      <formula>G19</formula>
    </cfRule>
    <cfRule type="cellIs" dxfId="412" priority="10" operator="notEqual">
      <formula>G19</formula>
    </cfRule>
  </conditionalFormatting>
  <conditionalFormatting sqref="C23">
    <cfRule type="cellIs" dxfId="411" priority="7" operator="notEqual">
      <formula>G23</formula>
    </cfRule>
    <cfRule type="cellIs" dxfId="410" priority="8" operator="notEqual">
      <formula>G23</formula>
    </cfRule>
  </conditionalFormatting>
  <conditionalFormatting sqref="C24">
    <cfRule type="cellIs" dxfId="409" priority="5" operator="notEqual">
      <formula>G24</formula>
    </cfRule>
    <cfRule type="cellIs" dxfId="408" priority="6" operator="notEqual">
      <formula>G24</formula>
    </cfRule>
  </conditionalFormatting>
  <conditionalFormatting sqref="C27">
    <cfRule type="cellIs" dxfId="407" priority="3" operator="notEqual">
      <formula>G27</formula>
    </cfRule>
    <cfRule type="cellIs" dxfId="406" priority="4" operator="notEqual">
      <formula>G27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4:F75 F17 F46 C57:D67 C37:F43 C30:F33 F29 C23:F25 C71:F71 C47:F51 C18:F21 F5:F14 C6:E14 F57:F67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7:F27"/>
    <dataValidation allowBlank="1" showInputMessage="1" showErrorMessage="1" prompt="Значение должно равняться итого процентных доходов (см.следующий лист)" sqref="C15:F15"/>
    <dataValidation type="whole" operator="greaterThanOrEqual" allowBlank="1" showInputMessage="1" showErrorMessage="1" sqref="E57:E67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9" orientation="portrait" r:id="rId1"/>
  <headerFooter alignWithMargins="0"/>
  <ignoredErrors>
    <ignoredError sqref="C6:C8 C85:C91 C10:C21" unlockedFormula="1"/>
    <ignoredError sqref="C22:C34 C53:C56 C68:C70 C72:C78 C44:C51 C43 C82:C84 C37:C40" formula="1" unlockedFormula="1"/>
    <ignoredError sqref="C35:C3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AD98"/>
  <sheetViews>
    <sheetView view="pageBreakPreview" zoomScaleSheetLayoutView="100" workbookViewId="0">
      <pane xSplit="2" ySplit="4" topLeftCell="C6" activePane="bottomRight" state="frozen"/>
      <selection activeCell="J47" sqref="J47"/>
      <selection pane="topRight" activeCell="J47" sqref="J47"/>
      <selection pane="bottomLeft" activeCell="J47" sqref="J47"/>
      <selection pane="bottomRight" activeCell="C1" sqref="C1"/>
    </sheetView>
  </sheetViews>
  <sheetFormatPr defaultRowHeight="12.75"/>
  <cols>
    <col min="1" max="1" width="7.140625" style="496" customWidth="1"/>
    <col min="2" max="2" width="82.140625" style="262" customWidth="1"/>
    <col min="3" max="3" width="19" style="262" customWidth="1"/>
    <col min="4" max="4" width="6.42578125" style="262" customWidth="1"/>
    <col min="5" max="5" width="17.7109375" style="262" customWidth="1"/>
    <col min="6" max="10" width="6.42578125" style="262" customWidth="1"/>
    <col min="11" max="16384" width="9.140625" style="262"/>
  </cols>
  <sheetData>
    <row r="1" spans="1:20" s="16" customFormat="1" ht="21" customHeight="1">
      <c r="A1" s="4"/>
      <c r="B1" s="350" t="s">
        <v>373</v>
      </c>
      <c r="C1" s="17" t="s">
        <v>372</v>
      </c>
      <c r="D1" s="351"/>
      <c r="E1" s="351"/>
      <c r="F1" s="351"/>
      <c r="G1" s="351"/>
      <c r="H1" s="351"/>
    </row>
    <row r="2" spans="1:20" ht="9" customHeight="1">
      <c r="A2" s="4"/>
      <c r="B2" s="3"/>
      <c r="C2" s="17"/>
      <c r="D2" s="352"/>
      <c r="E2" s="352"/>
      <c r="F2" s="352"/>
      <c r="G2" s="352"/>
      <c r="H2" s="352"/>
    </row>
    <row r="3" spans="1:20" ht="15">
      <c r="A3" s="488"/>
      <c r="B3" s="92" t="str">
        <f>+'Asset quality'!B3</f>
        <v>"MKBANK"</v>
      </c>
      <c r="C3" s="314">
        <f>+'Asset quality'!Q3</f>
        <v>45289</v>
      </c>
      <c r="D3" s="352"/>
      <c r="E3" s="352"/>
      <c r="F3" s="352"/>
      <c r="G3" s="352"/>
      <c r="H3" s="352"/>
    </row>
    <row r="4" spans="1:20" ht="24" customHeight="1">
      <c r="A4" s="116" t="s">
        <v>61</v>
      </c>
      <c r="B4" s="116" t="s">
        <v>284</v>
      </c>
      <c r="C4" s="116" t="str">
        <f>+'Asset quality'!T3</f>
        <v>минг. сўмда</v>
      </c>
      <c r="D4" s="352"/>
      <c r="E4" s="352"/>
      <c r="F4" s="352"/>
      <c r="G4" s="352"/>
      <c r="H4" s="352"/>
    </row>
    <row r="5" spans="1:20">
      <c r="A5" s="489" t="s">
        <v>287</v>
      </c>
      <c r="B5" s="353" t="s">
        <v>374</v>
      </c>
      <c r="C5" s="116"/>
      <c r="D5" s="352"/>
      <c r="E5" s="352"/>
      <c r="F5" s="352"/>
      <c r="G5" s="352"/>
      <c r="H5" s="352"/>
    </row>
    <row r="6" spans="1:20">
      <c r="A6" s="490" t="s">
        <v>289</v>
      </c>
      <c r="B6" s="627" t="s">
        <v>250</v>
      </c>
      <c r="C6" s="354">
        <v>0</v>
      </c>
      <c r="D6" s="352"/>
      <c r="E6" s="352"/>
      <c r="F6" s="352"/>
      <c r="G6" s="352"/>
      <c r="H6" s="352"/>
    </row>
    <row r="7" spans="1:20">
      <c r="A7" s="490" t="s">
        <v>291</v>
      </c>
      <c r="B7" s="627" t="s">
        <v>794</v>
      </c>
      <c r="C7" s="354">
        <v>2315</v>
      </c>
      <c r="D7" s="352"/>
      <c r="E7" s="352"/>
      <c r="F7" s="352"/>
      <c r="G7" s="352"/>
      <c r="H7" s="352"/>
    </row>
    <row r="8" spans="1:20">
      <c r="A8" s="491" t="s">
        <v>293</v>
      </c>
      <c r="B8" s="627" t="s">
        <v>795</v>
      </c>
      <c r="C8" s="354">
        <v>990</v>
      </c>
      <c r="D8" s="352"/>
      <c r="E8" s="636"/>
      <c r="F8" s="352"/>
      <c r="G8" s="352"/>
      <c r="H8" s="352"/>
    </row>
    <row r="9" spans="1:20">
      <c r="A9" s="491" t="s">
        <v>294</v>
      </c>
      <c r="B9" s="627" t="s">
        <v>796</v>
      </c>
      <c r="C9" s="354">
        <v>876925506</v>
      </c>
      <c r="D9" s="352"/>
      <c r="E9" s="636"/>
      <c r="F9" s="352"/>
      <c r="G9" s="352"/>
      <c r="H9" s="352"/>
    </row>
    <row r="10" spans="1:20">
      <c r="A10" s="492" t="s">
        <v>296</v>
      </c>
      <c r="B10" s="628" t="s">
        <v>797</v>
      </c>
      <c r="C10" s="354">
        <v>3150180</v>
      </c>
      <c r="D10" s="352"/>
      <c r="E10" s="636"/>
      <c r="F10" s="352"/>
      <c r="G10" s="352"/>
      <c r="H10" s="352"/>
    </row>
    <row r="11" spans="1:20">
      <c r="A11" s="492" t="s">
        <v>298</v>
      </c>
      <c r="B11" s="628" t="s">
        <v>798</v>
      </c>
      <c r="C11" s="354">
        <v>12799531</v>
      </c>
      <c r="D11" s="352"/>
      <c r="E11" s="636"/>
      <c r="F11" s="352"/>
      <c r="G11" s="352"/>
      <c r="H11" s="352"/>
    </row>
    <row r="12" spans="1:20" ht="15.75" customHeight="1">
      <c r="A12" s="491" t="s">
        <v>300</v>
      </c>
      <c r="B12" s="628" t="s">
        <v>799</v>
      </c>
      <c r="C12" s="354">
        <v>1198466170</v>
      </c>
      <c r="D12" s="352"/>
      <c r="E12" s="636"/>
      <c r="F12" s="352"/>
      <c r="G12" s="352"/>
      <c r="H12" s="352"/>
    </row>
    <row r="13" spans="1:20">
      <c r="A13" s="491" t="s">
        <v>302</v>
      </c>
      <c r="B13" s="627" t="s">
        <v>800</v>
      </c>
      <c r="C13" s="354">
        <v>46222557</v>
      </c>
      <c r="D13" s="352"/>
      <c r="E13" s="636"/>
      <c r="F13" s="352"/>
      <c r="G13" s="352"/>
      <c r="H13" s="352"/>
    </row>
    <row r="14" spans="1:20">
      <c r="A14" s="493" t="s">
        <v>304</v>
      </c>
      <c r="B14" s="357" t="s">
        <v>375</v>
      </c>
      <c r="C14" s="541">
        <f>SUM(C6:C13)</f>
        <v>2137567249</v>
      </c>
      <c r="D14" s="352"/>
      <c r="E14" s="637">
        <f>+'Income '!C12</f>
        <v>2137567249</v>
      </c>
      <c r="F14" s="352"/>
      <c r="G14" s="352"/>
      <c r="H14" s="352"/>
    </row>
    <row r="15" spans="1:20" s="361" customFormat="1" ht="7.5" customHeight="1">
      <c r="A15" s="9"/>
      <c r="B15" s="358"/>
      <c r="C15" s="359"/>
      <c r="D15" s="360"/>
      <c r="E15" s="638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</row>
    <row r="16" spans="1:20">
      <c r="A16" s="493" t="s">
        <v>309</v>
      </c>
      <c r="B16" s="357" t="s">
        <v>376</v>
      </c>
      <c r="C16" s="116"/>
      <c r="D16" s="352"/>
      <c r="E16" s="636"/>
      <c r="F16" s="352"/>
      <c r="G16" s="352"/>
      <c r="H16" s="352"/>
    </row>
    <row r="17" spans="1:20">
      <c r="A17" s="494" t="s">
        <v>289</v>
      </c>
      <c r="B17" s="362" t="s">
        <v>290</v>
      </c>
      <c r="C17" s="678">
        <v>32946849</v>
      </c>
      <c r="D17" s="352"/>
      <c r="E17" s="637">
        <f>+'Income '!C6</f>
        <v>32946849</v>
      </c>
      <c r="F17" s="352"/>
      <c r="G17" s="352"/>
      <c r="H17" s="352"/>
    </row>
    <row r="18" spans="1:20">
      <c r="A18" s="494" t="s">
        <v>291</v>
      </c>
      <c r="B18" s="362" t="s">
        <v>292</v>
      </c>
      <c r="C18" s="678">
        <v>57718507</v>
      </c>
      <c r="D18" s="352"/>
      <c r="E18" s="637">
        <f>+'Income '!C7</f>
        <v>57718507</v>
      </c>
      <c r="F18" s="352"/>
      <c r="G18" s="352"/>
      <c r="H18" s="352"/>
    </row>
    <row r="19" spans="1:20">
      <c r="A19" s="493"/>
      <c r="B19" s="357" t="s">
        <v>377</v>
      </c>
      <c r="C19" s="541">
        <f>SUM(C17:C18)</f>
        <v>90665356</v>
      </c>
      <c r="D19" s="352"/>
      <c r="E19" s="636"/>
      <c r="F19" s="352"/>
      <c r="G19" s="352"/>
      <c r="H19" s="352"/>
    </row>
    <row r="20" spans="1:20" s="361" customFormat="1" ht="7.5" customHeight="1">
      <c r="A20" s="9"/>
      <c r="B20" s="358"/>
      <c r="C20" s="359"/>
      <c r="D20" s="360"/>
      <c r="E20" s="638"/>
      <c r="F20" s="360"/>
      <c r="G20" s="360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</row>
    <row r="21" spans="1:20" ht="25.5">
      <c r="A21" s="495" t="s">
        <v>91</v>
      </c>
      <c r="B21" s="363" t="s">
        <v>378</v>
      </c>
      <c r="C21" s="116"/>
      <c r="D21" s="352"/>
      <c r="E21" s="636"/>
      <c r="F21" s="352"/>
      <c r="G21" s="352"/>
      <c r="H21" s="352"/>
    </row>
    <row r="22" spans="1:20">
      <c r="A22" s="492" t="s">
        <v>289</v>
      </c>
      <c r="B22" s="362" t="s">
        <v>379</v>
      </c>
      <c r="C22" s="354">
        <v>2734099</v>
      </c>
      <c r="D22" s="352"/>
      <c r="E22" s="636"/>
      <c r="F22" s="352"/>
      <c r="G22" s="352"/>
      <c r="H22" s="352"/>
    </row>
    <row r="23" spans="1:20">
      <c r="A23" s="491" t="s">
        <v>291</v>
      </c>
      <c r="B23" s="362" t="s">
        <v>380</v>
      </c>
      <c r="C23" s="354">
        <v>40109700</v>
      </c>
      <c r="D23" s="352"/>
      <c r="E23" s="636"/>
      <c r="F23" s="352"/>
      <c r="G23" s="352"/>
      <c r="H23" s="352"/>
    </row>
    <row r="24" spans="1:20">
      <c r="A24" s="491" t="s">
        <v>293</v>
      </c>
      <c r="B24" s="362" t="s">
        <v>381</v>
      </c>
      <c r="C24" s="354">
        <v>374795</v>
      </c>
      <c r="D24" s="352"/>
      <c r="E24" s="636"/>
      <c r="F24" s="352"/>
      <c r="G24" s="352"/>
      <c r="H24" s="352"/>
    </row>
    <row r="25" spans="1:20">
      <c r="A25" s="491" t="s">
        <v>294</v>
      </c>
      <c r="B25" s="362" t="s">
        <v>382</v>
      </c>
      <c r="C25" s="354">
        <v>0</v>
      </c>
      <c r="D25" s="352"/>
      <c r="E25" s="636"/>
      <c r="F25" s="352"/>
      <c r="G25" s="352"/>
      <c r="H25" s="352"/>
    </row>
    <row r="26" spans="1:20">
      <c r="A26" s="491" t="s">
        <v>296</v>
      </c>
      <c r="B26" s="362" t="s">
        <v>383</v>
      </c>
      <c r="C26" s="354">
        <v>0</v>
      </c>
      <c r="D26" s="352"/>
      <c r="E26" s="636"/>
      <c r="F26" s="352"/>
      <c r="G26" s="352"/>
      <c r="H26" s="352"/>
    </row>
    <row r="27" spans="1:20">
      <c r="A27" s="491" t="s">
        <v>298</v>
      </c>
      <c r="B27" s="362" t="s">
        <v>384</v>
      </c>
      <c r="C27" s="354">
        <v>0</v>
      </c>
      <c r="D27" s="352"/>
      <c r="E27" s="636"/>
      <c r="F27" s="352"/>
      <c r="G27" s="352"/>
      <c r="H27" s="352"/>
    </row>
    <row r="28" spans="1:20">
      <c r="A28" s="491" t="s">
        <v>300</v>
      </c>
      <c r="B28" s="357" t="s">
        <v>385</v>
      </c>
      <c r="C28" s="541">
        <f>SUM(C22:C27)</f>
        <v>43218594</v>
      </c>
      <c r="D28" s="352"/>
      <c r="E28" s="637">
        <f>+'Income '!C9</f>
        <v>43218594</v>
      </c>
      <c r="F28" s="352"/>
      <c r="G28" s="352"/>
      <c r="H28" s="352"/>
    </row>
    <row r="29" spans="1:20" s="361" customFormat="1" ht="7.5" customHeight="1">
      <c r="A29" s="9"/>
      <c r="B29" s="358"/>
      <c r="C29" s="359"/>
      <c r="D29" s="360"/>
      <c r="E29" s="638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</row>
    <row r="30" spans="1:20">
      <c r="A30" s="493" t="s">
        <v>328</v>
      </c>
      <c r="B30" s="357" t="s">
        <v>386</v>
      </c>
      <c r="C30" s="116"/>
      <c r="D30" s="352"/>
      <c r="E30" s="636"/>
      <c r="F30" s="352"/>
      <c r="G30" s="352"/>
      <c r="H30" s="352"/>
    </row>
    <row r="31" spans="1:20">
      <c r="A31" s="491" t="s">
        <v>289</v>
      </c>
      <c r="B31" s="355" t="s">
        <v>379</v>
      </c>
      <c r="C31" s="354">
        <v>0</v>
      </c>
      <c r="D31" s="352"/>
      <c r="E31" s="636"/>
      <c r="F31" s="352"/>
      <c r="G31" s="352"/>
      <c r="H31" s="352"/>
    </row>
    <row r="32" spans="1:20" ht="25.5">
      <c r="A32" s="492" t="s">
        <v>291</v>
      </c>
      <c r="B32" s="356" t="s">
        <v>387</v>
      </c>
      <c r="C32" s="354">
        <v>0</v>
      </c>
      <c r="D32" s="352"/>
      <c r="E32" s="636"/>
      <c r="F32" s="352"/>
      <c r="G32" s="352"/>
      <c r="H32" s="352"/>
    </row>
    <row r="33" spans="1:20" ht="25.5">
      <c r="A33" s="492" t="s">
        <v>293</v>
      </c>
      <c r="B33" s="356" t="s">
        <v>388</v>
      </c>
      <c r="C33" s="354">
        <v>0</v>
      </c>
      <c r="D33" s="352"/>
      <c r="E33" s="636"/>
      <c r="F33" s="352"/>
      <c r="G33" s="352"/>
      <c r="H33" s="352"/>
    </row>
    <row r="34" spans="1:20">
      <c r="A34" s="491" t="s">
        <v>294</v>
      </c>
      <c r="B34" s="355" t="s">
        <v>389</v>
      </c>
      <c r="C34" s="354">
        <v>0</v>
      </c>
      <c r="D34" s="352"/>
      <c r="E34" s="636"/>
      <c r="F34" s="352"/>
      <c r="G34" s="352"/>
      <c r="H34" s="352"/>
    </row>
    <row r="35" spans="1:20">
      <c r="A35" s="491" t="s">
        <v>296</v>
      </c>
      <c r="B35" s="355" t="s">
        <v>384</v>
      </c>
      <c r="C35" s="354">
        <v>0</v>
      </c>
      <c r="D35" s="352"/>
      <c r="E35" s="636"/>
      <c r="F35" s="352"/>
      <c r="G35" s="352"/>
      <c r="H35" s="352"/>
    </row>
    <row r="36" spans="1:20">
      <c r="A36" s="491" t="s">
        <v>298</v>
      </c>
      <c r="B36" s="357" t="s">
        <v>390</v>
      </c>
      <c r="C36" s="541">
        <f>SUM(C31:C35)</f>
        <v>0</v>
      </c>
      <c r="D36" s="352"/>
      <c r="E36" s="636"/>
      <c r="F36" s="352"/>
      <c r="G36" s="352"/>
      <c r="H36" s="352"/>
    </row>
    <row r="37" spans="1:20" s="361" customFormat="1" ht="7.5" customHeight="1">
      <c r="A37" s="9"/>
      <c r="B37" s="358"/>
      <c r="C37" s="359"/>
      <c r="D37" s="360"/>
      <c r="E37" s="638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</row>
    <row r="38" spans="1:20">
      <c r="A38" s="493" t="s">
        <v>338</v>
      </c>
      <c r="B38" s="357" t="s">
        <v>391</v>
      </c>
      <c r="C38" s="116"/>
      <c r="D38" s="352"/>
      <c r="E38" s="636"/>
      <c r="F38" s="352"/>
      <c r="G38" s="352"/>
      <c r="H38" s="352"/>
    </row>
    <row r="39" spans="1:20">
      <c r="A39" s="491" t="s">
        <v>289</v>
      </c>
      <c r="B39" s="364" t="s">
        <v>392</v>
      </c>
      <c r="C39" s="354">
        <v>0</v>
      </c>
      <c r="D39" s="352"/>
      <c r="E39" s="636"/>
      <c r="F39" s="352"/>
      <c r="G39" s="352"/>
      <c r="H39" s="352"/>
    </row>
    <row r="40" spans="1:20">
      <c r="A40" s="491" t="s">
        <v>291</v>
      </c>
      <c r="B40" s="364" t="s">
        <v>305</v>
      </c>
      <c r="C40" s="678">
        <v>948265285</v>
      </c>
      <c r="D40" s="352"/>
      <c r="E40" s="637">
        <f>+'Income '!C14</f>
        <v>948265285</v>
      </c>
      <c r="F40" s="352"/>
      <c r="G40" s="352"/>
      <c r="H40" s="352"/>
    </row>
    <row r="41" spans="1:20" s="361" customFormat="1" ht="7.5" customHeight="1">
      <c r="A41" s="9"/>
      <c r="B41" s="358"/>
      <c r="C41" s="359"/>
      <c r="D41" s="360"/>
      <c r="E41" s="638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</row>
    <row r="42" spans="1:20">
      <c r="A42" s="493" t="s">
        <v>345</v>
      </c>
      <c r="B42" s="357" t="s">
        <v>393</v>
      </c>
      <c r="C42" s="541">
        <f>C14+C19+C28+C36+C39+C40</f>
        <v>3219716484</v>
      </c>
      <c r="D42" s="352"/>
      <c r="E42" s="637">
        <f>+'Income '!C15</f>
        <v>3219716484</v>
      </c>
      <c r="F42" s="352"/>
      <c r="G42" s="352"/>
      <c r="H42" s="352"/>
    </row>
    <row r="43" spans="1:20" s="361" customFormat="1" ht="7.5" customHeight="1">
      <c r="A43" s="9"/>
      <c r="B43" s="358"/>
      <c r="C43" s="359"/>
      <c r="D43" s="360"/>
      <c r="E43" s="638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</row>
    <row r="44" spans="1:20">
      <c r="A44" s="493" t="s">
        <v>347</v>
      </c>
      <c r="B44" s="357" t="s">
        <v>394</v>
      </c>
      <c r="C44" s="116"/>
      <c r="D44" s="352"/>
      <c r="E44" s="636"/>
      <c r="F44" s="352"/>
      <c r="G44" s="352"/>
      <c r="H44" s="352"/>
    </row>
    <row r="45" spans="1:20">
      <c r="A45" s="493" t="s">
        <v>395</v>
      </c>
      <c r="B45" s="357" t="s">
        <v>396</v>
      </c>
      <c r="C45" s="354"/>
      <c r="D45" s="352"/>
      <c r="E45" s="636"/>
      <c r="F45" s="352"/>
      <c r="G45" s="352"/>
      <c r="H45" s="352"/>
    </row>
    <row r="46" spans="1:20">
      <c r="A46" s="491" t="s">
        <v>289</v>
      </c>
      <c r="B46" s="362" t="s">
        <v>397</v>
      </c>
      <c r="C46" s="354">
        <v>0</v>
      </c>
      <c r="D46" s="352"/>
      <c r="E46" s="636"/>
      <c r="F46" s="352"/>
      <c r="G46" s="352"/>
      <c r="H46" s="352"/>
    </row>
    <row r="47" spans="1:20">
      <c r="A47" s="491" t="s">
        <v>291</v>
      </c>
      <c r="B47" s="362" t="s">
        <v>398</v>
      </c>
      <c r="C47" s="354">
        <v>98</v>
      </c>
      <c r="D47" s="352"/>
      <c r="E47" s="636"/>
      <c r="F47" s="352"/>
      <c r="G47" s="352"/>
      <c r="H47" s="352"/>
    </row>
    <row r="48" spans="1:20">
      <c r="A48" s="491" t="s">
        <v>293</v>
      </c>
      <c r="B48" s="362" t="s">
        <v>399</v>
      </c>
      <c r="C48" s="354">
        <v>35801709</v>
      </c>
      <c r="D48" s="352"/>
      <c r="E48" s="636"/>
      <c r="F48" s="352"/>
      <c r="G48" s="352"/>
      <c r="H48" s="352"/>
    </row>
    <row r="49" spans="1:20">
      <c r="A49" s="491" t="s">
        <v>294</v>
      </c>
      <c r="B49" s="355" t="s">
        <v>400</v>
      </c>
      <c r="C49" s="354">
        <v>0</v>
      </c>
      <c r="D49" s="352"/>
      <c r="E49" s="636"/>
      <c r="F49" s="352"/>
      <c r="G49" s="352"/>
      <c r="H49" s="352"/>
    </row>
    <row r="50" spans="1:20">
      <c r="A50" s="491" t="s">
        <v>296</v>
      </c>
      <c r="B50" s="355" t="s">
        <v>401</v>
      </c>
      <c r="C50" s="354">
        <v>0</v>
      </c>
      <c r="D50" s="352"/>
      <c r="E50" s="636"/>
      <c r="F50" s="352"/>
      <c r="G50" s="352"/>
      <c r="H50" s="352"/>
    </row>
    <row r="51" spans="1:20">
      <c r="A51" s="491" t="s">
        <v>298</v>
      </c>
      <c r="B51" s="355" t="s">
        <v>402</v>
      </c>
      <c r="C51" s="354">
        <v>112413</v>
      </c>
      <c r="D51" s="352"/>
      <c r="E51" s="636"/>
      <c r="F51" s="352"/>
      <c r="G51" s="352"/>
      <c r="H51" s="352"/>
    </row>
    <row r="52" spans="1:20">
      <c r="A52" s="542" t="s">
        <v>300</v>
      </c>
      <c r="B52" s="543" t="s">
        <v>403</v>
      </c>
      <c r="C52" s="541">
        <f>SUM(C46:C51)</f>
        <v>35914220</v>
      </c>
      <c r="D52" s="352"/>
      <c r="E52" s="637">
        <f>+'Income '!C18</f>
        <v>35914220</v>
      </c>
      <c r="F52" s="352"/>
      <c r="G52" s="352"/>
      <c r="H52" s="352"/>
    </row>
    <row r="53" spans="1:20" s="361" customFormat="1" ht="7.5" customHeight="1">
      <c r="A53" s="9"/>
      <c r="B53" s="358"/>
      <c r="C53" s="359"/>
      <c r="D53" s="360"/>
      <c r="E53" s="639"/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</row>
    <row r="54" spans="1:20">
      <c r="A54" s="493" t="s">
        <v>404</v>
      </c>
      <c r="B54" s="357" t="s">
        <v>405</v>
      </c>
      <c r="C54" s="116"/>
      <c r="D54" s="352"/>
      <c r="E54" s="636"/>
      <c r="F54" s="352"/>
      <c r="G54" s="352"/>
      <c r="H54" s="352"/>
    </row>
    <row r="55" spans="1:20">
      <c r="A55" s="491" t="s">
        <v>289</v>
      </c>
      <c r="B55" s="362" t="s">
        <v>397</v>
      </c>
      <c r="C55" s="354">
        <v>394119732</v>
      </c>
      <c r="D55" s="352"/>
      <c r="E55" s="636"/>
      <c r="F55" s="352"/>
      <c r="G55" s="352"/>
      <c r="H55" s="352"/>
    </row>
    <row r="56" spans="1:20">
      <c r="A56" s="491" t="s">
        <v>291</v>
      </c>
      <c r="B56" s="362" t="s">
        <v>398</v>
      </c>
      <c r="C56" s="354">
        <v>287844013</v>
      </c>
      <c r="D56" s="352"/>
      <c r="E56" s="636"/>
      <c r="F56" s="352"/>
      <c r="G56" s="352"/>
      <c r="H56" s="352"/>
    </row>
    <row r="57" spans="1:20">
      <c r="A57" s="491" t="s">
        <v>293</v>
      </c>
      <c r="B57" s="362" t="s">
        <v>399</v>
      </c>
      <c r="C57" s="354">
        <v>57365448</v>
      </c>
      <c r="D57" s="352"/>
      <c r="E57" s="636"/>
      <c r="F57" s="352"/>
      <c r="G57" s="352"/>
      <c r="H57" s="352"/>
    </row>
    <row r="58" spans="1:20">
      <c r="A58" s="491" t="s">
        <v>294</v>
      </c>
      <c r="B58" s="355" t="s">
        <v>400</v>
      </c>
      <c r="C58" s="354">
        <v>886102</v>
      </c>
      <c r="D58" s="352"/>
      <c r="E58" s="636"/>
      <c r="F58" s="352"/>
      <c r="G58" s="352"/>
      <c r="H58" s="352"/>
    </row>
    <row r="59" spans="1:20">
      <c r="A59" s="491" t="s">
        <v>296</v>
      </c>
      <c r="B59" s="362" t="s">
        <v>401</v>
      </c>
      <c r="C59" s="354">
        <v>21842406</v>
      </c>
      <c r="D59" s="352"/>
      <c r="E59" s="636"/>
      <c r="F59" s="352"/>
      <c r="G59" s="352"/>
      <c r="H59" s="352"/>
    </row>
    <row r="60" spans="1:20">
      <c r="A60" s="491" t="s">
        <v>298</v>
      </c>
      <c r="B60" s="362" t="s">
        <v>402</v>
      </c>
      <c r="C60" s="354">
        <v>27736234</v>
      </c>
      <c r="D60" s="352"/>
      <c r="E60" s="636"/>
      <c r="F60" s="352"/>
      <c r="G60" s="352"/>
      <c r="H60" s="352"/>
    </row>
    <row r="61" spans="1:20" ht="13.5" customHeight="1">
      <c r="A61" s="542" t="s">
        <v>300</v>
      </c>
      <c r="B61" s="353" t="s">
        <v>406</v>
      </c>
      <c r="C61" s="541">
        <f>SUM(C55:C60)</f>
        <v>789793935</v>
      </c>
      <c r="D61" s="352"/>
      <c r="E61" s="637">
        <f>+'Income '!C19</f>
        <v>789793935</v>
      </c>
      <c r="F61" s="352"/>
      <c r="G61" s="352"/>
      <c r="H61" s="352"/>
    </row>
    <row r="62" spans="1:20" s="361" customFormat="1" ht="7.5" customHeight="1">
      <c r="A62" s="9"/>
      <c r="B62" s="358"/>
      <c r="C62" s="359"/>
      <c r="D62" s="360"/>
      <c r="E62" s="638"/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</row>
    <row r="63" spans="1:20">
      <c r="A63" s="493" t="s">
        <v>407</v>
      </c>
      <c r="B63" s="357" t="s">
        <v>408</v>
      </c>
      <c r="C63" s="541">
        <f>C52+C61</f>
        <v>825708155</v>
      </c>
      <c r="D63" s="352"/>
      <c r="E63" s="636"/>
      <c r="F63" s="352"/>
      <c r="G63" s="352"/>
      <c r="H63" s="352"/>
    </row>
    <row r="64" spans="1:20" s="361" customFormat="1" ht="7.5" customHeight="1">
      <c r="A64" s="9"/>
      <c r="B64" s="358"/>
      <c r="C64" s="359"/>
      <c r="D64" s="360"/>
      <c r="E64" s="638"/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R64" s="360"/>
      <c r="S64" s="360"/>
      <c r="T64" s="360"/>
    </row>
    <row r="65" spans="1:30">
      <c r="A65" s="493" t="s">
        <v>363</v>
      </c>
      <c r="B65" s="357" t="s">
        <v>409</v>
      </c>
      <c r="C65" s="116"/>
      <c r="D65" s="352"/>
      <c r="E65" s="636"/>
      <c r="F65" s="352"/>
      <c r="G65" s="352"/>
      <c r="H65" s="352"/>
    </row>
    <row r="66" spans="1:30">
      <c r="A66" s="494" t="s">
        <v>311</v>
      </c>
      <c r="B66" s="362" t="s">
        <v>410</v>
      </c>
      <c r="C66" s="354">
        <v>0</v>
      </c>
      <c r="D66" s="352"/>
      <c r="E66" s="636"/>
      <c r="F66" s="352"/>
      <c r="G66" s="352"/>
      <c r="H66" s="352"/>
    </row>
    <row r="67" spans="1:30">
      <c r="A67" s="494" t="s">
        <v>291</v>
      </c>
      <c r="B67" s="364" t="s">
        <v>317</v>
      </c>
      <c r="C67" s="678">
        <v>511342153</v>
      </c>
      <c r="D67" s="352"/>
      <c r="E67" s="637">
        <f>+'Income '!C23</f>
        <v>511342153</v>
      </c>
      <c r="F67" s="352"/>
      <c r="G67" s="352"/>
      <c r="H67" s="352"/>
    </row>
    <row r="68" spans="1:30">
      <c r="A68" s="494" t="s">
        <v>293</v>
      </c>
      <c r="B68" s="364" t="s">
        <v>318</v>
      </c>
      <c r="C68" s="678">
        <v>0</v>
      </c>
      <c r="D68" s="352"/>
      <c r="E68" s="637">
        <f>+'Income '!C24</f>
        <v>0</v>
      </c>
      <c r="F68" s="352"/>
      <c r="G68" s="352"/>
      <c r="H68" s="352"/>
    </row>
    <row r="69" spans="1:30">
      <c r="A69" s="494" t="s">
        <v>294</v>
      </c>
      <c r="B69" s="364" t="s">
        <v>319</v>
      </c>
      <c r="C69" s="678">
        <v>1138780554</v>
      </c>
      <c r="D69" s="352"/>
      <c r="E69" s="637">
        <f>+'Income '!C25+'Income '!C21</f>
        <v>1138780554</v>
      </c>
      <c r="F69" s="352"/>
      <c r="G69" s="352"/>
      <c r="H69" s="352"/>
    </row>
    <row r="70" spans="1:30">
      <c r="A70" s="493" t="s">
        <v>296</v>
      </c>
      <c r="B70" s="365" t="s">
        <v>411</v>
      </c>
      <c r="C70" s="541">
        <f>SUM(C66:C69)</f>
        <v>1650122707</v>
      </c>
      <c r="D70" s="352"/>
      <c r="E70" s="636"/>
      <c r="F70" s="352"/>
      <c r="G70" s="352"/>
      <c r="H70" s="352"/>
    </row>
    <row r="71" spans="1:30" s="361" customFormat="1" ht="7.5" customHeight="1">
      <c r="A71" s="9"/>
      <c r="B71" s="358"/>
      <c r="C71" s="544"/>
      <c r="D71" s="360"/>
      <c r="E71" s="638"/>
      <c r="F71" s="360"/>
      <c r="G71" s="360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</row>
    <row r="72" spans="1:30">
      <c r="A72" s="493" t="s">
        <v>366</v>
      </c>
      <c r="B72" s="357" t="s">
        <v>412</v>
      </c>
      <c r="C72" s="541">
        <f>C63+C70</f>
        <v>2475830862</v>
      </c>
      <c r="D72" s="352"/>
      <c r="E72" s="637">
        <f>+'Income '!C27</f>
        <v>2475830862</v>
      </c>
      <c r="F72" s="352"/>
      <c r="G72" s="352"/>
      <c r="H72" s="352"/>
    </row>
    <row r="73" spans="1:30">
      <c r="D73" s="352"/>
      <c r="E73" s="636"/>
      <c r="F73" s="352"/>
      <c r="G73" s="352"/>
      <c r="H73" s="352"/>
    </row>
    <row r="74" spans="1:30" s="258" customFormat="1" ht="15" customHeight="1">
      <c r="A74" s="34"/>
      <c r="B74" s="232" t="s">
        <v>778</v>
      </c>
      <c r="C74" s="34"/>
      <c r="D74" s="34"/>
      <c r="E74" s="640"/>
      <c r="F74" s="338"/>
      <c r="G74" s="338"/>
      <c r="H74" s="338"/>
      <c r="I74" s="338"/>
      <c r="J74" s="338"/>
      <c r="K74" s="338"/>
      <c r="L74" s="338"/>
      <c r="M74" s="338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</row>
    <row r="75" spans="1:30" s="258" customFormat="1" ht="11.25" customHeight="1">
      <c r="A75" s="34"/>
      <c r="B75" s="232"/>
      <c r="C75" s="34"/>
      <c r="D75" s="34"/>
      <c r="E75" s="640"/>
      <c r="F75" s="338"/>
      <c r="G75" s="338"/>
      <c r="H75" s="338"/>
      <c r="I75" s="338"/>
      <c r="J75" s="338"/>
      <c r="K75" s="338"/>
      <c r="L75" s="338"/>
      <c r="M75" s="338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</row>
    <row r="76" spans="1:30" s="258" customFormat="1" ht="15" customHeight="1">
      <c r="A76" s="34"/>
      <c r="B76" s="232" t="s">
        <v>779</v>
      </c>
      <c r="C76" s="34"/>
      <c r="D76" s="34"/>
      <c r="E76" s="640"/>
      <c r="F76" s="338"/>
      <c r="G76" s="338"/>
      <c r="H76" s="338"/>
      <c r="I76" s="338"/>
      <c r="J76" s="338"/>
      <c r="K76" s="338"/>
      <c r="L76" s="338"/>
      <c r="M76" s="338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</row>
    <row r="77" spans="1:30">
      <c r="D77" s="352"/>
      <c r="E77" s="636"/>
      <c r="F77" s="352"/>
      <c r="G77" s="352"/>
      <c r="H77" s="352"/>
    </row>
    <row r="78" spans="1:30">
      <c r="A78" s="497"/>
      <c r="D78" s="352"/>
      <c r="E78" s="636"/>
      <c r="F78" s="352"/>
      <c r="G78" s="352"/>
      <c r="H78" s="352"/>
    </row>
    <row r="79" spans="1:30">
      <c r="A79" s="498"/>
      <c r="D79" s="352"/>
      <c r="E79" s="636"/>
      <c r="F79" s="352"/>
      <c r="G79" s="352"/>
      <c r="H79" s="352"/>
    </row>
    <row r="80" spans="1:30">
      <c r="D80" s="352"/>
      <c r="E80" s="636"/>
      <c r="F80" s="352"/>
      <c r="G80" s="352"/>
      <c r="H80" s="352"/>
    </row>
    <row r="81" spans="4:8">
      <c r="D81" s="352"/>
      <c r="E81" s="352"/>
      <c r="F81" s="352"/>
      <c r="G81" s="352"/>
      <c r="H81" s="352"/>
    </row>
    <row r="82" spans="4:8">
      <c r="D82" s="352"/>
      <c r="E82" s="352"/>
      <c r="F82" s="352"/>
      <c r="G82" s="352"/>
      <c r="H82" s="352"/>
    </row>
    <row r="83" spans="4:8">
      <c r="D83" s="352"/>
      <c r="E83" s="352"/>
      <c r="F83" s="352"/>
      <c r="G83" s="352"/>
      <c r="H83" s="352"/>
    </row>
    <row r="84" spans="4:8">
      <c r="D84" s="352"/>
      <c r="E84" s="352"/>
      <c r="F84" s="352"/>
      <c r="G84" s="352"/>
      <c r="H84" s="352"/>
    </row>
    <row r="85" spans="4:8">
      <c r="D85" s="352"/>
      <c r="E85" s="352"/>
      <c r="F85" s="352"/>
      <c r="G85" s="352"/>
      <c r="H85" s="352"/>
    </row>
    <row r="86" spans="4:8">
      <c r="D86" s="352"/>
      <c r="E86" s="352"/>
      <c r="F86" s="352"/>
      <c r="G86" s="352"/>
      <c r="H86" s="352"/>
    </row>
    <row r="87" spans="4:8">
      <c r="D87" s="352"/>
      <c r="E87" s="352"/>
      <c r="F87" s="352"/>
      <c r="G87" s="352"/>
      <c r="H87" s="352"/>
    </row>
    <row r="88" spans="4:8">
      <c r="D88" s="352"/>
      <c r="E88" s="352"/>
      <c r="F88" s="352"/>
      <c r="G88" s="352"/>
      <c r="H88" s="352"/>
    </row>
    <row r="89" spans="4:8">
      <c r="D89" s="352"/>
      <c r="E89" s="352"/>
      <c r="F89" s="352"/>
      <c r="G89" s="352"/>
      <c r="H89" s="352"/>
    </row>
    <row r="90" spans="4:8">
      <c r="D90" s="352"/>
      <c r="E90" s="352"/>
      <c r="F90" s="352"/>
      <c r="G90" s="352"/>
      <c r="H90" s="352"/>
    </row>
    <row r="91" spans="4:8">
      <c r="D91" s="352"/>
      <c r="E91" s="352"/>
      <c r="F91" s="352"/>
      <c r="G91" s="352"/>
      <c r="H91" s="352"/>
    </row>
    <row r="92" spans="4:8">
      <c r="D92" s="352"/>
      <c r="E92" s="352"/>
      <c r="F92" s="352"/>
      <c r="G92" s="352"/>
      <c r="H92" s="352"/>
    </row>
    <row r="93" spans="4:8">
      <c r="D93" s="352"/>
      <c r="E93" s="352"/>
      <c r="F93" s="352"/>
      <c r="G93" s="352"/>
      <c r="H93" s="352"/>
    </row>
    <row r="94" spans="4:8">
      <c r="D94" s="352"/>
      <c r="E94" s="352"/>
      <c r="F94" s="352"/>
      <c r="G94" s="352"/>
      <c r="H94" s="352"/>
    </row>
    <row r="95" spans="4:8">
      <c r="D95" s="352"/>
      <c r="E95" s="352"/>
      <c r="F95" s="352"/>
      <c r="G95" s="352"/>
      <c r="H95" s="352"/>
    </row>
    <row r="96" spans="4:8">
      <c r="D96" s="352"/>
      <c r="E96" s="352"/>
      <c r="F96" s="352"/>
      <c r="G96" s="352"/>
      <c r="H96" s="352"/>
    </row>
    <row r="97" spans="4:8">
      <c r="D97" s="352"/>
      <c r="E97" s="352"/>
      <c r="F97" s="352"/>
      <c r="G97" s="352"/>
      <c r="H97" s="352"/>
    </row>
    <row r="98" spans="4:8">
      <c r="D98" s="352"/>
      <c r="E98" s="352"/>
      <c r="F98" s="352"/>
      <c r="G98" s="352"/>
      <c r="H98" s="352"/>
    </row>
  </sheetData>
  <sheetProtection password="CACA" sheet="1" objects="1" scenarios="1"/>
  <phoneticPr fontId="15" type="noConversion"/>
  <conditionalFormatting sqref="C14">
    <cfRule type="cellIs" dxfId="405" priority="14" operator="notEqual">
      <formula>E14</formula>
    </cfRule>
  </conditionalFormatting>
  <conditionalFormatting sqref="C17">
    <cfRule type="cellIs" dxfId="404" priority="13" operator="notEqual">
      <formula>E17</formula>
    </cfRule>
  </conditionalFormatting>
  <conditionalFormatting sqref="C28">
    <cfRule type="cellIs" dxfId="403" priority="11" operator="notEqual">
      <formula>E28</formula>
    </cfRule>
  </conditionalFormatting>
  <conditionalFormatting sqref="C42">
    <cfRule type="cellIs" dxfId="402" priority="10" operator="notEqual">
      <formula>E42</formula>
    </cfRule>
  </conditionalFormatting>
  <conditionalFormatting sqref="C52">
    <cfRule type="cellIs" dxfId="401" priority="9" operator="notEqual">
      <formula>E52</formula>
    </cfRule>
  </conditionalFormatting>
  <conditionalFormatting sqref="C61">
    <cfRule type="cellIs" dxfId="400" priority="8" operator="notEqual">
      <formula>E61</formula>
    </cfRule>
  </conditionalFormatting>
  <conditionalFormatting sqref="C72">
    <cfRule type="cellIs" dxfId="399" priority="7" operator="notEqual">
      <formula>E72</formula>
    </cfRule>
  </conditionalFormatting>
  <conditionalFormatting sqref="C18">
    <cfRule type="cellIs" dxfId="398" priority="6" operator="notEqual">
      <formula>E18</formula>
    </cfRule>
  </conditionalFormatting>
  <conditionalFormatting sqref="C40">
    <cfRule type="cellIs" dxfId="397" priority="5" operator="notEqual">
      <formula>E40</formula>
    </cfRule>
  </conditionalFormatting>
  <conditionalFormatting sqref="C67">
    <cfRule type="cellIs" dxfId="396" priority="3" operator="notEqual">
      <formula>E67</formula>
    </cfRule>
  </conditionalFormatting>
  <conditionalFormatting sqref="C68">
    <cfRule type="cellIs" dxfId="395" priority="2" operator="notEqual">
      <formula>E68</formula>
    </cfRule>
  </conditionalFormatting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:C13 C46:C51 C39:C40 C31:C35 C22:C27 C17:C18 C55:C60 C66:C69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AD28"/>
  <sheetViews>
    <sheetView view="pageBreakPreview" zoomScaleSheetLayoutView="100" workbookViewId="0">
      <selection activeCell="D7" sqref="D7"/>
    </sheetView>
  </sheetViews>
  <sheetFormatPr defaultRowHeight="12.75"/>
  <cols>
    <col min="1" max="1" width="5.85546875" style="257" customWidth="1"/>
    <col min="2" max="2" width="89.42578125" style="258" customWidth="1"/>
    <col min="3" max="3" width="27.42578125" style="258" customWidth="1"/>
    <col min="4" max="5" width="15.7109375" style="258" customWidth="1"/>
    <col min="6" max="8" width="9.140625" style="258"/>
    <col min="9" max="9" width="10.28515625" style="258" bestFit="1" customWidth="1"/>
    <col min="10" max="16384" width="9.140625" style="258"/>
  </cols>
  <sheetData>
    <row r="1" spans="1:30" ht="15.75">
      <c r="A1" s="717" t="s">
        <v>413</v>
      </c>
      <c r="B1" s="717"/>
      <c r="C1" s="191" t="s">
        <v>414</v>
      </c>
    </row>
    <row r="2" spans="1:30" ht="8.25" customHeight="1">
      <c r="A2" s="252"/>
      <c r="B2" s="252"/>
      <c r="C2" s="191"/>
    </row>
    <row r="3" spans="1:30" ht="15.75">
      <c r="A3" s="253"/>
      <c r="B3" s="254" t="str">
        <f>+'Asset quality'!B3</f>
        <v>"MKBANK"</v>
      </c>
      <c r="C3" s="314">
        <f>+'Asset quality'!Q3</f>
        <v>45289</v>
      </c>
    </row>
    <row r="4" spans="1:30" s="265" customFormat="1" ht="33.75" customHeight="1">
      <c r="A4" s="281" t="s">
        <v>61</v>
      </c>
      <c r="B4" s="281" t="s">
        <v>284</v>
      </c>
      <c r="C4" s="281" t="str">
        <f>+'Asset quality'!T3</f>
        <v>минг. сўмда</v>
      </c>
    </row>
    <row r="5" spans="1:30" ht="18.75" customHeight="1">
      <c r="A5" s="367" t="s">
        <v>147</v>
      </c>
      <c r="B5" s="368" t="s">
        <v>415</v>
      </c>
      <c r="C5" s="369">
        <v>3643911080</v>
      </c>
    </row>
    <row r="6" spans="1:30" ht="18.75" customHeight="1">
      <c r="A6" s="370" t="s">
        <v>148</v>
      </c>
      <c r="B6" s="371" t="s">
        <v>416</v>
      </c>
      <c r="C6" s="369">
        <v>0</v>
      </c>
    </row>
    <row r="7" spans="1:30" ht="18.75" customHeight="1">
      <c r="A7" s="370" t="s">
        <v>159</v>
      </c>
      <c r="B7" s="372" t="s">
        <v>417</v>
      </c>
      <c r="C7" s="342">
        <f>SUM(C5:C6)</f>
        <v>3643911080</v>
      </c>
      <c r="D7" s="682"/>
      <c r="E7" s="682"/>
    </row>
    <row r="8" spans="1:30" ht="18.75" customHeight="1">
      <c r="A8" s="370" t="s">
        <v>149</v>
      </c>
      <c r="B8" s="372" t="s">
        <v>418</v>
      </c>
      <c r="C8" s="342">
        <f>+'Income '!C77</f>
        <v>41104897</v>
      </c>
      <c r="D8" s="683">
        <f>+[8]Balance!$C$76</f>
        <v>41104897</v>
      </c>
      <c r="E8" s="685">
        <f>+C8-D8</f>
        <v>0</v>
      </c>
    </row>
    <row r="9" spans="1:30" ht="18.75" customHeight="1">
      <c r="A9" s="370" t="s">
        <v>150</v>
      </c>
      <c r="B9" s="371" t="s">
        <v>419</v>
      </c>
      <c r="C9" s="373">
        <v>0</v>
      </c>
      <c r="D9" s="684"/>
      <c r="E9" s="686"/>
    </row>
    <row r="10" spans="1:30" ht="18.75" customHeight="1">
      <c r="A10" s="370" t="s">
        <v>160</v>
      </c>
      <c r="B10" s="372" t="s">
        <v>420</v>
      </c>
      <c r="C10" s="373">
        <v>248593711</v>
      </c>
      <c r="D10" s="684"/>
      <c r="E10" s="686"/>
      <c r="I10" s="266"/>
    </row>
    <row r="11" spans="1:30" ht="18.75" customHeight="1">
      <c r="A11" s="370" t="s">
        <v>151</v>
      </c>
      <c r="B11" s="372" t="s">
        <v>421</v>
      </c>
      <c r="C11" s="374">
        <v>0</v>
      </c>
      <c r="D11" s="684"/>
      <c r="E11" s="686"/>
    </row>
    <row r="12" spans="1:30" ht="18.75" customHeight="1">
      <c r="A12" s="370" t="s">
        <v>158</v>
      </c>
      <c r="B12" s="372" t="s">
        <v>422</v>
      </c>
      <c r="C12" s="373">
        <v>-1178075.2900299989</v>
      </c>
      <c r="D12" s="684"/>
      <c r="E12" s="686"/>
    </row>
    <row r="13" spans="1:30" ht="18.75" customHeight="1">
      <c r="A13" s="370" t="s">
        <v>152</v>
      </c>
      <c r="B13" s="372" t="s">
        <v>423</v>
      </c>
      <c r="C13" s="373">
        <v>-1179757.2900299984</v>
      </c>
      <c r="D13" s="684"/>
      <c r="E13" s="686"/>
    </row>
    <row r="14" spans="1:30" ht="18.75" customHeight="1">
      <c r="A14" s="370" t="s">
        <v>153</v>
      </c>
      <c r="B14" s="372" t="s">
        <v>424</v>
      </c>
      <c r="C14" s="342">
        <f>C7+SUM(C8:C10)-SUM(C11:C12)+C13</f>
        <v>3933608006</v>
      </c>
      <c r="D14" s="683">
        <f>+[8]Balance!$C$77</f>
        <v>3933608006</v>
      </c>
      <c r="E14" s="685">
        <f>+C14-D14</f>
        <v>0</v>
      </c>
      <c r="I14" s="375"/>
    </row>
    <row r="15" spans="1:30">
      <c r="A15" s="236"/>
      <c r="B15" s="34"/>
      <c r="C15" s="34"/>
      <c r="D15" s="682"/>
      <c r="E15" s="686"/>
    </row>
    <row r="16" spans="1:30" ht="15" customHeight="1">
      <c r="A16" s="34"/>
      <c r="B16" s="232" t="s">
        <v>778</v>
      </c>
      <c r="C16" s="34"/>
      <c r="D16" s="640"/>
      <c r="E16" s="687"/>
      <c r="F16" s="338"/>
      <c r="G16" s="338"/>
      <c r="H16" s="338"/>
      <c r="I16" s="338"/>
      <c r="J16" s="338"/>
      <c r="K16" s="338"/>
      <c r="L16" s="338"/>
      <c r="M16" s="338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</row>
    <row r="17" spans="1:30" ht="11.25" customHeight="1">
      <c r="A17" s="34"/>
      <c r="B17" s="232"/>
      <c r="C17" s="34"/>
      <c r="D17" s="640"/>
      <c r="E17" s="687"/>
      <c r="F17" s="338"/>
      <c r="G17" s="338"/>
      <c r="H17" s="338"/>
      <c r="I17" s="338"/>
      <c r="J17" s="338"/>
      <c r="K17" s="338"/>
      <c r="L17" s="338"/>
      <c r="M17" s="338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</row>
    <row r="18" spans="1:30" ht="15" customHeight="1">
      <c r="A18" s="34"/>
      <c r="B18" s="232" t="s">
        <v>779</v>
      </c>
      <c r="C18" s="34"/>
      <c r="D18" s="640"/>
      <c r="E18" s="687"/>
      <c r="F18" s="338"/>
      <c r="G18" s="338"/>
      <c r="H18" s="338"/>
      <c r="I18" s="338"/>
      <c r="J18" s="338"/>
      <c r="K18" s="338"/>
      <c r="L18" s="338"/>
      <c r="M18" s="338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20" spans="1:30" ht="12.75" customHeight="1">
      <c r="A20" s="255"/>
    </row>
    <row r="21" spans="1:30">
      <c r="A21" s="256"/>
    </row>
    <row r="27" spans="1:30" ht="12.75" customHeight="1"/>
    <row r="28" spans="1:30" ht="12.75" customHeight="1"/>
  </sheetData>
  <sheetProtection password="CACA" sheet="1" objects="1" scenarios="1"/>
  <mergeCells count="1">
    <mergeCell ref="A1:B1"/>
  </mergeCells>
  <phoneticPr fontId="15" type="noConversion"/>
  <conditionalFormatting sqref="C14">
    <cfRule type="cellIs" dxfId="394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/>
    <dataValidation operator="greaterThan" allowBlank="1" showInputMessage="1" showErrorMessage="1" sqref="C10"/>
    <dataValidation type="whole" operator="greaterThanOrEqual" allowBlank="1" showInputMessage="1" showErrorMessage="1" prompt="Ввести как положительное число или 0." sqref="C11:C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D95"/>
  <sheetViews>
    <sheetView view="pageBreakPreview" topLeftCell="A4" zoomScale="75" zoomScaleNormal="40" zoomScaleSheetLayoutView="75" workbookViewId="0">
      <pane xSplit="3" ySplit="3" topLeftCell="D65" activePane="bottomRight" state="frozen"/>
      <selection activeCell="J47" sqref="J47"/>
      <selection pane="topRight" activeCell="J47" sqref="J47"/>
      <selection pane="bottomLeft" activeCell="J47" sqref="J47"/>
      <selection pane="bottomRight" activeCell="G56" sqref="G56:I56"/>
    </sheetView>
  </sheetViews>
  <sheetFormatPr defaultRowHeight="12.75"/>
  <cols>
    <col min="1" max="1" width="7" style="258" customWidth="1"/>
    <col min="2" max="2" width="57.5703125" style="258" customWidth="1"/>
    <col min="3" max="3" width="18.42578125" style="258" customWidth="1"/>
    <col min="4" max="9" width="17.140625" style="258" customWidth="1"/>
    <col min="10" max="10" width="16" style="258" customWidth="1"/>
    <col min="11" max="11" width="17" style="258" customWidth="1"/>
    <col min="12" max="12" width="25.28515625" style="258" bestFit="1" customWidth="1"/>
    <col min="13" max="13" width="16.85546875" style="258" customWidth="1"/>
    <col min="14" max="25" width="17.140625" style="258" customWidth="1"/>
    <col min="26" max="16384" width="9.140625" style="258"/>
  </cols>
  <sheetData>
    <row r="1" spans="1:28" s="240" customFormat="1" ht="31.5" customHeight="1">
      <c r="A1" s="237" t="s">
        <v>704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8" t="s">
        <v>703</v>
      </c>
      <c r="X1" s="239"/>
      <c r="Y1" s="238"/>
    </row>
    <row r="2" spans="1:28" ht="9" customHeight="1">
      <c r="A2" s="239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39"/>
      <c r="X2" s="241"/>
      <c r="Y2" s="241"/>
    </row>
    <row r="3" spans="1:28" s="34" customFormat="1" ht="15.75">
      <c r="A3" s="299"/>
      <c r="B3" s="242" t="str">
        <f>+'Asset quality'!B3</f>
        <v>"MKBANK"</v>
      </c>
      <c r="I3" s="275"/>
      <c r="J3" s="275"/>
      <c r="K3" s="275"/>
      <c r="L3" s="275"/>
      <c r="M3" s="275"/>
      <c r="N3" s="275"/>
      <c r="O3" s="275"/>
      <c r="P3" s="275"/>
      <c r="Q3" s="275"/>
      <c r="R3" s="275"/>
      <c r="S3" s="275"/>
      <c r="T3" s="718">
        <f>+'Asset quality'!Q3</f>
        <v>45289</v>
      </c>
      <c r="U3" s="718"/>
      <c r="V3" s="243"/>
      <c r="W3" s="243"/>
      <c r="X3" s="376" t="str">
        <f>+'Asset quality'!T3</f>
        <v>минг. сўмда</v>
      </c>
      <c r="Y3" s="275"/>
    </row>
    <row r="4" spans="1:28" s="244" customFormat="1" ht="32.25" customHeight="1">
      <c r="A4" s="725" t="s">
        <v>61</v>
      </c>
      <c r="B4" s="725" t="s">
        <v>705</v>
      </c>
      <c r="C4" s="728" t="s">
        <v>706</v>
      </c>
      <c r="D4" s="731" t="s">
        <v>334</v>
      </c>
      <c r="E4" s="732"/>
      <c r="F4" s="724" t="s">
        <v>710</v>
      </c>
      <c r="G4" s="724"/>
      <c r="H4" s="724"/>
      <c r="I4" s="724"/>
      <c r="J4" s="721" t="s">
        <v>334</v>
      </c>
      <c r="K4" s="721"/>
      <c r="L4" s="721"/>
      <c r="M4" s="721"/>
      <c r="N4" s="721"/>
      <c r="O4" s="721"/>
      <c r="P4" s="721"/>
      <c r="Q4" s="721"/>
      <c r="R4" s="721"/>
      <c r="S4" s="721"/>
      <c r="T4" s="721"/>
      <c r="U4" s="721"/>
      <c r="V4" s="721"/>
      <c r="W4" s="721"/>
      <c r="X4" s="721"/>
      <c r="Y4" s="721"/>
    </row>
    <row r="5" spans="1:28" s="244" customFormat="1" ht="18" customHeight="1">
      <c r="A5" s="726"/>
      <c r="B5" s="726"/>
      <c r="C5" s="729"/>
      <c r="D5" s="728" t="s">
        <v>285</v>
      </c>
      <c r="E5" s="728" t="s">
        <v>286</v>
      </c>
      <c r="F5" s="724" t="s">
        <v>711</v>
      </c>
      <c r="G5" s="724" t="s">
        <v>334</v>
      </c>
      <c r="H5" s="724"/>
      <c r="I5" s="724"/>
      <c r="J5" s="720" t="s">
        <v>714</v>
      </c>
      <c r="K5" s="720" t="s">
        <v>715</v>
      </c>
      <c r="L5" s="500" t="s">
        <v>334</v>
      </c>
      <c r="M5" s="722" t="s">
        <v>717</v>
      </c>
      <c r="N5" s="722" t="s">
        <v>718</v>
      </c>
      <c r="O5" s="722" t="s">
        <v>719</v>
      </c>
      <c r="P5" s="721" t="s">
        <v>334</v>
      </c>
      <c r="Q5" s="721"/>
      <c r="R5" s="719" t="s">
        <v>722</v>
      </c>
      <c r="S5" s="719" t="s">
        <v>723</v>
      </c>
      <c r="T5" s="719" t="s">
        <v>724</v>
      </c>
      <c r="U5" s="719" t="s">
        <v>725</v>
      </c>
      <c r="V5" s="719" t="s">
        <v>726</v>
      </c>
      <c r="W5" s="719" t="s">
        <v>727</v>
      </c>
      <c r="X5" s="719" t="s">
        <v>728</v>
      </c>
      <c r="Y5" s="719" t="s">
        <v>729</v>
      </c>
    </row>
    <row r="6" spans="1:28" s="244" customFormat="1" ht="102" customHeight="1">
      <c r="A6" s="727"/>
      <c r="B6" s="727"/>
      <c r="C6" s="730"/>
      <c r="D6" s="730"/>
      <c r="E6" s="730"/>
      <c r="F6" s="724"/>
      <c r="G6" s="499" t="s">
        <v>649</v>
      </c>
      <c r="H6" s="499" t="s">
        <v>651</v>
      </c>
      <c r="I6" s="499" t="s">
        <v>653</v>
      </c>
      <c r="J6" s="720"/>
      <c r="K6" s="720"/>
      <c r="L6" s="499" t="s">
        <v>716</v>
      </c>
      <c r="M6" s="723"/>
      <c r="N6" s="723"/>
      <c r="O6" s="723"/>
      <c r="P6" s="499" t="s">
        <v>720</v>
      </c>
      <c r="Q6" s="499" t="s">
        <v>721</v>
      </c>
      <c r="R6" s="719"/>
      <c r="S6" s="719"/>
      <c r="T6" s="719"/>
      <c r="U6" s="719"/>
      <c r="V6" s="719"/>
      <c r="W6" s="719"/>
      <c r="X6" s="719"/>
      <c r="Y6" s="719"/>
      <c r="AA6" s="245"/>
      <c r="AB6" s="246"/>
    </row>
    <row r="7" spans="1:28" s="248" customFormat="1" ht="15">
      <c r="A7" s="247" t="s">
        <v>65</v>
      </c>
      <c r="B7" s="377" t="s">
        <v>66</v>
      </c>
      <c r="C7" s="377" t="s">
        <v>36</v>
      </c>
      <c r="D7" s="378" t="s">
        <v>181</v>
      </c>
      <c r="E7" s="378" t="s">
        <v>182</v>
      </c>
      <c r="F7" s="378" t="s">
        <v>37</v>
      </c>
      <c r="G7" s="378" t="s">
        <v>712</v>
      </c>
      <c r="H7" s="379" t="s">
        <v>713</v>
      </c>
      <c r="I7" s="379" t="s">
        <v>730</v>
      </c>
      <c r="J7" s="379" t="s">
        <v>38</v>
      </c>
      <c r="K7" s="379" t="s">
        <v>62</v>
      </c>
      <c r="L7" s="377" t="s">
        <v>731</v>
      </c>
      <c r="M7" s="379" t="s">
        <v>63</v>
      </c>
      <c r="N7" s="379" t="s">
        <v>64</v>
      </c>
      <c r="O7" s="379" t="s">
        <v>67</v>
      </c>
      <c r="P7" s="377" t="s">
        <v>166</v>
      </c>
      <c r="Q7" s="377" t="s">
        <v>732</v>
      </c>
      <c r="R7" s="379" t="s">
        <v>68</v>
      </c>
      <c r="S7" s="379" t="s">
        <v>69</v>
      </c>
      <c r="T7" s="379" t="s">
        <v>70</v>
      </c>
      <c r="U7" s="379" t="s">
        <v>71</v>
      </c>
      <c r="V7" s="379" t="s">
        <v>72</v>
      </c>
      <c r="W7" s="379" t="s">
        <v>73</v>
      </c>
      <c r="X7" s="379" t="s">
        <v>74</v>
      </c>
      <c r="Y7" s="380" t="s">
        <v>75</v>
      </c>
    </row>
    <row r="8" spans="1:28" s="244" customFormat="1" ht="15.75" customHeight="1">
      <c r="A8" s="503"/>
      <c r="B8" s="504" t="s">
        <v>468</v>
      </c>
      <c r="C8" s="505"/>
      <c r="D8" s="505"/>
      <c r="E8" s="505"/>
      <c r="F8" s="505"/>
      <c r="G8" s="505"/>
      <c r="H8" s="505"/>
      <c r="I8" s="505"/>
      <c r="J8" s="505"/>
      <c r="K8" s="505"/>
      <c r="L8" s="505"/>
      <c r="M8" s="505"/>
      <c r="N8" s="505"/>
      <c r="O8" s="505"/>
      <c r="P8" s="505"/>
      <c r="Q8" s="505"/>
      <c r="R8" s="505"/>
      <c r="S8" s="505"/>
      <c r="T8" s="505"/>
      <c r="U8" s="505"/>
      <c r="V8" s="505"/>
      <c r="W8" s="505"/>
      <c r="X8" s="505"/>
      <c r="Y8" s="505"/>
      <c r="AA8" s="246"/>
    </row>
    <row r="9" spans="1:28" s="244" customFormat="1" ht="15.75" customHeight="1">
      <c r="A9" s="506">
        <v>10</v>
      </c>
      <c r="B9" s="507" t="s">
        <v>662</v>
      </c>
      <c r="C9" s="508">
        <f t="shared" ref="C9:C10" si="0">SUM(J9:Y9)-L9-P9-Q9</f>
        <v>255215979</v>
      </c>
      <c r="D9" s="509">
        <v>187225762</v>
      </c>
      <c r="E9" s="509">
        <v>67990217</v>
      </c>
      <c r="F9" s="508">
        <f>+G9+H9+I9</f>
        <v>13388155</v>
      </c>
      <c r="G9" s="509">
        <v>643789</v>
      </c>
      <c r="H9" s="509">
        <v>1185186</v>
      </c>
      <c r="I9" s="509">
        <v>11559180</v>
      </c>
      <c r="J9" s="509">
        <v>0</v>
      </c>
      <c r="K9" s="509">
        <v>0</v>
      </c>
      <c r="L9" s="509">
        <v>0</v>
      </c>
      <c r="M9" s="509">
        <v>4201830</v>
      </c>
      <c r="N9" s="509">
        <v>0</v>
      </c>
      <c r="O9" s="508">
        <f t="shared" ref="O9:O13" si="1">+P9+Q9</f>
        <v>175522229</v>
      </c>
      <c r="P9" s="509">
        <v>38529009</v>
      </c>
      <c r="Q9" s="509">
        <v>136993220</v>
      </c>
      <c r="R9" s="509">
        <v>0</v>
      </c>
      <c r="S9" s="509">
        <v>0</v>
      </c>
      <c r="T9" s="509">
        <v>0</v>
      </c>
      <c r="U9" s="509">
        <v>0</v>
      </c>
      <c r="V9" s="509">
        <v>13349067</v>
      </c>
      <c r="W9" s="509">
        <v>62142853</v>
      </c>
      <c r="X9" s="509">
        <v>0</v>
      </c>
      <c r="Y9" s="509">
        <v>0</v>
      </c>
      <c r="AB9" s="249"/>
    </row>
    <row r="10" spans="1:28" s="250" customFormat="1" ht="15.75" customHeight="1">
      <c r="A10" s="510">
        <f t="shared" ref="A10:A66" si="2">A9+10</f>
        <v>20</v>
      </c>
      <c r="B10" s="507" t="s">
        <v>400</v>
      </c>
      <c r="C10" s="508">
        <f t="shared" si="0"/>
        <v>0</v>
      </c>
      <c r="D10" s="509">
        <v>0</v>
      </c>
      <c r="E10" s="509">
        <v>0</v>
      </c>
      <c r="F10" s="508">
        <f t="shared" ref="F10:F14" si="3">+G10+H10+I10</f>
        <v>0</v>
      </c>
      <c r="G10" s="509">
        <v>0</v>
      </c>
      <c r="H10" s="509">
        <v>0</v>
      </c>
      <c r="I10" s="509">
        <v>0</v>
      </c>
      <c r="J10" s="509">
        <v>0</v>
      </c>
      <c r="K10" s="509">
        <v>0</v>
      </c>
      <c r="L10" s="509">
        <v>0</v>
      </c>
      <c r="M10" s="509">
        <v>0</v>
      </c>
      <c r="N10" s="509">
        <v>0</v>
      </c>
      <c r="O10" s="508">
        <f t="shared" si="1"/>
        <v>0</v>
      </c>
      <c r="P10" s="509">
        <v>0</v>
      </c>
      <c r="Q10" s="509">
        <v>0</v>
      </c>
      <c r="R10" s="509">
        <v>0</v>
      </c>
      <c r="S10" s="509">
        <v>0</v>
      </c>
      <c r="T10" s="509">
        <v>0</v>
      </c>
      <c r="U10" s="509">
        <v>0</v>
      </c>
      <c r="V10" s="509">
        <v>0</v>
      </c>
      <c r="W10" s="509">
        <v>0</v>
      </c>
      <c r="X10" s="509">
        <v>0</v>
      </c>
      <c r="Y10" s="509">
        <v>0</v>
      </c>
      <c r="AB10" s="249"/>
    </row>
    <row r="11" spans="1:28" s="250" customFormat="1" ht="15.75" customHeight="1">
      <c r="A11" s="510">
        <f t="shared" si="2"/>
        <v>30</v>
      </c>
      <c r="B11" s="507" t="s">
        <v>401</v>
      </c>
      <c r="C11" s="508">
        <f>SUM(J11:Y11)-L11-P11-Q11</f>
        <v>3540525008</v>
      </c>
      <c r="D11" s="509">
        <v>1389448180</v>
      </c>
      <c r="E11" s="509">
        <v>2151076828</v>
      </c>
      <c r="F11" s="508">
        <f t="shared" si="3"/>
        <v>153377059</v>
      </c>
      <c r="G11" s="509">
        <v>8187192</v>
      </c>
      <c r="H11" s="509">
        <v>13369206</v>
      </c>
      <c r="I11" s="509">
        <v>131820661</v>
      </c>
      <c r="J11" s="509">
        <v>1372550</v>
      </c>
      <c r="K11" s="509">
        <v>0</v>
      </c>
      <c r="L11" s="509">
        <v>0</v>
      </c>
      <c r="M11" s="509">
        <v>98198279</v>
      </c>
      <c r="N11" s="509">
        <v>0</v>
      </c>
      <c r="O11" s="508">
        <f t="shared" si="1"/>
        <v>2331622496</v>
      </c>
      <c r="P11" s="509">
        <v>436278092</v>
      </c>
      <c r="Q11" s="509">
        <v>1895344404</v>
      </c>
      <c r="R11" s="509">
        <v>10589654</v>
      </c>
      <c r="S11" s="509">
        <v>0</v>
      </c>
      <c r="T11" s="509">
        <v>0</v>
      </c>
      <c r="U11" s="509">
        <v>0</v>
      </c>
      <c r="V11" s="509">
        <v>73992605</v>
      </c>
      <c r="W11" s="509">
        <v>1000804480</v>
      </c>
      <c r="X11" s="509">
        <v>2836292</v>
      </c>
      <c r="Y11" s="509">
        <v>21108652</v>
      </c>
      <c r="AB11" s="249"/>
    </row>
    <row r="12" spans="1:28" s="250" customFormat="1" ht="15.75" customHeight="1">
      <c r="A12" s="510">
        <f t="shared" si="2"/>
        <v>40</v>
      </c>
      <c r="B12" s="507" t="s">
        <v>397</v>
      </c>
      <c r="C12" s="508">
        <f t="shared" ref="C12:C13" si="4">SUM(J12:Y12)-L12-P12-Q12</f>
        <v>0</v>
      </c>
      <c r="D12" s="509">
        <v>0</v>
      </c>
      <c r="E12" s="509">
        <v>0</v>
      </c>
      <c r="F12" s="508">
        <f t="shared" si="3"/>
        <v>0</v>
      </c>
      <c r="G12" s="509">
        <v>0</v>
      </c>
      <c r="H12" s="509">
        <v>0</v>
      </c>
      <c r="I12" s="509">
        <v>0</v>
      </c>
      <c r="J12" s="509">
        <v>0</v>
      </c>
      <c r="K12" s="509">
        <v>0</v>
      </c>
      <c r="L12" s="509">
        <v>0</v>
      </c>
      <c r="M12" s="509">
        <v>0</v>
      </c>
      <c r="N12" s="509">
        <v>0</v>
      </c>
      <c r="O12" s="508">
        <f t="shared" si="1"/>
        <v>0</v>
      </c>
      <c r="P12" s="509">
        <v>0</v>
      </c>
      <c r="Q12" s="509">
        <v>0</v>
      </c>
      <c r="R12" s="509">
        <v>0</v>
      </c>
      <c r="S12" s="509">
        <v>0</v>
      </c>
      <c r="T12" s="509">
        <v>0</v>
      </c>
      <c r="U12" s="509">
        <v>0</v>
      </c>
      <c r="V12" s="509">
        <v>0</v>
      </c>
      <c r="W12" s="509">
        <v>0</v>
      </c>
      <c r="X12" s="509">
        <v>0</v>
      </c>
      <c r="Y12" s="509">
        <v>0</v>
      </c>
      <c r="AB12" s="249"/>
    </row>
    <row r="13" spans="1:28" s="250" customFormat="1" ht="15.75" customHeight="1">
      <c r="A13" s="510">
        <f>A12+10</f>
        <v>50</v>
      </c>
      <c r="B13" s="507" t="s">
        <v>667</v>
      </c>
      <c r="C13" s="508">
        <f t="shared" si="4"/>
        <v>0</v>
      </c>
      <c r="D13" s="509">
        <v>0</v>
      </c>
      <c r="E13" s="509">
        <v>0</v>
      </c>
      <c r="F13" s="508">
        <f t="shared" si="3"/>
        <v>0</v>
      </c>
      <c r="G13" s="509">
        <v>0</v>
      </c>
      <c r="H13" s="509">
        <v>0</v>
      </c>
      <c r="I13" s="509">
        <v>0</v>
      </c>
      <c r="J13" s="509">
        <v>0</v>
      </c>
      <c r="K13" s="509">
        <v>0</v>
      </c>
      <c r="L13" s="509">
        <v>0</v>
      </c>
      <c r="M13" s="509">
        <v>0</v>
      </c>
      <c r="N13" s="509">
        <v>0</v>
      </c>
      <c r="O13" s="508">
        <f t="shared" si="1"/>
        <v>0</v>
      </c>
      <c r="P13" s="509">
        <v>0</v>
      </c>
      <c r="Q13" s="509">
        <v>0</v>
      </c>
      <c r="R13" s="509">
        <v>0</v>
      </c>
      <c r="S13" s="509">
        <v>0</v>
      </c>
      <c r="T13" s="509">
        <v>0</v>
      </c>
      <c r="U13" s="509">
        <v>0</v>
      </c>
      <c r="V13" s="509">
        <v>0</v>
      </c>
      <c r="W13" s="509">
        <v>0</v>
      </c>
      <c r="X13" s="509">
        <v>0</v>
      </c>
      <c r="Y13" s="509">
        <v>0</v>
      </c>
      <c r="AB13" s="249"/>
    </row>
    <row r="14" spans="1:28" s="565" customFormat="1" ht="15.75" customHeight="1">
      <c r="A14" s="563">
        <f>A13+10</f>
        <v>60</v>
      </c>
      <c r="B14" s="563" t="s">
        <v>234</v>
      </c>
      <c r="C14" s="564">
        <f t="shared" ref="C14" si="5">SUM(J14:Y14)-L14-P14-Q14</f>
        <v>3795740987</v>
      </c>
      <c r="D14" s="564">
        <f>SUM(D9:D13)</f>
        <v>1576673942</v>
      </c>
      <c r="E14" s="564">
        <f>SUM(E9:E13)</f>
        <v>2219067045</v>
      </c>
      <c r="F14" s="564">
        <f t="shared" si="3"/>
        <v>166765214</v>
      </c>
      <c r="G14" s="564">
        <f t="shared" ref="G14" si="6">SUM(G9:G13)</f>
        <v>8830981</v>
      </c>
      <c r="H14" s="564">
        <f t="shared" ref="H14:Y14" si="7">SUM(H9:H13)</f>
        <v>14554392</v>
      </c>
      <c r="I14" s="564">
        <f t="shared" si="7"/>
        <v>143379841</v>
      </c>
      <c r="J14" s="564">
        <f t="shared" si="7"/>
        <v>1372550</v>
      </c>
      <c r="K14" s="564">
        <f t="shared" si="7"/>
        <v>0</v>
      </c>
      <c r="L14" s="564">
        <f t="shared" si="7"/>
        <v>0</v>
      </c>
      <c r="M14" s="564">
        <f t="shared" si="7"/>
        <v>102400109</v>
      </c>
      <c r="N14" s="564">
        <f t="shared" si="7"/>
        <v>0</v>
      </c>
      <c r="O14" s="564">
        <f t="shared" si="7"/>
        <v>2507144725</v>
      </c>
      <c r="P14" s="564">
        <f t="shared" si="7"/>
        <v>474807101</v>
      </c>
      <c r="Q14" s="564">
        <f t="shared" si="7"/>
        <v>2032337624</v>
      </c>
      <c r="R14" s="564">
        <f t="shared" si="7"/>
        <v>10589654</v>
      </c>
      <c r="S14" s="564">
        <f t="shared" si="7"/>
        <v>0</v>
      </c>
      <c r="T14" s="564">
        <f t="shared" si="7"/>
        <v>0</v>
      </c>
      <c r="U14" s="564">
        <f t="shared" si="7"/>
        <v>0</v>
      </c>
      <c r="V14" s="564">
        <f t="shared" si="7"/>
        <v>87341672</v>
      </c>
      <c r="W14" s="564">
        <f t="shared" si="7"/>
        <v>1062947333</v>
      </c>
      <c r="X14" s="564">
        <f t="shared" si="7"/>
        <v>2836292</v>
      </c>
      <c r="Y14" s="564">
        <f t="shared" si="7"/>
        <v>21108652</v>
      </c>
      <c r="AA14" s="566"/>
      <c r="AB14" s="567"/>
    </row>
    <row r="15" spans="1:28" s="250" customFormat="1" ht="15.75" customHeight="1">
      <c r="A15" s="511"/>
      <c r="B15" s="504" t="s">
        <v>469</v>
      </c>
      <c r="C15" s="512"/>
      <c r="D15" s="512"/>
      <c r="E15" s="512"/>
      <c r="F15" s="512"/>
      <c r="G15" s="513"/>
      <c r="H15" s="512"/>
      <c r="I15" s="512"/>
      <c r="J15" s="512"/>
      <c r="K15" s="512"/>
      <c r="L15" s="512"/>
      <c r="M15" s="512"/>
      <c r="N15" s="512"/>
      <c r="O15" s="512"/>
      <c r="P15" s="512"/>
      <c r="Q15" s="512"/>
      <c r="R15" s="512"/>
      <c r="S15" s="512"/>
      <c r="T15" s="512"/>
      <c r="U15" s="512"/>
      <c r="V15" s="512"/>
      <c r="W15" s="512"/>
      <c r="X15" s="512"/>
      <c r="Y15" s="512"/>
      <c r="AA15" s="251"/>
      <c r="AB15" s="249"/>
    </row>
    <row r="16" spans="1:28" s="250" customFormat="1" ht="15.75" customHeight="1">
      <c r="A16" s="506">
        <v>70</v>
      </c>
      <c r="B16" s="507" t="s">
        <v>662</v>
      </c>
      <c r="C16" s="508">
        <f t="shared" ref="C16:C22" si="8">SUM(J16:Y16)-L16-P16-Q16</f>
        <v>431018747</v>
      </c>
      <c r="D16" s="509">
        <v>398355798</v>
      </c>
      <c r="E16" s="509">
        <v>32662949</v>
      </c>
      <c r="F16" s="508">
        <f t="shared" ref="F16:F22" si="9">+G16+H16+I16</f>
        <v>9936616</v>
      </c>
      <c r="G16" s="509">
        <v>430335</v>
      </c>
      <c r="H16" s="509">
        <v>1453194</v>
      </c>
      <c r="I16" s="509">
        <v>8053087</v>
      </c>
      <c r="J16" s="509">
        <v>0</v>
      </c>
      <c r="K16" s="509">
        <v>0</v>
      </c>
      <c r="L16" s="509">
        <v>0</v>
      </c>
      <c r="M16" s="509">
        <v>4788966</v>
      </c>
      <c r="N16" s="509">
        <v>0</v>
      </c>
      <c r="O16" s="508">
        <f t="shared" ref="O16:O20" si="10">+P16+Q16</f>
        <v>317209190</v>
      </c>
      <c r="P16" s="509">
        <v>8205447</v>
      </c>
      <c r="Q16" s="509">
        <v>309003743</v>
      </c>
      <c r="R16" s="509">
        <v>180563</v>
      </c>
      <c r="S16" s="509">
        <v>0</v>
      </c>
      <c r="T16" s="509">
        <v>0</v>
      </c>
      <c r="U16" s="509">
        <v>0</v>
      </c>
      <c r="V16" s="509">
        <v>10090837</v>
      </c>
      <c r="W16" s="509">
        <v>95597710</v>
      </c>
      <c r="X16" s="509">
        <v>3151481</v>
      </c>
      <c r="Y16" s="509">
        <v>0</v>
      </c>
      <c r="AB16" s="249"/>
    </row>
    <row r="17" spans="1:28" s="244" customFormat="1" ht="15.75" customHeight="1">
      <c r="A17" s="510">
        <f t="shared" si="2"/>
        <v>80</v>
      </c>
      <c r="B17" s="507" t="s">
        <v>400</v>
      </c>
      <c r="C17" s="508">
        <f t="shared" si="8"/>
        <v>0</v>
      </c>
      <c r="D17" s="509">
        <v>0</v>
      </c>
      <c r="E17" s="509">
        <v>0</v>
      </c>
      <c r="F17" s="508">
        <f t="shared" si="9"/>
        <v>0</v>
      </c>
      <c r="G17" s="509">
        <v>0</v>
      </c>
      <c r="H17" s="509">
        <v>0</v>
      </c>
      <c r="I17" s="509">
        <v>0</v>
      </c>
      <c r="J17" s="509">
        <v>0</v>
      </c>
      <c r="K17" s="509">
        <v>0</v>
      </c>
      <c r="L17" s="509">
        <v>0</v>
      </c>
      <c r="M17" s="509">
        <v>0</v>
      </c>
      <c r="N17" s="509">
        <v>0</v>
      </c>
      <c r="O17" s="508">
        <f t="shared" si="10"/>
        <v>0</v>
      </c>
      <c r="P17" s="509">
        <v>0</v>
      </c>
      <c r="Q17" s="509">
        <v>0</v>
      </c>
      <c r="R17" s="509">
        <v>0</v>
      </c>
      <c r="S17" s="509">
        <v>0</v>
      </c>
      <c r="T17" s="509">
        <v>0</v>
      </c>
      <c r="U17" s="509">
        <v>0</v>
      </c>
      <c r="V17" s="509">
        <v>0</v>
      </c>
      <c r="W17" s="509">
        <v>0</v>
      </c>
      <c r="X17" s="509">
        <v>0</v>
      </c>
      <c r="Y17" s="509">
        <v>0</v>
      </c>
      <c r="AB17" s="249"/>
    </row>
    <row r="18" spans="1:28" s="244" customFormat="1" ht="15.75" customHeight="1">
      <c r="A18" s="510">
        <f t="shared" si="2"/>
        <v>90</v>
      </c>
      <c r="B18" s="507" t="s">
        <v>401</v>
      </c>
      <c r="C18" s="508">
        <f t="shared" si="8"/>
        <v>0</v>
      </c>
      <c r="D18" s="509">
        <v>0</v>
      </c>
      <c r="E18" s="509">
        <v>0</v>
      </c>
      <c r="F18" s="508">
        <f t="shared" si="9"/>
        <v>0</v>
      </c>
      <c r="G18" s="509">
        <v>0</v>
      </c>
      <c r="H18" s="509">
        <v>0</v>
      </c>
      <c r="I18" s="509">
        <v>0</v>
      </c>
      <c r="J18" s="509">
        <v>0</v>
      </c>
      <c r="K18" s="509">
        <v>0</v>
      </c>
      <c r="L18" s="509">
        <v>0</v>
      </c>
      <c r="M18" s="509">
        <v>0</v>
      </c>
      <c r="N18" s="509">
        <v>0</v>
      </c>
      <c r="O18" s="508">
        <f t="shared" si="10"/>
        <v>0</v>
      </c>
      <c r="P18" s="509">
        <v>0</v>
      </c>
      <c r="Q18" s="509">
        <v>0</v>
      </c>
      <c r="R18" s="509">
        <v>0</v>
      </c>
      <c r="S18" s="509">
        <v>0</v>
      </c>
      <c r="T18" s="509">
        <v>0</v>
      </c>
      <c r="U18" s="509">
        <v>0</v>
      </c>
      <c r="V18" s="509">
        <v>0</v>
      </c>
      <c r="W18" s="509">
        <v>0</v>
      </c>
      <c r="X18" s="509">
        <v>0</v>
      </c>
      <c r="Y18" s="509">
        <v>0</v>
      </c>
      <c r="AB18" s="249"/>
    </row>
    <row r="19" spans="1:28" s="244" customFormat="1" ht="15.75" customHeight="1">
      <c r="A19" s="510">
        <f>A18+10</f>
        <v>100</v>
      </c>
      <c r="B19" s="507" t="s">
        <v>663</v>
      </c>
      <c r="C19" s="508">
        <f t="shared" si="8"/>
        <v>2040311629</v>
      </c>
      <c r="D19" s="509">
        <v>1203292058</v>
      </c>
      <c r="E19" s="509">
        <v>837019571</v>
      </c>
      <c r="F19" s="508">
        <f t="shared" si="9"/>
        <v>145908631</v>
      </c>
      <c r="G19" s="509">
        <v>1489360</v>
      </c>
      <c r="H19" s="509">
        <v>13336598</v>
      </c>
      <c r="I19" s="509">
        <v>131082673</v>
      </c>
      <c r="J19" s="509">
        <v>27029</v>
      </c>
      <c r="K19" s="509">
        <v>0</v>
      </c>
      <c r="L19" s="509">
        <v>0</v>
      </c>
      <c r="M19" s="509">
        <v>41220804</v>
      </c>
      <c r="N19" s="509">
        <v>0</v>
      </c>
      <c r="O19" s="508">
        <f t="shared" si="10"/>
        <v>1848457994</v>
      </c>
      <c r="P19" s="509">
        <v>554382161</v>
      </c>
      <c r="Q19" s="509">
        <v>1294075833</v>
      </c>
      <c r="R19" s="509">
        <v>4240000</v>
      </c>
      <c r="S19" s="509">
        <v>0</v>
      </c>
      <c r="T19" s="509">
        <v>0</v>
      </c>
      <c r="U19" s="509">
        <v>0</v>
      </c>
      <c r="V19" s="509">
        <v>49466323</v>
      </c>
      <c r="W19" s="509">
        <v>82815565</v>
      </c>
      <c r="X19" s="509">
        <v>1715302</v>
      </c>
      <c r="Y19" s="509">
        <v>12368612</v>
      </c>
      <c r="AB19" s="249"/>
    </row>
    <row r="20" spans="1:28" s="244" customFormat="1" ht="15.75" customHeight="1">
      <c r="A20" s="510">
        <f t="shared" si="2"/>
        <v>110</v>
      </c>
      <c r="B20" s="507" t="s">
        <v>397</v>
      </c>
      <c r="C20" s="508">
        <f t="shared" si="8"/>
        <v>0</v>
      </c>
      <c r="D20" s="509">
        <v>0</v>
      </c>
      <c r="E20" s="509">
        <v>0</v>
      </c>
      <c r="F20" s="508">
        <f t="shared" si="9"/>
        <v>0</v>
      </c>
      <c r="G20" s="509">
        <v>0</v>
      </c>
      <c r="H20" s="509">
        <v>0</v>
      </c>
      <c r="I20" s="509">
        <v>0</v>
      </c>
      <c r="J20" s="509">
        <v>0</v>
      </c>
      <c r="K20" s="509">
        <v>0</v>
      </c>
      <c r="L20" s="509">
        <v>0</v>
      </c>
      <c r="M20" s="509">
        <v>0</v>
      </c>
      <c r="N20" s="509">
        <v>0</v>
      </c>
      <c r="O20" s="508">
        <f t="shared" si="10"/>
        <v>0</v>
      </c>
      <c r="P20" s="509">
        <v>0</v>
      </c>
      <c r="Q20" s="509">
        <v>0</v>
      </c>
      <c r="R20" s="509">
        <v>0</v>
      </c>
      <c r="S20" s="509">
        <v>0</v>
      </c>
      <c r="T20" s="509">
        <v>0</v>
      </c>
      <c r="U20" s="509">
        <v>0</v>
      </c>
      <c r="V20" s="509">
        <v>0</v>
      </c>
      <c r="W20" s="509">
        <v>0</v>
      </c>
      <c r="X20" s="509">
        <v>0</v>
      </c>
      <c r="Y20" s="509">
        <v>0</v>
      </c>
      <c r="AB20" s="249"/>
    </row>
    <row r="21" spans="1:28" s="244" customFormat="1" ht="15.75" customHeight="1">
      <c r="A21" s="510">
        <f>A20+10</f>
        <v>120</v>
      </c>
      <c r="B21" s="507" t="s">
        <v>667</v>
      </c>
      <c r="C21" s="508">
        <f t="shared" si="8"/>
        <v>0</v>
      </c>
      <c r="D21" s="509">
        <v>0</v>
      </c>
      <c r="E21" s="509">
        <v>0</v>
      </c>
      <c r="F21" s="508">
        <f t="shared" si="9"/>
        <v>0</v>
      </c>
      <c r="G21" s="509">
        <v>0</v>
      </c>
      <c r="H21" s="509">
        <v>0</v>
      </c>
      <c r="I21" s="509">
        <v>0</v>
      </c>
      <c r="J21" s="509">
        <v>0</v>
      </c>
      <c r="K21" s="509">
        <v>0</v>
      </c>
      <c r="L21" s="509">
        <v>0</v>
      </c>
      <c r="M21" s="509">
        <v>0</v>
      </c>
      <c r="N21" s="509">
        <v>0</v>
      </c>
      <c r="O21" s="508">
        <f>+P21+Q21</f>
        <v>0</v>
      </c>
      <c r="P21" s="509">
        <v>0</v>
      </c>
      <c r="Q21" s="509">
        <v>0</v>
      </c>
      <c r="R21" s="509">
        <v>0</v>
      </c>
      <c r="S21" s="509">
        <v>0</v>
      </c>
      <c r="T21" s="509">
        <v>0</v>
      </c>
      <c r="U21" s="509">
        <v>0</v>
      </c>
      <c r="V21" s="509">
        <v>0</v>
      </c>
      <c r="W21" s="509">
        <v>0</v>
      </c>
      <c r="X21" s="509">
        <v>0</v>
      </c>
      <c r="Y21" s="509">
        <v>0</v>
      </c>
      <c r="AB21" s="249"/>
    </row>
    <row r="22" spans="1:28" s="565" customFormat="1" ht="15.75" customHeight="1">
      <c r="A22" s="563">
        <f>A21+10</f>
        <v>130</v>
      </c>
      <c r="B22" s="563" t="s">
        <v>234</v>
      </c>
      <c r="C22" s="564">
        <f t="shared" si="8"/>
        <v>2471330376</v>
      </c>
      <c r="D22" s="564">
        <f>SUM(D16:D21)</f>
        <v>1601647856</v>
      </c>
      <c r="E22" s="564">
        <f>SUM(E16:E21)</f>
        <v>869682520</v>
      </c>
      <c r="F22" s="564">
        <f t="shared" si="9"/>
        <v>145908631</v>
      </c>
      <c r="G22" s="564">
        <f t="shared" ref="G22:I22" si="11">SUM(G17:G21)</f>
        <v>1489360</v>
      </c>
      <c r="H22" s="564">
        <f t="shared" si="11"/>
        <v>13336598</v>
      </c>
      <c r="I22" s="564">
        <f t="shared" si="11"/>
        <v>131082673</v>
      </c>
      <c r="J22" s="564">
        <f t="shared" ref="J22:Y22" si="12">SUM(J16:J21)</f>
        <v>27029</v>
      </c>
      <c r="K22" s="564">
        <f t="shared" si="12"/>
        <v>0</v>
      </c>
      <c r="L22" s="564">
        <f t="shared" si="12"/>
        <v>0</v>
      </c>
      <c r="M22" s="564">
        <f t="shared" si="12"/>
        <v>46009770</v>
      </c>
      <c r="N22" s="564">
        <f t="shared" si="12"/>
        <v>0</v>
      </c>
      <c r="O22" s="564">
        <f t="shared" si="12"/>
        <v>2165667184</v>
      </c>
      <c r="P22" s="564">
        <f t="shared" si="12"/>
        <v>562587608</v>
      </c>
      <c r="Q22" s="564">
        <f t="shared" si="12"/>
        <v>1603079576</v>
      </c>
      <c r="R22" s="564">
        <f t="shared" si="12"/>
        <v>4420563</v>
      </c>
      <c r="S22" s="564">
        <f t="shared" si="12"/>
        <v>0</v>
      </c>
      <c r="T22" s="564">
        <f t="shared" si="12"/>
        <v>0</v>
      </c>
      <c r="U22" s="564">
        <f t="shared" si="12"/>
        <v>0</v>
      </c>
      <c r="V22" s="564">
        <f t="shared" si="12"/>
        <v>59557160</v>
      </c>
      <c r="W22" s="564">
        <f t="shared" si="12"/>
        <v>178413275</v>
      </c>
      <c r="X22" s="564">
        <f t="shared" si="12"/>
        <v>4866783</v>
      </c>
      <c r="Y22" s="564">
        <f t="shared" si="12"/>
        <v>12368612</v>
      </c>
      <c r="AA22" s="566"/>
      <c r="AB22" s="567"/>
    </row>
    <row r="23" spans="1:28" s="244" customFormat="1" ht="15.75" customHeight="1">
      <c r="A23" s="511"/>
      <c r="B23" s="504" t="s">
        <v>470</v>
      </c>
      <c r="C23" s="512"/>
      <c r="D23" s="512"/>
      <c r="E23" s="512"/>
      <c r="F23" s="512"/>
      <c r="G23" s="513"/>
      <c r="H23" s="512"/>
      <c r="I23" s="512"/>
      <c r="J23" s="512"/>
      <c r="K23" s="512"/>
      <c r="L23" s="512"/>
      <c r="M23" s="512"/>
      <c r="N23" s="512"/>
      <c r="O23" s="512"/>
      <c r="P23" s="512"/>
      <c r="Q23" s="512"/>
      <c r="R23" s="512"/>
      <c r="S23" s="512"/>
      <c r="T23" s="512"/>
      <c r="U23" s="512"/>
      <c r="V23" s="512"/>
      <c r="W23" s="512"/>
      <c r="X23" s="512"/>
      <c r="Y23" s="512"/>
      <c r="AA23" s="246"/>
      <c r="AB23" s="249"/>
    </row>
    <row r="24" spans="1:28" s="244" customFormat="1" ht="15.75" customHeight="1">
      <c r="A24" s="506">
        <v>140</v>
      </c>
      <c r="B24" s="507" t="s">
        <v>662</v>
      </c>
      <c r="C24" s="508">
        <f t="shared" ref="C24:C29" si="13">SUM(J24:Y24)-L24-P24-Q24</f>
        <v>35773291</v>
      </c>
      <c r="D24" s="509">
        <v>32846606</v>
      </c>
      <c r="E24" s="509">
        <v>2926685</v>
      </c>
      <c r="F24" s="508">
        <f>+G24+H24+I24</f>
        <v>2393969</v>
      </c>
      <c r="G24" s="509">
        <v>15461</v>
      </c>
      <c r="H24" s="509">
        <v>36224</v>
      </c>
      <c r="I24" s="509">
        <v>2342284</v>
      </c>
      <c r="J24" s="509">
        <v>0</v>
      </c>
      <c r="K24" s="509">
        <v>0</v>
      </c>
      <c r="L24" s="509">
        <v>0</v>
      </c>
      <c r="M24" s="509">
        <v>2113853</v>
      </c>
      <c r="N24" s="509">
        <v>0</v>
      </c>
      <c r="O24" s="508">
        <f t="shared" ref="O24:O28" si="14">+P24+Q24</f>
        <v>14244520</v>
      </c>
      <c r="P24" s="509">
        <v>472796</v>
      </c>
      <c r="Q24" s="509">
        <v>13771724</v>
      </c>
      <c r="R24" s="509">
        <v>0</v>
      </c>
      <c r="S24" s="509">
        <v>0</v>
      </c>
      <c r="T24" s="509">
        <v>0</v>
      </c>
      <c r="U24" s="509">
        <v>0</v>
      </c>
      <c r="V24" s="509">
        <v>11250</v>
      </c>
      <c r="W24" s="509">
        <v>19403668</v>
      </c>
      <c r="X24" s="509">
        <v>0</v>
      </c>
      <c r="Y24" s="509">
        <v>0</v>
      </c>
      <c r="AB24" s="249"/>
    </row>
    <row r="25" spans="1:28" s="244" customFormat="1" ht="15.75" customHeight="1">
      <c r="A25" s="510">
        <f t="shared" si="2"/>
        <v>150</v>
      </c>
      <c r="B25" s="507" t="s">
        <v>400</v>
      </c>
      <c r="C25" s="508">
        <f t="shared" si="13"/>
        <v>0</v>
      </c>
      <c r="D25" s="509">
        <v>0</v>
      </c>
      <c r="E25" s="509">
        <v>0</v>
      </c>
      <c r="F25" s="508">
        <f t="shared" ref="F25:F29" si="15">+G25+H25+I25</f>
        <v>0</v>
      </c>
      <c r="G25" s="509">
        <v>0</v>
      </c>
      <c r="H25" s="509">
        <v>0</v>
      </c>
      <c r="I25" s="509">
        <v>0</v>
      </c>
      <c r="J25" s="509">
        <v>0</v>
      </c>
      <c r="K25" s="509">
        <v>0</v>
      </c>
      <c r="L25" s="509">
        <v>0</v>
      </c>
      <c r="M25" s="509">
        <v>0</v>
      </c>
      <c r="N25" s="509">
        <v>0</v>
      </c>
      <c r="O25" s="508">
        <f t="shared" si="14"/>
        <v>0</v>
      </c>
      <c r="P25" s="509">
        <v>0</v>
      </c>
      <c r="Q25" s="509">
        <v>0</v>
      </c>
      <c r="R25" s="509">
        <v>0</v>
      </c>
      <c r="S25" s="509">
        <v>0</v>
      </c>
      <c r="T25" s="509">
        <v>0</v>
      </c>
      <c r="U25" s="509">
        <v>0</v>
      </c>
      <c r="V25" s="509">
        <v>0</v>
      </c>
      <c r="W25" s="509">
        <v>0</v>
      </c>
      <c r="X25" s="509">
        <v>0</v>
      </c>
      <c r="Y25" s="509">
        <v>0</v>
      </c>
      <c r="AB25" s="249"/>
    </row>
    <row r="26" spans="1:28" s="244" customFormat="1" ht="15.75" customHeight="1">
      <c r="A26" s="510">
        <f t="shared" si="2"/>
        <v>160</v>
      </c>
      <c r="B26" s="507" t="s">
        <v>401</v>
      </c>
      <c r="C26" s="508">
        <f t="shared" si="13"/>
        <v>239945668</v>
      </c>
      <c r="D26" s="509">
        <v>189846822</v>
      </c>
      <c r="E26" s="509">
        <v>50098846</v>
      </c>
      <c r="F26" s="508">
        <f t="shared" si="15"/>
        <v>1269834</v>
      </c>
      <c r="G26" s="509">
        <v>200642</v>
      </c>
      <c r="H26" s="509">
        <v>183671</v>
      </c>
      <c r="I26" s="509">
        <v>885521</v>
      </c>
      <c r="J26" s="509">
        <v>19225</v>
      </c>
      <c r="K26" s="509">
        <v>0</v>
      </c>
      <c r="L26" s="509">
        <v>0</v>
      </c>
      <c r="M26" s="509">
        <v>89077399</v>
      </c>
      <c r="N26" s="509">
        <v>0</v>
      </c>
      <c r="O26" s="508">
        <f t="shared" si="14"/>
        <v>135426918</v>
      </c>
      <c r="P26" s="509">
        <v>70569015</v>
      </c>
      <c r="Q26" s="509">
        <v>64857903</v>
      </c>
      <c r="R26" s="509">
        <v>0</v>
      </c>
      <c r="S26" s="509">
        <v>0</v>
      </c>
      <c r="T26" s="509">
        <v>0</v>
      </c>
      <c r="U26" s="509">
        <v>0</v>
      </c>
      <c r="V26" s="509">
        <v>2782834</v>
      </c>
      <c r="W26" s="509">
        <v>10952390</v>
      </c>
      <c r="X26" s="509">
        <v>0</v>
      </c>
      <c r="Y26" s="509">
        <v>1686902</v>
      </c>
      <c r="AB26" s="249"/>
    </row>
    <row r="27" spans="1:28" s="244" customFormat="1" ht="15.75" customHeight="1">
      <c r="A27" s="510">
        <f t="shared" si="2"/>
        <v>170</v>
      </c>
      <c r="B27" s="507" t="s">
        <v>397</v>
      </c>
      <c r="C27" s="508">
        <f t="shared" si="13"/>
        <v>0</v>
      </c>
      <c r="D27" s="509">
        <v>0</v>
      </c>
      <c r="E27" s="509">
        <v>0</v>
      </c>
      <c r="F27" s="508">
        <f t="shared" si="15"/>
        <v>0</v>
      </c>
      <c r="G27" s="509">
        <v>0</v>
      </c>
      <c r="H27" s="509">
        <v>0</v>
      </c>
      <c r="I27" s="509">
        <v>0</v>
      </c>
      <c r="J27" s="509">
        <v>0</v>
      </c>
      <c r="K27" s="509">
        <v>0</v>
      </c>
      <c r="L27" s="509">
        <v>0</v>
      </c>
      <c r="M27" s="509">
        <v>0</v>
      </c>
      <c r="N27" s="509">
        <v>0</v>
      </c>
      <c r="O27" s="508">
        <f t="shared" si="14"/>
        <v>0</v>
      </c>
      <c r="P27" s="509">
        <v>0</v>
      </c>
      <c r="Q27" s="509">
        <v>0</v>
      </c>
      <c r="R27" s="509">
        <v>0</v>
      </c>
      <c r="S27" s="509">
        <v>0</v>
      </c>
      <c r="T27" s="509">
        <v>0</v>
      </c>
      <c r="U27" s="509">
        <v>0</v>
      </c>
      <c r="V27" s="509">
        <v>0</v>
      </c>
      <c r="W27" s="509">
        <v>0</v>
      </c>
      <c r="X27" s="509">
        <v>0</v>
      </c>
      <c r="Y27" s="509">
        <v>0</v>
      </c>
      <c r="AB27" s="249"/>
    </row>
    <row r="28" spans="1:28" s="244" customFormat="1" ht="15.75" customHeight="1">
      <c r="A28" s="510">
        <f>A27+10</f>
        <v>180</v>
      </c>
      <c r="B28" s="514" t="s">
        <v>667</v>
      </c>
      <c r="C28" s="508">
        <f t="shared" si="13"/>
        <v>0</v>
      </c>
      <c r="D28" s="509">
        <v>0</v>
      </c>
      <c r="E28" s="509">
        <v>0</v>
      </c>
      <c r="F28" s="508">
        <f t="shared" si="15"/>
        <v>0</v>
      </c>
      <c r="G28" s="509">
        <v>0</v>
      </c>
      <c r="H28" s="509">
        <v>0</v>
      </c>
      <c r="I28" s="509">
        <v>0</v>
      </c>
      <c r="J28" s="509">
        <v>0</v>
      </c>
      <c r="K28" s="509">
        <v>0</v>
      </c>
      <c r="L28" s="509">
        <v>0</v>
      </c>
      <c r="M28" s="509">
        <v>0</v>
      </c>
      <c r="N28" s="509">
        <v>0</v>
      </c>
      <c r="O28" s="508">
        <f t="shared" si="14"/>
        <v>0</v>
      </c>
      <c r="P28" s="509">
        <v>0</v>
      </c>
      <c r="Q28" s="509">
        <v>0</v>
      </c>
      <c r="R28" s="509">
        <v>0</v>
      </c>
      <c r="S28" s="509">
        <v>0</v>
      </c>
      <c r="T28" s="509">
        <v>0</v>
      </c>
      <c r="U28" s="509">
        <v>0</v>
      </c>
      <c r="V28" s="509">
        <v>0</v>
      </c>
      <c r="W28" s="509">
        <v>0</v>
      </c>
      <c r="X28" s="509">
        <v>0</v>
      </c>
      <c r="Y28" s="509">
        <v>0</v>
      </c>
      <c r="AB28" s="249"/>
    </row>
    <row r="29" spans="1:28" s="565" customFormat="1" ht="15.75" customHeight="1">
      <c r="A29" s="563">
        <f>A28+10</f>
        <v>190</v>
      </c>
      <c r="B29" s="563" t="s">
        <v>234</v>
      </c>
      <c r="C29" s="564">
        <f t="shared" si="13"/>
        <v>275718959</v>
      </c>
      <c r="D29" s="564">
        <f>SUM(D24:D28)</f>
        <v>222693428</v>
      </c>
      <c r="E29" s="564">
        <f>SUM(E24:E28)</f>
        <v>53025531</v>
      </c>
      <c r="F29" s="564">
        <f t="shared" si="15"/>
        <v>3663803</v>
      </c>
      <c r="G29" s="564">
        <f t="shared" ref="G29:I29" si="16">SUM(G24:G28)</f>
        <v>216103</v>
      </c>
      <c r="H29" s="564">
        <f t="shared" si="16"/>
        <v>219895</v>
      </c>
      <c r="I29" s="564">
        <f t="shared" si="16"/>
        <v>3227805</v>
      </c>
      <c r="J29" s="564">
        <f t="shared" ref="J29:Y29" si="17">SUM(J24:J28)</f>
        <v>19225</v>
      </c>
      <c r="K29" s="564">
        <f t="shared" si="17"/>
        <v>0</v>
      </c>
      <c r="L29" s="564">
        <f t="shared" si="17"/>
        <v>0</v>
      </c>
      <c r="M29" s="564">
        <f t="shared" si="17"/>
        <v>91191252</v>
      </c>
      <c r="N29" s="564">
        <f t="shared" si="17"/>
        <v>0</v>
      </c>
      <c r="O29" s="564">
        <f t="shared" si="17"/>
        <v>149671438</v>
      </c>
      <c r="P29" s="564">
        <f t="shared" si="17"/>
        <v>71041811</v>
      </c>
      <c r="Q29" s="564">
        <f t="shared" si="17"/>
        <v>78629627</v>
      </c>
      <c r="R29" s="564">
        <f t="shared" si="17"/>
        <v>0</v>
      </c>
      <c r="S29" s="564">
        <f t="shared" si="17"/>
        <v>0</v>
      </c>
      <c r="T29" s="564">
        <f t="shared" si="17"/>
        <v>0</v>
      </c>
      <c r="U29" s="564">
        <f t="shared" si="17"/>
        <v>0</v>
      </c>
      <c r="V29" s="564">
        <f t="shared" si="17"/>
        <v>2794084</v>
      </c>
      <c r="W29" s="564">
        <f t="shared" si="17"/>
        <v>30356058</v>
      </c>
      <c r="X29" s="564">
        <f t="shared" si="17"/>
        <v>0</v>
      </c>
      <c r="Y29" s="564">
        <f t="shared" si="17"/>
        <v>1686902</v>
      </c>
      <c r="AA29" s="566"/>
      <c r="AB29" s="567"/>
    </row>
    <row r="30" spans="1:28" s="244" customFormat="1" ht="15.75" customHeight="1">
      <c r="A30" s="511"/>
      <c r="B30" s="504" t="s">
        <v>471</v>
      </c>
      <c r="C30" s="512"/>
      <c r="D30" s="512"/>
      <c r="E30" s="512"/>
      <c r="F30" s="512"/>
      <c r="G30" s="513"/>
      <c r="H30" s="512"/>
      <c r="I30" s="512"/>
      <c r="J30" s="512"/>
      <c r="K30" s="512"/>
      <c r="L30" s="512"/>
      <c r="M30" s="512"/>
      <c r="N30" s="512"/>
      <c r="O30" s="512"/>
      <c r="P30" s="512"/>
      <c r="Q30" s="512"/>
      <c r="R30" s="512"/>
      <c r="S30" s="512"/>
      <c r="T30" s="512"/>
      <c r="U30" s="512"/>
      <c r="V30" s="512"/>
      <c r="W30" s="512"/>
      <c r="X30" s="512"/>
      <c r="Y30" s="512"/>
      <c r="AB30" s="249"/>
    </row>
    <row r="31" spans="1:28" s="244" customFormat="1" ht="15.75" customHeight="1">
      <c r="A31" s="506">
        <v>200</v>
      </c>
      <c r="B31" s="507" t="s">
        <v>662</v>
      </c>
      <c r="C31" s="508">
        <f t="shared" ref="C31:C36" si="18">SUM(J31:Y31)-L31-P31-Q31</f>
        <v>319748497</v>
      </c>
      <c r="D31" s="509">
        <v>314936713</v>
      </c>
      <c r="E31" s="509">
        <v>4811784</v>
      </c>
      <c r="F31" s="508">
        <f>+G31+H31+I31</f>
        <v>6523567</v>
      </c>
      <c r="G31" s="509">
        <v>0</v>
      </c>
      <c r="H31" s="509">
        <v>0</v>
      </c>
      <c r="I31" s="509">
        <v>6523567</v>
      </c>
      <c r="J31" s="509">
        <v>0</v>
      </c>
      <c r="K31" s="509">
        <v>0</v>
      </c>
      <c r="L31" s="509">
        <v>0</v>
      </c>
      <c r="M31" s="509">
        <v>40413</v>
      </c>
      <c r="N31" s="509">
        <v>0</v>
      </c>
      <c r="O31" s="508">
        <f t="shared" ref="O31:O35" si="19">+P31+Q31</f>
        <v>303042540</v>
      </c>
      <c r="P31" s="509">
        <v>8746960</v>
      </c>
      <c r="Q31" s="509">
        <v>294295580</v>
      </c>
      <c r="R31" s="509">
        <v>0</v>
      </c>
      <c r="S31" s="509">
        <v>0</v>
      </c>
      <c r="T31" s="509">
        <v>0</v>
      </c>
      <c r="U31" s="509">
        <v>0</v>
      </c>
      <c r="V31" s="509">
        <v>586037</v>
      </c>
      <c r="W31" s="509">
        <v>14879507</v>
      </c>
      <c r="X31" s="509">
        <v>1200000</v>
      </c>
      <c r="Y31" s="509">
        <v>0</v>
      </c>
      <c r="AB31" s="249"/>
    </row>
    <row r="32" spans="1:28" s="244" customFormat="1" ht="15.75" customHeight="1">
      <c r="A32" s="510">
        <f t="shared" si="2"/>
        <v>210</v>
      </c>
      <c r="B32" s="507" t="s">
        <v>400</v>
      </c>
      <c r="C32" s="508">
        <f t="shared" si="18"/>
        <v>0</v>
      </c>
      <c r="D32" s="509">
        <v>0</v>
      </c>
      <c r="E32" s="509">
        <v>0</v>
      </c>
      <c r="F32" s="508">
        <f t="shared" ref="F32:F36" si="20">+G32+H32+I32</f>
        <v>0</v>
      </c>
      <c r="G32" s="509">
        <v>0</v>
      </c>
      <c r="H32" s="509">
        <v>0</v>
      </c>
      <c r="I32" s="509">
        <v>0</v>
      </c>
      <c r="J32" s="509">
        <v>0</v>
      </c>
      <c r="K32" s="509">
        <v>0</v>
      </c>
      <c r="L32" s="509">
        <v>0</v>
      </c>
      <c r="M32" s="509">
        <v>0</v>
      </c>
      <c r="N32" s="509">
        <v>0</v>
      </c>
      <c r="O32" s="508">
        <f t="shared" si="19"/>
        <v>0</v>
      </c>
      <c r="P32" s="509">
        <v>0</v>
      </c>
      <c r="Q32" s="509">
        <v>0</v>
      </c>
      <c r="R32" s="509">
        <v>0</v>
      </c>
      <c r="S32" s="509">
        <v>0</v>
      </c>
      <c r="T32" s="509">
        <v>0</v>
      </c>
      <c r="U32" s="509">
        <v>0</v>
      </c>
      <c r="V32" s="509">
        <v>0</v>
      </c>
      <c r="W32" s="509">
        <v>0</v>
      </c>
      <c r="X32" s="509">
        <v>0</v>
      </c>
      <c r="Y32" s="509">
        <v>0</v>
      </c>
      <c r="AB32" s="249"/>
    </row>
    <row r="33" spans="1:28" s="244" customFormat="1" ht="15.75" customHeight="1">
      <c r="A33" s="510">
        <f t="shared" si="2"/>
        <v>220</v>
      </c>
      <c r="B33" s="507" t="s">
        <v>401</v>
      </c>
      <c r="C33" s="508">
        <f t="shared" si="18"/>
        <v>539189754</v>
      </c>
      <c r="D33" s="509">
        <v>461413299</v>
      </c>
      <c r="E33" s="509">
        <v>77776455</v>
      </c>
      <c r="F33" s="508">
        <f t="shared" si="20"/>
        <v>33771021</v>
      </c>
      <c r="G33" s="509">
        <v>0</v>
      </c>
      <c r="H33" s="509">
        <v>119955</v>
      </c>
      <c r="I33" s="509">
        <v>33651066</v>
      </c>
      <c r="J33" s="509">
        <v>0</v>
      </c>
      <c r="K33" s="509">
        <v>0</v>
      </c>
      <c r="L33" s="509">
        <v>0</v>
      </c>
      <c r="M33" s="509">
        <v>7564094</v>
      </c>
      <c r="N33" s="509">
        <v>0</v>
      </c>
      <c r="O33" s="508">
        <f t="shared" si="19"/>
        <v>490472145</v>
      </c>
      <c r="P33" s="509">
        <v>95560811</v>
      </c>
      <c r="Q33" s="509">
        <v>394911334</v>
      </c>
      <c r="R33" s="509">
        <v>0</v>
      </c>
      <c r="S33" s="509">
        <v>0</v>
      </c>
      <c r="T33" s="509">
        <v>0</v>
      </c>
      <c r="U33" s="509">
        <v>0</v>
      </c>
      <c r="V33" s="509">
        <v>27108216</v>
      </c>
      <c r="W33" s="509">
        <v>689806</v>
      </c>
      <c r="X33" s="509">
        <v>0</v>
      </c>
      <c r="Y33" s="509">
        <v>13355493</v>
      </c>
      <c r="AB33" s="249"/>
    </row>
    <row r="34" spans="1:28" s="244" customFormat="1" ht="15.75" customHeight="1">
      <c r="A34" s="510">
        <f t="shared" si="2"/>
        <v>230</v>
      </c>
      <c r="B34" s="507" t="s">
        <v>397</v>
      </c>
      <c r="C34" s="508">
        <f t="shared" si="18"/>
        <v>0</v>
      </c>
      <c r="D34" s="509">
        <v>0</v>
      </c>
      <c r="E34" s="509">
        <v>0</v>
      </c>
      <c r="F34" s="508">
        <f t="shared" si="20"/>
        <v>0</v>
      </c>
      <c r="G34" s="509">
        <v>0</v>
      </c>
      <c r="H34" s="509">
        <v>0</v>
      </c>
      <c r="I34" s="509">
        <v>0</v>
      </c>
      <c r="J34" s="509">
        <v>0</v>
      </c>
      <c r="K34" s="509">
        <v>0</v>
      </c>
      <c r="L34" s="509">
        <v>0</v>
      </c>
      <c r="M34" s="509">
        <v>0</v>
      </c>
      <c r="N34" s="509">
        <v>0</v>
      </c>
      <c r="O34" s="508">
        <f t="shared" si="19"/>
        <v>0</v>
      </c>
      <c r="P34" s="509">
        <v>0</v>
      </c>
      <c r="Q34" s="509">
        <v>0</v>
      </c>
      <c r="R34" s="509">
        <v>0</v>
      </c>
      <c r="S34" s="509">
        <v>0</v>
      </c>
      <c r="T34" s="509">
        <v>0</v>
      </c>
      <c r="U34" s="509">
        <v>0</v>
      </c>
      <c r="V34" s="509">
        <v>0</v>
      </c>
      <c r="W34" s="509">
        <v>0</v>
      </c>
      <c r="X34" s="509">
        <v>0</v>
      </c>
      <c r="Y34" s="509">
        <v>0</v>
      </c>
      <c r="AB34" s="249"/>
    </row>
    <row r="35" spans="1:28" s="244" customFormat="1" ht="15.75" customHeight="1">
      <c r="A35" s="510">
        <f>A34+10</f>
        <v>240</v>
      </c>
      <c r="B35" s="507" t="s">
        <v>667</v>
      </c>
      <c r="C35" s="508">
        <f t="shared" si="18"/>
        <v>0</v>
      </c>
      <c r="D35" s="509">
        <v>0</v>
      </c>
      <c r="E35" s="509">
        <v>0</v>
      </c>
      <c r="F35" s="508">
        <f t="shared" si="20"/>
        <v>0</v>
      </c>
      <c r="G35" s="509">
        <v>0</v>
      </c>
      <c r="H35" s="509">
        <v>0</v>
      </c>
      <c r="I35" s="509">
        <v>0</v>
      </c>
      <c r="J35" s="509">
        <v>0</v>
      </c>
      <c r="K35" s="509">
        <v>0</v>
      </c>
      <c r="L35" s="509">
        <v>0</v>
      </c>
      <c r="M35" s="509">
        <v>0</v>
      </c>
      <c r="N35" s="509">
        <v>0</v>
      </c>
      <c r="O35" s="508">
        <f t="shared" si="19"/>
        <v>0</v>
      </c>
      <c r="P35" s="509">
        <v>0</v>
      </c>
      <c r="Q35" s="509">
        <v>0</v>
      </c>
      <c r="R35" s="509">
        <v>0</v>
      </c>
      <c r="S35" s="509">
        <v>0</v>
      </c>
      <c r="T35" s="509">
        <v>0</v>
      </c>
      <c r="U35" s="509">
        <v>0</v>
      </c>
      <c r="V35" s="509">
        <v>0</v>
      </c>
      <c r="W35" s="509">
        <v>0</v>
      </c>
      <c r="X35" s="509">
        <v>0</v>
      </c>
      <c r="Y35" s="509">
        <v>0</v>
      </c>
      <c r="AB35" s="249"/>
    </row>
    <row r="36" spans="1:28" s="565" customFormat="1" ht="15.75" customHeight="1">
      <c r="A36" s="563">
        <f>A35+10</f>
        <v>250</v>
      </c>
      <c r="B36" s="563" t="s">
        <v>234</v>
      </c>
      <c r="C36" s="564">
        <f t="shared" si="18"/>
        <v>858938251</v>
      </c>
      <c r="D36" s="564">
        <f>SUM(D31:D35)</f>
        <v>776350012</v>
      </c>
      <c r="E36" s="564">
        <f>SUM(E31:E35)</f>
        <v>82588239</v>
      </c>
      <c r="F36" s="564">
        <f t="shared" si="20"/>
        <v>40294588</v>
      </c>
      <c r="G36" s="564">
        <f t="shared" ref="G36:I36" si="21">SUM(G31:G35)</f>
        <v>0</v>
      </c>
      <c r="H36" s="564">
        <f t="shared" si="21"/>
        <v>119955</v>
      </c>
      <c r="I36" s="564">
        <f t="shared" si="21"/>
        <v>40174633</v>
      </c>
      <c r="J36" s="564">
        <f t="shared" ref="J36:Y36" si="22">SUM(J31:J35)</f>
        <v>0</v>
      </c>
      <c r="K36" s="564">
        <f t="shared" si="22"/>
        <v>0</v>
      </c>
      <c r="L36" s="564">
        <f t="shared" si="22"/>
        <v>0</v>
      </c>
      <c r="M36" s="564">
        <f t="shared" si="22"/>
        <v>7604507</v>
      </c>
      <c r="N36" s="564">
        <f t="shared" si="22"/>
        <v>0</v>
      </c>
      <c r="O36" s="564">
        <f t="shared" si="22"/>
        <v>793514685</v>
      </c>
      <c r="P36" s="564">
        <f t="shared" si="22"/>
        <v>104307771</v>
      </c>
      <c r="Q36" s="564">
        <f t="shared" si="22"/>
        <v>689206914</v>
      </c>
      <c r="R36" s="564">
        <f t="shared" si="22"/>
        <v>0</v>
      </c>
      <c r="S36" s="564">
        <f t="shared" si="22"/>
        <v>0</v>
      </c>
      <c r="T36" s="564">
        <f t="shared" si="22"/>
        <v>0</v>
      </c>
      <c r="U36" s="564">
        <f t="shared" si="22"/>
        <v>0</v>
      </c>
      <c r="V36" s="564">
        <f t="shared" si="22"/>
        <v>27694253</v>
      </c>
      <c r="W36" s="564">
        <f t="shared" si="22"/>
        <v>15569313</v>
      </c>
      <c r="X36" s="564">
        <f t="shared" si="22"/>
        <v>1200000</v>
      </c>
      <c r="Y36" s="564">
        <f t="shared" si="22"/>
        <v>13355493</v>
      </c>
      <c r="AA36" s="566"/>
      <c r="AB36" s="567"/>
    </row>
    <row r="37" spans="1:28" s="244" customFormat="1" ht="15.75" customHeight="1">
      <c r="A37" s="511"/>
      <c r="B37" s="504" t="s">
        <v>472</v>
      </c>
      <c r="C37" s="512"/>
      <c r="D37" s="512"/>
      <c r="E37" s="512"/>
      <c r="F37" s="512"/>
      <c r="G37" s="513"/>
      <c r="H37" s="512"/>
      <c r="I37" s="512"/>
      <c r="J37" s="512"/>
      <c r="K37" s="512"/>
      <c r="L37" s="512"/>
      <c r="M37" s="512"/>
      <c r="N37" s="512"/>
      <c r="O37" s="512"/>
      <c r="P37" s="512"/>
      <c r="Q37" s="512"/>
      <c r="R37" s="512"/>
      <c r="S37" s="512"/>
      <c r="T37" s="512"/>
      <c r="U37" s="512"/>
      <c r="V37" s="512"/>
      <c r="W37" s="512"/>
      <c r="X37" s="512"/>
      <c r="Y37" s="512"/>
      <c r="AB37" s="249"/>
    </row>
    <row r="38" spans="1:28" s="244" customFormat="1" ht="15.75" customHeight="1">
      <c r="A38" s="506">
        <v>260</v>
      </c>
      <c r="B38" s="507" t="s">
        <v>662</v>
      </c>
      <c r="C38" s="508">
        <f t="shared" ref="C38:C42" si="23">SUM(J38:Y38)-L38-P38-Q38</f>
        <v>134737593</v>
      </c>
      <c r="D38" s="509">
        <v>130400927</v>
      </c>
      <c r="E38" s="509">
        <v>4336666</v>
      </c>
      <c r="F38" s="508">
        <f>+G38+H38+I38</f>
        <v>7960072</v>
      </c>
      <c r="G38" s="509">
        <v>166421</v>
      </c>
      <c r="H38" s="509">
        <v>134362</v>
      </c>
      <c r="I38" s="509">
        <v>7659289</v>
      </c>
      <c r="J38" s="509">
        <v>0</v>
      </c>
      <c r="K38" s="509">
        <v>0</v>
      </c>
      <c r="L38" s="509">
        <v>0</v>
      </c>
      <c r="M38" s="509">
        <v>5835243</v>
      </c>
      <c r="N38" s="509">
        <v>0</v>
      </c>
      <c r="O38" s="508">
        <f t="shared" ref="O38:O42" si="24">+P38+Q38</f>
        <v>85769691</v>
      </c>
      <c r="P38" s="509">
        <v>2323087</v>
      </c>
      <c r="Q38" s="509">
        <v>83446604</v>
      </c>
      <c r="R38" s="509">
        <v>0</v>
      </c>
      <c r="S38" s="509">
        <v>0</v>
      </c>
      <c r="T38" s="509">
        <v>0</v>
      </c>
      <c r="U38" s="509">
        <v>0</v>
      </c>
      <c r="V38" s="509">
        <v>993534</v>
      </c>
      <c r="W38" s="509">
        <v>42010453</v>
      </c>
      <c r="X38" s="509">
        <v>128672</v>
      </c>
      <c r="Y38" s="509">
        <v>0</v>
      </c>
      <c r="AB38" s="249"/>
    </row>
    <row r="39" spans="1:28" s="244" customFormat="1" ht="15.75" customHeight="1">
      <c r="A39" s="510">
        <f t="shared" si="2"/>
        <v>270</v>
      </c>
      <c r="B39" s="507" t="s">
        <v>400</v>
      </c>
      <c r="C39" s="508">
        <f t="shared" si="23"/>
        <v>0</v>
      </c>
      <c r="D39" s="509">
        <v>0</v>
      </c>
      <c r="E39" s="509">
        <v>0</v>
      </c>
      <c r="F39" s="508">
        <f t="shared" ref="F39:F43" si="25">+G39+H39+I39</f>
        <v>0</v>
      </c>
      <c r="G39" s="509">
        <v>0</v>
      </c>
      <c r="H39" s="509">
        <v>0</v>
      </c>
      <c r="I39" s="509">
        <v>0</v>
      </c>
      <c r="J39" s="509">
        <v>0</v>
      </c>
      <c r="K39" s="509">
        <v>0</v>
      </c>
      <c r="L39" s="509">
        <v>0</v>
      </c>
      <c r="M39" s="509">
        <v>0</v>
      </c>
      <c r="N39" s="509">
        <v>0</v>
      </c>
      <c r="O39" s="508">
        <f t="shared" si="24"/>
        <v>0</v>
      </c>
      <c r="P39" s="509">
        <v>0</v>
      </c>
      <c r="Q39" s="509">
        <v>0</v>
      </c>
      <c r="R39" s="509">
        <v>0</v>
      </c>
      <c r="S39" s="509">
        <v>0</v>
      </c>
      <c r="T39" s="509">
        <v>0</v>
      </c>
      <c r="U39" s="509">
        <v>0</v>
      </c>
      <c r="V39" s="509">
        <v>0</v>
      </c>
      <c r="W39" s="509">
        <v>0</v>
      </c>
      <c r="X39" s="509">
        <v>0</v>
      </c>
      <c r="Y39" s="509">
        <v>0</v>
      </c>
      <c r="AB39" s="249"/>
    </row>
    <row r="40" spans="1:28" s="244" customFormat="1" ht="15.75" customHeight="1">
      <c r="A40" s="510">
        <f t="shared" si="2"/>
        <v>280</v>
      </c>
      <c r="B40" s="507" t="s">
        <v>401</v>
      </c>
      <c r="C40" s="508">
        <f t="shared" si="23"/>
        <v>790202202</v>
      </c>
      <c r="D40" s="509">
        <v>525551459</v>
      </c>
      <c r="E40" s="509">
        <v>264650743</v>
      </c>
      <c r="F40" s="508">
        <f t="shared" si="25"/>
        <v>39855973</v>
      </c>
      <c r="G40" s="509">
        <v>677142</v>
      </c>
      <c r="H40" s="509">
        <v>2760900</v>
      </c>
      <c r="I40" s="509">
        <v>36417931</v>
      </c>
      <c r="J40" s="509">
        <v>381593</v>
      </c>
      <c r="K40" s="509">
        <v>0</v>
      </c>
      <c r="L40" s="509">
        <v>0</v>
      </c>
      <c r="M40" s="509">
        <v>25312843</v>
      </c>
      <c r="N40" s="509">
        <v>0</v>
      </c>
      <c r="O40" s="508">
        <f t="shared" si="24"/>
        <v>688644285</v>
      </c>
      <c r="P40" s="509">
        <v>230340524</v>
      </c>
      <c r="Q40" s="509">
        <v>458303761</v>
      </c>
      <c r="R40" s="509">
        <v>1399681</v>
      </c>
      <c r="S40" s="509">
        <v>0</v>
      </c>
      <c r="T40" s="509">
        <v>0</v>
      </c>
      <c r="U40" s="509">
        <v>0</v>
      </c>
      <c r="V40" s="509">
        <v>13816187</v>
      </c>
      <c r="W40" s="509">
        <v>49038034</v>
      </c>
      <c r="X40" s="509">
        <v>5767065</v>
      </c>
      <c r="Y40" s="509">
        <v>5842514</v>
      </c>
      <c r="AB40" s="249"/>
    </row>
    <row r="41" spans="1:28" s="244" customFormat="1" ht="15.75" customHeight="1">
      <c r="A41" s="510">
        <f t="shared" si="2"/>
        <v>290</v>
      </c>
      <c r="B41" s="507" t="s">
        <v>397</v>
      </c>
      <c r="C41" s="508">
        <f t="shared" si="23"/>
        <v>0</v>
      </c>
      <c r="D41" s="509">
        <v>0</v>
      </c>
      <c r="E41" s="509">
        <v>0</v>
      </c>
      <c r="F41" s="508">
        <f t="shared" si="25"/>
        <v>0</v>
      </c>
      <c r="G41" s="509">
        <v>0</v>
      </c>
      <c r="H41" s="509">
        <v>0</v>
      </c>
      <c r="I41" s="509">
        <v>0</v>
      </c>
      <c r="J41" s="509">
        <v>0</v>
      </c>
      <c r="K41" s="509">
        <v>0</v>
      </c>
      <c r="L41" s="509">
        <v>0</v>
      </c>
      <c r="M41" s="509">
        <v>0</v>
      </c>
      <c r="N41" s="509">
        <v>0</v>
      </c>
      <c r="O41" s="508">
        <f t="shared" si="24"/>
        <v>0</v>
      </c>
      <c r="P41" s="509">
        <v>0</v>
      </c>
      <c r="Q41" s="509">
        <v>0</v>
      </c>
      <c r="R41" s="509">
        <v>0</v>
      </c>
      <c r="S41" s="509">
        <v>0</v>
      </c>
      <c r="T41" s="509">
        <v>0</v>
      </c>
      <c r="U41" s="509">
        <v>0</v>
      </c>
      <c r="V41" s="509">
        <v>0</v>
      </c>
      <c r="W41" s="509">
        <v>0</v>
      </c>
      <c r="X41" s="509">
        <v>0</v>
      </c>
      <c r="Y41" s="509">
        <v>0</v>
      </c>
      <c r="AB41" s="249"/>
    </row>
    <row r="42" spans="1:28" s="244" customFormat="1" ht="15.75" customHeight="1">
      <c r="A42" s="510">
        <f>A41+10</f>
        <v>300</v>
      </c>
      <c r="B42" s="507" t="s">
        <v>667</v>
      </c>
      <c r="C42" s="508">
        <f t="shared" si="23"/>
        <v>0</v>
      </c>
      <c r="D42" s="509">
        <v>0</v>
      </c>
      <c r="E42" s="509">
        <v>0</v>
      </c>
      <c r="F42" s="508">
        <f t="shared" si="25"/>
        <v>0</v>
      </c>
      <c r="G42" s="509">
        <v>0</v>
      </c>
      <c r="H42" s="509">
        <v>0</v>
      </c>
      <c r="I42" s="509">
        <v>0</v>
      </c>
      <c r="J42" s="509">
        <v>0</v>
      </c>
      <c r="K42" s="509">
        <v>0</v>
      </c>
      <c r="L42" s="509">
        <v>0</v>
      </c>
      <c r="M42" s="509">
        <v>0</v>
      </c>
      <c r="N42" s="509">
        <v>0</v>
      </c>
      <c r="O42" s="508">
        <f t="shared" si="24"/>
        <v>0</v>
      </c>
      <c r="P42" s="509">
        <v>0</v>
      </c>
      <c r="Q42" s="509">
        <v>0</v>
      </c>
      <c r="R42" s="509">
        <v>0</v>
      </c>
      <c r="S42" s="509">
        <v>0</v>
      </c>
      <c r="T42" s="509">
        <v>0</v>
      </c>
      <c r="U42" s="509">
        <v>0</v>
      </c>
      <c r="V42" s="509">
        <v>0</v>
      </c>
      <c r="W42" s="509">
        <v>0</v>
      </c>
      <c r="X42" s="509">
        <v>0</v>
      </c>
      <c r="Y42" s="509">
        <v>0</v>
      </c>
      <c r="AB42" s="249"/>
    </row>
    <row r="43" spans="1:28" s="565" customFormat="1" ht="15.75" customHeight="1">
      <c r="A43" s="563">
        <f>A42+10</f>
        <v>310</v>
      </c>
      <c r="B43" s="563" t="s">
        <v>234</v>
      </c>
      <c r="C43" s="564">
        <f t="shared" ref="C43" si="26">SUM(J43:Y43)-L43-P43-Q43</f>
        <v>924939795</v>
      </c>
      <c r="D43" s="564">
        <f>SUM(D38:D42)</f>
        <v>655952386</v>
      </c>
      <c r="E43" s="564">
        <f>SUM(E38:E42)</f>
        <v>268987409</v>
      </c>
      <c r="F43" s="564">
        <f t="shared" si="25"/>
        <v>47816045</v>
      </c>
      <c r="G43" s="564">
        <f t="shared" ref="G43:I43" si="27">SUM(G38:G42)</f>
        <v>843563</v>
      </c>
      <c r="H43" s="564">
        <f t="shared" si="27"/>
        <v>2895262</v>
      </c>
      <c r="I43" s="564">
        <f t="shared" si="27"/>
        <v>44077220</v>
      </c>
      <c r="J43" s="564">
        <f t="shared" ref="J43:Y43" si="28">SUM(J38:J42)</f>
        <v>381593</v>
      </c>
      <c r="K43" s="564">
        <f t="shared" si="28"/>
        <v>0</v>
      </c>
      <c r="L43" s="564">
        <f t="shared" si="28"/>
        <v>0</v>
      </c>
      <c r="M43" s="564">
        <f t="shared" si="28"/>
        <v>31148086</v>
      </c>
      <c r="N43" s="564">
        <f t="shared" si="28"/>
        <v>0</v>
      </c>
      <c r="O43" s="564">
        <f t="shared" si="28"/>
        <v>774413976</v>
      </c>
      <c r="P43" s="564">
        <f t="shared" si="28"/>
        <v>232663611</v>
      </c>
      <c r="Q43" s="564">
        <f t="shared" si="28"/>
        <v>541750365</v>
      </c>
      <c r="R43" s="564">
        <f t="shared" si="28"/>
        <v>1399681</v>
      </c>
      <c r="S43" s="564">
        <f t="shared" si="28"/>
        <v>0</v>
      </c>
      <c r="T43" s="564">
        <f t="shared" si="28"/>
        <v>0</v>
      </c>
      <c r="U43" s="564">
        <f t="shared" si="28"/>
        <v>0</v>
      </c>
      <c r="V43" s="564">
        <f t="shared" si="28"/>
        <v>14809721</v>
      </c>
      <c r="W43" s="564">
        <f t="shared" si="28"/>
        <v>91048487</v>
      </c>
      <c r="X43" s="564">
        <f t="shared" si="28"/>
        <v>5895737</v>
      </c>
      <c r="Y43" s="564">
        <f t="shared" si="28"/>
        <v>5842514</v>
      </c>
      <c r="AA43" s="566"/>
      <c r="AB43" s="567"/>
    </row>
    <row r="44" spans="1:28" s="244" customFormat="1" ht="15.75" customHeight="1">
      <c r="A44" s="511"/>
      <c r="B44" s="504" t="s">
        <v>473</v>
      </c>
      <c r="C44" s="512"/>
      <c r="D44" s="512"/>
      <c r="E44" s="512"/>
      <c r="F44" s="512"/>
      <c r="G44" s="513"/>
      <c r="H44" s="512"/>
      <c r="I44" s="512"/>
      <c r="J44" s="512"/>
      <c r="K44" s="512"/>
      <c r="L44" s="512"/>
      <c r="M44" s="512"/>
      <c r="N44" s="512"/>
      <c r="O44" s="512"/>
      <c r="P44" s="512"/>
      <c r="Q44" s="512"/>
      <c r="R44" s="512"/>
      <c r="S44" s="512"/>
      <c r="T44" s="512"/>
      <c r="U44" s="512"/>
      <c r="V44" s="512"/>
      <c r="W44" s="512"/>
      <c r="X44" s="512"/>
      <c r="Y44" s="512"/>
      <c r="AB44" s="249"/>
    </row>
    <row r="45" spans="1:28" s="244" customFormat="1" ht="15.75" customHeight="1">
      <c r="A45" s="506">
        <v>320</v>
      </c>
      <c r="B45" s="507" t="s">
        <v>662</v>
      </c>
      <c r="C45" s="508">
        <f t="shared" ref="C45:C50" si="29">SUM(J45:Y45)-L45-P45-Q45</f>
        <v>23245164</v>
      </c>
      <c r="D45" s="509">
        <v>21304489</v>
      </c>
      <c r="E45" s="509">
        <v>1940675</v>
      </c>
      <c r="F45" s="508">
        <f>+G45+H45+I45</f>
        <v>377084</v>
      </c>
      <c r="G45" s="509">
        <v>24425</v>
      </c>
      <c r="H45" s="509">
        <v>306910</v>
      </c>
      <c r="I45" s="509">
        <v>45749</v>
      </c>
      <c r="J45" s="509">
        <v>0</v>
      </c>
      <c r="K45" s="509">
        <v>0</v>
      </c>
      <c r="L45" s="509">
        <v>0</v>
      </c>
      <c r="M45" s="509">
        <v>1510410</v>
      </c>
      <c r="N45" s="509">
        <v>0</v>
      </c>
      <c r="O45" s="508">
        <f t="shared" ref="O45:O49" si="30">+P45+Q45</f>
        <v>13179647</v>
      </c>
      <c r="P45" s="509">
        <v>1085406</v>
      </c>
      <c r="Q45" s="509">
        <v>12094241</v>
      </c>
      <c r="R45" s="509">
        <v>0</v>
      </c>
      <c r="S45" s="509">
        <v>0</v>
      </c>
      <c r="T45" s="509">
        <v>0</v>
      </c>
      <c r="U45" s="509">
        <v>0</v>
      </c>
      <c r="V45" s="509">
        <v>2025708</v>
      </c>
      <c r="W45" s="509">
        <v>6229399</v>
      </c>
      <c r="X45" s="509">
        <v>300000</v>
      </c>
      <c r="Y45" s="509">
        <v>0</v>
      </c>
      <c r="AB45" s="249"/>
    </row>
    <row r="46" spans="1:28" s="244" customFormat="1" ht="15.75" customHeight="1">
      <c r="A46" s="510">
        <f t="shared" si="2"/>
        <v>330</v>
      </c>
      <c r="B46" s="507" t="s">
        <v>400</v>
      </c>
      <c r="C46" s="508">
        <f t="shared" si="29"/>
        <v>0</v>
      </c>
      <c r="D46" s="509">
        <v>0</v>
      </c>
      <c r="E46" s="509">
        <v>0</v>
      </c>
      <c r="F46" s="508">
        <f t="shared" ref="F46:F50" si="31">+G46+H46+I46</f>
        <v>0</v>
      </c>
      <c r="G46" s="509">
        <v>0</v>
      </c>
      <c r="H46" s="509">
        <v>0</v>
      </c>
      <c r="I46" s="509">
        <v>0</v>
      </c>
      <c r="J46" s="509">
        <v>0</v>
      </c>
      <c r="K46" s="509">
        <v>0</v>
      </c>
      <c r="L46" s="509">
        <v>0</v>
      </c>
      <c r="M46" s="509">
        <v>0</v>
      </c>
      <c r="N46" s="509">
        <v>0</v>
      </c>
      <c r="O46" s="508">
        <f t="shared" si="30"/>
        <v>0</v>
      </c>
      <c r="P46" s="509">
        <v>0</v>
      </c>
      <c r="Q46" s="509">
        <v>0</v>
      </c>
      <c r="R46" s="509">
        <v>0</v>
      </c>
      <c r="S46" s="509">
        <v>0</v>
      </c>
      <c r="T46" s="509">
        <v>0</v>
      </c>
      <c r="U46" s="509">
        <v>0</v>
      </c>
      <c r="V46" s="509">
        <v>0</v>
      </c>
      <c r="W46" s="509">
        <v>0</v>
      </c>
      <c r="X46" s="509">
        <v>0</v>
      </c>
      <c r="Y46" s="509">
        <v>0</v>
      </c>
      <c r="AB46" s="249"/>
    </row>
    <row r="47" spans="1:28" s="244" customFormat="1" ht="15.75" customHeight="1">
      <c r="A47" s="510">
        <f t="shared" si="2"/>
        <v>340</v>
      </c>
      <c r="B47" s="507" t="s">
        <v>401</v>
      </c>
      <c r="C47" s="508">
        <f t="shared" si="29"/>
        <v>168000049</v>
      </c>
      <c r="D47" s="509">
        <v>117781513</v>
      </c>
      <c r="E47" s="509">
        <v>50218536</v>
      </c>
      <c r="F47" s="508">
        <f t="shared" si="31"/>
        <v>8382677</v>
      </c>
      <c r="G47" s="509">
        <v>299113</v>
      </c>
      <c r="H47" s="509">
        <v>739025</v>
      </c>
      <c r="I47" s="509">
        <v>7344539</v>
      </c>
      <c r="J47" s="509">
        <v>12864</v>
      </c>
      <c r="K47" s="509">
        <v>0</v>
      </c>
      <c r="L47" s="509">
        <v>0</v>
      </c>
      <c r="M47" s="509">
        <v>7406305</v>
      </c>
      <c r="N47" s="509">
        <v>0</v>
      </c>
      <c r="O47" s="508">
        <f t="shared" si="30"/>
        <v>100884073</v>
      </c>
      <c r="P47" s="509">
        <v>33402297</v>
      </c>
      <c r="Q47" s="509">
        <v>67481776</v>
      </c>
      <c r="R47" s="509">
        <v>105032</v>
      </c>
      <c r="S47" s="509">
        <v>0</v>
      </c>
      <c r="T47" s="509">
        <v>0</v>
      </c>
      <c r="U47" s="509">
        <v>0</v>
      </c>
      <c r="V47" s="509">
        <v>54376176</v>
      </c>
      <c r="W47" s="509">
        <v>860483</v>
      </c>
      <c r="X47" s="509">
        <v>0</v>
      </c>
      <c r="Y47" s="509">
        <v>4355116</v>
      </c>
      <c r="AB47" s="249"/>
    </row>
    <row r="48" spans="1:28" s="244" customFormat="1" ht="15.75" customHeight="1">
      <c r="A48" s="510">
        <f t="shared" si="2"/>
        <v>350</v>
      </c>
      <c r="B48" s="507" t="s">
        <v>397</v>
      </c>
      <c r="C48" s="508">
        <f t="shared" si="29"/>
        <v>0</v>
      </c>
      <c r="D48" s="509">
        <v>0</v>
      </c>
      <c r="E48" s="509">
        <v>0</v>
      </c>
      <c r="F48" s="508">
        <f t="shared" si="31"/>
        <v>0</v>
      </c>
      <c r="G48" s="509">
        <v>0</v>
      </c>
      <c r="H48" s="509">
        <v>0</v>
      </c>
      <c r="I48" s="509">
        <v>0</v>
      </c>
      <c r="J48" s="509">
        <v>0</v>
      </c>
      <c r="K48" s="509">
        <v>0</v>
      </c>
      <c r="L48" s="509">
        <v>0</v>
      </c>
      <c r="M48" s="509">
        <v>0</v>
      </c>
      <c r="N48" s="509">
        <v>0</v>
      </c>
      <c r="O48" s="508">
        <f t="shared" si="30"/>
        <v>0</v>
      </c>
      <c r="P48" s="509">
        <v>0</v>
      </c>
      <c r="Q48" s="509">
        <v>0</v>
      </c>
      <c r="R48" s="509">
        <v>0</v>
      </c>
      <c r="S48" s="509">
        <v>0</v>
      </c>
      <c r="T48" s="509">
        <v>0</v>
      </c>
      <c r="U48" s="509">
        <v>0</v>
      </c>
      <c r="V48" s="509">
        <v>0</v>
      </c>
      <c r="W48" s="509">
        <v>0</v>
      </c>
      <c r="X48" s="509">
        <v>0</v>
      </c>
      <c r="Y48" s="509">
        <v>0</v>
      </c>
      <c r="AB48" s="249"/>
    </row>
    <row r="49" spans="1:28" s="244" customFormat="1" ht="15.75" customHeight="1">
      <c r="A49" s="510">
        <f>A48+10</f>
        <v>360</v>
      </c>
      <c r="B49" s="507" t="s">
        <v>667</v>
      </c>
      <c r="C49" s="508">
        <f t="shared" si="29"/>
        <v>0</v>
      </c>
      <c r="D49" s="509">
        <v>0</v>
      </c>
      <c r="E49" s="509">
        <v>0</v>
      </c>
      <c r="F49" s="508">
        <f t="shared" si="31"/>
        <v>0</v>
      </c>
      <c r="G49" s="509">
        <v>0</v>
      </c>
      <c r="H49" s="509">
        <v>0</v>
      </c>
      <c r="I49" s="509">
        <v>0</v>
      </c>
      <c r="J49" s="509">
        <v>0</v>
      </c>
      <c r="K49" s="509">
        <v>0</v>
      </c>
      <c r="L49" s="509">
        <v>0</v>
      </c>
      <c r="M49" s="509">
        <v>0</v>
      </c>
      <c r="N49" s="509">
        <v>0</v>
      </c>
      <c r="O49" s="508">
        <f t="shared" si="30"/>
        <v>0</v>
      </c>
      <c r="P49" s="509">
        <v>0</v>
      </c>
      <c r="Q49" s="509">
        <v>0</v>
      </c>
      <c r="R49" s="509">
        <v>0</v>
      </c>
      <c r="S49" s="509">
        <v>0</v>
      </c>
      <c r="T49" s="509">
        <v>0</v>
      </c>
      <c r="U49" s="509">
        <v>0</v>
      </c>
      <c r="V49" s="509">
        <v>0</v>
      </c>
      <c r="W49" s="509">
        <v>0</v>
      </c>
      <c r="X49" s="509">
        <v>0</v>
      </c>
      <c r="Y49" s="509">
        <v>0</v>
      </c>
      <c r="AB49" s="249"/>
    </row>
    <row r="50" spans="1:28" s="565" customFormat="1" ht="15.75" customHeight="1">
      <c r="A50" s="563">
        <f>A49+10</f>
        <v>370</v>
      </c>
      <c r="B50" s="563" t="s">
        <v>234</v>
      </c>
      <c r="C50" s="564">
        <f t="shared" si="29"/>
        <v>191245213</v>
      </c>
      <c r="D50" s="564">
        <f>SUM(D45:D49)</f>
        <v>139086002</v>
      </c>
      <c r="E50" s="564">
        <f>SUM(E45:E49)</f>
        <v>52159211</v>
      </c>
      <c r="F50" s="564">
        <f t="shared" si="31"/>
        <v>8759761</v>
      </c>
      <c r="G50" s="564">
        <f t="shared" ref="G50:I50" si="32">SUM(G45:G49)</f>
        <v>323538</v>
      </c>
      <c r="H50" s="564">
        <f t="shared" si="32"/>
        <v>1045935</v>
      </c>
      <c r="I50" s="564">
        <f t="shared" si="32"/>
        <v>7390288</v>
      </c>
      <c r="J50" s="564">
        <f t="shared" ref="J50:Y50" si="33">SUM(J45:J49)</f>
        <v>12864</v>
      </c>
      <c r="K50" s="564">
        <f t="shared" si="33"/>
        <v>0</v>
      </c>
      <c r="L50" s="564">
        <f t="shared" si="33"/>
        <v>0</v>
      </c>
      <c r="M50" s="564">
        <f t="shared" si="33"/>
        <v>8916715</v>
      </c>
      <c r="N50" s="564">
        <f t="shared" si="33"/>
        <v>0</v>
      </c>
      <c r="O50" s="564">
        <f t="shared" si="33"/>
        <v>114063720</v>
      </c>
      <c r="P50" s="564">
        <f t="shared" si="33"/>
        <v>34487703</v>
      </c>
      <c r="Q50" s="564">
        <f t="shared" si="33"/>
        <v>79576017</v>
      </c>
      <c r="R50" s="564">
        <f t="shared" si="33"/>
        <v>105032</v>
      </c>
      <c r="S50" s="564">
        <f t="shared" si="33"/>
        <v>0</v>
      </c>
      <c r="T50" s="564">
        <f t="shared" si="33"/>
        <v>0</v>
      </c>
      <c r="U50" s="564">
        <f t="shared" si="33"/>
        <v>0</v>
      </c>
      <c r="V50" s="564">
        <f t="shared" si="33"/>
        <v>56401884</v>
      </c>
      <c r="W50" s="564">
        <f t="shared" si="33"/>
        <v>7089882</v>
      </c>
      <c r="X50" s="564">
        <f t="shared" si="33"/>
        <v>300000</v>
      </c>
      <c r="Y50" s="564">
        <f t="shared" si="33"/>
        <v>4355116</v>
      </c>
      <c r="AA50" s="566"/>
      <c r="AB50" s="567"/>
    </row>
    <row r="51" spans="1:28" s="244" customFormat="1" ht="15.75" customHeight="1">
      <c r="A51" s="511"/>
      <c r="B51" s="504" t="s">
        <v>474</v>
      </c>
      <c r="C51" s="512"/>
      <c r="D51" s="512"/>
      <c r="E51" s="512"/>
      <c r="F51" s="512"/>
      <c r="G51" s="513"/>
      <c r="H51" s="512"/>
      <c r="I51" s="512"/>
      <c r="J51" s="512"/>
      <c r="K51" s="512"/>
      <c r="L51" s="512"/>
      <c r="M51" s="512"/>
      <c r="N51" s="512"/>
      <c r="O51" s="512"/>
      <c r="P51" s="512"/>
      <c r="Q51" s="512"/>
      <c r="R51" s="512"/>
      <c r="S51" s="512"/>
      <c r="T51" s="512"/>
      <c r="U51" s="512"/>
      <c r="V51" s="512"/>
      <c r="W51" s="512"/>
      <c r="X51" s="512"/>
      <c r="Y51" s="512"/>
      <c r="AB51" s="249"/>
    </row>
    <row r="52" spans="1:28" s="244" customFormat="1" ht="15.75" customHeight="1">
      <c r="A52" s="506">
        <v>380</v>
      </c>
      <c r="B52" s="507" t="s">
        <v>662</v>
      </c>
      <c r="C52" s="508">
        <f t="shared" ref="C52:C57" si="34">SUM(J52:Y52)-L52-P52-Q52</f>
        <v>0</v>
      </c>
      <c r="D52" s="509">
        <v>0</v>
      </c>
      <c r="E52" s="509">
        <v>0</v>
      </c>
      <c r="F52" s="508">
        <f t="shared" ref="F52" si="35">+G52+H52+I52</f>
        <v>0</v>
      </c>
      <c r="G52" s="509">
        <v>0</v>
      </c>
      <c r="H52" s="509">
        <v>0</v>
      </c>
      <c r="I52" s="509">
        <v>0</v>
      </c>
      <c r="J52" s="509">
        <v>0</v>
      </c>
      <c r="K52" s="509">
        <v>0</v>
      </c>
      <c r="L52" s="509">
        <v>0</v>
      </c>
      <c r="M52" s="509">
        <v>0</v>
      </c>
      <c r="N52" s="509">
        <v>0</v>
      </c>
      <c r="O52" s="508">
        <f t="shared" ref="O52:O57" si="36">+P52+Q52</f>
        <v>0</v>
      </c>
      <c r="P52" s="509">
        <v>0</v>
      </c>
      <c r="Q52" s="509">
        <v>0</v>
      </c>
      <c r="R52" s="509">
        <v>0</v>
      </c>
      <c r="S52" s="509">
        <v>0</v>
      </c>
      <c r="T52" s="509">
        <v>0</v>
      </c>
      <c r="U52" s="509">
        <v>0</v>
      </c>
      <c r="V52" s="509">
        <v>0</v>
      </c>
      <c r="W52" s="509">
        <v>0</v>
      </c>
      <c r="X52" s="509">
        <v>0</v>
      </c>
      <c r="Y52" s="509">
        <v>0</v>
      </c>
      <c r="AB52" s="249"/>
    </row>
    <row r="53" spans="1:28" s="244" customFormat="1" ht="15.75" customHeight="1">
      <c r="A53" s="510">
        <f t="shared" si="2"/>
        <v>390</v>
      </c>
      <c r="B53" s="507" t="s">
        <v>400</v>
      </c>
      <c r="C53" s="508">
        <f t="shared" si="34"/>
        <v>0</v>
      </c>
      <c r="D53" s="509">
        <v>0</v>
      </c>
      <c r="E53" s="509">
        <v>0</v>
      </c>
      <c r="F53" s="508">
        <f>+G53+H53+I53</f>
        <v>0</v>
      </c>
      <c r="G53" s="509">
        <v>0</v>
      </c>
      <c r="H53" s="509">
        <v>0</v>
      </c>
      <c r="I53" s="509">
        <v>0</v>
      </c>
      <c r="J53" s="509">
        <v>0</v>
      </c>
      <c r="K53" s="509">
        <v>0</v>
      </c>
      <c r="L53" s="509">
        <v>0</v>
      </c>
      <c r="M53" s="509">
        <v>0</v>
      </c>
      <c r="N53" s="509">
        <v>0</v>
      </c>
      <c r="O53" s="508">
        <f t="shared" si="36"/>
        <v>0</v>
      </c>
      <c r="P53" s="509">
        <v>0</v>
      </c>
      <c r="Q53" s="509">
        <v>0</v>
      </c>
      <c r="R53" s="509">
        <v>0</v>
      </c>
      <c r="S53" s="509">
        <v>0</v>
      </c>
      <c r="T53" s="509">
        <v>0</v>
      </c>
      <c r="U53" s="509">
        <v>0</v>
      </c>
      <c r="V53" s="509">
        <v>0</v>
      </c>
      <c r="W53" s="509">
        <v>0</v>
      </c>
      <c r="X53" s="509">
        <v>0</v>
      </c>
      <c r="Y53" s="509">
        <v>0</v>
      </c>
      <c r="AB53" s="249"/>
    </row>
    <row r="54" spans="1:28" s="244" customFormat="1" ht="15.75" customHeight="1">
      <c r="A54" s="510">
        <f t="shared" si="2"/>
        <v>400</v>
      </c>
      <c r="B54" s="507" t="s">
        <v>401</v>
      </c>
      <c r="C54" s="508">
        <f t="shared" si="34"/>
        <v>0</v>
      </c>
      <c r="D54" s="509">
        <v>0</v>
      </c>
      <c r="E54" s="509">
        <v>0</v>
      </c>
      <c r="F54" s="508">
        <f t="shared" ref="F54:F58" si="37">+G54+H54+I54</f>
        <v>0</v>
      </c>
      <c r="G54" s="509">
        <v>0</v>
      </c>
      <c r="H54" s="509">
        <v>0</v>
      </c>
      <c r="I54" s="509">
        <v>0</v>
      </c>
      <c r="J54" s="509">
        <v>0</v>
      </c>
      <c r="K54" s="509">
        <v>0</v>
      </c>
      <c r="L54" s="509">
        <v>0</v>
      </c>
      <c r="M54" s="509">
        <v>0</v>
      </c>
      <c r="N54" s="509">
        <v>0</v>
      </c>
      <c r="O54" s="508">
        <f t="shared" si="36"/>
        <v>0</v>
      </c>
      <c r="P54" s="509">
        <v>0</v>
      </c>
      <c r="Q54" s="509">
        <v>0</v>
      </c>
      <c r="R54" s="509">
        <v>0</v>
      </c>
      <c r="S54" s="509">
        <v>0</v>
      </c>
      <c r="T54" s="509">
        <v>0</v>
      </c>
      <c r="U54" s="509">
        <v>0</v>
      </c>
      <c r="V54" s="509">
        <v>0</v>
      </c>
      <c r="W54" s="509">
        <v>0</v>
      </c>
      <c r="X54" s="509">
        <v>0</v>
      </c>
      <c r="Y54" s="509">
        <v>0</v>
      </c>
      <c r="AB54" s="249"/>
    </row>
    <row r="55" spans="1:28" s="244" customFormat="1" ht="15.75" customHeight="1">
      <c r="A55" s="510">
        <f t="shared" si="2"/>
        <v>410</v>
      </c>
      <c r="B55" s="507" t="s">
        <v>397</v>
      </c>
      <c r="C55" s="508">
        <f t="shared" si="34"/>
        <v>0</v>
      </c>
      <c r="D55" s="509">
        <v>0</v>
      </c>
      <c r="E55" s="509">
        <v>0</v>
      </c>
      <c r="F55" s="508">
        <f t="shared" si="37"/>
        <v>0</v>
      </c>
      <c r="G55" s="509">
        <v>0</v>
      </c>
      <c r="H55" s="509">
        <v>0</v>
      </c>
      <c r="I55" s="509">
        <v>0</v>
      </c>
      <c r="J55" s="509">
        <v>0</v>
      </c>
      <c r="K55" s="509">
        <v>0</v>
      </c>
      <c r="L55" s="509">
        <v>0</v>
      </c>
      <c r="M55" s="509">
        <v>0</v>
      </c>
      <c r="N55" s="509">
        <v>0</v>
      </c>
      <c r="O55" s="508">
        <f t="shared" si="36"/>
        <v>0</v>
      </c>
      <c r="P55" s="509">
        <v>0</v>
      </c>
      <c r="Q55" s="509">
        <v>0</v>
      </c>
      <c r="R55" s="509">
        <v>0</v>
      </c>
      <c r="S55" s="509">
        <v>0</v>
      </c>
      <c r="T55" s="509">
        <v>0</v>
      </c>
      <c r="U55" s="509">
        <v>0</v>
      </c>
      <c r="V55" s="509">
        <v>0</v>
      </c>
      <c r="W55" s="509">
        <v>0</v>
      </c>
      <c r="X55" s="509">
        <v>0</v>
      </c>
      <c r="Y55" s="509">
        <v>0</v>
      </c>
      <c r="AB55" s="249"/>
    </row>
    <row r="56" spans="1:28" s="244" customFormat="1" ht="15.75" customHeight="1">
      <c r="A56" s="510">
        <v>485</v>
      </c>
      <c r="B56" s="507" t="s">
        <v>665</v>
      </c>
      <c r="C56" s="508">
        <f t="shared" ref="C56" si="38">SUM(J56:Y56)-L56-P56-Q56</f>
        <v>573303150</v>
      </c>
      <c r="D56" s="509">
        <v>428684860</v>
      </c>
      <c r="E56" s="509">
        <v>144618290</v>
      </c>
      <c r="F56" s="508">
        <f t="shared" si="37"/>
        <v>29947278</v>
      </c>
      <c r="G56" s="509">
        <v>1464436</v>
      </c>
      <c r="H56" s="509">
        <v>8769317</v>
      </c>
      <c r="I56" s="509">
        <v>19713525</v>
      </c>
      <c r="J56" s="509">
        <v>0</v>
      </c>
      <c r="K56" s="509">
        <v>0</v>
      </c>
      <c r="L56" s="509">
        <v>0</v>
      </c>
      <c r="M56" s="509">
        <v>16632689</v>
      </c>
      <c r="N56" s="509">
        <v>0</v>
      </c>
      <c r="O56" s="508">
        <f t="shared" si="36"/>
        <v>456539723</v>
      </c>
      <c r="P56" s="509">
        <v>76363605</v>
      </c>
      <c r="Q56" s="509">
        <v>380176118</v>
      </c>
      <c r="R56" s="509">
        <v>139080</v>
      </c>
      <c r="S56" s="509">
        <v>0</v>
      </c>
      <c r="T56" s="509">
        <v>0</v>
      </c>
      <c r="U56" s="509">
        <v>0</v>
      </c>
      <c r="V56" s="509">
        <v>27464968</v>
      </c>
      <c r="W56" s="509">
        <v>41148466</v>
      </c>
      <c r="X56" s="509">
        <v>689655</v>
      </c>
      <c r="Y56" s="509">
        <v>30688569</v>
      </c>
      <c r="AB56" s="249"/>
    </row>
    <row r="57" spans="1:28" s="244" customFormat="1" ht="15.75" customHeight="1">
      <c r="A57" s="510">
        <f>A55+10</f>
        <v>420</v>
      </c>
      <c r="B57" s="507" t="s">
        <v>667</v>
      </c>
      <c r="C57" s="508">
        <f t="shared" si="34"/>
        <v>0</v>
      </c>
      <c r="D57" s="509">
        <v>0</v>
      </c>
      <c r="E57" s="509">
        <v>0</v>
      </c>
      <c r="F57" s="508">
        <f t="shared" si="37"/>
        <v>0</v>
      </c>
      <c r="G57" s="509">
        <v>0</v>
      </c>
      <c r="H57" s="509">
        <v>0</v>
      </c>
      <c r="I57" s="509">
        <v>0</v>
      </c>
      <c r="J57" s="509">
        <v>0</v>
      </c>
      <c r="K57" s="509">
        <v>0</v>
      </c>
      <c r="L57" s="509">
        <v>0</v>
      </c>
      <c r="M57" s="509">
        <v>0</v>
      </c>
      <c r="N57" s="509">
        <v>0</v>
      </c>
      <c r="O57" s="508">
        <f t="shared" si="36"/>
        <v>0</v>
      </c>
      <c r="P57" s="509">
        <v>0</v>
      </c>
      <c r="Q57" s="509">
        <v>0</v>
      </c>
      <c r="R57" s="509">
        <v>0</v>
      </c>
      <c r="S57" s="509">
        <v>0</v>
      </c>
      <c r="T57" s="509">
        <v>0</v>
      </c>
      <c r="U57" s="509">
        <v>0</v>
      </c>
      <c r="V57" s="509">
        <v>0</v>
      </c>
      <c r="W57" s="509">
        <v>0</v>
      </c>
      <c r="X57" s="509">
        <v>0</v>
      </c>
      <c r="Y57" s="509">
        <v>0</v>
      </c>
      <c r="AB57" s="249"/>
    </row>
    <row r="58" spans="1:28" s="565" customFormat="1" ht="15.75" customHeight="1">
      <c r="A58" s="563">
        <f>A57+10</f>
        <v>430</v>
      </c>
      <c r="B58" s="563" t="s">
        <v>234</v>
      </c>
      <c r="C58" s="564">
        <f t="shared" ref="C58:C71" si="39">SUM(J58:Y58)-L58-P58-Q58</f>
        <v>573303150</v>
      </c>
      <c r="D58" s="564">
        <f>SUM(D52:D57)</f>
        <v>428684860</v>
      </c>
      <c r="E58" s="564">
        <f>SUM(E52:E57)</f>
        <v>144618290</v>
      </c>
      <c r="F58" s="564">
        <f t="shared" si="37"/>
        <v>29947278</v>
      </c>
      <c r="G58" s="564">
        <f t="shared" ref="G58:I58" si="40">SUM(G53:G57)</f>
        <v>1464436</v>
      </c>
      <c r="H58" s="564">
        <f t="shared" si="40"/>
        <v>8769317</v>
      </c>
      <c r="I58" s="564">
        <f t="shared" si="40"/>
        <v>19713525</v>
      </c>
      <c r="J58" s="564">
        <f t="shared" ref="J58:Y58" si="41">SUM(J52:J57)</f>
        <v>0</v>
      </c>
      <c r="K58" s="564">
        <f t="shared" si="41"/>
        <v>0</v>
      </c>
      <c r="L58" s="564">
        <f t="shared" si="41"/>
        <v>0</v>
      </c>
      <c r="M58" s="564">
        <f t="shared" si="41"/>
        <v>16632689</v>
      </c>
      <c r="N58" s="564">
        <f t="shared" si="41"/>
        <v>0</v>
      </c>
      <c r="O58" s="564">
        <f t="shared" si="41"/>
        <v>456539723</v>
      </c>
      <c r="P58" s="564">
        <f t="shared" si="41"/>
        <v>76363605</v>
      </c>
      <c r="Q58" s="564">
        <f t="shared" si="41"/>
        <v>380176118</v>
      </c>
      <c r="R58" s="564">
        <f t="shared" si="41"/>
        <v>139080</v>
      </c>
      <c r="S58" s="564">
        <f t="shared" si="41"/>
        <v>0</v>
      </c>
      <c r="T58" s="564">
        <f t="shared" si="41"/>
        <v>0</v>
      </c>
      <c r="U58" s="564">
        <f t="shared" si="41"/>
        <v>0</v>
      </c>
      <c r="V58" s="564">
        <f t="shared" si="41"/>
        <v>27464968</v>
      </c>
      <c r="W58" s="564">
        <f t="shared" si="41"/>
        <v>41148466</v>
      </c>
      <c r="X58" s="564">
        <f t="shared" si="41"/>
        <v>689655</v>
      </c>
      <c r="Y58" s="564">
        <f t="shared" si="41"/>
        <v>30688569</v>
      </c>
      <c r="AA58" s="566"/>
      <c r="AB58" s="567"/>
    </row>
    <row r="59" spans="1:28" s="244" customFormat="1" ht="15.75" customHeight="1">
      <c r="A59" s="511"/>
      <c r="B59" s="504" t="s">
        <v>475</v>
      </c>
      <c r="C59" s="512"/>
      <c r="D59" s="515"/>
      <c r="E59" s="515"/>
      <c r="F59" s="512"/>
      <c r="G59" s="516"/>
      <c r="H59" s="515"/>
      <c r="I59" s="515"/>
      <c r="J59" s="515"/>
      <c r="K59" s="515"/>
      <c r="L59" s="515"/>
      <c r="M59" s="515"/>
      <c r="N59" s="515"/>
      <c r="O59" s="512"/>
      <c r="P59" s="515"/>
      <c r="Q59" s="515"/>
      <c r="R59" s="515"/>
      <c r="S59" s="515"/>
      <c r="T59" s="515"/>
      <c r="U59" s="515"/>
      <c r="V59" s="515"/>
      <c r="W59" s="515"/>
      <c r="X59" s="515"/>
      <c r="Y59" s="515"/>
      <c r="AB59" s="249"/>
    </row>
    <row r="60" spans="1:28" s="244" customFormat="1" ht="15.75" customHeight="1">
      <c r="A60" s="506">
        <v>440</v>
      </c>
      <c r="B60" s="507" t="s">
        <v>662</v>
      </c>
      <c r="C60" s="508">
        <f t="shared" si="39"/>
        <v>0</v>
      </c>
      <c r="D60" s="509">
        <v>0</v>
      </c>
      <c r="E60" s="509">
        <v>0</v>
      </c>
      <c r="F60" s="508">
        <f t="shared" ref="F60:F65" si="42">+G60+H60+I60</f>
        <v>0</v>
      </c>
      <c r="G60" s="509">
        <v>0</v>
      </c>
      <c r="H60" s="509">
        <v>0</v>
      </c>
      <c r="I60" s="509">
        <v>0</v>
      </c>
      <c r="J60" s="509">
        <v>0</v>
      </c>
      <c r="K60" s="509">
        <v>0</v>
      </c>
      <c r="L60" s="509">
        <v>0</v>
      </c>
      <c r="M60" s="509">
        <v>0</v>
      </c>
      <c r="N60" s="509">
        <v>0</v>
      </c>
      <c r="O60" s="508">
        <f t="shared" ref="O60:O71" si="43">+P60+Q60</f>
        <v>0</v>
      </c>
      <c r="P60" s="509">
        <v>0</v>
      </c>
      <c r="Q60" s="509">
        <v>0</v>
      </c>
      <c r="R60" s="509">
        <v>0</v>
      </c>
      <c r="S60" s="509">
        <v>0</v>
      </c>
      <c r="T60" s="509">
        <v>0</v>
      </c>
      <c r="U60" s="509">
        <v>0</v>
      </c>
      <c r="V60" s="509">
        <v>0</v>
      </c>
      <c r="W60" s="509">
        <v>0</v>
      </c>
      <c r="X60" s="509">
        <v>0</v>
      </c>
      <c r="Y60" s="509">
        <v>0</v>
      </c>
      <c r="AB60" s="249"/>
    </row>
    <row r="61" spans="1:28" s="244" customFormat="1" ht="15.75" customHeight="1">
      <c r="A61" s="510">
        <f t="shared" si="2"/>
        <v>450</v>
      </c>
      <c r="B61" s="507" t="s">
        <v>400</v>
      </c>
      <c r="C61" s="508">
        <f t="shared" si="39"/>
        <v>0</v>
      </c>
      <c r="D61" s="509">
        <v>0</v>
      </c>
      <c r="E61" s="509">
        <v>0</v>
      </c>
      <c r="F61" s="508">
        <f t="shared" si="42"/>
        <v>0</v>
      </c>
      <c r="G61" s="509">
        <v>0</v>
      </c>
      <c r="H61" s="509">
        <v>0</v>
      </c>
      <c r="I61" s="509">
        <v>0</v>
      </c>
      <c r="J61" s="509">
        <v>0</v>
      </c>
      <c r="K61" s="509">
        <v>0</v>
      </c>
      <c r="L61" s="509">
        <v>0</v>
      </c>
      <c r="M61" s="509">
        <v>0</v>
      </c>
      <c r="N61" s="509">
        <v>0</v>
      </c>
      <c r="O61" s="508">
        <f t="shared" si="43"/>
        <v>0</v>
      </c>
      <c r="P61" s="509">
        <v>0</v>
      </c>
      <c r="Q61" s="509">
        <v>0</v>
      </c>
      <c r="R61" s="509">
        <v>0</v>
      </c>
      <c r="S61" s="509">
        <v>0</v>
      </c>
      <c r="T61" s="509">
        <v>0</v>
      </c>
      <c r="U61" s="509">
        <v>0</v>
      </c>
      <c r="V61" s="509">
        <v>0</v>
      </c>
      <c r="W61" s="509">
        <v>0</v>
      </c>
      <c r="X61" s="509">
        <v>0</v>
      </c>
      <c r="Y61" s="509">
        <v>0</v>
      </c>
      <c r="AB61" s="249"/>
    </row>
    <row r="62" spans="1:28" s="244" customFormat="1" ht="15.75" customHeight="1">
      <c r="A62" s="510">
        <f t="shared" si="2"/>
        <v>460</v>
      </c>
      <c r="B62" s="507" t="s">
        <v>401</v>
      </c>
      <c r="C62" s="508">
        <f t="shared" si="39"/>
        <v>544269</v>
      </c>
      <c r="D62" s="509">
        <v>544269</v>
      </c>
      <c r="E62" s="509">
        <v>0</v>
      </c>
      <c r="F62" s="508">
        <f t="shared" si="42"/>
        <v>0</v>
      </c>
      <c r="G62" s="509">
        <v>0</v>
      </c>
      <c r="H62" s="509">
        <v>0</v>
      </c>
      <c r="I62" s="509">
        <v>0</v>
      </c>
      <c r="J62" s="509">
        <v>0</v>
      </c>
      <c r="K62" s="509">
        <v>0</v>
      </c>
      <c r="L62" s="509">
        <v>0</v>
      </c>
      <c r="M62" s="509">
        <v>0</v>
      </c>
      <c r="N62" s="509">
        <v>0</v>
      </c>
      <c r="O62" s="508">
        <f t="shared" si="43"/>
        <v>525570</v>
      </c>
      <c r="P62" s="509">
        <v>0</v>
      </c>
      <c r="Q62" s="509">
        <v>525570</v>
      </c>
      <c r="R62" s="509">
        <v>0</v>
      </c>
      <c r="S62" s="509">
        <v>0</v>
      </c>
      <c r="T62" s="509">
        <v>0</v>
      </c>
      <c r="U62" s="509">
        <v>0</v>
      </c>
      <c r="V62" s="509">
        <v>18699</v>
      </c>
      <c r="W62" s="509">
        <v>0</v>
      </c>
      <c r="X62" s="509">
        <v>0</v>
      </c>
      <c r="Y62" s="509">
        <v>0</v>
      </c>
      <c r="AB62" s="249"/>
    </row>
    <row r="63" spans="1:28" s="244" customFormat="1" ht="15.75" customHeight="1">
      <c r="A63" s="510">
        <f t="shared" si="2"/>
        <v>470</v>
      </c>
      <c r="B63" s="507" t="s">
        <v>659</v>
      </c>
      <c r="C63" s="508">
        <f t="shared" si="39"/>
        <v>0</v>
      </c>
      <c r="D63" s="509">
        <v>0</v>
      </c>
      <c r="E63" s="509">
        <v>0</v>
      </c>
      <c r="F63" s="508">
        <f t="shared" si="42"/>
        <v>0</v>
      </c>
      <c r="G63" s="509">
        <v>0</v>
      </c>
      <c r="H63" s="509">
        <v>0</v>
      </c>
      <c r="I63" s="509">
        <v>0</v>
      </c>
      <c r="J63" s="509">
        <v>0</v>
      </c>
      <c r="K63" s="509">
        <v>0</v>
      </c>
      <c r="L63" s="509">
        <v>0</v>
      </c>
      <c r="M63" s="509">
        <v>0</v>
      </c>
      <c r="N63" s="509">
        <v>0</v>
      </c>
      <c r="O63" s="508">
        <f t="shared" si="43"/>
        <v>0</v>
      </c>
      <c r="P63" s="509">
        <v>0</v>
      </c>
      <c r="Q63" s="509">
        <v>0</v>
      </c>
      <c r="R63" s="509">
        <v>0</v>
      </c>
      <c r="S63" s="509">
        <v>0</v>
      </c>
      <c r="T63" s="509">
        <v>0</v>
      </c>
      <c r="U63" s="509">
        <v>0</v>
      </c>
      <c r="V63" s="509">
        <v>0</v>
      </c>
      <c r="W63" s="509">
        <v>0</v>
      </c>
      <c r="X63" s="509">
        <v>0</v>
      </c>
      <c r="Y63" s="509">
        <v>0</v>
      </c>
      <c r="AB63" s="249"/>
    </row>
    <row r="64" spans="1:28" s="244" customFormat="1" ht="15.75" customHeight="1">
      <c r="A64" s="510">
        <f t="shared" si="2"/>
        <v>480</v>
      </c>
      <c r="B64" s="507" t="s">
        <v>661</v>
      </c>
      <c r="C64" s="508">
        <f t="shared" si="39"/>
        <v>0</v>
      </c>
      <c r="D64" s="509">
        <v>0</v>
      </c>
      <c r="E64" s="509">
        <v>0</v>
      </c>
      <c r="F64" s="508">
        <f t="shared" si="42"/>
        <v>0</v>
      </c>
      <c r="G64" s="509">
        <v>0</v>
      </c>
      <c r="H64" s="509">
        <v>0</v>
      </c>
      <c r="I64" s="509">
        <v>0</v>
      </c>
      <c r="J64" s="509">
        <v>0</v>
      </c>
      <c r="K64" s="509">
        <v>0</v>
      </c>
      <c r="L64" s="509">
        <v>0</v>
      </c>
      <c r="M64" s="509">
        <v>0</v>
      </c>
      <c r="N64" s="509">
        <v>0</v>
      </c>
      <c r="O64" s="508">
        <f t="shared" si="43"/>
        <v>0</v>
      </c>
      <c r="P64" s="509">
        <v>0</v>
      </c>
      <c r="Q64" s="509">
        <v>0</v>
      </c>
      <c r="R64" s="509">
        <v>0</v>
      </c>
      <c r="S64" s="509">
        <v>0</v>
      </c>
      <c r="T64" s="509">
        <v>0</v>
      </c>
      <c r="U64" s="509">
        <v>0</v>
      </c>
      <c r="V64" s="509">
        <v>0</v>
      </c>
      <c r="W64" s="509">
        <v>0</v>
      </c>
      <c r="X64" s="509">
        <v>0</v>
      </c>
      <c r="Y64" s="509">
        <v>0</v>
      </c>
      <c r="AB64" s="249"/>
    </row>
    <row r="65" spans="1:28" s="244" customFormat="1" ht="15.75" customHeight="1">
      <c r="A65" s="510">
        <f t="shared" si="2"/>
        <v>490</v>
      </c>
      <c r="B65" s="507" t="s">
        <v>397</v>
      </c>
      <c r="C65" s="508">
        <f t="shared" si="39"/>
        <v>0</v>
      </c>
      <c r="D65" s="509">
        <v>0</v>
      </c>
      <c r="E65" s="509">
        <v>0</v>
      </c>
      <c r="F65" s="508">
        <f t="shared" si="42"/>
        <v>0</v>
      </c>
      <c r="G65" s="509">
        <v>0</v>
      </c>
      <c r="H65" s="509">
        <v>0</v>
      </c>
      <c r="I65" s="509">
        <v>0</v>
      </c>
      <c r="J65" s="509">
        <v>0</v>
      </c>
      <c r="K65" s="509">
        <v>0</v>
      </c>
      <c r="L65" s="509">
        <v>0</v>
      </c>
      <c r="M65" s="509">
        <v>0</v>
      </c>
      <c r="N65" s="509">
        <v>0</v>
      </c>
      <c r="O65" s="508">
        <f t="shared" si="43"/>
        <v>0</v>
      </c>
      <c r="P65" s="509">
        <v>0</v>
      </c>
      <c r="Q65" s="509">
        <v>0</v>
      </c>
      <c r="R65" s="509">
        <v>0</v>
      </c>
      <c r="S65" s="509">
        <v>0</v>
      </c>
      <c r="T65" s="509">
        <v>0</v>
      </c>
      <c r="U65" s="509">
        <v>0</v>
      </c>
      <c r="V65" s="509">
        <v>0</v>
      </c>
      <c r="W65" s="509">
        <v>0</v>
      </c>
      <c r="X65" s="509">
        <v>0</v>
      </c>
      <c r="Y65" s="509">
        <v>0</v>
      </c>
      <c r="AB65" s="249"/>
    </row>
    <row r="66" spans="1:28" s="244" customFormat="1" ht="15.75" customHeight="1">
      <c r="A66" s="510">
        <f t="shared" si="2"/>
        <v>500</v>
      </c>
      <c r="B66" s="507" t="s">
        <v>709</v>
      </c>
      <c r="C66" s="508">
        <f t="shared" si="39"/>
        <v>0</v>
      </c>
      <c r="D66" s="509">
        <v>0</v>
      </c>
      <c r="E66" s="509">
        <v>0</v>
      </c>
      <c r="F66" s="508">
        <f t="shared" ref="F66:F71" si="44">+G66+H66+I66</f>
        <v>0</v>
      </c>
      <c r="G66" s="509">
        <v>0</v>
      </c>
      <c r="H66" s="509">
        <v>0</v>
      </c>
      <c r="I66" s="509">
        <v>0</v>
      </c>
      <c r="J66" s="509">
        <v>0</v>
      </c>
      <c r="K66" s="509">
        <v>0</v>
      </c>
      <c r="L66" s="509">
        <v>0</v>
      </c>
      <c r="M66" s="509">
        <v>0</v>
      </c>
      <c r="N66" s="509">
        <v>0</v>
      </c>
      <c r="O66" s="508">
        <f t="shared" si="43"/>
        <v>0</v>
      </c>
      <c r="P66" s="509">
        <v>0</v>
      </c>
      <c r="Q66" s="509">
        <v>0</v>
      </c>
      <c r="R66" s="509">
        <v>0</v>
      </c>
      <c r="S66" s="509">
        <v>0</v>
      </c>
      <c r="T66" s="509">
        <v>0</v>
      </c>
      <c r="U66" s="509">
        <v>0</v>
      </c>
      <c r="V66" s="509">
        <v>0</v>
      </c>
      <c r="W66" s="509">
        <v>0</v>
      </c>
      <c r="X66" s="509">
        <v>0</v>
      </c>
      <c r="Y66" s="509">
        <v>0</v>
      </c>
      <c r="AB66" s="249"/>
    </row>
    <row r="67" spans="1:28" s="244" customFormat="1" ht="15.75" customHeight="1">
      <c r="A67" s="510">
        <f t="shared" ref="A67:A85" si="45">A66+10</f>
        <v>510</v>
      </c>
      <c r="B67" s="507" t="s">
        <v>665</v>
      </c>
      <c r="C67" s="508">
        <f t="shared" si="39"/>
        <v>3614589</v>
      </c>
      <c r="D67" s="509">
        <v>2778742</v>
      </c>
      <c r="E67" s="509">
        <v>835847</v>
      </c>
      <c r="F67" s="508">
        <f t="shared" si="44"/>
        <v>3575326</v>
      </c>
      <c r="G67" s="509">
        <v>0</v>
      </c>
      <c r="H67" s="509">
        <v>0</v>
      </c>
      <c r="I67" s="509">
        <v>3575326</v>
      </c>
      <c r="J67" s="509">
        <v>0</v>
      </c>
      <c r="K67" s="509">
        <v>0</v>
      </c>
      <c r="L67" s="509">
        <v>0</v>
      </c>
      <c r="M67" s="509">
        <v>24000</v>
      </c>
      <c r="N67" s="509">
        <v>0</v>
      </c>
      <c r="O67" s="508">
        <f t="shared" si="43"/>
        <v>3575325</v>
      </c>
      <c r="P67" s="509">
        <v>2739482</v>
      </c>
      <c r="Q67" s="509">
        <v>835843</v>
      </c>
      <c r="R67" s="509">
        <v>0</v>
      </c>
      <c r="S67" s="509">
        <v>0</v>
      </c>
      <c r="T67" s="509">
        <v>0</v>
      </c>
      <c r="U67" s="509">
        <v>0</v>
      </c>
      <c r="V67" s="509">
        <v>10345</v>
      </c>
      <c r="W67" s="509">
        <v>4919</v>
      </c>
      <c r="X67" s="509">
        <v>0</v>
      </c>
      <c r="Y67" s="509">
        <v>0</v>
      </c>
      <c r="AB67" s="249"/>
    </row>
    <row r="68" spans="1:28" s="244" customFormat="1" ht="15.75" customHeight="1">
      <c r="A68" s="510">
        <f t="shared" si="45"/>
        <v>520</v>
      </c>
      <c r="B68" s="507" t="s">
        <v>666</v>
      </c>
      <c r="C68" s="508">
        <f t="shared" si="39"/>
        <v>0</v>
      </c>
      <c r="D68" s="509">
        <v>0</v>
      </c>
      <c r="E68" s="509">
        <v>0</v>
      </c>
      <c r="F68" s="508">
        <f t="shared" si="44"/>
        <v>0</v>
      </c>
      <c r="G68" s="509">
        <v>0</v>
      </c>
      <c r="H68" s="509">
        <v>0</v>
      </c>
      <c r="I68" s="509">
        <v>0</v>
      </c>
      <c r="J68" s="509">
        <v>0</v>
      </c>
      <c r="K68" s="509">
        <v>0</v>
      </c>
      <c r="L68" s="509">
        <v>0</v>
      </c>
      <c r="M68" s="509">
        <v>0</v>
      </c>
      <c r="N68" s="509">
        <v>0</v>
      </c>
      <c r="O68" s="508">
        <f t="shared" si="43"/>
        <v>0</v>
      </c>
      <c r="P68" s="509">
        <v>0</v>
      </c>
      <c r="Q68" s="509">
        <v>0</v>
      </c>
      <c r="R68" s="509">
        <v>0</v>
      </c>
      <c r="S68" s="509">
        <v>0</v>
      </c>
      <c r="T68" s="509">
        <v>0</v>
      </c>
      <c r="U68" s="509">
        <v>0</v>
      </c>
      <c r="V68" s="509">
        <v>0</v>
      </c>
      <c r="W68" s="509">
        <v>0</v>
      </c>
      <c r="X68" s="509">
        <v>0</v>
      </c>
      <c r="Y68" s="509">
        <v>0</v>
      </c>
      <c r="AB68" s="249"/>
    </row>
    <row r="69" spans="1:28" s="244" customFormat="1" ht="15.75" customHeight="1">
      <c r="A69" s="510">
        <f>A68+10</f>
        <v>530</v>
      </c>
      <c r="B69" s="507" t="s">
        <v>667</v>
      </c>
      <c r="C69" s="508">
        <f t="shared" si="39"/>
        <v>0</v>
      </c>
      <c r="D69" s="509">
        <v>0</v>
      </c>
      <c r="E69" s="509">
        <v>0</v>
      </c>
      <c r="F69" s="508">
        <f t="shared" si="44"/>
        <v>0</v>
      </c>
      <c r="G69" s="509">
        <v>0</v>
      </c>
      <c r="H69" s="509">
        <v>0</v>
      </c>
      <c r="I69" s="509">
        <v>0</v>
      </c>
      <c r="J69" s="509">
        <v>0</v>
      </c>
      <c r="K69" s="509">
        <v>0</v>
      </c>
      <c r="L69" s="509">
        <v>0</v>
      </c>
      <c r="M69" s="509">
        <v>0</v>
      </c>
      <c r="N69" s="509">
        <v>0</v>
      </c>
      <c r="O69" s="508">
        <f t="shared" si="43"/>
        <v>0</v>
      </c>
      <c r="P69" s="509">
        <v>0</v>
      </c>
      <c r="Q69" s="509">
        <v>0</v>
      </c>
      <c r="R69" s="509">
        <v>0</v>
      </c>
      <c r="S69" s="509">
        <v>0</v>
      </c>
      <c r="T69" s="509">
        <v>0</v>
      </c>
      <c r="U69" s="509">
        <v>0</v>
      </c>
      <c r="V69" s="509">
        <v>0</v>
      </c>
      <c r="W69" s="509">
        <v>0</v>
      </c>
      <c r="X69" s="509">
        <v>0</v>
      </c>
      <c r="Y69" s="509">
        <v>0</v>
      </c>
      <c r="AB69" s="249"/>
    </row>
    <row r="70" spans="1:28" s="565" customFormat="1" ht="15.75" customHeight="1">
      <c r="A70" s="563">
        <f>A69+10</f>
        <v>540</v>
      </c>
      <c r="B70" s="563" t="s">
        <v>234</v>
      </c>
      <c r="C70" s="564">
        <f t="shared" si="39"/>
        <v>4158858</v>
      </c>
      <c r="D70" s="564">
        <f>SUM(D60:D69)</f>
        <v>3323011</v>
      </c>
      <c r="E70" s="564">
        <f>SUM(E60:E69)</f>
        <v>835847</v>
      </c>
      <c r="F70" s="564">
        <f t="shared" si="44"/>
        <v>3575326</v>
      </c>
      <c r="G70" s="564">
        <f>SUM(G60:G69)</f>
        <v>0</v>
      </c>
      <c r="H70" s="564">
        <f>SUM(H60:H69)</f>
        <v>0</v>
      </c>
      <c r="I70" s="564">
        <f>SUM(I60:I69)</f>
        <v>3575326</v>
      </c>
      <c r="J70" s="564">
        <f t="shared" ref="J70:Y70" si="46">SUM(J60:J69)</f>
        <v>0</v>
      </c>
      <c r="K70" s="564">
        <f t="shared" si="46"/>
        <v>0</v>
      </c>
      <c r="L70" s="564">
        <f t="shared" si="46"/>
        <v>0</v>
      </c>
      <c r="M70" s="564">
        <f t="shared" si="46"/>
        <v>24000</v>
      </c>
      <c r="N70" s="564">
        <f t="shared" si="46"/>
        <v>0</v>
      </c>
      <c r="O70" s="564">
        <f t="shared" si="46"/>
        <v>4100895</v>
      </c>
      <c r="P70" s="564">
        <f t="shared" si="46"/>
        <v>2739482</v>
      </c>
      <c r="Q70" s="564">
        <f t="shared" si="46"/>
        <v>1361413</v>
      </c>
      <c r="R70" s="564">
        <f t="shared" si="46"/>
        <v>0</v>
      </c>
      <c r="S70" s="564">
        <f t="shared" si="46"/>
        <v>0</v>
      </c>
      <c r="T70" s="564">
        <f t="shared" si="46"/>
        <v>0</v>
      </c>
      <c r="U70" s="564">
        <f t="shared" si="46"/>
        <v>0</v>
      </c>
      <c r="V70" s="564">
        <f t="shared" si="46"/>
        <v>29044</v>
      </c>
      <c r="W70" s="564">
        <f t="shared" si="46"/>
        <v>4919</v>
      </c>
      <c r="X70" s="564">
        <f t="shared" si="46"/>
        <v>0</v>
      </c>
      <c r="Y70" s="564">
        <f t="shared" si="46"/>
        <v>0</v>
      </c>
      <c r="AA70" s="566"/>
      <c r="AB70" s="567"/>
    </row>
    <row r="71" spans="1:28" s="244" customFormat="1" ht="17.25" customHeight="1">
      <c r="A71" s="506">
        <v>550</v>
      </c>
      <c r="B71" s="517" t="s">
        <v>707</v>
      </c>
      <c r="C71" s="508">
        <f t="shared" si="39"/>
        <v>5341704946</v>
      </c>
      <c r="D71" s="509">
        <v>5341704946</v>
      </c>
      <c r="E71" s="509">
        <v>0</v>
      </c>
      <c r="F71" s="508">
        <f t="shared" si="44"/>
        <v>408511135</v>
      </c>
      <c r="G71" s="509">
        <v>88775127</v>
      </c>
      <c r="H71" s="509">
        <v>195192536</v>
      </c>
      <c r="I71" s="509">
        <v>124543472</v>
      </c>
      <c r="J71" s="509">
        <v>126745</v>
      </c>
      <c r="K71" s="509">
        <v>0</v>
      </c>
      <c r="L71" s="509">
        <v>0</v>
      </c>
      <c r="M71" s="509">
        <v>112250668</v>
      </c>
      <c r="N71" s="509">
        <v>0</v>
      </c>
      <c r="O71" s="508">
        <f t="shared" si="43"/>
        <v>861184722</v>
      </c>
      <c r="P71" s="509">
        <v>828832135</v>
      </c>
      <c r="Q71" s="509">
        <v>32352587</v>
      </c>
      <c r="R71" s="509">
        <v>0</v>
      </c>
      <c r="S71" s="509">
        <v>0</v>
      </c>
      <c r="T71" s="509">
        <v>0</v>
      </c>
      <c r="U71" s="509">
        <v>0</v>
      </c>
      <c r="V71" s="509">
        <v>822796215</v>
      </c>
      <c r="W71" s="509">
        <v>3416621702</v>
      </c>
      <c r="X71" s="509">
        <v>120645616</v>
      </c>
      <c r="Y71" s="509">
        <v>8079278</v>
      </c>
    </row>
    <row r="72" spans="1:28" s="244" customFormat="1" ht="15.75" customHeight="1">
      <c r="A72" s="511"/>
      <c r="B72" s="504" t="s">
        <v>708</v>
      </c>
      <c r="C72" s="512"/>
      <c r="D72" s="512"/>
      <c r="E72" s="512"/>
      <c r="F72" s="512"/>
      <c r="G72" s="513"/>
      <c r="H72" s="512"/>
      <c r="I72" s="512"/>
      <c r="J72" s="512"/>
      <c r="K72" s="512"/>
      <c r="L72" s="512"/>
      <c r="M72" s="512"/>
      <c r="N72" s="512"/>
      <c r="O72" s="512"/>
      <c r="P72" s="512"/>
      <c r="Q72" s="512"/>
      <c r="R72" s="512"/>
      <c r="S72" s="512"/>
      <c r="T72" s="512"/>
      <c r="U72" s="512"/>
      <c r="V72" s="512"/>
      <c r="W72" s="512"/>
      <c r="X72" s="512"/>
      <c r="Y72" s="512"/>
      <c r="AB72" s="249"/>
    </row>
    <row r="73" spans="1:28" s="244" customFormat="1" ht="15.75" customHeight="1">
      <c r="A73" s="506">
        <f>A71+10</f>
        <v>560</v>
      </c>
      <c r="B73" s="507" t="s">
        <v>398</v>
      </c>
      <c r="C73" s="508">
        <f t="shared" ref="C73:C85" si="47">SUM(J73:Y73)-L73-P73-Q73</f>
        <v>5341704946</v>
      </c>
      <c r="D73" s="508">
        <f t="shared" ref="D73:Y73" si="48">+D71</f>
        <v>5341704946</v>
      </c>
      <c r="E73" s="508">
        <f t="shared" ref="E73" si="49">+E71</f>
        <v>0</v>
      </c>
      <c r="F73" s="508">
        <f t="shared" si="48"/>
        <v>408511135</v>
      </c>
      <c r="G73" s="508">
        <f t="shared" ref="G73" si="50">+G71</f>
        <v>88775127</v>
      </c>
      <c r="H73" s="508">
        <f t="shared" si="48"/>
        <v>195192536</v>
      </c>
      <c r="I73" s="508">
        <f t="shared" si="48"/>
        <v>124543472</v>
      </c>
      <c r="J73" s="508">
        <f t="shared" si="48"/>
        <v>126745</v>
      </c>
      <c r="K73" s="508">
        <f t="shared" si="48"/>
        <v>0</v>
      </c>
      <c r="L73" s="508">
        <f t="shared" si="48"/>
        <v>0</v>
      </c>
      <c r="M73" s="508">
        <f t="shared" si="48"/>
        <v>112250668</v>
      </c>
      <c r="N73" s="508">
        <f t="shared" si="48"/>
        <v>0</v>
      </c>
      <c r="O73" s="508">
        <f t="shared" si="48"/>
        <v>861184722</v>
      </c>
      <c r="P73" s="508">
        <f t="shared" si="48"/>
        <v>828832135</v>
      </c>
      <c r="Q73" s="508">
        <f t="shared" si="48"/>
        <v>32352587</v>
      </c>
      <c r="R73" s="508">
        <f t="shared" si="48"/>
        <v>0</v>
      </c>
      <c r="S73" s="508">
        <f t="shared" si="48"/>
        <v>0</v>
      </c>
      <c r="T73" s="508">
        <f t="shared" si="48"/>
        <v>0</v>
      </c>
      <c r="U73" s="508">
        <f t="shared" si="48"/>
        <v>0</v>
      </c>
      <c r="V73" s="508">
        <f t="shared" si="48"/>
        <v>822796215</v>
      </c>
      <c r="W73" s="508">
        <f t="shared" si="48"/>
        <v>3416621702</v>
      </c>
      <c r="X73" s="508">
        <f t="shared" si="48"/>
        <v>120645616</v>
      </c>
      <c r="Y73" s="508">
        <f t="shared" si="48"/>
        <v>8079278</v>
      </c>
      <c r="AB73" s="249"/>
    </row>
    <row r="74" spans="1:28" s="244" customFormat="1" ht="15.75" customHeight="1">
      <c r="A74" s="506">
        <f t="shared" si="45"/>
        <v>570</v>
      </c>
      <c r="B74" s="507" t="s">
        <v>662</v>
      </c>
      <c r="C74" s="508">
        <f t="shared" si="47"/>
        <v>1199739271</v>
      </c>
      <c r="D74" s="508">
        <f t="shared" ref="D74:F76" si="51">D9+D16+D24+D31+D38+D45+D52+D60</f>
        <v>1085070295</v>
      </c>
      <c r="E74" s="508">
        <f t="shared" si="51"/>
        <v>114668976</v>
      </c>
      <c r="F74" s="508">
        <f t="shared" si="51"/>
        <v>40579463</v>
      </c>
      <c r="G74" s="508">
        <f t="shared" ref="G74" si="52">G9+G16+G24+G31+G38+G45+G52+G60</f>
        <v>1280431</v>
      </c>
      <c r="H74" s="508">
        <f t="shared" ref="H74:Y74" si="53">H9+H16+H24+H31+H38+H45+H52+H60</f>
        <v>3115876</v>
      </c>
      <c r="I74" s="508">
        <f t="shared" si="53"/>
        <v>36183156</v>
      </c>
      <c r="J74" s="508">
        <f t="shared" si="53"/>
        <v>0</v>
      </c>
      <c r="K74" s="508">
        <f t="shared" si="53"/>
        <v>0</v>
      </c>
      <c r="L74" s="508">
        <f t="shared" si="53"/>
        <v>0</v>
      </c>
      <c r="M74" s="508">
        <f t="shared" si="53"/>
        <v>18490715</v>
      </c>
      <c r="N74" s="508">
        <f t="shared" si="53"/>
        <v>0</v>
      </c>
      <c r="O74" s="508">
        <f t="shared" si="53"/>
        <v>908967817</v>
      </c>
      <c r="P74" s="508">
        <f t="shared" si="53"/>
        <v>59362705</v>
      </c>
      <c r="Q74" s="508">
        <f t="shared" si="53"/>
        <v>849605112</v>
      </c>
      <c r="R74" s="508">
        <f t="shared" si="53"/>
        <v>180563</v>
      </c>
      <c r="S74" s="508">
        <f t="shared" si="53"/>
        <v>0</v>
      </c>
      <c r="T74" s="508">
        <f t="shared" si="53"/>
        <v>0</v>
      </c>
      <c r="U74" s="508">
        <f t="shared" si="53"/>
        <v>0</v>
      </c>
      <c r="V74" s="508">
        <f t="shared" si="53"/>
        <v>27056433</v>
      </c>
      <c r="W74" s="508">
        <f t="shared" si="53"/>
        <v>240263590</v>
      </c>
      <c r="X74" s="508">
        <f t="shared" si="53"/>
        <v>4780153</v>
      </c>
      <c r="Y74" s="508">
        <f t="shared" si="53"/>
        <v>0</v>
      </c>
      <c r="AB74" s="249"/>
    </row>
    <row r="75" spans="1:28" s="244" customFormat="1" ht="15.75" customHeight="1">
      <c r="A75" s="510">
        <f t="shared" si="45"/>
        <v>580</v>
      </c>
      <c r="B75" s="507" t="s">
        <v>400</v>
      </c>
      <c r="C75" s="508">
        <f t="shared" si="47"/>
        <v>0</v>
      </c>
      <c r="D75" s="508">
        <f t="shared" si="51"/>
        <v>0</v>
      </c>
      <c r="E75" s="508">
        <f t="shared" si="51"/>
        <v>0</v>
      </c>
      <c r="F75" s="508">
        <f t="shared" si="51"/>
        <v>0</v>
      </c>
      <c r="G75" s="508">
        <f t="shared" ref="G75" si="54">G10+G17+G25+G32+G39+G46+G53+G61</f>
        <v>0</v>
      </c>
      <c r="H75" s="508">
        <f t="shared" ref="H75:Y75" si="55">H10+H17+H25+H32+H39+H46+H53+H61</f>
        <v>0</v>
      </c>
      <c r="I75" s="508">
        <f t="shared" si="55"/>
        <v>0</v>
      </c>
      <c r="J75" s="508">
        <f t="shared" si="55"/>
        <v>0</v>
      </c>
      <c r="K75" s="508">
        <f t="shared" si="55"/>
        <v>0</v>
      </c>
      <c r="L75" s="508">
        <f t="shared" si="55"/>
        <v>0</v>
      </c>
      <c r="M75" s="508">
        <f t="shared" si="55"/>
        <v>0</v>
      </c>
      <c r="N75" s="508">
        <f t="shared" si="55"/>
        <v>0</v>
      </c>
      <c r="O75" s="508">
        <f t="shared" si="55"/>
        <v>0</v>
      </c>
      <c r="P75" s="508">
        <f t="shared" si="55"/>
        <v>0</v>
      </c>
      <c r="Q75" s="508">
        <f t="shared" si="55"/>
        <v>0</v>
      </c>
      <c r="R75" s="508">
        <f t="shared" si="55"/>
        <v>0</v>
      </c>
      <c r="S75" s="508">
        <f t="shared" si="55"/>
        <v>0</v>
      </c>
      <c r="T75" s="508">
        <f t="shared" si="55"/>
        <v>0</v>
      </c>
      <c r="U75" s="508">
        <f t="shared" si="55"/>
        <v>0</v>
      </c>
      <c r="V75" s="508">
        <f t="shared" si="55"/>
        <v>0</v>
      </c>
      <c r="W75" s="508">
        <f t="shared" si="55"/>
        <v>0</v>
      </c>
      <c r="X75" s="508">
        <f t="shared" si="55"/>
        <v>0</v>
      </c>
      <c r="Y75" s="508">
        <f t="shared" si="55"/>
        <v>0</v>
      </c>
      <c r="AB75" s="249"/>
    </row>
    <row r="76" spans="1:28" s="244" customFormat="1" ht="15.75" customHeight="1">
      <c r="A76" s="510">
        <f t="shared" si="45"/>
        <v>590</v>
      </c>
      <c r="B76" s="507" t="s">
        <v>401</v>
      </c>
      <c r="C76" s="508">
        <f t="shared" si="47"/>
        <v>5278406950</v>
      </c>
      <c r="D76" s="508">
        <f t="shared" si="51"/>
        <v>2684585542</v>
      </c>
      <c r="E76" s="508">
        <f t="shared" si="51"/>
        <v>2593821408</v>
      </c>
      <c r="F76" s="508">
        <f t="shared" si="51"/>
        <v>236656564</v>
      </c>
      <c r="G76" s="508">
        <f t="shared" ref="G76" si="56">G11+G18+G26+G33+G40+G47+G54+G62</f>
        <v>9364089</v>
      </c>
      <c r="H76" s="508">
        <f t="shared" ref="H76:Y76" si="57">H11+H18+H26+H33+H40+H47+H54+H62</f>
        <v>17172757</v>
      </c>
      <c r="I76" s="508">
        <f t="shared" si="57"/>
        <v>210119718</v>
      </c>
      <c r="J76" s="508">
        <f t="shared" si="57"/>
        <v>1786232</v>
      </c>
      <c r="K76" s="508">
        <f t="shared" si="57"/>
        <v>0</v>
      </c>
      <c r="L76" s="508">
        <f t="shared" si="57"/>
        <v>0</v>
      </c>
      <c r="M76" s="508">
        <f t="shared" si="57"/>
        <v>227558920</v>
      </c>
      <c r="N76" s="508">
        <f t="shared" si="57"/>
        <v>0</v>
      </c>
      <c r="O76" s="508">
        <f t="shared" si="57"/>
        <v>3747575487</v>
      </c>
      <c r="P76" s="508">
        <f t="shared" si="57"/>
        <v>866150739</v>
      </c>
      <c r="Q76" s="508">
        <f t="shared" si="57"/>
        <v>2881424748</v>
      </c>
      <c r="R76" s="508">
        <f t="shared" si="57"/>
        <v>12094367</v>
      </c>
      <c r="S76" s="508">
        <f t="shared" si="57"/>
        <v>0</v>
      </c>
      <c r="T76" s="508">
        <f t="shared" si="57"/>
        <v>0</v>
      </c>
      <c r="U76" s="508">
        <f t="shared" si="57"/>
        <v>0</v>
      </c>
      <c r="V76" s="508">
        <f t="shared" si="57"/>
        <v>172094717</v>
      </c>
      <c r="W76" s="508">
        <f t="shared" si="57"/>
        <v>1062345193</v>
      </c>
      <c r="X76" s="508">
        <f t="shared" si="57"/>
        <v>8603357</v>
      </c>
      <c r="Y76" s="508">
        <f t="shared" si="57"/>
        <v>46348677</v>
      </c>
      <c r="AB76" s="249"/>
    </row>
    <row r="77" spans="1:28" s="244" customFormat="1" ht="15.75" customHeight="1">
      <c r="A77" s="510">
        <f t="shared" si="45"/>
        <v>600</v>
      </c>
      <c r="B77" s="507" t="s">
        <v>663</v>
      </c>
      <c r="C77" s="508">
        <f t="shared" si="47"/>
        <v>2040311629</v>
      </c>
      <c r="D77" s="508">
        <f>D19</f>
        <v>1203292058</v>
      </c>
      <c r="E77" s="508">
        <f>E19</f>
        <v>837019571</v>
      </c>
      <c r="F77" s="508">
        <f>F19</f>
        <v>145908631</v>
      </c>
      <c r="G77" s="508">
        <f t="shared" ref="G77" si="58">G19</f>
        <v>1489360</v>
      </c>
      <c r="H77" s="508">
        <f t="shared" ref="H77:Y77" si="59">H19</f>
        <v>13336598</v>
      </c>
      <c r="I77" s="508">
        <f t="shared" si="59"/>
        <v>131082673</v>
      </c>
      <c r="J77" s="508">
        <f t="shared" si="59"/>
        <v>27029</v>
      </c>
      <c r="K77" s="508">
        <f t="shared" si="59"/>
        <v>0</v>
      </c>
      <c r="L77" s="508">
        <f t="shared" si="59"/>
        <v>0</v>
      </c>
      <c r="M77" s="508">
        <f t="shared" si="59"/>
        <v>41220804</v>
      </c>
      <c r="N77" s="508">
        <f t="shared" si="59"/>
        <v>0</v>
      </c>
      <c r="O77" s="508">
        <f t="shared" si="59"/>
        <v>1848457994</v>
      </c>
      <c r="P77" s="508">
        <f t="shared" si="59"/>
        <v>554382161</v>
      </c>
      <c r="Q77" s="508">
        <f t="shared" si="59"/>
        <v>1294075833</v>
      </c>
      <c r="R77" s="508">
        <f t="shared" si="59"/>
        <v>4240000</v>
      </c>
      <c r="S77" s="508">
        <f t="shared" si="59"/>
        <v>0</v>
      </c>
      <c r="T77" s="508">
        <f t="shared" si="59"/>
        <v>0</v>
      </c>
      <c r="U77" s="508">
        <f t="shared" si="59"/>
        <v>0</v>
      </c>
      <c r="V77" s="508">
        <f t="shared" si="59"/>
        <v>49466323</v>
      </c>
      <c r="W77" s="508">
        <f t="shared" si="59"/>
        <v>82815565</v>
      </c>
      <c r="X77" s="508">
        <f t="shared" si="59"/>
        <v>1715302</v>
      </c>
      <c r="Y77" s="508">
        <f t="shared" si="59"/>
        <v>12368612</v>
      </c>
      <c r="AB77" s="249"/>
    </row>
    <row r="78" spans="1:28" s="244" customFormat="1" ht="15.75" customHeight="1">
      <c r="A78" s="510">
        <f t="shared" si="45"/>
        <v>610</v>
      </c>
      <c r="B78" s="507" t="s">
        <v>661</v>
      </c>
      <c r="C78" s="508">
        <f t="shared" si="47"/>
        <v>0</v>
      </c>
      <c r="D78" s="508">
        <f t="shared" ref="D78:Y78" si="60">D64</f>
        <v>0</v>
      </c>
      <c r="E78" s="508">
        <f t="shared" ref="E78" si="61">E64</f>
        <v>0</v>
      </c>
      <c r="F78" s="508">
        <f t="shared" si="60"/>
        <v>0</v>
      </c>
      <c r="G78" s="508">
        <f t="shared" ref="G78" si="62">G64</f>
        <v>0</v>
      </c>
      <c r="H78" s="508">
        <f t="shared" si="60"/>
        <v>0</v>
      </c>
      <c r="I78" s="508">
        <f t="shared" si="60"/>
        <v>0</v>
      </c>
      <c r="J78" s="508">
        <f t="shared" si="60"/>
        <v>0</v>
      </c>
      <c r="K78" s="508">
        <f t="shared" si="60"/>
        <v>0</v>
      </c>
      <c r="L78" s="508">
        <f t="shared" si="60"/>
        <v>0</v>
      </c>
      <c r="M78" s="508">
        <f t="shared" si="60"/>
        <v>0</v>
      </c>
      <c r="N78" s="508">
        <f t="shared" si="60"/>
        <v>0</v>
      </c>
      <c r="O78" s="508">
        <f t="shared" si="60"/>
        <v>0</v>
      </c>
      <c r="P78" s="508">
        <f t="shared" si="60"/>
        <v>0</v>
      </c>
      <c r="Q78" s="508">
        <f t="shared" si="60"/>
        <v>0</v>
      </c>
      <c r="R78" s="508">
        <f t="shared" si="60"/>
        <v>0</v>
      </c>
      <c r="S78" s="508">
        <f t="shared" si="60"/>
        <v>0</v>
      </c>
      <c r="T78" s="508">
        <f t="shared" si="60"/>
        <v>0</v>
      </c>
      <c r="U78" s="508">
        <f t="shared" si="60"/>
        <v>0</v>
      </c>
      <c r="V78" s="508">
        <f t="shared" si="60"/>
        <v>0</v>
      </c>
      <c r="W78" s="508">
        <f t="shared" si="60"/>
        <v>0</v>
      </c>
      <c r="X78" s="508">
        <f t="shared" si="60"/>
        <v>0</v>
      </c>
      <c r="Y78" s="508">
        <f t="shared" si="60"/>
        <v>0</v>
      </c>
      <c r="AB78" s="249"/>
    </row>
    <row r="79" spans="1:28" s="244" customFormat="1" ht="15.75" customHeight="1">
      <c r="A79" s="510">
        <f t="shared" si="45"/>
        <v>620</v>
      </c>
      <c r="B79" s="507" t="s">
        <v>659</v>
      </c>
      <c r="C79" s="508">
        <f t="shared" si="47"/>
        <v>0</v>
      </c>
      <c r="D79" s="508">
        <f t="shared" ref="D79:Y79" si="63">D63</f>
        <v>0</v>
      </c>
      <c r="E79" s="508">
        <f t="shared" ref="E79" si="64">E63</f>
        <v>0</v>
      </c>
      <c r="F79" s="508">
        <f t="shared" si="63"/>
        <v>0</v>
      </c>
      <c r="G79" s="508">
        <f t="shared" ref="G79" si="65">G63</f>
        <v>0</v>
      </c>
      <c r="H79" s="508">
        <f t="shared" si="63"/>
        <v>0</v>
      </c>
      <c r="I79" s="508">
        <f t="shared" si="63"/>
        <v>0</v>
      </c>
      <c r="J79" s="508">
        <f t="shared" si="63"/>
        <v>0</v>
      </c>
      <c r="K79" s="508">
        <f t="shared" si="63"/>
        <v>0</v>
      </c>
      <c r="L79" s="508">
        <f t="shared" si="63"/>
        <v>0</v>
      </c>
      <c r="M79" s="508">
        <f t="shared" si="63"/>
        <v>0</v>
      </c>
      <c r="N79" s="508">
        <f t="shared" si="63"/>
        <v>0</v>
      </c>
      <c r="O79" s="508">
        <f t="shared" si="63"/>
        <v>0</v>
      </c>
      <c r="P79" s="508">
        <f t="shared" si="63"/>
        <v>0</v>
      </c>
      <c r="Q79" s="508">
        <f t="shared" si="63"/>
        <v>0</v>
      </c>
      <c r="R79" s="508">
        <f t="shared" si="63"/>
        <v>0</v>
      </c>
      <c r="S79" s="508">
        <f t="shared" si="63"/>
        <v>0</v>
      </c>
      <c r="T79" s="508">
        <f t="shared" si="63"/>
        <v>0</v>
      </c>
      <c r="U79" s="508">
        <f t="shared" si="63"/>
        <v>0</v>
      </c>
      <c r="V79" s="508">
        <f t="shared" si="63"/>
        <v>0</v>
      </c>
      <c r="W79" s="508">
        <f t="shared" si="63"/>
        <v>0</v>
      </c>
      <c r="X79" s="508">
        <f t="shared" si="63"/>
        <v>0</v>
      </c>
      <c r="Y79" s="508">
        <f t="shared" si="63"/>
        <v>0</v>
      </c>
      <c r="AB79" s="249"/>
    </row>
    <row r="80" spans="1:28" s="244" customFormat="1" ht="15.75" customHeight="1">
      <c r="A80" s="510">
        <f t="shared" si="45"/>
        <v>630</v>
      </c>
      <c r="B80" s="507" t="s">
        <v>397</v>
      </c>
      <c r="C80" s="508">
        <f t="shared" si="47"/>
        <v>0</v>
      </c>
      <c r="D80" s="508">
        <f>D12+D20+D27+D34+D41+D48+D55+D65</f>
        <v>0</v>
      </c>
      <c r="E80" s="508">
        <f>E12+E20+E27+E34+E41+E48+E55+E65</f>
        <v>0</v>
      </c>
      <c r="F80" s="508">
        <f>F12+F20+F27+F34+F41+F48+F55+F65</f>
        <v>0</v>
      </c>
      <c r="G80" s="508">
        <f t="shared" ref="G80" si="66">G12+G20+G27+G34+G41+G48+G55+G65</f>
        <v>0</v>
      </c>
      <c r="H80" s="508">
        <f t="shared" ref="H80:Y80" si="67">H12+H20+H27+H34+H41+H48+H55+H65</f>
        <v>0</v>
      </c>
      <c r="I80" s="508">
        <f t="shared" si="67"/>
        <v>0</v>
      </c>
      <c r="J80" s="508">
        <f t="shared" si="67"/>
        <v>0</v>
      </c>
      <c r="K80" s="508">
        <f t="shared" si="67"/>
        <v>0</v>
      </c>
      <c r="L80" s="508">
        <f t="shared" si="67"/>
        <v>0</v>
      </c>
      <c r="M80" s="508">
        <f t="shared" si="67"/>
        <v>0</v>
      </c>
      <c r="N80" s="508">
        <f t="shared" si="67"/>
        <v>0</v>
      </c>
      <c r="O80" s="508">
        <f t="shared" si="67"/>
        <v>0</v>
      </c>
      <c r="P80" s="508">
        <f t="shared" si="67"/>
        <v>0</v>
      </c>
      <c r="Q80" s="508">
        <f t="shared" si="67"/>
        <v>0</v>
      </c>
      <c r="R80" s="508">
        <f t="shared" si="67"/>
        <v>0</v>
      </c>
      <c r="S80" s="508">
        <f t="shared" si="67"/>
        <v>0</v>
      </c>
      <c r="T80" s="508">
        <f t="shared" si="67"/>
        <v>0</v>
      </c>
      <c r="U80" s="508">
        <f t="shared" si="67"/>
        <v>0</v>
      </c>
      <c r="V80" s="508">
        <f t="shared" si="67"/>
        <v>0</v>
      </c>
      <c r="W80" s="508">
        <f t="shared" si="67"/>
        <v>0</v>
      </c>
      <c r="X80" s="508">
        <f t="shared" si="67"/>
        <v>0</v>
      </c>
      <c r="Y80" s="508">
        <f t="shared" si="67"/>
        <v>0</v>
      </c>
      <c r="AB80" s="249"/>
    </row>
    <row r="81" spans="1:30" s="244" customFormat="1" ht="15.75" customHeight="1">
      <c r="A81" s="510">
        <f t="shared" si="45"/>
        <v>640</v>
      </c>
      <c r="B81" s="507" t="s">
        <v>709</v>
      </c>
      <c r="C81" s="508">
        <f t="shared" si="47"/>
        <v>0</v>
      </c>
      <c r="D81" s="508">
        <f t="shared" ref="D81:Y81" si="68">D66</f>
        <v>0</v>
      </c>
      <c r="E81" s="508">
        <f t="shared" ref="E81" si="69">E66</f>
        <v>0</v>
      </c>
      <c r="F81" s="508">
        <f t="shared" si="68"/>
        <v>0</v>
      </c>
      <c r="G81" s="508">
        <f t="shared" ref="G81" si="70">G66</f>
        <v>0</v>
      </c>
      <c r="H81" s="508">
        <f t="shared" si="68"/>
        <v>0</v>
      </c>
      <c r="I81" s="508">
        <f t="shared" si="68"/>
        <v>0</v>
      </c>
      <c r="J81" s="508">
        <f t="shared" si="68"/>
        <v>0</v>
      </c>
      <c r="K81" s="508">
        <f t="shared" si="68"/>
        <v>0</v>
      </c>
      <c r="L81" s="508">
        <f t="shared" si="68"/>
        <v>0</v>
      </c>
      <c r="M81" s="508">
        <f t="shared" si="68"/>
        <v>0</v>
      </c>
      <c r="N81" s="508">
        <f t="shared" si="68"/>
        <v>0</v>
      </c>
      <c r="O81" s="508">
        <f t="shared" si="68"/>
        <v>0</v>
      </c>
      <c r="P81" s="508">
        <f t="shared" si="68"/>
        <v>0</v>
      </c>
      <c r="Q81" s="508">
        <f t="shared" si="68"/>
        <v>0</v>
      </c>
      <c r="R81" s="508">
        <f t="shared" si="68"/>
        <v>0</v>
      </c>
      <c r="S81" s="508">
        <f t="shared" si="68"/>
        <v>0</v>
      </c>
      <c r="T81" s="508">
        <f t="shared" si="68"/>
        <v>0</v>
      </c>
      <c r="U81" s="508">
        <f t="shared" si="68"/>
        <v>0</v>
      </c>
      <c r="V81" s="508">
        <f t="shared" si="68"/>
        <v>0</v>
      </c>
      <c r="W81" s="508">
        <f t="shared" si="68"/>
        <v>0</v>
      </c>
      <c r="X81" s="508">
        <f t="shared" si="68"/>
        <v>0</v>
      </c>
      <c r="Y81" s="508">
        <f t="shared" si="68"/>
        <v>0</v>
      </c>
      <c r="AB81" s="249"/>
    </row>
    <row r="82" spans="1:30" s="244" customFormat="1" ht="15.75" customHeight="1">
      <c r="A82" s="510">
        <f t="shared" si="45"/>
        <v>650</v>
      </c>
      <c r="B82" s="507" t="s">
        <v>665</v>
      </c>
      <c r="C82" s="508">
        <f>SUM(J82:Y82)-L82-P82-Q82</f>
        <v>576917739</v>
      </c>
      <c r="D82" s="508">
        <f>+D56+D67</f>
        <v>431463602</v>
      </c>
      <c r="E82" s="508">
        <f>+E56+E67</f>
        <v>145454137</v>
      </c>
      <c r="F82" s="508">
        <f>+F56+F67</f>
        <v>33522604</v>
      </c>
      <c r="G82" s="508">
        <f t="shared" ref="G82" si="71">+G56+G67</f>
        <v>1464436</v>
      </c>
      <c r="H82" s="508">
        <f t="shared" ref="H82:Y82" si="72">+H56+H67</f>
        <v>8769317</v>
      </c>
      <c r="I82" s="508">
        <f t="shared" si="72"/>
        <v>23288851</v>
      </c>
      <c r="J82" s="508">
        <f t="shared" si="72"/>
        <v>0</v>
      </c>
      <c r="K82" s="508">
        <f t="shared" si="72"/>
        <v>0</v>
      </c>
      <c r="L82" s="508">
        <f t="shared" si="72"/>
        <v>0</v>
      </c>
      <c r="M82" s="508">
        <f t="shared" si="72"/>
        <v>16656689</v>
      </c>
      <c r="N82" s="508">
        <f t="shared" si="72"/>
        <v>0</v>
      </c>
      <c r="O82" s="508">
        <f t="shared" si="72"/>
        <v>460115048</v>
      </c>
      <c r="P82" s="508">
        <f t="shared" si="72"/>
        <v>79103087</v>
      </c>
      <c r="Q82" s="508">
        <f t="shared" si="72"/>
        <v>381011961</v>
      </c>
      <c r="R82" s="508">
        <f t="shared" si="72"/>
        <v>139080</v>
      </c>
      <c r="S82" s="508">
        <f t="shared" si="72"/>
        <v>0</v>
      </c>
      <c r="T82" s="508">
        <f t="shared" si="72"/>
        <v>0</v>
      </c>
      <c r="U82" s="508">
        <f t="shared" si="72"/>
        <v>0</v>
      </c>
      <c r="V82" s="508">
        <f t="shared" si="72"/>
        <v>27475313</v>
      </c>
      <c r="W82" s="508">
        <f t="shared" si="72"/>
        <v>41153385</v>
      </c>
      <c r="X82" s="508">
        <f t="shared" si="72"/>
        <v>689655</v>
      </c>
      <c r="Y82" s="508">
        <f t="shared" si="72"/>
        <v>30688569</v>
      </c>
      <c r="AB82" s="249"/>
    </row>
    <row r="83" spans="1:30" s="244" customFormat="1" ht="15.75" customHeight="1">
      <c r="A83" s="510">
        <f t="shared" si="45"/>
        <v>660</v>
      </c>
      <c r="B83" s="507" t="s">
        <v>666</v>
      </c>
      <c r="C83" s="508">
        <f t="shared" si="47"/>
        <v>0</v>
      </c>
      <c r="D83" s="508">
        <f t="shared" ref="D83:Y83" si="73">D68</f>
        <v>0</v>
      </c>
      <c r="E83" s="508">
        <f t="shared" ref="E83" si="74">E68</f>
        <v>0</v>
      </c>
      <c r="F83" s="508">
        <f t="shared" si="73"/>
        <v>0</v>
      </c>
      <c r="G83" s="508">
        <f t="shared" ref="G83" si="75">G68</f>
        <v>0</v>
      </c>
      <c r="H83" s="508">
        <f t="shared" si="73"/>
        <v>0</v>
      </c>
      <c r="I83" s="508">
        <f t="shared" si="73"/>
        <v>0</v>
      </c>
      <c r="J83" s="508">
        <f t="shared" si="73"/>
        <v>0</v>
      </c>
      <c r="K83" s="508">
        <f t="shared" si="73"/>
        <v>0</v>
      </c>
      <c r="L83" s="508">
        <f t="shared" si="73"/>
        <v>0</v>
      </c>
      <c r="M83" s="508">
        <f t="shared" si="73"/>
        <v>0</v>
      </c>
      <c r="N83" s="508">
        <f t="shared" si="73"/>
        <v>0</v>
      </c>
      <c r="O83" s="508">
        <f t="shared" si="73"/>
        <v>0</v>
      </c>
      <c r="P83" s="508">
        <f t="shared" si="73"/>
        <v>0</v>
      </c>
      <c r="Q83" s="508">
        <f t="shared" si="73"/>
        <v>0</v>
      </c>
      <c r="R83" s="508">
        <f t="shared" si="73"/>
        <v>0</v>
      </c>
      <c r="S83" s="508">
        <f t="shared" si="73"/>
        <v>0</v>
      </c>
      <c r="T83" s="508">
        <f t="shared" si="73"/>
        <v>0</v>
      </c>
      <c r="U83" s="508">
        <f t="shared" si="73"/>
        <v>0</v>
      </c>
      <c r="V83" s="508">
        <f t="shared" si="73"/>
        <v>0</v>
      </c>
      <c r="W83" s="508">
        <f t="shared" si="73"/>
        <v>0</v>
      </c>
      <c r="X83" s="508">
        <f t="shared" si="73"/>
        <v>0</v>
      </c>
      <c r="Y83" s="508">
        <f t="shared" si="73"/>
        <v>0</v>
      </c>
      <c r="AB83" s="249"/>
    </row>
    <row r="84" spans="1:30" s="244" customFormat="1" ht="15.75" customHeight="1">
      <c r="A84" s="510">
        <f>A83+10</f>
        <v>670</v>
      </c>
      <c r="B84" s="507" t="s">
        <v>667</v>
      </c>
      <c r="C84" s="508">
        <f t="shared" si="47"/>
        <v>0</v>
      </c>
      <c r="D84" s="508">
        <f>D13+D21+D28+D35+D42+D49+D57+D69</f>
        <v>0</v>
      </c>
      <c r="E84" s="508">
        <f>E13+E21+E28+E35+E42+E49+E57+E69</f>
        <v>0</v>
      </c>
      <c r="F84" s="508">
        <f>F13+F21+F28+F35+F42+F49+F57+F69</f>
        <v>0</v>
      </c>
      <c r="G84" s="508">
        <f t="shared" ref="G84" si="76">G13+G21+G28+G35+G42+G49+G57+G69</f>
        <v>0</v>
      </c>
      <c r="H84" s="508">
        <f t="shared" ref="H84:Y84" si="77">H13+H21+H28+H35+H42+H49+H57+H69</f>
        <v>0</v>
      </c>
      <c r="I84" s="508">
        <f t="shared" si="77"/>
        <v>0</v>
      </c>
      <c r="J84" s="508">
        <f t="shared" si="77"/>
        <v>0</v>
      </c>
      <c r="K84" s="508">
        <f t="shared" si="77"/>
        <v>0</v>
      </c>
      <c r="L84" s="508">
        <f t="shared" si="77"/>
        <v>0</v>
      </c>
      <c r="M84" s="508">
        <f t="shared" si="77"/>
        <v>0</v>
      </c>
      <c r="N84" s="508">
        <f t="shared" si="77"/>
        <v>0</v>
      </c>
      <c r="O84" s="508">
        <f t="shared" si="77"/>
        <v>0</v>
      </c>
      <c r="P84" s="508">
        <f t="shared" si="77"/>
        <v>0</v>
      </c>
      <c r="Q84" s="508">
        <f t="shared" si="77"/>
        <v>0</v>
      </c>
      <c r="R84" s="508">
        <f t="shared" si="77"/>
        <v>0</v>
      </c>
      <c r="S84" s="508">
        <f t="shared" si="77"/>
        <v>0</v>
      </c>
      <c r="T84" s="508">
        <f t="shared" si="77"/>
        <v>0</v>
      </c>
      <c r="U84" s="508">
        <f t="shared" si="77"/>
        <v>0</v>
      </c>
      <c r="V84" s="508">
        <f t="shared" si="77"/>
        <v>0</v>
      </c>
      <c r="W84" s="508">
        <f t="shared" si="77"/>
        <v>0</v>
      </c>
      <c r="X84" s="508">
        <f t="shared" si="77"/>
        <v>0</v>
      </c>
      <c r="Y84" s="508">
        <f t="shared" si="77"/>
        <v>0</v>
      </c>
      <c r="AB84" s="249"/>
    </row>
    <row r="85" spans="1:30" s="565" customFormat="1" ht="15.75" customHeight="1">
      <c r="A85" s="563">
        <f t="shared" si="45"/>
        <v>680</v>
      </c>
      <c r="B85" s="563" t="s">
        <v>668</v>
      </c>
      <c r="C85" s="564">
        <f t="shared" si="47"/>
        <v>14437080535</v>
      </c>
      <c r="D85" s="564">
        <f>SUM(D73:D84)</f>
        <v>10746116443</v>
      </c>
      <c r="E85" s="564">
        <f>SUM(E73:E84)</f>
        <v>3690964092</v>
      </c>
      <c r="F85" s="564">
        <f>SUM(F73:F84)</f>
        <v>865178397</v>
      </c>
      <c r="G85" s="564">
        <f t="shared" ref="G85" si="78">SUM(G73:G84)</f>
        <v>102373443</v>
      </c>
      <c r="H85" s="564">
        <f t="shared" ref="H85:Y85" si="79">SUM(H73:H84)</f>
        <v>237587084</v>
      </c>
      <c r="I85" s="564">
        <f t="shared" si="79"/>
        <v>525217870</v>
      </c>
      <c r="J85" s="564">
        <f t="shared" si="79"/>
        <v>1940006</v>
      </c>
      <c r="K85" s="564">
        <f t="shared" si="79"/>
        <v>0</v>
      </c>
      <c r="L85" s="564">
        <f t="shared" si="79"/>
        <v>0</v>
      </c>
      <c r="M85" s="564">
        <f t="shared" si="79"/>
        <v>416177796</v>
      </c>
      <c r="N85" s="564">
        <f t="shared" si="79"/>
        <v>0</v>
      </c>
      <c r="O85" s="564">
        <f t="shared" si="79"/>
        <v>7826301068</v>
      </c>
      <c r="P85" s="564">
        <f t="shared" si="79"/>
        <v>2387830827</v>
      </c>
      <c r="Q85" s="564">
        <f t="shared" si="79"/>
        <v>5438470241</v>
      </c>
      <c r="R85" s="564">
        <f t="shared" si="79"/>
        <v>16654010</v>
      </c>
      <c r="S85" s="564">
        <f t="shared" si="79"/>
        <v>0</v>
      </c>
      <c r="T85" s="564">
        <f t="shared" si="79"/>
        <v>0</v>
      </c>
      <c r="U85" s="564">
        <f t="shared" si="79"/>
        <v>0</v>
      </c>
      <c r="V85" s="564">
        <f t="shared" si="79"/>
        <v>1098889001</v>
      </c>
      <c r="W85" s="564">
        <f t="shared" si="79"/>
        <v>4843199435</v>
      </c>
      <c r="X85" s="564">
        <f t="shared" si="79"/>
        <v>136434083</v>
      </c>
      <c r="Y85" s="564">
        <f t="shared" si="79"/>
        <v>97485136</v>
      </c>
      <c r="AA85" s="566"/>
      <c r="AB85" s="567"/>
    </row>
    <row r="86" spans="1:30" ht="19.5" customHeight="1">
      <c r="A86" s="266"/>
      <c r="B86" s="266"/>
      <c r="C86" s="266"/>
      <c r="D86" s="266"/>
      <c r="E86" s="266"/>
      <c r="F86" s="266"/>
      <c r="G86" s="266"/>
      <c r="H86" s="266"/>
      <c r="I86" s="266"/>
      <c r="J86" s="266"/>
      <c r="K86" s="266"/>
      <c r="L86" s="266"/>
      <c r="M86" s="266"/>
      <c r="N86" s="266"/>
      <c r="O86" s="266"/>
      <c r="P86" s="266"/>
      <c r="Q86" s="266"/>
      <c r="R86" s="266"/>
      <c r="S86" s="266"/>
      <c r="T86" s="266"/>
      <c r="U86" s="266"/>
      <c r="V86" s="266"/>
      <c r="W86" s="266"/>
      <c r="X86" s="266"/>
      <c r="Y86" s="266"/>
    </row>
    <row r="87" spans="1:30" ht="15.75" customHeight="1">
      <c r="A87" s="34"/>
      <c r="B87" s="552" t="s">
        <v>778</v>
      </c>
      <c r="C87" s="34"/>
      <c r="D87" s="34"/>
      <c r="E87" s="34"/>
      <c r="F87" s="338"/>
      <c r="G87" s="338"/>
      <c r="H87" s="338"/>
      <c r="I87" s="338"/>
      <c r="J87" s="338"/>
      <c r="K87" s="338"/>
      <c r="L87" s="338"/>
      <c r="M87" s="338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</row>
    <row r="88" spans="1:30" ht="15.75" customHeight="1">
      <c r="A88" s="34"/>
      <c r="B88" s="552"/>
      <c r="C88" s="34"/>
      <c r="D88" s="34"/>
      <c r="E88" s="34"/>
      <c r="F88" s="338"/>
      <c r="G88" s="338"/>
      <c r="H88" s="338"/>
      <c r="I88" s="338"/>
      <c r="J88" s="338"/>
      <c r="K88" s="338"/>
      <c r="L88" s="338"/>
      <c r="M88" s="338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</row>
    <row r="89" spans="1:30" ht="15.75" customHeight="1">
      <c r="A89" s="34"/>
      <c r="B89" s="552" t="s">
        <v>779</v>
      </c>
      <c r="C89" s="34"/>
      <c r="D89" s="34"/>
      <c r="E89" s="34"/>
      <c r="F89" s="338"/>
      <c r="G89" s="338"/>
      <c r="H89" s="338"/>
      <c r="I89" s="338"/>
      <c r="J89" s="338"/>
      <c r="K89" s="338"/>
      <c r="L89" s="338"/>
      <c r="M89" s="338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</row>
    <row r="90" spans="1:30">
      <c r="B90" s="232"/>
      <c r="C90" s="266"/>
    </row>
    <row r="91" spans="1:30">
      <c r="C91" s="688"/>
      <c r="D91" s="689"/>
      <c r="E91" s="689"/>
      <c r="F91" s="689"/>
      <c r="G91" s="689"/>
      <c r="H91" s="689"/>
      <c r="I91" s="689"/>
      <c r="J91" s="689"/>
    </row>
    <row r="92" spans="1:30">
      <c r="C92" s="688">
        <f>+[8]Balance!C25</f>
        <v>14437080535</v>
      </c>
      <c r="D92" s="688">
        <f>+[8]Balance!D25</f>
        <v>10746116443</v>
      </c>
      <c r="E92" s="688">
        <f>+[8]Balance!E25</f>
        <v>3690964092</v>
      </c>
      <c r="F92" s="688">
        <f>+'Asset Classification'!M31+'Asset Classification'!Q31+'Asset Classification'!U31</f>
        <v>865178397</v>
      </c>
      <c r="G92" s="688">
        <f>+'Asset Classification'!M31</f>
        <v>102373443</v>
      </c>
      <c r="H92" s="688">
        <f>+'Asset Classification'!Q31</f>
        <v>237587084</v>
      </c>
      <c r="I92" s="688">
        <f>+'Asset Classification'!U31</f>
        <v>525217870</v>
      </c>
      <c r="J92" s="688"/>
    </row>
    <row r="93" spans="1:30">
      <c r="C93" s="688">
        <f t="shared" ref="C93:I93" si="80">+C85-C92</f>
        <v>0</v>
      </c>
      <c r="D93" s="688">
        <f t="shared" si="80"/>
        <v>0</v>
      </c>
      <c r="E93" s="688">
        <f t="shared" si="80"/>
        <v>0</v>
      </c>
      <c r="F93" s="688">
        <f t="shared" si="80"/>
        <v>0</v>
      </c>
      <c r="G93" s="688">
        <f t="shared" si="80"/>
        <v>0</v>
      </c>
      <c r="H93" s="688">
        <f t="shared" si="80"/>
        <v>0</v>
      </c>
      <c r="I93" s="688">
        <f t="shared" si="80"/>
        <v>0</v>
      </c>
      <c r="J93" s="688"/>
    </row>
    <row r="94" spans="1:30">
      <c r="C94" s="688"/>
      <c r="D94" s="689"/>
      <c r="E94" s="689"/>
      <c r="F94" s="689"/>
      <c r="G94" s="689"/>
      <c r="H94" s="689"/>
      <c r="I94" s="689"/>
      <c r="J94" s="689"/>
    </row>
    <row r="95" spans="1:30">
      <c r="C95" s="266"/>
    </row>
  </sheetData>
  <sheetProtection password="CACA" sheet="1" objects="1" scenarios="1"/>
  <mergeCells count="25">
    <mergeCell ref="F5:F6"/>
    <mergeCell ref="F4:I4"/>
    <mergeCell ref="G5:I5"/>
    <mergeCell ref="A4:A6"/>
    <mergeCell ref="B4:B6"/>
    <mergeCell ref="C4:C6"/>
    <mergeCell ref="D4:E4"/>
    <mergeCell ref="D5:D6"/>
    <mergeCell ref="E5:E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25" type="noConversion"/>
  <conditionalFormatting sqref="C9">
    <cfRule type="cellIs" dxfId="393" priority="23" operator="notEqual">
      <formula>D9+E9</formula>
    </cfRule>
  </conditionalFormatting>
  <conditionalFormatting sqref="C10:C13">
    <cfRule type="cellIs" dxfId="392" priority="20" operator="notEqual">
      <formula>D10+E10</formula>
    </cfRule>
  </conditionalFormatting>
  <conditionalFormatting sqref="C16">
    <cfRule type="cellIs" dxfId="391" priority="19" operator="notEqual">
      <formula>D16+E16</formula>
    </cfRule>
  </conditionalFormatting>
  <conditionalFormatting sqref="C17:C20">
    <cfRule type="cellIs" dxfId="390" priority="18" operator="notEqual">
      <formula>D17+E17</formula>
    </cfRule>
  </conditionalFormatting>
  <conditionalFormatting sqref="C21">
    <cfRule type="cellIs" dxfId="389" priority="17" operator="notEqual">
      <formula>D21+E21</formula>
    </cfRule>
  </conditionalFormatting>
  <conditionalFormatting sqref="C24:C28">
    <cfRule type="cellIs" dxfId="388" priority="16" operator="notEqual">
      <formula>D24+E24</formula>
    </cfRule>
  </conditionalFormatting>
  <conditionalFormatting sqref="C31:C35">
    <cfRule type="cellIs" dxfId="387" priority="15" operator="notEqual">
      <formula>D31+E31</formula>
    </cfRule>
  </conditionalFormatting>
  <conditionalFormatting sqref="C38:C42">
    <cfRule type="cellIs" dxfId="386" priority="14" operator="notEqual">
      <formula>D38+E38</formula>
    </cfRule>
  </conditionalFormatting>
  <conditionalFormatting sqref="C45:C49">
    <cfRule type="cellIs" dxfId="385" priority="13" operator="notEqual">
      <formula>D45+E45</formula>
    </cfRule>
  </conditionalFormatting>
  <conditionalFormatting sqref="C52:C57">
    <cfRule type="cellIs" dxfId="384" priority="12" operator="notEqual">
      <formula>D52+E52</formula>
    </cfRule>
  </conditionalFormatting>
  <conditionalFormatting sqref="C60:C69">
    <cfRule type="cellIs" dxfId="383" priority="11" operator="notEqual">
      <formula>D60+E60</formula>
    </cfRule>
  </conditionalFormatting>
  <conditionalFormatting sqref="C73:C84">
    <cfRule type="cellIs" dxfId="382" priority="10" operator="notEqual">
      <formula>D73+E73</formula>
    </cfRule>
  </conditionalFormatting>
  <conditionalFormatting sqref="C71">
    <cfRule type="cellIs" dxfId="381" priority="9" operator="notEqual">
      <formula>D71+E71</formula>
    </cfRule>
  </conditionalFormatting>
  <conditionalFormatting sqref="C85">
    <cfRule type="cellIs" dxfId="380" priority="7" operator="notEqual">
      <formula>C92</formula>
    </cfRule>
  </conditionalFormatting>
  <conditionalFormatting sqref="D85">
    <cfRule type="cellIs" dxfId="379" priority="6" operator="notEqual">
      <formula>D92</formula>
    </cfRule>
  </conditionalFormatting>
  <conditionalFormatting sqref="E85">
    <cfRule type="cellIs" dxfId="378" priority="5" operator="notEqual">
      <formula>E92</formula>
    </cfRule>
  </conditionalFormatting>
  <conditionalFormatting sqref="F85">
    <cfRule type="cellIs" dxfId="377" priority="4" operator="notEqual">
      <formula>F92</formula>
    </cfRule>
  </conditionalFormatting>
  <conditionalFormatting sqref="G85">
    <cfRule type="cellIs" dxfId="376" priority="3" operator="notEqual">
      <formula>G92</formula>
    </cfRule>
  </conditionalFormatting>
  <conditionalFormatting sqref="H85">
    <cfRule type="cellIs" dxfId="375" priority="2" operator="notEqual">
      <formula>H92</formula>
    </cfRule>
  </conditionalFormatting>
  <conditionalFormatting sqref="I85">
    <cfRule type="cellIs" dxfId="374" priority="1" operator="notEqual">
      <formula>I92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85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1" orientation="landscape" r:id="rId1"/>
  <headerFooter alignWithMargins="0"/>
  <ignoredErrors>
    <ignoredError sqref="E86 C58:D58 C86:D86 M86:Y86 M15:Y15 C72:D72 C74:D85 D73 M59:Y59 M72:Y72 M14:Y14 M23:Y23 M22:Y22 M30:Y30 M29:Y29 M37:Y37 M36:Y36 M44:Y44 M43:Y43 M51:Y51 M50:Y50 M58:Y58 O53:O54 O66 O60 O52 M74:Y85 M73:Y73 C70:D70 C60:C69 O17:O20 O16 O21 O24:O28 O31:O35 O38:O42 O45:O49 O65 O61:O64 M70:Y70 O69 O56 O57 O68 O67 J70:L70 H73:L73 H74:L85 J58:L58 J50:L50 F51:L51 J43:L43 F44:L44 J36:L36 F37:L37 J29:L29 F30:L30 J22:L22 F23:L23 H14:L14 F73 F74:F85 F72:L72 F59:L59 F15:L15 I86:L86 F86:H86 F14:G14 F21 G73 F62 G74:G85 F24:F28 F22:I22 F31:F35 F29:I29 F38:F42 F36:I36 F45:F49 F43:I43 F52 F50:I50 F58:I58 F55 F53:F54 F67 F66 F60 F18:F20 F65 F61 F70 F69 F57 F56 F63:F64 F68 E82 C56:C57 C5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AD42"/>
  <sheetViews>
    <sheetView view="pageBreakPreview" zoomScale="70" zoomScaleNormal="71" zoomScaleSheetLayoutView="70" workbookViewId="0">
      <pane xSplit="4" ySplit="8" topLeftCell="E9" activePane="bottomRight" state="frozen"/>
      <selection activeCell="J47" sqref="J47"/>
      <selection pane="topRight" activeCell="J47" sqref="J47"/>
      <selection pane="bottomLeft" activeCell="J47" sqref="J47"/>
      <selection pane="bottomRight" activeCell="G11" sqref="G11"/>
    </sheetView>
  </sheetViews>
  <sheetFormatPr defaultRowHeight="15"/>
  <cols>
    <col min="1" max="1" width="5" style="6" customWidth="1"/>
    <col min="2" max="2" width="48.140625" style="6" customWidth="1"/>
    <col min="3" max="3" width="19.140625" style="6" customWidth="1"/>
    <col min="4" max="4" width="7.140625" style="6" customWidth="1"/>
    <col min="5" max="5" width="21.85546875" style="6" customWidth="1"/>
    <col min="6" max="6" width="8.5703125" style="6" customWidth="1"/>
    <col min="7" max="7" width="21.85546875" style="6" customWidth="1"/>
    <col min="8" max="8" width="7.140625" style="6" customWidth="1"/>
    <col min="9" max="10" width="17.28515625" style="6" customWidth="1"/>
    <col min="11" max="11" width="8.7109375" style="6" customWidth="1"/>
    <col min="12" max="25" width="17.140625" style="6" customWidth="1"/>
    <col min="26" max="26" width="14.28515625" style="279" bestFit="1" customWidth="1"/>
    <col min="27" max="16384" width="9.140625" style="6"/>
  </cols>
  <sheetData>
    <row r="1" spans="1:27" s="160" customFormat="1" ht="36.75" customHeight="1">
      <c r="A1" s="156" t="s">
        <v>687</v>
      </c>
      <c r="B1" s="157"/>
      <c r="C1" s="157"/>
      <c r="D1" s="157"/>
      <c r="E1" s="157"/>
      <c r="F1" s="157"/>
      <c r="G1" s="157"/>
      <c r="H1" s="157"/>
      <c r="I1" s="156"/>
      <c r="J1" s="156"/>
      <c r="K1" s="156"/>
      <c r="L1" s="156"/>
      <c r="M1" s="156"/>
      <c r="N1" s="156"/>
      <c r="O1" s="156"/>
      <c r="P1" s="156"/>
      <c r="Q1" s="156"/>
      <c r="R1" s="157"/>
      <c r="S1" s="157"/>
      <c r="T1" s="157"/>
      <c r="U1" s="157"/>
      <c r="V1" s="158"/>
      <c r="W1" s="159"/>
      <c r="X1" s="381" t="s">
        <v>688</v>
      </c>
      <c r="Y1" s="157"/>
    </row>
    <row r="2" spans="1:27" s="23" customFormat="1" ht="18">
      <c r="A2" s="154"/>
      <c r="B2" s="24"/>
      <c r="C2" s="24"/>
      <c r="D2" s="24"/>
      <c r="E2" s="24"/>
      <c r="F2" s="24"/>
      <c r="G2" s="24"/>
      <c r="H2" s="24"/>
      <c r="I2" s="5"/>
      <c r="J2" s="5"/>
      <c r="K2" s="5"/>
      <c r="L2" s="24"/>
      <c r="M2" s="24"/>
      <c r="N2" s="24"/>
      <c r="O2" s="24"/>
      <c r="P2" s="24"/>
      <c r="Q2" s="24"/>
      <c r="R2" s="24"/>
      <c r="S2" s="24"/>
      <c r="T2" s="155"/>
      <c r="U2" s="24"/>
      <c r="V2" s="24"/>
      <c r="W2" s="24"/>
      <c r="X2" s="24"/>
    </row>
    <row r="3" spans="1:27" ht="18">
      <c r="A3" s="151"/>
      <c r="B3" s="229" t="str">
        <f>+'Asset quality'!B3</f>
        <v>"MKBANK"</v>
      </c>
      <c r="C3" s="7"/>
      <c r="D3" s="152"/>
      <c r="E3" s="152"/>
      <c r="F3" s="152"/>
      <c r="G3" s="152"/>
      <c r="H3" s="152"/>
      <c r="I3" s="152"/>
      <c r="J3" s="153"/>
      <c r="K3" s="153"/>
      <c r="L3" s="153"/>
      <c r="M3" s="152"/>
      <c r="N3" s="152"/>
      <c r="O3" s="152"/>
      <c r="P3" s="152"/>
      <c r="Q3" s="152"/>
      <c r="R3" s="152"/>
      <c r="S3" s="152"/>
      <c r="T3" s="733">
        <f>+'Asset quality'!Q3</f>
        <v>45289</v>
      </c>
      <c r="U3" s="733"/>
      <c r="V3" s="7"/>
      <c r="W3" s="7"/>
      <c r="X3" s="382" t="str">
        <f>+'Asset quality'!T3</f>
        <v>минг. сўмда</v>
      </c>
      <c r="Z3" s="6"/>
    </row>
    <row r="4" spans="1:27" ht="30" customHeight="1">
      <c r="A4" s="738" t="s">
        <v>61</v>
      </c>
      <c r="B4" s="738" t="s">
        <v>284</v>
      </c>
      <c r="C4" s="738" t="s">
        <v>689</v>
      </c>
      <c r="D4" s="738" t="s">
        <v>76</v>
      </c>
      <c r="E4" s="738" t="s">
        <v>690</v>
      </c>
      <c r="F4" s="738" t="s">
        <v>76</v>
      </c>
      <c r="G4" s="738" t="s">
        <v>691</v>
      </c>
      <c r="H4" s="738" t="s">
        <v>76</v>
      </c>
      <c r="I4" s="734" t="s">
        <v>692</v>
      </c>
      <c r="J4" s="735"/>
      <c r="K4" s="738" t="s">
        <v>76</v>
      </c>
      <c r="L4" s="741" t="s">
        <v>693</v>
      </c>
      <c r="M4" s="743"/>
      <c r="N4" s="743"/>
      <c r="O4" s="743"/>
      <c r="P4" s="743"/>
      <c r="Q4" s="743"/>
      <c r="R4" s="743"/>
      <c r="S4" s="743"/>
      <c r="T4" s="743"/>
      <c r="U4" s="743"/>
      <c r="V4" s="743"/>
      <c r="W4" s="743"/>
      <c r="X4" s="743"/>
      <c r="Y4" s="742"/>
    </row>
    <row r="5" spans="1:27" ht="25.5" customHeight="1">
      <c r="A5" s="739"/>
      <c r="B5" s="739"/>
      <c r="C5" s="739"/>
      <c r="D5" s="739"/>
      <c r="E5" s="739"/>
      <c r="F5" s="739"/>
      <c r="G5" s="739"/>
      <c r="H5" s="739"/>
      <c r="I5" s="736"/>
      <c r="J5" s="737"/>
      <c r="K5" s="739"/>
      <c r="L5" s="741" t="s">
        <v>694</v>
      </c>
      <c r="M5" s="742"/>
      <c r="N5" s="741" t="s">
        <v>695</v>
      </c>
      <c r="O5" s="742"/>
      <c r="P5" s="741" t="s">
        <v>696</v>
      </c>
      <c r="Q5" s="742"/>
      <c r="R5" s="741" t="s">
        <v>545</v>
      </c>
      <c r="S5" s="742"/>
      <c r="T5" s="741" t="s">
        <v>546</v>
      </c>
      <c r="U5" s="742"/>
      <c r="V5" s="741" t="s">
        <v>547</v>
      </c>
      <c r="W5" s="742"/>
      <c r="X5" s="741" t="s">
        <v>548</v>
      </c>
      <c r="Y5" s="742"/>
    </row>
    <row r="6" spans="1:27" ht="31.5">
      <c r="A6" s="740"/>
      <c r="B6" s="740"/>
      <c r="C6" s="740"/>
      <c r="D6" s="740"/>
      <c r="E6" s="740"/>
      <c r="F6" s="740"/>
      <c r="G6" s="740"/>
      <c r="H6" s="740"/>
      <c r="I6" s="115" t="s">
        <v>697</v>
      </c>
      <c r="J6" s="115" t="s">
        <v>698</v>
      </c>
      <c r="K6" s="740"/>
      <c r="L6" s="115" t="s">
        <v>697</v>
      </c>
      <c r="M6" s="115" t="s">
        <v>698</v>
      </c>
      <c r="N6" s="115" t="s">
        <v>697</v>
      </c>
      <c r="O6" s="115" t="s">
        <v>698</v>
      </c>
      <c r="P6" s="115" t="s">
        <v>697</v>
      </c>
      <c r="Q6" s="115" t="s">
        <v>698</v>
      </c>
      <c r="R6" s="115" t="s">
        <v>697</v>
      </c>
      <c r="S6" s="115" t="s">
        <v>698</v>
      </c>
      <c r="T6" s="115" t="s">
        <v>697</v>
      </c>
      <c r="U6" s="115" t="s">
        <v>698</v>
      </c>
      <c r="V6" s="115" t="s">
        <v>697</v>
      </c>
      <c r="W6" s="115" t="s">
        <v>698</v>
      </c>
      <c r="X6" s="115" t="s">
        <v>697</v>
      </c>
      <c r="Y6" s="115" t="s">
        <v>698</v>
      </c>
    </row>
    <row r="7" spans="1:27" ht="15.75">
      <c r="A7" s="115"/>
      <c r="B7" s="115" t="s">
        <v>66</v>
      </c>
      <c r="C7" s="115" t="s">
        <v>36</v>
      </c>
      <c r="D7" s="115" t="s">
        <v>37</v>
      </c>
      <c r="E7" s="115" t="s">
        <v>38</v>
      </c>
      <c r="F7" s="115" t="s">
        <v>62</v>
      </c>
      <c r="G7" s="115" t="s">
        <v>63</v>
      </c>
      <c r="H7" s="115" t="s">
        <v>64</v>
      </c>
      <c r="I7" s="115" t="s">
        <v>67</v>
      </c>
      <c r="J7" s="115" t="s">
        <v>166</v>
      </c>
      <c r="K7" s="115" t="s">
        <v>68</v>
      </c>
      <c r="L7" s="115" t="s">
        <v>69</v>
      </c>
      <c r="M7" s="115" t="s">
        <v>165</v>
      </c>
      <c r="N7" s="115" t="s">
        <v>70</v>
      </c>
      <c r="O7" s="115" t="s">
        <v>167</v>
      </c>
      <c r="P7" s="115" t="s">
        <v>71</v>
      </c>
      <c r="Q7" s="115" t="s">
        <v>168</v>
      </c>
      <c r="R7" s="115" t="s">
        <v>72</v>
      </c>
      <c r="S7" s="115" t="s">
        <v>169</v>
      </c>
      <c r="T7" s="115" t="s">
        <v>73</v>
      </c>
      <c r="U7" s="115" t="s">
        <v>170</v>
      </c>
      <c r="V7" s="115" t="s">
        <v>74</v>
      </c>
      <c r="W7" s="115" t="s">
        <v>171</v>
      </c>
      <c r="X7" s="115" t="s">
        <v>75</v>
      </c>
      <c r="Y7" s="115" t="s">
        <v>172</v>
      </c>
    </row>
    <row r="8" spans="1:27" s="25" customFormat="1" ht="27.75" customHeight="1">
      <c r="A8" s="115"/>
      <c r="B8" s="115" t="s">
        <v>658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280"/>
    </row>
    <row r="9" spans="1:27" s="25" customFormat="1" ht="26.25" customHeight="1">
      <c r="A9" s="383">
        <v>1</v>
      </c>
      <c r="B9" s="384" t="s">
        <v>659</v>
      </c>
      <c r="C9" s="29">
        <f>+'Loans Receivable'!C79</f>
        <v>0</v>
      </c>
      <c r="D9" s="107">
        <f t="shared" ref="D9:D20" si="0">IF(C$22=0,"",C9/C$22)</f>
        <v>0</v>
      </c>
      <c r="E9" s="28"/>
      <c r="F9" s="107">
        <f t="shared" ref="F9:F20" si="1">IF(E$22=0,"",E9/E$22)</f>
        <v>0</v>
      </c>
      <c r="G9" s="28"/>
      <c r="H9" s="107">
        <f t="shared" ref="H9:H20" si="2">IF($G$22=0,"",G9/$G$22)</f>
        <v>0</v>
      </c>
      <c r="I9" s="29">
        <f t="shared" ref="I9:J20" si="3">+L9+N9+P9+R9+T9+V9+X9</f>
        <v>0</v>
      </c>
      <c r="J9" s="29">
        <f>+M9+O9+T9+S9+U9+W9+Y9</f>
        <v>0</v>
      </c>
      <c r="K9" s="107">
        <f t="shared" ref="K9:K20" si="4">IF($Z$22=0,"",Z9/$Z$22)</f>
        <v>0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2">
        <f>+I9+J9</f>
        <v>0</v>
      </c>
      <c r="AA9" s="690">
        <f>+C9-Z9</f>
        <v>0</v>
      </c>
    </row>
    <row r="10" spans="1:27" s="25" customFormat="1" ht="26.25" customHeight="1">
      <c r="A10" s="383">
        <v>2</v>
      </c>
      <c r="B10" s="384" t="s">
        <v>661</v>
      </c>
      <c r="C10" s="29">
        <f>+'Loans Receivable'!C78</f>
        <v>0</v>
      </c>
      <c r="D10" s="107">
        <f t="shared" si="0"/>
        <v>0</v>
      </c>
      <c r="E10" s="28"/>
      <c r="F10" s="107">
        <f t="shared" si="1"/>
        <v>0</v>
      </c>
      <c r="G10" s="28"/>
      <c r="H10" s="107">
        <f t="shared" si="2"/>
        <v>0</v>
      </c>
      <c r="I10" s="29">
        <f t="shared" si="3"/>
        <v>0</v>
      </c>
      <c r="J10" s="29">
        <f t="shared" si="3"/>
        <v>0</v>
      </c>
      <c r="K10" s="107">
        <f t="shared" si="4"/>
        <v>0</v>
      </c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2">
        <f t="shared" ref="Z10:Z35" si="5">+I10+J10</f>
        <v>0</v>
      </c>
    </row>
    <row r="11" spans="1:27" s="25" customFormat="1" ht="26.25" customHeight="1">
      <c r="A11" s="383">
        <v>3</v>
      </c>
      <c r="B11" s="384" t="s">
        <v>397</v>
      </c>
      <c r="C11" s="29">
        <f>+'Loans Receivable'!C80</f>
        <v>0</v>
      </c>
      <c r="D11" s="107">
        <f t="shared" si="0"/>
        <v>0</v>
      </c>
      <c r="E11" s="28"/>
      <c r="F11" s="107">
        <f t="shared" si="1"/>
        <v>0</v>
      </c>
      <c r="G11" s="28"/>
      <c r="H11" s="107">
        <f t="shared" si="2"/>
        <v>0</v>
      </c>
      <c r="I11" s="29">
        <f t="shared" si="3"/>
        <v>0</v>
      </c>
      <c r="J11" s="29">
        <f t="shared" si="3"/>
        <v>0</v>
      </c>
      <c r="K11" s="107">
        <f t="shared" si="4"/>
        <v>0</v>
      </c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2">
        <f t="shared" si="5"/>
        <v>0</v>
      </c>
    </row>
    <row r="12" spans="1:27" s="25" customFormat="1" ht="26.25" customHeight="1">
      <c r="A12" s="383">
        <v>4</v>
      </c>
      <c r="B12" s="384" t="s">
        <v>398</v>
      </c>
      <c r="C12" s="29">
        <f>+'Loans Receivable'!C73</f>
        <v>5341704946</v>
      </c>
      <c r="D12" s="107">
        <f t="shared" si="0"/>
        <v>0.36999897126361775</v>
      </c>
      <c r="E12" s="28"/>
      <c r="F12" s="107">
        <f t="shared" si="1"/>
        <v>0</v>
      </c>
      <c r="G12" s="28">
        <v>3977285</v>
      </c>
      <c r="H12" s="107">
        <f t="shared" si="2"/>
        <v>7.438731603293508E-2</v>
      </c>
      <c r="I12" s="29">
        <f t="shared" si="3"/>
        <v>364323450.62373972</v>
      </c>
      <c r="J12" s="29">
        <f t="shared" si="3"/>
        <v>133869955.88051996</v>
      </c>
      <c r="K12" s="107">
        <f t="shared" si="4"/>
        <v>0.28466891282921453</v>
      </c>
      <c r="L12" s="28">
        <v>9826429.5916299578</v>
      </c>
      <c r="M12" s="28">
        <v>3594078.2018600111</v>
      </c>
      <c r="N12" s="28">
        <v>13529541.958479982</v>
      </c>
      <c r="O12" s="28">
        <v>4672011.5869400231</v>
      </c>
      <c r="P12" s="28">
        <v>31785289.144460019</v>
      </c>
      <c r="Q12" s="28">
        <v>8717909.8050999437</v>
      </c>
      <c r="R12" s="28">
        <v>29704845.293379966</v>
      </c>
      <c r="S12" s="28">
        <v>7763751.7136299824</v>
      </c>
      <c r="T12" s="28">
        <v>127518721.62717994</v>
      </c>
      <c r="U12" s="28">
        <v>36146421.812889889</v>
      </c>
      <c r="V12" s="28">
        <v>108233830.96063989</v>
      </c>
      <c r="W12" s="28">
        <v>50326502.760100096</v>
      </c>
      <c r="X12" s="28">
        <v>43724792.047969967</v>
      </c>
      <c r="Y12" s="28">
        <v>22649280</v>
      </c>
      <c r="Z12" s="282">
        <f t="shared" si="5"/>
        <v>498193406.50425971</v>
      </c>
    </row>
    <row r="13" spans="1:27" s="25" customFormat="1" ht="26.25" customHeight="1">
      <c r="A13" s="383">
        <v>5</v>
      </c>
      <c r="B13" s="384" t="s">
        <v>399</v>
      </c>
      <c r="C13" s="29">
        <f>+'Loans Receivable'!C74</f>
        <v>1199739271</v>
      </c>
      <c r="D13" s="107">
        <f t="shared" si="0"/>
        <v>8.3101238376516409E-2</v>
      </c>
      <c r="E13" s="28"/>
      <c r="F13" s="107">
        <f t="shared" si="1"/>
        <v>0</v>
      </c>
      <c r="G13" s="28">
        <v>2220687</v>
      </c>
      <c r="H13" s="107">
        <f t="shared" si="2"/>
        <v>4.153359532425524E-2</v>
      </c>
      <c r="I13" s="29">
        <f t="shared" si="3"/>
        <v>81755893.718449995</v>
      </c>
      <c r="J13" s="29">
        <f t="shared" si="3"/>
        <v>45414555.039379992</v>
      </c>
      <c r="K13" s="107">
        <f t="shared" si="4"/>
        <v>7.2665500826103888E-2</v>
      </c>
      <c r="L13" s="28">
        <v>4535326.2991200024</v>
      </c>
      <c r="M13" s="28">
        <v>1705687.6676599991</v>
      </c>
      <c r="N13" s="28">
        <v>2581526.6135799992</v>
      </c>
      <c r="O13" s="28">
        <v>4285442.0578100001</v>
      </c>
      <c r="P13" s="28">
        <v>11260829.355119998</v>
      </c>
      <c r="Q13" s="28">
        <v>5050803.0602399968</v>
      </c>
      <c r="R13" s="28">
        <v>8945492.2722000033</v>
      </c>
      <c r="S13" s="28">
        <v>1615883.9395000001</v>
      </c>
      <c r="T13" s="28">
        <v>16900520.029880002</v>
      </c>
      <c r="U13" s="28">
        <v>8019372.3858699985</v>
      </c>
      <c r="V13" s="28">
        <v>24105435.042189993</v>
      </c>
      <c r="W13" s="28">
        <v>12817569.928299997</v>
      </c>
      <c r="X13" s="28">
        <v>13426764.106360001</v>
      </c>
      <c r="Y13" s="28">
        <v>11919796</v>
      </c>
      <c r="Z13" s="282">
        <f t="shared" si="5"/>
        <v>127170448.75782999</v>
      </c>
    </row>
    <row r="14" spans="1:27" s="25" customFormat="1" ht="26.25" customHeight="1">
      <c r="A14" s="383">
        <v>6</v>
      </c>
      <c r="B14" s="385" t="s">
        <v>400</v>
      </c>
      <c r="C14" s="29">
        <f>+'Loans Receivable'!C75</f>
        <v>0</v>
      </c>
      <c r="D14" s="107">
        <f t="shared" si="0"/>
        <v>0</v>
      </c>
      <c r="E14" s="28"/>
      <c r="F14" s="107">
        <f t="shared" si="1"/>
        <v>0</v>
      </c>
      <c r="G14" s="28"/>
      <c r="H14" s="107">
        <f t="shared" si="2"/>
        <v>0</v>
      </c>
      <c r="I14" s="29">
        <f t="shared" si="3"/>
        <v>0</v>
      </c>
      <c r="J14" s="29">
        <f t="shared" si="3"/>
        <v>0</v>
      </c>
      <c r="K14" s="107">
        <f t="shared" si="4"/>
        <v>0</v>
      </c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2">
        <f t="shared" si="5"/>
        <v>0</v>
      </c>
    </row>
    <row r="15" spans="1:27" s="25" customFormat="1" ht="26.25" customHeight="1">
      <c r="A15" s="383">
        <v>7</v>
      </c>
      <c r="B15" s="385" t="s">
        <v>401</v>
      </c>
      <c r="C15" s="29">
        <f>+'Loans Receivable'!C76</f>
        <v>5278406950</v>
      </c>
      <c r="D15" s="107">
        <f t="shared" si="0"/>
        <v>0.36561456710056373</v>
      </c>
      <c r="E15" s="28">
        <v>12486</v>
      </c>
      <c r="F15" s="107">
        <f t="shared" si="1"/>
        <v>1</v>
      </c>
      <c r="G15" s="28">
        <v>25852066</v>
      </c>
      <c r="H15" s="107">
        <f t="shared" si="2"/>
        <v>0.48351219579343591</v>
      </c>
      <c r="I15" s="29">
        <f t="shared" si="3"/>
        <v>523086353.03306997</v>
      </c>
      <c r="J15" s="29">
        <f t="shared" si="3"/>
        <v>262976543.42185995</v>
      </c>
      <c r="K15" s="107">
        <f t="shared" si="4"/>
        <v>0.44915823298294705</v>
      </c>
      <c r="L15" s="28">
        <v>46151208.003939986</v>
      </c>
      <c r="M15" s="28">
        <v>17773555.196029998</v>
      </c>
      <c r="N15" s="28">
        <v>59250193.820560001</v>
      </c>
      <c r="O15" s="28">
        <v>6322014.0667299982</v>
      </c>
      <c r="P15" s="28">
        <v>54709093.810859963</v>
      </c>
      <c r="Q15" s="28">
        <v>29950810.852290004</v>
      </c>
      <c r="R15" s="28">
        <v>61692372.232420012</v>
      </c>
      <c r="S15" s="28">
        <v>17108406.991560001</v>
      </c>
      <c r="T15" s="28">
        <v>123982248.97502005</v>
      </c>
      <c r="U15" s="28">
        <v>66724859.042609982</v>
      </c>
      <c r="V15" s="28">
        <v>136231717.96846998</v>
      </c>
      <c r="W15" s="28">
        <v>93369127.27263996</v>
      </c>
      <c r="X15" s="28">
        <v>41069518.221799992</v>
      </c>
      <c r="Y15" s="28">
        <v>31727770</v>
      </c>
      <c r="Z15" s="282">
        <f t="shared" si="5"/>
        <v>786062896.45492995</v>
      </c>
    </row>
    <row r="16" spans="1:27" s="25" customFormat="1" ht="26.25" customHeight="1">
      <c r="A16" s="383">
        <v>8</v>
      </c>
      <c r="B16" s="385" t="s">
        <v>699</v>
      </c>
      <c r="C16" s="29">
        <f>+'Loans Receivable'!C77</f>
        <v>2040311629</v>
      </c>
      <c r="D16" s="107">
        <f t="shared" si="0"/>
        <v>0.14132439200942645</v>
      </c>
      <c r="E16" s="28"/>
      <c r="F16" s="107">
        <f t="shared" si="1"/>
        <v>0</v>
      </c>
      <c r="G16" s="28">
        <v>12003593</v>
      </c>
      <c r="H16" s="107">
        <f t="shared" si="2"/>
        <v>0.2245036667027199</v>
      </c>
      <c r="I16" s="29">
        <f t="shared" si="3"/>
        <v>128545105.49791002</v>
      </c>
      <c r="J16" s="29">
        <f t="shared" si="3"/>
        <v>116872636.29839</v>
      </c>
      <c r="K16" s="107">
        <f t="shared" si="4"/>
        <v>0.14023228897461584</v>
      </c>
      <c r="L16" s="28">
        <v>5821568.7594200028</v>
      </c>
      <c r="M16" s="28">
        <v>12246628.958739998</v>
      </c>
      <c r="N16" s="28">
        <v>3187629.76302</v>
      </c>
      <c r="O16" s="28">
        <v>4642067.5639400007</v>
      </c>
      <c r="P16" s="28">
        <v>6667619.4837700026</v>
      </c>
      <c r="Q16" s="28">
        <v>5543098.4062299998</v>
      </c>
      <c r="R16" s="28">
        <v>12109880.326719999</v>
      </c>
      <c r="S16" s="28">
        <v>16724475.871519998</v>
      </c>
      <c r="T16" s="28">
        <v>29762870.538900007</v>
      </c>
      <c r="U16" s="28">
        <v>33096710.35180001</v>
      </c>
      <c r="V16" s="28">
        <v>57616029.496870004</v>
      </c>
      <c r="W16" s="28">
        <v>36163098.146159984</v>
      </c>
      <c r="X16" s="28">
        <v>13379507.129210003</v>
      </c>
      <c r="Y16" s="28">
        <v>8456557</v>
      </c>
      <c r="Z16" s="282">
        <f t="shared" si="5"/>
        <v>245417741.79630002</v>
      </c>
    </row>
    <row r="17" spans="1:26" s="25" customFormat="1" ht="26.25" customHeight="1">
      <c r="A17" s="383">
        <v>9</v>
      </c>
      <c r="B17" s="386" t="s">
        <v>700</v>
      </c>
      <c r="C17" s="29">
        <f>+'Loans Receivable'!C81</f>
        <v>0</v>
      </c>
      <c r="D17" s="107">
        <f t="shared" si="0"/>
        <v>0</v>
      </c>
      <c r="E17" s="28"/>
      <c r="F17" s="107">
        <f t="shared" si="1"/>
        <v>0</v>
      </c>
      <c r="G17" s="28"/>
      <c r="H17" s="107">
        <f t="shared" si="2"/>
        <v>0</v>
      </c>
      <c r="I17" s="29">
        <f t="shared" si="3"/>
        <v>0</v>
      </c>
      <c r="J17" s="29">
        <f t="shared" si="3"/>
        <v>0</v>
      </c>
      <c r="K17" s="107">
        <f t="shared" si="4"/>
        <v>0</v>
      </c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2">
        <f t="shared" si="5"/>
        <v>0</v>
      </c>
    </row>
    <row r="18" spans="1:26" s="25" customFormat="1" ht="38.25" customHeight="1">
      <c r="A18" s="383">
        <v>10</v>
      </c>
      <c r="B18" s="386" t="s">
        <v>665</v>
      </c>
      <c r="C18" s="29">
        <f>+'Loans Receivable'!C82</f>
        <v>576917739</v>
      </c>
      <c r="D18" s="107">
        <f t="shared" si="0"/>
        <v>3.9960831249875685E-2</v>
      </c>
      <c r="E18" s="28"/>
      <c r="F18" s="107">
        <f t="shared" si="1"/>
        <v>0</v>
      </c>
      <c r="G18" s="28">
        <v>9413616</v>
      </c>
      <c r="H18" s="107">
        <f t="shared" si="2"/>
        <v>0.17606322614665385</v>
      </c>
      <c r="I18" s="29">
        <f t="shared" si="3"/>
        <v>53113543.198690012</v>
      </c>
      <c r="J18" s="29">
        <f t="shared" si="3"/>
        <v>40122088.135159999</v>
      </c>
      <c r="K18" s="107">
        <f t="shared" si="4"/>
        <v>5.3275064387118889E-2</v>
      </c>
      <c r="L18" s="28">
        <v>2066493.1724800002</v>
      </c>
      <c r="M18" s="28">
        <v>411736.5154899999</v>
      </c>
      <c r="N18" s="28">
        <v>2754274.5205600006</v>
      </c>
      <c r="O18" s="28">
        <v>1496311.0543600002</v>
      </c>
      <c r="P18" s="28">
        <v>3532481.6057600006</v>
      </c>
      <c r="Q18" s="28">
        <v>4525963.2317900006</v>
      </c>
      <c r="R18" s="28">
        <v>7242414.582489999</v>
      </c>
      <c r="S18" s="28">
        <v>2929248.5067500002</v>
      </c>
      <c r="T18" s="28">
        <v>9589893.1736599971</v>
      </c>
      <c r="U18" s="28">
        <v>10847337.352089997</v>
      </c>
      <c r="V18" s="28">
        <v>19917723.658990007</v>
      </c>
      <c r="W18" s="28">
        <v>8737800.4746800028</v>
      </c>
      <c r="X18" s="28">
        <v>8010262.4847500008</v>
      </c>
      <c r="Y18" s="28">
        <v>11173691</v>
      </c>
      <c r="Z18" s="282">
        <f t="shared" si="5"/>
        <v>93235631.333850011</v>
      </c>
    </row>
    <row r="19" spans="1:26" s="25" customFormat="1" ht="26.25" customHeight="1">
      <c r="A19" s="383">
        <v>11</v>
      </c>
      <c r="B19" s="386" t="s">
        <v>666</v>
      </c>
      <c r="C19" s="29">
        <f>+'Loans Receivable'!C83</f>
        <v>0</v>
      </c>
      <c r="D19" s="107">
        <f t="shared" si="0"/>
        <v>0</v>
      </c>
      <c r="E19" s="28"/>
      <c r="F19" s="107">
        <f t="shared" si="1"/>
        <v>0</v>
      </c>
      <c r="G19" s="28"/>
      <c r="H19" s="107">
        <f t="shared" si="2"/>
        <v>0</v>
      </c>
      <c r="I19" s="29">
        <f t="shared" si="3"/>
        <v>0</v>
      </c>
      <c r="J19" s="29">
        <f t="shared" si="3"/>
        <v>0</v>
      </c>
      <c r="K19" s="107">
        <f t="shared" si="4"/>
        <v>0</v>
      </c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2">
        <f t="shared" si="5"/>
        <v>0</v>
      </c>
    </row>
    <row r="20" spans="1:26" s="25" customFormat="1" ht="26.25" customHeight="1">
      <c r="A20" s="383">
        <v>12</v>
      </c>
      <c r="B20" s="386" t="s">
        <v>667</v>
      </c>
      <c r="C20" s="29">
        <f>+'Loans Receivable'!C84</f>
        <v>0</v>
      </c>
      <c r="D20" s="107">
        <f t="shared" si="0"/>
        <v>0</v>
      </c>
      <c r="E20" s="28"/>
      <c r="F20" s="107">
        <f t="shared" si="1"/>
        <v>0</v>
      </c>
      <c r="G20" s="28"/>
      <c r="H20" s="107">
        <f t="shared" si="2"/>
        <v>0</v>
      </c>
      <c r="I20" s="29">
        <f t="shared" si="3"/>
        <v>0</v>
      </c>
      <c r="J20" s="29">
        <f t="shared" si="3"/>
        <v>0</v>
      </c>
      <c r="K20" s="107">
        <f t="shared" si="4"/>
        <v>0</v>
      </c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2">
        <f t="shared" si="5"/>
        <v>0</v>
      </c>
    </row>
    <row r="21" spans="1:26" s="25" customFormat="1" ht="18.75" customHeight="1">
      <c r="A21" s="26"/>
      <c r="B21" s="27"/>
      <c r="C21" s="29"/>
      <c r="D21" s="107"/>
      <c r="E21" s="106"/>
      <c r="F21" s="107"/>
      <c r="G21" s="106"/>
      <c r="H21" s="107"/>
      <c r="I21" s="29"/>
      <c r="J21" s="107"/>
      <c r="K21" s="107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2">
        <f>+I21+J21</f>
        <v>0</v>
      </c>
    </row>
    <row r="22" spans="1:26" s="25" customFormat="1" ht="27.75" customHeight="1">
      <c r="A22" s="115">
        <v>13</v>
      </c>
      <c r="B22" s="115" t="s">
        <v>668</v>
      </c>
      <c r="C22" s="568">
        <f>SUM(C9:C20)</f>
        <v>14437080535</v>
      </c>
      <c r="D22" s="569">
        <f>IF(C$22=0,"",C22/C$22)</f>
        <v>1</v>
      </c>
      <c r="E22" s="568">
        <f>SUM(E9:E20)</f>
        <v>12486</v>
      </c>
      <c r="F22" s="569">
        <f>IF(E$22=0,"",E22/E$22)</f>
        <v>1</v>
      </c>
      <c r="G22" s="568">
        <f>SUM(G9:G20)</f>
        <v>53467247</v>
      </c>
      <c r="H22" s="569">
        <f>IF($G$22=0,"",G22/$G$22)</f>
        <v>1</v>
      </c>
      <c r="I22" s="568">
        <f>SUM(I9:I20)</f>
        <v>1150824346.0718596</v>
      </c>
      <c r="J22" s="568">
        <f>SUM(J9:J20)</f>
        <v>599255778.77530992</v>
      </c>
      <c r="K22" s="569">
        <f>IF($Z$22=0,"",Z22/$Z$22)</f>
        <v>1</v>
      </c>
      <c r="L22" s="568">
        <f t="shared" ref="L22:Y22" si="6">SUM(L9:L20)</f>
        <v>68401025.826589942</v>
      </c>
      <c r="M22" s="568">
        <f t="shared" si="6"/>
        <v>35731686.539780006</v>
      </c>
      <c r="N22" s="568">
        <f t="shared" si="6"/>
        <v>81303166.676199973</v>
      </c>
      <c r="O22" s="568">
        <f t="shared" si="6"/>
        <v>21417846.32978002</v>
      </c>
      <c r="P22" s="568">
        <f t="shared" si="6"/>
        <v>107955313.39996997</v>
      </c>
      <c r="Q22" s="568">
        <f t="shared" si="6"/>
        <v>53788585.355649948</v>
      </c>
      <c r="R22" s="568">
        <f t="shared" si="6"/>
        <v>119695004.70720997</v>
      </c>
      <c r="S22" s="568">
        <f t="shared" si="6"/>
        <v>46141767.022959985</v>
      </c>
      <c r="T22" s="568">
        <f t="shared" si="6"/>
        <v>307754254.34463996</v>
      </c>
      <c r="U22" s="568">
        <f t="shared" si="6"/>
        <v>154834700.94525987</v>
      </c>
      <c r="V22" s="568">
        <f t="shared" si="6"/>
        <v>346104737.12715989</v>
      </c>
      <c r="W22" s="568">
        <f t="shared" si="6"/>
        <v>201414098.58188003</v>
      </c>
      <c r="X22" s="568">
        <f t="shared" si="6"/>
        <v>119610843.99008995</v>
      </c>
      <c r="Y22" s="568">
        <f t="shared" si="6"/>
        <v>85927094</v>
      </c>
      <c r="Z22" s="282">
        <f t="shared" si="5"/>
        <v>1750080124.8471694</v>
      </c>
    </row>
    <row r="23" spans="1:26" s="25" customFormat="1" ht="18.75" customHeight="1">
      <c r="A23" s="383"/>
      <c r="B23" s="384"/>
      <c r="C23" s="29"/>
      <c r="D23" s="570"/>
      <c r="E23" s="106"/>
      <c r="F23" s="107"/>
      <c r="G23" s="106"/>
      <c r="H23" s="570"/>
      <c r="I23" s="29"/>
      <c r="J23" s="107"/>
      <c r="K23" s="570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2">
        <f t="shared" si="5"/>
        <v>0</v>
      </c>
    </row>
    <row r="24" spans="1:26" s="25" customFormat="1" ht="27.75" customHeight="1">
      <c r="A24" s="115"/>
      <c r="B24" s="115" t="s">
        <v>669</v>
      </c>
      <c r="C24" s="387"/>
      <c r="D24" s="387"/>
      <c r="E24" s="387"/>
      <c r="F24" s="387"/>
      <c r="G24" s="387"/>
      <c r="H24" s="387"/>
      <c r="I24" s="387"/>
      <c r="J24" s="387"/>
      <c r="K24" s="387"/>
      <c r="L24" s="387"/>
      <c r="M24" s="387"/>
      <c r="N24" s="387"/>
      <c r="O24" s="387"/>
      <c r="P24" s="387"/>
      <c r="Q24" s="387"/>
      <c r="R24" s="387"/>
      <c r="S24" s="387"/>
      <c r="T24" s="387"/>
      <c r="U24" s="387"/>
      <c r="V24" s="387"/>
      <c r="W24" s="387"/>
      <c r="X24" s="387"/>
      <c r="Y24" s="387"/>
      <c r="Z24" s="280">
        <f t="shared" si="5"/>
        <v>0</v>
      </c>
    </row>
    <row r="25" spans="1:26" s="25" customFormat="1" ht="26.25" customHeight="1">
      <c r="A25" s="26">
        <v>14</v>
      </c>
      <c r="B25" s="501" t="s">
        <v>468</v>
      </c>
      <c r="C25" s="29">
        <f>+'Loans Receivable'!C14</f>
        <v>3795740987</v>
      </c>
      <c r="D25" s="107">
        <f t="shared" ref="D25:D32" si="7">IF(C$35=0,"",C25/C$35)</f>
        <v>0.26291610535786208</v>
      </c>
      <c r="E25" s="28"/>
      <c r="F25" s="107">
        <f t="shared" ref="F25:F33" si="8">IF($E$35=0,"",E25/$E$35)</f>
        <v>0</v>
      </c>
      <c r="G25" s="28">
        <v>9453815</v>
      </c>
      <c r="H25" s="107">
        <f t="shared" ref="H25:H33" si="9">IF($G$35=0,"",G25/$G$35)</f>
        <v>0.17681506960700633</v>
      </c>
      <c r="I25" s="29">
        <f t="shared" ref="I25:J32" si="10">+L25+N25+P25+R25+T25+V25+X25</f>
        <v>340983479.73016</v>
      </c>
      <c r="J25" s="29">
        <f t="shared" si="10"/>
        <v>163329112.25969002</v>
      </c>
      <c r="K25" s="107">
        <f t="shared" ref="K25:K33" si="11">IF($Z$35=0,"",Z25/$Z$35)</f>
        <v>0.28816543015931373</v>
      </c>
      <c r="L25" s="28">
        <v>44009050.162319988</v>
      </c>
      <c r="M25" s="28">
        <v>12905226.491659997</v>
      </c>
      <c r="N25" s="28">
        <v>43804780.33964999</v>
      </c>
      <c r="O25" s="28">
        <v>4994670.1182199977</v>
      </c>
      <c r="P25" s="28">
        <v>43472964.600429997</v>
      </c>
      <c r="Q25" s="28">
        <v>19848114.90535</v>
      </c>
      <c r="R25" s="28">
        <v>35102549.39514</v>
      </c>
      <c r="S25" s="28">
        <v>9510326.8300999962</v>
      </c>
      <c r="T25" s="28">
        <v>74681885.78768003</v>
      </c>
      <c r="U25" s="28">
        <v>33401620.078350004</v>
      </c>
      <c r="V25" s="28">
        <v>61644151.865210012</v>
      </c>
      <c r="W25" s="28">
        <v>59462799.836010031</v>
      </c>
      <c r="X25" s="28">
        <v>38268097.579729982</v>
      </c>
      <c r="Y25" s="28">
        <v>23206354</v>
      </c>
      <c r="Z25" s="282">
        <f t="shared" si="5"/>
        <v>504312591.98985004</v>
      </c>
    </row>
    <row r="26" spans="1:26" s="25" customFormat="1" ht="26.25" customHeight="1">
      <c r="A26" s="26">
        <v>15</v>
      </c>
      <c r="B26" s="501" t="s">
        <v>469</v>
      </c>
      <c r="C26" s="29">
        <f>+'Loans Receivable'!C22</f>
        <v>2471330376</v>
      </c>
      <c r="D26" s="107">
        <f t="shared" si="7"/>
        <v>0.17117937175793416</v>
      </c>
      <c r="E26" s="28">
        <v>12486</v>
      </c>
      <c r="F26" s="107">
        <f t="shared" si="8"/>
        <v>1</v>
      </c>
      <c r="G26" s="28">
        <v>12281602</v>
      </c>
      <c r="H26" s="107">
        <f t="shared" si="9"/>
        <v>0.22970327984158226</v>
      </c>
      <c r="I26" s="29">
        <f t="shared" si="10"/>
        <v>151801647.27939001</v>
      </c>
      <c r="J26" s="29">
        <f t="shared" si="10"/>
        <v>132494193.01016998</v>
      </c>
      <c r="K26" s="107">
        <f t="shared" si="11"/>
        <v>0.16244732812698326</v>
      </c>
      <c r="L26" s="28">
        <v>7541771.243420003</v>
      </c>
      <c r="M26" s="28">
        <v>12325568.553109998</v>
      </c>
      <c r="N26" s="28">
        <v>3913354.6473799995</v>
      </c>
      <c r="O26" s="28">
        <v>8251106.6516300021</v>
      </c>
      <c r="P26" s="28">
        <v>10263962.973060003</v>
      </c>
      <c r="Q26" s="28">
        <v>7422508.6992999977</v>
      </c>
      <c r="R26" s="28">
        <v>12824393.963409999</v>
      </c>
      <c r="S26" s="28">
        <v>17444476.639419999</v>
      </c>
      <c r="T26" s="28">
        <v>39356418.453870013</v>
      </c>
      <c r="U26" s="28">
        <v>36802669.89886</v>
      </c>
      <c r="V26" s="28">
        <v>63131285.858309999</v>
      </c>
      <c r="W26" s="28">
        <v>39667586.567849994</v>
      </c>
      <c r="X26" s="28">
        <v>14770460.139940003</v>
      </c>
      <c r="Y26" s="28">
        <v>10580276</v>
      </c>
      <c r="Z26" s="282">
        <f t="shared" si="5"/>
        <v>284295840.28955996</v>
      </c>
    </row>
    <row r="27" spans="1:26" s="25" customFormat="1" ht="26.25" customHeight="1">
      <c r="A27" s="26">
        <v>16</v>
      </c>
      <c r="B27" s="501" t="s">
        <v>470</v>
      </c>
      <c r="C27" s="29">
        <f>+'Loans Receivable'!C29</f>
        <v>275718959</v>
      </c>
      <c r="D27" s="107">
        <f t="shared" si="7"/>
        <v>1.9097971943258955E-2</v>
      </c>
      <c r="E27" s="28"/>
      <c r="F27" s="107">
        <f t="shared" si="8"/>
        <v>0</v>
      </c>
      <c r="G27" s="28">
        <v>155044</v>
      </c>
      <c r="H27" s="107">
        <f t="shared" si="9"/>
        <v>2.8997939617126725E-3</v>
      </c>
      <c r="I27" s="29">
        <f t="shared" si="10"/>
        <v>20588201.075880002</v>
      </c>
      <c r="J27" s="29">
        <f t="shared" si="10"/>
        <v>9965168.9528899994</v>
      </c>
      <c r="K27" s="107">
        <f t="shared" si="11"/>
        <v>1.7458269250065425E-2</v>
      </c>
      <c r="L27" s="28">
        <v>302598.37139000004</v>
      </c>
      <c r="M27" s="28">
        <v>185581.8499</v>
      </c>
      <c r="N27" s="28">
        <v>564911.84063000011</v>
      </c>
      <c r="O27" s="28">
        <v>333757.52919999999</v>
      </c>
      <c r="P27" s="28">
        <v>2496051.7773299995</v>
      </c>
      <c r="Q27" s="28">
        <v>474411.24712999997</v>
      </c>
      <c r="R27" s="28">
        <v>325433.50406000001</v>
      </c>
      <c r="S27" s="28">
        <v>54846.129639999999</v>
      </c>
      <c r="T27" s="28">
        <v>1587845.7591500001</v>
      </c>
      <c r="U27" s="28">
        <v>6474908.2019699998</v>
      </c>
      <c r="V27" s="28">
        <v>14890258.709290002</v>
      </c>
      <c r="W27" s="28">
        <v>2001810.99505</v>
      </c>
      <c r="X27" s="28">
        <v>421101.11403</v>
      </c>
      <c r="Y27" s="28">
        <v>439853</v>
      </c>
      <c r="Z27" s="282">
        <f t="shared" si="5"/>
        <v>30553370.02877</v>
      </c>
    </row>
    <row r="28" spans="1:26" s="25" customFormat="1" ht="26.25" customHeight="1">
      <c r="A28" s="26">
        <v>17</v>
      </c>
      <c r="B28" s="501" t="s">
        <v>471</v>
      </c>
      <c r="C28" s="29">
        <f>+'Loans Receivable'!C36</f>
        <v>858938251</v>
      </c>
      <c r="D28" s="107">
        <f t="shared" si="7"/>
        <v>5.9495287078136394E-2</v>
      </c>
      <c r="E28" s="28"/>
      <c r="F28" s="107">
        <f t="shared" si="8"/>
        <v>0</v>
      </c>
      <c r="G28" s="28">
        <v>12044740</v>
      </c>
      <c r="H28" s="107">
        <f t="shared" si="9"/>
        <v>0.22527324064394039</v>
      </c>
      <c r="I28" s="29">
        <f t="shared" si="10"/>
        <v>71229501.692289993</v>
      </c>
      <c r="J28" s="29">
        <f t="shared" si="10"/>
        <v>46069493.735059991</v>
      </c>
      <c r="K28" s="107">
        <f t="shared" si="11"/>
        <v>6.7024928608679243E-2</v>
      </c>
      <c r="L28" s="28">
        <v>1252866.37335</v>
      </c>
      <c r="M28" s="28">
        <v>2815440.45566</v>
      </c>
      <c r="N28" s="28">
        <v>11718292.51588</v>
      </c>
      <c r="O28" s="28">
        <v>113172.65699</v>
      </c>
      <c r="P28" s="28">
        <v>1023509.5640100001</v>
      </c>
      <c r="Q28" s="28">
        <v>3724203.7407799996</v>
      </c>
      <c r="R28" s="28">
        <v>10124954.697279999</v>
      </c>
      <c r="S28" s="28">
        <v>2101186.92356</v>
      </c>
      <c r="T28" s="28">
        <v>14294701.275309999</v>
      </c>
      <c r="U28" s="28">
        <v>9070557.2635699995</v>
      </c>
      <c r="V28" s="28">
        <v>29783789.658750001</v>
      </c>
      <c r="W28" s="28">
        <v>22745880.694499996</v>
      </c>
      <c r="X28" s="28">
        <v>3031387.6077100001</v>
      </c>
      <c r="Y28" s="28">
        <v>5499052</v>
      </c>
      <c r="Z28" s="282">
        <f t="shared" si="5"/>
        <v>117298995.42734998</v>
      </c>
    </row>
    <row r="29" spans="1:26" s="25" customFormat="1" ht="26.25" customHeight="1">
      <c r="A29" s="26">
        <v>18</v>
      </c>
      <c r="B29" s="502" t="s">
        <v>701</v>
      </c>
      <c r="C29" s="29">
        <f>+'Loans Receivable'!C43</f>
        <v>924939795</v>
      </c>
      <c r="D29" s="107">
        <f t="shared" si="7"/>
        <v>6.4066955417866972E-2</v>
      </c>
      <c r="E29" s="28"/>
      <c r="F29" s="107">
        <f t="shared" si="8"/>
        <v>0</v>
      </c>
      <c r="G29" s="28">
        <v>5706643</v>
      </c>
      <c r="H29" s="107">
        <f t="shared" si="9"/>
        <v>0.10673156596224227</v>
      </c>
      <c r="I29" s="29">
        <f t="shared" si="10"/>
        <v>133115753.16115004</v>
      </c>
      <c r="J29" s="29">
        <f t="shared" si="10"/>
        <v>65813964.243840002</v>
      </c>
      <c r="K29" s="107">
        <f t="shared" si="11"/>
        <v>0.11366891982866335</v>
      </c>
      <c r="L29" s="28">
        <v>2720238.8813999994</v>
      </c>
      <c r="M29" s="28">
        <v>2070163.9075000009</v>
      </c>
      <c r="N29" s="28">
        <v>4447857.8449199982</v>
      </c>
      <c r="O29" s="28">
        <v>1486854.0611599998</v>
      </c>
      <c r="P29" s="28">
        <v>14214957.648630004</v>
      </c>
      <c r="Q29" s="28">
        <v>8503674.730800001</v>
      </c>
      <c r="R29" s="28">
        <v>24049594.782119997</v>
      </c>
      <c r="S29" s="28">
        <v>6214733.8602999998</v>
      </c>
      <c r="T29" s="28">
        <v>33599009.813630007</v>
      </c>
      <c r="U29" s="28">
        <v>18758827.743020006</v>
      </c>
      <c r="V29" s="28">
        <v>43361331.661520027</v>
      </c>
      <c r="W29" s="28">
        <v>16931486.941059999</v>
      </c>
      <c r="X29" s="28">
        <v>10722762.528930003</v>
      </c>
      <c r="Y29" s="28">
        <v>11848223</v>
      </c>
      <c r="Z29" s="282">
        <f t="shared" si="5"/>
        <v>198929717.40499005</v>
      </c>
    </row>
    <row r="30" spans="1:26" s="25" customFormat="1" ht="38.25" customHeight="1">
      <c r="A30" s="26">
        <v>19</v>
      </c>
      <c r="B30" s="502" t="s">
        <v>473</v>
      </c>
      <c r="C30" s="29">
        <f>+'Loans Receivable'!C50</f>
        <v>191245213</v>
      </c>
      <c r="D30" s="107">
        <f t="shared" si="7"/>
        <v>1.324680655042145E-2</v>
      </c>
      <c r="E30" s="28"/>
      <c r="F30" s="107">
        <f t="shared" si="8"/>
        <v>0</v>
      </c>
      <c r="G30" s="28">
        <v>434503</v>
      </c>
      <c r="H30" s="107">
        <f t="shared" si="9"/>
        <v>8.1265265069660302E-3</v>
      </c>
      <c r="I30" s="29">
        <f t="shared" si="10"/>
        <v>15643199.45961</v>
      </c>
      <c r="J30" s="29">
        <f t="shared" si="10"/>
        <v>7589287.7776299994</v>
      </c>
      <c r="K30" s="107">
        <f t="shared" si="11"/>
        <v>1.3275099183969559E-2</v>
      </c>
      <c r="L30" s="28">
        <v>681578.03059999971</v>
      </c>
      <c r="M30" s="28">
        <v>1421949.5296700005</v>
      </c>
      <c r="N30" s="28">
        <v>570153.00869999977</v>
      </c>
      <c r="O30" s="28">
        <v>69388.925860000003</v>
      </c>
      <c r="P30" s="28">
        <v>1166096.0862899998</v>
      </c>
      <c r="Q30" s="28">
        <v>571798.99540000001</v>
      </c>
      <c r="R30" s="28">
        <v>320818.48933000001</v>
      </c>
      <c r="S30" s="28">
        <v>123196.41956000001</v>
      </c>
      <c r="T30" s="28">
        <v>7100208.6032100013</v>
      </c>
      <c r="U30" s="28">
        <v>3332358.5945099993</v>
      </c>
      <c r="V30" s="28">
        <v>5142364.7544499999</v>
      </c>
      <c r="W30" s="28">
        <v>1540230.3126300001</v>
      </c>
      <c r="X30" s="28">
        <v>661980.48702999996</v>
      </c>
      <c r="Y30" s="28">
        <v>530365</v>
      </c>
      <c r="Z30" s="282">
        <f t="shared" si="5"/>
        <v>23232487.237240002</v>
      </c>
    </row>
    <row r="31" spans="1:26" s="25" customFormat="1" ht="26.25" customHeight="1">
      <c r="A31" s="26">
        <v>20</v>
      </c>
      <c r="B31" s="501" t="s">
        <v>702</v>
      </c>
      <c r="C31" s="29">
        <f>+'Loans Receivable'!C58</f>
        <v>573303150</v>
      </c>
      <c r="D31" s="107">
        <f t="shared" si="7"/>
        <v>3.9710462832851408E-2</v>
      </c>
      <c r="E31" s="28"/>
      <c r="F31" s="107">
        <f t="shared" si="8"/>
        <v>0</v>
      </c>
      <c r="G31" s="28">
        <v>8577767</v>
      </c>
      <c r="H31" s="107">
        <f t="shared" si="9"/>
        <v>0.16043030979320855</v>
      </c>
      <c r="I31" s="29">
        <f t="shared" si="10"/>
        <v>51749145.792300001</v>
      </c>
      <c r="J31" s="29">
        <f t="shared" si="10"/>
        <v>38680041.720100001</v>
      </c>
      <c r="K31" s="107">
        <f t="shared" si="11"/>
        <v>5.1671455625665698E-2</v>
      </c>
      <c r="L31" s="28">
        <v>2066493.1724800002</v>
      </c>
      <c r="M31" s="28">
        <v>411736.5154899999</v>
      </c>
      <c r="N31" s="28">
        <v>2754274.5205600006</v>
      </c>
      <c r="O31" s="28">
        <v>1496311.0543600002</v>
      </c>
      <c r="P31" s="28">
        <v>3532481.6057600006</v>
      </c>
      <c r="Q31" s="28">
        <v>4525963.2317900006</v>
      </c>
      <c r="R31" s="28">
        <v>7242414.582489999</v>
      </c>
      <c r="S31" s="28">
        <v>2928716.4057699996</v>
      </c>
      <c r="T31" s="28">
        <v>9480415.1405399963</v>
      </c>
      <c r="U31" s="28">
        <v>10847337.352089997</v>
      </c>
      <c r="V31" s="28">
        <v>18662804.285720002</v>
      </c>
      <c r="W31" s="28">
        <v>7296286.160600001</v>
      </c>
      <c r="X31" s="28">
        <v>8010262.4847500008</v>
      </c>
      <c r="Y31" s="28">
        <v>11173691</v>
      </c>
      <c r="Z31" s="282">
        <f t="shared" si="5"/>
        <v>90429187.512400001</v>
      </c>
    </row>
    <row r="32" spans="1:26" s="25" customFormat="1" ht="26.25" customHeight="1">
      <c r="A32" s="26">
        <v>21</v>
      </c>
      <c r="B32" s="501" t="s">
        <v>475</v>
      </c>
      <c r="C32" s="29">
        <f>+'Loans Receivable'!C70</f>
        <v>4158858</v>
      </c>
      <c r="D32" s="107">
        <f t="shared" si="7"/>
        <v>2.8806779805083357E-4</v>
      </c>
      <c r="E32" s="28"/>
      <c r="F32" s="107">
        <f t="shared" si="8"/>
        <v>0</v>
      </c>
      <c r="G32" s="28">
        <v>835848</v>
      </c>
      <c r="H32" s="107">
        <f t="shared" si="9"/>
        <v>1.5632897650406426E-2</v>
      </c>
      <c r="I32" s="29">
        <f t="shared" si="10"/>
        <v>1389967.2573399998</v>
      </c>
      <c r="J32" s="29">
        <f t="shared" si="10"/>
        <v>1444561.1954099999</v>
      </c>
      <c r="K32" s="107">
        <f t="shared" si="11"/>
        <v>1.619656387445422E-3</v>
      </c>
      <c r="L32" s="28">
        <v>0</v>
      </c>
      <c r="M32" s="28">
        <v>1941.03493</v>
      </c>
      <c r="N32" s="28">
        <v>0</v>
      </c>
      <c r="O32" s="28">
        <v>573.74542000000008</v>
      </c>
      <c r="P32" s="28">
        <v>0</v>
      </c>
      <c r="Q32" s="28">
        <v>0</v>
      </c>
      <c r="R32" s="28">
        <v>0</v>
      </c>
      <c r="S32" s="28">
        <v>532.10097999999994</v>
      </c>
      <c r="T32" s="28">
        <v>135047.88407</v>
      </c>
      <c r="U32" s="28">
        <v>0</v>
      </c>
      <c r="V32" s="28">
        <v>1254919.3732699999</v>
      </c>
      <c r="W32" s="28">
        <v>1441514.3140799999</v>
      </c>
      <c r="X32" s="28">
        <v>0</v>
      </c>
      <c r="Y32" s="28">
        <v>0</v>
      </c>
      <c r="Z32" s="282">
        <f t="shared" si="5"/>
        <v>2834528.4527499997</v>
      </c>
    </row>
    <row r="33" spans="1:30" s="25" customFormat="1" ht="26.25" customHeight="1">
      <c r="A33" s="26">
        <v>22</v>
      </c>
      <c r="B33" s="501" t="s">
        <v>398</v>
      </c>
      <c r="C33" s="29">
        <f>+'Loans Receivable'!C71</f>
        <v>5341704946</v>
      </c>
      <c r="D33" s="107">
        <f t="shared" ref="D33" si="12">IF(C$35=0,"",C33/C$35)</f>
        <v>0.36999897126361775</v>
      </c>
      <c r="E33" s="28"/>
      <c r="F33" s="107">
        <f t="shared" si="8"/>
        <v>0</v>
      </c>
      <c r="G33" s="28">
        <v>3977285</v>
      </c>
      <c r="H33" s="107">
        <f t="shared" si="9"/>
        <v>7.438731603293508E-2</v>
      </c>
      <c r="I33" s="29">
        <f t="shared" ref="I33" si="13">+L33+N33+P33+R33+T33+V33+X33</f>
        <v>364323450.62373972</v>
      </c>
      <c r="J33" s="29">
        <f t="shared" ref="J33" si="14">+M33+O33+Q33+S33+U33+W33+Y33</f>
        <v>133869955.88051996</v>
      </c>
      <c r="K33" s="107">
        <f t="shared" si="11"/>
        <v>0.28466891282921453</v>
      </c>
      <c r="L33" s="28">
        <v>9826429.5916299578</v>
      </c>
      <c r="M33" s="28">
        <v>3594078.2018600111</v>
      </c>
      <c r="N33" s="28">
        <v>13529541.958479982</v>
      </c>
      <c r="O33" s="28">
        <v>4672011.5869400231</v>
      </c>
      <c r="P33" s="28">
        <v>31785289.144460019</v>
      </c>
      <c r="Q33" s="28">
        <v>8717909.8050999437</v>
      </c>
      <c r="R33" s="28">
        <v>29704845.293379966</v>
      </c>
      <c r="S33" s="28">
        <v>7763751.7136299824</v>
      </c>
      <c r="T33" s="28">
        <v>127518721.62717994</v>
      </c>
      <c r="U33" s="28">
        <v>36146421.812889889</v>
      </c>
      <c r="V33" s="28">
        <v>108233830.96063989</v>
      </c>
      <c r="W33" s="28">
        <v>50326502.760100096</v>
      </c>
      <c r="X33" s="28">
        <v>43724792.047969967</v>
      </c>
      <c r="Y33" s="28">
        <v>22649280</v>
      </c>
      <c r="Z33" s="282">
        <f t="shared" si="5"/>
        <v>498193406.50425971</v>
      </c>
    </row>
    <row r="34" spans="1:30" s="25" customFormat="1" ht="18.75" customHeight="1">
      <c r="A34" s="26"/>
      <c r="B34" s="27"/>
      <c r="C34" s="29"/>
      <c r="D34" s="107"/>
      <c r="E34" s="106"/>
      <c r="F34" s="107"/>
      <c r="G34" s="106"/>
      <c r="H34" s="107"/>
      <c r="I34" s="29"/>
      <c r="J34" s="107"/>
      <c r="K34" s="107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2">
        <f t="shared" si="5"/>
        <v>0</v>
      </c>
    </row>
    <row r="35" spans="1:30" s="25" customFormat="1" ht="27.75" customHeight="1">
      <c r="A35" s="387">
        <v>23</v>
      </c>
      <c r="B35" s="387" t="s">
        <v>668</v>
      </c>
      <c r="C35" s="568">
        <f>SUM(C25:C33)</f>
        <v>14437080535</v>
      </c>
      <c r="D35" s="569">
        <f>IF(C$35=0,"",C35/C$35)</f>
        <v>1</v>
      </c>
      <c r="E35" s="568">
        <f>SUM(E25:E33)</f>
        <v>12486</v>
      </c>
      <c r="F35" s="569">
        <f>IF($E$35=0,"",E35/$E$35)</f>
        <v>1</v>
      </c>
      <c r="G35" s="568">
        <f>SUM(G25:G33)</f>
        <v>53467247</v>
      </c>
      <c r="H35" s="569">
        <f>IF($G$35=0,"",G35/$G$35)</f>
        <v>1</v>
      </c>
      <c r="I35" s="568">
        <f t="shared" ref="I35:J35" si="15">SUM(I25:I33)</f>
        <v>1150824346.0718596</v>
      </c>
      <c r="J35" s="568">
        <f t="shared" si="15"/>
        <v>599255778.77530992</v>
      </c>
      <c r="K35" s="569">
        <f>IF($Z$35=0,"",Z35/$Z$35)</f>
        <v>1</v>
      </c>
      <c r="L35" s="568">
        <f t="shared" ref="L35:Y35" si="16">SUM(L25:L33)</f>
        <v>68401025.826589942</v>
      </c>
      <c r="M35" s="568">
        <f t="shared" si="16"/>
        <v>35731686.539780006</v>
      </c>
      <c r="N35" s="568">
        <f t="shared" si="16"/>
        <v>81303166.676199973</v>
      </c>
      <c r="O35" s="568">
        <f t="shared" si="16"/>
        <v>21417846.329780024</v>
      </c>
      <c r="P35" s="568">
        <f t="shared" si="16"/>
        <v>107955313.39997002</v>
      </c>
      <c r="Q35" s="568">
        <f t="shared" si="16"/>
        <v>53788585.355649933</v>
      </c>
      <c r="R35" s="568">
        <f t="shared" si="16"/>
        <v>119695004.70720994</v>
      </c>
      <c r="S35" s="568">
        <f t="shared" si="16"/>
        <v>46141767.022959977</v>
      </c>
      <c r="T35" s="568">
        <f t="shared" si="16"/>
        <v>307754254.34464002</v>
      </c>
      <c r="U35" s="568">
        <f t="shared" si="16"/>
        <v>154834700.9452599</v>
      </c>
      <c r="V35" s="568">
        <f t="shared" si="16"/>
        <v>346104737.12715995</v>
      </c>
      <c r="W35" s="568">
        <f t="shared" si="16"/>
        <v>201414098.58188012</v>
      </c>
      <c r="X35" s="568">
        <f t="shared" si="16"/>
        <v>119610843.99008997</v>
      </c>
      <c r="Y35" s="568">
        <f t="shared" si="16"/>
        <v>85927094</v>
      </c>
      <c r="Z35" s="282">
        <f t="shared" si="5"/>
        <v>1750080124.8471694</v>
      </c>
    </row>
    <row r="36" spans="1:30" ht="22.5" customHeight="1">
      <c r="A36" s="30"/>
    </row>
    <row r="37" spans="1:30" s="258" customFormat="1" ht="18.75" customHeight="1">
      <c r="A37" s="34"/>
      <c r="B37" s="196" t="s">
        <v>778</v>
      </c>
      <c r="C37" s="34"/>
      <c r="D37" s="34"/>
      <c r="E37" s="34"/>
      <c r="F37" s="338"/>
      <c r="G37" s="338"/>
      <c r="H37" s="338"/>
      <c r="I37" s="338"/>
      <c r="J37" s="338"/>
      <c r="K37" s="338"/>
      <c r="L37" s="338"/>
      <c r="M37" s="338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</row>
    <row r="38" spans="1:30" s="258" customFormat="1" ht="18.75" customHeight="1">
      <c r="A38" s="34"/>
      <c r="B38" s="196"/>
      <c r="C38" s="34"/>
      <c r="D38" s="34"/>
      <c r="E38" s="34"/>
      <c r="F38" s="338"/>
      <c r="G38" s="338"/>
      <c r="H38" s="338"/>
      <c r="I38" s="338"/>
      <c r="J38" s="338"/>
      <c r="K38" s="338"/>
      <c r="L38" s="338"/>
      <c r="M38" s="338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</row>
    <row r="39" spans="1:30" s="258" customFormat="1" ht="18.75" customHeight="1">
      <c r="A39" s="34"/>
      <c r="B39" s="196" t="s">
        <v>779</v>
      </c>
      <c r="C39" s="34"/>
      <c r="D39" s="34"/>
      <c r="E39" s="34"/>
      <c r="F39" s="338"/>
      <c r="G39" s="338"/>
      <c r="H39" s="338"/>
      <c r="I39" s="338"/>
      <c r="J39" s="338"/>
      <c r="K39" s="338"/>
      <c r="L39" s="338"/>
      <c r="M39" s="338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spans="1:30" ht="15.75">
      <c r="A40" s="30"/>
      <c r="B40" s="31"/>
    </row>
    <row r="42" spans="1:30">
      <c r="G42" s="574">
        <f>+'[8]Bank Assets Analysis'!$S$31</f>
        <v>41579224</v>
      </c>
    </row>
  </sheetData>
  <sheetProtection password="CACA"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15" type="noConversion"/>
  <conditionalFormatting sqref="C35">
    <cfRule type="cellIs" dxfId="373" priority="5" operator="notEqual">
      <formula>C22</formula>
    </cfRule>
  </conditionalFormatting>
  <conditionalFormatting sqref="E35">
    <cfRule type="cellIs" dxfId="372" priority="4" operator="notEqual">
      <formula>E22</formula>
    </cfRule>
  </conditionalFormatting>
  <conditionalFormatting sqref="G35">
    <cfRule type="cellIs" dxfId="371" priority="3" operator="notEqual">
      <formula>G22</formula>
    </cfRule>
  </conditionalFormatting>
  <conditionalFormatting sqref="I35:J35">
    <cfRule type="cellIs" dxfId="370" priority="2" operator="notEqual">
      <formula>I22</formula>
    </cfRule>
  </conditionalFormatting>
  <conditionalFormatting sqref="L35:Y35">
    <cfRule type="cellIs" dxfId="369" priority="1" operator="notEqual">
      <formula>L22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3 N20:T20 E25:E33 U25:Y34 L26:T34 L21:T21 N25:T25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3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AJ87"/>
  <sheetViews>
    <sheetView view="pageBreakPreview" topLeftCell="A4" zoomScale="60" zoomScaleNormal="62" workbookViewId="0">
      <pane xSplit="3" ySplit="1" topLeftCell="H44" activePane="bottomRight" state="frozen"/>
      <selection activeCell="J47" sqref="J47"/>
      <selection pane="topRight" activeCell="J47" sqref="J47"/>
      <selection pane="bottomLeft" activeCell="J47" sqref="J47"/>
      <selection pane="bottomRight" activeCell="W1" sqref="W1"/>
    </sheetView>
  </sheetViews>
  <sheetFormatPr defaultColWidth="9.42578125" defaultRowHeight="12.75"/>
  <cols>
    <col min="1" max="1" width="5" style="262" customWidth="1"/>
    <col min="2" max="2" width="47.42578125" style="262" customWidth="1"/>
    <col min="3" max="4" width="21.28515625" style="262" customWidth="1"/>
    <col min="5" max="7" width="18.7109375" style="262" customWidth="1"/>
    <col min="8" max="8" width="17" style="262" customWidth="1"/>
    <col min="9" max="11" width="18" style="262" customWidth="1"/>
    <col min="12" max="12" width="17" style="262" customWidth="1"/>
    <col min="13" max="13" width="16.7109375" style="262" customWidth="1"/>
    <col min="14" max="14" width="14.7109375" style="262" customWidth="1"/>
    <col min="15" max="15" width="13.7109375" style="262" customWidth="1"/>
    <col min="16" max="16" width="17" style="262" customWidth="1"/>
    <col min="17" max="17" width="16.5703125" style="262" customWidth="1"/>
    <col min="18" max="19" width="14.7109375" style="262" customWidth="1"/>
    <col min="20" max="20" width="17" style="262" customWidth="1"/>
    <col min="21" max="21" width="18" style="262" customWidth="1"/>
    <col min="22" max="22" width="17" style="262" customWidth="1"/>
    <col min="23" max="24" width="16.5703125" style="262" customWidth="1"/>
    <col min="25" max="25" width="17" style="262" bestFit="1" customWidth="1"/>
    <col min="26" max="26" width="16.5703125" style="262" customWidth="1"/>
    <col min="27" max="28" width="14.7109375" style="262" customWidth="1"/>
    <col min="29" max="29" width="19.140625" style="279" customWidth="1"/>
    <col min="30" max="30" width="19" style="279" customWidth="1"/>
    <col min="31" max="36" width="9.42578125" style="279"/>
    <col min="37" max="16384" width="9.42578125" style="262"/>
  </cols>
  <sheetData>
    <row r="1" spans="1:36" ht="21" customHeight="1">
      <c r="A1" s="388" t="s">
        <v>642</v>
      </c>
      <c r="B1" s="389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  <c r="U1" s="260"/>
      <c r="V1" s="260"/>
      <c r="X1" s="260"/>
      <c r="Y1" s="260"/>
      <c r="Z1" s="390" t="s">
        <v>643</v>
      </c>
      <c r="AA1" s="260"/>
    </row>
    <row r="2" spans="1:36" ht="12.75" customHeight="1">
      <c r="A2" s="388"/>
      <c r="B2" s="389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60"/>
      <c r="V2" s="260"/>
      <c r="X2" s="260"/>
      <c r="Y2" s="260"/>
      <c r="Z2" s="390"/>
      <c r="AA2" s="260"/>
    </row>
    <row r="3" spans="1:36" ht="15.75">
      <c r="A3" s="391"/>
      <c r="B3" s="96" t="str">
        <f>+'Asset quality'!B3</f>
        <v>"MKBANK"</v>
      </c>
      <c r="D3" s="391"/>
      <c r="E3" s="391"/>
      <c r="F3" s="391"/>
      <c r="G3" s="391"/>
      <c r="H3" s="391"/>
      <c r="I3" s="391"/>
      <c r="J3" s="391"/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733">
        <f>+'Asset quality'!Q3</f>
        <v>45289</v>
      </c>
      <c r="V3" s="733"/>
      <c r="W3" s="95"/>
      <c r="X3" s="391"/>
      <c r="Y3" s="391"/>
      <c r="AA3" s="261"/>
      <c r="AB3" s="392" t="str">
        <f>+'Asset quality'!T3</f>
        <v>минг. сўмда</v>
      </c>
    </row>
    <row r="4" spans="1:36" ht="125.25" customHeight="1">
      <c r="A4" s="393" t="s">
        <v>61</v>
      </c>
      <c r="B4" s="394" t="s">
        <v>284</v>
      </c>
      <c r="C4" s="395" t="s">
        <v>644</v>
      </c>
      <c r="D4" s="395" t="s">
        <v>645</v>
      </c>
      <c r="E4" s="395" t="s">
        <v>646</v>
      </c>
      <c r="F4" s="395" t="s">
        <v>645</v>
      </c>
      <c r="G4" s="395" t="s">
        <v>780</v>
      </c>
      <c r="H4" s="395" t="s">
        <v>645</v>
      </c>
      <c r="I4" s="395" t="s">
        <v>647</v>
      </c>
      <c r="J4" s="395" t="s">
        <v>645</v>
      </c>
      <c r="K4" s="395" t="s">
        <v>648</v>
      </c>
      <c r="L4" s="395" t="s">
        <v>645</v>
      </c>
      <c r="M4" s="395" t="s">
        <v>649</v>
      </c>
      <c r="N4" s="395" t="s">
        <v>645</v>
      </c>
      <c r="O4" s="395" t="s">
        <v>650</v>
      </c>
      <c r="P4" s="395" t="s">
        <v>645</v>
      </c>
      <c r="Q4" s="395" t="s">
        <v>651</v>
      </c>
      <c r="R4" s="395" t="s">
        <v>645</v>
      </c>
      <c r="S4" s="395" t="s">
        <v>652</v>
      </c>
      <c r="T4" s="395" t="s">
        <v>645</v>
      </c>
      <c r="U4" s="395" t="s">
        <v>653</v>
      </c>
      <c r="V4" s="395" t="s">
        <v>645</v>
      </c>
      <c r="W4" s="395" t="s">
        <v>654</v>
      </c>
      <c r="X4" s="395" t="s">
        <v>645</v>
      </c>
      <c r="Y4" s="395" t="s">
        <v>655</v>
      </c>
      <c r="Z4" s="395" t="s">
        <v>645</v>
      </c>
      <c r="AA4" s="395" t="s">
        <v>656</v>
      </c>
      <c r="AB4" s="395" t="s">
        <v>657</v>
      </c>
    </row>
    <row r="5" spans="1:36" s="16" customFormat="1" ht="25.5">
      <c r="A5" s="15" t="s">
        <v>66</v>
      </c>
      <c r="B5" s="15" t="s">
        <v>36</v>
      </c>
      <c r="C5" s="15" t="s">
        <v>37</v>
      </c>
      <c r="D5" s="15" t="s">
        <v>733</v>
      </c>
      <c r="E5" s="15" t="s">
        <v>38</v>
      </c>
      <c r="F5" s="15" t="s">
        <v>734</v>
      </c>
      <c r="G5" s="15" t="s">
        <v>62</v>
      </c>
      <c r="H5" s="15" t="s">
        <v>735</v>
      </c>
      <c r="I5" s="15" t="s">
        <v>63</v>
      </c>
      <c r="J5" s="15" t="s">
        <v>736</v>
      </c>
      <c r="K5" s="15" t="s">
        <v>64</v>
      </c>
      <c r="L5" s="15" t="s">
        <v>737</v>
      </c>
      <c r="M5" s="15" t="s">
        <v>67</v>
      </c>
      <c r="N5" s="15" t="s">
        <v>738</v>
      </c>
      <c r="O5" s="15" t="s">
        <v>68</v>
      </c>
      <c r="P5" s="15" t="s">
        <v>739</v>
      </c>
      <c r="Q5" s="15" t="s">
        <v>69</v>
      </c>
      <c r="R5" s="15" t="s">
        <v>740</v>
      </c>
      <c r="S5" s="15" t="s">
        <v>70</v>
      </c>
      <c r="T5" s="15" t="s">
        <v>741</v>
      </c>
      <c r="U5" s="15" t="s">
        <v>71</v>
      </c>
      <c r="V5" s="15" t="s">
        <v>742</v>
      </c>
      <c r="W5" s="15" t="s">
        <v>72</v>
      </c>
      <c r="X5" s="15" t="s">
        <v>743</v>
      </c>
      <c r="Y5" s="15" t="s">
        <v>31</v>
      </c>
      <c r="Z5" s="15" t="s">
        <v>744</v>
      </c>
      <c r="AA5" s="15" t="s">
        <v>155</v>
      </c>
      <c r="AB5" s="15" t="s">
        <v>156</v>
      </c>
      <c r="AC5" s="280"/>
      <c r="AD5" s="280"/>
      <c r="AE5" s="280"/>
      <c r="AF5" s="280"/>
      <c r="AG5" s="280"/>
      <c r="AH5" s="280"/>
      <c r="AI5" s="280"/>
      <c r="AJ5" s="280"/>
    </row>
    <row r="6" spans="1:36" s="585" customFormat="1" ht="27.75" customHeight="1">
      <c r="A6" s="583"/>
      <c r="B6" s="583" t="s">
        <v>658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  <c r="T6" s="583"/>
      <c r="U6" s="583"/>
      <c r="V6" s="583"/>
      <c r="W6" s="583"/>
      <c r="X6" s="583"/>
      <c r="Y6" s="583"/>
      <c r="Z6" s="583"/>
      <c r="AA6" s="583"/>
      <c r="AB6" s="583"/>
      <c r="AD6" s="691"/>
    </row>
    <row r="7" spans="1:36" s="16" customFormat="1" ht="23.25" customHeight="1">
      <c r="A7" s="399">
        <v>1</v>
      </c>
      <c r="B7" s="396" t="s">
        <v>659</v>
      </c>
      <c r="C7" s="560">
        <f t="shared" ref="C7:C30" si="0">E7+I7+M7+Q7+U7</f>
        <v>0</v>
      </c>
      <c r="D7" s="558">
        <f>F7+J7+N7+R7+V7</f>
        <v>0</v>
      </c>
      <c r="E7" s="559"/>
      <c r="F7" s="559"/>
      <c r="G7" s="559"/>
      <c r="H7" s="559"/>
      <c r="I7" s="559"/>
      <c r="J7" s="559"/>
      <c r="K7" s="559"/>
      <c r="L7" s="559"/>
      <c r="M7" s="559"/>
      <c r="N7" s="559"/>
      <c r="O7" s="559"/>
      <c r="P7" s="559"/>
      <c r="Q7" s="559"/>
      <c r="R7" s="559"/>
      <c r="S7" s="559"/>
      <c r="T7" s="559"/>
      <c r="U7" s="559"/>
      <c r="V7" s="559"/>
      <c r="W7" s="559"/>
      <c r="X7" s="559"/>
      <c r="Y7" s="557">
        <f t="shared" ref="Y7:Y30" si="1">+W7+S7+O7+K7</f>
        <v>0</v>
      </c>
      <c r="Z7" s="558">
        <f t="shared" ref="Z7:Z30" si="2">+X7+T7+P7+L7</f>
        <v>0</v>
      </c>
      <c r="AA7" s="18"/>
      <c r="AB7" s="18"/>
      <c r="AC7" s="282">
        <f>+'Aging Analysis'!C9</f>
        <v>0</v>
      </c>
      <c r="AD7" s="691">
        <f>+C7-AC7</f>
        <v>0</v>
      </c>
      <c r="AE7" s="280"/>
      <c r="AF7" s="280"/>
      <c r="AG7" s="280"/>
      <c r="AH7" s="280"/>
      <c r="AI7" s="280"/>
      <c r="AJ7" s="280"/>
    </row>
    <row r="8" spans="1:36" s="16" customFormat="1" ht="14.25" customHeight="1">
      <c r="A8" s="399"/>
      <c r="B8" s="397" t="s">
        <v>660</v>
      </c>
      <c r="C8" s="560">
        <f t="shared" si="0"/>
        <v>0</v>
      </c>
      <c r="D8" s="558">
        <f t="shared" ref="D8:D30" si="3">F8+J8+N8+R8+V8</f>
        <v>0</v>
      </c>
      <c r="E8" s="561"/>
      <c r="F8" s="559"/>
      <c r="G8" s="561"/>
      <c r="H8" s="559"/>
      <c r="I8" s="561"/>
      <c r="J8" s="559"/>
      <c r="K8" s="561"/>
      <c r="L8" s="559"/>
      <c r="M8" s="561"/>
      <c r="N8" s="559"/>
      <c r="O8" s="561"/>
      <c r="P8" s="559"/>
      <c r="Q8" s="561"/>
      <c r="R8" s="559"/>
      <c r="S8" s="561"/>
      <c r="T8" s="559"/>
      <c r="U8" s="561"/>
      <c r="V8" s="559"/>
      <c r="W8" s="561"/>
      <c r="X8" s="559"/>
      <c r="Y8" s="557">
        <f t="shared" si="1"/>
        <v>0</v>
      </c>
      <c r="Z8" s="558">
        <f t="shared" si="2"/>
        <v>0</v>
      </c>
      <c r="AA8" s="18"/>
      <c r="AB8" s="18"/>
      <c r="AD8" s="691"/>
      <c r="AE8" s="280"/>
      <c r="AF8" s="280"/>
      <c r="AG8" s="280"/>
      <c r="AH8" s="280"/>
      <c r="AI8" s="280"/>
      <c r="AJ8" s="280"/>
    </row>
    <row r="9" spans="1:36" s="16" customFormat="1" ht="23.25" customHeight="1">
      <c r="A9" s="399">
        <v>2</v>
      </c>
      <c r="B9" s="396" t="s">
        <v>661</v>
      </c>
      <c r="C9" s="560">
        <f t="shared" si="0"/>
        <v>0</v>
      </c>
      <c r="D9" s="558">
        <f t="shared" si="3"/>
        <v>0</v>
      </c>
      <c r="E9" s="561"/>
      <c r="F9" s="559"/>
      <c r="G9" s="561"/>
      <c r="H9" s="559"/>
      <c r="I9" s="561"/>
      <c r="J9" s="559"/>
      <c r="K9" s="561"/>
      <c r="L9" s="559"/>
      <c r="M9" s="561"/>
      <c r="N9" s="559"/>
      <c r="O9" s="561"/>
      <c r="P9" s="559"/>
      <c r="Q9" s="561"/>
      <c r="R9" s="559"/>
      <c r="S9" s="561"/>
      <c r="T9" s="559"/>
      <c r="U9" s="561"/>
      <c r="V9" s="559"/>
      <c r="W9" s="561"/>
      <c r="X9" s="559"/>
      <c r="Y9" s="557">
        <f t="shared" si="1"/>
        <v>0</v>
      </c>
      <c r="Z9" s="558">
        <f t="shared" si="2"/>
        <v>0</v>
      </c>
      <c r="AA9" s="18"/>
      <c r="AB9" s="18"/>
      <c r="AC9" s="282">
        <f>+'Aging Analysis'!C10</f>
        <v>0</v>
      </c>
      <c r="AD9" s="691">
        <f>+C9-AC9</f>
        <v>0</v>
      </c>
      <c r="AE9" s="280"/>
      <c r="AF9" s="280"/>
      <c r="AG9" s="280"/>
      <c r="AH9" s="280"/>
      <c r="AI9" s="280"/>
      <c r="AJ9" s="280"/>
    </row>
    <row r="10" spans="1:36" s="16" customFormat="1" ht="14.25" customHeight="1">
      <c r="A10" s="399"/>
      <c r="B10" s="397" t="s">
        <v>660</v>
      </c>
      <c r="C10" s="560">
        <f t="shared" si="0"/>
        <v>0</v>
      </c>
      <c r="D10" s="558">
        <f t="shared" si="3"/>
        <v>0</v>
      </c>
      <c r="E10" s="561"/>
      <c r="F10" s="559"/>
      <c r="G10" s="561"/>
      <c r="H10" s="559"/>
      <c r="I10" s="561"/>
      <c r="J10" s="559"/>
      <c r="K10" s="561"/>
      <c r="L10" s="559"/>
      <c r="M10" s="561"/>
      <c r="N10" s="559"/>
      <c r="O10" s="561"/>
      <c r="P10" s="559"/>
      <c r="Q10" s="561"/>
      <c r="R10" s="559"/>
      <c r="S10" s="561"/>
      <c r="T10" s="559"/>
      <c r="U10" s="561"/>
      <c r="V10" s="559"/>
      <c r="W10" s="561"/>
      <c r="X10" s="559"/>
      <c r="Y10" s="557">
        <f t="shared" si="1"/>
        <v>0</v>
      </c>
      <c r="Z10" s="558">
        <f t="shared" si="2"/>
        <v>0</v>
      </c>
      <c r="AA10" s="18"/>
      <c r="AB10" s="18"/>
      <c r="AD10" s="691"/>
      <c r="AE10" s="280"/>
      <c r="AF10" s="280"/>
      <c r="AG10" s="280"/>
      <c r="AH10" s="280"/>
      <c r="AI10" s="280"/>
      <c r="AJ10" s="280"/>
    </row>
    <row r="11" spans="1:36" s="16" customFormat="1" ht="23.25" customHeight="1">
      <c r="A11" s="399">
        <v>3</v>
      </c>
      <c r="B11" s="396" t="s">
        <v>397</v>
      </c>
      <c r="C11" s="560">
        <f t="shared" si="0"/>
        <v>0</v>
      </c>
      <c r="D11" s="558">
        <f t="shared" si="3"/>
        <v>0</v>
      </c>
      <c r="E11" s="561"/>
      <c r="F11" s="559"/>
      <c r="G11" s="561"/>
      <c r="H11" s="559"/>
      <c r="I11" s="561"/>
      <c r="J11" s="559"/>
      <c r="K11" s="561"/>
      <c r="L11" s="559"/>
      <c r="M11" s="561"/>
      <c r="N11" s="559"/>
      <c r="O11" s="561"/>
      <c r="P11" s="559"/>
      <c r="Q11" s="561"/>
      <c r="R11" s="559"/>
      <c r="S11" s="561"/>
      <c r="T11" s="559"/>
      <c r="U11" s="561"/>
      <c r="V11" s="559"/>
      <c r="W11" s="561"/>
      <c r="X11" s="559"/>
      <c r="Y11" s="557">
        <f t="shared" si="1"/>
        <v>0</v>
      </c>
      <c r="Z11" s="558">
        <f t="shared" si="2"/>
        <v>0</v>
      </c>
      <c r="AA11" s="18"/>
      <c r="AB11" s="18"/>
      <c r="AC11" s="282">
        <f>+'Aging Analysis'!C11</f>
        <v>0</v>
      </c>
      <c r="AD11" s="691">
        <f>+C11-AC11</f>
        <v>0</v>
      </c>
      <c r="AE11" s="280"/>
      <c r="AF11" s="280"/>
      <c r="AG11" s="280"/>
      <c r="AH11" s="280"/>
      <c r="AI11" s="280"/>
      <c r="AJ11" s="280"/>
    </row>
    <row r="12" spans="1:36" s="16" customFormat="1" ht="14.25" customHeight="1">
      <c r="A12" s="399"/>
      <c r="B12" s="397" t="s">
        <v>660</v>
      </c>
      <c r="C12" s="560">
        <f t="shared" si="0"/>
        <v>0</v>
      </c>
      <c r="D12" s="558">
        <f t="shared" si="3"/>
        <v>0</v>
      </c>
      <c r="E12" s="561"/>
      <c r="F12" s="559"/>
      <c r="G12" s="561"/>
      <c r="H12" s="559"/>
      <c r="I12" s="561"/>
      <c r="J12" s="559"/>
      <c r="K12" s="561"/>
      <c r="L12" s="559"/>
      <c r="M12" s="561"/>
      <c r="N12" s="559"/>
      <c r="O12" s="561"/>
      <c r="P12" s="559"/>
      <c r="Q12" s="561"/>
      <c r="R12" s="559"/>
      <c r="S12" s="561"/>
      <c r="T12" s="559"/>
      <c r="U12" s="561"/>
      <c r="V12" s="559"/>
      <c r="W12" s="561"/>
      <c r="X12" s="559"/>
      <c r="Y12" s="557">
        <f t="shared" si="1"/>
        <v>0</v>
      </c>
      <c r="Z12" s="558">
        <f t="shared" si="2"/>
        <v>0</v>
      </c>
      <c r="AA12" s="18"/>
      <c r="AB12" s="18"/>
      <c r="AD12" s="691"/>
      <c r="AE12" s="280"/>
      <c r="AF12" s="280"/>
      <c r="AG12" s="280"/>
      <c r="AH12" s="280"/>
      <c r="AI12" s="280"/>
      <c r="AJ12" s="280"/>
    </row>
    <row r="13" spans="1:36" s="16" customFormat="1" ht="23.25" customHeight="1">
      <c r="A13" s="399">
        <v>4</v>
      </c>
      <c r="B13" s="396" t="s">
        <v>398</v>
      </c>
      <c r="C13" s="560">
        <f t="shared" si="0"/>
        <v>5341704946</v>
      </c>
      <c r="D13" s="558">
        <f t="shared" si="3"/>
        <v>0</v>
      </c>
      <c r="E13" s="561">
        <v>4070042033</v>
      </c>
      <c r="F13" s="559">
        <v>0</v>
      </c>
      <c r="G13" s="561">
        <v>0</v>
      </c>
      <c r="H13" s="559">
        <v>0</v>
      </c>
      <c r="I13" s="561">
        <v>863151778</v>
      </c>
      <c r="J13" s="559">
        <v>0</v>
      </c>
      <c r="K13" s="561">
        <v>28934162</v>
      </c>
      <c r="L13" s="559">
        <v>0</v>
      </c>
      <c r="M13" s="561">
        <v>88775127</v>
      </c>
      <c r="N13" s="559">
        <v>0</v>
      </c>
      <c r="O13" s="561">
        <v>1489803</v>
      </c>
      <c r="P13" s="559">
        <v>0</v>
      </c>
      <c r="Q13" s="561">
        <v>195192536</v>
      </c>
      <c r="R13" s="559">
        <v>0</v>
      </c>
      <c r="S13" s="561">
        <v>10685170</v>
      </c>
      <c r="T13" s="559">
        <v>0</v>
      </c>
      <c r="U13" s="561">
        <v>124543472</v>
      </c>
      <c r="V13" s="559">
        <v>0</v>
      </c>
      <c r="W13" s="561">
        <v>17327736</v>
      </c>
      <c r="X13" s="559">
        <v>0</v>
      </c>
      <c r="Y13" s="557">
        <f t="shared" si="1"/>
        <v>58436871</v>
      </c>
      <c r="Z13" s="558">
        <f t="shared" si="2"/>
        <v>0</v>
      </c>
      <c r="AA13" s="18"/>
      <c r="AB13" s="18"/>
      <c r="AC13" s="282">
        <f>+'Aging Analysis'!C12</f>
        <v>5341704946</v>
      </c>
      <c r="AD13" s="691">
        <f>+C13-AC13</f>
        <v>0</v>
      </c>
      <c r="AE13" s="280"/>
      <c r="AF13" s="280"/>
      <c r="AG13" s="280"/>
      <c r="AH13" s="280"/>
      <c r="AI13" s="280"/>
      <c r="AJ13" s="280"/>
    </row>
    <row r="14" spans="1:36" s="16" customFormat="1" ht="14.25" customHeight="1">
      <c r="A14" s="399"/>
      <c r="B14" s="397" t="s">
        <v>660</v>
      </c>
      <c r="C14" s="560">
        <f t="shared" si="0"/>
        <v>0</v>
      </c>
      <c r="D14" s="558">
        <f t="shared" si="3"/>
        <v>0</v>
      </c>
      <c r="E14" s="561"/>
      <c r="F14" s="559"/>
      <c r="G14" s="561"/>
      <c r="H14" s="559"/>
      <c r="I14" s="561"/>
      <c r="J14" s="559"/>
      <c r="K14" s="561"/>
      <c r="L14" s="559"/>
      <c r="M14" s="561"/>
      <c r="N14" s="559"/>
      <c r="O14" s="561"/>
      <c r="P14" s="559"/>
      <c r="Q14" s="561"/>
      <c r="R14" s="559"/>
      <c r="S14" s="561"/>
      <c r="T14" s="559"/>
      <c r="U14" s="561"/>
      <c r="V14" s="559"/>
      <c r="W14" s="561"/>
      <c r="X14" s="559"/>
      <c r="Y14" s="557">
        <f t="shared" si="1"/>
        <v>0</v>
      </c>
      <c r="Z14" s="558">
        <f t="shared" si="2"/>
        <v>0</v>
      </c>
      <c r="AA14" s="18"/>
      <c r="AB14" s="18"/>
      <c r="AD14" s="691"/>
      <c r="AE14" s="280"/>
      <c r="AF14" s="280"/>
      <c r="AG14" s="280"/>
      <c r="AH14" s="280"/>
      <c r="AI14" s="280"/>
      <c r="AJ14" s="280"/>
    </row>
    <row r="15" spans="1:36" s="16" customFormat="1" ht="23.25" customHeight="1">
      <c r="A15" s="399">
        <v>5</v>
      </c>
      <c r="B15" s="396" t="s">
        <v>662</v>
      </c>
      <c r="C15" s="560">
        <f t="shared" si="0"/>
        <v>1199739271</v>
      </c>
      <c r="D15" s="558">
        <f t="shared" si="3"/>
        <v>114668975</v>
      </c>
      <c r="E15" s="561">
        <v>911268510</v>
      </c>
      <c r="F15" s="559">
        <v>61663564</v>
      </c>
      <c r="G15" s="561">
        <v>0</v>
      </c>
      <c r="H15" s="559">
        <v>2385741</v>
      </c>
      <c r="I15" s="561">
        <v>247891297</v>
      </c>
      <c r="J15" s="559">
        <v>48924829</v>
      </c>
      <c r="K15" s="561">
        <v>8313641</v>
      </c>
      <c r="L15" s="559">
        <v>2730256</v>
      </c>
      <c r="M15" s="561">
        <v>1280431</v>
      </c>
      <c r="N15" s="559">
        <v>0</v>
      </c>
      <c r="O15" s="561">
        <v>7941</v>
      </c>
      <c r="P15" s="559">
        <v>0</v>
      </c>
      <c r="Q15" s="561">
        <v>3115877</v>
      </c>
      <c r="R15" s="559">
        <v>0</v>
      </c>
      <c r="S15" s="561">
        <v>242835</v>
      </c>
      <c r="T15" s="559">
        <v>0</v>
      </c>
      <c r="U15" s="561">
        <v>36183156</v>
      </c>
      <c r="V15" s="559">
        <v>4080582</v>
      </c>
      <c r="W15" s="561">
        <v>7695045</v>
      </c>
      <c r="X15" s="559">
        <v>0</v>
      </c>
      <c r="Y15" s="557">
        <f t="shared" si="1"/>
        <v>16259462</v>
      </c>
      <c r="Z15" s="558">
        <f t="shared" si="2"/>
        <v>2730256</v>
      </c>
      <c r="AA15" s="18"/>
      <c r="AB15" s="18"/>
      <c r="AC15" s="282">
        <f>+'Aging Analysis'!C13</f>
        <v>1199739271</v>
      </c>
      <c r="AD15" s="691">
        <f>+C15-AC15</f>
        <v>0</v>
      </c>
      <c r="AE15" s="280"/>
      <c r="AF15" s="280"/>
      <c r="AG15" s="280"/>
      <c r="AH15" s="280"/>
      <c r="AI15" s="280"/>
      <c r="AJ15" s="280"/>
    </row>
    <row r="16" spans="1:36" s="16" customFormat="1" ht="14.25" customHeight="1">
      <c r="A16" s="399"/>
      <c r="B16" s="397" t="s">
        <v>660</v>
      </c>
      <c r="C16" s="560">
        <f t="shared" si="0"/>
        <v>0</v>
      </c>
      <c r="D16" s="558">
        <f t="shared" si="3"/>
        <v>0</v>
      </c>
      <c r="E16" s="561"/>
      <c r="F16" s="559"/>
      <c r="G16" s="561"/>
      <c r="H16" s="559"/>
      <c r="I16" s="561"/>
      <c r="J16" s="559"/>
      <c r="K16" s="561"/>
      <c r="L16" s="559"/>
      <c r="M16" s="561"/>
      <c r="N16" s="559"/>
      <c r="O16" s="561"/>
      <c r="P16" s="559"/>
      <c r="Q16" s="561"/>
      <c r="R16" s="559"/>
      <c r="S16" s="561"/>
      <c r="T16" s="559"/>
      <c r="U16" s="561"/>
      <c r="V16" s="559"/>
      <c r="W16" s="561"/>
      <c r="X16" s="559"/>
      <c r="Y16" s="557">
        <f t="shared" si="1"/>
        <v>0</v>
      </c>
      <c r="Z16" s="558">
        <f t="shared" si="2"/>
        <v>0</v>
      </c>
      <c r="AA16" s="18"/>
      <c r="AB16" s="18"/>
      <c r="AD16" s="691"/>
      <c r="AE16" s="280"/>
      <c r="AF16" s="280"/>
      <c r="AG16" s="280"/>
      <c r="AH16" s="280"/>
      <c r="AI16" s="280"/>
      <c r="AJ16" s="280"/>
    </row>
    <row r="17" spans="1:36" s="16" customFormat="1" ht="23.25" customHeight="1">
      <c r="A17" s="399">
        <v>6</v>
      </c>
      <c r="B17" s="396" t="s">
        <v>400</v>
      </c>
      <c r="C17" s="560">
        <f t="shared" si="0"/>
        <v>0</v>
      </c>
      <c r="D17" s="558">
        <f t="shared" si="3"/>
        <v>0</v>
      </c>
      <c r="E17" s="561">
        <v>0</v>
      </c>
      <c r="F17" s="559">
        <v>0</v>
      </c>
      <c r="G17" s="561">
        <v>0</v>
      </c>
      <c r="H17" s="559">
        <v>0</v>
      </c>
      <c r="I17" s="561">
        <v>0</v>
      </c>
      <c r="J17" s="559">
        <v>0</v>
      </c>
      <c r="K17" s="561">
        <v>0</v>
      </c>
      <c r="L17" s="559">
        <v>0</v>
      </c>
      <c r="M17" s="561">
        <v>0</v>
      </c>
      <c r="N17" s="559">
        <v>0</v>
      </c>
      <c r="O17" s="561">
        <v>0</v>
      </c>
      <c r="P17" s="559">
        <v>0</v>
      </c>
      <c r="Q17" s="561">
        <v>0</v>
      </c>
      <c r="R17" s="559">
        <v>0</v>
      </c>
      <c r="S17" s="561">
        <v>0</v>
      </c>
      <c r="T17" s="559">
        <v>0</v>
      </c>
      <c r="U17" s="561">
        <v>0</v>
      </c>
      <c r="V17" s="559">
        <v>0</v>
      </c>
      <c r="W17" s="561">
        <v>0</v>
      </c>
      <c r="X17" s="559">
        <v>0</v>
      </c>
      <c r="Y17" s="557">
        <f t="shared" si="1"/>
        <v>0</v>
      </c>
      <c r="Z17" s="558">
        <f t="shared" si="2"/>
        <v>0</v>
      </c>
      <c r="AA17" s="18"/>
      <c r="AB17" s="18"/>
      <c r="AC17" s="282">
        <f>+'Aging Analysis'!C14</f>
        <v>0</v>
      </c>
      <c r="AD17" s="691">
        <f>+C17-AC17</f>
        <v>0</v>
      </c>
      <c r="AE17" s="280"/>
      <c r="AF17" s="280"/>
      <c r="AG17" s="280"/>
      <c r="AH17" s="280"/>
      <c r="AI17" s="280"/>
      <c r="AJ17" s="280"/>
    </row>
    <row r="18" spans="1:36" s="16" customFormat="1" ht="14.25" customHeight="1">
      <c r="A18" s="399"/>
      <c r="B18" s="397" t="s">
        <v>660</v>
      </c>
      <c r="C18" s="560">
        <f t="shared" si="0"/>
        <v>0</v>
      </c>
      <c r="D18" s="558">
        <f t="shared" si="3"/>
        <v>0</v>
      </c>
      <c r="E18" s="561"/>
      <c r="F18" s="559"/>
      <c r="G18" s="561"/>
      <c r="H18" s="559"/>
      <c r="I18" s="561"/>
      <c r="J18" s="559"/>
      <c r="K18" s="561"/>
      <c r="L18" s="559"/>
      <c r="M18" s="561"/>
      <c r="N18" s="559"/>
      <c r="O18" s="561"/>
      <c r="P18" s="559"/>
      <c r="Q18" s="561"/>
      <c r="R18" s="559"/>
      <c r="S18" s="561"/>
      <c r="T18" s="559"/>
      <c r="U18" s="561"/>
      <c r="V18" s="559"/>
      <c r="W18" s="561"/>
      <c r="X18" s="559"/>
      <c r="Y18" s="557">
        <f t="shared" si="1"/>
        <v>0</v>
      </c>
      <c r="Z18" s="558">
        <f t="shared" si="2"/>
        <v>0</v>
      </c>
      <c r="AA18" s="18"/>
      <c r="AB18" s="18"/>
      <c r="AD18" s="691"/>
      <c r="AE18" s="280"/>
      <c r="AF18" s="280"/>
      <c r="AG18" s="280"/>
      <c r="AH18" s="280"/>
      <c r="AI18" s="280"/>
      <c r="AJ18" s="280"/>
    </row>
    <row r="19" spans="1:36" s="16" customFormat="1" ht="23.25" customHeight="1">
      <c r="A19" s="399">
        <v>7</v>
      </c>
      <c r="B19" s="396" t="s">
        <v>401</v>
      </c>
      <c r="C19" s="560">
        <f t="shared" si="0"/>
        <v>5278406950</v>
      </c>
      <c r="D19" s="558">
        <f t="shared" si="3"/>
        <v>2593821408</v>
      </c>
      <c r="E19" s="561">
        <v>3478272583</v>
      </c>
      <c r="F19" s="559">
        <v>1601034767</v>
      </c>
      <c r="G19" s="561">
        <v>0</v>
      </c>
      <c r="H19" s="559">
        <v>1711119</v>
      </c>
      <c r="I19" s="561">
        <v>1563477802</v>
      </c>
      <c r="J19" s="559">
        <v>903590781</v>
      </c>
      <c r="K19" s="561">
        <v>41327287</v>
      </c>
      <c r="L19" s="559">
        <v>11999892</v>
      </c>
      <c r="M19" s="561">
        <v>9364090</v>
      </c>
      <c r="N19" s="559">
        <v>741198</v>
      </c>
      <c r="O19" s="561">
        <v>174786</v>
      </c>
      <c r="P19" s="559">
        <v>74120</v>
      </c>
      <c r="Q19" s="561">
        <v>17172757</v>
      </c>
      <c r="R19" s="559">
        <v>0</v>
      </c>
      <c r="S19" s="561">
        <v>1263394</v>
      </c>
      <c r="T19" s="559">
        <v>0</v>
      </c>
      <c r="U19" s="561">
        <v>210119718</v>
      </c>
      <c r="V19" s="559">
        <v>88454662</v>
      </c>
      <c r="W19" s="561">
        <v>42589985</v>
      </c>
      <c r="X19" s="559">
        <v>1614435</v>
      </c>
      <c r="Y19" s="557">
        <f t="shared" si="1"/>
        <v>85355452</v>
      </c>
      <c r="Z19" s="558">
        <f t="shared" si="2"/>
        <v>13688447</v>
      </c>
      <c r="AA19" s="18"/>
      <c r="AB19" s="18"/>
      <c r="AC19" s="282">
        <f>+'Aging Analysis'!C15</f>
        <v>5278406950</v>
      </c>
      <c r="AD19" s="691">
        <f>+C19-AC19</f>
        <v>0</v>
      </c>
      <c r="AE19" s="280"/>
      <c r="AF19" s="280"/>
      <c r="AG19" s="280"/>
      <c r="AH19" s="280"/>
      <c r="AI19" s="280"/>
      <c r="AJ19" s="280"/>
    </row>
    <row r="20" spans="1:36" s="16" customFormat="1" ht="14.25" customHeight="1">
      <c r="A20" s="399"/>
      <c r="B20" s="397" t="s">
        <v>660</v>
      </c>
      <c r="C20" s="560">
        <f t="shared" si="0"/>
        <v>0</v>
      </c>
      <c r="D20" s="558">
        <f t="shared" si="3"/>
        <v>0</v>
      </c>
      <c r="E20" s="561"/>
      <c r="F20" s="559"/>
      <c r="G20" s="561"/>
      <c r="H20" s="559"/>
      <c r="I20" s="561"/>
      <c r="J20" s="559"/>
      <c r="K20" s="561"/>
      <c r="L20" s="559"/>
      <c r="M20" s="561"/>
      <c r="N20" s="559"/>
      <c r="O20" s="561"/>
      <c r="P20" s="559"/>
      <c r="Q20" s="561"/>
      <c r="R20" s="559"/>
      <c r="S20" s="561"/>
      <c r="T20" s="559"/>
      <c r="U20" s="561"/>
      <c r="V20" s="559"/>
      <c r="W20" s="561"/>
      <c r="X20" s="559"/>
      <c r="Y20" s="557">
        <f t="shared" si="1"/>
        <v>0</v>
      </c>
      <c r="Z20" s="558">
        <f t="shared" si="2"/>
        <v>0</v>
      </c>
      <c r="AA20" s="18"/>
      <c r="AB20" s="18"/>
      <c r="AD20" s="691"/>
      <c r="AE20" s="280"/>
      <c r="AF20" s="280"/>
      <c r="AG20" s="280"/>
      <c r="AH20" s="280"/>
      <c r="AI20" s="280"/>
      <c r="AJ20" s="280"/>
    </row>
    <row r="21" spans="1:36" s="16" customFormat="1" ht="23.25" customHeight="1">
      <c r="A21" s="399">
        <v>8</v>
      </c>
      <c r="B21" s="396" t="s">
        <v>663</v>
      </c>
      <c r="C21" s="560">
        <f t="shared" si="0"/>
        <v>2040311629</v>
      </c>
      <c r="D21" s="558">
        <f t="shared" si="3"/>
        <v>837019572</v>
      </c>
      <c r="E21" s="561">
        <v>1267573459</v>
      </c>
      <c r="F21" s="559">
        <v>561724428</v>
      </c>
      <c r="G21" s="561">
        <v>0</v>
      </c>
      <c r="H21" s="559">
        <v>0</v>
      </c>
      <c r="I21" s="561">
        <v>626829539</v>
      </c>
      <c r="J21" s="559">
        <v>222683588</v>
      </c>
      <c r="K21" s="561">
        <v>26820213</v>
      </c>
      <c r="L21" s="559">
        <v>9563296</v>
      </c>
      <c r="M21" s="561">
        <v>1489360</v>
      </c>
      <c r="N21" s="559">
        <v>87920</v>
      </c>
      <c r="O21" s="561">
        <v>12637</v>
      </c>
      <c r="P21" s="559">
        <v>0</v>
      </c>
      <c r="Q21" s="561">
        <v>13336598</v>
      </c>
      <c r="R21" s="559">
        <v>3072659</v>
      </c>
      <c r="S21" s="561">
        <v>322547</v>
      </c>
      <c r="T21" s="559">
        <v>0</v>
      </c>
      <c r="U21" s="561">
        <v>131082673</v>
      </c>
      <c r="V21" s="559">
        <v>49450977</v>
      </c>
      <c r="W21" s="561">
        <v>30395565</v>
      </c>
      <c r="X21" s="559">
        <v>2518007</v>
      </c>
      <c r="Y21" s="557">
        <f t="shared" si="1"/>
        <v>57550962</v>
      </c>
      <c r="Z21" s="558">
        <f t="shared" si="2"/>
        <v>12081303</v>
      </c>
      <c r="AA21" s="18"/>
      <c r="AB21" s="18"/>
      <c r="AC21" s="282">
        <f>+'Aging Analysis'!C16</f>
        <v>2040311629</v>
      </c>
      <c r="AD21" s="691">
        <f>+C21-AC21</f>
        <v>0</v>
      </c>
      <c r="AE21" s="280"/>
      <c r="AF21" s="280"/>
      <c r="AG21" s="280"/>
      <c r="AH21" s="280"/>
      <c r="AI21" s="280"/>
      <c r="AJ21" s="280"/>
    </row>
    <row r="22" spans="1:36" s="16" customFormat="1" ht="14.25" customHeight="1">
      <c r="A22" s="399"/>
      <c r="B22" s="397" t="s">
        <v>660</v>
      </c>
      <c r="C22" s="560">
        <f t="shared" si="0"/>
        <v>0</v>
      </c>
      <c r="D22" s="558">
        <f t="shared" si="3"/>
        <v>0</v>
      </c>
      <c r="E22" s="561"/>
      <c r="F22" s="559"/>
      <c r="G22" s="561"/>
      <c r="H22" s="559"/>
      <c r="I22" s="561"/>
      <c r="J22" s="559"/>
      <c r="K22" s="561"/>
      <c r="L22" s="559"/>
      <c r="M22" s="561"/>
      <c r="N22" s="559"/>
      <c r="O22" s="561"/>
      <c r="P22" s="559"/>
      <c r="Q22" s="561"/>
      <c r="R22" s="559"/>
      <c r="S22" s="561"/>
      <c r="T22" s="559"/>
      <c r="U22" s="561"/>
      <c r="V22" s="559"/>
      <c r="W22" s="561"/>
      <c r="X22" s="559"/>
      <c r="Y22" s="557">
        <f t="shared" si="1"/>
        <v>0</v>
      </c>
      <c r="Z22" s="558">
        <f t="shared" si="2"/>
        <v>0</v>
      </c>
      <c r="AA22" s="18"/>
      <c r="AB22" s="18"/>
      <c r="AD22" s="691"/>
      <c r="AE22" s="280"/>
      <c r="AF22" s="280"/>
      <c r="AG22" s="280"/>
      <c r="AH22" s="280"/>
      <c r="AI22" s="280"/>
      <c r="AJ22" s="280"/>
    </row>
    <row r="23" spans="1:36" s="16" customFormat="1" ht="23.25" customHeight="1">
      <c r="A23" s="399">
        <v>9</v>
      </c>
      <c r="B23" s="396" t="s">
        <v>664</v>
      </c>
      <c r="C23" s="560">
        <f t="shared" si="0"/>
        <v>0</v>
      </c>
      <c r="D23" s="558">
        <f t="shared" si="3"/>
        <v>0</v>
      </c>
      <c r="E23" s="561">
        <v>0</v>
      </c>
      <c r="F23" s="559">
        <v>0</v>
      </c>
      <c r="G23" s="561">
        <v>0</v>
      </c>
      <c r="H23" s="559">
        <v>0</v>
      </c>
      <c r="I23" s="561">
        <v>0</v>
      </c>
      <c r="J23" s="559">
        <v>0</v>
      </c>
      <c r="K23" s="561">
        <v>0</v>
      </c>
      <c r="L23" s="559">
        <v>0</v>
      </c>
      <c r="M23" s="561">
        <v>0</v>
      </c>
      <c r="N23" s="559">
        <v>0</v>
      </c>
      <c r="O23" s="561">
        <v>0</v>
      </c>
      <c r="P23" s="559">
        <v>0</v>
      </c>
      <c r="Q23" s="561">
        <v>0</v>
      </c>
      <c r="R23" s="559">
        <v>0</v>
      </c>
      <c r="S23" s="561">
        <v>0</v>
      </c>
      <c r="T23" s="559">
        <v>0</v>
      </c>
      <c r="U23" s="561">
        <v>0</v>
      </c>
      <c r="V23" s="559">
        <v>0</v>
      </c>
      <c r="W23" s="561">
        <v>0</v>
      </c>
      <c r="X23" s="559">
        <v>0</v>
      </c>
      <c r="Y23" s="557">
        <f t="shared" si="1"/>
        <v>0</v>
      </c>
      <c r="Z23" s="558">
        <f t="shared" si="2"/>
        <v>0</v>
      </c>
      <c r="AA23" s="18"/>
      <c r="AB23" s="18"/>
      <c r="AC23" s="282">
        <f>+'Aging Analysis'!C17</f>
        <v>0</v>
      </c>
      <c r="AD23" s="691">
        <f>+C23-AC23</f>
        <v>0</v>
      </c>
      <c r="AE23" s="280"/>
      <c r="AF23" s="280"/>
      <c r="AG23" s="280"/>
      <c r="AH23" s="280"/>
      <c r="AI23" s="280"/>
      <c r="AJ23" s="280"/>
    </row>
    <row r="24" spans="1:36" s="16" customFormat="1" ht="14.25" customHeight="1">
      <c r="A24" s="399"/>
      <c r="B24" s="397" t="s">
        <v>660</v>
      </c>
      <c r="C24" s="560">
        <f t="shared" si="0"/>
        <v>0</v>
      </c>
      <c r="D24" s="558">
        <f t="shared" si="3"/>
        <v>0</v>
      </c>
      <c r="E24" s="561"/>
      <c r="F24" s="559"/>
      <c r="G24" s="561"/>
      <c r="H24" s="559"/>
      <c r="I24" s="561"/>
      <c r="J24" s="559"/>
      <c r="K24" s="561"/>
      <c r="L24" s="559"/>
      <c r="M24" s="561"/>
      <c r="N24" s="559"/>
      <c r="O24" s="561"/>
      <c r="P24" s="559"/>
      <c r="Q24" s="561"/>
      <c r="R24" s="559"/>
      <c r="S24" s="561"/>
      <c r="T24" s="559"/>
      <c r="U24" s="561"/>
      <c r="V24" s="559"/>
      <c r="W24" s="561"/>
      <c r="X24" s="559"/>
      <c r="Y24" s="557">
        <f t="shared" si="1"/>
        <v>0</v>
      </c>
      <c r="Z24" s="558">
        <f t="shared" si="2"/>
        <v>0</v>
      </c>
      <c r="AA24" s="18"/>
      <c r="AB24" s="18"/>
      <c r="AD24" s="691"/>
      <c r="AE24" s="280"/>
      <c r="AF24" s="280"/>
      <c r="AG24" s="280"/>
      <c r="AH24" s="280"/>
      <c r="AI24" s="280"/>
      <c r="AJ24" s="280"/>
    </row>
    <row r="25" spans="1:36" s="16" customFormat="1" ht="23.25" customHeight="1">
      <c r="A25" s="399">
        <v>10</v>
      </c>
      <c r="B25" s="396" t="s">
        <v>665</v>
      </c>
      <c r="C25" s="560">
        <f t="shared" si="0"/>
        <v>576917739</v>
      </c>
      <c r="D25" s="558">
        <f t="shared" si="3"/>
        <v>145454138</v>
      </c>
      <c r="E25" s="561">
        <v>311898412</v>
      </c>
      <c r="F25" s="559">
        <v>46069707</v>
      </c>
      <c r="G25" s="561">
        <v>0</v>
      </c>
      <c r="H25" s="559">
        <v>0</v>
      </c>
      <c r="I25" s="561">
        <v>231496725</v>
      </c>
      <c r="J25" s="559">
        <v>98548583</v>
      </c>
      <c r="K25" s="561">
        <v>3314543</v>
      </c>
      <c r="L25" s="559">
        <v>374416</v>
      </c>
      <c r="M25" s="561">
        <v>1464435</v>
      </c>
      <c r="N25" s="559">
        <v>0</v>
      </c>
      <c r="O25" s="561">
        <v>31536</v>
      </c>
      <c r="P25" s="559">
        <v>0</v>
      </c>
      <c r="Q25" s="561">
        <v>8769316</v>
      </c>
      <c r="R25" s="559">
        <v>0</v>
      </c>
      <c r="S25" s="561">
        <v>33046</v>
      </c>
      <c r="T25" s="559">
        <v>0</v>
      </c>
      <c r="U25" s="561">
        <v>23288851</v>
      </c>
      <c r="V25" s="559">
        <v>835848</v>
      </c>
      <c r="W25" s="561">
        <v>5001915</v>
      </c>
      <c r="X25" s="559">
        <v>0</v>
      </c>
      <c r="Y25" s="557">
        <f t="shared" si="1"/>
        <v>8381040</v>
      </c>
      <c r="Z25" s="558">
        <f t="shared" si="2"/>
        <v>374416</v>
      </c>
      <c r="AA25" s="18"/>
      <c r="AB25" s="18"/>
      <c r="AC25" s="282">
        <f>+'Aging Analysis'!C18</f>
        <v>576917739</v>
      </c>
      <c r="AD25" s="691">
        <f>+C25-AC25</f>
        <v>0</v>
      </c>
      <c r="AE25" s="280"/>
      <c r="AF25" s="280"/>
      <c r="AG25" s="280"/>
      <c r="AH25" s="280"/>
      <c r="AI25" s="280"/>
      <c r="AJ25" s="280"/>
    </row>
    <row r="26" spans="1:36" s="16" customFormat="1" ht="14.25" customHeight="1">
      <c r="A26" s="399"/>
      <c r="B26" s="397" t="s">
        <v>660</v>
      </c>
      <c r="C26" s="560">
        <f t="shared" si="0"/>
        <v>0</v>
      </c>
      <c r="D26" s="558">
        <f t="shared" si="3"/>
        <v>0</v>
      </c>
      <c r="E26" s="561"/>
      <c r="F26" s="559"/>
      <c r="G26" s="561"/>
      <c r="H26" s="559"/>
      <c r="I26" s="561"/>
      <c r="J26" s="559"/>
      <c r="K26" s="561"/>
      <c r="L26" s="559"/>
      <c r="M26" s="561"/>
      <c r="N26" s="559"/>
      <c r="O26" s="561"/>
      <c r="P26" s="559"/>
      <c r="Q26" s="561"/>
      <c r="R26" s="559"/>
      <c r="S26" s="561"/>
      <c r="T26" s="559"/>
      <c r="U26" s="561"/>
      <c r="V26" s="559"/>
      <c r="W26" s="561"/>
      <c r="X26" s="559"/>
      <c r="Y26" s="557">
        <f t="shared" si="1"/>
        <v>0</v>
      </c>
      <c r="Z26" s="558">
        <f t="shared" si="2"/>
        <v>0</v>
      </c>
      <c r="AA26" s="18"/>
      <c r="AB26" s="18"/>
      <c r="AD26" s="691"/>
      <c r="AE26" s="280"/>
      <c r="AF26" s="280"/>
      <c r="AG26" s="280"/>
      <c r="AH26" s="280"/>
      <c r="AI26" s="280"/>
      <c r="AJ26" s="280"/>
    </row>
    <row r="27" spans="1:36" s="16" customFormat="1" ht="23.25" customHeight="1">
      <c r="A27" s="399">
        <v>11</v>
      </c>
      <c r="B27" s="396" t="s">
        <v>666</v>
      </c>
      <c r="C27" s="560">
        <f t="shared" si="0"/>
        <v>0</v>
      </c>
      <c r="D27" s="558">
        <f t="shared" si="3"/>
        <v>0</v>
      </c>
      <c r="E27" s="561">
        <v>0</v>
      </c>
      <c r="F27" s="559">
        <v>0</v>
      </c>
      <c r="G27" s="561">
        <v>0</v>
      </c>
      <c r="H27" s="559">
        <v>0</v>
      </c>
      <c r="I27" s="561">
        <v>0</v>
      </c>
      <c r="J27" s="559">
        <v>0</v>
      </c>
      <c r="K27" s="561">
        <v>0</v>
      </c>
      <c r="L27" s="559">
        <v>0</v>
      </c>
      <c r="M27" s="561">
        <v>0</v>
      </c>
      <c r="N27" s="559">
        <v>0</v>
      </c>
      <c r="O27" s="561">
        <v>0</v>
      </c>
      <c r="P27" s="559">
        <v>0</v>
      </c>
      <c r="Q27" s="561">
        <v>0</v>
      </c>
      <c r="R27" s="559">
        <v>0</v>
      </c>
      <c r="S27" s="561">
        <v>0</v>
      </c>
      <c r="T27" s="559">
        <v>0</v>
      </c>
      <c r="U27" s="561">
        <v>0</v>
      </c>
      <c r="V27" s="559">
        <v>0</v>
      </c>
      <c r="W27" s="561">
        <v>0</v>
      </c>
      <c r="X27" s="559">
        <v>0</v>
      </c>
      <c r="Y27" s="557">
        <f t="shared" si="1"/>
        <v>0</v>
      </c>
      <c r="Z27" s="558">
        <f t="shared" si="2"/>
        <v>0</v>
      </c>
      <c r="AA27" s="18"/>
      <c r="AB27" s="18"/>
      <c r="AC27" s="282">
        <f>+'Aging Analysis'!C19</f>
        <v>0</v>
      </c>
      <c r="AD27" s="691">
        <f>+C27-AC27</f>
        <v>0</v>
      </c>
      <c r="AE27" s="280"/>
      <c r="AF27" s="280"/>
      <c r="AG27" s="280"/>
      <c r="AH27" s="280"/>
      <c r="AI27" s="280"/>
      <c r="AJ27" s="280"/>
    </row>
    <row r="28" spans="1:36" s="16" customFormat="1" ht="14.25" customHeight="1">
      <c r="A28" s="399"/>
      <c r="B28" s="397" t="s">
        <v>660</v>
      </c>
      <c r="C28" s="560">
        <f t="shared" si="0"/>
        <v>0</v>
      </c>
      <c r="D28" s="558">
        <f t="shared" si="3"/>
        <v>0</v>
      </c>
      <c r="E28" s="561"/>
      <c r="F28" s="559"/>
      <c r="G28" s="561"/>
      <c r="H28" s="559"/>
      <c r="I28" s="561"/>
      <c r="J28" s="559"/>
      <c r="K28" s="561"/>
      <c r="L28" s="559"/>
      <c r="M28" s="561"/>
      <c r="N28" s="559"/>
      <c r="O28" s="561"/>
      <c r="P28" s="559"/>
      <c r="Q28" s="561"/>
      <c r="R28" s="559"/>
      <c r="S28" s="561"/>
      <c r="T28" s="559"/>
      <c r="U28" s="561"/>
      <c r="V28" s="559"/>
      <c r="W28" s="561"/>
      <c r="X28" s="559"/>
      <c r="Y28" s="557">
        <f t="shared" si="1"/>
        <v>0</v>
      </c>
      <c r="Z28" s="558">
        <f t="shared" si="2"/>
        <v>0</v>
      </c>
      <c r="AA28" s="18"/>
      <c r="AB28" s="18"/>
      <c r="AD28" s="691"/>
      <c r="AE28" s="280"/>
      <c r="AF28" s="280"/>
      <c r="AG28" s="280"/>
      <c r="AH28" s="280"/>
      <c r="AI28" s="280"/>
      <c r="AJ28" s="280"/>
    </row>
    <row r="29" spans="1:36" s="16" customFormat="1" ht="23.25" customHeight="1">
      <c r="A29" s="399">
        <v>12</v>
      </c>
      <c r="B29" s="396" t="s">
        <v>667</v>
      </c>
      <c r="C29" s="560">
        <f t="shared" si="0"/>
        <v>0</v>
      </c>
      <c r="D29" s="558">
        <f t="shared" si="3"/>
        <v>0</v>
      </c>
      <c r="E29" s="561">
        <v>0</v>
      </c>
      <c r="F29" s="559">
        <v>0</v>
      </c>
      <c r="G29" s="561">
        <v>0</v>
      </c>
      <c r="H29" s="559">
        <v>0</v>
      </c>
      <c r="I29" s="561">
        <v>0</v>
      </c>
      <c r="J29" s="559">
        <v>0</v>
      </c>
      <c r="K29" s="561">
        <v>0</v>
      </c>
      <c r="L29" s="559">
        <v>0</v>
      </c>
      <c r="M29" s="561">
        <v>0</v>
      </c>
      <c r="N29" s="559">
        <v>0</v>
      </c>
      <c r="O29" s="561">
        <v>0</v>
      </c>
      <c r="P29" s="559">
        <v>0</v>
      </c>
      <c r="Q29" s="561">
        <v>0</v>
      </c>
      <c r="R29" s="559">
        <v>0</v>
      </c>
      <c r="S29" s="561">
        <v>0</v>
      </c>
      <c r="T29" s="559">
        <v>0</v>
      </c>
      <c r="U29" s="561">
        <v>0</v>
      </c>
      <c r="V29" s="559">
        <v>0</v>
      </c>
      <c r="W29" s="561">
        <v>0</v>
      </c>
      <c r="X29" s="559">
        <v>0</v>
      </c>
      <c r="Y29" s="557">
        <f t="shared" si="1"/>
        <v>0</v>
      </c>
      <c r="Z29" s="558">
        <f t="shared" si="2"/>
        <v>0</v>
      </c>
      <c r="AA29" s="18"/>
      <c r="AB29" s="18"/>
      <c r="AC29" s="282">
        <f>+'Aging Analysis'!C20</f>
        <v>0</v>
      </c>
      <c r="AD29" s="691">
        <f>+C29-AC29</f>
        <v>0</v>
      </c>
      <c r="AE29" s="280"/>
      <c r="AF29" s="280"/>
      <c r="AG29" s="280"/>
      <c r="AH29" s="280"/>
      <c r="AI29" s="280"/>
      <c r="AJ29" s="280"/>
    </row>
    <row r="30" spans="1:36" s="16" customFormat="1" ht="14.25" customHeight="1">
      <c r="A30" s="399"/>
      <c r="B30" s="397" t="s">
        <v>660</v>
      </c>
      <c r="C30" s="560">
        <f t="shared" si="0"/>
        <v>0</v>
      </c>
      <c r="D30" s="558">
        <f t="shared" si="3"/>
        <v>0</v>
      </c>
      <c r="E30" s="561"/>
      <c r="F30" s="558"/>
      <c r="G30" s="561"/>
      <c r="H30" s="558"/>
      <c r="I30" s="561"/>
      <c r="J30" s="558"/>
      <c r="K30" s="561"/>
      <c r="L30" s="558"/>
      <c r="M30" s="561"/>
      <c r="N30" s="558"/>
      <c r="O30" s="561"/>
      <c r="P30" s="558"/>
      <c r="Q30" s="561"/>
      <c r="R30" s="558"/>
      <c r="S30" s="561"/>
      <c r="T30" s="558"/>
      <c r="U30" s="561"/>
      <c r="V30" s="558"/>
      <c r="W30" s="561"/>
      <c r="X30" s="558"/>
      <c r="Y30" s="557">
        <f t="shared" si="1"/>
        <v>0</v>
      </c>
      <c r="Z30" s="558">
        <f t="shared" si="2"/>
        <v>0</v>
      </c>
      <c r="AA30" s="18"/>
      <c r="AB30" s="18"/>
      <c r="AC30" s="280"/>
      <c r="AD30" s="691"/>
      <c r="AE30" s="280"/>
      <c r="AF30" s="280"/>
      <c r="AG30" s="280"/>
      <c r="AH30" s="280"/>
      <c r="AI30" s="280"/>
      <c r="AJ30" s="280"/>
    </row>
    <row r="31" spans="1:36" s="585" customFormat="1" ht="28.5" customHeight="1">
      <c r="A31" s="583">
        <v>13</v>
      </c>
      <c r="B31" s="583" t="s">
        <v>668</v>
      </c>
      <c r="C31" s="583">
        <f t="shared" ref="C31:AB31" si="4">+C7+C9+C11+C13+C15+C17+C19+C21+C23+C25+C27+C29</f>
        <v>14437080535</v>
      </c>
      <c r="D31" s="583">
        <f t="shared" si="4"/>
        <v>3690964093</v>
      </c>
      <c r="E31" s="583">
        <f t="shared" si="4"/>
        <v>10039054997</v>
      </c>
      <c r="F31" s="583">
        <f t="shared" si="4"/>
        <v>2270492466</v>
      </c>
      <c r="G31" s="583">
        <f t="shared" si="4"/>
        <v>0</v>
      </c>
      <c r="H31" s="583">
        <f t="shared" si="4"/>
        <v>4096860</v>
      </c>
      <c r="I31" s="583">
        <f t="shared" si="4"/>
        <v>3532847141</v>
      </c>
      <c r="J31" s="583">
        <f t="shared" si="4"/>
        <v>1273747781</v>
      </c>
      <c r="K31" s="583">
        <f t="shared" si="4"/>
        <v>108709846</v>
      </c>
      <c r="L31" s="583">
        <f t="shared" si="4"/>
        <v>24667860</v>
      </c>
      <c r="M31" s="583">
        <f t="shared" si="4"/>
        <v>102373443</v>
      </c>
      <c r="N31" s="583">
        <f t="shared" si="4"/>
        <v>829118</v>
      </c>
      <c r="O31" s="583">
        <f t="shared" si="4"/>
        <v>1716703</v>
      </c>
      <c r="P31" s="583">
        <f t="shared" si="4"/>
        <v>74120</v>
      </c>
      <c r="Q31" s="583">
        <f t="shared" si="4"/>
        <v>237587084</v>
      </c>
      <c r="R31" s="583">
        <f t="shared" si="4"/>
        <v>3072659</v>
      </c>
      <c r="S31" s="583">
        <f t="shared" si="4"/>
        <v>12546992</v>
      </c>
      <c r="T31" s="583">
        <f t="shared" si="4"/>
        <v>0</v>
      </c>
      <c r="U31" s="583">
        <f t="shared" si="4"/>
        <v>525217870</v>
      </c>
      <c r="V31" s="583">
        <f t="shared" si="4"/>
        <v>142822069</v>
      </c>
      <c r="W31" s="583">
        <f t="shared" si="4"/>
        <v>103010246</v>
      </c>
      <c r="X31" s="583">
        <f t="shared" si="4"/>
        <v>4132442</v>
      </c>
      <c r="Y31" s="583">
        <f t="shared" si="4"/>
        <v>225983787</v>
      </c>
      <c r="Z31" s="583">
        <f t="shared" si="4"/>
        <v>28874422</v>
      </c>
      <c r="AA31" s="583">
        <f>+AA7+AA9+AA11+AA13+AA15+AA17+AA19+AA21+AA23+AA25+AA27+AA29</f>
        <v>0</v>
      </c>
      <c r="AB31" s="583">
        <f t="shared" si="4"/>
        <v>0</v>
      </c>
      <c r="AC31" s="584">
        <f>+'Loans Receivable'!C85</f>
        <v>14437080535</v>
      </c>
      <c r="AD31" s="691">
        <f>+C31-AC31</f>
        <v>0</v>
      </c>
    </row>
    <row r="32" spans="1:36" s="16" customFormat="1" ht="13.5" customHeight="1">
      <c r="A32" s="399"/>
      <c r="B32" s="400" t="s">
        <v>660</v>
      </c>
      <c r="C32" s="21">
        <f t="shared" ref="C32:Z32" si="5">+C8+C10+C12+C14+C16+C18+C20+C22+C24+C26+C28+C30</f>
        <v>0</v>
      </c>
      <c r="D32" s="122">
        <f t="shared" si="5"/>
        <v>0</v>
      </c>
      <c r="E32" s="21">
        <f t="shared" si="5"/>
        <v>0</v>
      </c>
      <c r="F32" s="21">
        <f t="shared" si="5"/>
        <v>0</v>
      </c>
      <c r="G32" s="21">
        <f t="shared" si="5"/>
        <v>0</v>
      </c>
      <c r="H32" s="21">
        <f t="shared" si="5"/>
        <v>0</v>
      </c>
      <c r="I32" s="21">
        <f t="shared" si="5"/>
        <v>0</v>
      </c>
      <c r="J32" s="21">
        <f t="shared" si="5"/>
        <v>0</v>
      </c>
      <c r="K32" s="21">
        <f t="shared" si="5"/>
        <v>0</v>
      </c>
      <c r="L32" s="21">
        <f t="shared" si="5"/>
        <v>0</v>
      </c>
      <c r="M32" s="21">
        <f t="shared" si="5"/>
        <v>0</v>
      </c>
      <c r="N32" s="21">
        <f t="shared" si="5"/>
        <v>0</v>
      </c>
      <c r="O32" s="21">
        <f t="shared" si="5"/>
        <v>0</v>
      </c>
      <c r="P32" s="21">
        <f t="shared" si="5"/>
        <v>0</v>
      </c>
      <c r="Q32" s="21">
        <f t="shared" si="5"/>
        <v>0</v>
      </c>
      <c r="R32" s="21">
        <f t="shared" si="5"/>
        <v>0</v>
      </c>
      <c r="S32" s="21">
        <f t="shared" si="5"/>
        <v>0</v>
      </c>
      <c r="T32" s="21">
        <f t="shared" si="5"/>
        <v>0</v>
      </c>
      <c r="U32" s="21">
        <f t="shared" si="5"/>
        <v>0</v>
      </c>
      <c r="V32" s="21">
        <f t="shared" si="5"/>
        <v>0</v>
      </c>
      <c r="W32" s="21">
        <f t="shared" si="5"/>
        <v>0</v>
      </c>
      <c r="X32" s="21">
        <f t="shared" si="5"/>
        <v>0</v>
      </c>
      <c r="Y32" s="21">
        <f t="shared" si="5"/>
        <v>0</v>
      </c>
      <c r="Z32" s="21">
        <f t="shared" si="5"/>
        <v>0</v>
      </c>
      <c r="AA32" s="21"/>
      <c r="AB32" s="21"/>
      <c r="AC32" s="280"/>
      <c r="AD32" s="691"/>
      <c r="AE32" s="280"/>
      <c r="AF32" s="280"/>
      <c r="AG32" s="280"/>
      <c r="AH32" s="280"/>
      <c r="AI32" s="280"/>
      <c r="AJ32" s="280"/>
    </row>
    <row r="33" spans="1:36" s="585" customFormat="1" ht="27.75" customHeight="1">
      <c r="A33" s="583"/>
      <c r="B33" s="583" t="s">
        <v>669</v>
      </c>
      <c r="C33" s="583"/>
      <c r="D33" s="583"/>
      <c r="E33" s="583"/>
      <c r="F33" s="583"/>
      <c r="G33" s="583"/>
      <c r="H33" s="583"/>
      <c r="I33" s="583"/>
      <c r="J33" s="583"/>
      <c r="K33" s="583"/>
      <c r="L33" s="583"/>
      <c r="M33" s="583"/>
      <c r="N33" s="583"/>
      <c r="O33" s="583"/>
      <c r="P33" s="583"/>
      <c r="Q33" s="583"/>
      <c r="R33" s="583"/>
      <c r="S33" s="583"/>
      <c r="T33" s="583"/>
      <c r="U33" s="583"/>
      <c r="V33" s="583"/>
      <c r="W33" s="583"/>
      <c r="X33" s="583"/>
      <c r="Y33" s="583"/>
      <c r="Z33" s="583"/>
      <c r="AA33" s="583"/>
      <c r="AB33" s="583"/>
      <c r="AD33" s="691"/>
    </row>
    <row r="34" spans="1:36" s="16" customFormat="1" ht="7.5" customHeight="1">
      <c r="A34" s="15"/>
      <c r="B34" s="15"/>
      <c r="C34" s="15"/>
      <c r="D34" s="556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280"/>
      <c r="AD34" s="691"/>
      <c r="AE34" s="280"/>
      <c r="AF34" s="280"/>
      <c r="AG34" s="280"/>
      <c r="AH34" s="280"/>
      <c r="AI34" s="280"/>
      <c r="AJ34" s="280"/>
    </row>
    <row r="35" spans="1:36" s="16" customFormat="1" ht="23.25" customHeight="1">
      <c r="A35" s="399">
        <v>14</v>
      </c>
      <c r="B35" s="401" t="s">
        <v>468</v>
      </c>
      <c r="C35" s="560">
        <f t="shared" ref="C35" si="6">E35+I35+M35+Q35+U35</f>
        <v>3795740987</v>
      </c>
      <c r="D35" s="170">
        <f t="shared" ref="C35:D50" si="7">F35+J35+N35+R35+V35</f>
        <v>2219067047</v>
      </c>
      <c r="E35" s="22">
        <v>2482256422</v>
      </c>
      <c r="F35" s="562">
        <v>1354737090</v>
      </c>
      <c r="G35" s="22">
        <v>0</v>
      </c>
      <c r="H35" s="562">
        <v>1711119</v>
      </c>
      <c r="I35" s="22">
        <v>1146719349</v>
      </c>
      <c r="J35" s="562">
        <v>785678275</v>
      </c>
      <c r="K35" s="22">
        <v>26683979</v>
      </c>
      <c r="L35" s="562">
        <v>12526875</v>
      </c>
      <c r="M35" s="22">
        <v>8830983</v>
      </c>
      <c r="N35" s="562">
        <v>741198</v>
      </c>
      <c r="O35" s="22">
        <v>94765</v>
      </c>
      <c r="P35" s="562">
        <v>74120</v>
      </c>
      <c r="Q35" s="22">
        <v>14554391</v>
      </c>
      <c r="R35" s="562">
        <v>0</v>
      </c>
      <c r="S35" s="22">
        <v>1183984</v>
      </c>
      <c r="T35" s="562">
        <v>0</v>
      </c>
      <c r="U35" s="22">
        <v>143379842</v>
      </c>
      <c r="V35" s="562">
        <v>77910484</v>
      </c>
      <c r="W35" s="22">
        <v>20153888</v>
      </c>
      <c r="X35" s="562">
        <v>1614435</v>
      </c>
      <c r="Y35" s="169">
        <f>+W35+S35+O35+K35</f>
        <v>48116616</v>
      </c>
      <c r="Z35" s="170">
        <f>+X35+T35+P35+L35</f>
        <v>14215430</v>
      </c>
      <c r="AA35" s="18"/>
      <c r="AB35" s="18"/>
      <c r="AC35" s="282">
        <f>+'Aging Analysis'!C25</f>
        <v>3795740987</v>
      </c>
      <c r="AD35" s="691">
        <f>+C35-AC35</f>
        <v>0</v>
      </c>
      <c r="AE35" s="280"/>
      <c r="AF35" s="280"/>
      <c r="AG35" s="280"/>
      <c r="AH35" s="280"/>
      <c r="AI35" s="280"/>
      <c r="AJ35" s="280"/>
    </row>
    <row r="36" spans="1:36" s="16" customFormat="1" ht="14.25" customHeight="1">
      <c r="A36" s="399"/>
      <c r="B36" s="400" t="s">
        <v>660</v>
      </c>
      <c r="C36" s="560">
        <f t="shared" si="7"/>
        <v>0</v>
      </c>
      <c r="D36" s="170">
        <f t="shared" si="7"/>
        <v>0</v>
      </c>
      <c r="E36" s="22"/>
      <c r="F36" s="562"/>
      <c r="G36" s="22"/>
      <c r="H36" s="562"/>
      <c r="I36" s="22"/>
      <c r="J36" s="562"/>
      <c r="K36" s="22"/>
      <c r="L36" s="562"/>
      <c r="M36" s="22"/>
      <c r="N36" s="562"/>
      <c r="O36" s="22"/>
      <c r="P36" s="562"/>
      <c r="Q36" s="22"/>
      <c r="R36" s="562"/>
      <c r="S36" s="22"/>
      <c r="T36" s="562"/>
      <c r="U36" s="22"/>
      <c r="V36" s="562"/>
      <c r="W36" s="22"/>
      <c r="X36" s="562"/>
      <c r="Y36" s="398">
        <f t="shared" ref="Y36:Y50" si="8">+W36+S36+O36+K36</f>
        <v>0</v>
      </c>
      <c r="Z36" s="170">
        <f t="shared" ref="Z36:Z50" si="9">+X36+T36+P36+L36</f>
        <v>0</v>
      </c>
      <c r="AA36" s="18"/>
      <c r="AB36" s="18"/>
      <c r="AD36" s="691"/>
      <c r="AE36" s="280"/>
      <c r="AF36" s="280"/>
      <c r="AG36" s="280"/>
      <c r="AH36" s="280"/>
      <c r="AI36" s="280"/>
      <c r="AJ36" s="280"/>
    </row>
    <row r="37" spans="1:36" s="16" customFormat="1" ht="23.25" customHeight="1">
      <c r="A37" s="399">
        <v>15</v>
      </c>
      <c r="B37" s="401" t="s">
        <v>469</v>
      </c>
      <c r="C37" s="560">
        <f t="shared" si="7"/>
        <v>2471330376</v>
      </c>
      <c r="D37" s="170">
        <f t="shared" si="7"/>
        <v>869682520</v>
      </c>
      <c r="E37" s="22">
        <v>1581710576</v>
      </c>
      <c r="F37" s="562">
        <v>578535182</v>
      </c>
      <c r="G37" s="22">
        <v>0</v>
      </c>
      <c r="H37" s="562">
        <v>2385741</v>
      </c>
      <c r="I37" s="22">
        <v>733774554</v>
      </c>
      <c r="J37" s="562">
        <v>238535782</v>
      </c>
      <c r="K37" s="22">
        <v>32726795</v>
      </c>
      <c r="L37" s="562">
        <v>11385369</v>
      </c>
      <c r="M37" s="22">
        <v>1919694</v>
      </c>
      <c r="N37" s="562">
        <v>87920</v>
      </c>
      <c r="O37" s="22">
        <v>20577</v>
      </c>
      <c r="P37" s="562">
        <v>0</v>
      </c>
      <c r="Q37" s="22">
        <v>14789792</v>
      </c>
      <c r="R37" s="562">
        <v>3072659</v>
      </c>
      <c r="S37" s="22">
        <v>351320</v>
      </c>
      <c r="T37" s="562">
        <v>0</v>
      </c>
      <c r="U37" s="22">
        <v>139135760</v>
      </c>
      <c r="V37" s="562">
        <v>49450977</v>
      </c>
      <c r="W37" s="22">
        <v>30395565</v>
      </c>
      <c r="X37" s="562">
        <v>2518007</v>
      </c>
      <c r="Y37" s="169">
        <f t="shared" si="8"/>
        <v>63494257</v>
      </c>
      <c r="Z37" s="170">
        <f t="shared" si="9"/>
        <v>13903376</v>
      </c>
      <c r="AA37" s="18"/>
      <c r="AB37" s="18"/>
      <c r="AC37" s="282">
        <f>+'Aging Analysis'!C26</f>
        <v>2471330376</v>
      </c>
      <c r="AD37" s="691">
        <f>+C37-AC37</f>
        <v>0</v>
      </c>
      <c r="AE37" s="280"/>
      <c r="AF37" s="280"/>
      <c r="AG37" s="280"/>
      <c r="AH37" s="280"/>
      <c r="AI37" s="280"/>
      <c r="AJ37" s="280"/>
    </row>
    <row r="38" spans="1:36" s="16" customFormat="1" ht="14.25" customHeight="1">
      <c r="A38" s="399"/>
      <c r="B38" s="400" t="s">
        <v>660</v>
      </c>
      <c r="C38" s="560">
        <f t="shared" si="7"/>
        <v>0</v>
      </c>
      <c r="D38" s="170">
        <f t="shared" si="7"/>
        <v>0</v>
      </c>
      <c r="E38" s="22"/>
      <c r="F38" s="562"/>
      <c r="G38" s="22"/>
      <c r="H38" s="562"/>
      <c r="I38" s="22"/>
      <c r="J38" s="562"/>
      <c r="K38" s="22"/>
      <c r="L38" s="562"/>
      <c r="M38" s="22"/>
      <c r="N38" s="562"/>
      <c r="O38" s="22"/>
      <c r="P38" s="562"/>
      <c r="Q38" s="22"/>
      <c r="R38" s="562"/>
      <c r="S38" s="22"/>
      <c r="T38" s="562"/>
      <c r="U38" s="22"/>
      <c r="V38" s="562"/>
      <c r="W38" s="22"/>
      <c r="X38" s="562"/>
      <c r="Y38" s="398">
        <f t="shared" si="8"/>
        <v>0</v>
      </c>
      <c r="Z38" s="170">
        <f t="shared" si="9"/>
        <v>0</v>
      </c>
      <c r="AA38" s="18"/>
      <c r="AB38" s="18"/>
      <c r="AD38" s="691"/>
      <c r="AE38" s="280"/>
      <c r="AF38" s="280"/>
      <c r="AG38" s="280"/>
      <c r="AH38" s="280"/>
      <c r="AI38" s="280"/>
      <c r="AJ38" s="280"/>
    </row>
    <row r="39" spans="1:36" s="16" customFormat="1" ht="23.25" customHeight="1">
      <c r="A39" s="399">
        <v>16</v>
      </c>
      <c r="B39" s="401" t="s">
        <v>470</v>
      </c>
      <c r="C39" s="560">
        <f t="shared" si="7"/>
        <v>275718959</v>
      </c>
      <c r="D39" s="170">
        <f t="shared" si="7"/>
        <v>53025531</v>
      </c>
      <c r="E39" s="22">
        <v>210574404</v>
      </c>
      <c r="F39" s="562">
        <v>24884473</v>
      </c>
      <c r="G39" s="22">
        <v>0</v>
      </c>
      <c r="H39" s="562">
        <v>0</v>
      </c>
      <c r="I39" s="22">
        <v>61480751</v>
      </c>
      <c r="J39" s="562">
        <v>28141058</v>
      </c>
      <c r="K39" s="22">
        <v>853868</v>
      </c>
      <c r="L39" s="562">
        <v>309611</v>
      </c>
      <c r="M39" s="22">
        <v>216103</v>
      </c>
      <c r="N39" s="562">
        <v>0</v>
      </c>
      <c r="O39" s="22">
        <v>38761</v>
      </c>
      <c r="P39" s="562">
        <v>0</v>
      </c>
      <c r="Q39" s="22">
        <v>219896</v>
      </c>
      <c r="R39" s="562">
        <v>0</v>
      </c>
      <c r="S39" s="22">
        <v>7131</v>
      </c>
      <c r="T39" s="562">
        <v>0</v>
      </c>
      <c r="U39" s="22">
        <v>3227805</v>
      </c>
      <c r="V39" s="562">
        <v>0</v>
      </c>
      <c r="W39" s="22">
        <v>408641</v>
      </c>
      <c r="X39" s="562">
        <v>0</v>
      </c>
      <c r="Y39" s="169">
        <f t="shared" si="8"/>
        <v>1308401</v>
      </c>
      <c r="Z39" s="170">
        <f t="shared" si="9"/>
        <v>309611</v>
      </c>
      <c r="AA39" s="18"/>
      <c r="AB39" s="18"/>
      <c r="AC39" s="282">
        <f>+'Aging Analysis'!C27</f>
        <v>275718959</v>
      </c>
      <c r="AD39" s="691">
        <f>+C39-AC39</f>
        <v>0</v>
      </c>
      <c r="AE39" s="280"/>
      <c r="AF39" s="280"/>
      <c r="AG39" s="280"/>
      <c r="AH39" s="280"/>
      <c r="AI39" s="280"/>
      <c r="AJ39" s="280"/>
    </row>
    <row r="40" spans="1:36" s="16" customFormat="1" ht="14.25" customHeight="1">
      <c r="A40" s="399"/>
      <c r="B40" s="400" t="s">
        <v>660</v>
      </c>
      <c r="C40" s="560">
        <f t="shared" si="7"/>
        <v>0</v>
      </c>
      <c r="D40" s="170">
        <f t="shared" si="7"/>
        <v>0</v>
      </c>
      <c r="E40" s="22"/>
      <c r="F40" s="562"/>
      <c r="G40" s="22"/>
      <c r="H40" s="562"/>
      <c r="I40" s="22"/>
      <c r="J40" s="562"/>
      <c r="K40" s="22"/>
      <c r="L40" s="562"/>
      <c r="M40" s="22"/>
      <c r="N40" s="562"/>
      <c r="O40" s="22"/>
      <c r="P40" s="562"/>
      <c r="Q40" s="22"/>
      <c r="R40" s="562"/>
      <c r="S40" s="22"/>
      <c r="T40" s="562"/>
      <c r="U40" s="22"/>
      <c r="V40" s="562"/>
      <c r="W40" s="22"/>
      <c r="X40" s="562"/>
      <c r="Y40" s="398">
        <f t="shared" si="8"/>
        <v>0</v>
      </c>
      <c r="Z40" s="170">
        <f t="shared" si="9"/>
        <v>0</v>
      </c>
      <c r="AA40" s="18"/>
      <c r="AB40" s="18"/>
      <c r="AD40" s="691"/>
      <c r="AE40" s="280"/>
      <c r="AF40" s="280"/>
      <c r="AG40" s="280"/>
      <c r="AH40" s="280"/>
      <c r="AI40" s="280"/>
      <c r="AJ40" s="280"/>
    </row>
    <row r="41" spans="1:36" s="16" customFormat="1" ht="23.25" customHeight="1">
      <c r="A41" s="399">
        <v>17</v>
      </c>
      <c r="B41" s="401" t="s">
        <v>471</v>
      </c>
      <c r="C41" s="560">
        <f t="shared" si="7"/>
        <v>858938251</v>
      </c>
      <c r="D41" s="170">
        <f t="shared" si="7"/>
        <v>82588239</v>
      </c>
      <c r="E41" s="22">
        <v>694890599</v>
      </c>
      <c r="F41" s="562">
        <v>61281531</v>
      </c>
      <c r="G41" s="22">
        <v>0</v>
      </c>
      <c r="H41" s="562">
        <v>0</v>
      </c>
      <c r="I41" s="22">
        <v>123753064</v>
      </c>
      <c r="J41" s="562">
        <v>17679241</v>
      </c>
      <c r="K41" s="22">
        <v>3707142</v>
      </c>
      <c r="L41" s="562">
        <v>64911</v>
      </c>
      <c r="M41" s="22">
        <v>0</v>
      </c>
      <c r="N41" s="562">
        <v>0</v>
      </c>
      <c r="O41" s="22">
        <v>0</v>
      </c>
      <c r="P41" s="562">
        <v>0</v>
      </c>
      <c r="Q41" s="22">
        <v>119955</v>
      </c>
      <c r="R41" s="562">
        <v>0</v>
      </c>
      <c r="S41" s="22">
        <v>0</v>
      </c>
      <c r="T41" s="562">
        <v>0</v>
      </c>
      <c r="U41" s="22">
        <v>40174633</v>
      </c>
      <c r="V41" s="562">
        <v>3627467</v>
      </c>
      <c r="W41" s="22">
        <v>13620276</v>
      </c>
      <c r="X41" s="562">
        <v>0</v>
      </c>
      <c r="Y41" s="169">
        <f t="shared" si="8"/>
        <v>17327418</v>
      </c>
      <c r="Z41" s="170">
        <f t="shared" si="9"/>
        <v>64911</v>
      </c>
      <c r="AA41" s="18"/>
      <c r="AB41" s="18"/>
      <c r="AC41" s="282">
        <f>+'Aging Analysis'!C28</f>
        <v>858938251</v>
      </c>
      <c r="AD41" s="691">
        <f>+C41-AC41</f>
        <v>0</v>
      </c>
      <c r="AE41" s="280"/>
      <c r="AF41" s="280"/>
      <c r="AG41" s="280"/>
      <c r="AH41" s="280"/>
      <c r="AI41" s="280"/>
      <c r="AJ41" s="280"/>
    </row>
    <row r="42" spans="1:36" s="16" customFormat="1" ht="14.25" customHeight="1">
      <c r="A42" s="399"/>
      <c r="B42" s="400" t="s">
        <v>660</v>
      </c>
      <c r="C42" s="560">
        <f t="shared" si="7"/>
        <v>0</v>
      </c>
      <c r="D42" s="170">
        <f t="shared" si="7"/>
        <v>0</v>
      </c>
      <c r="E42" s="22"/>
      <c r="F42" s="562"/>
      <c r="G42" s="22"/>
      <c r="H42" s="562"/>
      <c r="I42" s="22"/>
      <c r="J42" s="562"/>
      <c r="K42" s="22"/>
      <c r="L42" s="562"/>
      <c r="M42" s="22"/>
      <c r="N42" s="562"/>
      <c r="O42" s="22"/>
      <c r="P42" s="562"/>
      <c r="Q42" s="22"/>
      <c r="R42" s="562"/>
      <c r="S42" s="22"/>
      <c r="T42" s="562"/>
      <c r="U42" s="22"/>
      <c r="V42" s="562"/>
      <c r="W42" s="22"/>
      <c r="X42" s="562"/>
      <c r="Y42" s="398">
        <f t="shared" si="8"/>
        <v>0</v>
      </c>
      <c r="Z42" s="170">
        <f t="shared" si="9"/>
        <v>0</v>
      </c>
      <c r="AA42" s="18"/>
      <c r="AB42" s="18"/>
      <c r="AD42" s="691"/>
      <c r="AE42" s="280"/>
      <c r="AF42" s="280"/>
      <c r="AG42" s="280"/>
      <c r="AH42" s="280"/>
      <c r="AI42" s="280"/>
      <c r="AJ42" s="280"/>
    </row>
    <row r="43" spans="1:36" s="16" customFormat="1" ht="23.25" customHeight="1">
      <c r="A43" s="399">
        <v>18</v>
      </c>
      <c r="B43" s="401" t="s">
        <v>472</v>
      </c>
      <c r="C43" s="560">
        <f t="shared" si="7"/>
        <v>924939795</v>
      </c>
      <c r="D43" s="170">
        <f t="shared" si="7"/>
        <v>268987408</v>
      </c>
      <c r="E43" s="22">
        <v>547249542</v>
      </c>
      <c r="F43" s="562">
        <v>171584194</v>
      </c>
      <c r="G43" s="22">
        <v>0</v>
      </c>
      <c r="H43" s="562">
        <v>0</v>
      </c>
      <c r="I43" s="22">
        <v>329874207</v>
      </c>
      <c r="J43" s="562">
        <v>91873175</v>
      </c>
      <c r="K43" s="22">
        <v>11579300</v>
      </c>
      <c r="L43" s="562">
        <v>0</v>
      </c>
      <c r="M43" s="22">
        <v>843563</v>
      </c>
      <c r="N43" s="562">
        <v>0</v>
      </c>
      <c r="O43" s="22">
        <v>34037</v>
      </c>
      <c r="P43" s="562">
        <v>0</v>
      </c>
      <c r="Q43" s="22">
        <v>2895263</v>
      </c>
      <c r="R43" s="562">
        <v>0</v>
      </c>
      <c r="S43" s="22">
        <v>93480</v>
      </c>
      <c r="T43" s="562">
        <v>0</v>
      </c>
      <c r="U43" s="22">
        <v>44077220</v>
      </c>
      <c r="V43" s="562">
        <v>5530039</v>
      </c>
      <c r="W43" s="22">
        <v>15344761</v>
      </c>
      <c r="X43" s="562">
        <v>0</v>
      </c>
      <c r="Y43" s="169">
        <f t="shared" si="8"/>
        <v>27051578</v>
      </c>
      <c r="Z43" s="170">
        <f t="shared" si="9"/>
        <v>0</v>
      </c>
      <c r="AA43" s="18"/>
      <c r="AB43" s="18"/>
      <c r="AC43" s="282">
        <f>+'Aging Analysis'!C29</f>
        <v>924939795</v>
      </c>
      <c r="AD43" s="691">
        <f>+C43-AC43</f>
        <v>0</v>
      </c>
      <c r="AE43" s="280"/>
      <c r="AF43" s="280"/>
      <c r="AG43" s="280"/>
      <c r="AH43" s="280"/>
      <c r="AI43" s="280"/>
      <c r="AJ43" s="280"/>
    </row>
    <row r="44" spans="1:36" s="16" customFormat="1" ht="14.25" customHeight="1">
      <c r="A44" s="399"/>
      <c r="B44" s="400" t="s">
        <v>660</v>
      </c>
      <c r="C44" s="560">
        <f t="shared" si="7"/>
        <v>0</v>
      </c>
      <c r="D44" s="170">
        <f t="shared" si="7"/>
        <v>0</v>
      </c>
      <c r="E44" s="22"/>
      <c r="F44" s="562"/>
      <c r="G44" s="22"/>
      <c r="H44" s="562"/>
      <c r="I44" s="22"/>
      <c r="J44" s="562"/>
      <c r="K44" s="22"/>
      <c r="L44" s="562"/>
      <c r="M44" s="22"/>
      <c r="N44" s="562"/>
      <c r="O44" s="22"/>
      <c r="P44" s="562"/>
      <c r="Q44" s="22"/>
      <c r="R44" s="562"/>
      <c r="S44" s="22"/>
      <c r="T44" s="562"/>
      <c r="U44" s="22"/>
      <c r="V44" s="562"/>
      <c r="W44" s="22"/>
      <c r="X44" s="562"/>
      <c r="Y44" s="398">
        <f t="shared" si="8"/>
        <v>0</v>
      </c>
      <c r="Z44" s="170">
        <f t="shared" si="9"/>
        <v>0</v>
      </c>
      <c r="AA44" s="18"/>
      <c r="AB44" s="18"/>
      <c r="AD44" s="691"/>
      <c r="AE44" s="280"/>
      <c r="AF44" s="280"/>
      <c r="AG44" s="280"/>
      <c r="AH44" s="280"/>
      <c r="AI44" s="280"/>
      <c r="AJ44" s="280"/>
    </row>
    <row r="45" spans="1:36" s="16" customFormat="1" ht="23.25" customHeight="1">
      <c r="A45" s="399">
        <v>19</v>
      </c>
      <c r="B45" s="401" t="s">
        <v>473</v>
      </c>
      <c r="C45" s="560">
        <f t="shared" si="7"/>
        <v>191245213</v>
      </c>
      <c r="D45" s="170">
        <f t="shared" si="7"/>
        <v>52159210</v>
      </c>
      <c r="E45" s="22">
        <v>139914308</v>
      </c>
      <c r="F45" s="562">
        <v>33400289</v>
      </c>
      <c r="G45" s="22">
        <v>0</v>
      </c>
      <c r="H45" s="562">
        <v>0</v>
      </c>
      <c r="I45" s="22">
        <v>42571144</v>
      </c>
      <c r="J45" s="562">
        <v>13291667</v>
      </c>
      <c r="K45" s="22">
        <v>910057</v>
      </c>
      <c r="L45" s="562">
        <v>6678</v>
      </c>
      <c r="M45" s="22">
        <v>323538</v>
      </c>
      <c r="N45" s="562">
        <v>0</v>
      </c>
      <c r="O45" s="22">
        <v>7224</v>
      </c>
      <c r="P45" s="562">
        <v>0</v>
      </c>
      <c r="Q45" s="22">
        <v>1045935</v>
      </c>
      <c r="R45" s="562">
        <v>0</v>
      </c>
      <c r="S45" s="22">
        <v>192861</v>
      </c>
      <c r="T45" s="562">
        <v>0</v>
      </c>
      <c r="U45" s="22">
        <v>7390288</v>
      </c>
      <c r="V45" s="562">
        <v>5467254</v>
      </c>
      <c r="W45" s="22">
        <v>757464</v>
      </c>
      <c r="X45" s="562">
        <v>0</v>
      </c>
      <c r="Y45" s="169">
        <f t="shared" si="8"/>
        <v>1867606</v>
      </c>
      <c r="Z45" s="170">
        <f t="shared" si="9"/>
        <v>6678</v>
      </c>
      <c r="AA45" s="18"/>
      <c r="AB45" s="18"/>
      <c r="AC45" s="282">
        <f>+'Aging Analysis'!C30</f>
        <v>191245213</v>
      </c>
      <c r="AD45" s="691">
        <f>+C45-AC45</f>
        <v>0</v>
      </c>
      <c r="AE45" s="280"/>
      <c r="AF45" s="280"/>
      <c r="AG45" s="280"/>
      <c r="AH45" s="280"/>
      <c r="AI45" s="280"/>
      <c r="AJ45" s="280"/>
    </row>
    <row r="46" spans="1:36" s="16" customFormat="1" ht="14.25" customHeight="1">
      <c r="A46" s="399"/>
      <c r="B46" s="400" t="s">
        <v>660</v>
      </c>
      <c r="C46" s="560">
        <f t="shared" si="7"/>
        <v>0</v>
      </c>
      <c r="D46" s="170">
        <f t="shared" si="7"/>
        <v>0</v>
      </c>
      <c r="E46" s="22"/>
      <c r="F46" s="562"/>
      <c r="G46" s="22"/>
      <c r="H46" s="562"/>
      <c r="I46" s="22"/>
      <c r="J46" s="562"/>
      <c r="K46" s="22"/>
      <c r="L46" s="562"/>
      <c r="M46" s="22"/>
      <c r="N46" s="562"/>
      <c r="O46" s="22"/>
      <c r="P46" s="562"/>
      <c r="Q46" s="22"/>
      <c r="R46" s="562"/>
      <c r="S46" s="22"/>
      <c r="T46" s="562"/>
      <c r="U46" s="22"/>
      <c r="V46" s="562"/>
      <c r="W46" s="22"/>
      <c r="X46" s="562"/>
      <c r="Y46" s="398">
        <f t="shared" si="8"/>
        <v>0</v>
      </c>
      <c r="Z46" s="170">
        <f t="shared" si="9"/>
        <v>0</v>
      </c>
      <c r="AA46" s="18"/>
      <c r="AB46" s="18"/>
      <c r="AD46" s="691"/>
      <c r="AE46" s="280"/>
      <c r="AF46" s="280"/>
      <c r="AG46" s="280"/>
      <c r="AH46" s="280"/>
      <c r="AI46" s="280"/>
      <c r="AJ46" s="280"/>
    </row>
    <row r="47" spans="1:36" s="16" customFormat="1" ht="23.25" customHeight="1">
      <c r="A47" s="399">
        <v>20</v>
      </c>
      <c r="B47" s="401" t="s">
        <v>474</v>
      </c>
      <c r="C47" s="560">
        <f t="shared" si="7"/>
        <v>573303150</v>
      </c>
      <c r="D47" s="170">
        <f t="shared" si="7"/>
        <v>144618290</v>
      </c>
      <c r="E47" s="22">
        <v>311864070</v>
      </c>
      <c r="F47" s="562">
        <v>46069707</v>
      </c>
      <c r="G47" s="22">
        <v>0</v>
      </c>
      <c r="H47" s="562">
        <v>0</v>
      </c>
      <c r="I47" s="22">
        <v>231491805</v>
      </c>
      <c r="J47" s="562">
        <v>98548583</v>
      </c>
      <c r="K47" s="22">
        <v>3314543</v>
      </c>
      <c r="L47" s="562">
        <v>374416</v>
      </c>
      <c r="M47" s="22">
        <v>1464435</v>
      </c>
      <c r="N47" s="562">
        <v>0</v>
      </c>
      <c r="O47" s="22">
        <v>31536</v>
      </c>
      <c r="P47" s="562">
        <v>0</v>
      </c>
      <c r="Q47" s="22">
        <v>8769316</v>
      </c>
      <c r="R47" s="562">
        <v>0</v>
      </c>
      <c r="S47" s="22">
        <v>33046</v>
      </c>
      <c r="T47" s="562">
        <v>0</v>
      </c>
      <c r="U47" s="22">
        <v>19713524</v>
      </c>
      <c r="V47" s="562">
        <v>0</v>
      </c>
      <c r="W47" s="22">
        <v>5001915</v>
      </c>
      <c r="X47" s="562">
        <v>0</v>
      </c>
      <c r="Y47" s="169">
        <f t="shared" si="8"/>
        <v>8381040</v>
      </c>
      <c r="Z47" s="170">
        <f t="shared" si="9"/>
        <v>374416</v>
      </c>
      <c r="AA47" s="18"/>
      <c r="AB47" s="18"/>
      <c r="AC47" s="282">
        <f>+'Aging Analysis'!C31</f>
        <v>573303150</v>
      </c>
      <c r="AD47" s="691">
        <f>+C47-AC47</f>
        <v>0</v>
      </c>
      <c r="AE47" s="280"/>
      <c r="AF47" s="280"/>
      <c r="AG47" s="280"/>
      <c r="AH47" s="280"/>
      <c r="AI47" s="280"/>
      <c r="AJ47" s="280"/>
    </row>
    <row r="48" spans="1:36" s="16" customFormat="1" ht="14.25" customHeight="1">
      <c r="A48" s="399"/>
      <c r="B48" s="400" t="s">
        <v>660</v>
      </c>
      <c r="C48" s="560">
        <f t="shared" si="7"/>
        <v>0</v>
      </c>
      <c r="D48" s="170">
        <f t="shared" si="7"/>
        <v>0</v>
      </c>
      <c r="E48" s="22"/>
      <c r="F48" s="562"/>
      <c r="G48" s="22"/>
      <c r="H48" s="562"/>
      <c r="I48" s="22"/>
      <c r="J48" s="562"/>
      <c r="K48" s="22"/>
      <c r="L48" s="562"/>
      <c r="M48" s="22"/>
      <c r="N48" s="562"/>
      <c r="O48" s="22"/>
      <c r="P48" s="562"/>
      <c r="Q48" s="22"/>
      <c r="R48" s="562"/>
      <c r="S48" s="22"/>
      <c r="T48" s="562"/>
      <c r="U48" s="22"/>
      <c r="V48" s="562"/>
      <c r="W48" s="22"/>
      <c r="X48" s="562"/>
      <c r="Y48" s="398">
        <f t="shared" si="8"/>
        <v>0</v>
      </c>
      <c r="Z48" s="170">
        <f t="shared" si="9"/>
        <v>0</v>
      </c>
      <c r="AA48" s="18"/>
      <c r="AB48" s="18"/>
      <c r="AD48" s="691"/>
      <c r="AE48" s="280"/>
      <c r="AF48" s="280"/>
      <c r="AG48" s="280"/>
      <c r="AH48" s="280"/>
      <c r="AI48" s="280"/>
      <c r="AJ48" s="280"/>
    </row>
    <row r="49" spans="1:36" s="16" customFormat="1" ht="23.25" customHeight="1">
      <c r="A49" s="399">
        <v>21</v>
      </c>
      <c r="B49" s="401" t="s">
        <v>475</v>
      </c>
      <c r="C49" s="560">
        <f t="shared" si="7"/>
        <v>4158858</v>
      </c>
      <c r="D49" s="170">
        <f t="shared" si="7"/>
        <v>835848</v>
      </c>
      <c r="E49" s="22">
        <v>553043</v>
      </c>
      <c r="F49" s="562">
        <v>0</v>
      </c>
      <c r="G49" s="22">
        <v>0</v>
      </c>
      <c r="H49" s="562">
        <v>0</v>
      </c>
      <c r="I49" s="22">
        <v>30489</v>
      </c>
      <c r="J49" s="562">
        <v>0</v>
      </c>
      <c r="K49" s="22">
        <v>0</v>
      </c>
      <c r="L49" s="562">
        <v>0</v>
      </c>
      <c r="M49" s="22">
        <v>0</v>
      </c>
      <c r="N49" s="562">
        <v>0</v>
      </c>
      <c r="O49" s="22">
        <v>0</v>
      </c>
      <c r="P49" s="562">
        <v>0</v>
      </c>
      <c r="Q49" s="22">
        <v>0</v>
      </c>
      <c r="R49" s="562">
        <v>0</v>
      </c>
      <c r="S49" s="22">
        <v>0</v>
      </c>
      <c r="T49" s="562">
        <v>0</v>
      </c>
      <c r="U49" s="22">
        <v>3575326</v>
      </c>
      <c r="V49" s="562">
        <v>835848</v>
      </c>
      <c r="W49" s="22">
        <v>0</v>
      </c>
      <c r="X49" s="562">
        <v>0</v>
      </c>
      <c r="Y49" s="169">
        <f t="shared" si="8"/>
        <v>0</v>
      </c>
      <c r="Z49" s="170">
        <f t="shared" si="9"/>
        <v>0</v>
      </c>
      <c r="AA49" s="18"/>
      <c r="AB49" s="18"/>
      <c r="AC49" s="282">
        <f>+'Aging Analysis'!C32</f>
        <v>4158858</v>
      </c>
      <c r="AD49" s="691">
        <f>+C49-AC49</f>
        <v>0</v>
      </c>
      <c r="AE49" s="280"/>
      <c r="AF49" s="280"/>
      <c r="AG49" s="280"/>
      <c r="AH49" s="280"/>
      <c r="AI49" s="280"/>
      <c r="AJ49" s="280"/>
    </row>
    <row r="50" spans="1:36" s="16" customFormat="1" ht="14.25" customHeight="1">
      <c r="A50" s="399"/>
      <c r="B50" s="400" t="s">
        <v>660</v>
      </c>
      <c r="C50" s="560">
        <f t="shared" si="7"/>
        <v>0</v>
      </c>
      <c r="D50" s="170">
        <f t="shared" si="7"/>
        <v>0</v>
      </c>
      <c r="E50" s="22">
        <v>0</v>
      </c>
      <c r="F50" s="562">
        <v>0</v>
      </c>
      <c r="G50" s="22">
        <v>0</v>
      </c>
      <c r="H50" s="562">
        <v>0</v>
      </c>
      <c r="I50" s="22">
        <v>0</v>
      </c>
      <c r="J50" s="562">
        <v>0</v>
      </c>
      <c r="K50" s="22">
        <v>0</v>
      </c>
      <c r="L50" s="562">
        <v>0</v>
      </c>
      <c r="M50" s="22">
        <v>0</v>
      </c>
      <c r="N50" s="562">
        <v>0</v>
      </c>
      <c r="O50" s="22">
        <v>0</v>
      </c>
      <c r="P50" s="562">
        <v>0</v>
      </c>
      <c r="Q50" s="22">
        <v>0</v>
      </c>
      <c r="R50" s="562">
        <v>0</v>
      </c>
      <c r="S50" s="22">
        <v>0</v>
      </c>
      <c r="T50" s="562">
        <v>0</v>
      </c>
      <c r="U50" s="22">
        <v>0</v>
      </c>
      <c r="V50" s="562">
        <v>0</v>
      </c>
      <c r="W50" s="22">
        <v>0</v>
      </c>
      <c r="X50" s="562">
        <v>0</v>
      </c>
      <c r="Y50" s="398">
        <f t="shared" si="8"/>
        <v>0</v>
      </c>
      <c r="Z50" s="170">
        <f t="shared" si="9"/>
        <v>0</v>
      </c>
      <c r="AA50" s="18"/>
      <c r="AB50" s="18"/>
      <c r="AC50" s="280"/>
      <c r="AD50" s="691"/>
      <c r="AE50" s="280"/>
      <c r="AF50" s="280"/>
      <c r="AG50" s="280"/>
      <c r="AH50" s="280"/>
      <c r="AI50" s="280"/>
      <c r="AJ50" s="280"/>
    </row>
    <row r="51" spans="1:36" s="16" customFormat="1" ht="23.25" customHeight="1">
      <c r="A51" s="399">
        <v>22</v>
      </c>
      <c r="B51" s="401" t="s">
        <v>398</v>
      </c>
      <c r="C51" s="560">
        <f t="shared" ref="C51" si="10">E51+I51+M51+Q51+U51</f>
        <v>5341704946</v>
      </c>
      <c r="D51" s="170">
        <f t="shared" ref="D51:D52" si="11">F51+J51+N51+R51+V51</f>
        <v>0</v>
      </c>
      <c r="E51" s="22">
        <v>4070042033</v>
      </c>
      <c r="F51" s="562">
        <v>0</v>
      </c>
      <c r="G51" s="22">
        <v>0</v>
      </c>
      <c r="H51" s="562">
        <v>0</v>
      </c>
      <c r="I51" s="22">
        <v>863151778</v>
      </c>
      <c r="J51" s="562">
        <v>0</v>
      </c>
      <c r="K51" s="22">
        <v>28934162</v>
      </c>
      <c r="L51" s="562">
        <v>0</v>
      </c>
      <c r="M51" s="22">
        <v>88775127</v>
      </c>
      <c r="N51" s="562">
        <v>0</v>
      </c>
      <c r="O51" s="22">
        <v>1489803</v>
      </c>
      <c r="P51" s="562">
        <v>0</v>
      </c>
      <c r="Q51" s="22">
        <v>195192536</v>
      </c>
      <c r="R51" s="562">
        <v>0</v>
      </c>
      <c r="S51" s="22">
        <v>10685170</v>
      </c>
      <c r="T51" s="562">
        <v>0</v>
      </c>
      <c r="U51" s="22">
        <v>124543472</v>
      </c>
      <c r="V51" s="562">
        <v>0</v>
      </c>
      <c r="W51" s="22">
        <v>17327736</v>
      </c>
      <c r="X51" s="562">
        <v>0</v>
      </c>
      <c r="Y51" s="562">
        <f t="shared" ref="Y51:Y52" si="12">+W51+S51+O51+K51</f>
        <v>58436871</v>
      </c>
      <c r="Z51" s="562">
        <f t="shared" ref="Z51:Z52" si="13">+X51+T51+P51+L51</f>
        <v>0</v>
      </c>
      <c r="AA51" s="634"/>
      <c r="AB51" s="562"/>
      <c r="AC51" s="282">
        <f>+'Aging Analysis'!C33</f>
        <v>5341704946</v>
      </c>
      <c r="AD51" s="691">
        <f>+C51-AC51</f>
        <v>0</v>
      </c>
      <c r="AE51" s="280"/>
      <c r="AF51" s="280"/>
      <c r="AG51" s="280"/>
      <c r="AH51" s="280"/>
      <c r="AI51" s="280"/>
      <c r="AJ51" s="280"/>
    </row>
    <row r="52" spans="1:36" s="16" customFormat="1" ht="14.25" customHeight="1">
      <c r="A52" s="399"/>
      <c r="B52" s="400" t="s">
        <v>660</v>
      </c>
      <c r="C52" s="560">
        <f t="shared" ref="C52:C54" si="14">E52+I52+M52+Q52+U52</f>
        <v>0</v>
      </c>
      <c r="D52" s="170">
        <f t="shared" si="11"/>
        <v>0</v>
      </c>
      <c r="E52" s="22"/>
      <c r="F52" s="170"/>
      <c r="G52" s="22"/>
      <c r="H52" s="170"/>
      <c r="I52" s="22"/>
      <c r="J52" s="170"/>
      <c r="K52" s="22"/>
      <c r="L52" s="170"/>
      <c r="M52" s="22"/>
      <c r="N52" s="170"/>
      <c r="O52" s="22"/>
      <c r="P52" s="170"/>
      <c r="Q52" s="22"/>
      <c r="R52" s="170"/>
      <c r="S52" s="22"/>
      <c r="T52" s="170"/>
      <c r="U52" s="22"/>
      <c r="V52" s="170"/>
      <c r="W52" s="22"/>
      <c r="X52" s="170"/>
      <c r="Y52" s="398">
        <f t="shared" si="12"/>
        <v>0</v>
      </c>
      <c r="Z52" s="170">
        <f t="shared" si="13"/>
        <v>0</v>
      </c>
      <c r="AA52" s="18"/>
      <c r="AB52" s="18"/>
      <c r="AC52" s="280"/>
      <c r="AD52" s="691"/>
      <c r="AE52" s="280"/>
      <c r="AF52" s="280"/>
      <c r="AG52" s="280"/>
      <c r="AH52" s="280"/>
      <c r="AI52" s="280"/>
      <c r="AJ52" s="280"/>
    </row>
    <row r="53" spans="1:36" s="585" customFormat="1" ht="28.5" customHeight="1">
      <c r="A53" s="583">
        <v>23</v>
      </c>
      <c r="B53" s="583" t="s">
        <v>668</v>
      </c>
      <c r="C53" s="583">
        <f>+C35+C37+C39+C41+C43+C45+C47+C49+C51</f>
        <v>14437080535</v>
      </c>
      <c r="D53" s="583">
        <f t="shared" ref="D53:AB53" si="15">+D35+D37+D39+D41+D43+D45+D47+D49+D51</f>
        <v>3690964093</v>
      </c>
      <c r="E53" s="583">
        <f t="shared" si="15"/>
        <v>10039054997</v>
      </c>
      <c r="F53" s="583">
        <f t="shared" si="15"/>
        <v>2270492466</v>
      </c>
      <c r="G53" s="583">
        <f t="shared" si="15"/>
        <v>0</v>
      </c>
      <c r="H53" s="583">
        <f t="shared" si="15"/>
        <v>4096860</v>
      </c>
      <c r="I53" s="583">
        <f t="shared" si="15"/>
        <v>3532847141</v>
      </c>
      <c r="J53" s="583">
        <f t="shared" si="15"/>
        <v>1273747781</v>
      </c>
      <c r="K53" s="583">
        <f t="shared" si="15"/>
        <v>108709846</v>
      </c>
      <c r="L53" s="583">
        <f t="shared" si="15"/>
        <v>24667860</v>
      </c>
      <c r="M53" s="583">
        <f t="shared" si="15"/>
        <v>102373443</v>
      </c>
      <c r="N53" s="583">
        <f t="shared" si="15"/>
        <v>829118</v>
      </c>
      <c r="O53" s="583">
        <f t="shared" si="15"/>
        <v>1716703</v>
      </c>
      <c r="P53" s="583">
        <f t="shared" si="15"/>
        <v>74120</v>
      </c>
      <c r="Q53" s="583">
        <f t="shared" si="15"/>
        <v>237587084</v>
      </c>
      <c r="R53" s="583">
        <f t="shared" si="15"/>
        <v>3072659</v>
      </c>
      <c r="S53" s="583">
        <f t="shared" si="15"/>
        <v>12546992</v>
      </c>
      <c r="T53" s="583">
        <f t="shared" si="15"/>
        <v>0</v>
      </c>
      <c r="U53" s="583">
        <f t="shared" si="15"/>
        <v>525217870</v>
      </c>
      <c r="V53" s="583">
        <f t="shared" si="15"/>
        <v>142822069</v>
      </c>
      <c r="W53" s="583">
        <f t="shared" si="15"/>
        <v>103010246</v>
      </c>
      <c r="X53" s="583">
        <f t="shared" si="15"/>
        <v>4132442</v>
      </c>
      <c r="Y53" s="583">
        <f t="shared" si="15"/>
        <v>225983787</v>
      </c>
      <c r="Z53" s="583">
        <f t="shared" si="15"/>
        <v>28874422</v>
      </c>
      <c r="AA53" s="583">
        <f t="shared" si="15"/>
        <v>0</v>
      </c>
      <c r="AB53" s="583">
        <f t="shared" si="15"/>
        <v>0</v>
      </c>
      <c r="AC53" s="584">
        <f>+'Aging Analysis'!C35</f>
        <v>14437080535</v>
      </c>
      <c r="AD53" s="691">
        <f>+C53-AC53</f>
        <v>0</v>
      </c>
    </row>
    <row r="54" spans="1:36" s="16" customFormat="1" ht="23.25" customHeight="1">
      <c r="A54" s="399"/>
      <c r="B54" s="400" t="s">
        <v>660</v>
      </c>
      <c r="C54" s="518">
        <f t="shared" si="14"/>
        <v>0</v>
      </c>
      <c r="D54" s="122">
        <f t="shared" ref="D54:AB54" si="16">+D36+D38+D40+D42+D44+D46+D48+D50+D52</f>
        <v>0</v>
      </c>
      <c r="E54" s="22">
        <v>0</v>
      </c>
      <c r="F54" s="22">
        <v>0</v>
      </c>
      <c r="G54" s="22">
        <f t="shared" si="16"/>
        <v>0</v>
      </c>
      <c r="H54" s="22">
        <f t="shared" si="16"/>
        <v>0</v>
      </c>
      <c r="I54" s="22">
        <f t="shared" si="16"/>
        <v>0</v>
      </c>
      <c r="J54" s="22">
        <f t="shared" si="16"/>
        <v>0</v>
      </c>
      <c r="K54" s="22">
        <f t="shared" si="16"/>
        <v>0</v>
      </c>
      <c r="L54" s="22">
        <f t="shared" si="16"/>
        <v>0</v>
      </c>
      <c r="M54" s="22">
        <f t="shared" si="16"/>
        <v>0</v>
      </c>
      <c r="N54" s="22">
        <f t="shared" si="16"/>
        <v>0</v>
      </c>
      <c r="O54" s="22">
        <f t="shared" si="16"/>
        <v>0</v>
      </c>
      <c r="P54" s="22">
        <f t="shared" si="16"/>
        <v>0</v>
      </c>
      <c r="Q54" s="22">
        <f t="shared" si="16"/>
        <v>0</v>
      </c>
      <c r="R54" s="22">
        <f t="shared" si="16"/>
        <v>0</v>
      </c>
      <c r="S54" s="22">
        <f t="shared" si="16"/>
        <v>0</v>
      </c>
      <c r="T54" s="22">
        <f t="shared" si="16"/>
        <v>0</v>
      </c>
      <c r="U54" s="22">
        <f t="shared" si="16"/>
        <v>0</v>
      </c>
      <c r="V54" s="22">
        <f t="shared" si="16"/>
        <v>0</v>
      </c>
      <c r="W54" s="22">
        <f t="shared" si="16"/>
        <v>0</v>
      </c>
      <c r="X54" s="22">
        <f t="shared" si="16"/>
        <v>0</v>
      </c>
      <c r="Y54" s="21">
        <f t="shared" si="16"/>
        <v>0</v>
      </c>
      <c r="Z54" s="21">
        <f t="shared" si="16"/>
        <v>0</v>
      </c>
      <c r="AA54" s="21">
        <f t="shared" si="16"/>
        <v>0</v>
      </c>
      <c r="AB54" s="21">
        <f t="shared" si="16"/>
        <v>0</v>
      </c>
      <c r="AC54" s="280"/>
      <c r="AD54" s="691"/>
      <c r="AE54" s="280"/>
      <c r="AF54" s="280"/>
      <c r="AG54" s="280"/>
      <c r="AH54" s="280"/>
      <c r="AI54" s="280"/>
      <c r="AJ54" s="280"/>
    </row>
    <row r="55" spans="1:36" s="585" customFormat="1" ht="27.75" customHeight="1">
      <c r="A55" s="583"/>
      <c r="B55" s="583" t="s">
        <v>670</v>
      </c>
      <c r="C55" s="583"/>
      <c r="D55" s="583"/>
      <c r="E55" s="583"/>
      <c r="F55" s="583"/>
      <c r="G55" s="583"/>
      <c r="H55" s="583"/>
      <c r="I55" s="583"/>
      <c r="J55" s="583"/>
      <c r="K55" s="583"/>
      <c r="L55" s="583"/>
      <c r="M55" s="583"/>
      <c r="N55" s="583"/>
      <c r="O55" s="583"/>
      <c r="P55" s="583"/>
      <c r="Q55" s="583"/>
      <c r="R55" s="583"/>
      <c r="S55" s="583"/>
      <c r="T55" s="583"/>
      <c r="U55" s="583"/>
      <c r="V55" s="583"/>
      <c r="W55" s="583"/>
      <c r="X55" s="583"/>
      <c r="Y55" s="583"/>
      <c r="Z55" s="583"/>
      <c r="AA55" s="583"/>
      <c r="AB55" s="583"/>
      <c r="AD55" s="691"/>
    </row>
    <row r="56" spans="1:36" s="16" customFormat="1" ht="7.5" customHeight="1">
      <c r="A56" s="15"/>
      <c r="B56" s="15"/>
      <c r="C56" s="15"/>
      <c r="D56" s="556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280"/>
      <c r="AD56" s="691"/>
      <c r="AE56" s="280"/>
      <c r="AF56" s="280"/>
      <c r="AG56" s="280"/>
      <c r="AH56" s="280"/>
      <c r="AI56" s="280"/>
      <c r="AJ56" s="280"/>
    </row>
    <row r="57" spans="1:36" s="177" customFormat="1" ht="21.75" customHeight="1">
      <c r="A57" s="399">
        <v>24</v>
      </c>
      <c r="B57" s="401" t="s">
        <v>671</v>
      </c>
      <c r="C57" s="560">
        <f t="shared" ref="C57:D73" si="17">E57+I57+M57+Q57+U57</f>
        <v>912746946</v>
      </c>
      <c r="D57" s="558">
        <f t="shared" si="17"/>
        <v>71320366</v>
      </c>
      <c r="E57" s="561">
        <v>761509616</v>
      </c>
      <c r="F57" s="559">
        <v>60585069</v>
      </c>
      <c r="G57" s="561">
        <v>0</v>
      </c>
      <c r="H57" s="559">
        <v>200154</v>
      </c>
      <c r="I57" s="561">
        <v>131048212</v>
      </c>
      <c r="J57" s="559">
        <v>10735297</v>
      </c>
      <c r="K57" s="561">
        <v>2351085</v>
      </c>
      <c r="L57" s="559">
        <v>543893</v>
      </c>
      <c r="M57" s="561">
        <v>3935647</v>
      </c>
      <c r="N57" s="559">
        <v>0</v>
      </c>
      <c r="O57" s="561">
        <v>33888</v>
      </c>
      <c r="P57" s="559">
        <v>0</v>
      </c>
      <c r="Q57" s="561">
        <v>4239543</v>
      </c>
      <c r="R57" s="559">
        <v>0</v>
      </c>
      <c r="S57" s="561">
        <v>162633</v>
      </c>
      <c r="T57" s="559">
        <v>0</v>
      </c>
      <c r="U57" s="561">
        <v>12013928</v>
      </c>
      <c r="V57" s="559">
        <v>0</v>
      </c>
      <c r="W57" s="561">
        <v>2118086</v>
      </c>
      <c r="X57" s="559">
        <v>0</v>
      </c>
      <c r="Y57" s="169">
        <f>+W57+S57+O57+K57</f>
        <v>4665692</v>
      </c>
      <c r="Z57" s="558">
        <f>+X57+T57+P57+L57</f>
        <v>543893</v>
      </c>
      <c r="AA57" s="18"/>
      <c r="AB57" s="18"/>
      <c r="AC57" s="283"/>
      <c r="AD57" s="691"/>
      <c r="AE57" s="283"/>
      <c r="AF57" s="283"/>
      <c r="AG57" s="283"/>
      <c r="AH57" s="283"/>
      <c r="AI57" s="283"/>
      <c r="AJ57" s="283"/>
    </row>
    <row r="58" spans="1:36" s="177" customFormat="1" ht="21.75" customHeight="1">
      <c r="A58" s="399">
        <v>25</v>
      </c>
      <c r="B58" s="401" t="s">
        <v>672</v>
      </c>
      <c r="C58" s="560">
        <f t="shared" si="17"/>
        <v>739398703</v>
      </c>
      <c r="D58" s="558">
        <f t="shared" si="17"/>
        <v>145226474</v>
      </c>
      <c r="E58" s="561">
        <v>273119457</v>
      </c>
      <c r="F58" s="559">
        <v>36040961</v>
      </c>
      <c r="G58" s="561">
        <v>0</v>
      </c>
      <c r="H58" s="559">
        <v>786285</v>
      </c>
      <c r="I58" s="561">
        <v>299974784</v>
      </c>
      <c r="J58" s="559">
        <v>103280830</v>
      </c>
      <c r="K58" s="561">
        <v>29296143</v>
      </c>
      <c r="L58" s="559">
        <v>3084693</v>
      </c>
      <c r="M58" s="561">
        <v>24498257</v>
      </c>
      <c r="N58" s="559">
        <v>0</v>
      </c>
      <c r="O58" s="561">
        <v>230324</v>
      </c>
      <c r="P58" s="559">
        <v>0</v>
      </c>
      <c r="Q58" s="561">
        <v>64491314</v>
      </c>
      <c r="R58" s="559">
        <v>0</v>
      </c>
      <c r="S58" s="561">
        <v>1477052</v>
      </c>
      <c r="T58" s="559">
        <v>0</v>
      </c>
      <c r="U58" s="561">
        <v>77314891</v>
      </c>
      <c r="V58" s="559">
        <v>5904683</v>
      </c>
      <c r="W58" s="561">
        <v>29626476</v>
      </c>
      <c r="X58" s="559">
        <v>0</v>
      </c>
      <c r="Y58" s="169">
        <f t="shared" ref="Y58:Z70" si="18">+W58+S58+O58+K58</f>
        <v>60629995</v>
      </c>
      <c r="Z58" s="558">
        <f t="shared" si="18"/>
        <v>3084693</v>
      </c>
      <c r="AA58" s="18"/>
      <c r="AB58" s="18"/>
      <c r="AC58" s="283"/>
      <c r="AD58" s="691"/>
      <c r="AE58" s="283"/>
      <c r="AF58" s="283"/>
      <c r="AG58" s="283"/>
      <c r="AH58" s="283"/>
      <c r="AI58" s="283"/>
      <c r="AJ58" s="283"/>
    </row>
    <row r="59" spans="1:36" s="177" customFormat="1" ht="21.75" customHeight="1">
      <c r="A59" s="399">
        <v>26</v>
      </c>
      <c r="B59" s="401" t="s">
        <v>673</v>
      </c>
      <c r="C59" s="560">
        <f t="shared" si="17"/>
        <v>1020516691</v>
      </c>
      <c r="D59" s="558">
        <f t="shared" si="17"/>
        <v>189370273</v>
      </c>
      <c r="E59" s="561">
        <v>774014879</v>
      </c>
      <c r="F59" s="559">
        <v>113243062</v>
      </c>
      <c r="G59" s="561">
        <v>0</v>
      </c>
      <c r="H59" s="559">
        <v>504022</v>
      </c>
      <c r="I59" s="561">
        <v>199398641</v>
      </c>
      <c r="J59" s="559">
        <v>75386013</v>
      </c>
      <c r="K59" s="561">
        <v>3236180</v>
      </c>
      <c r="L59" s="559">
        <v>309611</v>
      </c>
      <c r="M59" s="561">
        <v>3282738</v>
      </c>
      <c r="N59" s="559">
        <v>741198</v>
      </c>
      <c r="O59" s="561">
        <v>105444</v>
      </c>
      <c r="P59" s="559">
        <v>74120</v>
      </c>
      <c r="Q59" s="561">
        <v>9154425</v>
      </c>
      <c r="R59" s="559">
        <v>0</v>
      </c>
      <c r="S59" s="561">
        <v>440303</v>
      </c>
      <c r="T59" s="559">
        <v>0</v>
      </c>
      <c r="U59" s="561">
        <v>34666008</v>
      </c>
      <c r="V59" s="559">
        <v>0</v>
      </c>
      <c r="W59" s="561">
        <v>8108086</v>
      </c>
      <c r="X59" s="559">
        <v>0</v>
      </c>
      <c r="Y59" s="169">
        <f t="shared" si="18"/>
        <v>11890013</v>
      </c>
      <c r="Z59" s="558">
        <f t="shared" si="18"/>
        <v>383731</v>
      </c>
      <c r="AA59" s="18"/>
      <c r="AB59" s="18"/>
      <c r="AC59" s="283"/>
      <c r="AD59" s="691"/>
      <c r="AE59" s="283"/>
      <c r="AF59" s="283"/>
      <c r="AG59" s="283"/>
      <c r="AH59" s="283"/>
      <c r="AI59" s="283"/>
      <c r="AJ59" s="283"/>
    </row>
    <row r="60" spans="1:36" s="177" customFormat="1" ht="21.75" customHeight="1">
      <c r="A60" s="399">
        <v>27</v>
      </c>
      <c r="B60" s="401" t="s">
        <v>674</v>
      </c>
      <c r="C60" s="560">
        <f t="shared" si="17"/>
        <v>594045095</v>
      </c>
      <c r="D60" s="558">
        <f t="shared" si="17"/>
        <v>87780448</v>
      </c>
      <c r="E60" s="561">
        <v>366818870</v>
      </c>
      <c r="F60" s="559">
        <v>79704057</v>
      </c>
      <c r="G60" s="561">
        <v>0</v>
      </c>
      <c r="H60" s="559">
        <v>0</v>
      </c>
      <c r="I60" s="561">
        <v>171674615</v>
      </c>
      <c r="J60" s="559">
        <v>7647277</v>
      </c>
      <c r="K60" s="561">
        <v>2856019</v>
      </c>
      <c r="L60" s="559">
        <v>0</v>
      </c>
      <c r="M60" s="561">
        <v>9987314</v>
      </c>
      <c r="N60" s="559">
        <v>87920</v>
      </c>
      <c r="O60" s="561">
        <v>171403</v>
      </c>
      <c r="P60" s="559">
        <v>0</v>
      </c>
      <c r="Q60" s="561">
        <v>16127401</v>
      </c>
      <c r="R60" s="559">
        <v>0</v>
      </c>
      <c r="S60" s="561">
        <v>1026348</v>
      </c>
      <c r="T60" s="559">
        <v>0</v>
      </c>
      <c r="U60" s="561">
        <v>29436895</v>
      </c>
      <c r="V60" s="559">
        <v>341194</v>
      </c>
      <c r="W60" s="561">
        <v>3287580</v>
      </c>
      <c r="X60" s="559">
        <v>0</v>
      </c>
      <c r="Y60" s="169">
        <f t="shared" si="18"/>
        <v>7341350</v>
      </c>
      <c r="Z60" s="558">
        <f t="shared" si="18"/>
        <v>0</v>
      </c>
      <c r="AA60" s="18"/>
      <c r="AB60" s="18"/>
      <c r="AC60" s="283"/>
      <c r="AD60" s="692"/>
      <c r="AE60" s="283"/>
      <c r="AF60" s="283"/>
      <c r="AG60" s="283"/>
      <c r="AH60" s="283"/>
      <c r="AI60" s="283"/>
      <c r="AJ60" s="283"/>
    </row>
    <row r="61" spans="1:36" s="177" customFormat="1" ht="21.75" customHeight="1">
      <c r="A61" s="399">
        <v>28</v>
      </c>
      <c r="B61" s="401" t="s">
        <v>675</v>
      </c>
      <c r="C61" s="560">
        <f t="shared" si="17"/>
        <v>838023733</v>
      </c>
      <c r="D61" s="558">
        <f t="shared" si="17"/>
        <v>51966154</v>
      </c>
      <c r="E61" s="561">
        <v>615046455</v>
      </c>
      <c r="F61" s="559">
        <v>24951570</v>
      </c>
      <c r="G61" s="561">
        <v>0</v>
      </c>
      <c r="H61" s="559">
        <v>0</v>
      </c>
      <c r="I61" s="561">
        <v>181974509</v>
      </c>
      <c r="J61" s="559">
        <v>23387117</v>
      </c>
      <c r="K61" s="561">
        <v>5649087</v>
      </c>
      <c r="L61" s="559">
        <v>2735125</v>
      </c>
      <c r="M61" s="561">
        <v>3656763</v>
      </c>
      <c r="N61" s="559">
        <v>0</v>
      </c>
      <c r="O61" s="561">
        <v>49678</v>
      </c>
      <c r="P61" s="559">
        <v>0</v>
      </c>
      <c r="Q61" s="561">
        <v>5821631</v>
      </c>
      <c r="R61" s="559">
        <v>0</v>
      </c>
      <c r="S61" s="561">
        <v>150045</v>
      </c>
      <c r="T61" s="559">
        <v>0</v>
      </c>
      <c r="U61" s="561">
        <v>31524375</v>
      </c>
      <c r="V61" s="559">
        <v>3627467</v>
      </c>
      <c r="W61" s="561">
        <v>8309522</v>
      </c>
      <c r="X61" s="559">
        <v>0</v>
      </c>
      <c r="Y61" s="169">
        <f t="shared" si="18"/>
        <v>14158332</v>
      </c>
      <c r="Z61" s="558">
        <f t="shared" si="18"/>
        <v>2735125</v>
      </c>
      <c r="AA61" s="18"/>
      <c r="AB61" s="18"/>
      <c r="AC61" s="283"/>
      <c r="AD61" s="692"/>
      <c r="AE61" s="283"/>
      <c r="AF61" s="283"/>
      <c r="AG61" s="283"/>
      <c r="AH61" s="283"/>
      <c r="AI61" s="283"/>
      <c r="AJ61" s="283"/>
    </row>
    <row r="62" spans="1:36" s="177" customFormat="1" ht="21.75" customHeight="1">
      <c r="A62" s="399">
        <v>29</v>
      </c>
      <c r="B62" s="401" t="s">
        <v>676</v>
      </c>
      <c r="C62" s="560">
        <f t="shared" si="17"/>
        <v>545065147</v>
      </c>
      <c r="D62" s="558">
        <f t="shared" si="17"/>
        <v>16830850</v>
      </c>
      <c r="E62" s="561">
        <v>381634646</v>
      </c>
      <c r="F62" s="559">
        <v>8723757</v>
      </c>
      <c r="G62" s="561">
        <v>0</v>
      </c>
      <c r="H62" s="559">
        <v>0</v>
      </c>
      <c r="I62" s="561">
        <v>141500489</v>
      </c>
      <c r="J62" s="559">
        <v>7271245</v>
      </c>
      <c r="K62" s="561">
        <v>921641</v>
      </c>
      <c r="L62" s="559">
        <v>0</v>
      </c>
      <c r="M62" s="561">
        <v>3949047</v>
      </c>
      <c r="N62" s="559">
        <v>0</v>
      </c>
      <c r="O62" s="561">
        <v>47142</v>
      </c>
      <c r="P62" s="559">
        <v>0</v>
      </c>
      <c r="Q62" s="561">
        <v>9100237</v>
      </c>
      <c r="R62" s="559">
        <v>0</v>
      </c>
      <c r="S62" s="561">
        <v>502362</v>
      </c>
      <c r="T62" s="559">
        <v>0</v>
      </c>
      <c r="U62" s="561">
        <v>8880728</v>
      </c>
      <c r="V62" s="559">
        <v>835848</v>
      </c>
      <c r="W62" s="561">
        <v>1606468</v>
      </c>
      <c r="X62" s="559">
        <v>0</v>
      </c>
      <c r="Y62" s="169">
        <f t="shared" si="18"/>
        <v>3077613</v>
      </c>
      <c r="Z62" s="558">
        <f t="shared" si="18"/>
        <v>0</v>
      </c>
      <c r="AA62" s="18"/>
      <c r="AB62" s="18"/>
      <c r="AC62" s="283"/>
      <c r="AD62" s="692"/>
      <c r="AE62" s="283"/>
      <c r="AF62" s="283"/>
      <c r="AG62" s="283"/>
      <c r="AH62" s="283"/>
      <c r="AI62" s="283"/>
      <c r="AJ62" s="283"/>
    </row>
    <row r="63" spans="1:36" s="177" customFormat="1" ht="21.75" customHeight="1">
      <c r="A63" s="399">
        <v>30</v>
      </c>
      <c r="B63" s="401" t="s">
        <v>677</v>
      </c>
      <c r="C63" s="560">
        <f t="shared" si="17"/>
        <v>645758960</v>
      </c>
      <c r="D63" s="558">
        <f t="shared" si="17"/>
        <v>43425850</v>
      </c>
      <c r="E63" s="561">
        <v>321965227</v>
      </c>
      <c r="F63" s="559">
        <v>8458772</v>
      </c>
      <c r="G63" s="561">
        <v>0</v>
      </c>
      <c r="H63" s="559">
        <v>0</v>
      </c>
      <c r="I63" s="561">
        <v>227903761</v>
      </c>
      <c r="J63" s="559">
        <v>26468953</v>
      </c>
      <c r="K63" s="561">
        <v>4299412</v>
      </c>
      <c r="L63" s="559">
        <v>0</v>
      </c>
      <c r="M63" s="561">
        <v>6121614</v>
      </c>
      <c r="N63" s="559">
        <v>0</v>
      </c>
      <c r="O63" s="561">
        <v>82256</v>
      </c>
      <c r="P63" s="559">
        <v>0</v>
      </c>
      <c r="Q63" s="561">
        <v>33353476</v>
      </c>
      <c r="R63" s="559">
        <v>0</v>
      </c>
      <c r="S63" s="561">
        <v>1783300</v>
      </c>
      <c r="T63" s="559">
        <v>0</v>
      </c>
      <c r="U63" s="561">
        <v>56414882</v>
      </c>
      <c r="V63" s="559">
        <v>8498125</v>
      </c>
      <c r="W63" s="561">
        <v>3757997</v>
      </c>
      <c r="X63" s="559">
        <v>1284130</v>
      </c>
      <c r="Y63" s="169">
        <f t="shared" si="18"/>
        <v>9922965</v>
      </c>
      <c r="Z63" s="558">
        <f t="shared" si="18"/>
        <v>1284130</v>
      </c>
      <c r="AA63" s="18"/>
      <c r="AB63" s="18"/>
      <c r="AC63" s="283"/>
      <c r="AD63" s="692"/>
      <c r="AE63" s="283"/>
      <c r="AF63" s="283"/>
      <c r="AG63" s="283"/>
      <c r="AH63" s="283"/>
      <c r="AI63" s="283"/>
      <c r="AJ63" s="283"/>
    </row>
    <row r="64" spans="1:36" s="177" customFormat="1" ht="21.75" customHeight="1">
      <c r="A64" s="399">
        <v>31</v>
      </c>
      <c r="B64" s="401" t="s">
        <v>678</v>
      </c>
      <c r="C64" s="560">
        <f t="shared" si="17"/>
        <v>1359006963</v>
      </c>
      <c r="D64" s="558">
        <f t="shared" si="17"/>
        <v>67713829</v>
      </c>
      <c r="E64" s="561">
        <v>1137152887</v>
      </c>
      <c r="F64" s="559">
        <v>58034349</v>
      </c>
      <c r="G64" s="561">
        <v>0</v>
      </c>
      <c r="H64" s="559">
        <v>2385741</v>
      </c>
      <c r="I64" s="561">
        <v>179014269</v>
      </c>
      <c r="J64" s="559">
        <v>9226365</v>
      </c>
      <c r="K64" s="561">
        <v>7901279</v>
      </c>
      <c r="L64" s="559">
        <v>0</v>
      </c>
      <c r="M64" s="561">
        <v>4222037</v>
      </c>
      <c r="N64" s="559">
        <v>0</v>
      </c>
      <c r="O64" s="561">
        <v>58298</v>
      </c>
      <c r="P64" s="559">
        <v>0</v>
      </c>
      <c r="Q64" s="561">
        <v>9498108</v>
      </c>
      <c r="R64" s="559">
        <v>0</v>
      </c>
      <c r="S64" s="561">
        <v>280806</v>
      </c>
      <c r="T64" s="559">
        <v>0</v>
      </c>
      <c r="U64" s="561">
        <v>29119662</v>
      </c>
      <c r="V64" s="559">
        <v>453115</v>
      </c>
      <c r="W64" s="561">
        <v>6683513</v>
      </c>
      <c r="X64" s="559">
        <v>0</v>
      </c>
      <c r="Y64" s="169">
        <f t="shared" si="18"/>
        <v>14923896</v>
      </c>
      <c r="Z64" s="558">
        <f t="shared" si="18"/>
        <v>0</v>
      </c>
      <c r="AA64" s="18"/>
      <c r="AB64" s="18"/>
      <c r="AC64" s="283"/>
      <c r="AD64" s="692"/>
      <c r="AE64" s="283"/>
      <c r="AF64" s="283"/>
      <c r="AG64" s="283"/>
      <c r="AH64" s="283"/>
      <c r="AI64" s="283"/>
      <c r="AJ64" s="283"/>
    </row>
    <row r="65" spans="1:36" s="177" customFormat="1" ht="21.75" customHeight="1">
      <c r="A65" s="399">
        <v>32</v>
      </c>
      <c r="B65" s="401" t="s">
        <v>679</v>
      </c>
      <c r="C65" s="560">
        <f t="shared" si="17"/>
        <v>1468123270</v>
      </c>
      <c r="D65" s="558">
        <f t="shared" si="17"/>
        <v>345440465</v>
      </c>
      <c r="E65" s="561">
        <v>900290708</v>
      </c>
      <c r="F65" s="559">
        <v>138416803</v>
      </c>
      <c r="G65" s="561">
        <v>0</v>
      </c>
      <c r="H65" s="559">
        <v>0</v>
      </c>
      <c r="I65" s="561">
        <v>452908983</v>
      </c>
      <c r="J65" s="559">
        <v>129554655</v>
      </c>
      <c r="K65" s="561">
        <v>12822757</v>
      </c>
      <c r="L65" s="559">
        <v>0</v>
      </c>
      <c r="M65" s="561">
        <v>7854346</v>
      </c>
      <c r="N65" s="559">
        <v>0</v>
      </c>
      <c r="O65" s="561">
        <v>97560</v>
      </c>
      <c r="P65" s="559">
        <v>0</v>
      </c>
      <c r="Q65" s="561">
        <v>15553765</v>
      </c>
      <c r="R65" s="559">
        <v>3072659</v>
      </c>
      <c r="S65" s="561">
        <v>527644</v>
      </c>
      <c r="T65" s="559">
        <v>0</v>
      </c>
      <c r="U65" s="561">
        <v>91515468</v>
      </c>
      <c r="V65" s="559">
        <v>74396348</v>
      </c>
      <c r="W65" s="561">
        <v>4568444</v>
      </c>
      <c r="X65" s="559">
        <v>1233877</v>
      </c>
      <c r="Y65" s="169">
        <f t="shared" si="18"/>
        <v>18016405</v>
      </c>
      <c r="Z65" s="558">
        <f t="shared" si="18"/>
        <v>1233877</v>
      </c>
      <c r="AA65" s="18"/>
      <c r="AB65" s="18"/>
      <c r="AC65" s="283"/>
      <c r="AD65" s="692"/>
      <c r="AE65" s="283"/>
      <c r="AF65" s="283"/>
      <c r="AG65" s="283"/>
      <c r="AH65" s="283"/>
      <c r="AI65" s="283"/>
      <c r="AJ65" s="283"/>
    </row>
    <row r="66" spans="1:36" s="177" customFormat="1" ht="21.75" customHeight="1">
      <c r="A66" s="399">
        <v>33</v>
      </c>
      <c r="B66" s="401" t="s">
        <v>680</v>
      </c>
      <c r="C66" s="560">
        <f t="shared" si="17"/>
        <v>753303998</v>
      </c>
      <c r="D66" s="558">
        <f t="shared" si="17"/>
        <v>316664732</v>
      </c>
      <c r="E66" s="561">
        <v>263525603</v>
      </c>
      <c r="F66" s="559">
        <v>45935278</v>
      </c>
      <c r="G66" s="561">
        <v>0</v>
      </c>
      <c r="H66" s="559">
        <v>0</v>
      </c>
      <c r="I66" s="561">
        <v>445076258</v>
      </c>
      <c r="J66" s="559">
        <v>270729454</v>
      </c>
      <c r="K66" s="561">
        <v>3603818</v>
      </c>
      <c r="L66" s="559">
        <v>376208</v>
      </c>
      <c r="M66" s="561">
        <v>6029570</v>
      </c>
      <c r="N66" s="559">
        <v>0</v>
      </c>
      <c r="O66" s="561">
        <v>34270</v>
      </c>
      <c r="P66" s="559">
        <v>0</v>
      </c>
      <c r="Q66" s="561">
        <v>12523585</v>
      </c>
      <c r="R66" s="559">
        <v>0</v>
      </c>
      <c r="S66" s="561">
        <v>389831</v>
      </c>
      <c r="T66" s="559">
        <v>0</v>
      </c>
      <c r="U66" s="561">
        <v>26148982</v>
      </c>
      <c r="V66" s="559">
        <v>0</v>
      </c>
      <c r="W66" s="561">
        <v>2579524</v>
      </c>
      <c r="X66" s="559">
        <v>0</v>
      </c>
      <c r="Y66" s="169">
        <f t="shared" si="18"/>
        <v>6607443</v>
      </c>
      <c r="Z66" s="558">
        <f t="shared" si="18"/>
        <v>376208</v>
      </c>
      <c r="AA66" s="18"/>
      <c r="AB66" s="18"/>
      <c r="AC66" s="283"/>
      <c r="AD66" s="692"/>
      <c r="AE66" s="283"/>
      <c r="AF66" s="283"/>
      <c r="AG66" s="283"/>
      <c r="AH66" s="283"/>
      <c r="AI66" s="283"/>
      <c r="AJ66" s="283"/>
    </row>
    <row r="67" spans="1:36" s="177" customFormat="1" ht="21.75" customHeight="1">
      <c r="A67" s="399">
        <v>34</v>
      </c>
      <c r="B67" s="401" t="s">
        <v>681</v>
      </c>
      <c r="C67" s="560">
        <f>E67+I67+M67+Q67+U67</f>
        <v>2933081925</v>
      </c>
      <c r="D67" s="558">
        <f t="shared" si="17"/>
        <v>1450977986</v>
      </c>
      <c r="E67" s="561">
        <v>2550876240</v>
      </c>
      <c r="F67" s="559">
        <v>1227855945</v>
      </c>
      <c r="G67" s="561">
        <v>0</v>
      </c>
      <c r="H67" s="559">
        <v>220658</v>
      </c>
      <c r="I67" s="561">
        <v>343165010</v>
      </c>
      <c r="J67" s="559">
        <v>217200797</v>
      </c>
      <c r="K67" s="561">
        <v>26465331</v>
      </c>
      <c r="L67" s="559">
        <v>16525787</v>
      </c>
      <c r="M67" s="561">
        <v>7938021</v>
      </c>
      <c r="N67" s="559">
        <v>0</v>
      </c>
      <c r="O67" s="561">
        <v>238808</v>
      </c>
      <c r="P67" s="559">
        <v>0</v>
      </c>
      <c r="Q67" s="561">
        <v>15937837</v>
      </c>
      <c r="R67" s="559">
        <v>0</v>
      </c>
      <c r="S67" s="561">
        <v>2485249</v>
      </c>
      <c r="T67" s="559">
        <v>0</v>
      </c>
      <c r="U67" s="561">
        <v>15164817</v>
      </c>
      <c r="V67" s="559">
        <v>5921244</v>
      </c>
      <c r="W67" s="561">
        <v>3285598</v>
      </c>
      <c r="X67" s="559">
        <v>0</v>
      </c>
      <c r="Y67" s="169">
        <f>+W67+S67+O67+K67</f>
        <v>32474986</v>
      </c>
      <c r="Z67" s="558">
        <f>+X67+T67+P67+L67</f>
        <v>16525787</v>
      </c>
      <c r="AA67" s="18"/>
      <c r="AB67" s="18"/>
      <c r="AC67" s="283"/>
      <c r="AD67" s="692"/>
      <c r="AE67" s="283"/>
      <c r="AF67" s="283"/>
      <c r="AG67" s="283"/>
      <c r="AH67" s="283"/>
      <c r="AI67" s="283"/>
      <c r="AJ67" s="283"/>
    </row>
    <row r="68" spans="1:36" s="177" customFormat="1" ht="21.75" customHeight="1">
      <c r="A68" s="399">
        <v>35</v>
      </c>
      <c r="B68" s="401" t="s">
        <v>682</v>
      </c>
      <c r="C68" s="560">
        <f t="shared" si="17"/>
        <v>985915051</v>
      </c>
      <c r="D68" s="558">
        <f t="shared" si="17"/>
        <v>351843348</v>
      </c>
      <c r="E68" s="561">
        <v>720902652</v>
      </c>
      <c r="F68" s="559">
        <v>291287139</v>
      </c>
      <c r="G68" s="561">
        <v>0</v>
      </c>
      <c r="H68" s="559">
        <v>0</v>
      </c>
      <c r="I68" s="561">
        <v>203592164</v>
      </c>
      <c r="J68" s="559">
        <v>59770937</v>
      </c>
      <c r="K68" s="561">
        <v>5442909</v>
      </c>
      <c r="L68" s="559">
        <v>1092543</v>
      </c>
      <c r="M68" s="561">
        <v>10400145</v>
      </c>
      <c r="N68" s="559">
        <v>0</v>
      </c>
      <c r="O68" s="561">
        <v>393637</v>
      </c>
      <c r="P68" s="559">
        <v>0</v>
      </c>
      <c r="Q68" s="561">
        <v>17379663</v>
      </c>
      <c r="R68" s="559">
        <v>0</v>
      </c>
      <c r="S68" s="561">
        <v>1644736</v>
      </c>
      <c r="T68" s="559">
        <v>0</v>
      </c>
      <c r="U68" s="561">
        <v>33640427</v>
      </c>
      <c r="V68" s="559">
        <v>785272</v>
      </c>
      <c r="W68" s="561">
        <v>11843221</v>
      </c>
      <c r="X68" s="559">
        <v>242756</v>
      </c>
      <c r="Y68" s="169">
        <f t="shared" si="18"/>
        <v>19324503</v>
      </c>
      <c r="Z68" s="558">
        <f t="shared" si="18"/>
        <v>1335299</v>
      </c>
      <c r="AA68" s="18"/>
      <c r="AB68" s="18"/>
      <c r="AC68" s="283"/>
      <c r="AD68" s="692"/>
      <c r="AE68" s="283"/>
      <c r="AF68" s="283"/>
      <c r="AG68" s="283"/>
      <c r="AH68" s="283"/>
      <c r="AI68" s="283"/>
      <c r="AJ68" s="283"/>
    </row>
    <row r="69" spans="1:36" s="177" customFormat="1" ht="21.75" customHeight="1">
      <c r="A69" s="399">
        <v>36</v>
      </c>
      <c r="B69" s="401" t="s">
        <v>683</v>
      </c>
      <c r="C69" s="560">
        <f t="shared" si="17"/>
        <v>833623487</v>
      </c>
      <c r="D69" s="558">
        <f t="shared" si="17"/>
        <v>272990585</v>
      </c>
      <c r="E69" s="561">
        <v>525981527</v>
      </c>
      <c r="F69" s="559">
        <v>142339446</v>
      </c>
      <c r="G69" s="561">
        <v>0</v>
      </c>
      <c r="H69" s="559">
        <v>0</v>
      </c>
      <c r="I69" s="561">
        <v>265370594</v>
      </c>
      <c r="J69" s="559">
        <v>129279460</v>
      </c>
      <c r="K69" s="561">
        <v>2430750</v>
      </c>
      <c r="L69" s="559">
        <v>0</v>
      </c>
      <c r="M69" s="561">
        <v>7181328</v>
      </c>
      <c r="N69" s="559">
        <v>0</v>
      </c>
      <c r="O69" s="561">
        <v>114101</v>
      </c>
      <c r="P69" s="559">
        <v>0</v>
      </c>
      <c r="Q69" s="561">
        <v>20997993</v>
      </c>
      <c r="R69" s="559">
        <v>0</v>
      </c>
      <c r="S69" s="561">
        <v>1581877</v>
      </c>
      <c r="T69" s="559">
        <v>0</v>
      </c>
      <c r="U69" s="561">
        <v>14092045</v>
      </c>
      <c r="V69" s="559">
        <v>1371679</v>
      </c>
      <c r="W69" s="561">
        <v>6278335</v>
      </c>
      <c r="X69" s="559">
        <v>1371679</v>
      </c>
      <c r="Y69" s="169">
        <f t="shared" si="18"/>
        <v>10405063</v>
      </c>
      <c r="Z69" s="558">
        <f t="shared" si="18"/>
        <v>1371679</v>
      </c>
      <c r="AA69" s="18"/>
      <c r="AB69" s="18"/>
      <c r="AC69" s="283"/>
      <c r="AD69" s="692"/>
      <c r="AE69" s="283"/>
      <c r="AF69" s="283"/>
      <c r="AG69" s="283"/>
      <c r="AH69" s="283"/>
      <c r="AI69" s="283"/>
      <c r="AJ69" s="283"/>
    </row>
    <row r="70" spans="1:36" s="177" customFormat="1" ht="21.75" customHeight="1">
      <c r="A70" s="399">
        <v>37</v>
      </c>
      <c r="B70" s="401" t="s">
        <v>684</v>
      </c>
      <c r="C70" s="560">
        <f t="shared" si="17"/>
        <v>808470566</v>
      </c>
      <c r="D70" s="558">
        <f t="shared" si="17"/>
        <v>279412733</v>
      </c>
      <c r="E70" s="561">
        <v>446216230</v>
      </c>
      <c r="F70" s="559">
        <v>34916258</v>
      </c>
      <c r="G70" s="561">
        <v>0</v>
      </c>
      <c r="H70" s="559">
        <v>0</v>
      </c>
      <c r="I70" s="561">
        <v>290244852</v>
      </c>
      <c r="J70" s="559">
        <v>203809381</v>
      </c>
      <c r="K70" s="561">
        <v>1433435</v>
      </c>
      <c r="L70" s="559">
        <v>0</v>
      </c>
      <c r="M70" s="561">
        <v>3316616</v>
      </c>
      <c r="N70" s="559">
        <v>0</v>
      </c>
      <c r="O70" s="561">
        <v>59894</v>
      </c>
      <c r="P70" s="559">
        <v>0</v>
      </c>
      <c r="Q70" s="561">
        <v>3408106</v>
      </c>
      <c r="R70" s="559">
        <v>0</v>
      </c>
      <c r="S70" s="561">
        <v>94806</v>
      </c>
      <c r="T70" s="559">
        <v>0</v>
      </c>
      <c r="U70" s="561">
        <v>65284762</v>
      </c>
      <c r="V70" s="559">
        <v>40687094</v>
      </c>
      <c r="W70" s="561">
        <v>10957396</v>
      </c>
      <c r="X70" s="559">
        <v>0</v>
      </c>
      <c r="Y70" s="169">
        <f t="shared" si="18"/>
        <v>12545531</v>
      </c>
      <c r="Z70" s="558">
        <f t="shared" si="18"/>
        <v>0</v>
      </c>
      <c r="AA70" s="18"/>
      <c r="AB70" s="18"/>
      <c r="AC70" s="283"/>
      <c r="AD70" s="692"/>
      <c r="AE70" s="283"/>
      <c r="AF70" s="283"/>
      <c r="AG70" s="283"/>
      <c r="AH70" s="283"/>
      <c r="AI70" s="283"/>
      <c r="AJ70" s="283"/>
    </row>
    <row r="71" spans="1:36" s="585" customFormat="1" ht="28.5" customHeight="1">
      <c r="A71" s="583">
        <v>38</v>
      </c>
      <c r="B71" s="583" t="s">
        <v>668</v>
      </c>
      <c r="C71" s="583">
        <f t="shared" ref="C71:AB71" si="19">SUM(C57:C70)</f>
        <v>14437080535</v>
      </c>
      <c r="D71" s="583">
        <f t="shared" si="19"/>
        <v>3690964093</v>
      </c>
      <c r="E71" s="583">
        <f t="shared" si="19"/>
        <v>10039054997</v>
      </c>
      <c r="F71" s="583">
        <f t="shared" si="19"/>
        <v>2270492466</v>
      </c>
      <c r="G71" s="583">
        <f t="shared" si="19"/>
        <v>0</v>
      </c>
      <c r="H71" s="583">
        <f t="shared" si="19"/>
        <v>4096860</v>
      </c>
      <c r="I71" s="583">
        <f t="shared" si="19"/>
        <v>3532847141</v>
      </c>
      <c r="J71" s="583">
        <f t="shared" si="19"/>
        <v>1273747781</v>
      </c>
      <c r="K71" s="583">
        <f t="shared" si="19"/>
        <v>108709846</v>
      </c>
      <c r="L71" s="583">
        <f t="shared" si="19"/>
        <v>24667860</v>
      </c>
      <c r="M71" s="583">
        <f t="shared" si="19"/>
        <v>102373443</v>
      </c>
      <c r="N71" s="583">
        <f t="shared" si="19"/>
        <v>829118</v>
      </c>
      <c r="O71" s="583">
        <f t="shared" si="19"/>
        <v>1716703</v>
      </c>
      <c r="P71" s="583">
        <f t="shared" si="19"/>
        <v>74120</v>
      </c>
      <c r="Q71" s="583">
        <f t="shared" si="19"/>
        <v>237587084</v>
      </c>
      <c r="R71" s="583">
        <f t="shared" si="19"/>
        <v>3072659</v>
      </c>
      <c r="S71" s="583">
        <f t="shared" si="19"/>
        <v>12546992</v>
      </c>
      <c r="T71" s="583">
        <f t="shared" si="19"/>
        <v>0</v>
      </c>
      <c r="U71" s="583">
        <f t="shared" si="19"/>
        <v>525217870</v>
      </c>
      <c r="V71" s="583">
        <f t="shared" si="19"/>
        <v>142822069</v>
      </c>
      <c r="W71" s="583">
        <f t="shared" si="19"/>
        <v>103010246</v>
      </c>
      <c r="X71" s="583">
        <f t="shared" si="19"/>
        <v>4132442</v>
      </c>
      <c r="Y71" s="583">
        <f t="shared" si="19"/>
        <v>225983787</v>
      </c>
      <c r="Z71" s="583">
        <f t="shared" si="19"/>
        <v>28874422</v>
      </c>
      <c r="AA71" s="583">
        <f t="shared" si="19"/>
        <v>0</v>
      </c>
      <c r="AB71" s="583">
        <f t="shared" si="19"/>
        <v>0</v>
      </c>
      <c r="AC71" s="584">
        <f>+'Loans Receivable'!C85</f>
        <v>14437080535</v>
      </c>
      <c r="AD71" s="691">
        <f>+C71-AC71</f>
        <v>0</v>
      </c>
    </row>
    <row r="72" spans="1:36" s="177" customFormat="1" ht="21.75" customHeight="1">
      <c r="A72" s="399">
        <v>39</v>
      </c>
      <c r="B72" s="401" t="s">
        <v>685</v>
      </c>
      <c r="C72" s="560">
        <f t="shared" ref="C72" si="20">E72+I72+M72+Q72+U72</f>
        <v>0</v>
      </c>
      <c r="D72" s="558">
        <f t="shared" si="17"/>
        <v>0</v>
      </c>
      <c r="E72" s="561"/>
      <c r="F72" s="559"/>
      <c r="G72" s="561"/>
      <c r="H72" s="559"/>
      <c r="I72" s="561"/>
      <c r="J72" s="559"/>
      <c r="K72" s="561">
        <v>6748139</v>
      </c>
      <c r="L72" s="559"/>
      <c r="M72" s="561"/>
      <c r="N72" s="559"/>
      <c r="O72" s="561"/>
      <c r="P72" s="559"/>
      <c r="Q72" s="561"/>
      <c r="R72" s="559"/>
      <c r="S72" s="561"/>
      <c r="T72" s="559"/>
      <c r="U72" s="561"/>
      <c r="V72" s="559"/>
      <c r="W72" s="561"/>
      <c r="X72" s="559"/>
      <c r="Y72" s="169">
        <f t="shared" ref="Y72:Z72" si="21">+W72+S72+O72+K72</f>
        <v>6748139</v>
      </c>
      <c r="Z72" s="558">
        <f t="shared" si="21"/>
        <v>0</v>
      </c>
      <c r="AA72" s="18"/>
      <c r="AB72" s="18"/>
      <c r="AC72" s="283"/>
      <c r="AD72" s="692"/>
      <c r="AE72" s="283"/>
      <c r="AF72" s="283"/>
      <c r="AG72" s="283"/>
      <c r="AH72" s="283"/>
      <c r="AI72" s="283"/>
      <c r="AJ72" s="283"/>
    </row>
    <row r="73" spans="1:36" s="177" customFormat="1" ht="21.75" customHeight="1">
      <c r="A73" s="399"/>
      <c r="B73" s="401" t="s">
        <v>660</v>
      </c>
      <c r="C73" s="560">
        <f t="shared" ref="C73" si="22">E73+I73+M73+Q73+U73</f>
        <v>0</v>
      </c>
      <c r="D73" s="558">
        <f t="shared" si="17"/>
        <v>0</v>
      </c>
      <c r="E73" s="561"/>
      <c r="F73" s="559"/>
      <c r="G73" s="561"/>
      <c r="H73" s="559"/>
      <c r="I73" s="561"/>
      <c r="J73" s="559"/>
      <c r="K73" s="561"/>
      <c r="L73" s="559"/>
      <c r="M73" s="561"/>
      <c r="N73" s="559"/>
      <c r="O73" s="561"/>
      <c r="P73" s="559"/>
      <c r="Q73" s="561"/>
      <c r="R73" s="559"/>
      <c r="S73" s="561"/>
      <c r="T73" s="559"/>
      <c r="U73" s="561"/>
      <c r="V73" s="559"/>
      <c r="W73" s="561"/>
      <c r="X73" s="559"/>
      <c r="Y73" s="169">
        <f t="shared" ref="Y73" si="23">+W73+S73+O73+K73</f>
        <v>0</v>
      </c>
      <c r="Z73" s="558">
        <f t="shared" ref="Z73" si="24">+X73+T73+P73+L73</f>
        <v>0</v>
      </c>
      <c r="AA73" s="18"/>
      <c r="AB73" s="18"/>
      <c r="AC73" s="283"/>
      <c r="AD73" s="692"/>
      <c r="AE73" s="283"/>
      <c r="AF73" s="283"/>
      <c r="AG73" s="283"/>
      <c r="AH73" s="283"/>
      <c r="AI73" s="283"/>
      <c r="AJ73" s="283"/>
    </row>
    <row r="74" spans="1:36" s="585" customFormat="1" ht="28.5" customHeight="1">
      <c r="A74" s="583">
        <v>40</v>
      </c>
      <c r="B74" s="583" t="s">
        <v>686</v>
      </c>
      <c r="C74" s="583">
        <f t="shared" ref="C74:AB74" si="25">+C53+C72</f>
        <v>14437080535</v>
      </c>
      <c r="D74" s="583">
        <f t="shared" si="25"/>
        <v>3690964093</v>
      </c>
      <c r="E74" s="583">
        <f t="shared" si="25"/>
        <v>10039054997</v>
      </c>
      <c r="F74" s="583">
        <f t="shared" si="25"/>
        <v>2270492466</v>
      </c>
      <c r="G74" s="583">
        <f>+G53+G72</f>
        <v>0</v>
      </c>
      <c r="H74" s="583">
        <f>+H53+H72</f>
        <v>4096860</v>
      </c>
      <c r="I74" s="583">
        <f t="shared" si="25"/>
        <v>3532847141</v>
      </c>
      <c r="J74" s="583">
        <f t="shared" si="25"/>
        <v>1273747781</v>
      </c>
      <c r="K74" s="583">
        <f t="shared" si="25"/>
        <v>115457985</v>
      </c>
      <c r="L74" s="583">
        <f t="shared" si="25"/>
        <v>24667860</v>
      </c>
      <c r="M74" s="583">
        <f t="shared" si="25"/>
        <v>102373443</v>
      </c>
      <c r="N74" s="583">
        <f t="shared" si="25"/>
        <v>829118</v>
      </c>
      <c r="O74" s="583">
        <f t="shared" si="25"/>
        <v>1716703</v>
      </c>
      <c r="P74" s="583">
        <f t="shared" si="25"/>
        <v>74120</v>
      </c>
      <c r="Q74" s="583">
        <f t="shared" si="25"/>
        <v>237587084</v>
      </c>
      <c r="R74" s="583">
        <f t="shared" si="25"/>
        <v>3072659</v>
      </c>
      <c r="S74" s="583">
        <f t="shared" si="25"/>
        <v>12546992</v>
      </c>
      <c r="T74" s="583">
        <f t="shared" si="25"/>
        <v>0</v>
      </c>
      <c r="U74" s="583">
        <f t="shared" si="25"/>
        <v>525217870</v>
      </c>
      <c r="V74" s="583">
        <f t="shared" si="25"/>
        <v>142822069</v>
      </c>
      <c r="W74" s="583">
        <f t="shared" si="25"/>
        <v>103010246</v>
      </c>
      <c r="X74" s="583">
        <f t="shared" si="25"/>
        <v>4132442</v>
      </c>
      <c r="Y74" s="583">
        <f t="shared" si="25"/>
        <v>232731926</v>
      </c>
      <c r="Z74" s="583">
        <f t="shared" si="25"/>
        <v>28874422</v>
      </c>
      <c r="AA74" s="583">
        <f t="shared" si="25"/>
        <v>0</v>
      </c>
      <c r="AB74" s="583">
        <f t="shared" si="25"/>
        <v>0</v>
      </c>
      <c r="AD74" s="691"/>
    </row>
    <row r="75" spans="1:36" ht="18">
      <c r="Y75" s="402"/>
      <c r="AD75" s="693"/>
    </row>
    <row r="76" spans="1:36" s="258" customFormat="1" ht="15" customHeight="1">
      <c r="A76" s="34"/>
      <c r="B76" s="232" t="s">
        <v>778</v>
      </c>
      <c r="C76" s="34"/>
      <c r="D76" s="34"/>
      <c r="E76" s="34"/>
      <c r="F76" s="338"/>
      <c r="G76" s="338"/>
      <c r="H76" s="338"/>
      <c r="I76" s="338"/>
      <c r="J76" s="338"/>
      <c r="K76" s="338"/>
      <c r="L76" s="338"/>
      <c r="M76" s="338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694"/>
    </row>
    <row r="77" spans="1:36" s="258" customFormat="1" ht="11.25" customHeight="1">
      <c r="A77" s="34"/>
      <c r="B77" s="232"/>
      <c r="C77" s="34"/>
      <c r="D77" s="34"/>
      <c r="E77" s="34"/>
      <c r="F77" s="338"/>
      <c r="G77" s="338"/>
      <c r="H77" s="338"/>
      <c r="I77" s="338"/>
      <c r="J77" s="338"/>
      <c r="K77" s="338"/>
      <c r="L77" s="338"/>
      <c r="M77" s="338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694"/>
    </row>
    <row r="78" spans="1:36" s="258" customFormat="1" ht="15" customHeight="1">
      <c r="A78" s="34"/>
      <c r="B78" s="232" t="s">
        <v>779</v>
      </c>
      <c r="C78" s="34"/>
      <c r="D78" s="34"/>
      <c r="E78" s="34"/>
      <c r="F78" s="338"/>
      <c r="G78" s="338"/>
      <c r="H78" s="338"/>
      <c r="I78" s="338"/>
      <c r="J78" s="338"/>
      <c r="K78" s="338"/>
      <c r="L78" s="338"/>
      <c r="M78" s="338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694"/>
    </row>
    <row r="79" spans="1:36" ht="18">
      <c r="B79" s="366"/>
      <c r="AD79" s="693"/>
    </row>
    <row r="80" spans="1:36" ht="18">
      <c r="E80" s="391">
        <f>SUM('Asset quality'!D20:D46)+'Asset quality'!D16</f>
        <v>10039054997</v>
      </c>
      <c r="F80" s="391"/>
      <c r="G80" s="391">
        <f>SUM('Asset quality'!P20:P46)+'Asset quality'!P16</f>
        <v>0</v>
      </c>
      <c r="H80" s="391"/>
      <c r="I80" s="391">
        <f>SUM('Asset quality'!E20:E46)+'Asset quality'!E16</f>
        <v>3532847141</v>
      </c>
      <c r="K80" s="391">
        <f>SUM('Asset quality'!Q20:Q46)+'Asset quality'!Q16</f>
        <v>108709846</v>
      </c>
      <c r="L80" s="391"/>
      <c r="M80" s="391">
        <f>SUM('Asset quality'!F20:F46)+'Asset quality'!F16</f>
        <v>102373443</v>
      </c>
      <c r="O80" s="391">
        <f>SUM('Asset quality'!R20:R46)+'Asset quality'!R16</f>
        <v>1716703</v>
      </c>
      <c r="P80" s="391"/>
      <c r="Q80" s="391">
        <f>SUM('Asset quality'!G20:G46)+'Asset quality'!G16</f>
        <v>237587084</v>
      </c>
      <c r="S80" s="391">
        <f>SUM('Asset quality'!S20:S46)+'Asset quality'!S16</f>
        <v>12546992</v>
      </c>
      <c r="T80" s="391"/>
      <c r="U80" s="391">
        <f>SUM('Asset quality'!H20:H46)+'Asset quality'!H16</f>
        <v>525217870</v>
      </c>
      <c r="W80" s="391">
        <f>SUM('Asset quality'!T20:T46)+'Asset quality'!T16</f>
        <v>103010246</v>
      </c>
      <c r="Y80" s="391">
        <f>+W80+S80+O80+K80</f>
        <v>225983787</v>
      </c>
      <c r="AD80" s="693"/>
    </row>
    <row r="81" spans="5:36" ht="18">
      <c r="E81" s="391"/>
      <c r="G81" s="391">
        <f>+'Asset quality'!P9+'Asset quality'!P62</f>
        <v>0</v>
      </c>
      <c r="I81" s="391"/>
      <c r="K81" s="391">
        <f>+'Asset quality'!Q9+'Asset quality'!Q62</f>
        <v>115457985</v>
      </c>
      <c r="M81" s="391"/>
      <c r="O81" s="391">
        <f>+'Asset quality'!R9+'Asset quality'!R62</f>
        <v>1716703</v>
      </c>
      <c r="S81" s="391">
        <f>+'Asset quality'!S9+'Asset quality'!S62</f>
        <v>12546992</v>
      </c>
      <c r="U81" s="391"/>
      <c r="W81" s="391">
        <f>+'Asset quality'!T9+'Asset quality'!T62</f>
        <v>103010246</v>
      </c>
      <c r="Y81" s="391">
        <f>+W81+S81+O81+K81</f>
        <v>232731926</v>
      </c>
      <c r="AD81" s="693"/>
    </row>
    <row r="82" spans="5:36">
      <c r="E82" s="403">
        <f>+E80-E53</f>
        <v>0</v>
      </c>
      <c r="F82" s="403"/>
      <c r="G82" s="403">
        <f>+G80-G53</f>
        <v>0</v>
      </c>
      <c r="I82" s="403">
        <f>+I80-I53</f>
        <v>0</v>
      </c>
      <c r="K82" s="403">
        <f>+K80-K53</f>
        <v>0</v>
      </c>
      <c r="M82" s="403">
        <f>+M80-M53</f>
        <v>0</v>
      </c>
      <c r="O82" s="403">
        <f>+O80-O53</f>
        <v>0</v>
      </c>
      <c r="Q82" s="403">
        <f>+Q80-Q53</f>
        <v>0</v>
      </c>
      <c r="S82" s="403">
        <f>+S80-S53</f>
        <v>0</v>
      </c>
      <c r="U82" s="403">
        <f>+U80-U53</f>
        <v>0</v>
      </c>
      <c r="W82" s="403">
        <f>+W80-W53</f>
        <v>0</v>
      </c>
      <c r="Y82" s="403">
        <f>+Y80-Y53</f>
        <v>0</v>
      </c>
    </row>
    <row r="83" spans="5:36">
      <c r="E83" s="404"/>
      <c r="F83" s="403"/>
      <c r="G83" s="578">
        <f>+G81-G74</f>
        <v>0</v>
      </c>
      <c r="I83" s="403"/>
      <c r="K83" s="403">
        <f>+K81-K74</f>
        <v>0</v>
      </c>
      <c r="M83" s="403"/>
      <c r="O83" s="403">
        <f>+O81-O74</f>
        <v>0</v>
      </c>
      <c r="Q83" s="403"/>
      <c r="S83" s="403">
        <f>+S81-S74</f>
        <v>0</v>
      </c>
      <c r="U83" s="403"/>
      <c r="W83" s="403">
        <f>+W81-W74</f>
        <v>0</v>
      </c>
      <c r="Y83" s="403">
        <f>+Y81-Y74</f>
        <v>0</v>
      </c>
    </row>
    <row r="84" spans="5:36">
      <c r="AC84" s="262"/>
      <c r="AD84" s="262"/>
      <c r="AE84" s="262"/>
      <c r="AF84" s="262"/>
      <c r="AG84" s="262"/>
      <c r="AH84" s="262"/>
      <c r="AI84" s="262"/>
      <c r="AJ84" s="262"/>
    </row>
    <row r="87" spans="5:36" ht="79.5" customHeight="1"/>
  </sheetData>
  <sheetProtection password="CACA" sheet="1" objects="1" scenarios="1"/>
  <mergeCells count="1">
    <mergeCell ref="U3:V3"/>
  </mergeCells>
  <phoneticPr fontId="15" type="noConversion"/>
  <conditionalFormatting sqref="D31">
    <cfRule type="cellIs" dxfId="368" priority="218" operator="notEqual">
      <formula>$D$53</formula>
    </cfRule>
  </conditionalFormatting>
  <conditionalFormatting sqref="E31">
    <cfRule type="cellIs" dxfId="367" priority="217" operator="notEqual">
      <formula>$E$53</formula>
    </cfRule>
  </conditionalFormatting>
  <conditionalFormatting sqref="F31">
    <cfRule type="cellIs" dxfId="366" priority="216" operator="notEqual">
      <formula>$F$53</formula>
    </cfRule>
  </conditionalFormatting>
  <conditionalFormatting sqref="G31">
    <cfRule type="cellIs" dxfId="365" priority="215" operator="notEqual">
      <formula>$G$53</formula>
    </cfRule>
  </conditionalFormatting>
  <conditionalFormatting sqref="H31">
    <cfRule type="cellIs" dxfId="364" priority="214" operator="notEqual">
      <formula>$H$53</formula>
    </cfRule>
  </conditionalFormatting>
  <conditionalFormatting sqref="I31">
    <cfRule type="cellIs" dxfId="363" priority="213" operator="notEqual">
      <formula>$I$53</formula>
    </cfRule>
  </conditionalFormatting>
  <conditionalFormatting sqref="J31">
    <cfRule type="cellIs" dxfId="362" priority="211" operator="notEqual">
      <formula>$J$53</formula>
    </cfRule>
  </conditionalFormatting>
  <conditionalFormatting sqref="K31">
    <cfRule type="cellIs" dxfId="361" priority="210" operator="notEqual">
      <formula>$K$53</formula>
    </cfRule>
  </conditionalFormatting>
  <conditionalFormatting sqref="L31">
    <cfRule type="cellIs" dxfId="360" priority="209" operator="notEqual">
      <formula>$L$53</formula>
    </cfRule>
  </conditionalFormatting>
  <conditionalFormatting sqref="M31">
    <cfRule type="cellIs" dxfId="359" priority="207" operator="notEqual">
      <formula>$M$53</formula>
    </cfRule>
  </conditionalFormatting>
  <conditionalFormatting sqref="N31">
    <cfRule type="cellIs" dxfId="358" priority="206" operator="notEqual">
      <formula>$N$53</formula>
    </cfRule>
  </conditionalFormatting>
  <conditionalFormatting sqref="O31">
    <cfRule type="cellIs" dxfId="357" priority="205" operator="notEqual">
      <formula>$O$53</formula>
    </cfRule>
  </conditionalFormatting>
  <conditionalFormatting sqref="P31">
    <cfRule type="cellIs" dxfId="356" priority="204" operator="notEqual">
      <formula>$P$53</formula>
    </cfRule>
  </conditionalFormatting>
  <conditionalFormatting sqref="Q31">
    <cfRule type="cellIs" dxfId="355" priority="202" operator="notEqual">
      <formula>$Q$53</formula>
    </cfRule>
  </conditionalFormatting>
  <conditionalFormatting sqref="R31">
    <cfRule type="cellIs" dxfId="354" priority="201" operator="notEqual">
      <formula>$R$53</formula>
    </cfRule>
  </conditionalFormatting>
  <conditionalFormatting sqref="S31">
    <cfRule type="cellIs" dxfId="353" priority="200" operator="notEqual">
      <formula>$S$53</formula>
    </cfRule>
  </conditionalFormatting>
  <conditionalFormatting sqref="T31">
    <cfRule type="cellIs" dxfId="352" priority="199" operator="notEqual">
      <formula>$T$53</formula>
    </cfRule>
  </conditionalFormatting>
  <conditionalFormatting sqref="U31">
    <cfRule type="cellIs" dxfId="351" priority="198" operator="notEqual">
      <formula>$U$53</formula>
    </cfRule>
  </conditionalFormatting>
  <conditionalFormatting sqref="V31">
    <cfRule type="cellIs" dxfId="350" priority="197" operator="notEqual">
      <formula>$V$53</formula>
    </cfRule>
  </conditionalFormatting>
  <conditionalFormatting sqref="W31">
    <cfRule type="cellIs" dxfId="349" priority="196" operator="notEqual">
      <formula>$W$53</formula>
    </cfRule>
  </conditionalFormatting>
  <conditionalFormatting sqref="X31">
    <cfRule type="cellIs" dxfId="348" priority="195" operator="notEqual">
      <formula>$X$53</formula>
    </cfRule>
  </conditionalFormatting>
  <conditionalFormatting sqref="Y31">
    <cfRule type="cellIs" dxfId="347" priority="194" operator="notEqual">
      <formula>$Y$53</formula>
    </cfRule>
  </conditionalFormatting>
  <conditionalFormatting sqref="D32">
    <cfRule type="cellIs" dxfId="346" priority="191" operator="notEqual">
      <formula>$D$54</formula>
    </cfRule>
  </conditionalFormatting>
  <conditionalFormatting sqref="I32">
    <cfRule type="cellIs" dxfId="345" priority="181" operator="notEqual">
      <formula>$I$54</formula>
    </cfRule>
  </conditionalFormatting>
  <conditionalFormatting sqref="J32">
    <cfRule type="cellIs" dxfId="344" priority="180" operator="notEqual">
      <formula>$J$54</formula>
    </cfRule>
  </conditionalFormatting>
  <conditionalFormatting sqref="K32">
    <cfRule type="cellIs" dxfId="343" priority="179" operator="notEqual">
      <formula>$K$54</formula>
    </cfRule>
  </conditionalFormatting>
  <conditionalFormatting sqref="L32">
    <cfRule type="cellIs" dxfId="342" priority="178" operator="notEqual">
      <formula>$L$54</formula>
    </cfRule>
  </conditionalFormatting>
  <conditionalFormatting sqref="M32">
    <cfRule type="cellIs" dxfId="341" priority="177" operator="notEqual">
      <formula>$M$54</formula>
    </cfRule>
  </conditionalFormatting>
  <conditionalFormatting sqref="N32">
    <cfRule type="cellIs" dxfId="340" priority="176" operator="notEqual">
      <formula>$N$54</formula>
    </cfRule>
  </conditionalFormatting>
  <conditionalFormatting sqref="O32">
    <cfRule type="cellIs" dxfId="339" priority="175" operator="notEqual">
      <formula>$O$54</formula>
    </cfRule>
  </conditionalFormatting>
  <conditionalFormatting sqref="P32">
    <cfRule type="cellIs" dxfId="338" priority="174" operator="notEqual">
      <formula>$P$54</formula>
    </cfRule>
  </conditionalFormatting>
  <conditionalFormatting sqref="Q32">
    <cfRule type="cellIs" dxfId="337" priority="173" operator="notEqual">
      <formula>$Q$54</formula>
    </cfRule>
  </conditionalFormatting>
  <conditionalFormatting sqref="R32">
    <cfRule type="cellIs" dxfId="336" priority="172" operator="notEqual">
      <formula>$R$54</formula>
    </cfRule>
  </conditionalFormatting>
  <conditionalFormatting sqref="S32">
    <cfRule type="cellIs" dxfId="335" priority="171" operator="notEqual">
      <formula>$S$54</formula>
    </cfRule>
  </conditionalFormatting>
  <conditionalFormatting sqref="T32">
    <cfRule type="cellIs" dxfId="334" priority="170" operator="notEqual">
      <formula>$T$54</formula>
    </cfRule>
  </conditionalFormatting>
  <conditionalFormatting sqref="U32">
    <cfRule type="cellIs" dxfId="333" priority="169" operator="notEqual">
      <formula>$U$54</formula>
    </cfRule>
  </conditionalFormatting>
  <conditionalFormatting sqref="V32">
    <cfRule type="cellIs" dxfId="332" priority="168" operator="notEqual">
      <formula>$V$54</formula>
    </cfRule>
  </conditionalFormatting>
  <conditionalFormatting sqref="W32">
    <cfRule type="cellIs" dxfId="331" priority="167" operator="notEqual">
      <formula>$W$54</formula>
    </cfRule>
  </conditionalFormatting>
  <conditionalFormatting sqref="X32">
    <cfRule type="cellIs" dxfId="330" priority="166" operator="notEqual">
      <formula>$X$54</formula>
    </cfRule>
  </conditionalFormatting>
  <conditionalFormatting sqref="Y32">
    <cfRule type="cellIs" dxfId="329" priority="165" operator="notEqual">
      <formula>$Y$54</formula>
    </cfRule>
  </conditionalFormatting>
  <conditionalFormatting sqref="Z32:AB32">
    <cfRule type="cellIs" dxfId="328" priority="164" operator="notEqual">
      <formula>$Z$54</formula>
    </cfRule>
  </conditionalFormatting>
  <conditionalFormatting sqref="E32">
    <cfRule type="cellIs" dxfId="327" priority="163" operator="notEqual">
      <formula>$E$54</formula>
    </cfRule>
  </conditionalFormatting>
  <conditionalFormatting sqref="F32">
    <cfRule type="cellIs" dxfId="326" priority="162" operator="notEqual">
      <formula>$F$54</formula>
    </cfRule>
  </conditionalFormatting>
  <conditionalFormatting sqref="G32">
    <cfRule type="cellIs" dxfId="325" priority="161" operator="notEqual">
      <formula>$G$54</formula>
    </cfRule>
  </conditionalFormatting>
  <conditionalFormatting sqref="H32">
    <cfRule type="cellIs" dxfId="324" priority="159" operator="notEqual">
      <formula>$H$50</formula>
    </cfRule>
  </conditionalFormatting>
  <conditionalFormatting sqref="G74">
    <cfRule type="cellIs" dxfId="323" priority="91" operator="notEqual">
      <formula>$G$81</formula>
    </cfRule>
    <cfRule type="cellIs" dxfId="322" priority="156" operator="notEqual">
      <formula>$G$81</formula>
    </cfRule>
  </conditionalFormatting>
  <conditionalFormatting sqref="K74">
    <cfRule type="cellIs" dxfId="321" priority="90" operator="notEqual">
      <formula>$K$81</formula>
    </cfRule>
    <cfRule type="cellIs" dxfId="320" priority="154" operator="notEqual">
      <formula>$K$81</formula>
    </cfRule>
  </conditionalFormatting>
  <conditionalFormatting sqref="S74">
    <cfRule type="cellIs" dxfId="319" priority="88" operator="notEqual">
      <formula>$S$81</formula>
    </cfRule>
    <cfRule type="cellIs" dxfId="318" priority="150" operator="notEqual">
      <formula>$S$81</formula>
    </cfRule>
  </conditionalFormatting>
  <conditionalFormatting sqref="W74">
    <cfRule type="cellIs" dxfId="317" priority="87" operator="notEqual">
      <formula>$W$81</formula>
    </cfRule>
    <cfRule type="cellIs" dxfId="316" priority="148" operator="notEqual">
      <formula>$W$81</formula>
    </cfRule>
  </conditionalFormatting>
  <conditionalFormatting sqref="Y74">
    <cfRule type="cellIs" dxfId="315" priority="86" operator="notEqual">
      <formula>$Y$81</formula>
    </cfRule>
    <cfRule type="cellIs" dxfId="314" priority="145" operator="notEqual">
      <formula>$Y$81</formula>
    </cfRule>
  </conditionalFormatting>
  <conditionalFormatting sqref="O74">
    <cfRule type="cellIs" dxfId="313" priority="89" operator="notEqual">
      <formula>$O$81</formula>
    </cfRule>
    <cfRule type="cellIs" dxfId="312" priority="143" operator="notEqual">
      <formula>$O$81</formula>
    </cfRule>
  </conditionalFormatting>
  <conditionalFormatting sqref="G71">
    <cfRule type="cellIs" dxfId="311" priority="85" operator="notEqual">
      <formula>$G$80</formula>
    </cfRule>
    <cfRule type="cellIs" dxfId="310" priority="118" operator="notEqual">
      <formula>$G$31</formula>
    </cfRule>
  </conditionalFormatting>
  <conditionalFormatting sqref="K71">
    <cfRule type="cellIs" dxfId="309" priority="83" operator="notEqual">
      <formula>$K$80</formula>
    </cfRule>
    <cfRule type="cellIs" dxfId="308" priority="117" operator="notEqual">
      <formula>$K$31</formula>
    </cfRule>
  </conditionalFormatting>
  <conditionalFormatting sqref="S71">
    <cfRule type="cellIs" dxfId="307" priority="79" operator="notEqual">
      <formula>$S$80</formula>
    </cfRule>
    <cfRule type="cellIs" dxfId="306" priority="116" operator="notEqual">
      <formula>$S$31</formula>
    </cfRule>
  </conditionalFormatting>
  <conditionalFormatting sqref="W71">
    <cfRule type="cellIs" dxfId="305" priority="77" operator="notEqual">
      <formula>$W$80</formula>
    </cfRule>
    <cfRule type="cellIs" dxfId="304" priority="115" operator="notEqual">
      <formula>$W$31</formula>
    </cfRule>
  </conditionalFormatting>
  <conditionalFormatting sqref="Y71">
    <cfRule type="cellIs" dxfId="303" priority="76" operator="notEqual">
      <formula>$Y$80</formula>
    </cfRule>
    <cfRule type="cellIs" dxfId="302" priority="114" operator="notEqual">
      <formula>$Y$31</formula>
    </cfRule>
  </conditionalFormatting>
  <conditionalFormatting sqref="O71">
    <cfRule type="cellIs" dxfId="301" priority="81" operator="notEqual">
      <formula>$O$80</formula>
    </cfRule>
    <cfRule type="cellIs" dxfId="300" priority="113" operator="notEqual">
      <formula>$O$31</formula>
    </cfRule>
  </conditionalFormatting>
  <conditionalFormatting sqref="E71">
    <cfRule type="cellIs" dxfId="299" priority="75" operator="notEqual">
      <formula>$E$80</formula>
    </cfRule>
    <cfRule type="cellIs" dxfId="298" priority="112" operator="notEqual">
      <formula>$E$31</formula>
    </cfRule>
  </conditionalFormatting>
  <conditionalFormatting sqref="M71">
    <cfRule type="cellIs" dxfId="297" priority="82" operator="notEqual">
      <formula>$M$80</formula>
    </cfRule>
    <cfRule type="cellIs" dxfId="296" priority="110" operator="notEqual">
      <formula>$M$31</formula>
    </cfRule>
  </conditionalFormatting>
  <conditionalFormatting sqref="Q71">
    <cfRule type="cellIs" dxfId="295" priority="80" operator="notEqual">
      <formula>$Q$80</formula>
    </cfRule>
    <cfRule type="cellIs" dxfId="294" priority="109" operator="notEqual">
      <formula>$Q$31</formula>
    </cfRule>
  </conditionalFormatting>
  <conditionalFormatting sqref="U71">
    <cfRule type="cellIs" dxfId="293" priority="78" operator="notEqual">
      <formula>$U$80</formula>
    </cfRule>
    <cfRule type="cellIs" dxfId="292" priority="108" operator="notEqual">
      <formula>$U$31</formula>
    </cfRule>
  </conditionalFormatting>
  <conditionalFormatting sqref="H53">
    <cfRule type="cellIs" dxfId="291" priority="107" operator="notEqual">
      <formula>H71</formula>
    </cfRule>
  </conditionalFormatting>
  <conditionalFormatting sqref="J71">
    <cfRule type="cellIs" dxfId="290" priority="106" operator="notEqual">
      <formula>$J$31</formula>
    </cfRule>
  </conditionalFormatting>
  <conditionalFormatting sqref="I71">
    <cfRule type="cellIs" dxfId="289" priority="84" operator="notEqual">
      <formula>$I$80</formula>
    </cfRule>
  </conditionalFormatting>
  <conditionalFormatting sqref="G53">
    <cfRule type="cellIs" dxfId="288" priority="612" operator="notEqual">
      <formula>$G$71</formula>
    </cfRule>
  </conditionalFormatting>
  <conditionalFormatting sqref="K53">
    <cfRule type="cellIs" dxfId="287" priority="613" operator="notEqual">
      <formula>$K$71</formula>
    </cfRule>
  </conditionalFormatting>
  <conditionalFormatting sqref="S53">
    <cfRule type="cellIs" dxfId="286" priority="614" operator="notEqual">
      <formula>$S$71</formula>
    </cfRule>
  </conditionalFormatting>
  <conditionalFormatting sqref="W53">
    <cfRule type="cellIs" dxfId="285" priority="615" operator="notEqual">
      <formula>$W$71</formula>
    </cfRule>
  </conditionalFormatting>
  <conditionalFormatting sqref="Y53">
    <cfRule type="cellIs" dxfId="284" priority="616" operator="notEqual">
      <formula>$Y$71</formula>
    </cfRule>
  </conditionalFormatting>
  <conditionalFormatting sqref="O53">
    <cfRule type="cellIs" dxfId="283" priority="617" operator="notEqual">
      <formula>$O$71</formula>
    </cfRule>
  </conditionalFormatting>
  <conditionalFormatting sqref="E53">
    <cfRule type="cellIs" dxfId="282" priority="618" operator="notEqual">
      <formula>$E$71</formula>
    </cfRule>
  </conditionalFormatting>
  <conditionalFormatting sqref="M53">
    <cfRule type="cellIs" dxfId="281" priority="619" operator="notEqual">
      <formula>$M$71</formula>
    </cfRule>
  </conditionalFormatting>
  <conditionalFormatting sqref="Q53">
    <cfRule type="cellIs" dxfId="280" priority="620" operator="notEqual">
      <formula>$Q$71</formula>
    </cfRule>
  </conditionalFormatting>
  <conditionalFormatting sqref="U53">
    <cfRule type="cellIs" dxfId="279" priority="621" operator="notEqual">
      <formula>$U$71</formula>
    </cfRule>
  </conditionalFormatting>
  <conditionalFormatting sqref="D53">
    <cfRule type="cellIs" dxfId="278" priority="622" operator="notEqual">
      <formula>$D$71</formula>
    </cfRule>
  </conditionalFormatting>
  <conditionalFormatting sqref="F53">
    <cfRule type="cellIs" dxfId="277" priority="623" operator="notEqual">
      <formula>$F$71</formula>
    </cfRule>
  </conditionalFormatting>
  <conditionalFormatting sqref="I53">
    <cfRule type="cellIs" dxfId="276" priority="624" operator="notEqual">
      <formula>$I$71</formula>
    </cfRule>
  </conditionalFormatting>
  <conditionalFormatting sqref="J53">
    <cfRule type="cellIs" dxfId="275" priority="625" operator="notEqual">
      <formula>$J$71</formula>
    </cfRule>
  </conditionalFormatting>
  <conditionalFormatting sqref="L53">
    <cfRule type="cellIs" dxfId="274" priority="626" operator="notEqual">
      <formula>$L$71</formula>
    </cfRule>
  </conditionalFormatting>
  <conditionalFormatting sqref="N53">
    <cfRule type="cellIs" dxfId="273" priority="627" operator="notEqual">
      <formula>$N$71</formula>
    </cfRule>
  </conditionalFormatting>
  <conditionalFormatting sqref="P53">
    <cfRule type="cellIs" dxfId="272" priority="628" operator="notEqual">
      <formula>$P$71</formula>
    </cfRule>
  </conditionalFormatting>
  <conditionalFormatting sqref="R53">
    <cfRule type="cellIs" dxfId="271" priority="629" operator="notEqual">
      <formula>$R$71</formula>
    </cfRule>
  </conditionalFormatting>
  <conditionalFormatting sqref="T53">
    <cfRule type="cellIs" dxfId="270" priority="630" operator="notEqual">
      <formula>$T$71</formula>
    </cfRule>
  </conditionalFormatting>
  <conditionalFormatting sqref="V53">
    <cfRule type="cellIs" dxfId="269" priority="631" operator="notEqual">
      <formula>$V$71</formula>
    </cfRule>
  </conditionalFormatting>
  <conditionalFormatting sqref="X53">
    <cfRule type="cellIs" dxfId="268" priority="632" operator="notEqual">
      <formula>$X$71</formula>
    </cfRule>
  </conditionalFormatting>
  <conditionalFormatting sqref="AB53">
    <cfRule type="cellIs" dxfId="267" priority="633" operator="notEqual">
      <formula>$AB$71</formula>
    </cfRule>
  </conditionalFormatting>
  <conditionalFormatting sqref="C7">
    <cfRule type="cellIs" dxfId="266" priority="40" operator="notEqual">
      <formula>AC7</formula>
    </cfRule>
    <cfRule type="cellIs" dxfId="265" priority="73" operator="notEqual">
      <formula>AC7</formula>
    </cfRule>
  </conditionalFormatting>
  <conditionalFormatting sqref="AA31">
    <cfRule type="cellIs" dxfId="264" priority="53" operator="notEqual">
      <formula>$AA$53</formula>
    </cfRule>
  </conditionalFormatting>
  <conditionalFormatting sqref="Z53">
    <cfRule type="cellIs" dxfId="263" priority="52" operator="notEqual">
      <formula>$Z$71</formula>
    </cfRule>
  </conditionalFormatting>
  <conditionalFormatting sqref="AA53">
    <cfRule type="cellIs" dxfId="262" priority="51" operator="notEqual">
      <formula>$AA$71</formula>
    </cfRule>
  </conditionalFormatting>
  <conditionalFormatting sqref="AB31">
    <cfRule type="cellIs" dxfId="261" priority="50" operator="notEqual">
      <formula>$AB$53</formula>
    </cfRule>
  </conditionalFormatting>
  <conditionalFormatting sqref="C31">
    <cfRule type="cellIs" dxfId="260" priority="43" operator="notEqual">
      <formula>AC31</formula>
    </cfRule>
  </conditionalFormatting>
  <conditionalFormatting sqref="C53">
    <cfRule type="cellIs" dxfId="259" priority="42" operator="notEqual">
      <formula>AC53</formula>
    </cfRule>
  </conditionalFormatting>
  <conditionalFormatting sqref="C71">
    <cfRule type="cellIs" dxfId="258" priority="41" operator="notEqual">
      <formula>AC71</formula>
    </cfRule>
  </conditionalFormatting>
  <conditionalFormatting sqref="C9">
    <cfRule type="cellIs" dxfId="257" priority="38" operator="notEqual">
      <formula>AC9</formula>
    </cfRule>
    <cfRule type="cellIs" dxfId="256" priority="39" operator="notEqual">
      <formula>AC9</formula>
    </cfRule>
  </conditionalFormatting>
  <conditionalFormatting sqref="C11">
    <cfRule type="cellIs" dxfId="255" priority="36" operator="notEqual">
      <formula>AC11</formula>
    </cfRule>
    <cfRule type="cellIs" dxfId="254" priority="37" operator="notEqual">
      <formula>AC11</formula>
    </cfRule>
  </conditionalFormatting>
  <conditionalFormatting sqref="C13">
    <cfRule type="cellIs" dxfId="253" priority="34" operator="notEqual">
      <formula>AC13</formula>
    </cfRule>
    <cfRule type="cellIs" dxfId="252" priority="35" operator="notEqual">
      <formula>AC13</formula>
    </cfRule>
  </conditionalFormatting>
  <conditionalFormatting sqref="C15">
    <cfRule type="cellIs" dxfId="251" priority="32" operator="notEqual">
      <formula>AC15</formula>
    </cfRule>
    <cfRule type="cellIs" dxfId="250" priority="33" operator="notEqual">
      <formula>AC15</formula>
    </cfRule>
  </conditionalFormatting>
  <conditionalFormatting sqref="C17">
    <cfRule type="cellIs" dxfId="249" priority="30" operator="notEqual">
      <formula>AC17</formula>
    </cfRule>
    <cfRule type="cellIs" dxfId="248" priority="31" operator="notEqual">
      <formula>AC17</formula>
    </cfRule>
  </conditionalFormatting>
  <conditionalFormatting sqref="C19">
    <cfRule type="cellIs" dxfId="247" priority="28" operator="notEqual">
      <formula>AC19</formula>
    </cfRule>
    <cfRule type="cellIs" dxfId="246" priority="29" operator="notEqual">
      <formula>AC19</formula>
    </cfRule>
  </conditionalFormatting>
  <conditionalFormatting sqref="C21">
    <cfRule type="cellIs" dxfId="245" priority="26" operator="notEqual">
      <formula>AC21</formula>
    </cfRule>
    <cfRule type="cellIs" dxfId="244" priority="27" operator="notEqual">
      <formula>AC21</formula>
    </cfRule>
  </conditionalFormatting>
  <conditionalFormatting sqref="C23">
    <cfRule type="cellIs" dxfId="243" priority="24" operator="notEqual">
      <formula>AC23</formula>
    </cfRule>
    <cfRule type="cellIs" dxfId="242" priority="25" operator="notEqual">
      <formula>AC23</formula>
    </cfRule>
  </conditionalFormatting>
  <conditionalFormatting sqref="C25">
    <cfRule type="cellIs" dxfId="241" priority="22" operator="notEqual">
      <formula>AC25</formula>
    </cfRule>
    <cfRule type="cellIs" dxfId="240" priority="23" operator="notEqual">
      <formula>AC25</formula>
    </cfRule>
  </conditionalFormatting>
  <conditionalFormatting sqref="C27">
    <cfRule type="cellIs" dxfId="239" priority="20" operator="notEqual">
      <formula>AC27</formula>
    </cfRule>
    <cfRule type="cellIs" dxfId="238" priority="21" operator="notEqual">
      <formula>AC27</formula>
    </cfRule>
  </conditionalFormatting>
  <conditionalFormatting sqref="C29">
    <cfRule type="cellIs" dxfId="237" priority="18" operator="notEqual">
      <formula>AC29</formula>
    </cfRule>
    <cfRule type="cellIs" dxfId="236" priority="19" operator="notEqual">
      <formula>AC29</formula>
    </cfRule>
  </conditionalFormatting>
  <conditionalFormatting sqref="C35">
    <cfRule type="cellIs" dxfId="235" priority="16" operator="notEqual">
      <formula>AC35</formula>
    </cfRule>
    <cfRule type="cellIs" dxfId="234" priority="17" operator="notEqual">
      <formula>AC35</formula>
    </cfRule>
  </conditionalFormatting>
  <conditionalFormatting sqref="C51 C49 C47 C45 C43 C41 C39 C37">
    <cfRule type="cellIs" dxfId="233" priority="14" operator="notEqual">
      <formula>AC37</formula>
    </cfRule>
    <cfRule type="cellIs" dxfId="232" priority="15" operator="notEqual">
      <formula>AC37</formula>
    </cfRule>
  </conditionalFormatting>
  <conditionalFormatting sqref="AB51">
    <cfRule type="cellIs" dxfId="231" priority="1" operator="notEqual">
      <formula>AB13</formula>
    </cfRule>
  </conditionalFormatting>
  <conditionalFormatting sqref="E51">
    <cfRule type="cellIs" dxfId="230" priority="13" operator="notEqual">
      <formula>E13</formula>
    </cfRule>
  </conditionalFormatting>
  <conditionalFormatting sqref="I51">
    <cfRule type="cellIs" dxfId="229" priority="11" operator="notEqual">
      <formula>I13</formula>
    </cfRule>
  </conditionalFormatting>
  <conditionalFormatting sqref="K51">
    <cfRule type="cellIs" dxfId="228" priority="10" operator="notEqual">
      <formula>K13</formula>
    </cfRule>
  </conditionalFormatting>
  <conditionalFormatting sqref="M51">
    <cfRule type="cellIs" dxfId="227" priority="9" operator="notEqual">
      <formula>M13</formula>
    </cfRule>
  </conditionalFormatting>
  <conditionalFormatting sqref="O51">
    <cfRule type="cellIs" dxfId="226" priority="8" operator="notEqual">
      <formula>O13</formula>
    </cfRule>
  </conditionalFormatting>
  <conditionalFormatting sqref="Q51">
    <cfRule type="cellIs" dxfId="225" priority="7" operator="notEqual">
      <formula>Q13</formula>
    </cfRule>
  </conditionalFormatting>
  <conditionalFormatting sqref="S51">
    <cfRule type="cellIs" dxfId="224" priority="6" operator="notEqual">
      <formula>S13</formula>
    </cfRule>
  </conditionalFormatting>
  <conditionalFormatting sqref="U51">
    <cfRule type="cellIs" dxfId="223" priority="5" operator="notEqual">
      <formula>U13</formula>
    </cfRule>
  </conditionalFormatting>
  <conditionalFormatting sqref="W51">
    <cfRule type="cellIs" dxfId="222" priority="4" operator="notEqual">
      <formula>W13</formula>
    </cfRule>
  </conditionalFormatting>
  <conditionalFormatting sqref="Y51">
    <cfRule type="cellIs" dxfId="221" priority="3" operator="notEqual">
      <formula>Y13</formula>
    </cfRule>
  </conditionalFormatting>
  <conditionalFormatting sqref="Z51">
    <cfRule type="cellIs" dxfId="220" priority="2" operator="notEqual">
      <formula>Z13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72:X72 R49:R51 P49:P51 N49:N51 L49:L51 J49:J51 H49:H51 F49:F51 I44:I52 O44:O52 Q44:Q52 W29 F47 H47 J47 L47 N47 P47 R47 T47 V47 M29 I29 O29 Q29 S29 U29 K29 G29 S44:S52 U44:U52 K44:K52 G44:G52 W44:W52 M44:M52 E44:E52 X49:X50 F70 H70 J70 L70 N70 P70 R70 T70 V70 M57:M63 W57:W63 G57:G63 K57:K63 U57:U63 S57:S63 Q57:Q63 O57:O63 I57:I63 E57:E63 M35:M42 W35:W42 G35:G42 K35:K42 U35:U42 S35:S42 Q35:Q42 O35:O42 I35:I42 E35:E42 V49:V51 W65:W70 G65:G70 K65:K70 U65:U70 S65:S70 Q65:Q70 O65:O70 I65:I70 E65:E70 M65:M70 T49:T51">
      <formula1>-1E+22</formula1>
      <formula2>1E+22</formula2>
    </dataValidation>
    <dataValidation type="whole" operator="greaterThanOrEqual" allowBlank="1" showErrorMessage="1" error="Введите целое положительное число." sqref="W73 E73 G73 I73 K73 M73 O73 Q73 S73 U73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29" orientation="landscape" r:id="rId1"/>
  <headerFooter alignWithMargins="0"/>
  <ignoredErrors>
    <ignoredError sqref="C71:AC71 C74:AC77 C72:D72 Y72:Z72 AC72 C73:Z73 AC7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BC94"/>
  <sheetViews>
    <sheetView view="pageBreakPreview" zoomScale="55" zoomScaleNormal="62" zoomScaleSheetLayoutView="55" workbookViewId="0">
      <pane xSplit="2" ySplit="6" topLeftCell="C7" activePane="bottomRight" state="frozen"/>
      <selection activeCell="J47" sqref="J47"/>
      <selection pane="topRight" activeCell="J47" sqref="J47"/>
      <selection pane="bottomLeft" activeCell="J47" sqref="J47"/>
      <selection pane="bottomRight" activeCell="H41" sqref="H41"/>
    </sheetView>
  </sheetViews>
  <sheetFormatPr defaultColWidth="9.42578125" defaultRowHeight="12.75"/>
  <cols>
    <col min="1" max="1" width="5" style="258" customWidth="1"/>
    <col min="2" max="2" width="47.42578125" style="258" customWidth="1"/>
    <col min="3" max="3" width="17.28515625" style="258" customWidth="1"/>
    <col min="4" max="4" width="16.85546875" style="258" customWidth="1"/>
    <col min="5" max="6" width="18.28515625" style="258" customWidth="1"/>
    <col min="7" max="8" width="15.42578125" style="258" customWidth="1"/>
    <col min="9" max="9" width="12.28515625" style="258" customWidth="1"/>
    <col min="10" max="11" width="18.28515625" style="258" customWidth="1"/>
    <col min="12" max="13" width="15.42578125" style="258" customWidth="1"/>
    <col min="14" max="14" width="13.28515625" style="258" customWidth="1"/>
    <col min="15" max="16" width="15.42578125" style="258" customWidth="1"/>
    <col min="17" max="17" width="14.28515625" style="258" customWidth="1"/>
    <col min="18" max="19" width="18.28515625" style="258" customWidth="1"/>
    <col min="20" max="21" width="15.42578125" style="258" customWidth="1"/>
    <col min="22" max="22" width="13.7109375" style="258" customWidth="1"/>
    <col min="23" max="24" width="15.42578125" style="258" customWidth="1"/>
    <col min="25" max="25" width="12.7109375" style="258" customWidth="1"/>
    <col min="26" max="27" width="18.28515625" style="258" customWidth="1"/>
    <col min="28" max="29" width="15.42578125" style="258" customWidth="1"/>
    <col min="30" max="30" width="13.7109375" style="258" customWidth="1"/>
    <col min="31" max="32" width="15.42578125" style="258" customWidth="1"/>
    <col min="33" max="33" width="13.7109375" style="258" customWidth="1"/>
    <col min="34" max="35" width="18.28515625" style="258" customWidth="1"/>
    <col min="36" max="37" width="15.42578125" style="258" customWidth="1"/>
    <col min="38" max="38" width="13.7109375" style="258" customWidth="1"/>
    <col min="39" max="40" width="15.42578125" style="258" customWidth="1"/>
    <col min="41" max="41" width="14.42578125" style="258" customWidth="1"/>
    <col min="42" max="43" width="15.42578125" style="258" customWidth="1"/>
    <col min="44" max="44" width="17.140625" style="258" customWidth="1"/>
    <col min="45" max="46" width="15.42578125" style="258" customWidth="1"/>
    <col min="47" max="47" width="14.42578125" style="258" customWidth="1"/>
    <col min="48" max="48" width="15.5703125" style="605" customWidth="1"/>
    <col min="49" max="49" width="14.7109375" style="605" customWidth="1"/>
    <col min="50" max="55" width="9.42578125" style="605"/>
    <col min="56" max="16384" width="9.42578125" style="258"/>
  </cols>
  <sheetData>
    <row r="1" spans="1:55" ht="21" customHeight="1">
      <c r="A1" s="603" t="s">
        <v>801</v>
      </c>
      <c r="B1" s="268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4"/>
      <c r="N1" s="604"/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4"/>
      <c r="AI1" s="604"/>
      <c r="AK1" s="604"/>
      <c r="AL1" s="604"/>
      <c r="AM1" s="604"/>
      <c r="AN1" s="604"/>
      <c r="AO1" s="604"/>
      <c r="AP1" s="604"/>
      <c r="AQ1" s="604"/>
      <c r="AR1" s="604"/>
      <c r="AS1" s="405"/>
      <c r="AT1" s="405" t="s">
        <v>793</v>
      </c>
      <c r="AU1" s="405"/>
    </row>
    <row r="2" spans="1:55" ht="12.75" customHeight="1">
      <c r="A2" s="603"/>
      <c r="B2" s="268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  <c r="P2" s="604"/>
      <c r="Q2" s="604"/>
      <c r="R2" s="604"/>
      <c r="S2" s="604"/>
      <c r="T2" s="604"/>
      <c r="U2" s="604"/>
      <c r="V2" s="604"/>
      <c r="W2" s="604"/>
      <c r="X2" s="604"/>
      <c r="Y2" s="604"/>
      <c r="Z2" s="604"/>
      <c r="AA2" s="604"/>
      <c r="AB2" s="604"/>
      <c r="AC2" s="604"/>
      <c r="AD2" s="604"/>
      <c r="AE2" s="604"/>
      <c r="AF2" s="604"/>
      <c r="AG2" s="604"/>
      <c r="AH2" s="604"/>
      <c r="AI2" s="604"/>
      <c r="AK2" s="604"/>
      <c r="AL2" s="604"/>
      <c r="AM2" s="604"/>
      <c r="AN2" s="604"/>
      <c r="AO2" s="604"/>
      <c r="AP2" s="604"/>
      <c r="AQ2" s="604"/>
      <c r="AR2" s="604"/>
      <c r="AS2" s="405"/>
      <c r="AT2" s="405"/>
      <c r="AU2" s="405"/>
    </row>
    <row r="3" spans="1:55" ht="15.75">
      <c r="A3" s="266"/>
      <c r="B3" s="300" t="str">
        <f>+'Asset quality'!B3</f>
        <v>"MKBANK"</v>
      </c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  <c r="AB3" s="266"/>
      <c r="AC3" s="266"/>
      <c r="AD3" s="266"/>
      <c r="AE3" s="266"/>
      <c r="AF3" s="266"/>
      <c r="AG3" s="266"/>
      <c r="AH3" s="748">
        <f>+'Asset quality'!Q3</f>
        <v>45289</v>
      </c>
      <c r="AI3" s="748"/>
      <c r="AJ3" s="606"/>
      <c r="AK3" s="266"/>
      <c r="AL3" s="266"/>
      <c r="AM3" s="266"/>
      <c r="AN3" s="266"/>
      <c r="AO3" s="266"/>
      <c r="AP3" s="266"/>
      <c r="AQ3" s="266"/>
      <c r="AR3" s="266"/>
      <c r="AT3" s="607"/>
      <c r="AU3" s="607" t="str">
        <f>+'Asset quality'!T3</f>
        <v>минг. сўмда</v>
      </c>
    </row>
    <row r="4" spans="1:55" s="33" customFormat="1" ht="51" customHeight="1">
      <c r="A4" s="749" t="s">
        <v>61</v>
      </c>
      <c r="B4" s="751" t="s">
        <v>284</v>
      </c>
      <c r="C4" s="746" t="s">
        <v>644</v>
      </c>
      <c r="D4" s="746" t="s">
        <v>645</v>
      </c>
      <c r="E4" s="746" t="s">
        <v>646</v>
      </c>
      <c r="F4" s="746" t="s">
        <v>645</v>
      </c>
      <c r="G4" s="744" t="s">
        <v>786</v>
      </c>
      <c r="H4" s="745"/>
      <c r="I4" s="745"/>
      <c r="J4" s="746" t="s">
        <v>647</v>
      </c>
      <c r="K4" s="746" t="s">
        <v>645</v>
      </c>
      <c r="L4" s="744" t="s">
        <v>787</v>
      </c>
      <c r="M4" s="745"/>
      <c r="N4" s="745"/>
      <c r="O4" s="744" t="s">
        <v>645</v>
      </c>
      <c r="P4" s="745"/>
      <c r="Q4" s="745"/>
      <c r="R4" s="746" t="s">
        <v>649</v>
      </c>
      <c r="S4" s="746" t="s">
        <v>645</v>
      </c>
      <c r="T4" s="744" t="s">
        <v>788</v>
      </c>
      <c r="U4" s="745"/>
      <c r="V4" s="745"/>
      <c r="W4" s="744" t="s">
        <v>645</v>
      </c>
      <c r="X4" s="745"/>
      <c r="Y4" s="745"/>
      <c r="Z4" s="746" t="s">
        <v>651</v>
      </c>
      <c r="AA4" s="746" t="s">
        <v>645</v>
      </c>
      <c r="AB4" s="744" t="s">
        <v>789</v>
      </c>
      <c r="AC4" s="745"/>
      <c r="AD4" s="745"/>
      <c r="AE4" s="744" t="s">
        <v>645</v>
      </c>
      <c r="AF4" s="745"/>
      <c r="AG4" s="745"/>
      <c r="AH4" s="746" t="s">
        <v>653</v>
      </c>
      <c r="AI4" s="746" t="s">
        <v>645</v>
      </c>
      <c r="AJ4" s="744" t="s">
        <v>790</v>
      </c>
      <c r="AK4" s="745"/>
      <c r="AL4" s="745"/>
      <c r="AM4" s="744" t="s">
        <v>645</v>
      </c>
      <c r="AN4" s="745"/>
      <c r="AO4" s="745"/>
      <c r="AP4" s="744" t="s">
        <v>655</v>
      </c>
      <c r="AQ4" s="745"/>
      <c r="AR4" s="745"/>
      <c r="AS4" s="744" t="s">
        <v>645</v>
      </c>
      <c r="AT4" s="745"/>
      <c r="AU4" s="745"/>
      <c r="AV4" s="211"/>
      <c r="AW4" s="211"/>
      <c r="AX4" s="211"/>
      <c r="AY4" s="211"/>
      <c r="AZ4" s="211"/>
      <c r="BA4" s="211"/>
      <c r="BB4" s="211"/>
      <c r="BC4" s="211"/>
    </row>
    <row r="5" spans="1:55" s="33" customFormat="1" ht="51" customHeight="1">
      <c r="A5" s="750"/>
      <c r="B5" s="752"/>
      <c r="C5" s="747"/>
      <c r="D5" s="747"/>
      <c r="E5" s="747"/>
      <c r="F5" s="747"/>
      <c r="G5" s="608" t="s">
        <v>791</v>
      </c>
      <c r="H5" s="608" t="s">
        <v>792</v>
      </c>
      <c r="I5" s="608" t="s">
        <v>465</v>
      </c>
      <c r="J5" s="747"/>
      <c r="K5" s="747"/>
      <c r="L5" s="608" t="s">
        <v>791</v>
      </c>
      <c r="M5" s="608" t="s">
        <v>792</v>
      </c>
      <c r="N5" s="608" t="s">
        <v>465</v>
      </c>
      <c r="O5" s="608" t="s">
        <v>791</v>
      </c>
      <c r="P5" s="608" t="s">
        <v>792</v>
      </c>
      <c r="Q5" s="608" t="s">
        <v>465</v>
      </c>
      <c r="R5" s="747"/>
      <c r="S5" s="747"/>
      <c r="T5" s="608" t="s">
        <v>791</v>
      </c>
      <c r="U5" s="608" t="s">
        <v>792</v>
      </c>
      <c r="V5" s="608" t="s">
        <v>465</v>
      </c>
      <c r="W5" s="608" t="s">
        <v>791</v>
      </c>
      <c r="X5" s="608" t="s">
        <v>792</v>
      </c>
      <c r="Y5" s="608" t="s">
        <v>465</v>
      </c>
      <c r="Z5" s="747"/>
      <c r="AA5" s="747"/>
      <c r="AB5" s="608" t="s">
        <v>791</v>
      </c>
      <c r="AC5" s="608" t="s">
        <v>792</v>
      </c>
      <c r="AD5" s="608" t="s">
        <v>465</v>
      </c>
      <c r="AE5" s="608" t="s">
        <v>791</v>
      </c>
      <c r="AF5" s="608" t="s">
        <v>792</v>
      </c>
      <c r="AG5" s="608" t="s">
        <v>465</v>
      </c>
      <c r="AH5" s="747"/>
      <c r="AI5" s="747"/>
      <c r="AJ5" s="608" t="s">
        <v>791</v>
      </c>
      <c r="AK5" s="608" t="s">
        <v>792</v>
      </c>
      <c r="AL5" s="608" t="s">
        <v>465</v>
      </c>
      <c r="AM5" s="608" t="s">
        <v>791</v>
      </c>
      <c r="AN5" s="608" t="s">
        <v>792</v>
      </c>
      <c r="AO5" s="608" t="s">
        <v>465</v>
      </c>
      <c r="AP5" s="608" t="s">
        <v>791</v>
      </c>
      <c r="AQ5" s="608" t="s">
        <v>792</v>
      </c>
      <c r="AR5" s="608" t="s">
        <v>465</v>
      </c>
      <c r="AS5" s="608" t="s">
        <v>791</v>
      </c>
      <c r="AT5" s="608" t="s">
        <v>792</v>
      </c>
      <c r="AU5" s="608" t="s">
        <v>465</v>
      </c>
      <c r="AV5" s="211"/>
      <c r="AW5" s="211"/>
      <c r="AX5" s="211"/>
      <c r="AY5" s="211"/>
      <c r="AZ5" s="211"/>
      <c r="BA5" s="211"/>
      <c r="BB5" s="211"/>
      <c r="BC5" s="211"/>
    </row>
    <row r="6" spans="1:55" s="609" customFormat="1" ht="27.75" customHeight="1">
      <c r="A6" s="583"/>
      <c r="B6" s="583" t="s">
        <v>658</v>
      </c>
      <c r="C6" s="583"/>
      <c r="D6" s="583"/>
      <c r="E6" s="583"/>
      <c r="F6" s="583"/>
      <c r="G6" s="583"/>
      <c r="H6" s="583"/>
      <c r="I6" s="583"/>
      <c r="J6" s="583"/>
      <c r="K6" s="583"/>
      <c r="L6" s="583"/>
      <c r="M6" s="583"/>
      <c r="N6" s="583"/>
      <c r="O6" s="583"/>
      <c r="P6" s="583"/>
      <c r="Q6" s="583"/>
      <c r="R6" s="583"/>
      <c r="S6" s="583"/>
      <c r="T6" s="583"/>
      <c r="U6" s="583"/>
      <c r="V6" s="583"/>
      <c r="W6" s="583"/>
      <c r="X6" s="583"/>
      <c r="Y6" s="583"/>
      <c r="Z6" s="583"/>
      <c r="AA6" s="583"/>
      <c r="AB6" s="583"/>
      <c r="AC6" s="583"/>
      <c r="AD6" s="583"/>
      <c r="AE6" s="583"/>
      <c r="AF6" s="583"/>
      <c r="AG6" s="583"/>
      <c r="AH6" s="583"/>
      <c r="AI6" s="583"/>
      <c r="AJ6" s="583"/>
      <c r="AK6" s="583"/>
      <c r="AL6" s="583"/>
      <c r="AM6" s="583"/>
      <c r="AN6" s="583"/>
      <c r="AO6" s="583"/>
      <c r="AP6" s="583"/>
      <c r="AQ6" s="583"/>
      <c r="AR6" s="583"/>
      <c r="AS6" s="583"/>
      <c r="AT6" s="583"/>
      <c r="AU6" s="583"/>
    </row>
    <row r="7" spans="1:55" s="265" customFormat="1" ht="23.25" customHeight="1">
      <c r="A7" s="610">
        <v>1</v>
      </c>
      <c r="B7" s="169" t="s">
        <v>659</v>
      </c>
      <c r="C7" s="611">
        <f>+'Asset Classification'!C7</f>
        <v>0</v>
      </c>
      <c r="D7" s="612">
        <f>+'Asset Classification'!D7</f>
        <v>0</v>
      </c>
      <c r="E7" s="612">
        <f>+'Asset Classification'!E7</f>
        <v>0</v>
      </c>
      <c r="F7" s="612">
        <f>+'Asset Classification'!F7</f>
        <v>0</v>
      </c>
      <c r="G7" s="612">
        <f>+'Asset Classification'!G7</f>
        <v>0</v>
      </c>
      <c r="H7" s="612">
        <f>+E7*1%</f>
        <v>0</v>
      </c>
      <c r="I7" s="612">
        <f>+G7-H7</f>
        <v>0</v>
      </c>
      <c r="J7" s="612">
        <f>+'Asset Classification'!I7</f>
        <v>0</v>
      </c>
      <c r="K7" s="612">
        <f>+'Asset Classification'!J7</f>
        <v>0</v>
      </c>
      <c r="L7" s="612">
        <f>+'Asset Classification'!K7</f>
        <v>0</v>
      </c>
      <c r="M7" s="612">
        <f>+J7*10%</f>
        <v>0</v>
      </c>
      <c r="N7" s="612">
        <f>+L7-M7</f>
        <v>0</v>
      </c>
      <c r="O7" s="612">
        <f>+'Asset Classification'!L7</f>
        <v>0</v>
      </c>
      <c r="P7" s="612">
        <f>+K7*10%</f>
        <v>0</v>
      </c>
      <c r="Q7" s="612">
        <f>+O7-P7</f>
        <v>0</v>
      </c>
      <c r="R7" s="612">
        <f>+'Asset Classification'!M7</f>
        <v>0</v>
      </c>
      <c r="S7" s="612">
        <f>+'Asset Classification'!N7</f>
        <v>0</v>
      </c>
      <c r="T7" s="612">
        <f>+'Asset Classification'!O7</f>
        <v>0</v>
      </c>
      <c r="U7" s="612">
        <f>+R7*25%</f>
        <v>0</v>
      </c>
      <c r="V7" s="612">
        <f>+T7-U7</f>
        <v>0</v>
      </c>
      <c r="W7" s="612">
        <f>+'Asset Classification'!P7</f>
        <v>0</v>
      </c>
      <c r="X7" s="612">
        <f>+S7*25%</f>
        <v>0</v>
      </c>
      <c r="Y7" s="612">
        <f>+W7-X7</f>
        <v>0</v>
      </c>
      <c r="Z7" s="612">
        <f>+'Asset Classification'!Q7</f>
        <v>0</v>
      </c>
      <c r="AA7" s="612">
        <f>+'Asset Classification'!R7</f>
        <v>0</v>
      </c>
      <c r="AB7" s="612">
        <f>+'Asset Classification'!S7</f>
        <v>0</v>
      </c>
      <c r="AC7" s="612">
        <f>+Z7*50%</f>
        <v>0</v>
      </c>
      <c r="AD7" s="612">
        <f>+AB7-AC7</f>
        <v>0</v>
      </c>
      <c r="AE7" s="612">
        <f>+'Asset Classification'!T7</f>
        <v>0</v>
      </c>
      <c r="AF7" s="612">
        <f>+AA7*50%</f>
        <v>0</v>
      </c>
      <c r="AG7" s="612">
        <f>+AE7-AF7</f>
        <v>0</v>
      </c>
      <c r="AH7" s="612">
        <f>+'Asset Classification'!U7</f>
        <v>0</v>
      </c>
      <c r="AI7" s="612">
        <f>+'Asset Classification'!V7</f>
        <v>0</v>
      </c>
      <c r="AJ7" s="612">
        <f>+'Asset Classification'!W7</f>
        <v>0</v>
      </c>
      <c r="AK7" s="612">
        <f>+AH7*100%</f>
        <v>0</v>
      </c>
      <c r="AL7" s="612">
        <f>+AJ7-AK7</f>
        <v>0</v>
      </c>
      <c r="AM7" s="612">
        <f>+'Asset Classification'!X7</f>
        <v>0</v>
      </c>
      <c r="AN7" s="612">
        <f>+AI7*100%</f>
        <v>0</v>
      </c>
      <c r="AO7" s="612">
        <f>+AM7-AN7</f>
        <v>0</v>
      </c>
      <c r="AP7" s="599">
        <f>+L7+T7+AB7+AJ7</f>
        <v>0</v>
      </c>
      <c r="AQ7" s="599">
        <f>+M7+U7+AC7+AK7</f>
        <v>0</v>
      </c>
      <c r="AR7" s="599">
        <f>+AP7-AQ7</f>
        <v>0</v>
      </c>
      <c r="AS7" s="612">
        <f t="shared" ref="AS7:AT30" si="0">+O7+W7+AE7+AM7</f>
        <v>0</v>
      </c>
      <c r="AT7" s="612">
        <f t="shared" si="0"/>
        <v>0</v>
      </c>
      <c r="AU7" s="612">
        <f>+AS7-AT7</f>
        <v>0</v>
      </c>
      <c r="AV7" s="613">
        <f>+'Aging Analysis'!C9</f>
        <v>0</v>
      </c>
      <c r="AW7" s="614"/>
      <c r="AX7" s="614"/>
      <c r="AY7" s="614"/>
      <c r="AZ7" s="614"/>
      <c r="BA7" s="614"/>
      <c r="BB7" s="614"/>
      <c r="BC7" s="614"/>
    </row>
    <row r="8" spans="1:55" s="265" customFormat="1" ht="14.25" customHeight="1">
      <c r="A8" s="610"/>
      <c r="B8" s="615" t="s">
        <v>660</v>
      </c>
      <c r="C8" s="611">
        <f>+'Asset Classification'!C8</f>
        <v>0</v>
      </c>
      <c r="D8" s="612">
        <f>+'Asset Classification'!D8</f>
        <v>0</v>
      </c>
      <c r="E8" s="616">
        <f>+'Asset Classification'!E8</f>
        <v>0</v>
      </c>
      <c r="F8" s="612">
        <f>+'Asset Classification'!F8</f>
        <v>0</v>
      </c>
      <c r="G8" s="616">
        <f>+'Asset Classification'!G8</f>
        <v>0</v>
      </c>
      <c r="H8" s="612">
        <f t="shared" ref="H8:H30" si="1">+E8*1%</f>
        <v>0</v>
      </c>
      <c r="I8" s="612">
        <f t="shared" ref="I8:I30" si="2">+G8-H8</f>
        <v>0</v>
      </c>
      <c r="J8" s="616">
        <f>+'Asset Classification'!I8</f>
        <v>0</v>
      </c>
      <c r="K8" s="612">
        <f>+'Asset Classification'!J8</f>
        <v>0</v>
      </c>
      <c r="L8" s="616">
        <f>+'Asset Classification'!K8</f>
        <v>0</v>
      </c>
      <c r="M8" s="612">
        <f t="shared" ref="M8:M30" si="3">+J8*10%</f>
        <v>0</v>
      </c>
      <c r="N8" s="612">
        <f t="shared" ref="N8:N30" si="4">+L8-M8</f>
        <v>0</v>
      </c>
      <c r="O8" s="612">
        <f>+'Asset Classification'!L8</f>
        <v>0</v>
      </c>
      <c r="P8" s="612">
        <f t="shared" ref="P8:P30" si="5">+K8*10%</f>
        <v>0</v>
      </c>
      <c r="Q8" s="612">
        <f t="shared" ref="Q8:Q30" si="6">+O8-P8</f>
        <v>0</v>
      </c>
      <c r="R8" s="616">
        <f>+'Asset Classification'!M8</f>
        <v>0</v>
      </c>
      <c r="S8" s="612">
        <f>+'Asset Classification'!N8</f>
        <v>0</v>
      </c>
      <c r="T8" s="616">
        <f>+'Asset Classification'!O8</f>
        <v>0</v>
      </c>
      <c r="U8" s="612">
        <f t="shared" ref="U8:U30" si="7">+R8*25%</f>
        <v>0</v>
      </c>
      <c r="V8" s="612">
        <f t="shared" ref="V8:V30" si="8">+T8-U8</f>
        <v>0</v>
      </c>
      <c r="W8" s="612">
        <f>+'Asset Classification'!P8</f>
        <v>0</v>
      </c>
      <c r="X8" s="612">
        <f t="shared" ref="X8:X30" si="9">+S8*25%</f>
        <v>0</v>
      </c>
      <c r="Y8" s="612">
        <f t="shared" ref="Y8:Y30" si="10">+W8-X8</f>
        <v>0</v>
      </c>
      <c r="Z8" s="616">
        <f>+'Asset Classification'!Q8</f>
        <v>0</v>
      </c>
      <c r="AA8" s="612">
        <f>+'Asset Classification'!R8</f>
        <v>0</v>
      </c>
      <c r="AB8" s="616">
        <f>+'Asset Classification'!S8</f>
        <v>0</v>
      </c>
      <c r="AC8" s="612">
        <f t="shared" ref="AC8:AC30" si="11">+Z8*50%</f>
        <v>0</v>
      </c>
      <c r="AD8" s="612">
        <f t="shared" ref="AD8:AD30" si="12">+AB8-AC8</f>
        <v>0</v>
      </c>
      <c r="AE8" s="612">
        <f>+'Asset Classification'!T8</f>
        <v>0</v>
      </c>
      <c r="AF8" s="612">
        <f t="shared" ref="AF8:AF30" si="13">+AA8*50%</f>
        <v>0</v>
      </c>
      <c r="AG8" s="612">
        <f t="shared" ref="AG8:AG30" si="14">+AE8-AF8</f>
        <v>0</v>
      </c>
      <c r="AH8" s="616">
        <f>+'Asset Classification'!U8</f>
        <v>0</v>
      </c>
      <c r="AI8" s="612">
        <f>+'Asset Classification'!V8</f>
        <v>0</v>
      </c>
      <c r="AJ8" s="616">
        <f>+'Asset Classification'!W8</f>
        <v>0</v>
      </c>
      <c r="AK8" s="612">
        <f t="shared" ref="AK8:AK30" si="15">+AH8*100%</f>
        <v>0</v>
      </c>
      <c r="AL8" s="612">
        <f t="shared" ref="AL8:AL30" si="16">+AJ8-AK8</f>
        <v>0</v>
      </c>
      <c r="AM8" s="612">
        <f>+'Asset Classification'!X8</f>
        <v>0</v>
      </c>
      <c r="AN8" s="612">
        <f t="shared" ref="AN8:AN30" si="17">+AI8*100%</f>
        <v>0</v>
      </c>
      <c r="AO8" s="612">
        <f t="shared" ref="AO8:AO30" si="18">+AM8-AN8</f>
        <v>0</v>
      </c>
      <c r="AP8" s="599">
        <f t="shared" ref="AP8:AQ30" si="19">+L8+T8+AB8+AJ8</f>
        <v>0</v>
      </c>
      <c r="AQ8" s="599">
        <f t="shared" si="19"/>
        <v>0</v>
      </c>
      <c r="AR8" s="599">
        <f t="shared" ref="AR8:AR30" si="20">+AP8-AQ8</f>
        <v>0</v>
      </c>
      <c r="AS8" s="612">
        <f t="shared" si="0"/>
        <v>0</v>
      </c>
      <c r="AT8" s="612">
        <f t="shared" si="0"/>
        <v>0</v>
      </c>
      <c r="AU8" s="612">
        <f t="shared" ref="AU8:AU30" si="21">+AS8-AT8</f>
        <v>0</v>
      </c>
      <c r="AW8" s="614"/>
      <c r="AX8" s="614"/>
      <c r="AY8" s="614"/>
      <c r="AZ8" s="614"/>
      <c r="BA8" s="614"/>
      <c r="BB8" s="614"/>
      <c r="BC8" s="614"/>
    </row>
    <row r="9" spans="1:55" s="265" customFormat="1" ht="23.25" customHeight="1">
      <c r="A9" s="610">
        <v>2</v>
      </c>
      <c r="B9" s="169" t="s">
        <v>661</v>
      </c>
      <c r="C9" s="611">
        <f>+'Asset Classification'!C9</f>
        <v>0</v>
      </c>
      <c r="D9" s="612">
        <f>+'Asset Classification'!D9</f>
        <v>0</v>
      </c>
      <c r="E9" s="617">
        <f>+'Asset Classification'!E9</f>
        <v>0</v>
      </c>
      <c r="F9" s="618">
        <f>+'Asset Classification'!F9</f>
        <v>0</v>
      </c>
      <c r="G9" s="617">
        <f>+'Asset Classification'!G9</f>
        <v>0</v>
      </c>
      <c r="H9" s="612">
        <f t="shared" si="1"/>
        <v>0</v>
      </c>
      <c r="I9" s="612">
        <f t="shared" si="2"/>
        <v>0</v>
      </c>
      <c r="J9" s="617">
        <f>+'Asset Classification'!I9</f>
        <v>0</v>
      </c>
      <c r="K9" s="618">
        <f>+'Asset Classification'!J9</f>
        <v>0</v>
      </c>
      <c r="L9" s="617">
        <f>+'Asset Classification'!K9</f>
        <v>0</v>
      </c>
      <c r="M9" s="612">
        <f t="shared" si="3"/>
        <v>0</v>
      </c>
      <c r="N9" s="612">
        <f t="shared" si="4"/>
        <v>0</v>
      </c>
      <c r="O9" s="618">
        <f>+'Asset Classification'!L9</f>
        <v>0</v>
      </c>
      <c r="P9" s="612">
        <f t="shared" si="5"/>
        <v>0</v>
      </c>
      <c r="Q9" s="612">
        <f t="shared" si="6"/>
        <v>0</v>
      </c>
      <c r="R9" s="617">
        <f>+'Asset Classification'!M9</f>
        <v>0</v>
      </c>
      <c r="S9" s="618">
        <f>+'Asset Classification'!N9</f>
        <v>0</v>
      </c>
      <c r="T9" s="617">
        <f>+'Asset Classification'!O9</f>
        <v>0</v>
      </c>
      <c r="U9" s="612">
        <f t="shared" si="7"/>
        <v>0</v>
      </c>
      <c r="V9" s="612">
        <f t="shared" si="8"/>
        <v>0</v>
      </c>
      <c r="W9" s="618">
        <f>+'Asset Classification'!P9</f>
        <v>0</v>
      </c>
      <c r="X9" s="612">
        <f t="shared" si="9"/>
        <v>0</v>
      </c>
      <c r="Y9" s="612">
        <f t="shared" si="10"/>
        <v>0</v>
      </c>
      <c r="Z9" s="617">
        <f>+'Asset Classification'!Q9</f>
        <v>0</v>
      </c>
      <c r="AA9" s="618">
        <f>+'Asset Classification'!R9</f>
        <v>0</v>
      </c>
      <c r="AB9" s="617">
        <f>+'Asset Classification'!S9</f>
        <v>0</v>
      </c>
      <c r="AC9" s="612">
        <f t="shared" si="11"/>
        <v>0</v>
      </c>
      <c r="AD9" s="612">
        <f t="shared" si="12"/>
        <v>0</v>
      </c>
      <c r="AE9" s="618">
        <f>+'Asset Classification'!T9</f>
        <v>0</v>
      </c>
      <c r="AF9" s="612">
        <f t="shared" si="13"/>
        <v>0</v>
      </c>
      <c r="AG9" s="612">
        <f t="shared" si="14"/>
        <v>0</v>
      </c>
      <c r="AH9" s="617">
        <f>+'Asset Classification'!U9</f>
        <v>0</v>
      </c>
      <c r="AI9" s="618">
        <f>+'Asset Classification'!V9</f>
        <v>0</v>
      </c>
      <c r="AJ9" s="617">
        <f>+'Asset Classification'!W9</f>
        <v>0</v>
      </c>
      <c r="AK9" s="612">
        <f t="shared" si="15"/>
        <v>0</v>
      </c>
      <c r="AL9" s="612">
        <f t="shared" si="16"/>
        <v>0</v>
      </c>
      <c r="AM9" s="618">
        <f>+'Asset Classification'!X9</f>
        <v>0</v>
      </c>
      <c r="AN9" s="612">
        <f t="shared" si="17"/>
        <v>0</v>
      </c>
      <c r="AO9" s="612">
        <f t="shared" si="18"/>
        <v>0</v>
      </c>
      <c r="AP9" s="599">
        <f t="shared" si="19"/>
        <v>0</v>
      </c>
      <c r="AQ9" s="599">
        <f t="shared" si="19"/>
        <v>0</v>
      </c>
      <c r="AR9" s="599">
        <f t="shared" si="20"/>
        <v>0</v>
      </c>
      <c r="AS9" s="612">
        <f t="shared" si="0"/>
        <v>0</v>
      </c>
      <c r="AT9" s="612">
        <f t="shared" si="0"/>
        <v>0</v>
      </c>
      <c r="AU9" s="612">
        <f t="shared" si="21"/>
        <v>0</v>
      </c>
      <c r="AV9" s="613">
        <f>+'Aging Analysis'!C10</f>
        <v>0</v>
      </c>
      <c r="AW9" s="614"/>
      <c r="AX9" s="614"/>
      <c r="AY9" s="614"/>
      <c r="AZ9" s="614"/>
      <c r="BA9" s="614"/>
      <c r="BB9" s="614"/>
      <c r="BC9" s="614"/>
    </row>
    <row r="10" spans="1:55" s="265" customFormat="1" ht="14.25" customHeight="1">
      <c r="A10" s="610"/>
      <c r="B10" s="615" t="s">
        <v>660</v>
      </c>
      <c r="C10" s="611">
        <f>+'Asset Classification'!C10</f>
        <v>0</v>
      </c>
      <c r="D10" s="612">
        <f>+'Asset Classification'!D10</f>
        <v>0</v>
      </c>
      <c r="E10" s="617">
        <f>+'Asset Classification'!E10</f>
        <v>0</v>
      </c>
      <c r="F10" s="618">
        <f>+'Asset Classification'!F10</f>
        <v>0</v>
      </c>
      <c r="G10" s="617">
        <f>+'Asset Classification'!G10</f>
        <v>0</v>
      </c>
      <c r="H10" s="612">
        <f t="shared" si="1"/>
        <v>0</v>
      </c>
      <c r="I10" s="612">
        <f t="shared" si="2"/>
        <v>0</v>
      </c>
      <c r="J10" s="617">
        <f>+'Asset Classification'!I10</f>
        <v>0</v>
      </c>
      <c r="K10" s="618">
        <f>+'Asset Classification'!J10</f>
        <v>0</v>
      </c>
      <c r="L10" s="617">
        <f>+'Asset Classification'!K10</f>
        <v>0</v>
      </c>
      <c r="M10" s="612">
        <f t="shared" si="3"/>
        <v>0</v>
      </c>
      <c r="N10" s="612">
        <f t="shared" si="4"/>
        <v>0</v>
      </c>
      <c r="O10" s="618">
        <f>+'Asset Classification'!L10</f>
        <v>0</v>
      </c>
      <c r="P10" s="612">
        <f t="shared" si="5"/>
        <v>0</v>
      </c>
      <c r="Q10" s="612">
        <f t="shared" si="6"/>
        <v>0</v>
      </c>
      <c r="R10" s="617">
        <f>+'Asset Classification'!M10</f>
        <v>0</v>
      </c>
      <c r="S10" s="618">
        <f>+'Asset Classification'!N10</f>
        <v>0</v>
      </c>
      <c r="T10" s="617">
        <f>+'Asset Classification'!O10</f>
        <v>0</v>
      </c>
      <c r="U10" s="612">
        <f t="shared" si="7"/>
        <v>0</v>
      </c>
      <c r="V10" s="612">
        <f t="shared" si="8"/>
        <v>0</v>
      </c>
      <c r="W10" s="618">
        <f>+'Asset Classification'!P10</f>
        <v>0</v>
      </c>
      <c r="X10" s="612">
        <f t="shared" si="9"/>
        <v>0</v>
      </c>
      <c r="Y10" s="612">
        <f t="shared" si="10"/>
        <v>0</v>
      </c>
      <c r="Z10" s="617">
        <f>+'Asset Classification'!Q10</f>
        <v>0</v>
      </c>
      <c r="AA10" s="618">
        <f>+'Asset Classification'!R10</f>
        <v>0</v>
      </c>
      <c r="AB10" s="617">
        <f>+'Asset Classification'!S10</f>
        <v>0</v>
      </c>
      <c r="AC10" s="612">
        <f t="shared" si="11"/>
        <v>0</v>
      </c>
      <c r="AD10" s="612">
        <f t="shared" si="12"/>
        <v>0</v>
      </c>
      <c r="AE10" s="618">
        <f>+'Asset Classification'!T10</f>
        <v>0</v>
      </c>
      <c r="AF10" s="612">
        <f t="shared" si="13"/>
        <v>0</v>
      </c>
      <c r="AG10" s="612">
        <f t="shared" si="14"/>
        <v>0</v>
      </c>
      <c r="AH10" s="617">
        <f>+'Asset Classification'!U10</f>
        <v>0</v>
      </c>
      <c r="AI10" s="618">
        <f>+'Asset Classification'!V10</f>
        <v>0</v>
      </c>
      <c r="AJ10" s="617">
        <f>+'Asset Classification'!W10</f>
        <v>0</v>
      </c>
      <c r="AK10" s="612">
        <f t="shared" si="15"/>
        <v>0</v>
      </c>
      <c r="AL10" s="612">
        <f t="shared" si="16"/>
        <v>0</v>
      </c>
      <c r="AM10" s="618">
        <f>+'Asset Classification'!X10</f>
        <v>0</v>
      </c>
      <c r="AN10" s="612">
        <f t="shared" si="17"/>
        <v>0</v>
      </c>
      <c r="AO10" s="612">
        <f t="shared" si="18"/>
        <v>0</v>
      </c>
      <c r="AP10" s="599">
        <f t="shared" si="19"/>
        <v>0</v>
      </c>
      <c r="AQ10" s="599">
        <f t="shared" si="19"/>
        <v>0</v>
      </c>
      <c r="AR10" s="599">
        <f t="shared" si="20"/>
        <v>0</v>
      </c>
      <c r="AS10" s="612">
        <f t="shared" si="0"/>
        <v>0</v>
      </c>
      <c r="AT10" s="612">
        <f t="shared" si="0"/>
        <v>0</v>
      </c>
      <c r="AU10" s="612">
        <f t="shared" si="21"/>
        <v>0</v>
      </c>
      <c r="AW10" s="614"/>
      <c r="AX10" s="614"/>
      <c r="AY10" s="614"/>
      <c r="AZ10" s="614"/>
      <c r="BA10" s="614"/>
      <c r="BB10" s="614"/>
      <c r="BC10" s="614"/>
    </row>
    <row r="11" spans="1:55" s="265" customFormat="1" ht="23.25" customHeight="1">
      <c r="A11" s="610">
        <v>3</v>
      </c>
      <c r="B11" s="169" t="s">
        <v>397</v>
      </c>
      <c r="C11" s="611">
        <f>+'Asset Classification'!C11</f>
        <v>0</v>
      </c>
      <c r="D11" s="612">
        <f>+'Asset Classification'!D11</f>
        <v>0</v>
      </c>
      <c r="E11" s="617">
        <f>+'Asset Classification'!E11</f>
        <v>0</v>
      </c>
      <c r="F11" s="618">
        <f>+'Asset Classification'!F11</f>
        <v>0</v>
      </c>
      <c r="G11" s="617">
        <f>+'Asset Classification'!G11</f>
        <v>0</v>
      </c>
      <c r="H11" s="612">
        <f t="shared" si="1"/>
        <v>0</v>
      </c>
      <c r="I11" s="612">
        <f t="shared" si="2"/>
        <v>0</v>
      </c>
      <c r="J11" s="617">
        <f>+'Asset Classification'!I11</f>
        <v>0</v>
      </c>
      <c r="K11" s="618">
        <f>+'Asset Classification'!J11</f>
        <v>0</v>
      </c>
      <c r="L11" s="617">
        <f>+'Asset Classification'!K11</f>
        <v>0</v>
      </c>
      <c r="M11" s="612">
        <f t="shared" si="3"/>
        <v>0</v>
      </c>
      <c r="N11" s="612">
        <f t="shared" si="4"/>
        <v>0</v>
      </c>
      <c r="O11" s="618">
        <f>+'Asset Classification'!L11</f>
        <v>0</v>
      </c>
      <c r="P11" s="612">
        <f t="shared" si="5"/>
        <v>0</v>
      </c>
      <c r="Q11" s="612">
        <f t="shared" si="6"/>
        <v>0</v>
      </c>
      <c r="R11" s="617">
        <f>+'Asset Classification'!M11</f>
        <v>0</v>
      </c>
      <c r="S11" s="618">
        <f>+'Asset Classification'!N11</f>
        <v>0</v>
      </c>
      <c r="T11" s="617">
        <f>+'Asset Classification'!O11</f>
        <v>0</v>
      </c>
      <c r="U11" s="612">
        <f t="shared" si="7"/>
        <v>0</v>
      </c>
      <c r="V11" s="612">
        <f t="shared" si="8"/>
        <v>0</v>
      </c>
      <c r="W11" s="618">
        <f>+'Asset Classification'!P11</f>
        <v>0</v>
      </c>
      <c r="X11" s="612">
        <f t="shared" si="9"/>
        <v>0</v>
      </c>
      <c r="Y11" s="612">
        <f t="shared" si="10"/>
        <v>0</v>
      </c>
      <c r="Z11" s="617">
        <f>+'Asset Classification'!Q11</f>
        <v>0</v>
      </c>
      <c r="AA11" s="618">
        <f>+'Asset Classification'!R11</f>
        <v>0</v>
      </c>
      <c r="AB11" s="617">
        <f>+'Asset Classification'!S11</f>
        <v>0</v>
      </c>
      <c r="AC11" s="612">
        <f t="shared" si="11"/>
        <v>0</v>
      </c>
      <c r="AD11" s="612">
        <f t="shared" si="12"/>
        <v>0</v>
      </c>
      <c r="AE11" s="618">
        <f>+'Asset Classification'!T11</f>
        <v>0</v>
      </c>
      <c r="AF11" s="612">
        <f t="shared" si="13"/>
        <v>0</v>
      </c>
      <c r="AG11" s="612">
        <f t="shared" si="14"/>
        <v>0</v>
      </c>
      <c r="AH11" s="617">
        <f>+'Asset Classification'!U11</f>
        <v>0</v>
      </c>
      <c r="AI11" s="618">
        <f>+'Asset Classification'!V11</f>
        <v>0</v>
      </c>
      <c r="AJ11" s="617">
        <f>+'Asset Classification'!W11</f>
        <v>0</v>
      </c>
      <c r="AK11" s="612">
        <f t="shared" si="15"/>
        <v>0</v>
      </c>
      <c r="AL11" s="612">
        <f t="shared" si="16"/>
        <v>0</v>
      </c>
      <c r="AM11" s="618">
        <f>+'Asset Classification'!X11</f>
        <v>0</v>
      </c>
      <c r="AN11" s="612">
        <f t="shared" si="17"/>
        <v>0</v>
      </c>
      <c r="AO11" s="612">
        <f t="shared" si="18"/>
        <v>0</v>
      </c>
      <c r="AP11" s="599">
        <f t="shared" si="19"/>
        <v>0</v>
      </c>
      <c r="AQ11" s="599">
        <f t="shared" si="19"/>
        <v>0</v>
      </c>
      <c r="AR11" s="599">
        <f t="shared" si="20"/>
        <v>0</v>
      </c>
      <c r="AS11" s="612">
        <f t="shared" si="0"/>
        <v>0</v>
      </c>
      <c r="AT11" s="612">
        <f t="shared" si="0"/>
        <v>0</v>
      </c>
      <c r="AU11" s="612">
        <f t="shared" si="21"/>
        <v>0</v>
      </c>
      <c r="AV11" s="613">
        <f>+'Aging Analysis'!C11</f>
        <v>0</v>
      </c>
      <c r="AW11" s="614"/>
      <c r="AX11" s="614"/>
      <c r="AY11" s="614"/>
      <c r="AZ11" s="614"/>
      <c r="BA11" s="614"/>
      <c r="BB11" s="614"/>
      <c r="BC11" s="614"/>
    </row>
    <row r="12" spans="1:55" s="265" customFormat="1" ht="14.25" customHeight="1">
      <c r="A12" s="610"/>
      <c r="B12" s="615" t="s">
        <v>660</v>
      </c>
      <c r="C12" s="611">
        <f>+'Asset Classification'!C12</f>
        <v>0</v>
      </c>
      <c r="D12" s="612">
        <f>+'Asset Classification'!D12</f>
        <v>0</v>
      </c>
      <c r="E12" s="617">
        <f>+'Asset Classification'!E12</f>
        <v>0</v>
      </c>
      <c r="F12" s="618">
        <f>+'Asset Classification'!F12</f>
        <v>0</v>
      </c>
      <c r="G12" s="617">
        <f>+'Asset Classification'!G12</f>
        <v>0</v>
      </c>
      <c r="H12" s="612">
        <f t="shared" si="1"/>
        <v>0</v>
      </c>
      <c r="I12" s="612">
        <f t="shared" si="2"/>
        <v>0</v>
      </c>
      <c r="J12" s="617">
        <f>+'Asset Classification'!I12</f>
        <v>0</v>
      </c>
      <c r="K12" s="618">
        <f>+'Asset Classification'!J12</f>
        <v>0</v>
      </c>
      <c r="L12" s="617">
        <f>+'Asset Classification'!K12</f>
        <v>0</v>
      </c>
      <c r="M12" s="612">
        <f t="shared" si="3"/>
        <v>0</v>
      </c>
      <c r="N12" s="612">
        <f t="shared" si="4"/>
        <v>0</v>
      </c>
      <c r="O12" s="618">
        <f>+'Asset Classification'!L12</f>
        <v>0</v>
      </c>
      <c r="P12" s="612">
        <f t="shared" si="5"/>
        <v>0</v>
      </c>
      <c r="Q12" s="612">
        <f t="shared" si="6"/>
        <v>0</v>
      </c>
      <c r="R12" s="617">
        <f>+'Asset Classification'!M12</f>
        <v>0</v>
      </c>
      <c r="S12" s="618">
        <f>+'Asset Classification'!N12</f>
        <v>0</v>
      </c>
      <c r="T12" s="617">
        <f>+'Asset Classification'!O12</f>
        <v>0</v>
      </c>
      <c r="U12" s="612">
        <f t="shared" si="7"/>
        <v>0</v>
      </c>
      <c r="V12" s="612">
        <f t="shared" si="8"/>
        <v>0</v>
      </c>
      <c r="W12" s="618">
        <f>+'Asset Classification'!P12</f>
        <v>0</v>
      </c>
      <c r="X12" s="612">
        <f t="shared" si="9"/>
        <v>0</v>
      </c>
      <c r="Y12" s="612">
        <f t="shared" si="10"/>
        <v>0</v>
      </c>
      <c r="Z12" s="617">
        <f>+'Asset Classification'!Q12</f>
        <v>0</v>
      </c>
      <c r="AA12" s="618">
        <f>+'Asset Classification'!R12</f>
        <v>0</v>
      </c>
      <c r="AB12" s="617">
        <f>+'Asset Classification'!S12</f>
        <v>0</v>
      </c>
      <c r="AC12" s="612">
        <f t="shared" si="11"/>
        <v>0</v>
      </c>
      <c r="AD12" s="612">
        <f t="shared" si="12"/>
        <v>0</v>
      </c>
      <c r="AE12" s="618">
        <f>+'Asset Classification'!T12</f>
        <v>0</v>
      </c>
      <c r="AF12" s="612">
        <f t="shared" si="13"/>
        <v>0</v>
      </c>
      <c r="AG12" s="612">
        <f t="shared" si="14"/>
        <v>0</v>
      </c>
      <c r="AH12" s="617">
        <f>+'Asset Classification'!U12</f>
        <v>0</v>
      </c>
      <c r="AI12" s="618">
        <f>+'Asset Classification'!V12</f>
        <v>0</v>
      </c>
      <c r="AJ12" s="617">
        <f>+'Asset Classification'!W12</f>
        <v>0</v>
      </c>
      <c r="AK12" s="612">
        <f t="shared" si="15"/>
        <v>0</v>
      </c>
      <c r="AL12" s="612">
        <f t="shared" si="16"/>
        <v>0</v>
      </c>
      <c r="AM12" s="618">
        <f>+'Asset Classification'!X12</f>
        <v>0</v>
      </c>
      <c r="AN12" s="612">
        <f t="shared" si="17"/>
        <v>0</v>
      </c>
      <c r="AO12" s="612">
        <f t="shared" si="18"/>
        <v>0</v>
      </c>
      <c r="AP12" s="599">
        <f t="shared" si="19"/>
        <v>0</v>
      </c>
      <c r="AQ12" s="599">
        <f t="shared" si="19"/>
        <v>0</v>
      </c>
      <c r="AR12" s="599">
        <f t="shared" si="20"/>
        <v>0</v>
      </c>
      <c r="AS12" s="612">
        <f t="shared" si="0"/>
        <v>0</v>
      </c>
      <c r="AT12" s="612">
        <f t="shared" si="0"/>
        <v>0</v>
      </c>
      <c r="AU12" s="612">
        <f t="shared" si="21"/>
        <v>0</v>
      </c>
      <c r="AW12" s="614"/>
      <c r="AX12" s="614"/>
      <c r="AY12" s="614"/>
      <c r="AZ12" s="614"/>
      <c r="BA12" s="614"/>
      <c r="BB12" s="614"/>
      <c r="BC12" s="614"/>
    </row>
    <row r="13" spans="1:55" s="265" customFormat="1" ht="23.25" customHeight="1">
      <c r="A13" s="610">
        <v>4</v>
      </c>
      <c r="B13" s="169" t="s">
        <v>398</v>
      </c>
      <c r="C13" s="611">
        <f>+'Asset Classification'!C13</f>
        <v>5341704946</v>
      </c>
      <c r="D13" s="612">
        <f>+'Asset Classification'!D13</f>
        <v>0</v>
      </c>
      <c r="E13" s="617">
        <f>+'Asset Classification'!E13</f>
        <v>4070042033</v>
      </c>
      <c r="F13" s="618">
        <f>+'Asset Classification'!F13</f>
        <v>0</v>
      </c>
      <c r="G13" s="617">
        <f>+'Asset Classification'!G13</f>
        <v>0</v>
      </c>
      <c r="H13" s="612">
        <f t="shared" si="1"/>
        <v>40700420.329999998</v>
      </c>
      <c r="I13" s="612">
        <f t="shared" si="2"/>
        <v>-40700420.329999998</v>
      </c>
      <c r="J13" s="617">
        <f>+'Asset Classification'!I13</f>
        <v>863151778</v>
      </c>
      <c r="K13" s="618">
        <f>+'Asset Classification'!J13</f>
        <v>0</v>
      </c>
      <c r="L13" s="617">
        <f>+'Asset Classification'!K13</f>
        <v>28934162</v>
      </c>
      <c r="M13" s="612">
        <f t="shared" si="3"/>
        <v>86315177.800000012</v>
      </c>
      <c r="N13" s="612">
        <f t="shared" si="4"/>
        <v>-57381015.800000012</v>
      </c>
      <c r="O13" s="618">
        <f>+'Asset Classification'!L13</f>
        <v>0</v>
      </c>
      <c r="P13" s="612">
        <f t="shared" si="5"/>
        <v>0</v>
      </c>
      <c r="Q13" s="612">
        <f t="shared" si="6"/>
        <v>0</v>
      </c>
      <c r="R13" s="617">
        <f>+'Asset Classification'!M13</f>
        <v>88775127</v>
      </c>
      <c r="S13" s="618">
        <f>+'Asset Classification'!N13</f>
        <v>0</v>
      </c>
      <c r="T13" s="617">
        <f>+'Asset Classification'!O13</f>
        <v>1489803</v>
      </c>
      <c r="U13" s="612">
        <f t="shared" si="7"/>
        <v>22193781.75</v>
      </c>
      <c r="V13" s="612">
        <f t="shared" si="8"/>
        <v>-20703978.75</v>
      </c>
      <c r="W13" s="618">
        <f>+'Asset Classification'!P13</f>
        <v>0</v>
      </c>
      <c r="X13" s="612">
        <f t="shared" si="9"/>
        <v>0</v>
      </c>
      <c r="Y13" s="612">
        <f t="shared" si="10"/>
        <v>0</v>
      </c>
      <c r="Z13" s="617">
        <f>+'Asset Classification'!Q13</f>
        <v>195192536</v>
      </c>
      <c r="AA13" s="618">
        <f>+'Asset Classification'!R13</f>
        <v>0</v>
      </c>
      <c r="AB13" s="617">
        <f>+'Asset Classification'!S13</f>
        <v>10685170</v>
      </c>
      <c r="AC13" s="612">
        <f t="shared" si="11"/>
        <v>97596268</v>
      </c>
      <c r="AD13" s="612">
        <f t="shared" si="12"/>
        <v>-86911098</v>
      </c>
      <c r="AE13" s="618">
        <f>+'Asset Classification'!T13</f>
        <v>0</v>
      </c>
      <c r="AF13" s="612">
        <f t="shared" si="13"/>
        <v>0</v>
      </c>
      <c r="AG13" s="612">
        <f t="shared" si="14"/>
        <v>0</v>
      </c>
      <c r="AH13" s="617">
        <f>+'Asset Classification'!U13</f>
        <v>124543472</v>
      </c>
      <c r="AI13" s="618">
        <f>+'Asset Classification'!V13</f>
        <v>0</v>
      </c>
      <c r="AJ13" s="617">
        <f>+'Asset Classification'!W13</f>
        <v>17327736</v>
      </c>
      <c r="AK13" s="612">
        <f t="shared" si="15"/>
        <v>124543472</v>
      </c>
      <c r="AL13" s="612">
        <f t="shared" si="16"/>
        <v>-107215736</v>
      </c>
      <c r="AM13" s="618">
        <f>+'Asset Classification'!X13</f>
        <v>0</v>
      </c>
      <c r="AN13" s="612">
        <f t="shared" si="17"/>
        <v>0</v>
      </c>
      <c r="AO13" s="612">
        <f t="shared" si="18"/>
        <v>0</v>
      </c>
      <c r="AP13" s="599">
        <f t="shared" si="19"/>
        <v>58436871</v>
      </c>
      <c r="AQ13" s="599">
        <f t="shared" si="19"/>
        <v>330648699.55000001</v>
      </c>
      <c r="AR13" s="599">
        <f t="shared" si="20"/>
        <v>-272211828.55000001</v>
      </c>
      <c r="AS13" s="612">
        <f t="shared" si="0"/>
        <v>0</v>
      </c>
      <c r="AT13" s="612">
        <f t="shared" si="0"/>
        <v>0</v>
      </c>
      <c r="AU13" s="612">
        <f t="shared" si="21"/>
        <v>0</v>
      </c>
      <c r="AV13" s="613">
        <f>+'Aging Analysis'!C12</f>
        <v>5341704946</v>
      </c>
      <c r="AW13" s="614"/>
      <c r="AX13" s="614"/>
      <c r="AY13" s="614"/>
      <c r="AZ13" s="614"/>
      <c r="BA13" s="614"/>
      <c r="BB13" s="614"/>
      <c r="BC13" s="614"/>
    </row>
    <row r="14" spans="1:55" s="265" customFormat="1" ht="14.25" customHeight="1">
      <c r="A14" s="610"/>
      <c r="B14" s="615" t="s">
        <v>660</v>
      </c>
      <c r="C14" s="611">
        <f>+'Asset Classification'!C14</f>
        <v>0</v>
      </c>
      <c r="D14" s="612">
        <f>+'Asset Classification'!D14</f>
        <v>0</v>
      </c>
      <c r="E14" s="617">
        <f>+'Asset Classification'!E14</f>
        <v>0</v>
      </c>
      <c r="F14" s="618">
        <f>+'Asset Classification'!F14</f>
        <v>0</v>
      </c>
      <c r="G14" s="617">
        <f>+'Asset Classification'!G14</f>
        <v>0</v>
      </c>
      <c r="H14" s="612">
        <f t="shared" si="1"/>
        <v>0</v>
      </c>
      <c r="I14" s="612">
        <f t="shared" si="2"/>
        <v>0</v>
      </c>
      <c r="J14" s="617">
        <f>+'Asset Classification'!I14</f>
        <v>0</v>
      </c>
      <c r="K14" s="618">
        <f>+'Asset Classification'!J14</f>
        <v>0</v>
      </c>
      <c r="L14" s="617">
        <f>+'Asset Classification'!K14</f>
        <v>0</v>
      </c>
      <c r="M14" s="612">
        <f t="shared" si="3"/>
        <v>0</v>
      </c>
      <c r="N14" s="612">
        <f t="shared" si="4"/>
        <v>0</v>
      </c>
      <c r="O14" s="618">
        <f>+'Asset Classification'!L14</f>
        <v>0</v>
      </c>
      <c r="P14" s="612">
        <f t="shared" si="5"/>
        <v>0</v>
      </c>
      <c r="Q14" s="612">
        <f t="shared" si="6"/>
        <v>0</v>
      </c>
      <c r="R14" s="617">
        <f>+'Asset Classification'!M14</f>
        <v>0</v>
      </c>
      <c r="S14" s="618">
        <f>+'Asset Classification'!N14</f>
        <v>0</v>
      </c>
      <c r="T14" s="617">
        <f>+'Asset Classification'!O14</f>
        <v>0</v>
      </c>
      <c r="U14" s="612">
        <f t="shared" si="7"/>
        <v>0</v>
      </c>
      <c r="V14" s="612">
        <f t="shared" si="8"/>
        <v>0</v>
      </c>
      <c r="W14" s="618">
        <f>+'Asset Classification'!P14</f>
        <v>0</v>
      </c>
      <c r="X14" s="612">
        <f t="shared" si="9"/>
        <v>0</v>
      </c>
      <c r="Y14" s="612">
        <f t="shared" si="10"/>
        <v>0</v>
      </c>
      <c r="Z14" s="617">
        <f>+'Asset Classification'!Q14</f>
        <v>0</v>
      </c>
      <c r="AA14" s="618">
        <f>+'Asset Classification'!R14</f>
        <v>0</v>
      </c>
      <c r="AB14" s="617">
        <f>+'Asset Classification'!S14</f>
        <v>0</v>
      </c>
      <c r="AC14" s="612">
        <f t="shared" si="11"/>
        <v>0</v>
      </c>
      <c r="AD14" s="612">
        <f t="shared" si="12"/>
        <v>0</v>
      </c>
      <c r="AE14" s="618">
        <f>+'Asset Classification'!T14</f>
        <v>0</v>
      </c>
      <c r="AF14" s="612">
        <f t="shared" si="13"/>
        <v>0</v>
      </c>
      <c r="AG14" s="612">
        <f t="shared" si="14"/>
        <v>0</v>
      </c>
      <c r="AH14" s="617">
        <f>+'Asset Classification'!U14</f>
        <v>0</v>
      </c>
      <c r="AI14" s="618">
        <f>+'Asset Classification'!V14</f>
        <v>0</v>
      </c>
      <c r="AJ14" s="617">
        <f>+'Asset Classification'!W14</f>
        <v>0</v>
      </c>
      <c r="AK14" s="612">
        <f t="shared" si="15"/>
        <v>0</v>
      </c>
      <c r="AL14" s="612">
        <f t="shared" si="16"/>
        <v>0</v>
      </c>
      <c r="AM14" s="618">
        <f>+'Asset Classification'!X14</f>
        <v>0</v>
      </c>
      <c r="AN14" s="612">
        <f t="shared" si="17"/>
        <v>0</v>
      </c>
      <c r="AO14" s="612">
        <f t="shared" si="18"/>
        <v>0</v>
      </c>
      <c r="AP14" s="599">
        <f t="shared" si="19"/>
        <v>0</v>
      </c>
      <c r="AQ14" s="599">
        <f t="shared" si="19"/>
        <v>0</v>
      </c>
      <c r="AR14" s="599">
        <f t="shared" si="20"/>
        <v>0</v>
      </c>
      <c r="AS14" s="612">
        <f t="shared" si="0"/>
        <v>0</v>
      </c>
      <c r="AT14" s="612">
        <f t="shared" si="0"/>
        <v>0</v>
      </c>
      <c r="AU14" s="612">
        <f t="shared" si="21"/>
        <v>0</v>
      </c>
      <c r="AW14" s="614"/>
      <c r="AX14" s="614"/>
      <c r="AY14" s="614"/>
      <c r="AZ14" s="614"/>
      <c r="BA14" s="614"/>
      <c r="BB14" s="614"/>
      <c r="BC14" s="614"/>
    </row>
    <row r="15" spans="1:55" s="265" customFormat="1" ht="23.25" customHeight="1">
      <c r="A15" s="610">
        <v>5</v>
      </c>
      <c r="B15" s="169" t="s">
        <v>662</v>
      </c>
      <c r="C15" s="611">
        <f>+'Asset Classification'!C15</f>
        <v>1199739271</v>
      </c>
      <c r="D15" s="612">
        <f>+'Asset Classification'!D15</f>
        <v>114668975</v>
      </c>
      <c r="E15" s="617">
        <f>+'Asset Classification'!E15</f>
        <v>911268510</v>
      </c>
      <c r="F15" s="618">
        <f>+'Asset Classification'!F15</f>
        <v>61663564</v>
      </c>
      <c r="G15" s="617">
        <f>+'Asset Classification'!G15</f>
        <v>0</v>
      </c>
      <c r="H15" s="612">
        <f t="shared" si="1"/>
        <v>9112685.0999999996</v>
      </c>
      <c r="I15" s="612">
        <f t="shared" si="2"/>
        <v>-9112685.0999999996</v>
      </c>
      <c r="J15" s="617">
        <f>+'Asset Classification'!I15</f>
        <v>247891297</v>
      </c>
      <c r="K15" s="618">
        <f>+'Asset Classification'!J15</f>
        <v>48924829</v>
      </c>
      <c r="L15" s="617">
        <f>+'Asset Classification'!K15</f>
        <v>8313641</v>
      </c>
      <c r="M15" s="612">
        <f t="shared" si="3"/>
        <v>24789129.700000003</v>
      </c>
      <c r="N15" s="612">
        <f t="shared" si="4"/>
        <v>-16475488.700000003</v>
      </c>
      <c r="O15" s="618">
        <f>+'Asset Classification'!L15</f>
        <v>2730256</v>
      </c>
      <c r="P15" s="612">
        <f t="shared" si="5"/>
        <v>4892482.9000000004</v>
      </c>
      <c r="Q15" s="612">
        <f t="shared" si="6"/>
        <v>-2162226.9000000004</v>
      </c>
      <c r="R15" s="617">
        <f>+'Asset Classification'!M15</f>
        <v>1280431</v>
      </c>
      <c r="S15" s="618">
        <f>+'Asset Classification'!N15</f>
        <v>0</v>
      </c>
      <c r="T15" s="617">
        <f>+'Asset Classification'!O15</f>
        <v>7941</v>
      </c>
      <c r="U15" s="612">
        <f t="shared" si="7"/>
        <v>320107.75</v>
      </c>
      <c r="V15" s="612">
        <f t="shared" si="8"/>
        <v>-312166.75</v>
      </c>
      <c r="W15" s="618">
        <f>+'Asset Classification'!P15</f>
        <v>0</v>
      </c>
      <c r="X15" s="612">
        <f t="shared" si="9"/>
        <v>0</v>
      </c>
      <c r="Y15" s="612">
        <f t="shared" si="10"/>
        <v>0</v>
      </c>
      <c r="Z15" s="617">
        <f>+'Asset Classification'!Q15</f>
        <v>3115877</v>
      </c>
      <c r="AA15" s="618">
        <f>+'Asset Classification'!R15</f>
        <v>0</v>
      </c>
      <c r="AB15" s="617">
        <f>+'Asset Classification'!S15</f>
        <v>242835</v>
      </c>
      <c r="AC15" s="612">
        <f t="shared" si="11"/>
        <v>1557938.5</v>
      </c>
      <c r="AD15" s="612">
        <f t="shared" si="12"/>
        <v>-1315103.5</v>
      </c>
      <c r="AE15" s="618">
        <f>+'Asset Classification'!T15</f>
        <v>0</v>
      </c>
      <c r="AF15" s="612">
        <f t="shared" si="13"/>
        <v>0</v>
      </c>
      <c r="AG15" s="612">
        <f t="shared" si="14"/>
        <v>0</v>
      </c>
      <c r="AH15" s="617">
        <f>+'Asset Classification'!U15</f>
        <v>36183156</v>
      </c>
      <c r="AI15" s="618">
        <f>+'Asset Classification'!V15</f>
        <v>4080582</v>
      </c>
      <c r="AJ15" s="617">
        <f>+'Asset Classification'!W15</f>
        <v>7695045</v>
      </c>
      <c r="AK15" s="612">
        <f t="shared" si="15"/>
        <v>36183156</v>
      </c>
      <c r="AL15" s="612">
        <f t="shared" si="16"/>
        <v>-28488111</v>
      </c>
      <c r="AM15" s="618">
        <f>+'Asset Classification'!X15</f>
        <v>0</v>
      </c>
      <c r="AN15" s="612">
        <f t="shared" si="17"/>
        <v>4080582</v>
      </c>
      <c r="AO15" s="612">
        <f t="shared" si="18"/>
        <v>-4080582</v>
      </c>
      <c r="AP15" s="599">
        <f t="shared" si="19"/>
        <v>16259462</v>
      </c>
      <c r="AQ15" s="599">
        <f t="shared" si="19"/>
        <v>62850331.950000003</v>
      </c>
      <c r="AR15" s="599">
        <f t="shared" si="20"/>
        <v>-46590869.950000003</v>
      </c>
      <c r="AS15" s="612">
        <f t="shared" si="0"/>
        <v>2730256</v>
      </c>
      <c r="AT15" s="612">
        <f t="shared" si="0"/>
        <v>8973064.9000000004</v>
      </c>
      <c r="AU15" s="612">
        <f t="shared" si="21"/>
        <v>-6242808.9000000004</v>
      </c>
      <c r="AV15" s="613">
        <f>+'Aging Analysis'!C13</f>
        <v>1199739271</v>
      </c>
      <c r="AW15" s="614"/>
      <c r="AX15" s="614"/>
      <c r="AY15" s="614"/>
      <c r="AZ15" s="614"/>
      <c r="BA15" s="614"/>
      <c r="BB15" s="614"/>
      <c r="BC15" s="614"/>
    </row>
    <row r="16" spans="1:55" s="265" customFormat="1" ht="14.25" customHeight="1">
      <c r="A16" s="610"/>
      <c r="B16" s="615" t="s">
        <v>660</v>
      </c>
      <c r="C16" s="611">
        <f>+'Asset Classification'!C16</f>
        <v>0</v>
      </c>
      <c r="D16" s="612">
        <f>+'Asset Classification'!D16</f>
        <v>0</v>
      </c>
      <c r="E16" s="617">
        <f>+'Asset Classification'!E16</f>
        <v>0</v>
      </c>
      <c r="F16" s="618">
        <f>+'Asset Classification'!F16</f>
        <v>0</v>
      </c>
      <c r="G16" s="617">
        <f>+'Asset Classification'!G16</f>
        <v>0</v>
      </c>
      <c r="H16" s="612">
        <f t="shared" si="1"/>
        <v>0</v>
      </c>
      <c r="I16" s="612">
        <f t="shared" si="2"/>
        <v>0</v>
      </c>
      <c r="J16" s="617">
        <f>+'Asset Classification'!I16</f>
        <v>0</v>
      </c>
      <c r="K16" s="618">
        <f>+'Asset Classification'!J16</f>
        <v>0</v>
      </c>
      <c r="L16" s="617">
        <f>+'Asset Classification'!K16</f>
        <v>0</v>
      </c>
      <c r="M16" s="612">
        <f t="shared" si="3"/>
        <v>0</v>
      </c>
      <c r="N16" s="612">
        <f t="shared" si="4"/>
        <v>0</v>
      </c>
      <c r="O16" s="618">
        <f>+'Asset Classification'!L16</f>
        <v>0</v>
      </c>
      <c r="P16" s="612">
        <f t="shared" si="5"/>
        <v>0</v>
      </c>
      <c r="Q16" s="612">
        <f t="shared" si="6"/>
        <v>0</v>
      </c>
      <c r="R16" s="617">
        <f>+'Asset Classification'!M16</f>
        <v>0</v>
      </c>
      <c r="S16" s="618">
        <f>+'Asset Classification'!N16</f>
        <v>0</v>
      </c>
      <c r="T16" s="617">
        <f>+'Asset Classification'!O16</f>
        <v>0</v>
      </c>
      <c r="U16" s="612">
        <f t="shared" si="7"/>
        <v>0</v>
      </c>
      <c r="V16" s="612">
        <f t="shared" si="8"/>
        <v>0</v>
      </c>
      <c r="W16" s="618">
        <f>+'Asset Classification'!P16</f>
        <v>0</v>
      </c>
      <c r="X16" s="612">
        <f t="shared" si="9"/>
        <v>0</v>
      </c>
      <c r="Y16" s="612">
        <f t="shared" si="10"/>
        <v>0</v>
      </c>
      <c r="Z16" s="617">
        <f>+'Asset Classification'!Q16</f>
        <v>0</v>
      </c>
      <c r="AA16" s="618">
        <f>+'Asset Classification'!R16</f>
        <v>0</v>
      </c>
      <c r="AB16" s="617">
        <f>+'Asset Classification'!S16</f>
        <v>0</v>
      </c>
      <c r="AC16" s="612">
        <f t="shared" si="11"/>
        <v>0</v>
      </c>
      <c r="AD16" s="612">
        <f t="shared" si="12"/>
        <v>0</v>
      </c>
      <c r="AE16" s="618">
        <f>+'Asset Classification'!T16</f>
        <v>0</v>
      </c>
      <c r="AF16" s="612">
        <f t="shared" si="13"/>
        <v>0</v>
      </c>
      <c r="AG16" s="612">
        <f t="shared" si="14"/>
        <v>0</v>
      </c>
      <c r="AH16" s="617">
        <f>+'Asset Classification'!U16</f>
        <v>0</v>
      </c>
      <c r="AI16" s="618">
        <f>+'Asset Classification'!V16</f>
        <v>0</v>
      </c>
      <c r="AJ16" s="617">
        <f>+'Asset Classification'!W16</f>
        <v>0</v>
      </c>
      <c r="AK16" s="612">
        <f t="shared" si="15"/>
        <v>0</v>
      </c>
      <c r="AL16" s="612">
        <f t="shared" si="16"/>
        <v>0</v>
      </c>
      <c r="AM16" s="618">
        <f>+'Asset Classification'!X16</f>
        <v>0</v>
      </c>
      <c r="AN16" s="612">
        <f t="shared" si="17"/>
        <v>0</v>
      </c>
      <c r="AO16" s="612">
        <f t="shared" si="18"/>
        <v>0</v>
      </c>
      <c r="AP16" s="599">
        <f t="shared" si="19"/>
        <v>0</v>
      </c>
      <c r="AQ16" s="599">
        <f t="shared" si="19"/>
        <v>0</v>
      </c>
      <c r="AR16" s="599">
        <f t="shared" si="20"/>
        <v>0</v>
      </c>
      <c r="AS16" s="612">
        <f t="shared" si="0"/>
        <v>0</v>
      </c>
      <c r="AT16" s="612">
        <f t="shared" si="0"/>
        <v>0</v>
      </c>
      <c r="AU16" s="612">
        <f t="shared" si="21"/>
        <v>0</v>
      </c>
      <c r="AW16" s="614"/>
      <c r="AX16" s="614"/>
      <c r="AY16" s="614"/>
      <c r="AZ16" s="614"/>
      <c r="BA16" s="614"/>
      <c r="BB16" s="614"/>
      <c r="BC16" s="614"/>
    </row>
    <row r="17" spans="1:55" s="265" customFormat="1" ht="23.25" customHeight="1">
      <c r="A17" s="610">
        <v>6</v>
      </c>
      <c r="B17" s="169" t="s">
        <v>400</v>
      </c>
      <c r="C17" s="611">
        <f>+'Asset Classification'!C17</f>
        <v>0</v>
      </c>
      <c r="D17" s="612">
        <f>+'Asset Classification'!D17</f>
        <v>0</v>
      </c>
      <c r="E17" s="617">
        <f>+'Asset Classification'!E17</f>
        <v>0</v>
      </c>
      <c r="F17" s="618">
        <f>+'Asset Classification'!F17</f>
        <v>0</v>
      </c>
      <c r="G17" s="617">
        <f>+'Asset Classification'!G17</f>
        <v>0</v>
      </c>
      <c r="H17" s="612">
        <f t="shared" si="1"/>
        <v>0</v>
      </c>
      <c r="I17" s="612">
        <f t="shared" si="2"/>
        <v>0</v>
      </c>
      <c r="J17" s="617">
        <f>+'Asset Classification'!I17</f>
        <v>0</v>
      </c>
      <c r="K17" s="618">
        <f>+'Asset Classification'!J17</f>
        <v>0</v>
      </c>
      <c r="L17" s="617">
        <f>+'Asset Classification'!K17</f>
        <v>0</v>
      </c>
      <c r="M17" s="612">
        <f t="shared" si="3"/>
        <v>0</v>
      </c>
      <c r="N17" s="612">
        <f t="shared" si="4"/>
        <v>0</v>
      </c>
      <c r="O17" s="618">
        <f>+'Asset Classification'!L17</f>
        <v>0</v>
      </c>
      <c r="P17" s="612">
        <f t="shared" si="5"/>
        <v>0</v>
      </c>
      <c r="Q17" s="612">
        <f t="shared" si="6"/>
        <v>0</v>
      </c>
      <c r="R17" s="617">
        <f>+'Asset Classification'!M17</f>
        <v>0</v>
      </c>
      <c r="S17" s="618">
        <f>+'Asset Classification'!N17</f>
        <v>0</v>
      </c>
      <c r="T17" s="617">
        <f>+'Asset Classification'!O17</f>
        <v>0</v>
      </c>
      <c r="U17" s="612">
        <f t="shared" si="7"/>
        <v>0</v>
      </c>
      <c r="V17" s="612">
        <f t="shared" si="8"/>
        <v>0</v>
      </c>
      <c r="W17" s="618">
        <f>+'Asset Classification'!P17</f>
        <v>0</v>
      </c>
      <c r="X17" s="612">
        <f t="shared" si="9"/>
        <v>0</v>
      </c>
      <c r="Y17" s="612">
        <f t="shared" si="10"/>
        <v>0</v>
      </c>
      <c r="Z17" s="617">
        <f>+'Asset Classification'!Q17</f>
        <v>0</v>
      </c>
      <c r="AA17" s="618">
        <f>+'Asset Classification'!R17</f>
        <v>0</v>
      </c>
      <c r="AB17" s="617">
        <f>+'Asset Classification'!S17</f>
        <v>0</v>
      </c>
      <c r="AC17" s="612">
        <f t="shared" si="11"/>
        <v>0</v>
      </c>
      <c r="AD17" s="612">
        <f t="shared" si="12"/>
        <v>0</v>
      </c>
      <c r="AE17" s="618">
        <f>+'Asset Classification'!T17</f>
        <v>0</v>
      </c>
      <c r="AF17" s="612">
        <f t="shared" si="13"/>
        <v>0</v>
      </c>
      <c r="AG17" s="612">
        <f t="shared" si="14"/>
        <v>0</v>
      </c>
      <c r="AH17" s="617">
        <f>+'Asset Classification'!U17</f>
        <v>0</v>
      </c>
      <c r="AI17" s="618">
        <f>+'Asset Classification'!V17</f>
        <v>0</v>
      </c>
      <c r="AJ17" s="617">
        <f>+'Asset Classification'!W17</f>
        <v>0</v>
      </c>
      <c r="AK17" s="612">
        <f t="shared" si="15"/>
        <v>0</v>
      </c>
      <c r="AL17" s="612">
        <f t="shared" si="16"/>
        <v>0</v>
      </c>
      <c r="AM17" s="618">
        <f>+'Asset Classification'!X17</f>
        <v>0</v>
      </c>
      <c r="AN17" s="612">
        <f t="shared" si="17"/>
        <v>0</v>
      </c>
      <c r="AO17" s="612">
        <f t="shared" si="18"/>
        <v>0</v>
      </c>
      <c r="AP17" s="599">
        <f t="shared" si="19"/>
        <v>0</v>
      </c>
      <c r="AQ17" s="599">
        <f t="shared" si="19"/>
        <v>0</v>
      </c>
      <c r="AR17" s="599">
        <f t="shared" si="20"/>
        <v>0</v>
      </c>
      <c r="AS17" s="612">
        <f t="shared" si="0"/>
        <v>0</v>
      </c>
      <c r="AT17" s="612">
        <f t="shared" si="0"/>
        <v>0</v>
      </c>
      <c r="AU17" s="612">
        <f t="shared" si="21"/>
        <v>0</v>
      </c>
      <c r="AV17" s="613">
        <f>+'Aging Analysis'!C14</f>
        <v>0</v>
      </c>
      <c r="AW17" s="614"/>
      <c r="AX17" s="614"/>
      <c r="AY17" s="614"/>
      <c r="AZ17" s="614"/>
      <c r="BA17" s="614"/>
      <c r="BB17" s="614"/>
      <c r="BC17" s="614"/>
    </row>
    <row r="18" spans="1:55" s="265" customFormat="1" ht="14.25" customHeight="1">
      <c r="A18" s="610"/>
      <c r="B18" s="615" t="s">
        <v>660</v>
      </c>
      <c r="C18" s="611">
        <f>+'Asset Classification'!C18</f>
        <v>0</v>
      </c>
      <c r="D18" s="612">
        <f>+'Asset Classification'!D18</f>
        <v>0</v>
      </c>
      <c r="E18" s="617">
        <f>+'Asset Classification'!E18</f>
        <v>0</v>
      </c>
      <c r="F18" s="618">
        <f>+'Asset Classification'!F18</f>
        <v>0</v>
      </c>
      <c r="G18" s="617">
        <f>+'Asset Classification'!G18</f>
        <v>0</v>
      </c>
      <c r="H18" s="612">
        <f t="shared" si="1"/>
        <v>0</v>
      </c>
      <c r="I18" s="612">
        <f t="shared" si="2"/>
        <v>0</v>
      </c>
      <c r="J18" s="617">
        <f>+'Asset Classification'!I18</f>
        <v>0</v>
      </c>
      <c r="K18" s="618">
        <f>+'Asset Classification'!J18</f>
        <v>0</v>
      </c>
      <c r="L18" s="617">
        <f>+'Asset Classification'!K18</f>
        <v>0</v>
      </c>
      <c r="M18" s="612">
        <f t="shared" si="3"/>
        <v>0</v>
      </c>
      <c r="N18" s="612">
        <f t="shared" si="4"/>
        <v>0</v>
      </c>
      <c r="O18" s="618">
        <f>+'Asset Classification'!L18</f>
        <v>0</v>
      </c>
      <c r="P18" s="612">
        <f t="shared" si="5"/>
        <v>0</v>
      </c>
      <c r="Q18" s="612">
        <f t="shared" si="6"/>
        <v>0</v>
      </c>
      <c r="R18" s="617">
        <f>+'Asset Classification'!M18</f>
        <v>0</v>
      </c>
      <c r="S18" s="618">
        <f>+'Asset Classification'!N18</f>
        <v>0</v>
      </c>
      <c r="T18" s="617">
        <f>+'Asset Classification'!O18</f>
        <v>0</v>
      </c>
      <c r="U18" s="612">
        <f t="shared" si="7"/>
        <v>0</v>
      </c>
      <c r="V18" s="612">
        <f t="shared" si="8"/>
        <v>0</v>
      </c>
      <c r="W18" s="618">
        <f>+'Asset Classification'!P18</f>
        <v>0</v>
      </c>
      <c r="X18" s="612">
        <f t="shared" si="9"/>
        <v>0</v>
      </c>
      <c r="Y18" s="612">
        <f t="shared" si="10"/>
        <v>0</v>
      </c>
      <c r="Z18" s="617">
        <f>+'Asset Classification'!Q18</f>
        <v>0</v>
      </c>
      <c r="AA18" s="618">
        <f>+'Asset Classification'!R18</f>
        <v>0</v>
      </c>
      <c r="AB18" s="617">
        <f>+'Asset Classification'!S18</f>
        <v>0</v>
      </c>
      <c r="AC18" s="612">
        <f t="shared" si="11"/>
        <v>0</v>
      </c>
      <c r="AD18" s="612">
        <f t="shared" si="12"/>
        <v>0</v>
      </c>
      <c r="AE18" s="618">
        <f>+'Asset Classification'!T18</f>
        <v>0</v>
      </c>
      <c r="AF18" s="612">
        <f t="shared" si="13"/>
        <v>0</v>
      </c>
      <c r="AG18" s="612">
        <f t="shared" si="14"/>
        <v>0</v>
      </c>
      <c r="AH18" s="617">
        <f>+'Asset Classification'!U18</f>
        <v>0</v>
      </c>
      <c r="AI18" s="618">
        <f>+'Asset Classification'!V18</f>
        <v>0</v>
      </c>
      <c r="AJ18" s="617">
        <f>+'Asset Classification'!W18</f>
        <v>0</v>
      </c>
      <c r="AK18" s="612">
        <f t="shared" si="15"/>
        <v>0</v>
      </c>
      <c r="AL18" s="612">
        <f t="shared" si="16"/>
        <v>0</v>
      </c>
      <c r="AM18" s="618">
        <f>+'Asset Classification'!X18</f>
        <v>0</v>
      </c>
      <c r="AN18" s="612">
        <f t="shared" si="17"/>
        <v>0</v>
      </c>
      <c r="AO18" s="612">
        <f t="shared" si="18"/>
        <v>0</v>
      </c>
      <c r="AP18" s="599">
        <f t="shared" si="19"/>
        <v>0</v>
      </c>
      <c r="AQ18" s="599">
        <f t="shared" si="19"/>
        <v>0</v>
      </c>
      <c r="AR18" s="599">
        <f t="shared" si="20"/>
        <v>0</v>
      </c>
      <c r="AS18" s="612">
        <f t="shared" si="0"/>
        <v>0</v>
      </c>
      <c r="AT18" s="612">
        <f t="shared" si="0"/>
        <v>0</v>
      </c>
      <c r="AU18" s="612">
        <f t="shared" si="21"/>
        <v>0</v>
      </c>
      <c r="AW18" s="614"/>
      <c r="AX18" s="614"/>
      <c r="AY18" s="614"/>
      <c r="AZ18" s="614"/>
      <c r="BA18" s="614"/>
      <c r="BB18" s="614"/>
      <c r="BC18" s="614"/>
    </row>
    <row r="19" spans="1:55" s="265" customFormat="1" ht="23.25" customHeight="1">
      <c r="A19" s="610">
        <v>7</v>
      </c>
      <c r="B19" s="169" t="s">
        <v>401</v>
      </c>
      <c r="C19" s="611">
        <f>+'Asset Classification'!C19</f>
        <v>5278406950</v>
      </c>
      <c r="D19" s="612">
        <f>+'Asset Classification'!D19</f>
        <v>2593821408</v>
      </c>
      <c r="E19" s="617">
        <f>+'Asset Classification'!E19</f>
        <v>3478272583</v>
      </c>
      <c r="F19" s="618">
        <f>+'Asset Classification'!F19</f>
        <v>1601034767</v>
      </c>
      <c r="G19" s="617">
        <f>+'Asset Classification'!G19</f>
        <v>0</v>
      </c>
      <c r="H19" s="612">
        <f t="shared" si="1"/>
        <v>34782725.829999998</v>
      </c>
      <c r="I19" s="612">
        <f t="shared" si="2"/>
        <v>-34782725.829999998</v>
      </c>
      <c r="J19" s="617">
        <f>+'Asset Classification'!I19</f>
        <v>1563477802</v>
      </c>
      <c r="K19" s="618">
        <f>+'Asset Classification'!J19</f>
        <v>903590781</v>
      </c>
      <c r="L19" s="617">
        <f>+'Asset Classification'!K19</f>
        <v>41327287</v>
      </c>
      <c r="M19" s="612">
        <f t="shared" si="3"/>
        <v>156347780.20000002</v>
      </c>
      <c r="N19" s="612">
        <f t="shared" si="4"/>
        <v>-115020493.20000002</v>
      </c>
      <c r="O19" s="618">
        <f>+'Asset Classification'!L19</f>
        <v>11999892</v>
      </c>
      <c r="P19" s="612">
        <f t="shared" si="5"/>
        <v>90359078.100000009</v>
      </c>
      <c r="Q19" s="612">
        <f t="shared" si="6"/>
        <v>-78359186.100000009</v>
      </c>
      <c r="R19" s="617">
        <f>+'Asset Classification'!M19</f>
        <v>9364090</v>
      </c>
      <c r="S19" s="618">
        <f>+'Asset Classification'!N19</f>
        <v>741198</v>
      </c>
      <c r="T19" s="617">
        <f>+'Asset Classification'!O19</f>
        <v>174786</v>
      </c>
      <c r="U19" s="612">
        <f t="shared" si="7"/>
        <v>2341022.5</v>
      </c>
      <c r="V19" s="612">
        <f t="shared" si="8"/>
        <v>-2166236.5</v>
      </c>
      <c r="W19" s="618">
        <f>+'Asset Classification'!P19</f>
        <v>74120</v>
      </c>
      <c r="X19" s="612">
        <f t="shared" si="9"/>
        <v>185299.5</v>
      </c>
      <c r="Y19" s="612">
        <f t="shared" si="10"/>
        <v>-111179.5</v>
      </c>
      <c r="Z19" s="617">
        <f>+'Asset Classification'!Q19</f>
        <v>17172757</v>
      </c>
      <c r="AA19" s="618">
        <f>+'Asset Classification'!R19</f>
        <v>0</v>
      </c>
      <c r="AB19" s="617">
        <f>+'Asset Classification'!S19</f>
        <v>1263394</v>
      </c>
      <c r="AC19" s="612">
        <f t="shared" si="11"/>
        <v>8586378.5</v>
      </c>
      <c r="AD19" s="612">
        <f t="shared" si="12"/>
        <v>-7322984.5</v>
      </c>
      <c r="AE19" s="618">
        <f>+'Asset Classification'!T19</f>
        <v>0</v>
      </c>
      <c r="AF19" s="612">
        <f t="shared" si="13"/>
        <v>0</v>
      </c>
      <c r="AG19" s="612">
        <f t="shared" si="14"/>
        <v>0</v>
      </c>
      <c r="AH19" s="617">
        <f>+'Asset Classification'!U19</f>
        <v>210119718</v>
      </c>
      <c r="AI19" s="618">
        <f>+'Asset Classification'!V19</f>
        <v>88454662</v>
      </c>
      <c r="AJ19" s="617">
        <f>+'Asset Classification'!W19</f>
        <v>42589985</v>
      </c>
      <c r="AK19" s="612">
        <f t="shared" si="15"/>
        <v>210119718</v>
      </c>
      <c r="AL19" s="612">
        <f t="shared" si="16"/>
        <v>-167529733</v>
      </c>
      <c r="AM19" s="618">
        <f>+'Asset Classification'!X19</f>
        <v>1614435</v>
      </c>
      <c r="AN19" s="612">
        <f t="shared" si="17"/>
        <v>88454662</v>
      </c>
      <c r="AO19" s="612">
        <f t="shared" si="18"/>
        <v>-86840227</v>
      </c>
      <c r="AP19" s="599">
        <f t="shared" si="19"/>
        <v>85355452</v>
      </c>
      <c r="AQ19" s="599">
        <f t="shared" si="19"/>
        <v>377394899.20000005</v>
      </c>
      <c r="AR19" s="599">
        <f t="shared" si="20"/>
        <v>-292039447.20000005</v>
      </c>
      <c r="AS19" s="612">
        <f t="shared" si="0"/>
        <v>13688447</v>
      </c>
      <c r="AT19" s="612">
        <f t="shared" si="0"/>
        <v>178999039.60000002</v>
      </c>
      <c r="AU19" s="612">
        <f t="shared" si="21"/>
        <v>-165310592.60000002</v>
      </c>
      <c r="AV19" s="613">
        <f>+'Aging Analysis'!C15</f>
        <v>5278406950</v>
      </c>
      <c r="AW19" s="614"/>
      <c r="AX19" s="614"/>
      <c r="AY19" s="614"/>
      <c r="AZ19" s="614"/>
      <c r="BA19" s="614"/>
      <c r="BB19" s="614"/>
      <c r="BC19" s="614"/>
    </row>
    <row r="20" spans="1:55" s="265" customFormat="1" ht="14.25" customHeight="1">
      <c r="A20" s="610"/>
      <c r="B20" s="615" t="s">
        <v>660</v>
      </c>
      <c r="C20" s="611">
        <f>+'Asset Classification'!C20</f>
        <v>0</v>
      </c>
      <c r="D20" s="612">
        <f>+'Asset Classification'!D20</f>
        <v>0</v>
      </c>
      <c r="E20" s="617">
        <f>+'Asset Classification'!E20</f>
        <v>0</v>
      </c>
      <c r="F20" s="618">
        <f>+'Asset Classification'!F20</f>
        <v>0</v>
      </c>
      <c r="G20" s="617">
        <f>+'Asset Classification'!G20</f>
        <v>0</v>
      </c>
      <c r="H20" s="612">
        <f t="shared" si="1"/>
        <v>0</v>
      </c>
      <c r="I20" s="612">
        <f t="shared" si="2"/>
        <v>0</v>
      </c>
      <c r="J20" s="617">
        <f>+'Asset Classification'!I20</f>
        <v>0</v>
      </c>
      <c r="K20" s="618">
        <f>+'Asset Classification'!J20</f>
        <v>0</v>
      </c>
      <c r="L20" s="617">
        <f>+'Asset Classification'!K20</f>
        <v>0</v>
      </c>
      <c r="M20" s="612">
        <f t="shared" si="3"/>
        <v>0</v>
      </c>
      <c r="N20" s="612">
        <f t="shared" si="4"/>
        <v>0</v>
      </c>
      <c r="O20" s="618">
        <f>+'Asset Classification'!L20</f>
        <v>0</v>
      </c>
      <c r="P20" s="612">
        <f t="shared" si="5"/>
        <v>0</v>
      </c>
      <c r="Q20" s="612">
        <f t="shared" si="6"/>
        <v>0</v>
      </c>
      <c r="R20" s="617">
        <f>+'Asset Classification'!M20</f>
        <v>0</v>
      </c>
      <c r="S20" s="618">
        <f>+'Asset Classification'!N20</f>
        <v>0</v>
      </c>
      <c r="T20" s="617">
        <f>+'Asset Classification'!O20</f>
        <v>0</v>
      </c>
      <c r="U20" s="612">
        <f t="shared" si="7"/>
        <v>0</v>
      </c>
      <c r="V20" s="612">
        <f t="shared" si="8"/>
        <v>0</v>
      </c>
      <c r="W20" s="618">
        <f>+'Asset Classification'!P20</f>
        <v>0</v>
      </c>
      <c r="X20" s="612">
        <f t="shared" si="9"/>
        <v>0</v>
      </c>
      <c r="Y20" s="612">
        <f t="shared" si="10"/>
        <v>0</v>
      </c>
      <c r="Z20" s="617">
        <f>+'Asset Classification'!Q20</f>
        <v>0</v>
      </c>
      <c r="AA20" s="618">
        <f>+'Asset Classification'!R20</f>
        <v>0</v>
      </c>
      <c r="AB20" s="617">
        <f>+'Asset Classification'!S20</f>
        <v>0</v>
      </c>
      <c r="AC20" s="612">
        <f t="shared" si="11"/>
        <v>0</v>
      </c>
      <c r="AD20" s="612">
        <f t="shared" si="12"/>
        <v>0</v>
      </c>
      <c r="AE20" s="618">
        <f>+'Asset Classification'!T20</f>
        <v>0</v>
      </c>
      <c r="AF20" s="612">
        <f t="shared" si="13"/>
        <v>0</v>
      </c>
      <c r="AG20" s="612">
        <f t="shared" si="14"/>
        <v>0</v>
      </c>
      <c r="AH20" s="617">
        <f>+'Asset Classification'!U20</f>
        <v>0</v>
      </c>
      <c r="AI20" s="618">
        <f>+'Asset Classification'!V20</f>
        <v>0</v>
      </c>
      <c r="AJ20" s="617">
        <f>+'Asset Classification'!W20</f>
        <v>0</v>
      </c>
      <c r="AK20" s="612">
        <f t="shared" si="15"/>
        <v>0</v>
      </c>
      <c r="AL20" s="612">
        <f t="shared" si="16"/>
        <v>0</v>
      </c>
      <c r="AM20" s="618">
        <f>+'Asset Classification'!X20</f>
        <v>0</v>
      </c>
      <c r="AN20" s="612">
        <f t="shared" si="17"/>
        <v>0</v>
      </c>
      <c r="AO20" s="612">
        <f t="shared" si="18"/>
        <v>0</v>
      </c>
      <c r="AP20" s="599">
        <f t="shared" si="19"/>
        <v>0</v>
      </c>
      <c r="AQ20" s="599">
        <f t="shared" si="19"/>
        <v>0</v>
      </c>
      <c r="AR20" s="599">
        <f t="shared" si="20"/>
        <v>0</v>
      </c>
      <c r="AS20" s="612">
        <f t="shared" si="0"/>
        <v>0</v>
      </c>
      <c r="AT20" s="612">
        <f t="shared" si="0"/>
        <v>0</v>
      </c>
      <c r="AU20" s="612">
        <f t="shared" si="21"/>
        <v>0</v>
      </c>
      <c r="AW20" s="614"/>
      <c r="AX20" s="614"/>
      <c r="AY20" s="614"/>
      <c r="AZ20" s="614"/>
      <c r="BA20" s="614"/>
      <c r="BB20" s="614"/>
      <c r="BC20" s="614"/>
    </row>
    <row r="21" spans="1:55" s="265" customFormat="1" ht="23.25" customHeight="1">
      <c r="A21" s="610">
        <v>8</v>
      </c>
      <c r="B21" s="169" t="s">
        <v>663</v>
      </c>
      <c r="C21" s="611">
        <f>+'Asset Classification'!C21</f>
        <v>2040311629</v>
      </c>
      <c r="D21" s="612">
        <f>+'Asset Classification'!D21</f>
        <v>837019572</v>
      </c>
      <c r="E21" s="617">
        <f>+'Asset Classification'!E21</f>
        <v>1267573459</v>
      </c>
      <c r="F21" s="618">
        <f>+'Asset Classification'!F21</f>
        <v>561724428</v>
      </c>
      <c r="G21" s="617">
        <f>+'Asset Classification'!G21</f>
        <v>0</v>
      </c>
      <c r="H21" s="612">
        <f t="shared" si="1"/>
        <v>12675734.59</v>
      </c>
      <c r="I21" s="612">
        <f t="shared" si="2"/>
        <v>-12675734.59</v>
      </c>
      <c r="J21" s="617">
        <f>+'Asset Classification'!I21</f>
        <v>626829539</v>
      </c>
      <c r="K21" s="618">
        <f>+'Asset Classification'!J21</f>
        <v>222683588</v>
      </c>
      <c r="L21" s="617">
        <f>+'Asset Classification'!K21</f>
        <v>26820213</v>
      </c>
      <c r="M21" s="612">
        <f t="shared" si="3"/>
        <v>62682953.900000006</v>
      </c>
      <c r="N21" s="612">
        <f t="shared" si="4"/>
        <v>-35862740.900000006</v>
      </c>
      <c r="O21" s="618">
        <f>+'Asset Classification'!L21</f>
        <v>9563296</v>
      </c>
      <c r="P21" s="612">
        <f t="shared" si="5"/>
        <v>22268358.800000001</v>
      </c>
      <c r="Q21" s="612">
        <f t="shared" si="6"/>
        <v>-12705062.800000001</v>
      </c>
      <c r="R21" s="617">
        <f>+'Asset Classification'!M21</f>
        <v>1489360</v>
      </c>
      <c r="S21" s="618">
        <f>+'Asset Classification'!N21</f>
        <v>87920</v>
      </c>
      <c r="T21" s="617">
        <f>+'Asset Classification'!O21</f>
        <v>12637</v>
      </c>
      <c r="U21" s="612">
        <f t="shared" si="7"/>
        <v>372340</v>
      </c>
      <c r="V21" s="612">
        <f t="shared" si="8"/>
        <v>-359703</v>
      </c>
      <c r="W21" s="618">
        <f>+'Asset Classification'!P21</f>
        <v>0</v>
      </c>
      <c r="X21" s="612">
        <f t="shared" si="9"/>
        <v>21980</v>
      </c>
      <c r="Y21" s="612">
        <f t="shared" si="10"/>
        <v>-21980</v>
      </c>
      <c r="Z21" s="617">
        <f>+'Asset Classification'!Q21</f>
        <v>13336598</v>
      </c>
      <c r="AA21" s="618">
        <f>+'Asset Classification'!R21</f>
        <v>3072659</v>
      </c>
      <c r="AB21" s="617">
        <f>+'Asset Classification'!S21</f>
        <v>322547</v>
      </c>
      <c r="AC21" s="612">
        <f t="shared" si="11"/>
        <v>6668299</v>
      </c>
      <c r="AD21" s="612">
        <f t="shared" si="12"/>
        <v>-6345752</v>
      </c>
      <c r="AE21" s="618">
        <f>+'Asset Classification'!T21</f>
        <v>0</v>
      </c>
      <c r="AF21" s="612">
        <f t="shared" si="13"/>
        <v>1536329.5</v>
      </c>
      <c r="AG21" s="612">
        <f t="shared" si="14"/>
        <v>-1536329.5</v>
      </c>
      <c r="AH21" s="617">
        <f>+'Asset Classification'!U21</f>
        <v>131082673</v>
      </c>
      <c r="AI21" s="618">
        <f>+'Asset Classification'!V21</f>
        <v>49450977</v>
      </c>
      <c r="AJ21" s="617">
        <f>+'Asset Classification'!W21</f>
        <v>30395565</v>
      </c>
      <c r="AK21" s="612">
        <f t="shared" si="15"/>
        <v>131082673</v>
      </c>
      <c r="AL21" s="612">
        <f t="shared" si="16"/>
        <v>-100687108</v>
      </c>
      <c r="AM21" s="618">
        <f>+'Asset Classification'!X21</f>
        <v>2518007</v>
      </c>
      <c r="AN21" s="612">
        <f t="shared" si="17"/>
        <v>49450977</v>
      </c>
      <c r="AO21" s="612">
        <f t="shared" si="18"/>
        <v>-46932970</v>
      </c>
      <c r="AP21" s="599">
        <f t="shared" si="19"/>
        <v>57550962</v>
      </c>
      <c r="AQ21" s="599">
        <f t="shared" si="19"/>
        <v>200806265.90000001</v>
      </c>
      <c r="AR21" s="599">
        <f t="shared" si="20"/>
        <v>-143255303.90000001</v>
      </c>
      <c r="AS21" s="612">
        <f t="shared" si="0"/>
        <v>12081303</v>
      </c>
      <c r="AT21" s="612">
        <f t="shared" si="0"/>
        <v>73277645.299999997</v>
      </c>
      <c r="AU21" s="612">
        <f t="shared" si="21"/>
        <v>-61196342.299999997</v>
      </c>
      <c r="AV21" s="613">
        <f>+'Aging Analysis'!C16</f>
        <v>2040311629</v>
      </c>
      <c r="AW21" s="614"/>
      <c r="AX21" s="614"/>
      <c r="AY21" s="614"/>
      <c r="AZ21" s="614"/>
      <c r="BA21" s="614"/>
      <c r="BB21" s="614"/>
      <c r="BC21" s="614"/>
    </row>
    <row r="22" spans="1:55" s="265" customFormat="1" ht="14.25" customHeight="1">
      <c r="A22" s="610"/>
      <c r="B22" s="615" t="s">
        <v>660</v>
      </c>
      <c r="C22" s="611">
        <f>+'Asset Classification'!C22</f>
        <v>0</v>
      </c>
      <c r="D22" s="612">
        <f>+'Asset Classification'!D22</f>
        <v>0</v>
      </c>
      <c r="E22" s="617">
        <f>+'Asset Classification'!E22</f>
        <v>0</v>
      </c>
      <c r="F22" s="618">
        <f>+'Asset Classification'!F22</f>
        <v>0</v>
      </c>
      <c r="G22" s="617">
        <f>+'Asset Classification'!G22</f>
        <v>0</v>
      </c>
      <c r="H22" s="612">
        <f t="shared" si="1"/>
        <v>0</v>
      </c>
      <c r="I22" s="612">
        <f t="shared" si="2"/>
        <v>0</v>
      </c>
      <c r="J22" s="617">
        <f>+'Asset Classification'!I22</f>
        <v>0</v>
      </c>
      <c r="K22" s="618">
        <f>+'Asset Classification'!J22</f>
        <v>0</v>
      </c>
      <c r="L22" s="617">
        <f>+'Asset Classification'!K22</f>
        <v>0</v>
      </c>
      <c r="M22" s="612">
        <f t="shared" si="3"/>
        <v>0</v>
      </c>
      <c r="N22" s="612">
        <f t="shared" si="4"/>
        <v>0</v>
      </c>
      <c r="O22" s="618">
        <f>+'Asset Classification'!L22</f>
        <v>0</v>
      </c>
      <c r="P22" s="612">
        <f t="shared" si="5"/>
        <v>0</v>
      </c>
      <c r="Q22" s="612">
        <f t="shared" si="6"/>
        <v>0</v>
      </c>
      <c r="R22" s="617">
        <f>+'Asset Classification'!M22</f>
        <v>0</v>
      </c>
      <c r="S22" s="618">
        <f>+'Asset Classification'!N22</f>
        <v>0</v>
      </c>
      <c r="T22" s="617">
        <f>+'Asset Classification'!O22</f>
        <v>0</v>
      </c>
      <c r="U22" s="612">
        <f t="shared" si="7"/>
        <v>0</v>
      </c>
      <c r="V22" s="612">
        <f t="shared" si="8"/>
        <v>0</v>
      </c>
      <c r="W22" s="618">
        <f>+'Asset Classification'!P22</f>
        <v>0</v>
      </c>
      <c r="X22" s="612">
        <f t="shared" si="9"/>
        <v>0</v>
      </c>
      <c r="Y22" s="612">
        <f t="shared" si="10"/>
        <v>0</v>
      </c>
      <c r="Z22" s="617">
        <f>+'Asset Classification'!Q22</f>
        <v>0</v>
      </c>
      <c r="AA22" s="618">
        <f>+'Asset Classification'!R22</f>
        <v>0</v>
      </c>
      <c r="AB22" s="617">
        <f>+'Asset Classification'!S22</f>
        <v>0</v>
      </c>
      <c r="AC22" s="612">
        <f t="shared" si="11"/>
        <v>0</v>
      </c>
      <c r="AD22" s="612">
        <f t="shared" si="12"/>
        <v>0</v>
      </c>
      <c r="AE22" s="618">
        <f>+'Asset Classification'!T22</f>
        <v>0</v>
      </c>
      <c r="AF22" s="612">
        <f t="shared" si="13"/>
        <v>0</v>
      </c>
      <c r="AG22" s="612">
        <f t="shared" si="14"/>
        <v>0</v>
      </c>
      <c r="AH22" s="617">
        <f>+'Asset Classification'!U22</f>
        <v>0</v>
      </c>
      <c r="AI22" s="618">
        <f>+'Asset Classification'!V22</f>
        <v>0</v>
      </c>
      <c r="AJ22" s="617">
        <f>+'Asset Classification'!W22</f>
        <v>0</v>
      </c>
      <c r="AK22" s="612">
        <f t="shared" si="15"/>
        <v>0</v>
      </c>
      <c r="AL22" s="612">
        <f t="shared" si="16"/>
        <v>0</v>
      </c>
      <c r="AM22" s="618">
        <f>+'Asset Classification'!X22</f>
        <v>0</v>
      </c>
      <c r="AN22" s="612">
        <f t="shared" si="17"/>
        <v>0</v>
      </c>
      <c r="AO22" s="612">
        <f t="shared" si="18"/>
        <v>0</v>
      </c>
      <c r="AP22" s="599">
        <f t="shared" si="19"/>
        <v>0</v>
      </c>
      <c r="AQ22" s="599">
        <f t="shared" si="19"/>
        <v>0</v>
      </c>
      <c r="AR22" s="599">
        <f t="shared" si="20"/>
        <v>0</v>
      </c>
      <c r="AS22" s="612">
        <f t="shared" si="0"/>
        <v>0</v>
      </c>
      <c r="AT22" s="612">
        <f t="shared" si="0"/>
        <v>0</v>
      </c>
      <c r="AU22" s="612">
        <f t="shared" si="21"/>
        <v>0</v>
      </c>
      <c r="AW22" s="614"/>
      <c r="AX22" s="614"/>
      <c r="AY22" s="614"/>
      <c r="AZ22" s="614"/>
      <c r="BA22" s="614"/>
      <c r="BB22" s="614"/>
      <c r="BC22" s="614"/>
    </row>
    <row r="23" spans="1:55" s="265" customFormat="1" ht="23.25" customHeight="1">
      <c r="A23" s="610">
        <v>9</v>
      </c>
      <c r="B23" s="169" t="s">
        <v>664</v>
      </c>
      <c r="C23" s="611">
        <f>+'Asset Classification'!C23</f>
        <v>0</v>
      </c>
      <c r="D23" s="612">
        <f>+'Asset Classification'!D23</f>
        <v>0</v>
      </c>
      <c r="E23" s="617">
        <f>+'Asset Classification'!E23</f>
        <v>0</v>
      </c>
      <c r="F23" s="618">
        <f>+'Asset Classification'!F23</f>
        <v>0</v>
      </c>
      <c r="G23" s="617">
        <f>+'Asset Classification'!G23</f>
        <v>0</v>
      </c>
      <c r="H23" s="612">
        <f t="shared" si="1"/>
        <v>0</v>
      </c>
      <c r="I23" s="612">
        <f t="shared" si="2"/>
        <v>0</v>
      </c>
      <c r="J23" s="617">
        <f>+'Asset Classification'!I23</f>
        <v>0</v>
      </c>
      <c r="K23" s="618">
        <f>+'Asset Classification'!J23</f>
        <v>0</v>
      </c>
      <c r="L23" s="617">
        <f>+'Asset Classification'!K23</f>
        <v>0</v>
      </c>
      <c r="M23" s="612">
        <f t="shared" si="3"/>
        <v>0</v>
      </c>
      <c r="N23" s="612">
        <f t="shared" si="4"/>
        <v>0</v>
      </c>
      <c r="O23" s="618">
        <f>+'Asset Classification'!L23</f>
        <v>0</v>
      </c>
      <c r="P23" s="612">
        <f t="shared" si="5"/>
        <v>0</v>
      </c>
      <c r="Q23" s="612">
        <f t="shared" si="6"/>
        <v>0</v>
      </c>
      <c r="R23" s="617">
        <f>+'Asset Classification'!M23</f>
        <v>0</v>
      </c>
      <c r="S23" s="618">
        <f>+'Asset Classification'!N23</f>
        <v>0</v>
      </c>
      <c r="T23" s="617">
        <f>+'Asset Classification'!O23</f>
        <v>0</v>
      </c>
      <c r="U23" s="612">
        <f t="shared" si="7"/>
        <v>0</v>
      </c>
      <c r="V23" s="612">
        <f t="shared" si="8"/>
        <v>0</v>
      </c>
      <c r="W23" s="618">
        <f>+'Asset Classification'!P23</f>
        <v>0</v>
      </c>
      <c r="X23" s="612">
        <f t="shared" si="9"/>
        <v>0</v>
      </c>
      <c r="Y23" s="612">
        <f t="shared" si="10"/>
        <v>0</v>
      </c>
      <c r="Z23" s="617">
        <f>+'Asset Classification'!Q23</f>
        <v>0</v>
      </c>
      <c r="AA23" s="618">
        <f>+'Asset Classification'!R23</f>
        <v>0</v>
      </c>
      <c r="AB23" s="617">
        <f>+'Asset Classification'!S23</f>
        <v>0</v>
      </c>
      <c r="AC23" s="612">
        <f t="shared" si="11"/>
        <v>0</v>
      </c>
      <c r="AD23" s="612">
        <f t="shared" si="12"/>
        <v>0</v>
      </c>
      <c r="AE23" s="618">
        <f>+'Asset Classification'!T23</f>
        <v>0</v>
      </c>
      <c r="AF23" s="612">
        <f t="shared" si="13"/>
        <v>0</v>
      </c>
      <c r="AG23" s="612">
        <f t="shared" si="14"/>
        <v>0</v>
      </c>
      <c r="AH23" s="617">
        <f>+'Asset Classification'!U23</f>
        <v>0</v>
      </c>
      <c r="AI23" s="618">
        <f>+'Asset Classification'!V23</f>
        <v>0</v>
      </c>
      <c r="AJ23" s="617">
        <f>+'Asset Classification'!W23</f>
        <v>0</v>
      </c>
      <c r="AK23" s="612">
        <f t="shared" si="15"/>
        <v>0</v>
      </c>
      <c r="AL23" s="612">
        <f t="shared" si="16"/>
        <v>0</v>
      </c>
      <c r="AM23" s="618">
        <f>+'Asset Classification'!X23</f>
        <v>0</v>
      </c>
      <c r="AN23" s="612">
        <f t="shared" si="17"/>
        <v>0</v>
      </c>
      <c r="AO23" s="612">
        <f t="shared" si="18"/>
        <v>0</v>
      </c>
      <c r="AP23" s="599">
        <f t="shared" si="19"/>
        <v>0</v>
      </c>
      <c r="AQ23" s="599">
        <f t="shared" si="19"/>
        <v>0</v>
      </c>
      <c r="AR23" s="599">
        <f t="shared" si="20"/>
        <v>0</v>
      </c>
      <c r="AS23" s="612">
        <f t="shared" si="0"/>
        <v>0</v>
      </c>
      <c r="AT23" s="612">
        <f t="shared" si="0"/>
        <v>0</v>
      </c>
      <c r="AU23" s="612">
        <f t="shared" si="21"/>
        <v>0</v>
      </c>
      <c r="AV23" s="613">
        <f>+'Aging Analysis'!C17</f>
        <v>0</v>
      </c>
      <c r="AW23" s="614"/>
      <c r="AX23" s="614"/>
      <c r="AY23" s="614"/>
      <c r="AZ23" s="614"/>
      <c r="BA23" s="614"/>
      <c r="BB23" s="614"/>
      <c r="BC23" s="614"/>
    </row>
    <row r="24" spans="1:55" s="265" customFormat="1" ht="14.25" customHeight="1">
      <c r="A24" s="610"/>
      <c r="B24" s="615" t="s">
        <v>660</v>
      </c>
      <c r="C24" s="611">
        <f>+'Asset Classification'!C24</f>
        <v>0</v>
      </c>
      <c r="D24" s="612">
        <f>+'Asset Classification'!D24</f>
        <v>0</v>
      </c>
      <c r="E24" s="617">
        <f>+'Asset Classification'!E24</f>
        <v>0</v>
      </c>
      <c r="F24" s="618">
        <f>+'Asset Classification'!F24</f>
        <v>0</v>
      </c>
      <c r="G24" s="617">
        <f>+'Asset Classification'!G24</f>
        <v>0</v>
      </c>
      <c r="H24" s="612">
        <f t="shared" si="1"/>
        <v>0</v>
      </c>
      <c r="I24" s="612">
        <f t="shared" si="2"/>
        <v>0</v>
      </c>
      <c r="J24" s="617">
        <f>+'Asset Classification'!I24</f>
        <v>0</v>
      </c>
      <c r="K24" s="618">
        <f>+'Asset Classification'!J24</f>
        <v>0</v>
      </c>
      <c r="L24" s="617">
        <f>+'Asset Classification'!K24</f>
        <v>0</v>
      </c>
      <c r="M24" s="612">
        <f t="shared" si="3"/>
        <v>0</v>
      </c>
      <c r="N24" s="612">
        <f t="shared" si="4"/>
        <v>0</v>
      </c>
      <c r="O24" s="618">
        <f>+'Asset Classification'!L24</f>
        <v>0</v>
      </c>
      <c r="P24" s="612">
        <f t="shared" si="5"/>
        <v>0</v>
      </c>
      <c r="Q24" s="612">
        <f t="shared" si="6"/>
        <v>0</v>
      </c>
      <c r="R24" s="617">
        <f>+'Asset Classification'!M24</f>
        <v>0</v>
      </c>
      <c r="S24" s="618">
        <f>+'Asset Classification'!N24</f>
        <v>0</v>
      </c>
      <c r="T24" s="617">
        <f>+'Asset Classification'!O24</f>
        <v>0</v>
      </c>
      <c r="U24" s="612">
        <f t="shared" si="7"/>
        <v>0</v>
      </c>
      <c r="V24" s="612">
        <f t="shared" si="8"/>
        <v>0</v>
      </c>
      <c r="W24" s="618">
        <f>+'Asset Classification'!P24</f>
        <v>0</v>
      </c>
      <c r="X24" s="612">
        <f t="shared" si="9"/>
        <v>0</v>
      </c>
      <c r="Y24" s="612">
        <f t="shared" si="10"/>
        <v>0</v>
      </c>
      <c r="Z24" s="617">
        <f>+'Asset Classification'!Q24</f>
        <v>0</v>
      </c>
      <c r="AA24" s="618">
        <f>+'Asset Classification'!R24</f>
        <v>0</v>
      </c>
      <c r="AB24" s="617">
        <f>+'Asset Classification'!S24</f>
        <v>0</v>
      </c>
      <c r="AC24" s="612">
        <f t="shared" si="11"/>
        <v>0</v>
      </c>
      <c r="AD24" s="612">
        <f t="shared" si="12"/>
        <v>0</v>
      </c>
      <c r="AE24" s="618">
        <f>+'Asset Classification'!T24</f>
        <v>0</v>
      </c>
      <c r="AF24" s="612">
        <f t="shared" si="13"/>
        <v>0</v>
      </c>
      <c r="AG24" s="612">
        <f t="shared" si="14"/>
        <v>0</v>
      </c>
      <c r="AH24" s="617">
        <f>+'Asset Classification'!U24</f>
        <v>0</v>
      </c>
      <c r="AI24" s="618">
        <f>+'Asset Classification'!V24</f>
        <v>0</v>
      </c>
      <c r="AJ24" s="617">
        <f>+'Asset Classification'!W24</f>
        <v>0</v>
      </c>
      <c r="AK24" s="612">
        <f t="shared" si="15"/>
        <v>0</v>
      </c>
      <c r="AL24" s="612">
        <f t="shared" si="16"/>
        <v>0</v>
      </c>
      <c r="AM24" s="618">
        <f>+'Asset Classification'!X24</f>
        <v>0</v>
      </c>
      <c r="AN24" s="612">
        <f t="shared" si="17"/>
        <v>0</v>
      </c>
      <c r="AO24" s="612">
        <f t="shared" si="18"/>
        <v>0</v>
      </c>
      <c r="AP24" s="599">
        <f t="shared" si="19"/>
        <v>0</v>
      </c>
      <c r="AQ24" s="599">
        <f t="shared" si="19"/>
        <v>0</v>
      </c>
      <c r="AR24" s="599">
        <f t="shared" si="20"/>
        <v>0</v>
      </c>
      <c r="AS24" s="612">
        <f t="shared" si="0"/>
        <v>0</v>
      </c>
      <c r="AT24" s="612">
        <f t="shared" si="0"/>
        <v>0</v>
      </c>
      <c r="AU24" s="612">
        <f t="shared" si="21"/>
        <v>0</v>
      </c>
      <c r="AW24" s="614"/>
      <c r="AX24" s="614"/>
      <c r="AY24" s="614"/>
      <c r="AZ24" s="614"/>
      <c r="BA24" s="614"/>
      <c r="BB24" s="614"/>
      <c r="BC24" s="614"/>
    </row>
    <row r="25" spans="1:55" s="265" customFormat="1" ht="23.25" customHeight="1">
      <c r="A25" s="610">
        <v>10</v>
      </c>
      <c r="B25" s="169" t="s">
        <v>665</v>
      </c>
      <c r="C25" s="611">
        <f>+'Asset Classification'!C25</f>
        <v>576917739</v>
      </c>
      <c r="D25" s="612">
        <f>+'Asset Classification'!D25</f>
        <v>145454138</v>
      </c>
      <c r="E25" s="617">
        <f>+'Asset Classification'!E25</f>
        <v>311898412</v>
      </c>
      <c r="F25" s="618">
        <f>+'Asset Classification'!F25</f>
        <v>46069707</v>
      </c>
      <c r="G25" s="617">
        <f>+'Asset Classification'!G25</f>
        <v>0</v>
      </c>
      <c r="H25" s="612">
        <f t="shared" si="1"/>
        <v>3118984.12</v>
      </c>
      <c r="I25" s="612">
        <f t="shared" si="2"/>
        <v>-3118984.12</v>
      </c>
      <c r="J25" s="617">
        <f>+'Asset Classification'!I25</f>
        <v>231496725</v>
      </c>
      <c r="K25" s="618">
        <f>+'Asset Classification'!J25</f>
        <v>98548583</v>
      </c>
      <c r="L25" s="617">
        <f>+'Asset Classification'!K25</f>
        <v>3314543</v>
      </c>
      <c r="M25" s="612">
        <f t="shared" si="3"/>
        <v>23149672.5</v>
      </c>
      <c r="N25" s="612">
        <f t="shared" si="4"/>
        <v>-19835129.5</v>
      </c>
      <c r="O25" s="618">
        <f>+'Asset Classification'!L25</f>
        <v>374416</v>
      </c>
      <c r="P25" s="612">
        <f t="shared" si="5"/>
        <v>9854858.3000000007</v>
      </c>
      <c r="Q25" s="612">
        <f t="shared" si="6"/>
        <v>-9480442.3000000007</v>
      </c>
      <c r="R25" s="617">
        <f>+'Asset Classification'!M25</f>
        <v>1464435</v>
      </c>
      <c r="S25" s="618">
        <f>+'Asset Classification'!N25</f>
        <v>0</v>
      </c>
      <c r="T25" s="617">
        <f>+'Asset Classification'!O25</f>
        <v>31536</v>
      </c>
      <c r="U25" s="612">
        <f t="shared" si="7"/>
        <v>366108.75</v>
      </c>
      <c r="V25" s="612">
        <f t="shared" si="8"/>
        <v>-334572.75</v>
      </c>
      <c r="W25" s="618">
        <f>+'Asset Classification'!P25</f>
        <v>0</v>
      </c>
      <c r="X25" s="612">
        <f t="shared" si="9"/>
        <v>0</v>
      </c>
      <c r="Y25" s="612">
        <f t="shared" si="10"/>
        <v>0</v>
      </c>
      <c r="Z25" s="617">
        <f>+'Asset Classification'!Q25</f>
        <v>8769316</v>
      </c>
      <c r="AA25" s="618">
        <f>+'Asset Classification'!R25</f>
        <v>0</v>
      </c>
      <c r="AB25" s="617">
        <f>+'Asset Classification'!S25</f>
        <v>33046</v>
      </c>
      <c r="AC25" s="612">
        <f t="shared" si="11"/>
        <v>4384658</v>
      </c>
      <c r="AD25" s="612">
        <f t="shared" si="12"/>
        <v>-4351612</v>
      </c>
      <c r="AE25" s="618">
        <f>+'Asset Classification'!T25</f>
        <v>0</v>
      </c>
      <c r="AF25" s="612">
        <f t="shared" si="13"/>
        <v>0</v>
      </c>
      <c r="AG25" s="612">
        <f t="shared" si="14"/>
        <v>0</v>
      </c>
      <c r="AH25" s="617">
        <f>+'Asset Classification'!U25</f>
        <v>23288851</v>
      </c>
      <c r="AI25" s="618">
        <f>+'Asset Classification'!V25</f>
        <v>835848</v>
      </c>
      <c r="AJ25" s="617">
        <f>+'Asset Classification'!W25</f>
        <v>5001915</v>
      </c>
      <c r="AK25" s="612">
        <f t="shared" si="15"/>
        <v>23288851</v>
      </c>
      <c r="AL25" s="612">
        <f t="shared" si="16"/>
        <v>-18286936</v>
      </c>
      <c r="AM25" s="618">
        <f>+'Asset Classification'!X25</f>
        <v>0</v>
      </c>
      <c r="AN25" s="612">
        <f t="shared" si="17"/>
        <v>835848</v>
      </c>
      <c r="AO25" s="612">
        <f t="shared" si="18"/>
        <v>-835848</v>
      </c>
      <c r="AP25" s="599">
        <f t="shared" si="19"/>
        <v>8381040</v>
      </c>
      <c r="AQ25" s="599">
        <f t="shared" si="19"/>
        <v>51189290.25</v>
      </c>
      <c r="AR25" s="599">
        <f t="shared" si="20"/>
        <v>-42808250.25</v>
      </c>
      <c r="AS25" s="612">
        <f t="shared" si="0"/>
        <v>374416</v>
      </c>
      <c r="AT25" s="612">
        <f t="shared" si="0"/>
        <v>10690706.300000001</v>
      </c>
      <c r="AU25" s="612">
        <f t="shared" si="21"/>
        <v>-10316290.300000001</v>
      </c>
      <c r="AV25" s="613">
        <f>+'Aging Analysis'!C18</f>
        <v>576917739</v>
      </c>
      <c r="AW25" s="614"/>
      <c r="AX25" s="614"/>
      <c r="AY25" s="614"/>
      <c r="AZ25" s="614"/>
      <c r="BA25" s="614"/>
      <c r="BB25" s="614"/>
      <c r="BC25" s="614"/>
    </row>
    <row r="26" spans="1:55" s="265" customFormat="1" ht="14.25" customHeight="1">
      <c r="A26" s="610"/>
      <c r="B26" s="615" t="s">
        <v>660</v>
      </c>
      <c r="C26" s="611">
        <f>+'Asset Classification'!C26</f>
        <v>0</v>
      </c>
      <c r="D26" s="612">
        <f>+'Asset Classification'!D26</f>
        <v>0</v>
      </c>
      <c r="E26" s="617">
        <f>+'Asset Classification'!E26</f>
        <v>0</v>
      </c>
      <c r="F26" s="618">
        <f>+'Asset Classification'!F26</f>
        <v>0</v>
      </c>
      <c r="G26" s="617">
        <f>+'Asset Classification'!G26</f>
        <v>0</v>
      </c>
      <c r="H26" s="612">
        <f t="shared" si="1"/>
        <v>0</v>
      </c>
      <c r="I26" s="612">
        <f t="shared" si="2"/>
        <v>0</v>
      </c>
      <c r="J26" s="617">
        <f>+'Asset Classification'!I26</f>
        <v>0</v>
      </c>
      <c r="K26" s="618">
        <f>+'Asset Classification'!J26</f>
        <v>0</v>
      </c>
      <c r="L26" s="617">
        <f>+'Asset Classification'!K26</f>
        <v>0</v>
      </c>
      <c r="M26" s="612">
        <f t="shared" si="3"/>
        <v>0</v>
      </c>
      <c r="N26" s="612">
        <f t="shared" si="4"/>
        <v>0</v>
      </c>
      <c r="O26" s="618">
        <f>+'Asset Classification'!L26</f>
        <v>0</v>
      </c>
      <c r="P26" s="612">
        <f t="shared" si="5"/>
        <v>0</v>
      </c>
      <c r="Q26" s="612">
        <f t="shared" si="6"/>
        <v>0</v>
      </c>
      <c r="R26" s="617">
        <f>+'Asset Classification'!M26</f>
        <v>0</v>
      </c>
      <c r="S26" s="618">
        <f>+'Asset Classification'!N26</f>
        <v>0</v>
      </c>
      <c r="T26" s="617">
        <f>+'Asset Classification'!O26</f>
        <v>0</v>
      </c>
      <c r="U26" s="612">
        <f t="shared" si="7"/>
        <v>0</v>
      </c>
      <c r="V26" s="612">
        <f t="shared" si="8"/>
        <v>0</v>
      </c>
      <c r="W26" s="618">
        <f>+'Asset Classification'!P26</f>
        <v>0</v>
      </c>
      <c r="X26" s="612">
        <f t="shared" si="9"/>
        <v>0</v>
      </c>
      <c r="Y26" s="612">
        <f t="shared" si="10"/>
        <v>0</v>
      </c>
      <c r="Z26" s="617">
        <f>+'Asset Classification'!Q26</f>
        <v>0</v>
      </c>
      <c r="AA26" s="618">
        <f>+'Asset Classification'!R26</f>
        <v>0</v>
      </c>
      <c r="AB26" s="617">
        <f>+'Asset Classification'!S26</f>
        <v>0</v>
      </c>
      <c r="AC26" s="612">
        <f t="shared" si="11"/>
        <v>0</v>
      </c>
      <c r="AD26" s="612">
        <f t="shared" si="12"/>
        <v>0</v>
      </c>
      <c r="AE26" s="618">
        <f>+'Asset Classification'!T26</f>
        <v>0</v>
      </c>
      <c r="AF26" s="612">
        <f t="shared" si="13"/>
        <v>0</v>
      </c>
      <c r="AG26" s="612">
        <f t="shared" si="14"/>
        <v>0</v>
      </c>
      <c r="AH26" s="617">
        <f>+'Asset Classification'!U26</f>
        <v>0</v>
      </c>
      <c r="AI26" s="618">
        <f>+'Asset Classification'!V26</f>
        <v>0</v>
      </c>
      <c r="AJ26" s="617">
        <f>+'Asset Classification'!W26</f>
        <v>0</v>
      </c>
      <c r="AK26" s="612">
        <f t="shared" si="15"/>
        <v>0</v>
      </c>
      <c r="AL26" s="612">
        <f t="shared" si="16"/>
        <v>0</v>
      </c>
      <c r="AM26" s="618">
        <f>+'Asset Classification'!X26</f>
        <v>0</v>
      </c>
      <c r="AN26" s="612">
        <f t="shared" si="17"/>
        <v>0</v>
      </c>
      <c r="AO26" s="612">
        <f t="shared" si="18"/>
        <v>0</v>
      </c>
      <c r="AP26" s="599">
        <f t="shared" si="19"/>
        <v>0</v>
      </c>
      <c r="AQ26" s="599">
        <f t="shared" si="19"/>
        <v>0</v>
      </c>
      <c r="AR26" s="599">
        <f t="shared" si="20"/>
        <v>0</v>
      </c>
      <c r="AS26" s="612">
        <f t="shared" si="0"/>
        <v>0</v>
      </c>
      <c r="AT26" s="612">
        <f t="shared" si="0"/>
        <v>0</v>
      </c>
      <c r="AU26" s="612">
        <f t="shared" si="21"/>
        <v>0</v>
      </c>
      <c r="AW26" s="614"/>
      <c r="AX26" s="614"/>
      <c r="AY26" s="614"/>
      <c r="AZ26" s="614"/>
      <c r="BA26" s="614"/>
      <c r="BB26" s="614"/>
      <c r="BC26" s="614"/>
    </row>
    <row r="27" spans="1:55" s="265" customFormat="1" ht="23.25" customHeight="1">
      <c r="A27" s="610">
        <v>11</v>
      </c>
      <c r="B27" s="169" t="s">
        <v>666</v>
      </c>
      <c r="C27" s="611">
        <f>+'Asset Classification'!C27</f>
        <v>0</v>
      </c>
      <c r="D27" s="612">
        <f>+'Asset Classification'!D27</f>
        <v>0</v>
      </c>
      <c r="E27" s="617">
        <f>+'Asset Classification'!E27</f>
        <v>0</v>
      </c>
      <c r="F27" s="618">
        <f>+'Asset Classification'!F27</f>
        <v>0</v>
      </c>
      <c r="G27" s="617">
        <f>+'Asset Classification'!G27</f>
        <v>0</v>
      </c>
      <c r="H27" s="612">
        <f t="shared" si="1"/>
        <v>0</v>
      </c>
      <c r="I27" s="612">
        <f t="shared" si="2"/>
        <v>0</v>
      </c>
      <c r="J27" s="617">
        <f>+'Asset Classification'!I27</f>
        <v>0</v>
      </c>
      <c r="K27" s="618">
        <f>+'Asset Classification'!J27</f>
        <v>0</v>
      </c>
      <c r="L27" s="617">
        <f>+'Asset Classification'!K27</f>
        <v>0</v>
      </c>
      <c r="M27" s="612">
        <f t="shared" si="3"/>
        <v>0</v>
      </c>
      <c r="N27" s="612">
        <f t="shared" si="4"/>
        <v>0</v>
      </c>
      <c r="O27" s="618">
        <f>+'Asset Classification'!L27</f>
        <v>0</v>
      </c>
      <c r="P27" s="612">
        <f t="shared" si="5"/>
        <v>0</v>
      </c>
      <c r="Q27" s="612">
        <f t="shared" si="6"/>
        <v>0</v>
      </c>
      <c r="R27" s="617">
        <f>+'Asset Classification'!M27</f>
        <v>0</v>
      </c>
      <c r="S27" s="618">
        <f>+'Asset Classification'!N27</f>
        <v>0</v>
      </c>
      <c r="T27" s="617">
        <f>+'Asset Classification'!O27</f>
        <v>0</v>
      </c>
      <c r="U27" s="612">
        <f t="shared" si="7"/>
        <v>0</v>
      </c>
      <c r="V27" s="612">
        <f t="shared" si="8"/>
        <v>0</v>
      </c>
      <c r="W27" s="618">
        <f>+'Asset Classification'!P27</f>
        <v>0</v>
      </c>
      <c r="X27" s="612">
        <f t="shared" si="9"/>
        <v>0</v>
      </c>
      <c r="Y27" s="612">
        <f t="shared" si="10"/>
        <v>0</v>
      </c>
      <c r="Z27" s="617">
        <f>+'Asset Classification'!Q27</f>
        <v>0</v>
      </c>
      <c r="AA27" s="618">
        <f>+'Asset Classification'!R27</f>
        <v>0</v>
      </c>
      <c r="AB27" s="617">
        <f>+'Asset Classification'!S27</f>
        <v>0</v>
      </c>
      <c r="AC27" s="612">
        <f t="shared" si="11"/>
        <v>0</v>
      </c>
      <c r="AD27" s="612">
        <f t="shared" si="12"/>
        <v>0</v>
      </c>
      <c r="AE27" s="618">
        <f>+'Asset Classification'!T27</f>
        <v>0</v>
      </c>
      <c r="AF27" s="612">
        <f t="shared" si="13"/>
        <v>0</v>
      </c>
      <c r="AG27" s="612">
        <f t="shared" si="14"/>
        <v>0</v>
      </c>
      <c r="AH27" s="617">
        <f>+'Asset Classification'!U27</f>
        <v>0</v>
      </c>
      <c r="AI27" s="618">
        <f>+'Asset Classification'!V27</f>
        <v>0</v>
      </c>
      <c r="AJ27" s="617">
        <f>+'Asset Classification'!W27</f>
        <v>0</v>
      </c>
      <c r="AK27" s="612">
        <f t="shared" si="15"/>
        <v>0</v>
      </c>
      <c r="AL27" s="612">
        <f t="shared" si="16"/>
        <v>0</v>
      </c>
      <c r="AM27" s="618">
        <f>+'Asset Classification'!X27</f>
        <v>0</v>
      </c>
      <c r="AN27" s="612">
        <f t="shared" si="17"/>
        <v>0</v>
      </c>
      <c r="AO27" s="612">
        <f t="shared" si="18"/>
        <v>0</v>
      </c>
      <c r="AP27" s="599">
        <f t="shared" si="19"/>
        <v>0</v>
      </c>
      <c r="AQ27" s="599">
        <f t="shared" si="19"/>
        <v>0</v>
      </c>
      <c r="AR27" s="599">
        <f t="shared" si="20"/>
        <v>0</v>
      </c>
      <c r="AS27" s="612">
        <f t="shared" si="0"/>
        <v>0</v>
      </c>
      <c r="AT27" s="612">
        <f t="shared" si="0"/>
        <v>0</v>
      </c>
      <c r="AU27" s="612">
        <f t="shared" si="21"/>
        <v>0</v>
      </c>
      <c r="AV27" s="613">
        <f>+'Aging Analysis'!C19</f>
        <v>0</v>
      </c>
      <c r="AW27" s="614"/>
      <c r="AX27" s="614"/>
      <c r="AY27" s="614"/>
      <c r="AZ27" s="614"/>
      <c r="BA27" s="614"/>
      <c r="BB27" s="614"/>
      <c r="BC27" s="614"/>
    </row>
    <row r="28" spans="1:55" s="265" customFormat="1" ht="14.25" customHeight="1">
      <c r="A28" s="610"/>
      <c r="B28" s="615" t="s">
        <v>660</v>
      </c>
      <c r="C28" s="611">
        <f>+'Asset Classification'!C28</f>
        <v>0</v>
      </c>
      <c r="D28" s="612">
        <f>+'Asset Classification'!D28</f>
        <v>0</v>
      </c>
      <c r="E28" s="617">
        <f>+'Asset Classification'!E28</f>
        <v>0</v>
      </c>
      <c r="F28" s="618">
        <f>+'Asset Classification'!F28</f>
        <v>0</v>
      </c>
      <c r="G28" s="617">
        <f>+'Asset Classification'!G28</f>
        <v>0</v>
      </c>
      <c r="H28" s="612">
        <f t="shared" si="1"/>
        <v>0</v>
      </c>
      <c r="I28" s="612">
        <f t="shared" si="2"/>
        <v>0</v>
      </c>
      <c r="J28" s="617">
        <f>+'Asset Classification'!I28</f>
        <v>0</v>
      </c>
      <c r="K28" s="618">
        <f>+'Asset Classification'!J28</f>
        <v>0</v>
      </c>
      <c r="L28" s="617">
        <f>+'Asset Classification'!K28</f>
        <v>0</v>
      </c>
      <c r="M28" s="612">
        <f t="shared" si="3"/>
        <v>0</v>
      </c>
      <c r="N28" s="612">
        <f t="shared" si="4"/>
        <v>0</v>
      </c>
      <c r="O28" s="618">
        <f>+'Asset Classification'!L28</f>
        <v>0</v>
      </c>
      <c r="P28" s="612">
        <f t="shared" si="5"/>
        <v>0</v>
      </c>
      <c r="Q28" s="612">
        <f t="shared" si="6"/>
        <v>0</v>
      </c>
      <c r="R28" s="617">
        <f>+'Asset Classification'!M28</f>
        <v>0</v>
      </c>
      <c r="S28" s="618">
        <f>+'Asset Classification'!N28</f>
        <v>0</v>
      </c>
      <c r="T28" s="617">
        <f>+'Asset Classification'!O28</f>
        <v>0</v>
      </c>
      <c r="U28" s="612">
        <f t="shared" si="7"/>
        <v>0</v>
      </c>
      <c r="V28" s="612">
        <f t="shared" si="8"/>
        <v>0</v>
      </c>
      <c r="W28" s="618">
        <f>+'Asset Classification'!P28</f>
        <v>0</v>
      </c>
      <c r="X28" s="612">
        <f t="shared" si="9"/>
        <v>0</v>
      </c>
      <c r="Y28" s="612">
        <f t="shared" si="10"/>
        <v>0</v>
      </c>
      <c r="Z28" s="617">
        <f>+'Asset Classification'!Q28</f>
        <v>0</v>
      </c>
      <c r="AA28" s="618">
        <f>+'Asset Classification'!R28</f>
        <v>0</v>
      </c>
      <c r="AB28" s="617">
        <f>+'Asset Classification'!S28</f>
        <v>0</v>
      </c>
      <c r="AC28" s="612">
        <f t="shared" si="11"/>
        <v>0</v>
      </c>
      <c r="AD28" s="612">
        <f t="shared" si="12"/>
        <v>0</v>
      </c>
      <c r="AE28" s="618">
        <f>+'Asset Classification'!T28</f>
        <v>0</v>
      </c>
      <c r="AF28" s="612">
        <f t="shared" si="13"/>
        <v>0</v>
      </c>
      <c r="AG28" s="612">
        <f t="shared" si="14"/>
        <v>0</v>
      </c>
      <c r="AH28" s="617">
        <f>+'Asset Classification'!U28</f>
        <v>0</v>
      </c>
      <c r="AI28" s="618">
        <f>+'Asset Classification'!V28</f>
        <v>0</v>
      </c>
      <c r="AJ28" s="617">
        <f>+'Asset Classification'!W28</f>
        <v>0</v>
      </c>
      <c r="AK28" s="612">
        <f t="shared" si="15"/>
        <v>0</v>
      </c>
      <c r="AL28" s="612">
        <f t="shared" si="16"/>
        <v>0</v>
      </c>
      <c r="AM28" s="618">
        <f>+'Asset Classification'!X28</f>
        <v>0</v>
      </c>
      <c r="AN28" s="612">
        <f t="shared" si="17"/>
        <v>0</v>
      </c>
      <c r="AO28" s="612">
        <f t="shared" si="18"/>
        <v>0</v>
      </c>
      <c r="AP28" s="599">
        <f t="shared" si="19"/>
        <v>0</v>
      </c>
      <c r="AQ28" s="599">
        <f t="shared" si="19"/>
        <v>0</v>
      </c>
      <c r="AR28" s="599">
        <f t="shared" si="20"/>
        <v>0</v>
      </c>
      <c r="AS28" s="612">
        <f t="shared" si="0"/>
        <v>0</v>
      </c>
      <c r="AT28" s="612">
        <f t="shared" si="0"/>
        <v>0</v>
      </c>
      <c r="AU28" s="612">
        <f t="shared" si="21"/>
        <v>0</v>
      </c>
      <c r="AW28" s="614"/>
      <c r="AX28" s="614"/>
      <c r="AY28" s="614"/>
      <c r="AZ28" s="614"/>
      <c r="BA28" s="614"/>
      <c r="BB28" s="614"/>
      <c r="BC28" s="614"/>
    </row>
    <row r="29" spans="1:55" s="265" customFormat="1" ht="23.25" customHeight="1">
      <c r="A29" s="610">
        <v>12</v>
      </c>
      <c r="B29" s="169" t="s">
        <v>667</v>
      </c>
      <c r="C29" s="611">
        <f>+'Asset Classification'!C29</f>
        <v>0</v>
      </c>
      <c r="D29" s="612">
        <f>+'Asset Classification'!D29</f>
        <v>0</v>
      </c>
      <c r="E29" s="617">
        <f>+'Asset Classification'!E29</f>
        <v>0</v>
      </c>
      <c r="F29" s="618">
        <f>+'Asset Classification'!F29</f>
        <v>0</v>
      </c>
      <c r="G29" s="617">
        <f>+'Asset Classification'!G29</f>
        <v>0</v>
      </c>
      <c r="H29" s="612">
        <f t="shared" si="1"/>
        <v>0</v>
      </c>
      <c r="I29" s="612">
        <f t="shared" si="2"/>
        <v>0</v>
      </c>
      <c r="J29" s="617">
        <f>+'Asset Classification'!I29</f>
        <v>0</v>
      </c>
      <c r="K29" s="618">
        <f>+'Asset Classification'!J29</f>
        <v>0</v>
      </c>
      <c r="L29" s="617">
        <f>+'Asset Classification'!K29</f>
        <v>0</v>
      </c>
      <c r="M29" s="612">
        <f t="shared" si="3"/>
        <v>0</v>
      </c>
      <c r="N29" s="612">
        <f t="shared" si="4"/>
        <v>0</v>
      </c>
      <c r="O29" s="618">
        <f>+'Asset Classification'!L29</f>
        <v>0</v>
      </c>
      <c r="P29" s="612">
        <f t="shared" si="5"/>
        <v>0</v>
      </c>
      <c r="Q29" s="612">
        <f t="shared" si="6"/>
        <v>0</v>
      </c>
      <c r="R29" s="617">
        <f>+'Asset Classification'!M29</f>
        <v>0</v>
      </c>
      <c r="S29" s="618">
        <f>+'Asset Classification'!N29</f>
        <v>0</v>
      </c>
      <c r="T29" s="617">
        <f>+'Asset Classification'!O29</f>
        <v>0</v>
      </c>
      <c r="U29" s="612">
        <f t="shared" si="7"/>
        <v>0</v>
      </c>
      <c r="V29" s="612">
        <f t="shared" si="8"/>
        <v>0</v>
      </c>
      <c r="W29" s="618">
        <f>+'Asset Classification'!P29</f>
        <v>0</v>
      </c>
      <c r="X29" s="612">
        <f t="shared" si="9"/>
        <v>0</v>
      </c>
      <c r="Y29" s="612">
        <f t="shared" si="10"/>
        <v>0</v>
      </c>
      <c r="Z29" s="617">
        <f>+'Asset Classification'!Q29</f>
        <v>0</v>
      </c>
      <c r="AA29" s="618">
        <f>+'Asset Classification'!R29</f>
        <v>0</v>
      </c>
      <c r="AB29" s="617">
        <f>+'Asset Classification'!S29</f>
        <v>0</v>
      </c>
      <c r="AC29" s="612">
        <f t="shared" si="11"/>
        <v>0</v>
      </c>
      <c r="AD29" s="612">
        <f t="shared" si="12"/>
        <v>0</v>
      </c>
      <c r="AE29" s="618">
        <f>+'Asset Classification'!T29</f>
        <v>0</v>
      </c>
      <c r="AF29" s="612">
        <f t="shared" si="13"/>
        <v>0</v>
      </c>
      <c r="AG29" s="612">
        <f t="shared" si="14"/>
        <v>0</v>
      </c>
      <c r="AH29" s="617">
        <f>+'Asset Classification'!U29</f>
        <v>0</v>
      </c>
      <c r="AI29" s="618">
        <f>+'Asset Classification'!V29</f>
        <v>0</v>
      </c>
      <c r="AJ29" s="617">
        <f>+'Asset Classification'!W29</f>
        <v>0</v>
      </c>
      <c r="AK29" s="612">
        <f t="shared" si="15"/>
        <v>0</v>
      </c>
      <c r="AL29" s="612">
        <f t="shared" si="16"/>
        <v>0</v>
      </c>
      <c r="AM29" s="618">
        <f>+'Asset Classification'!X29</f>
        <v>0</v>
      </c>
      <c r="AN29" s="612">
        <f t="shared" si="17"/>
        <v>0</v>
      </c>
      <c r="AO29" s="612">
        <f t="shared" si="18"/>
        <v>0</v>
      </c>
      <c r="AP29" s="599">
        <f t="shared" si="19"/>
        <v>0</v>
      </c>
      <c r="AQ29" s="599">
        <f t="shared" si="19"/>
        <v>0</v>
      </c>
      <c r="AR29" s="599">
        <f t="shared" si="20"/>
        <v>0</v>
      </c>
      <c r="AS29" s="612">
        <f t="shared" si="0"/>
        <v>0</v>
      </c>
      <c r="AT29" s="612">
        <f t="shared" si="0"/>
        <v>0</v>
      </c>
      <c r="AU29" s="612">
        <f t="shared" si="21"/>
        <v>0</v>
      </c>
      <c r="AV29" s="613">
        <f>+'Aging Analysis'!C20</f>
        <v>0</v>
      </c>
      <c r="AW29" s="614"/>
      <c r="AX29" s="614"/>
      <c r="AY29" s="614"/>
      <c r="AZ29" s="614"/>
      <c r="BA29" s="614"/>
      <c r="BB29" s="614"/>
      <c r="BC29" s="614"/>
    </row>
    <row r="30" spans="1:55" s="265" customFormat="1" ht="14.25" customHeight="1">
      <c r="A30" s="610"/>
      <c r="B30" s="615" t="s">
        <v>660</v>
      </c>
      <c r="C30" s="611">
        <f>+'Asset Classification'!C30</f>
        <v>0</v>
      </c>
      <c r="D30" s="612">
        <f>+'Asset Classification'!D30</f>
        <v>0</v>
      </c>
      <c r="E30" s="616">
        <f>+'Asset Classification'!E30</f>
        <v>0</v>
      </c>
      <c r="F30" s="612">
        <f>+'Asset Classification'!F30</f>
        <v>0</v>
      </c>
      <c r="G30" s="616">
        <f>+'Asset Classification'!G30</f>
        <v>0</v>
      </c>
      <c r="H30" s="612">
        <f t="shared" si="1"/>
        <v>0</v>
      </c>
      <c r="I30" s="612">
        <f t="shared" si="2"/>
        <v>0</v>
      </c>
      <c r="J30" s="616">
        <f>+'Asset Classification'!I30</f>
        <v>0</v>
      </c>
      <c r="K30" s="612">
        <f>+'Asset Classification'!J30</f>
        <v>0</v>
      </c>
      <c r="L30" s="616">
        <f>+'Asset Classification'!K30</f>
        <v>0</v>
      </c>
      <c r="M30" s="612">
        <f t="shared" si="3"/>
        <v>0</v>
      </c>
      <c r="N30" s="612">
        <f t="shared" si="4"/>
        <v>0</v>
      </c>
      <c r="O30" s="612">
        <f>+'Asset Classification'!L30</f>
        <v>0</v>
      </c>
      <c r="P30" s="612">
        <f t="shared" si="5"/>
        <v>0</v>
      </c>
      <c r="Q30" s="612">
        <f t="shared" si="6"/>
        <v>0</v>
      </c>
      <c r="R30" s="616">
        <f>+'Asset Classification'!M30</f>
        <v>0</v>
      </c>
      <c r="S30" s="612">
        <f>+'Asset Classification'!N30</f>
        <v>0</v>
      </c>
      <c r="T30" s="616">
        <f>+'Asset Classification'!O30</f>
        <v>0</v>
      </c>
      <c r="U30" s="612">
        <f t="shared" si="7"/>
        <v>0</v>
      </c>
      <c r="V30" s="612">
        <f t="shared" si="8"/>
        <v>0</v>
      </c>
      <c r="W30" s="612">
        <f>+'Asset Classification'!P30</f>
        <v>0</v>
      </c>
      <c r="X30" s="612">
        <f t="shared" si="9"/>
        <v>0</v>
      </c>
      <c r="Y30" s="612">
        <f t="shared" si="10"/>
        <v>0</v>
      </c>
      <c r="Z30" s="616">
        <f>+'Asset Classification'!Q30</f>
        <v>0</v>
      </c>
      <c r="AA30" s="612">
        <f>+'Asset Classification'!R30</f>
        <v>0</v>
      </c>
      <c r="AB30" s="616">
        <f>+'Asset Classification'!S30</f>
        <v>0</v>
      </c>
      <c r="AC30" s="612">
        <f t="shared" si="11"/>
        <v>0</v>
      </c>
      <c r="AD30" s="612">
        <f t="shared" si="12"/>
        <v>0</v>
      </c>
      <c r="AE30" s="612">
        <f>+'Asset Classification'!T30</f>
        <v>0</v>
      </c>
      <c r="AF30" s="612">
        <f t="shared" si="13"/>
        <v>0</v>
      </c>
      <c r="AG30" s="612">
        <f t="shared" si="14"/>
        <v>0</v>
      </c>
      <c r="AH30" s="616">
        <f>+'Asset Classification'!U30</f>
        <v>0</v>
      </c>
      <c r="AI30" s="612">
        <f>+'Asset Classification'!V30</f>
        <v>0</v>
      </c>
      <c r="AJ30" s="616">
        <f>+'Asset Classification'!W30</f>
        <v>0</v>
      </c>
      <c r="AK30" s="612">
        <f t="shared" si="15"/>
        <v>0</v>
      </c>
      <c r="AL30" s="612">
        <f t="shared" si="16"/>
        <v>0</v>
      </c>
      <c r="AM30" s="612">
        <f>+'Asset Classification'!X30</f>
        <v>0</v>
      </c>
      <c r="AN30" s="612">
        <f t="shared" si="17"/>
        <v>0</v>
      </c>
      <c r="AO30" s="612">
        <f t="shared" si="18"/>
        <v>0</v>
      </c>
      <c r="AP30" s="599">
        <f t="shared" si="19"/>
        <v>0</v>
      </c>
      <c r="AQ30" s="599">
        <f t="shared" si="19"/>
        <v>0</v>
      </c>
      <c r="AR30" s="599">
        <f t="shared" si="20"/>
        <v>0</v>
      </c>
      <c r="AS30" s="612">
        <f t="shared" si="0"/>
        <v>0</v>
      </c>
      <c r="AT30" s="612">
        <f t="shared" si="0"/>
        <v>0</v>
      </c>
      <c r="AU30" s="612">
        <f t="shared" si="21"/>
        <v>0</v>
      </c>
      <c r="AV30" s="614"/>
      <c r="AW30" s="614"/>
      <c r="AX30" s="614"/>
      <c r="AY30" s="614"/>
      <c r="AZ30" s="614"/>
      <c r="BA30" s="614"/>
      <c r="BB30" s="614"/>
      <c r="BC30" s="614"/>
    </row>
    <row r="31" spans="1:55" s="609" customFormat="1" ht="28.5" customHeight="1">
      <c r="A31" s="583">
        <v>13</v>
      </c>
      <c r="B31" s="583" t="s">
        <v>668</v>
      </c>
      <c r="C31" s="600">
        <f>+'Asset Classification'!C31</f>
        <v>14437080535</v>
      </c>
      <c r="D31" s="600">
        <f>+'Asset Classification'!D31</f>
        <v>3690964093</v>
      </c>
      <c r="E31" s="600">
        <f>+'Asset Classification'!E31</f>
        <v>10039054997</v>
      </c>
      <c r="F31" s="600">
        <f>+'Asset Classification'!F31</f>
        <v>2270492466</v>
      </c>
      <c r="G31" s="600">
        <f>+'Asset Classification'!G31</f>
        <v>0</v>
      </c>
      <c r="H31" s="600">
        <f t="shared" ref="H31:I31" si="22">+H7+H9+H11+H13+H15+H17+H19+H21+H23+H25+H27+H29</f>
        <v>100390549.97</v>
      </c>
      <c r="I31" s="600">
        <f t="shared" si="22"/>
        <v>-100390549.97</v>
      </c>
      <c r="J31" s="600">
        <f>+'Asset Classification'!I31</f>
        <v>3532847141</v>
      </c>
      <c r="K31" s="600">
        <f>+'Asset Classification'!J31</f>
        <v>1273747781</v>
      </c>
      <c r="L31" s="600">
        <f>+'Asset Classification'!K31</f>
        <v>108709846</v>
      </c>
      <c r="M31" s="600">
        <f t="shared" ref="M31:N31" si="23">+M7+M9+M11+M13+M15+M17+M19+M21+M23+M25+M27+M29</f>
        <v>353284714.10000002</v>
      </c>
      <c r="N31" s="600">
        <f t="shared" si="23"/>
        <v>-244574868.10000005</v>
      </c>
      <c r="O31" s="600">
        <f>+'Asset Classification'!L31</f>
        <v>24667860</v>
      </c>
      <c r="P31" s="600">
        <f t="shared" ref="P31:Q31" si="24">+P7+P9+P11+P13+P15+P17+P19+P21+P23+P25+P27+P29</f>
        <v>127374778.10000001</v>
      </c>
      <c r="Q31" s="600">
        <f t="shared" si="24"/>
        <v>-102706918.10000001</v>
      </c>
      <c r="R31" s="600">
        <f>+'Asset Classification'!M31</f>
        <v>102373443</v>
      </c>
      <c r="S31" s="600">
        <f>+'Asset Classification'!N31</f>
        <v>829118</v>
      </c>
      <c r="T31" s="600">
        <f>+'Asset Classification'!O31</f>
        <v>1716703</v>
      </c>
      <c r="U31" s="600">
        <f t="shared" ref="U31:V31" si="25">+U7+U9+U11+U13+U15+U17+U19+U21+U23+U25+U27+U29</f>
        <v>25593360.75</v>
      </c>
      <c r="V31" s="600">
        <f t="shared" si="25"/>
        <v>-23876657.75</v>
      </c>
      <c r="W31" s="600">
        <f>+'Asset Classification'!P31</f>
        <v>74120</v>
      </c>
      <c r="X31" s="600">
        <f t="shared" ref="X31:Y31" si="26">+X7+X9+X11+X13+X15+X17+X19+X21+X23+X25+X27+X29</f>
        <v>207279.5</v>
      </c>
      <c r="Y31" s="600">
        <f t="shared" si="26"/>
        <v>-133159.5</v>
      </c>
      <c r="Z31" s="600">
        <f>+'Asset Classification'!Q31</f>
        <v>237587084</v>
      </c>
      <c r="AA31" s="600">
        <f>+'Asset Classification'!R31</f>
        <v>3072659</v>
      </c>
      <c r="AB31" s="600">
        <f>+'Asset Classification'!S31</f>
        <v>12546992</v>
      </c>
      <c r="AC31" s="600">
        <f t="shared" ref="AC31:AD31" si="27">+AC7+AC9+AC11+AC13+AC15+AC17+AC19+AC21+AC23+AC25+AC27+AC29</f>
        <v>118793542</v>
      </c>
      <c r="AD31" s="600">
        <f t="shared" si="27"/>
        <v>-106246550</v>
      </c>
      <c r="AE31" s="600">
        <f>+'Asset Classification'!T31</f>
        <v>0</v>
      </c>
      <c r="AF31" s="600">
        <f t="shared" ref="AF31:AG31" si="28">+AF7+AF9+AF11+AF13+AF15+AF17+AF19+AF21+AF23+AF25+AF27+AF29</f>
        <v>1536329.5</v>
      </c>
      <c r="AG31" s="600">
        <f t="shared" si="28"/>
        <v>-1536329.5</v>
      </c>
      <c r="AH31" s="600">
        <f>+'Asset Classification'!U31</f>
        <v>525217870</v>
      </c>
      <c r="AI31" s="600">
        <f>+'Asset Classification'!V31</f>
        <v>142822069</v>
      </c>
      <c r="AJ31" s="600">
        <f>+'Asset Classification'!W31</f>
        <v>103010246</v>
      </c>
      <c r="AK31" s="600">
        <f t="shared" ref="AK31:AL31" si="29">+AK7+AK9+AK11+AK13+AK15+AK17+AK19+AK21+AK23+AK25+AK27+AK29</f>
        <v>525217870</v>
      </c>
      <c r="AL31" s="600">
        <f t="shared" si="29"/>
        <v>-422207624</v>
      </c>
      <c r="AM31" s="600">
        <f>+'Asset Classification'!X31</f>
        <v>4132442</v>
      </c>
      <c r="AN31" s="600">
        <f t="shared" ref="AN31:AU31" si="30">+AN7+AN9+AN11+AN13+AN15+AN17+AN19+AN21+AN23+AN25+AN27+AN29</f>
        <v>142822069</v>
      </c>
      <c r="AO31" s="600">
        <f t="shared" si="30"/>
        <v>-138689627</v>
      </c>
      <c r="AP31" s="600">
        <f t="shared" si="30"/>
        <v>225983787</v>
      </c>
      <c r="AQ31" s="600">
        <f t="shared" si="30"/>
        <v>1022889486.85</v>
      </c>
      <c r="AR31" s="600">
        <f t="shared" si="30"/>
        <v>-796905699.85000002</v>
      </c>
      <c r="AS31" s="600">
        <f t="shared" si="30"/>
        <v>28874422</v>
      </c>
      <c r="AT31" s="600">
        <f t="shared" si="30"/>
        <v>271940456.10000002</v>
      </c>
      <c r="AU31" s="600">
        <f t="shared" si="30"/>
        <v>-243066034.10000002</v>
      </c>
      <c r="AV31" s="619">
        <f>+'Loans Receivable'!C85</f>
        <v>14437080535</v>
      </c>
    </row>
    <row r="32" spans="1:55" s="265" customFormat="1" ht="13.5" customHeight="1">
      <c r="A32" s="610"/>
      <c r="B32" s="620" t="s">
        <v>660</v>
      </c>
      <c r="C32" s="611">
        <f>+'Asset Classification'!C32</f>
        <v>0</v>
      </c>
      <c r="D32" s="612">
        <f>+'Asset Classification'!D32</f>
        <v>0</v>
      </c>
      <c r="E32" s="616">
        <f>+'Asset Classification'!E32</f>
        <v>0</v>
      </c>
      <c r="F32" s="612">
        <f>+'Asset Classification'!F32</f>
        <v>0</v>
      </c>
      <c r="G32" s="616">
        <f>+'Asset Classification'!G32</f>
        <v>0</v>
      </c>
      <c r="H32" s="612">
        <f t="shared" ref="H32" si="31">+E32*1%</f>
        <v>0</v>
      </c>
      <c r="I32" s="612">
        <f t="shared" ref="I32" si="32">+G32-H32</f>
        <v>0</v>
      </c>
      <c r="J32" s="616">
        <f>+'Asset Classification'!I32</f>
        <v>0</v>
      </c>
      <c r="K32" s="612">
        <f>+'Asset Classification'!J32</f>
        <v>0</v>
      </c>
      <c r="L32" s="616">
        <f>+'Asset Classification'!K32</f>
        <v>0</v>
      </c>
      <c r="M32" s="612">
        <f t="shared" ref="M32" si="33">+J32*10%</f>
        <v>0</v>
      </c>
      <c r="N32" s="612">
        <f t="shared" ref="N32" si="34">+L32-M32</f>
        <v>0</v>
      </c>
      <c r="O32" s="612">
        <f>+'Asset Classification'!L32</f>
        <v>0</v>
      </c>
      <c r="P32" s="612">
        <f t="shared" ref="P32" si="35">+K32*10%</f>
        <v>0</v>
      </c>
      <c r="Q32" s="612">
        <f t="shared" ref="Q32" si="36">+O32-P32</f>
        <v>0</v>
      </c>
      <c r="R32" s="616">
        <f>+'Asset Classification'!M32</f>
        <v>0</v>
      </c>
      <c r="S32" s="612">
        <f>+'Asset Classification'!N32</f>
        <v>0</v>
      </c>
      <c r="T32" s="616">
        <f>+'Asset Classification'!O32</f>
        <v>0</v>
      </c>
      <c r="U32" s="612">
        <f t="shared" ref="U32" si="37">+R32*25%</f>
        <v>0</v>
      </c>
      <c r="V32" s="612">
        <f t="shared" ref="V32" si="38">+T32-U32</f>
        <v>0</v>
      </c>
      <c r="W32" s="612">
        <f>+'Asset Classification'!P32</f>
        <v>0</v>
      </c>
      <c r="X32" s="612">
        <f t="shared" ref="X32" si="39">+S32*25%</f>
        <v>0</v>
      </c>
      <c r="Y32" s="612">
        <f t="shared" ref="Y32" si="40">+W32-X32</f>
        <v>0</v>
      </c>
      <c r="Z32" s="616">
        <f>+'Asset Classification'!Q32</f>
        <v>0</v>
      </c>
      <c r="AA32" s="612">
        <f>+'Asset Classification'!R32</f>
        <v>0</v>
      </c>
      <c r="AB32" s="616">
        <f>+'Asset Classification'!S32</f>
        <v>0</v>
      </c>
      <c r="AC32" s="612">
        <f t="shared" ref="AC32" si="41">+Z32*50%</f>
        <v>0</v>
      </c>
      <c r="AD32" s="612">
        <f t="shared" ref="AD32" si="42">+AB32-AC32</f>
        <v>0</v>
      </c>
      <c r="AE32" s="612">
        <f>+'Asset Classification'!T32</f>
        <v>0</v>
      </c>
      <c r="AF32" s="612">
        <f t="shared" ref="AF32" si="43">+AA32*50%</f>
        <v>0</v>
      </c>
      <c r="AG32" s="612">
        <f t="shared" ref="AG32" si="44">+AE32-AF32</f>
        <v>0</v>
      </c>
      <c r="AH32" s="616">
        <f>+'Asset Classification'!U32</f>
        <v>0</v>
      </c>
      <c r="AI32" s="612">
        <f>+'Asset Classification'!V32</f>
        <v>0</v>
      </c>
      <c r="AJ32" s="616">
        <f>+'Asset Classification'!W32</f>
        <v>0</v>
      </c>
      <c r="AK32" s="612">
        <f t="shared" ref="AK32" si="45">+AH32*100%</f>
        <v>0</v>
      </c>
      <c r="AL32" s="612">
        <f t="shared" ref="AL32" si="46">+AJ32-AK32</f>
        <v>0</v>
      </c>
      <c r="AM32" s="612">
        <f>+'Asset Classification'!X32</f>
        <v>0</v>
      </c>
      <c r="AN32" s="612">
        <f t="shared" ref="AN32" si="47">+AI32*100%</f>
        <v>0</v>
      </c>
      <c r="AO32" s="612">
        <f t="shared" ref="AO32" si="48">+AM32-AN32</f>
        <v>0</v>
      </c>
      <c r="AP32" s="599">
        <f t="shared" ref="AP32" si="49">+L32+T32+AB32+AJ32</f>
        <v>0</v>
      </c>
      <c r="AQ32" s="599">
        <f t="shared" ref="AQ32" si="50">+M32+U32+AC32+AK32</f>
        <v>0</v>
      </c>
      <c r="AR32" s="599">
        <f t="shared" ref="AR32" si="51">+AP32-AQ32</f>
        <v>0</v>
      </c>
      <c r="AS32" s="612">
        <f t="shared" ref="AS32" si="52">+O32+W32+AE32+AM32</f>
        <v>0</v>
      </c>
      <c r="AT32" s="612">
        <f t="shared" ref="AT32" si="53">+P32+X32+AF32+AN32</f>
        <v>0</v>
      </c>
      <c r="AU32" s="612">
        <f t="shared" ref="AU32" si="54">+AS32-AT32</f>
        <v>0</v>
      </c>
      <c r="AV32" s="614"/>
      <c r="AW32" s="614"/>
      <c r="AX32" s="614"/>
      <c r="AY32" s="614"/>
      <c r="AZ32" s="614"/>
      <c r="BA32" s="614"/>
      <c r="BB32" s="614"/>
      <c r="BC32" s="614"/>
    </row>
    <row r="33" spans="1:55" s="609" customFormat="1" ht="27.75" customHeight="1">
      <c r="A33" s="583"/>
      <c r="B33" s="583" t="s">
        <v>669</v>
      </c>
      <c r="C33" s="600"/>
      <c r="D33" s="600"/>
      <c r="E33" s="600"/>
      <c r="F33" s="600"/>
      <c r="G33" s="600"/>
      <c r="H33" s="600"/>
      <c r="I33" s="600"/>
      <c r="J33" s="600"/>
      <c r="K33" s="600"/>
      <c r="L33" s="600"/>
      <c r="M33" s="600"/>
      <c r="N33" s="600"/>
      <c r="O33" s="600"/>
      <c r="P33" s="600"/>
      <c r="Q33" s="600"/>
      <c r="R33" s="600"/>
      <c r="S33" s="600"/>
      <c r="T33" s="600"/>
      <c r="U33" s="600"/>
      <c r="V33" s="600"/>
      <c r="W33" s="600"/>
      <c r="X33" s="600"/>
      <c r="Y33" s="600"/>
      <c r="Z33" s="600"/>
      <c r="AA33" s="600"/>
      <c r="AB33" s="600"/>
      <c r="AC33" s="600"/>
      <c r="AD33" s="600"/>
      <c r="AE33" s="600"/>
      <c r="AF33" s="600"/>
      <c r="AG33" s="600"/>
      <c r="AH33" s="600"/>
      <c r="AI33" s="600"/>
      <c r="AJ33" s="600"/>
      <c r="AK33" s="600"/>
      <c r="AL33" s="600"/>
      <c r="AM33" s="600"/>
      <c r="AN33" s="600"/>
      <c r="AO33" s="600"/>
      <c r="AP33" s="600"/>
      <c r="AQ33" s="600"/>
      <c r="AR33" s="600"/>
      <c r="AS33" s="600"/>
      <c r="AT33" s="600"/>
      <c r="AU33" s="600"/>
    </row>
    <row r="34" spans="1:55" s="265" customFormat="1" ht="7.5" customHeight="1">
      <c r="A34" s="294"/>
      <c r="B34" s="294"/>
      <c r="C34" s="622"/>
      <c r="D34" s="623"/>
      <c r="E34" s="622"/>
      <c r="F34" s="622"/>
      <c r="G34" s="622"/>
      <c r="H34" s="622"/>
      <c r="I34" s="622"/>
      <c r="J34" s="622"/>
      <c r="K34" s="622"/>
      <c r="L34" s="622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22"/>
      <c r="AB34" s="622"/>
      <c r="AC34" s="622"/>
      <c r="AD34" s="622"/>
      <c r="AE34" s="622"/>
      <c r="AF34" s="622"/>
      <c r="AG34" s="622"/>
      <c r="AH34" s="622"/>
      <c r="AI34" s="622"/>
      <c r="AJ34" s="622"/>
      <c r="AK34" s="622"/>
      <c r="AL34" s="622"/>
      <c r="AM34" s="622"/>
      <c r="AN34" s="622"/>
      <c r="AO34" s="622"/>
      <c r="AP34" s="622"/>
      <c r="AQ34" s="622"/>
      <c r="AR34" s="622"/>
      <c r="AS34" s="622"/>
      <c r="AT34" s="622"/>
      <c r="AU34" s="622"/>
      <c r="AV34" s="614"/>
      <c r="AW34" s="614"/>
      <c r="AX34" s="614"/>
      <c r="AY34" s="614"/>
      <c r="AZ34" s="614"/>
      <c r="BA34" s="614"/>
      <c r="BB34" s="614"/>
      <c r="BC34" s="614"/>
    </row>
    <row r="35" spans="1:55" s="265" customFormat="1" ht="23.25" customHeight="1">
      <c r="A35" s="610">
        <v>14</v>
      </c>
      <c r="B35" s="398" t="s">
        <v>468</v>
      </c>
      <c r="C35" s="611">
        <f>+'Asset Classification'!C35</f>
        <v>3795740987</v>
      </c>
      <c r="D35" s="624">
        <f>+'Asset Classification'!D35</f>
        <v>2219067047</v>
      </c>
      <c r="E35" s="622">
        <f>+'Asset Classification'!E35</f>
        <v>2482256422</v>
      </c>
      <c r="F35" s="625">
        <f>+'Asset Classification'!F35</f>
        <v>1354737090</v>
      </c>
      <c r="G35" s="622">
        <f>+'Asset Classification'!G35</f>
        <v>0</v>
      </c>
      <c r="H35" s="612">
        <f t="shared" ref="H35:H52" si="55">+E35*1%</f>
        <v>24822564.219999999</v>
      </c>
      <c r="I35" s="612">
        <f t="shared" ref="I35:I52" si="56">+G35-H35</f>
        <v>-24822564.219999999</v>
      </c>
      <c r="J35" s="622">
        <f>+'Asset Classification'!I35</f>
        <v>1146719349</v>
      </c>
      <c r="K35" s="625">
        <f>+'Asset Classification'!J35</f>
        <v>785678275</v>
      </c>
      <c r="L35" s="622">
        <f>+'Asset Classification'!K35</f>
        <v>26683979</v>
      </c>
      <c r="M35" s="612">
        <f t="shared" ref="M35:M52" si="57">+J35*10%</f>
        <v>114671934.90000001</v>
      </c>
      <c r="N35" s="612">
        <f t="shared" ref="N35:N52" si="58">+L35-M35</f>
        <v>-87987955.900000006</v>
      </c>
      <c r="O35" s="625">
        <f>+'Asset Classification'!L35</f>
        <v>12526875</v>
      </c>
      <c r="P35" s="612">
        <f t="shared" ref="P35:P52" si="59">+K35*10%</f>
        <v>78567827.5</v>
      </c>
      <c r="Q35" s="612">
        <f t="shared" ref="Q35:Q52" si="60">+O35-P35</f>
        <v>-66040952.5</v>
      </c>
      <c r="R35" s="622">
        <f>+'Asset Classification'!M35</f>
        <v>8830983</v>
      </c>
      <c r="S35" s="625">
        <f>+'Asset Classification'!N35</f>
        <v>741198</v>
      </c>
      <c r="T35" s="622">
        <f>+'Asset Classification'!O35</f>
        <v>94765</v>
      </c>
      <c r="U35" s="612">
        <f t="shared" ref="U35:U52" si="61">+R35*25%</f>
        <v>2207745.75</v>
      </c>
      <c r="V35" s="612">
        <f t="shared" ref="V35:V52" si="62">+T35-U35</f>
        <v>-2112980.75</v>
      </c>
      <c r="W35" s="625">
        <f>+'Asset Classification'!P35</f>
        <v>74120</v>
      </c>
      <c r="X35" s="612">
        <f t="shared" ref="X35:X52" si="63">+S35*25%</f>
        <v>185299.5</v>
      </c>
      <c r="Y35" s="612">
        <f t="shared" ref="Y35:Y52" si="64">+W35-X35</f>
        <v>-111179.5</v>
      </c>
      <c r="Z35" s="622">
        <f>+'Asset Classification'!Q35</f>
        <v>14554391</v>
      </c>
      <c r="AA35" s="625">
        <f>+'Asset Classification'!R35</f>
        <v>0</v>
      </c>
      <c r="AB35" s="622">
        <f>+'Asset Classification'!S35</f>
        <v>1183984</v>
      </c>
      <c r="AC35" s="612">
        <f t="shared" ref="AC35:AC52" si="65">+Z35*50%</f>
        <v>7277195.5</v>
      </c>
      <c r="AD35" s="612">
        <f t="shared" ref="AD35:AD52" si="66">+AB35-AC35</f>
        <v>-6093211.5</v>
      </c>
      <c r="AE35" s="625">
        <f>+'Asset Classification'!T35</f>
        <v>0</v>
      </c>
      <c r="AF35" s="612">
        <f t="shared" ref="AF35:AF52" si="67">+AA35*50%</f>
        <v>0</v>
      </c>
      <c r="AG35" s="612">
        <f t="shared" ref="AG35:AG52" si="68">+AE35-AF35</f>
        <v>0</v>
      </c>
      <c r="AH35" s="622">
        <f>+'Asset Classification'!U35</f>
        <v>143379842</v>
      </c>
      <c r="AI35" s="625">
        <f>+'Asset Classification'!V35</f>
        <v>77910484</v>
      </c>
      <c r="AJ35" s="622">
        <f>+'Asset Classification'!W35</f>
        <v>20153888</v>
      </c>
      <c r="AK35" s="612">
        <f t="shared" ref="AK35:AK52" si="69">+AH35*100%</f>
        <v>143379842</v>
      </c>
      <c r="AL35" s="612">
        <f t="shared" ref="AL35:AL52" si="70">+AJ35-AK35</f>
        <v>-123225954</v>
      </c>
      <c r="AM35" s="625">
        <f>+'Asset Classification'!X35</f>
        <v>1614435</v>
      </c>
      <c r="AN35" s="612">
        <f t="shared" ref="AN35:AN52" si="71">+AI35*100%</f>
        <v>77910484</v>
      </c>
      <c r="AO35" s="612">
        <f t="shared" ref="AO35:AO52" si="72">+AM35-AN35</f>
        <v>-76296049</v>
      </c>
      <c r="AP35" s="599">
        <f t="shared" ref="AP35:AQ52" si="73">+L35+T35+AB35+AJ35</f>
        <v>48116616</v>
      </c>
      <c r="AQ35" s="599">
        <f t="shared" si="73"/>
        <v>267536718.15000001</v>
      </c>
      <c r="AR35" s="599">
        <f t="shared" ref="AR35:AR52" si="74">+AP35-AQ35</f>
        <v>-219420102.15000001</v>
      </c>
      <c r="AS35" s="612">
        <f t="shared" ref="AS35:AT52" si="75">+O35+W35+AE35+AM35</f>
        <v>14215430</v>
      </c>
      <c r="AT35" s="612">
        <f t="shared" si="75"/>
        <v>156663611</v>
      </c>
      <c r="AU35" s="612">
        <f t="shared" ref="AU35:AU52" si="76">+AS35-AT35</f>
        <v>-142448181</v>
      </c>
      <c r="AV35" s="613">
        <f>+'Aging Analysis'!C25</f>
        <v>3795740987</v>
      </c>
      <c r="AW35" s="614"/>
      <c r="AX35" s="614"/>
      <c r="AY35" s="614"/>
      <c r="AZ35" s="614"/>
      <c r="BA35" s="614"/>
      <c r="BB35" s="614"/>
      <c r="BC35" s="614"/>
    </row>
    <row r="36" spans="1:55" s="265" customFormat="1" ht="14.25" customHeight="1">
      <c r="A36" s="610"/>
      <c r="B36" s="620" t="s">
        <v>660</v>
      </c>
      <c r="C36" s="611">
        <f>+'Asset Classification'!C36</f>
        <v>0</v>
      </c>
      <c r="D36" s="624">
        <f>+'Asset Classification'!D36</f>
        <v>0</v>
      </c>
      <c r="E36" s="622">
        <f>+'Asset Classification'!E36</f>
        <v>0</v>
      </c>
      <c r="F36" s="625">
        <f>+'Asset Classification'!F36</f>
        <v>0</v>
      </c>
      <c r="G36" s="622">
        <f>+'Asset Classification'!G36</f>
        <v>0</v>
      </c>
      <c r="H36" s="612">
        <f t="shared" si="55"/>
        <v>0</v>
      </c>
      <c r="I36" s="612">
        <f t="shared" si="56"/>
        <v>0</v>
      </c>
      <c r="J36" s="622">
        <f>+'Asset Classification'!I36</f>
        <v>0</v>
      </c>
      <c r="K36" s="625">
        <f>+'Asset Classification'!J36</f>
        <v>0</v>
      </c>
      <c r="L36" s="622">
        <f>+'Asset Classification'!K36</f>
        <v>0</v>
      </c>
      <c r="M36" s="612">
        <f t="shared" si="57"/>
        <v>0</v>
      </c>
      <c r="N36" s="612">
        <f t="shared" si="58"/>
        <v>0</v>
      </c>
      <c r="O36" s="625">
        <f>+'Asset Classification'!L36</f>
        <v>0</v>
      </c>
      <c r="P36" s="612">
        <f t="shared" si="59"/>
        <v>0</v>
      </c>
      <c r="Q36" s="612">
        <f t="shared" si="60"/>
        <v>0</v>
      </c>
      <c r="R36" s="622">
        <f>+'Asset Classification'!M36</f>
        <v>0</v>
      </c>
      <c r="S36" s="625">
        <f>+'Asset Classification'!N36</f>
        <v>0</v>
      </c>
      <c r="T36" s="622">
        <f>+'Asset Classification'!O36</f>
        <v>0</v>
      </c>
      <c r="U36" s="612">
        <f t="shared" si="61"/>
        <v>0</v>
      </c>
      <c r="V36" s="612">
        <f t="shared" si="62"/>
        <v>0</v>
      </c>
      <c r="W36" s="625">
        <f>+'Asset Classification'!P36</f>
        <v>0</v>
      </c>
      <c r="X36" s="612">
        <f t="shared" si="63"/>
        <v>0</v>
      </c>
      <c r="Y36" s="612">
        <f t="shared" si="64"/>
        <v>0</v>
      </c>
      <c r="Z36" s="622">
        <f>+'Asset Classification'!Q36</f>
        <v>0</v>
      </c>
      <c r="AA36" s="625">
        <f>+'Asset Classification'!R36</f>
        <v>0</v>
      </c>
      <c r="AB36" s="622">
        <f>+'Asset Classification'!S36</f>
        <v>0</v>
      </c>
      <c r="AC36" s="612">
        <f t="shared" si="65"/>
        <v>0</v>
      </c>
      <c r="AD36" s="612">
        <f t="shared" si="66"/>
        <v>0</v>
      </c>
      <c r="AE36" s="625">
        <f>+'Asset Classification'!T36</f>
        <v>0</v>
      </c>
      <c r="AF36" s="612">
        <f t="shared" si="67"/>
        <v>0</v>
      </c>
      <c r="AG36" s="612">
        <f t="shared" si="68"/>
        <v>0</v>
      </c>
      <c r="AH36" s="622">
        <f>+'Asset Classification'!U36</f>
        <v>0</v>
      </c>
      <c r="AI36" s="625">
        <f>+'Asset Classification'!V36</f>
        <v>0</v>
      </c>
      <c r="AJ36" s="622">
        <f>+'Asset Classification'!W36</f>
        <v>0</v>
      </c>
      <c r="AK36" s="612">
        <f t="shared" si="69"/>
        <v>0</v>
      </c>
      <c r="AL36" s="612">
        <f t="shared" si="70"/>
        <v>0</v>
      </c>
      <c r="AM36" s="625">
        <f>+'Asset Classification'!X36</f>
        <v>0</v>
      </c>
      <c r="AN36" s="612">
        <f t="shared" si="71"/>
        <v>0</v>
      </c>
      <c r="AO36" s="612">
        <f t="shared" si="72"/>
        <v>0</v>
      </c>
      <c r="AP36" s="599">
        <f t="shared" si="73"/>
        <v>0</v>
      </c>
      <c r="AQ36" s="599">
        <f t="shared" si="73"/>
        <v>0</v>
      </c>
      <c r="AR36" s="599">
        <f t="shared" si="74"/>
        <v>0</v>
      </c>
      <c r="AS36" s="612">
        <f t="shared" si="75"/>
        <v>0</v>
      </c>
      <c r="AT36" s="612">
        <f t="shared" si="75"/>
        <v>0</v>
      </c>
      <c r="AU36" s="612">
        <f t="shared" si="76"/>
        <v>0</v>
      </c>
      <c r="AW36" s="614"/>
      <c r="AX36" s="614"/>
      <c r="AY36" s="614"/>
      <c r="AZ36" s="614"/>
      <c r="BA36" s="614"/>
      <c r="BB36" s="614"/>
      <c r="BC36" s="614"/>
    </row>
    <row r="37" spans="1:55" s="265" customFormat="1" ht="23.25" customHeight="1">
      <c r="A37" s="610">
        <v>15</v>
      </c>
      <c r="B37" s="398" t="s">
        <v>469</v>
      </c>
      <c r="C37" s="611">
        <f>+'Asset Classification'!C37</f>
        <v>2471330376</v>
      </c>
      <c r="D37" s="624">
        <f>+'Asset Classification'!D37</f>
        <v>869682520</v>
      </c>
      <c r="E37" s="622">
        <f>+'Asset Classification'!E37</f>
        <v>1581710576</v>
      </c>
      <c r="F37" s="625">
        <f>+'Asset Classification'!F37</f>
        <v>578535182</v>
      </c>
      <c r="G37" s="622">
        <f>+'Asset Classification'!G37</f>
        <v>0</v>
      </c>
      <c r="H37" s="612">
        <f t="shared" si="55"/>
        <v>15817105.76</v>
      </c>
      <c r="I37" s="612">
        <f t="shared" si="56"/>
        <v>-15817105.76</v>
      </c>
      <c r="J37" s="622">
        <f>+'Asset Classification'!I37</f>
        <v>733774554</v>
      </c>
      <c r="K37" s="625">
        <f>+'Asset Classification'!J37</f>
        <v>238535782</v>
      </c>
      <c r="L37" s="622">
        <f>+'Asset Classification'!K37</f>
        <v>32726795</v>
      </c>
      <c r="M37" s="612">
        <f t="shared" si="57"/>
        <v>73377455.400000006</v>
      </c>
      <c r="N37" s="612">
        <f t="shared" si="58"/>
        <v>-40650660.400000006</v>
      </c>
      <c r="O37" s="625">
        <f>+'Asset Classification'!L37</f>
        <v>11385369</v>
      </c>
      <c r="P37" s="612">
        <f t="shared" si="59"/>
        <v>23853578.200000003</v>
      </c>
      <c r="Q37" s="612">
        <f t="shared" si="60"/>
        <v>-12468209.200000003</v>
      </c>
      <c r="R37" s="622">
        <f>+'Asset Classification'!M37</f>
        <v>1919694</v>
      </c>
      <c r="S37" s="625">
        <f>+'Asset Classification'!N37</f>
        <v>87920</v>
      </c>
      <c r="T37" s="622">
        <f>+'Asset Classification'!O37</f>
        <v>20577</v>
      </c>
      <c r="U37" s="612">
        <f t="shared" si="61"/>
        <v>479923.5</v>
      </c>
      <c r="V37" s="612">
        <f t="shared" si="62"/>
        <v>-459346.5</v>
      </c>
      <c r="W37" s="625">
        <f>+'Asset Classification'!P37</f>
        <v>0</v>
      </c>
      <c r="X37" s="612">
        <f t="shared" si="63"/>
        <v>21980</v>
      </c>
      <c r="Y37" s="612">
        <f t="shared" si="64"/>
        <v>-21980</v>
      </c>
      <c r="Z37" s="622">
        <f>+'Asset Classification'!Q37</f>
        <v>14789792</v>
      </c>
      <c r="AA37" s="625">
        <f>+'Asset Classification'!R37</f>
        <v>3072659</v>
      </c>
      <c r="AB37" s="622">
        <f>+'Asset Classification'!S37</f>
        <v>351320</v>
      </c>
      <c r="AC37" s="612">
        <f t="shared" si="65"/>
        <v>7394896</v>
      </c>
      <c r="AD37" s="612">
        <f t="shared" si="66"/>
        <v>-7043576</v>
      </c>
      <c r="AE37" s="625">
        <f>+'Asset Classification'!T37</f>
        <v>0</v>
      </c>
      <c r="AF37" s="612">
        <f t="shared" si="67"/>
        <v>1536329.5</v>
      </c>
      <c r="AG37" s="612">
        <f t="shared" si="68"/>
        <v>-1536329.5</v>
      </c>
      <c r="AH37" s="622">
        <f>+'Asset Classification'!U37</f>
        <v>139135760</v>
      </c>
      <c r="AI37" s="625">
        <f>+'Asset Classification'!V37</f>
        <v>49450977</v>
      </c>
      <c r="AJ37" s="622">
        <f>+'Asset Classification'!W37</f>
        <v>30395565</v>
      </c>
      <c r="AK37" s="612">
        <f t="shared" si="69"/>
        <v>139135760</v>
      </c>
      <c r="AL37" s="612">
        <f t="shared" si="70"/>
        <v>-108740195</v>
      </c>
      <c r="AM37" s="625">
        <f>+'Asset Classification'!X37</f>
        <v>2518007</v>
      </c>
      <c r="AN37" s="612">
        <f t="shared" si="71"/>
        <v>49450977</v>
      </c>
      <c r="AO37" s="612">
        <f t="shared" si="72"/>
        <v>-46932970</v>
      </c>
      <c r="AP37" s="599">
        <f t="shared" si="73"/>
        <v>63494257</v>
      </c>
      <c r="AQ37" s="599">
        <f t="shared" si="73"/>
        <v>220388034.90000001</v>
      </c>
      <c r="AR37" s="599">
        <f t="shared" si="74"/>
        <v>-156893777.90000001</v>
      </c>
      <c r="AS37" s="612">
        <f t="shared" si="75"/>
        <v>13903376</v>
      </c>
      <c r="AT37" s="612">
        <f t="shared" si="75"/>
        <v>74862864.700000003</v>
      </c>
      <c r="AU37" s="612">
        <f t="shared" si="76"/>
        <v>-60959488.700000003</v>
      </c>
      <c r="AV37" s="613">
        <f>+'Aging Analysis'!C26</f>
        <v>2471330376</v>
      </c>
      <c r="AW37" s="614"/>
      <c r="AX37" s="614"/>
      <c r="AY37" s="614"/>
      <c r="AZ37" s="614"/>
      <c r="BA37" s="614"/>
      <c r="BB37" s="614"/>
      <c r="BC37" s="614"/>
    </row>
    <row r="38" spans="1:55" s="265" customFormat="1" ht="14.25" customHeight="1">
      <c r="A38" s="610"/>
      <c r="B38" s="620" t="s">
        <v>660</v>
      </c>
      <c r="C38" s="611">
        <f>+'Asset Classification'!C38</f>
        <v>0</v>
      </c>
      <c r="D38" s="624">
        <f>+'Asset Classification'!D38</f>
        <v>0</v>
      </c>
      <c r="E38" s="622">
        <f>+'Asset Classification'!E38</f>
        <v>0</v>
      </c>
      <c r="F38" s="625">
        <f>+'Asset Classification'!F38</f>
        <v>0</v>
      </c>
      <c r="G38" s="622">
        <f>+'Asset Classification'!G38</f>
        <v>0</v>
      </c>
      <c r="H38" s="612">
        <f t="shared" si="55"/>
        <v>0</v>
      </c>
      <c r="I38" s="612">
        <f t="shared" si="56"/>
        <v>0</v>
      </c>
      <c r="J38" s="622">
        <f>+'Asset Classification'!I38</f>
        <v>0</v>
      </c>
      <c r="K38" s="625">
        <f>+'Asset Classification'!J38</f>
        <v>0</v>
      </c>
      <c r="L38" s="622">
        <f>+'Asset Classification'!K38</f>
        <v>0</v>
      </c>
      <c r="M38" s="612">
        <f t="shared" si="57"/>
        <v>0</v>
      </c>
      <c r="N38" s="612">
        <f t="shared" si="58"/>
        <v>0</v>
      </c>
      <c r="O38" s="625">
        <f>+'Asset Classification'!L38</f>
        <v>0</v>
      </c>
      <c r="P38" s="612">
        <f t="shared" si="59"/>
        <v>0</v>
      </c>
      <c r="Q38" s="612">
        <f t="shared" si="60"/>
        <v>0</v>
      </c>
      <c r="R38" s="622">
        <f>+'Asset Classification'!M38</f>
        <v>0</v>
      </c>
      <c r="S38" s="625">
        <f>+'Asset Classification'!N38</f>
        <v>0</v>
      </c>
      <c r="T38" s="622">
        <f>+'Asset Classification'!O38</f>
        <v>0</v>
      </c>
      <c r="U38" s="612">
        <f t="shared" si="61"/>
        <v>0</v>
      </c>
      <c r="V38" s="612">
        <f t="shared" si="62"/>
        <v>0</v>
      </c>
      <c r="W38" s="625">
        <f>+'Asset Classification'!P38</f>
        <v>0</v>
      </c>
      <c r="X38" s="612">
        <f t="shared" si="63"/>
        <v>0</v>
      </c>
      <c r="Y38" s="612">
        <f t="shared" si="64"/>
        <v>0</v>
      </c>
      <c r="Z38" s="622">
        <f>+'Asset Classification'!Q38</f>
        <v>0</v>
      </c>
      <c r="AA38" s="625">
        <f>+'Asset Classification'!R38</f>
        <v>0</v>
      </c>
      <c r="AB38" s="622">
        <f>+'Asset Classification'!S38</f>
        <v>0</v>
      </c>
      <c r="AC38" s="612">
        <f t="shared" si="65"/>
        <v>0</v>
      </c>
      <c r="AD38" s="612">
        <f t="shared" si="66"/>
        <v>0</v>
      </c>
      <c r="AE38" s="625">
        <f>+'Asset Classification'!T38</f>
        <v>0</v>
      </c>
      <c r="AF38" s="612">
        <f t="shared" si="67"/>
        <v>0</v>
      </c>
      <c r="AG38" s="612">
        <f t="shared" si="68"/>
        <v>0</v>
      </c>
      <c r="AH38" s="622">
        <f>+'Asset Classification'!U38</f>
        <v>0</v>
      </c>
      <c r="AI38" s="625">
        <f>+'Asset Classification'!V38</f>
        <v>0</v>
      </c>
      <c r="AJ38" s="622">
        <f>+'Asset Classification'!W38</f>
        <v>0</v>
      </c>
      <c r="AK38" s="612">
        <f t="shared" si="69"/>
        <v>0</v>
      </c>
      <c r="AL38" s="612">
        <f t="shared" si="70"/>
        <v>0</v>
      </c>
      <c r="AM38" s="625">
        <f>+'Asset Classification'!X38</f>
        <v>0</v>
      </c>
      <c r="AN38" s="612">
        <f t="shared" si="71"/>
        <v>0</v>
      </c>
      <c r="AO38" s="612">
        <f t="shared" si="72"/>
        <v>0</v>
      </c>
      <c r="AP38" s="599">
        <f t="shared" si="73"/>
        <v>0</v>
      </c>
      <c r="AQ38" s="599">
        <f t="shared" si="73"/>
        <v>0</v>
      </c>
      <c r="AR38" s="599">
        <f t="shared" si="74"/>
        <v>0</v>
      </c>
      <c r="AS38" s="612">
        <f t="shared" si="75"/>
        <v>0</v>
      </c>
      <c r="AT38" s="612">
        <f t="shared" si="75"/>
        <v>0</v>
      </c>
      <c r="AU38" s="612">
        <f t="shared" si="76"/>
        <v>0</v>
      </c>
      <c r="AW38" s="614"/>
      <c r="AX38" s="614"/>
      <c r="AY38" s="614"/>
      <c r="AZ38" s="614"/>
      <c r="BA38" s="614"/>
      <c r="BB38" s="614"/>
      <c r="BC38" s="614"/>
    </row>
    <row r="39" spans="1:55" s="265" customFormat="1" ht="23.25" customHeight="1">
      <c r="A39" s="610">
        <v>16</v>
      </c>
      <c r="B39" s="398" t="s">
        <v>470</v>
      </c>
      <c r="C39" s="611">
        <f>+'Asset Classification'!C39</f>
        <v>275718959</v>
      </c>
      <c r="D39" s="624">
        <f>+'Asset Classification'!D39</f>
        <v>53025531</v>
      </c>
      <c r="E39" s="622">
        <f>+'Asset Classification'!E39</f>
        <v>210574404</v>
      </c>
      <c r="F39" s="625">
        <f>+'Asset Classification'!F39</f>
        <v>24884473</v>
      </c>
      <c r="G39" s="622">
        <f>+'Asset Classification'!G39</f>
        <v>0</v>
      </c>
      <c r="H39" s="612">
        <f t="shared" si="55"/>
        <v>2105744.04</v>
      </c>
      <c r="I39" s="612">
        <f t="shared" si="56"/>
        <v>-2105744.04</v>
      </c>
      <c r="J39" s="622">
        <f>+'Asset Classification'!I39</f>
        <v>61480751</v>
      </c>
      <c r="K39" s="625">
        <f>+'Asset Classification'!J39</f>
        <v>28141058</v>
      </c>
      <c r="L39" s="622">
        <f>+'Asset Classification'!K39</f>
        <v>853868</v>
      </c>
      <c r="M39" s="612">
        <f t="shared" si="57"/>
        <v>6148075.1000000006</v>
      </c>
      <c r="N39" s="612">
        <f t="shared" si="58"/>
        <v>-5294207.1000000006</v>
      </c>
      <c r="O39" s="625">
        <f>+'Asset Classification'!L39</f>
        <v>309611</v>
      </c>
      <c r="P39" s="612">
        <f t="shared" si="59"/>
        <v>2814105.8000000003</v>
      </c>
      <c r="Q39" s="612">
        <f t="shared" si="60"/>
        <v>-2504494.8000000003</v>
      </c>
      <c r="R39" s="622">
        <f>+'Asset Classification'!M39</f>
        <v>216103</v>
      </c>
      <c r="S39" s="625">
        <f>+'Asset Classification'!N39</f>
        <v>0</v>
      </c>
      <c r="T39" s="622">
        <f>+'Asset Classification'!O39</f>
        <v>38761</v>
      </c>
      <c r="U39" s="612">
        <f t="shared" si="61"/>
        <v>54025.75</v>
      </c>
      <c r="V39" s="612">
        <f t="shared" si="62"/>
        <v>-15264.75</v>
      </c>
      <c r="W39" s="625">
        <f>+'Asset Classification'!P39</f>
        <v>0</v>
      </c>
      <c r="X39" s="612">
        <f t="shared" si="63"/>
        <v>0</v>
      </c>
      <c r="Y39" s="612">
        <f t="shared" si="64"/>
        <v>0</v>
      </c>
      <c r="Z39" s="622">
        <f>+'Asset Classification'!Q39</f>
        <v>219896</v>
      </c>
      <c r="AA39" s="625">
        <f>+'Asset Classification'!R39</f>
        <v>0</v>
      </c>
      <c r="AB39" s="622">
        <f>+'Asset Classification'!S39</f>
        <v>7131</v>
      </c>
      <c r="AC39" s="612">
        <f t="shared" si="65"/>
        <v>109948</v>
      </c>
      <c r="AD39" s="612">
        <f t="shared" si="66"/>
        <v>-102817</v>
      </c>
      <c r="AE39" s="625">
        <f>+'Asset Classification'!T39</f>
        <v>0</v>
      </c>
      <c r="AF39" s="612">
        <f t="shared" si="67"/>
        <v>0</v>
      </c>
      <c r="AG39" s="612">
        <f t="shared" si="68"/>
        <v>0</v>
      </c>
      <c r="AH39" s="622">
        <f>+'Asset Classification'!U39</f>
        <v>3227805</v>
      </c>
      <c r="AI39" s="625">
        <f>+'Asset Classification'!V39</f>
        <v>0</v>
      </c>
      <c r="AJ39" s="622">
        <f>+'Asset Classification'!W39</f>
        <v>408641</v>
      </c>
      <c r="AK39" s="612">
        <f t="shared" si="69"/>
        <v>3227805</v>
      </c>
      <c r="AL39" s="612">
        <f t="shared" si="70"/>
        <v>-2819164</v>
      </c>
      <c r="AM39" s="625">
        <f>+'Asset Classification'!X39</f>
        <v>0</v>
      </c>
      <c r="AN39" s="612">
        <f t="shared" si="71"/>
        <v>0</v>
      </c>
      <c r="AO39" s="612">
        <f t="shared" si="72"/>
        <v>0</v>
      </c>
      <c r="AP39" s="599">
        <f t="shared" si="73"/>
        <v>1308401</v>
      </c>
      <c r="AQ39" s="599">
        <f t="shared" si="73"/>
        <v>9539853.8500000015</v>
      </c>
      <c r="AR39" s="599">
        <f t="shared" si="74"/>
        <v>-8231452.8500000015</v>
      </c>
      <c r="AS39" s="612">
        <f t="shared" si="75"/>
        <v>309611</v>
      </c>
      <c r="AT39" s="612">
        <f t="shared" si="75"/>
        <v>2814105.8000000003</v>
      </c>
      <c r="AU39" s="612">
        <f t="shared" si="76"/>
        <v>-2504494.8000000003</v>
      </c>
      <c r="AV39" s="613">
        <f>+'Aging Analysis'!C27</f>
        <v>275718959</v>
      </c>
      <c r="AW39" s="614"/>
      <c r="AX39" s="614"/>
      <c r="AY39" s="614"/>
      <c r="AZ39" s="614"/>
      <c r="BA39" s="614"/>
      <c r="BB39" s="614"/>
      <c r="BC39" s="614"/>
    </row>
    <row r="40" spans="1:55" s="265" customFormat="1" ht="14.25" customHeight="1">
      <c r="A40" s="610"/>
      <c r="B40" s="620" t="s">
        <v>660</v>
      </c>
      <c r="C40" s="611">
        <f>+'Asset Classification'!C40</f>
        <v>0</v>
      </c>
      <c r="D40" s="624">
        <f>+'Asset Classification'!D40</f>
        <v>0</v>
      </c>
      <c r="E40" s="622">
        <f>+'Asset Classification'!E40</f>
        <v>0</v>
      </c>
      <c r="F40" s="625">
        <f>+'Asset Classification'!F40</f>
        <v>0</v>
      </c>
      <c r="G40" s="622">
        <f>+'Asset Classification'!G40</f>
        <v>0</v>
      </c>
      <c r="H40" s="612">
        <f t="shared" si="55"/>
        <v>0</v>
      </c>
      <c r="I40" s="612">
        <f t="shared" si="56"/>
        <v>0</v>
      </c>
      <c r="J40" s="622">
        <f>+'Asset Classification'!I40</f>
        <v>0</v>
      </c>
      <c r="K40" s="625">
        <f>+'Asset Classification'!J40</f>
        <v>0</v>
      </c>
      <c r="L40" s="622">
        <f>+'Asset Classification'!K40</f>
        <v>0</v>
      </c>
      <c r="M40" s="612">
        <f t="shared" si="57"/>
        <v>0</v>
      </c>
      <c r="N40" s="612">
        <f t="shared" si="58"/>
        <v>0</v>
      </c>
      <c r="O40" s="625">
        <f>+'Asset Classification'!L40</f>
        <v>0</v>
      </c>
      <c r="P40" s="612">
        <f t="shared" si="59"/>
        <v>0</v>
      </c>
      <c r="Q40" s="612">
        <f t="shared" si="60"/>
        <v>0</v>
      </c>
      <c r="R40" s="622">
        <f>+'Asset Classification'!M40</f>
        <v>0</v>
      </c>
      <c r="S40" s="625">
        <f>+'Asset Classification'!N40</f>
        <v>0</v>
      </c>
      <c r="T40" s="622">
        <f>+'Asset Classification'!O40</f>
        <v>0</v>
      </c>
      <c r="U40" s="612">
        <f t="shared" si="61"/>
        <v>0</v>
      </c>
      <c r="V40" s="612">
        <f t="shared" si="62"/>
        <v>0</v>
      </c>
      <c r="W40" s="625">
        <f>+'Asset Classification'!P40</f>
        <v>0</v>
      </c>
      <c r="X40" s="612">
        <f t="shared" si="63"/>
        <v>0</v>
      </c>
      <c r="Y40" s="612">
        <f t="shared" si="64"/>
        <v>0</v>
      </c>
      <c r="Z40" s="622">
        <f>+'Asset Classification'!Q40</f>
        <v>0</v>
      </c>
      <c r="AA40" s="625">
        <f>+'Asset Classification'!R40</f>
        <v>0</v>
      </c>
      <c r="AB40" s="622">
        <f>+'Asset Classification'!S40</f>
        <v>0</v>
      </c>
      <c r="AC40" s="612">
        <f t="shared" si="65"/>
        <v>0</v>
      </c>
      <c r="AD40" s="612">
        <f t="shared" si="66"/>
        <v>0</v>
      </c>
      <c r="AE40" s="625">
        <f>+'Asset Classification'!T40</f>
        <v>0</v>
      </c>
      <c r="AF40" s="612">
        <f t="shared" si="67"/>
        <v>0</v>
      </c>
      <c r="AG40" s="612">
        <f t="shared" si="68"/>
        <v>0</v>
      </c>
      <c r="AH40" s="622">
        <f>+'Asset Classification'!U40</f>
        <v>0</v>
      </c>
      <c r="AI40" s="625">
        <f>+'Asset Classification'!V40</f>
        <v>0</v>
      </c>
      <c r="AJ40" s="622">
        <f>+'Asset Classification'!W40</f>
        <v>0</v>
      </c>
      <c r="AK40" s="612">
        <f t="shared" si="69"/>
        <v>0</v>
      </c>
      <c r="AL40" s="612">
        <f t="shared" si="70"/>
        <v>0</v>
      </c>
      <c r="AM40" s="625">
        <f>+'Asset Classification'!X40</f>
        <v>0</v>
      </c>
      <c r="AN40" s="612">
        <f t="shared" si="71"/>
        <v>0</v>
      </c>
      <c r="AO40" s="612">
        <f t="shared" si="72"/>
        <v>0</v>
      </c>
      <c r="AP40" s="599">
        <f t="shared" si="73"/>
        <v>0</v>
      </c>
      <c r="AQ40" s="599">
        <f t="shared" si="73"/>
        <v>0</v>
      </c>
      <c r="AR40" s="599">
        <f t="shared" si="74"/>
        <v>0</v>
      </c>
      <c r="AS40" s="612">
        <f t="shared" si="75"/>
        <v>0</v>
      </c>
      <c r="AT40" s="612">
        <f t="shared" si="75"/>
        <v>0</v>
      </c>
      <c r="AU40" s="612">
        <f t="shared" si="76"/>
        <v>0</v>
      </c>
      <c r="AW40" s="614"/>
      <c r="AX40" s="614"/>
      <c r="AY40" s="614"/>
      <c r="AZ40" s="614"/>
      <c r="BA40" s="614"/>
      <c r="BB40" s="614"/>
      <c r="BC40" s="614"/>
    </row>
    <row r="41" spans="1:55" s="265" customFormat="1" ht="23.25" customHeight="1">
      <c r="A41" s="610">
        <v>17</v>
      </c>
      <c r="B41" s="398" t="s">
        <v>471</v>
      </c>
      <c r="C41" s="611">
        <f>+'Asset Classification'!C41</f>
        <v>858938251</v>
      </c>
      <c r="D41" s="624">
        <f>+'Asset Classification'!D41</f>
        <v>82588239</v>
      </c>
      <c r="E41" s="622">
        <f>+'Asset Classification'!E41</f>
        <v>694890599</v>
      </c>
      <c r="F41" s="625">
        <f>+'Asset Classification'!F41</f>
        <v>61281531</v>
      </c>
      <c r="G41" s="622">
        <f>+'Asset Classification'!G41</f>
        <v>0</v>
      </c>
      <c r="H41" s="612">
        <f t="shared" si="55"/>
        <v>6948905.9900000002</v>
      </c>
      <c r="I41" s="612">
        <f t="shared" si="56"/>
        <v>-6948905.9900000002</v>
      </c>
      <c r="J41" s="622">
        <f>+'Asset Classification'!I41</f>
        <v>123753064</v>
      </c>
      <c r="K41" s="625">
        <f>+'Asset Classification'!J41</f>
        <v>17679241</v>
      </c>
      <c r="L41" s="622">
        <f>+'Asset Classification'!K41</f>
        <v>3707142</v>
      </c>
      <c r="M41" s="612">
        <f t="shared" si="57"/>
        <v>12375306.4</v>
      </c>
      <c r="N41" s="612">
        <f t="shared" si="58"/>
        <v>-8668164.4000000004</v>
      </c>
      <c r="O41" s="625">
        <f>+'Asset Classification'!L41</f>
        <v>64911</v>
      </c>
      <c r="P41" s="612">
        <f t="shared" si="59"/>
        <v>1767924.1</v>
      </c>
      <c r="Q41" s="612">
        <f t="shared" si="60"/>
        <v>-1703013.1</v>
      </c>
      <c r="R41" s="622">
        <f>+'Asset Classification'!M41</f>
        <v>0</v>
      </c>
      <c r="S41" s="625">
        <f>+'Asset Classification'!N41</f>
        <v>0</v>
      </c>
      <c r="T41" s="622">
        <f>+'Asset Classification'!O41</f>
        <v>0</v>
      </c>
      <c r="U41" s="612">
        <f t="shared" si="61"/>
        <v>0</v>
      </c>
      <c r="V41" s="612">
        <f t="shared" si="62"/>
        <v>0</v>
      </c>
      <c r="W41" s="625">
        <f>+'Asset Classification'!P41</f>
        <v>0</v>
      </c>
      <c r="X41" s="612">
        <f t="shared" si="63"/>
        <v>0</v>
      </c>
      <c r="Y41" s="612">
        <f t="shared" si="64"/>
        <v>0</v>
      </c>
      <c r="Z41" s="622">
        <f>+'Asset Classification'!Q41</f>
        <v>119955</v>
      </c>
      <c r="AA41" s="625">
        <f>+'Asset Classification'!R41</f>
        <v>0</v>
      </c>
      <c r="AB41" s="622">
        <f>+'Asset Classification'!S41</f>
        <v>0</v>
      </c>
      <c r="AC41" s="612">
        <f t="shared" si="65"/>
        <v>59977.5</v>
      </c>
      <c r="AD41" s="612">
        <f t="shared" si="66"/>
        <v>-59977.5</v>
      </c>
      <c r="AE41" s="625">
        <f>+'Asset Classification'!T41</f>
        <v>0</v>
      </c>
      <c r="AF41" s="612">
        <f t="shared" si="67"/>
        <v>0</v>
      </c>
      <c r="AG41" s="612">
        <f t="shared" si="68"/>
        <v>0</v>
      </c>
      <c r="AH41" s="622">
        <f>+'Asset Classification'!U41</f>
        <v>40174633</v>
      </c>
      <c r="AI41" s="625">
        <f>+'Asset Classification'!V41</f>
        <v>3627467</v>
      </c>
      <c r="AJ41" s="622">
        <f>+'Asset Classification'!W41</f>
        <v>13620276</v>
      </c>
      <c r="AK41" s="612">
        <f t="shared" si="69"/>
        <v>40174633</v>
      </c>
      <c r="AL41" s="612">
        <f t="shared" si="70"/>
        <v>-26554357</v>
      </c>
      <c r="AM41" s="625">
        <f>+'Asset Classification'!X41</f>
        <v>0</v>
      </c>
      <c r="AN41" s="612">
        <f t="shared" si="71"/>
        <v>3627467</v>
      </c>
      <c r="AO41" s="612">
        <f t="shared" si="72"/>
        <v>-3627467</v>
      </c>
      <c r="AP41" s="599">
        <f t="shared" si="73"/>
        <v>17327418</v>
      </c>
      <c r="AQ41" s="599">
        <f t="shared" si="73"/>
        <v>52609916.899999999</v>
      </c>
      <c r="AR41" s="599">
        <f t="shared" si="74"/>
        <v>-35282498.899999999</v>
      </c>
      <c r="AS41" s="612">
        <f t="shared" si="75"/>
        <v>64911</v>
      </c>
      <c r="AT41" s="612">
        <f t="shared" si="75"/>
        <v>5395391.0999999996</v>
      </c>
      <c r="AU41" s="612">
        <f t="shared" si="76"/>
        <v>-5330480.0999999996</v>
      </c>
      <c r="AV41" s="613">
        <f>+'Aging Analysis'!C28</f>
        <v>858938251</v>
      </c>
      <c r="AW41" s="614"/>
      <c r="AX41" s="614"/>
      <c r="AY41" s="614"/>
      <c r="AZ41" s="614"/>
      <c r="BA41" s="614"/>
      <c r="BB41" s="614"/>
      <c r="BC41" s="614"/>
    </row>
    <row r="42" spans="1:55" s="265" customFormat="1" ht="14.25" customHeight="1">
      <c r="A42" s="610"/>
      <c r="B42" s="620" t="s">
        <v>660</v>
      </c>
      <c r="C42" s="611">
        <f>+'Asset Classification'!C42</f>
        <v>0</v>
      </c>
      <c r="D42" s="624">
        <f>+'Asset Classification'!D42</f>
        <v>0</v>
      </c>
      <c r="E42" s="622">
        <f>+'Asset Classification'!E42</f>
        <v>0</v>
      </c>
      <c r="F42" s="625">
        <f>+'Asset Classification'!F42</f>
        <v>0</v>
      </c>
      <c r="G42" s="622">
        <f>+'Asset Classification'!G42</f>
        <v>0</v>
      </c>
      <c r="H42" s="612">
        <f t="shared" si="55"/>
        <v>0</v>
      </c>
      <c r="I42" s="612">
        <f t="shared" si="56"/>
        <v>0</v>
      </c>
      <c r="J42" s="622">
        <f>+'Asset Classification'!I42</f>
        <v>0</v>
      </c>
      <c r="K42" s="625">
        <f>+'Asset Classification'!J42</f>
        <v>0</v>
      </c>
      <c r="L42" s="622">
        <f>+'Asset Classification'!K42</f>
        <v>0</v>
      </c>
      <c r="M42" s="612">
        <f t="shared" si="57"/>
        <v>0</v>
      </c>
      <c r="N42" s="612">
        <f t="shared" si="58"/>
        <v>0</v>
      </c>
      <c r="O42" s="625">
        <f>+'Asset Classification'!L42</f>
        <v>0</v>
      </c>
      <c r="P42" s="612">
        <f t="shared" si="59"/>
        <v>0</v>
      </c>
      <c r="Q42" s="612">
        <f t="shared" si="60"/>
        <v>0</v>
      </c>
      <c r="R42" s="622">
        <f>+'Asset Classification'!M42</f>
        <v>0</v>
      </c>
      <c r="S42" s="625">
        <f>+'Asset Classification'!N42</f>
        <v>0</v>
      </c>
      <c r="T42" s="622">
        <f>+'Asset Classification'!O42</f>
        <v>0</v>
      </c>
      <c r="U42" s="612">
        <f t="shared" si="61"/>
        <v>0</v>
      </c>
      <c r="V42" s="612">
        <f t="shared" si="62"/>
        <v>0</v>
      </c>
      <c r="W42" s="625">
        <f>+'Asset Classification'!P42</f>
        <v>0</v>
      </c>
      <c r="X42" s="612">
        <f t="shared" si="63"/>
        <v>0</v>
      </c>
      <c r="Y42" s="612">
        <f t="shared" si="64"/>
        <v>0</v>
      </c>
      <c r="Z42" s="622">
        <f>+'Asset Classification'!Q42</f>
        <v>0</v>
      </c>
      <c r="AA42" s="625">
        <f>+'Asset Classification'!R42</f>
        <v>0</v>
      </c>
      <c r="AB42" s="622">
        <f>+'Asset Classification'!S42</f>
        <v>0</v>
      </c>
      <c r="AC42" s="612">
        <f t="shared" si="65"/>
        <v>0</v>
      </c>
      <c r="AD42" s="612">
        <f t="shared" si="66"/>
        <v>0</v>
      </c>
      <c r="AE42" s="625">
        <f>+'Asset Classification'!T42</f>
        <v>0</v>
      </c>
      <c r="AF42" s="612">
        <f t="shared" si="67"/>
        <v>0</v>
      </c>
      <c r="AG42" s="612">
        <f t="shared" si="68"/>
        <v>0</v>
      </c>
      <c r="AH42" s="622">
        <f>+'Asset Classification'!U42</f>
        <v>0</v>
      </c>
      <c r="AI42" s="625">
        <f>+'Asset Classification'!V42</f>
        <v>0</v>
      </c>
      <c r="AJ42" s="622">
        <f>+'Asset Classification'!W42</f>
        <v>0</v>
      </c>
      <c r="AK42" s="612">
        <f t="shared" si="69"/>
        <v>0</v>
      </c>
      <c r="AL42" s="612">
        <f t="shared" si="70"/>
        <v>0</v>
      </c>
      <c r="AM42" s="625">
        <f>+'Asset Classification'!X42</f>
        <v>0</v>
      </c>
      <c r="AN42" s="612">
        <f t="shared" si="71"/>
        <v>0</v>
      </c>
      <c r="AO42" s="612">
        <f t="shared" si="72"/>
        <v>0</v>
      </c>
      <c r="AP42" s="599">
        <f t="shared" si="73"/>
        <v>0</v>
      </c>
      <c r="AQ42" s="599">
        <f t="shared" si="73"/>
        <v>0</v>
      </c>
      <c r="AR42" s="599">
        <f t="shared" si="74"/>
        <v>0</v>
      </c>
      <c r="AS42" s="612">
        <f t="shared" si="75"/>
        <v>0</v>
      </c>
      <c r="AT42" s="612">
        <f t="shared" si="75"/>
        <v>0</v>
      </c>
      <c r="AU42" s="612">
        <f t="shared" si="76"/>
        <v>0</v>
      </c>
      <c r="AW42" s="614"/>
      <c r="AX42" s="614"/>
      <c r="AY42" s="614"/>
      <c r="AZ42" s="614"/>
      <c r="BA42" s="614"/>
      <c r="BB42" s="614"/>
      <c r="BC42" s="614"/>
    </row>
    <row r="43" spans="1:55" s="265" customFormat="1" ht="23.25" customHeight="1">
      <c r="A43" s="610">
        <v>18</v>
      </c>
      <c r="B43" s="398" t="s">
        <v>472</v>
      </c>
      <c r="C43" s="611">
        <f>+'Asset Classification'!C43</f>
        <v>924939795</v>
      </c>
      <c r="D43" s="624">
        <f>+'Asset Classification'!D43</f>
        <v>268987408</v>
      </c>
      <c r="E43" s="622">
        <f>+'Asset Classification'!E43</f>
        <v>547249542</v>
      </c>
      <c r="F43" s="625">
        <f>+'Asset Classification'!F43</f>
        <v>171584194</v>
      </c>
      <c r="G43" s="622">
        <f>+'Asset Classification'!G43</f>
        <v>0</v>
      </c>
      <c r="H43" s="612">
        <f t="shared" si="55"/>
        <v>5472495.4199999999</v>
      </c>
      <c r="I43" s="612">
        <f t="shared" si="56"/>
        <v>-5472495.4199999999</v>
      </c>
      <c r="J43" s="622">
        <f>+'Asset Classification'!I43</f>
        <v>329874207</v>
      </c>
      <c r="K43" s="625">
        <f>+'Asset Classification'!J43</f>
        <v>91873175</v>
      </c>
      <c r="L43" s="622">
        <f>+'Asset Classification'!K43</f>
        <v>11579300</v>
      </c>
      <c r="M43" s="612">
        <f t="shared" si="57"/>
        <v>32987420.700000003</v>
      </c>
      <c r="N43" s="612">
        <f t="shared" si="58"/>
        <v>-21408120.700000003</v>
      </c>
      <c r="O43" s="625">
        <f>+'Asset Classification'!L43</f>
        <v>0</v>
      </c>
      <c r="P43" s="612">
        <f t="shared" si="59"/>
        <v>9187317.5</v>
      </c>
      <c r="Q43" s="612">
        <f t="shared" si="60"/>
        <v>-9187317.5</v>
      </c>
      <c r="R43" s="622">
        <f>+'Asset Classification'!M43</f>
        <v>843563</v>
      </c>
      <c r="S43" s="625">
        <f>+'Asset Classification'!N43</f>
        <v>0</v>
      </c>
      <c r="T43" s="622">
        <f>+'Asset Classification'!O43</f>
        <v>34037</v>
      </c>
      <c r="U43" s="612">
        <f t="shared" si="61"/>
        <v>210890.75</v>
      </c>
      <c r="V43" s="612">
        <f t="shared" si="62"/>
        <v>-176853.75</v>
      </c>
      <c r="W43" s="625">
        <f>+'Asset Classification'!P43</f>
        <v>0</v>
      </c>
      <c r="X43" s="612">
        <f t="shared" si="63"/>
        <v>0</v>
      </c>
      <c r="Y43" s="612">
        <f t="shared" si="64"/>
        <v>0</v>
      </c>
      <c r="Z43" s="622">
        <f>+'Asset Classification'!Q43</f>
        <v>2895263</v>
      </c>
      <c r="AA43" s="625">
        <f>+'Asset Classification'!R43</f>
        <v>0</v>
      </c>
      <c r="AB43" s="622">
        <f>+'Asset Classification'!S43</f>
        <v>93480</v>
      </c>
      <c r="AC43" s="612">
        <f t="shared" si="65"/>
        <v>1447631.5</v>
      </c>
      <c r="AD43" s="612">
        <f t="shared" si="66"/>
        <v>-1354151.5</v>
      </c>
      <c r="AE43" s="625">
        <f>+'Asset Classification'!T43</f>
        <v>0</v>
      </c>
      <c r="AF43" s="612">
        <f t="shared" si="67"/>
        <v>0</v>
      </c>
      <c r="AG43" s="612">
        <f t="shared" si="68"/>
        <v>0</v>
      </c>
      <c r="AH43" s="622">
        <f>+'Asset Classification'!U43</f>
        <v>44077220</v>
      </c>
      <c r="AI43" s="625">
        <f>+'Asset Classification'!V43</f>
        <v>5530039</v>
      </c>
      <c r="AJ43" s="622">
        <f>+'Asset Classification'!W43</f>
        <v>15344761</v>
      </c>
      <c r="AK43" s="612">
        <f t="shared" si="69"/>
        <v>44077220</v>
      </c>
      <c r="AL43" s="612">
        <f t="shared" si="70"/>
        <v>-28732459</v>
      </c>
      <c r="AM43" s="625">
        <f>+'Asset Classification'!X43</f>
        <v>0</v>
      </c>
      <c r="AN43" s="612">
        <f t="shared" si="71"/>
        <v>5530039</v>
      </c>
      <c r="AO43" s="612">
        <f t="shared" si="72"/>
        <v>-5530039</v>
      </c>
      <c r="AP43" s="599">
        <f t="shared" si="73"/>
        <v>27051578</v>
      </c>
      <c r="AQ43" s="599">
        <f t="shared" si="73"/>
        <v>78723162.950000003</v>
      </c>
      <c r="AR43" s="599">
        <f t="shared" si="74"/>
        <v>-51671584.950000003</v>
      </c>
      <c r="AS43" s="612">
        <f t="shared" si="75"/>
        <v>0</v>
      </c>
      <c r="AT43" s="612">
        <f t="shared" si="75"/>
        <v>14717356.5</v>
      </c>
      <c r="AU43" s="612">
        <f t="shared" si="76"/>
        <v>-14717356.5</v>
      </c>
      <c r="AV43" s="613">
        <f>+'Aging Analysis'!C29</f>
        <v>924939795</v>
      </c>
      <c r="AW43" s="614"/>
      <c r="AX43" s="614"/>
      <c r="AY43" s="614"/>
      <c r="AZ43" s="614"/>
      <c r="BA43" s="614"/>
      <c r="BB43" s="614"/>
      <c r="BC43" s="614"/>
    </row>
    <row r="44" spans="1:55" s="265" customFormat="1" ht="14.25" customHeight="1">
      <c r="A44" s="610"/>
      <c r="B44" s="620" t="s">
        <v>660</v>
      </c>
      <c r="C44" s="611">
        <f>+'Asset Classification'!C44</f>
        <v>0</v>
      </c>
      <c r="D44" s="624">
        <f>+'Asset Classification'!D44</f>
        <v>0</v>
      </c>
      <c r="E44" s="622">
        <f>+'Asset Classification'!E44</f>
        <v>0</v>
      </c>
      <c r="F44" s="625">
        <f>+'Asset Classification'!F44</f>
        <v>0</v>
      </c>
      <c r="G44" s="622">
        <f>+'Asset Classification'!G44</f>
        <v>0</v>
      </c>
      <c r="H44" s="612">
        <f t="shared" si="55"/>
        <v>0</v>
      </c>
      <c r="I44" s="612">
        <f t="shared" si="56"/>
        <v>0</v>
      </c>
      <c r="J44" s="622">
        <f>+'Asset Classification'!I44</f>
        <v>0</v>
      </c>
      <c r="K44" s="625">
        <f>+'Asset Classification'!J44</f>
        <v>0</v>
      </c>
      <c r="L44" s="622">
        <f>+'Asset Classification'!K44</f>
        <v>0</v>
      </c>
      <c r="M44" s="612">
        <f t="shared" si="57"/>
        <v>0</v>
      </c>
      <c r="N44" s="612">
        <f t="shared" si="58"/>
        <v>0</v>
      </c>
      <c r="O44" s="625">
        <f>+'Asset Classification'!L44</f>
        <v>0</v>
      </c>
      <c r="P44" s="612">
        <f t="shared" si="59"/>
        <v>0</v>
      </c>
      <c r="Q44" s="612">
        <f t="shared" si="60"/>
        <v>0</v>
      </c>
      <c r="R44" s="622">
        <f>+'Asset Classification'!M44</f>
        <v>0</v>
      </c>
      <c r="S44" s="625">
        <f>+'Asset Classification'!N44</f>
        <v>0</v>
      </c>
      <c r="T44" s="622">
        <f>+'Asset Classification'!O44</f>
        <v>0</v>
      </c>
      <c r="U44" s="612">
        <f t="shared" si="61"/>
        <v>0</v>
      </c>
      <c r="V44" s="612">
        <f t="shared" si="62"/>
        <v>0</v>
      </c>
      <c r="W44" s="625">
        <f>+'Asset Classification'!P44</f>
        <v>0</v>
      </c>
      <c r="X44" s="612">
        <f t="shared" si="63"/>
        <v>0</v>
      </c>
      <c r="Y44" s="612">
        <f t="shared" si="64"/>
        <v>0</v>
      </c>
      <c r="Z44" s="622">
        <f>+'Asset Classification'!Q44</f>
        <v>0</v>
      </c>
      <c r="AA44" s="625">
        <f>+'Asset Classification'!R44</f>
        <v>0</v>
      </c>
      <c r="AB44" s="622">
        <f>+'Asset Classification'!S44</f>
        <v>0</v>
      </c>
      <c r="AC44" s="612">
        <f t="shared" si="65"/>
        <v>0</v>
      </c>
      <c r="AD44" s="612">
        <f t="shared" si="66"/>
        <v>0</v>
      </c>
      <c r="AE44" s="625">
        <f>+'Asset Classification'!T44</f>
        <v>0</v>
      </c>
      <c r="AF44" s="612">
        <f t="shared" si="67"/>
        <v>0</v>
      </c>
      <c r="AG44" s="612">
        <f t="shared" si="68"/>
        <v>0</v>
      </c>
      <c r="AH44" s="622">
        <f>+'Asset Classification'!U44</f>
        <v>0</v>
      </c>
      <c r="AI44" s="625">
        <f>+'Asset Classification'!V44</f>
        <v>0</v>
      </c>
      <c r="AJ44" s="622">
        <f>+'Asset Classification'!W44</f>
        <v>0</v>
      </c>
      <c r="AK44" s="612">
        <f t="shared" si="69"/>
        <v>0</v>
      </c>
      <c r="AL44" s="612">
        <f t="shared" si="70"/>
        <v>0</v>
      </c>
      <c r="AM44" s="625">
        <f>+'Asset Classification'!X44</f>
        <v>0</v>
      </c>
      <c r="AN44" s="612">
        <f t="shared" si="71"/>
        <v>0</v>
      </c>
      <c r="AO44" s="612">
        <f t="shared" si="72"/>
        <v>0</v>
      </c>
      <c r="AP44" s="599">
        <f t="shared" si="73"/>
        <v>0</v>
      </c>
      <c r="AQ44" s="599">
        <f t="shared" si="73"/>
        <v>0</v>
      </c>
      <c r="AR44" s="599">
        <f t="shared" si="74"/>
        <v>0</v>
      </c>
      <c r="AS44" s="612">
        <f t="shared" si="75"/>
        <v>0</v>
      </c>
      <c r="AT44" s="612">
        <f t="shared" si="75"/>
        <v>0</v>
      </c>
      <c r="AU44" s="612">
        <f t="shared" si="76"/>
        <v>0</v>
      </c>
      <c r="AW44" s="614"/>
      <c r="AX44" s="614"/>
      <c r="AY44" s="614"/>
      <c r="AZ44" s="614"/>
      <c r="BA44" s="614"/>
      <c r="BB44" s="614"/>
      <c r="BC44" s="614"/>
    </row>
    <row r="45" spans="1:55" s="265" customFormat="1" ht="23.25" customHeight="1">
      <c r="A45" s="610">
        <v>19</v>
      </c>
      <c r="B45" s="398" t="s">
        <v>473</v>
      </c>
      <c r="C45" s="611">
        <f>+'Asset Classification'!C45</f>
        <v>191245213</v>
      </c>
      <c r="D45" s="624">
        <f>+'Asset Classification'!D45</f>
        <v>52159210</v>
      </c>
      <c r="E45" s="622">
        <f>+'Asset Classification'!E45</f>
        <v>139914308</v>
      </c>
      <c r="F45" s="625">
        <f>+'Asset Classification'!F45</f>
        <v>33400289</v>
      </c>
      <c r="G45" s="622">
        <f>+'Asset Classification'!G45</f>
        <v>0</v>
      </c>
      <c r="H45" s="612">
        <f t="shared" si="55"/>
        <v>1399143.08</v>
      </c>
      <c r="I45" s="612">
        <f t="shared" si="56"/>
        <v>-1399143.08</v>
      </c>
      <c r="J45" s="622">
        <f>+'Asset Classification'!I45</f>
        <v>42571144</v>
      </c>
      <c r="K45" s="625">
        <f>+'Asset Classification'!J45</f>
        <v>13291667</v>
      </c>
      <c r="L45" s="622">
        <f>+'Asset Classification'!K45</f>
        <v>910057</v>
      </c>
      <c r="M45" s="612">
        <f t="shared" si="57"/>
        <v>4257114.4000000004</v>
      </c>
      <c r="N45" s="612">
        <f t="shared" si="58"/>
        <v>-3347057.4000000004</v>
      </c>
      <c r="O45" s="625">
        <f>+'Asset Classification'!L45</f>
        <v>6678</v>
      </c>
      <c r="P45" s="612">
        <f t="shared" si="59"/>
        <v>1329166.7000000002</v>
      </c>
      <c r="Q45" s="612">
        <f t="shared" si="60"/>
        <v>-1322488.7000000002</v>
      </c>
      <c r="R45" s="622">
        <f>+'Asset Classification'!M45</f>
        <v>323538</v>
      </c>
      <c r="S45" s="625">
        <f>+'Asset Classification'!N45</f>
        <v>0</v>
      </c>
      <c r="T45" s="622">
        <f>+'Asset Classification'!O45</f>
        <v>7224</v>
      </c>
      <c r="U45" s="612">
        <f t="shared" si="61"/>
        <v>80884.5</v>
      </c>
      <c r="V45" s="612">
        <f t="shared" si="62"/>
        <v>-73660.5</v>
      </c>
      <c r="W45" s="625">
        <f>+'Asset Classification'!P45</f>
        <v>0</v>
      </c>
      <c r="X45" s="612">
        <f t="shared" si="63"/>
        <v>0</v>
      </c>
      <c r="Y45" s="612">
        <f t="shared" si="64"/>
        <v>0</v>
      </c>
      <c r="Z45" s="622">
        <f>+'Asset Classification'!Q45</f>
        <v>1045935</v>
      </c>
      <c r="AA45" s="625">
        <f>+'Asset Classification'!R45</f>
        <v>0</v>
      </c>
      <c r="AB45" s="622">
        <f>+'Asset Classification'!S45</f>
        <v>192861</v>
      </c>
      <c r="AC45" s="612">
        <f t="shared" si="65"/>
        <v>522967.5</v>
      </c>
      <c r="AD45" s="612">
        <f t="shared" si="66"/>
        <v>-330106.5</v>
      </c>
      <c r="AE45" s="625">
        <f>+'Asset Classification'!T45</f>
        <v>0</v>
      </c>
      <c r="AF45" s="612">
        <f t="shared" si="67"/>
        <v>0</v>
      </c>
      <c r="AG45" s="612">
        <f t="shared" si="68"/>
        <v>0</v>
      </c>
      <c r="AH45" s="622">
        <f>+'Asset Classification'!U45</f>
        <v>7390288</v>
      </c>
      <c r="AI45" s="625">
        <f>+'Asset Classification'!V45</f>
        <v>5467254</v>
      </c>
      <c r="AJ45" s="622">
        <f>+'Asset Classification'!W45</f>
        <v>757464</v>
      </c>
      <c r="AK45" s="612">
        <f t="shared" si="69"/>
        <v>7390288</v>
      </c>
      <c r="AL45" s="612">
        <f t="shared" si="70"/>
        <v>-6632824</v>
      </c>
      <c r="AM45" s="625">
        <f>+'Asset Classification'!X45</f>
        <v>0</v>
      </c>
      <c r="AN45" s="612">
        <f t="shared" si="71"/>
        <v>5467254</v>
      </c>
      <c r="AO45" s="612">
        <f t="shared" si="72"/>
        <v>-5467254</v>
      </c>
      <c r="AP45" s="599">
        <f t="shared" si="73"/>
        <v>1867606</v>
      </c>
      <c r="AQ45" s="599">
        <f t="shared" si="73"/>
        <v>12251254.4</v>
      </c>
      <c r="AR45" s="599">
        <f t="shared" si="74"/>
        <v>-10383648.4</v>
      </c>
      <c r="AS45" s="612">
        <f t="shared" si="75"/>
        <v>6678</v>
      </c>
      <c r="AT45" s="612">
        <f t="shared" si="75"/>
        <v>6796420.7000000002</v>
      </c>
      <c r="AU45" s="612">
        <f t="shared" si="76"/>
        <v>-6789742.7000000002</v>
      </c>
      <c r="AV45" s="613">
        <f>+'Aging Analysis'!C30</f>
        <v>191245213</v>
      </c>
      <c r="AW45" s="614"/>
      <c r="AX45" s="614"/>
      <c r="AY45" s="614"/>
      <c r="AZ45" s="614"/>
      <c r="BA45" s="614"/>
      <c r="BB45" s="614"/>
      <c r="BC45" s="614"/>
    </row>
    <row r="46" spans="1:55" s="265" customFormat="1" ht="14.25" customHeight="1">
      <c r="A46" s="610"/>
      <c r="B46" s="620" t="s">
        <v>660</v>
      </c>
      <c r="C46" s="611">
        <f>+'Asset Classification'!C46</f>
        <v>0</v>
      </c>
      <c r="D46" s="624">
        <f>+'Asset Classification'!D46</f>
        <v>0</v>
      </c>
      <c r="E46" s="622">
        <f>+'Asset Classification'!E46</f>
        <v>0</v>
      </c>
      <c r="F46" s="625">
        <f>+'Asset Classification'!F46</f>
        <v>0</v>
      </c>
      <c r="G46" s="622">
        <f>+'Asset Classification'!G46</f>
        <v>0</v>
      </c>
      <c r="H46" s="612">
        <f t="shared" si="55"/>
        <v>0</v>
      </c>
      <c r="I46" s="612">
        <f t="shared" si="56"/>
        <v>0</v>
      </c>
      <c r="J46" s="622">
        <f>+'Asset Classification'!I46</f>
        <v>0</v>
      </c>
      <c r="K46" s="625">
        <f>+'Asset Classification'!J46</f>
        <v>0</v>
      </c>
      <c r="L46" s="622">
        <f>+'Asset Classification'!K46</f>
        <v>0</v>
      </c>
      <c r="M46" s="612">
        <f t="shared" si="57"/>
        <v>0</v>
      </c>
      <c r="N46" s="612">
        <f t="shared" si="58"/>
        <v>0</v>
      </c>
      <c r="O46" s="625">
        <f>+'Asset Classification'!L46</f>
        <v>0</v>
      </c>
      <c r="P46" s="612">
        <f t="shared" si="59"/>
        <v>0</v>
      </c>
      <c r="Q46" s="612">
        <f t="shared" si="60"/>
        <v>0</v>
      </c>
      <c r="R46" s="622">
        <f>+'Asset Classification'!M46</f>
        <v>0</v>
      </c>
      <c r="S46" s="625">
        <f>+'Asset Classification'!N46</f>
        <v>0</v>
      </c>
      <c r="T46" s="622">
        <f>+'Asset Classification'!O46</f>
        <v>0</v>
      </c>
      <c r="U46" s="612">
        <f t="shared" si="61"/>
        <v>0</v>
      </c>
      <c r="V46" s="612">
        <f t="shared" si="62"/>
        <v>0</v>
      </c>
      <c r="W46" s="625">
        <f>+'Asset Classification'!P46</f>
        <v>0</v>
      </c>
      <c r="X46" s="612">
        <f t="shared" si="63"/>
        <v>0</v>
      </c>
      <c r="Y46" s="612">
        <f t="shared" si="64"/>
        <v>0</v>
      </c>
      <c r="Z46" s="622">
        <f>+'Asset Classification'!Q46</f>
        <v>0</v>
      </c>
      <c r="AA46" s="625">
        <f>+'Asset Classification'!R46</f>
        <v>0</v>
      </c>
      <c r="AB46" s="622">
        <f>+'Asset Classification'!S46</f>
        <v>0</v>
      </c>
      <c r="AC46" s="612">
        <f t="shared" si="65"/>
        <v>0</v>
      </c>
      <c r="AD46" s="612">
        <f t="shared" si="66"/>
        <v>0</v>
      </c>
      <c r="AE46" s="625">
        <f>+'Asset Classification'!T46</f>
        <v>0</v>
      </c>
      <c r="AF46" s="612">
        <f t="shared" si="67"/>
        <v>0</v>
      </c>
      <c r="AG46" s="612">
        <f t="shared" si="68"/>
        <v>0</v>
      </c>
      <c r="AH46" s="622">
        <f>+'Asset Classification'!U46</f>
        <v>0</v>
      </c>
      <c r="AI46" s="625">
        <f>+'Asset Classification'!V46</f>
        <v>0</v>
      </c>
      <c r="AJ46" s="622">
        <f>+'Asset Classification'!W46</f>
        <v>0</v>
      </c>
      <c r="AK46" s="612">
        <f t="shared" si="69"/>
        <v>0</v>
      </c>
      <c r="AL46" s="612">
        <f t="shared" si="70"/>
        <v>0</v>
      </c>
      <c r="AM46" s="625">
        <f>+'Asset Classification'!X46</f>
        <v>0</v>
      </c>
      <c r="AN46" s="612">
        <f t="shared" si="71"/>
        <v>0</v>
      </c>
      <c r="AO46" s="612">
        <f t="shared" si="72"/>
        <v>0</v>
      </c>
      <c r="AP46" s="599">
        <f t="shared" si="73"/>
        <v>0</v>
      </c>
      <c r="AQ46" s="599">
        <f t="shared" si="73"/>
        <v>0</v>
      </c>
      <c r="AR46" s="599">
        <f t="shared" si="74"/>
        <v>0</v>
      </c>
      <c r="AS46" s="612">
        <f t="shared" si="75"/>
        <v>0</v>
      </c>
      <c r="AT46" s="612">
        <f t="shared" si="75"/>
        <v>0</v>
      </c>
      <c r="AU46" s="612">
        <f t="shared" si="76"/>
        <v>0</v>
      </c>
      <c r="AW46" s="614"/>
      <c r="AX46" s="614"/>
      <c r="AY46" s="614"/>
      <c r="AZ46" s="614"/>
      <c r="BA46" s="614"/>
      <c r="BB46" s="614"/>
      <c r="BC46" s="614"/>
    </row>
    <row r="47" spans="1:55" s="265" customFormat="1" ht="23.25" customHeight="1">
      <c r="A47" s="610">
        <v>20</v>
      </c>
      <c r="B47" s="398" t="s">
        <v>474</v>
      </c>
      <c r="C47" s="611">
        <f>+'Asset Classification'!C47</f>
        <v>573303150</v>
      </c>
      <c r="D47" s="624">
        <f>+'Asset Classification'!D47</f>
        <v>144618290</v>
      </c>
      <c r="E47" s="622">
        <f>+'Asset Classification'!E47</f>
        <v>311864070</v>
      </c>
      <c r="F47" s="625">
        <f>+'Asset Classification'!F47</f>
        <v>46069707</v>
      </c>
      <c r="G47" s="622">
        <f>+'Asset Classification'!G47</f>
        <v>0</v>
      </c>
      <c r="H47" s="612">
        <f t="shared" si="55"/>
        <v>3118640.7</v>
      </c>
      <c r="I47" s="612">
        <f t="shared" si="56"/>
        <v>-3118640.7</v>
      </c>
      <c r="J47" s="622">
        <f>+'Asset Classification'!I47</f>
        <v>231491805</v>
      </c>
      <c r="K47" s="625">
        <f>+'Asset Classification'!J47</f>
        <v>98548583</v>
      </c>
      <c r="L47" s="622">
        <f>+'Asset Classification'!K47</f>
        <v>3314543</v>
      </c>
      <c r="M47" s="612">
        <f t="shared" si="57"/>
        <v>23149180.5</v>
      </c>
      <c r="N47" s="612">
        <f t="shared" si="58"/>
        <v>-19834637.5</v>
      </c>
      <c r="O47" s="625">
        <f>+'Asset Classification'!L47</f>
        <v>374416</v>
      </c>
      <c r="P47" s="612">
        <f t="shared" si="59"/>
        <v>9854858.3000000007</v>
      </c>
      <c r="Q47" s="612">
        <f t="shared" si="60"/>
        <v>-9480442.3000000007</v>
      </c>
      <c r="R47" s="622">
        <f>+'Asset Classification'!M47</f>
        <v>1464435</v>
      </c>
      <c r="S47" s="625">
        <f>+'Asset Classification'!N47</f>
        <v>0</v>
      </c>
      <c r="T47" s="622">
        <f>+'Asset Classification'!O47</f>
        <v>31536</v>
      </c>
      <c r="U47" s="612">
        <f t="shared" si="61"/>
        <v>366108.75</v>
      </c>
      <c r="V47" s="612">
        <f t="shared" si="62"/>
        <v>-334572.75</v>
      </c>
      <c r="W47" s="625">
        <f>+'Asset Classification'!P47</f>
        <v>0</v>
      </c>
      <c r="X47" s="612">
        <f t="shared" si="63"/>
        <v>0</v>
      </c>
      <c r="Y47" s="612">
        <f t="shared" si="64"/>
        <v>0</v>
      </c>
      <c r="Z47" s="622">
        <f>+'Asset Classification'!Q47</f>
        <v>8769316</v>
      </c>
      <c r="AA47" s="625">
        <f>+'Asset Classification'!R47</f>
        <v>0</v>
      </c>
      <c r="AB47" s="622">
        <f>+'Asset Classification'!S47</f>
        <v>33046</v>
      </c>
      <c r="AC47" s="612">
        <f t="shared" si="65"/>
        <v>4384658</v>
      </c>
      <c r="AD47" s="612">
        <f t="shared" si="66"/>
        <v>-4351612</v>
      </c>
      <c r="AE47" s="625">
        <f>+'Asset Classification'!T47</f>
        <v>0</v>
      </c>
      <c r="AF47" s="612">
        <f t="shared" si="67"/>
        <v>0</v>
      </c>
      <c r="AG47" s="612">
        <f t="shared" si="68"/>
        <v>0</v>
      </c>
      <c r="AH47" s="622">
        <f>+'Asset Classification'!U47</f>
        <v>19713524</v>
      </c>
      <c r="AI47" s="625">
        <f>+'Asset Classification'!V47</f>
        <v>0</v>
      </c>
      <c r="AJ47" s="622">
        <f>+'Asset Classification'!W47</f>
        <v>5001915</v>
      </c>
      <c r="AK47" s="612">
        <f t="shared" si="69"/>
        <v>19713524</v>
      </c>
      <c r="AL47" s="612">
        <f t="shared" si="70"/>
        <v>-14711609</v>
      </c>
      <c r="AM47" s="625">
        <f>+'Asset Classification'!X47</f>
        <v>0</v>
      </c>
      <c r="AN47" s="612">
        <f t="shared" si="71"/>
        <v>0</v>
      </c>
      <c r="AO47" s="612">
        <f t="shared" si="72"/>
        <v>0</v>
      </c>
      <c r="AP47" s="599">
        <f t="shared" si="73"/>
        <v>8381040</v>
      </c>
      <c r="AQ47" s="599">
        <f t="shared" si="73"/>
        <v>47613471.25</v>
      </c>
      <c r="AR47" s="599">
        <f t="shared" si="74"/>
        <v>-39232431.25</v>
      </c>
      <c r="AS47" s="612">
        <f t="shared" si="75"/>
        <v>374416</v>
      </c>
      <c r="AT47" s="612">
        <f t="shared" si="75"/>
        <v>9854858.3000000007</v>
      </c>
      <c r="AU47" s="612">
        <f t="shared" si="76"/>
        <v>-9480442.3000000007</v>
      </c>
      <c r="AV47" s="613">
        <f>+'Aging Analysis'!C31</f>
        <v>573303150</v>
      </c>
      <c r="AW47" s="614"/>
      <c r="AX47" s="614"/>
      <c r="AY47" s="614"/>
      <c r="AZ47" s="614"/>
      <c r="BA47" s="614"/>
      <c r="BB47" s="614"/>
      <c r="BC47" s="614"/>
    </row>
    <row r="48" spans="1:55" s="265" customFormat="1" ht="14.25" customHeight="1">
      <c r="A48" s="610"/>
      <c r="B48" s="620" t="s">
        <v>660</v>
      </c>
      <c r="C48" s="611">
        <f>+'Asset Classification'!C48</f>
        <v>0</v>
      </c>
      <c r="D48" s="624">
        <f>+'Asset Classification'!D48</f>
        <v>0</v>
      </c>
      <c r="E48" s="622">
        <f>+'Asset Classification'!E48</f>
        <v>0</v>
      </c>
      <c r="F48" s="625">
        <f>+'Asset Classification'!F48</f>
        <v>0</v>
      </c>
      <c r="G48" s="622">
        <f>+'Asset Classification'!G48</f>
        <v>0</v>
      </c>
      <c r="H48" s="612">
        <f t="shared" si="55"/>
        <v>0</v>
      </c>
      <c r="I48" s="612">
        <f t="shared" si="56"/>
        <v>0</v>
      </c>
      <c r="J48" s="622">
        <f>+'Asset Classification'!I48</f>
        <v>0</v>
      </c>
      <c r="K48" s="625">
        <f>+'Asset Classification'!J48</f>
        <v>0</v>
      </c>
      <c r="L48" s="622">
        <f>+'Asset Classification'!K48</f>
        <v>0</v>
      </c>
      <c r="M48" s="612">
        <f t="shared" si="57"/>
        <v>0</v>
      </c>
      <c r="N48" s="612">
        <f t="shared" si="58"/>
        <v>0</v>
      </c>
      <c r="O48" s="625">
        <f>+'Asset Classification'!L48</f>
        <v>0</v>
      </c>
      <c r="P48" s="612">
        <f t="shared" si="59"/>
        <v>0</v>
      </c>
      <c r="Q48" s="612">
        <f t="shared" si="60"/>
        <v>0</v>
      </c>
      <c r="R48" s="622">
        <f>+'Asset Classification'!M48</f>
        <v>0</v>
      </c>
      <c r="S48" s="625">
        <f>+'Asset Classification'!N48</f>
        <v>0</v>
      </c>
      <c r="T48" s="622">
        <f>+'Asset Classification'!O48</f>
        <v>0</v>
      </c>
      <c r="U48" s="612">
        <f t="shared" si="61"/>
        <v>0</v>
      </c>
      <c r="V48" s="612">
        <f t="shared" si="62"/>
        <v>0</v>
      </c>
      <c r="W48" s="625">
        <f>+'Asset Classification'!P48</f>
        <v>0</v>
      </c>
      <c r="X48" s="612">
        <f t="shared" si="63"/>
        <v>0</v>
      </c>
      <c r="Y48" s="612">
        <f t="shared" si="64"/>
        <v>0</v>
      </c>
      <c r="Z48" s="622">
        <f>+'Asset Classification'!Q48</f>
        <v>0</v>
      </c>
      <c r="AA48" s="625">
        <f>+'Asset Classification'!R48</f>
        <v>0</v>
      </c>
      <c r="AB48" s="622">
        <f>+'Asset Classification'!S48</f>
        <v>0</v>
      </c>
      <c r="AC48" s="612">
        <f t="shared" si="65"/>
        <v>0</v>
      </c>
      <c r="AD48" s="612">
        <f t="shared" si="66"/>
        <v>0</v>
      </c>
      <c r="AE48" s="625">
        <f>+'Asset Classification'!T48</f>
        <v>0</v>
      </c>
      <c r="AF48" s="612">
        <f t="shared" si="67"/>
        <v>0</v>
      </c>
      <c r="AG48" s="612">
        <f t="shared" si="68"/>
        <v>0</v>
      </c>
      <c r="AH48" s="622">
        <f>+'Asset Classification'!U48</f>
        <v>0</v>
      </c>
      <c r="AI48" s="625">
        <f>+'Asset Classification'!V48</f>
        <v>0</v>
      </c>
      <c r="AJ48" s="622">
        <f>+'Asset Classification'!W48</f>
        <v>0</v>
      </c>
      <c r="AK48" s="612">
        <f t="shared" si="69"/>
        <v>0</v>
      </c>
      <c r="AL48" s="612">
        <f t="shared" si="70"/>
        <v>0</v>
      </c>
      <c r="AM48" s="625">
        <f>+'Asset Classification'!X48</f>
        <v>0</v>
      </c>
      <c r="AN48" s="612">
        <f t="shared" si="71"/>
        <v>0</v>
      </c>
      <c r="AO48" s="612">
        <f t="shared" si="72"/>
        <v>0</v>
      </c>
      <c r="AP48" s="599">
        <f t="shared" si="73"/>
        <v>0</v>
      </c>
      <c r="AQ48" s="599">
        <f t="shared" si="73"/>
        <v>0</v>
      </c>
      <c r="AR48" s="599">
        <f t="shared" si="74"/>
        <v>0</v>
      </c>
      <c r="AS48" s="612">
        <f t="shared" si="75"/>
        <v>0</v>
      </c>
      <c r="AT48" s="612">
        <f t="shared" si="75"/>
        <v>0</v>
      </c>
      <c r="AU48" s="612">
        <f t="shared" si="76"/>
        <v>0</v>
      </c>
      <c r="AW48" s="614"/>
      <c r="AX48" s="614"/>
      <c r="AY48" s="614"/>
      <c r="AZ48" s="614"/>
      <c r="BA48" s="614"/>
      <c r="BB48" s="614"/>
      <c r="BC48" s="614"/>
    </row>
    <row r="49" spans="1:55" s="265" customFormat="1" ht="23.25" customHeight="1">
      <c r="A49" s="610">
        <v>21</v>
      </c>
      <c r="B49" s="398" t="s">
        <v>475</v>
      </c>
      <c r="C49" s="611">
        <f>+'Asset Classification'!C49</f>
        <v>4158858</v>
      </c>
      <c r="D49" s="624">
        <f>+'Asset Classification'!D49</f>
        <v>835848</v>
      </c>
      <c r="E49" s="622">
        <f>+'Asset Classification'!E49</f>
        <v>553043</v>
      </c>
      <c r="F49" s="625">
        <f>+'Asset Classification'!F49</f>
        <v>0</v>
      </c>
      <c r="G49" s="622">
        <f>+'Asset Classification'!G49</f>
        <v>0</v>
      </c>
      <c r="H49" s="612">
        <f t="shared" si="55"/>
        <v>5530.43</v>
      </c>
      <c r="I49" s="612">
        <f t="shared" si="56"/>
        <v>-5530.43</v>
      </c>
      <c r="J49" s="622">
        <f>+'Asset Classification'!I49</f>
        <v>30489</v>
      </c>
      <c r="K49" s="625">
        <f>+'Asset Classification'!J49</f>
        <v>0</v>
      </c>
      <c r="L49" s="622">
        <f>+'Asset Classification'!K49</f>
        <v>0</v>
      </c>
      <c r="M49" s="612">
        <f t="shared" si="57"/>
        <v>3048.9</v>
      </c>
      <c r="N49" s="612">
        <f t="shared" si="58"/>
        <v>-3048.9</v>
      </c>
      <c r="O49" s="625">
        <f>+'Asset Classification'!L49</f>
        <v>0</v>
      </c>
      <c r="P49" s="612">
        <f t="shared" si="59"/>
        <v>0</v>
      </c>
      <c r="Q49" s="612">
        <f t="shared" si="60"/>
        <v>0</v>
      </c>
      <c r="R49" s="622">
        <f>+'Asset Classification'!M49</f>
        <v>0</v>
      </c>
      <c r="S49" s="625">
        <f>+'Asset Classification'!N49</f>
        <v>0</v>
      </c>
      <c r="T49" s="622">
        <f>+'Asset Classification'!O49</f>
        <v>0</v>
      </c>
      <c r="U49" s="612">
        <f t="shared" si="61"/>
        <v>0</v>
      </c>
      <c r="V49" s="612">
        <f t="shared" si="62"/>
        <v>0</v>
      </c>
      <c r="W49" s="625">
        <f>+'Asset Classification'!P49</f>
        <v>0</v>
      </c>
      <c r="X49" s="612">
        <f t="shared" si="63"/>
        <v>0</v>
      </c>
      <c r="Y49" s="612">
        <f t="shared" si="64"/>
        <v>0</v>
      </c>
      <c r="Z49" s="622">
        <f>+'Asset Classification'!Q49</f>
        <v>0</v>
      </c>
      <c r="AA49" s="625">
        <f>+'Asset Classification'!R49</f>
        <v>0</v>
      </c>
      <c r="AB49" s="622">
        <f>+'Asset Classification'!S49</f>
        <v>0</v>
      </c>
      <c r="AC49" s="612">
        <f t="shared" si="65"/>
        <v>0</v>
      </c>
      <c r="AD49" s="612">
        <f t="shared" si="66"/>
        <v>0</v>
      </c>
      <c r="AE49" s="625">
        <f>+'Asset Classification'!T49</f>
        <v>0</v>
      </c>
      <c r="AF49" s="612">
        <f t="shared" si="67"/>
        <v>0</v>
      </c>
      <c r="AG49" s="612">
        <f t="shared" si="68"/>
        <v>0</v>
      </c>
      <c r="AH49" s="622">
        <f>+'Asset Classification'!U49</f>
        <v>3575326</v>
      </c>
      <c r="AI49" s="625">
        <f>+'Asset Classification'!V49</f>
        <v>835848</v>
      </c>
      <c r="AJ49" s="622">
        <f>+'Asset Classification'!W49</f>
        <v>0</v>
      </c>
      <c r="AK49" s="612">
        <f t="shared" si="69"/>
        <v>3575326</v>
      </c>
      <c r="AL49" s="612">
        <f t="shared" si="70"/>
        <v>-3575326</v>
      </c>
      <c r="AM49" s="625">
        <f>+'Asset Classification'!X49</f>
        <v>0</v>
      </c>
      <c r="AN49" s="612">
        <f t="shared" si="71"/>
        <v>835848</v>
      </c>
      <c r="AO49" s="612">
        <f t="shared" si="72"/>
        <v>-835848</v>
      </c>
      <c r="AP49" s="599">
        <f t="shared" si="73"/>
        <v>0</v>
      </c>
      <c r="AQ49" s="599">
        <f t="shared" si="73"/>
        <v>3578374.9</v>
      </c>
      <c r="AR49" s="599">
        <f t="shared" si="74"/>
        <v>-3578374.9</v>
      </c>
      <c r="AS49" s="612">
        <f t="shared" si="75"/>
        <v>0</v>
      </c>
      <c r="AT49" s="612">
        <f t="shared" si="75"/>
        <v>835848</v>
      </c>
      <c r="AU49" s="612">
        <f t="shared" si="76"/>
        <v>-835848</v>
      </c>
      <c r="AV49" s="613">
        <f>+'Aging Analysis'!C32</f>
        <v>4158858</v>
      </c>
      <c r="AW49" s="614"/>
      <c r="AX49" s="614"/>
      <c r="AY49" s="614"/>
      <c r="AZ49" s="614"/>
      <c r="BA49" s="614"/>
      <c r="BB49" s="614"/>
      <c r="BC49" s="614"/>
    </row>
    <row r="50" spans="1:55" s="265" customFormat="1" ht="14.25" customHeight="1">
      <c r="A50" s="610"/>
      <c r="B50" s="620" t="s">
        <v>660</v>
      </c>
      <c r="C50" s="611">
        <f>+'Asset Classification'!C50</f>
        <v>0</v>
      </c>
      <c r="D50" s="624">
        <f>+'Asset Classification'!D50</f>
        <v>0</v>
      </c>
      <c r="E50" s="622">
        <f>+'Asset Classification'!E50</f>
        <v>0</v>
      </c>
      <c r="F50" s="625">
        <f>+'Asset Classification'!F50</f>
        <v>0</v>
      </c>
      <c r="G50" s="622">
        <f>+'Asset Classification'!G50</f>
        <v>0</v>
      </c>
      <c r="H50" s="612">
        <f t="shared" si="55"/>
        <v>0</v>
      </c>
      <c r="I50" s="612">
        <f t="shared" si="56"/>
        <v>0</v>
      </c>
      <c r="J50" s="622">
        <f>+'Asset Classification'!I50</f>
        <v>0</v>
      </c>
      <c r="K50" s="625">
        <f>+'Asset Classification'!J50</f>
        <v>0</v>
      </c>
      <c r="L50" s="622">
        <f>+'Asset Classification'!K50</f>
        <v>0</v>
      </c>
      <c r="M50" s="612">
        <f t="shared" si="57"/>
        <v>0</v>
      </c>
      <c r="N50" s="612">
        <f t="shared" si="58"/>
        <v>0</v>
      </c>
      <c r="O50" s="625">
        <f>+'Asset Classification'!L50</f>
        <v>0</v>
      </c>
      <c r="P50" s="612">
        <f t="shared" si="59"/>
        <v>0</v>
      </c>
      <c r="Q50" s="612">
        <f t="shared" si="60"/>
        <v>0</v>
      </c>
      <c r="R50" s="622">
        <f>+'Asset Classification'!M50</f>
        <v>0</v>
      </c>
      <c r="S50" s="625">
        <f>+'Asset Classification'!N50</f>
        <v>0</v>
      </c>
      <c r="T50" s="622">
        <f>+'Asset Classification'!O50</f>
        <v>0</v>
      </c>
      <c r="U50" s="612">
        <f t="shared" si="61"/>
        <v>0</v>
      </c>
      <c r="V50" s="612">
        <f t="shared" si="62"/>
        <v>0</v>
      </c>
      <c r="W50" s="625">
        <f>+'Asset Classification'!P50</f>
        <v>0</v>
      </c>
      <c r="X50" s="612">
        <f t="shared" si="63"/>
        <v>0</v>
      </c>
      <c r="Y50" s="612">
        <f t="shared" si="64"/>
        <v>0</v>
      </c>
      <c r="Z50" s="622">
        <f>+'Asset Classification'!Q50</f>
        <v>0</v>
      </c>
      <c r="AA50" s="625">
        <f>+'Asset Classification'!R50</f>
        <v>0</v>
      </c>
      <c r="AB50" s="622">
        <f>+'Asset Classification'!S50</f>
        <v>0</v>
      </c>
      <c r="AC50" s="612">
        <f t="shared" si="65"/>
        <v>0</v>
      </c>
      <c r="AD50" s="612">
        <f t="shared" si="66"/>
        <v>0</v>
      </c>
      <c r="AE50" s="625">
        <f>+'Asset Classification'!T50</f>
        <v>0</v>
      </c>
      <c r="AF50" s="612">
        <f t="shared" si="67"/>
        <v>0</v>
      </c>
      <c r="AG50" s="612">
        <f t="shared" si="68"/>
        <v>0</v>
      </c>
      <c r="AH50" s="622">
        <f>+'Asset Classification'!U50</f>
        <v>0</v>
      </c>
      <c r="AI50" s="625">
        <f>+'Asset Classification'!V50</f>
        <v>0</v>
      </c>
      <c r="AJ50" s="622">
        <f>+'Asset Classification'!W50</f>
        <v>0</v>
      </c>
      <c r="AK50" s="612">
        <f t="shared" si="69"/>
        <v>0</v>
      </c>
      <c r="AL50" s="612">
        <f t="shared" si="70"/>
        <v>0</v>
      </c>
      <c r="AM50" s="625">
        <f>+'Asset Classification'!X50</f>
        <v>0</v>
      </c>
      <c r="AN50" s="612">
        <f t="shared" si="71"/>
        <v>0</v>
      </c>
      <c r="AO50" s="612">
        <f t="shared" si="72"/>
        <v>0</v>
      </c>
      <c r="AP50" s="599">
        <f t="shared" si="73"/>
        <v>0</v>
      </c>
      <c r="AQ50" s="599">
        <f t="shared" si="73"/>
        <v>0</v>
      </c>
      <c r="AR50" s="599">
        <f t="shared" si="74"/>
        <v>0</v>
      </c>
      <c r="AS50" s="612">
        <f t="shared" si="75"/>
        <v>0</v>
      </c>
      <c r="AT50" s="612">
        <f t="shared" si="75"/>
        <v>0</v>
      </c>
      <c r="AU50" s="612">
        <f t="shared" si="76"/>
        <v>0</v>
      </c>
      <c r="AV50" s="614"/>
      <c r="AW50" s="614"/>
      <c r="AX50" s="614"/>
      <c r="AY50" s="614"/>
      <c r="AZ50" s="614"/>
      <c r="BA50" s="614"/>
      <c r="BB50" s="614"/>
      <c r="BC50" s="614"/>
    </row>
    <row r="51" spans="1:55" s="265" customFormat="1" ht="23.25" customHeight="1">
      <c r="A51" s="610">
        <v>22</v>
      </c>
      <c r="B51" s="398" t="s">
        <v>398</v>
      </c>
      <c r="C51" s="611">
        <f>+'Asset Classification'!C51</f>
        <v>5341704946</v>
      </c>
      <c r="D51" s="624">
        <f>+'Asset Classification'!D51</f>
        <v>0</v>
      </c>
      <c r="E51" s="622">
        <f>+'Asset Classification'!E51</f>
        <v>4070042033</v>
      </c>
      <c r="F51" s="625">
        <f>+'Asset Classification'!F51</f>
        <v>0</v>
      </c>
      <c r="G51" s="622">
        <f>+'Asset Classification'!G51</f>
        <v>0</v>
      </c>
      <c r="H51" s="612">
        <f t="shared" si="55"/>
        <v>40700420.329999998</v>
      </c>
      <c r="I51" s="612">
        <f t="shared" si="56"/>
        <v>-40700420.329999998</v>
      </c>
      <c r="J51" s="622">
        <f>+'Asset Classification'!I51</f>
        <v>863151778</v>
      </c>
      <c r="K51" s="625">
        <f>+'Asset Classification'!J51</f>
        <v>0</v>
      </c>
      <c r="L51" s="622">
        <f>+'Asset Classification'!K51</f>
        <v>28934162</v>
      </c>
      <c r="M51" s="612">
        <f t="shared" si="57"/>
        <v>86315177.800000012</v>
      </c>
      <c r="N51" s="612">
        <f t="shared" si="58"/>
        <v>-57381015.800000012</v>
      </c>
      <c r="O51" s="625">
        <f>+'Asset Classification'!L51</f>
        <v>0</v>
      </c>
      <c r="P51" s="612">
        <f t="shared" si="59"/>
        <v>0</v>
      </c>
      <c r="Q51" s="612">
        <f t="shared" si="60"/>
        <v>0</v>
      </c>
      <c r="R51" s="622">
        <f>+'Asset Classification'!M51</f>
        <v>88775127</v>
      </c>
      <c r="S51" s="625">
        <f>+'Asset Classification'!N51</f>
        <v>0</v>
      </c>
      <c r="T51" s="622">
        <f>+'Asset Classification'!O51</f>
        <v>1489803</v>
      </c>
      <c r="U51" s="612">
        <f t="shared" si="61"/>
        <v>22193781.75</v>
      </c>
      <c r="V51" s="612">
        <f t="shared" si="62"/>
        <v>-20703978.75</v>
      </c>
      <c r="W51" s="625">
        <f>+'Asset Classification'!P51</f>
        <v>0</v>
      </c>
      <c r="X51" s="612">
        <f t="shared" si="63"/>
        <v>0</v>
      </c>
      <c r="Y51" s="612">
        <f t="shared" si="64"/>
        <v>0</v>
      </c>
      <c r="Z51" s="622">
        <f>+'Asset Classification'!Q51</f>
        <v>195192536</v>
      </c>
      <c r="AA51" s="625">
        <f>+'Asset Classification'!R51</f>
        <v>0</v>
      </c>
      <c r="AB51" s="622">
        <f>+'Asset Classification'!S51</f>
        <v>10685170</v>
      </c>
      <c r="AC51" s="612">
        <f t="shared" si="65"/>
        <v>97596268</v>
      </c>
      <c r="AD51" s="612">
        <f t="shared" si="66"/>
        <v>-86911098</v>
      </c>
      <c r="AE51" s="625">
        <f>+'Asset Classification'!T51</f>
        <v>0</v>
      </c>
      <c r="AF51" s="612">
        <f t="shared" si="67"/>
        <v>0</v>
      </c>
      <c r="AG51" s="612">
        <f t="shared" si="68"/>
        <v>0</v>
      </c>
      <c r="AH51" s="622">
        <f>+'Asset Classification'!U51</f>
        <v>124543472</v>
      </c>
      <c r="AI51" s="625">
        <f>+'Asset Classification'!V51</f>
        <v>0</v>
      </c>
      <c r="AJ51" s="622">
        <f>+'Asset Classification'!W51</f>
        <v>17327736</v>
      </c>
      <c r="AK51" s="612">
        <f t="shared" si="69"/>
        <v>124543472</v>
      </c>
      <c r="AL51" s="612">
        <f t="shared" si="70"/>
        <v>-107215736</v>
      </c>
      <c r="AM51" s="625">
        <f>+'Asset Classification'!X51</f>
        <v>0</v>
      </c>
      <c r="AN51" s="612">
        <f t="shared" si="71"/>
        <v>0</v>
      </c>
      <c r="AO51" s="612">
        <f t="shared" si="72"/>
        <v>0</v>
      </c>
      <c r="AP51" s="599">
        <f t="shared" si="73"/>
        <v>58436871</v>
      </c>
      <c r="AQ51" s="599">
        <f t="shared" si="73"/>
        <v>330648699.55000001</v>
      </c>
      <c r="AR51" s="599">
        <f t="shared" si="74"/>
        <v>-272211828.55000001</v>
      </c>
      <c r="AS51" s="612">
        <f t="shared" si="75"/>
        <v>0</v>
      </c>
      <c r="AT51" s="612">
        <f t="shared" si="75"/>
        <v>0</v>
      </c>
      <c r="AU51" s="612">
        <f t="shared" si="76"/>
        <v>0</v>
      </c>
      <c r="AV51" s="613">
        <f>+'Aging Analysis'!C33</f>
        <v>5341704946</v>
      </c>
      <c r="AW51" s="614"/>
      <c r="AX51" s="614"/>
      <c r="AY51" s="614"/>
      <c r="AZ51" s="614"/>
      <c r="BA51" s="614"/>
      <c r="BB51" s="614"/>
      <c r="BC51" s="614"/>
    </row>
    <row r="52" spans="1:55" s="265" customFormat="1" ht="14.25" customHeight="1">
      <c r="A52" s="610"/>
      <c r="B52" s="620" t="s">
        <v>660</v>
      </c>
      <c r="C52" s="611">
        <f>+'Asset Classification'!C52</f>
        <v>0</v>
      </c>
      <c r="D52" s="624">
        <f>+'Asset Classification'!D52</f>
        <v>0</v>
      </c>
      <c r="E52" s="621">
        <f>+'Asset Classification'!E52</f>
        <v>0</v>
      </c>
      <c r="F52" s="624">
        <f>+'Asset Classification'!F52</f>
        <v>0</v>
      </c>
      <c r="G52" s="621">
        <f>+'Asset Classification'!G52</f>
        <v>0</v>
      </c>
      <c r="H52" s="612">
        <f t="shared" si="55"/>
        <v>0</v>
      </c>
      <c r="I52" s="612">
        <f t="shared" si="56"/>
        <v>0</v>
      </c>
      <c r="J52" s="621">
        <f>+'Asset Classification'!I52</f>
        <v>0</v>
      </c>
      <c r="K52" s="624">
        <f>+'Asset Classification'!J52</f>
        <v>0</v>
      </c>
      <c r="L52" s="621">
        <f>+'Asset Classification'!K52</f>
        <v>0</v>
      </c>
      <c r="M52" s="612">
        <f t="shared" si="57"/>
        <v>0</v>
      </c>
      <c r="N52" s="612">
        <f t="shared" si="58"/>
        <v>0</v>
      </c>
      <c r="O52" s="624">
        <f>+'Asset Classification'!L52</f>
        <v>0</v>
      </c>
      <c r="P52" s="612">
        <f t="shared" si="59"/>
        <v>0</v>
      </c>
      <c r="Q52" s="612">
        <f t="shared" si="60"/>
        <v>0</v>
      </c>
      <c r="R52" s="621">
        <f>+'Asset Classification'!M52</f>
        <v>0</v>
      </c>
      <c r="S52" s="624">
        <f>+'Asset Classification'!N52</f>
        <v>0</v>
      </c>
      <c r="T52" s="621">
        <f>+'Asset Classification'!O52</f>
        <v>0</v>
      </c>
      <c r="U52" s="612">
        <f t="shared" si="61"/>
        <v>0</v>
      </c>
      <c r="V52" s="612">
        <f t="shared" si="62"/>
        <v>0</v>
      </c>
      <c r="W52" s="624">
        <f>+'Asset Classification'!P52</f>
        <v>0</v>
      </c>
      <c r="X52" s="612">
        <f t="shared" si="63"/>
        <v>0</v>
      </c>
      <c r="Y52" s="612">
        <f t="shared" si="64"/>
        <v>0</v>
      </c>
      <c r="Z52" s="621">
        <f>+'Asset Classification'!Q52</f>
        <v>0</v>
      </c>
      <c r="AA52" s="624">
        <f>+'Asset Classification'!R52</f>
        <v>0</v>
      </c>
      <c r="AB52" s="621">
        <f>+'Asset Classification'!S52</f>
        <v>0</v>
      </c>
      <c r="AC52" s="612">
        <f t="shared" si="65"/>
        <v>0</v>
      </c>
      <c r="AD52" s="612">
        <f t="shared" si="66"/>
        <v>0</v>
      </c>
      <c r="AE52" s="624">
        <f>+'Asset Classification'!T52</f>
        <v>0</v>
      </c>
      <c r="AF52" s="612">
        <f t="shared" si="67"/>
        <v>0</v>
      </c>
      <c r="AG52" s="612">
        <f t="shared" si="68"/>
        <v>0</v>
      </c>
      <c r="AH52" s="621">
        <f>+'Asset Classification'!U52</f>
        <v>0</v>
      </c>
      <c r="AI52" s="624">
        <f>+'Asset Classification'!V52</f>
        <v>0</v>
      </c>
      <c r="AJ52" s="621">
        <f>+'Asset Classification'!W52</f>
        <v>0</v>
      </c>
      <c r="AK52" s="612">
        <f t="shared" si="69"/>
        <v>0</v>
      </c>
      <c r="AL52" s="612">
        <f t="shared" si="70"/>
        <v>0</v>
      </c>
      <c r="AM52" s="624">
        <f>+'Asset Classification'!X52</f>
        <v>0</v>
      </c>
      <c r="AN52" s="612">
        <f t="shared" si="71"/>
        <v>0</v>
      </c>
      <c r="AO52" s="612">
        <f t="shared" si="72"/>
        <v>0</v>
      </c>
      <c r="AP52" s="599">
        <f t="shared" si="73"/>
        <v>0</v>
      </c>
      <c r="AQ52" s="599">
        <f t="shared" si="73"/>
        <v>0</v>
      </c>
      <c r="AR52" s="599">
        <f t="shared" si="74"/>
        <v>0</v>
      </c>
      <c r="AS52" s="612">
        <f t="shared" si="75"/>
        <v>0</v>
      </c>
      <c r="AT52" s="612">
        <f t="shared" si="75"/>
        <v>0</v>
      </c>
      <c r="AU52" s="612">
        <f t="shared" si="76"/>
        <v>0</v>
      </c>
      <c r="AV52" s="614"/>
      <c r="AW52" s="614"/>
      <c r="AX52" s="614"/>
      <c r="AY52" s="614"/>
      <c r="AZ52" s="614"/>
      <c r="BA52" s="614"/>
      <c r="BB52" s="614"/>
      <c r="BC52" s="614"/>
    </row>
    <row r="53" spans="1:55" s="609" customFormat="1" ht="28.5" customHeight="1">
      <c r="A53" s="583">
        <v>23</v>
      </c>
      <c r="B53" s="583" t="s">
        <v>668</v>
      </c>
      <c r="C53" s="600">
        <f>+'Asset Classification'!C53</f>
        <v>14437080535</v>
      </c>
      <c r="D53" s="600">
        <f>+'Asset Classification'!D53</f>
        <v>3690964093</v>
      </c>
      <c r="E53" s="600">
        <f>+'Asset Classification'!E53</f>
        <v>10039054997</v>
      </c>
      <c r="F53" s="600">
        <f>+'Asset Classification'!F53</f>
        <v>2270492466</v>
      </c>
      <c r="G53" s="600">
        <f>+'Asset Classification'!G53</f>
        <v>0</v>
      </c>
      <c r="H53" s="600">
        <f t="shared" ref="H53:I53" si="77">+H35+H37+H39+H41+H43+H45+H47+H49+H51</f>
        <v>100390549.97</v>
      </c>
      <c r="I53" s="600">
        <f t="shared" si="77"/>
        <v>-100390549.97</v>
      </c>
      <c r="J53" s="600">
        <f>+'Asset Classification'!I53</f>
        <v>3532847141</v>
      </c>
      <c r="K53" s="600">
        <f>+'Asset Classification'!J53</f>
        <v>1273747781</v>
      </c>
      <c r="L53" s="600">
        <f>+'Asset Classification'!K53</f>
        <v>108709846</v>
      </c>
      <c r="M53" s="600">
        <f t="shared" ref="M53:N53" si="78">+M35+M37+M39+M41+M43+M45+M47+M49+M51</f>
        <v>353284714.10000002</v>
      </c>
      <c r="N53" s="600">
        <f t="shared" si="78"/>
        <v>-244574868.10000002</v>
      </c>
      <c r="O53" s="600">
        <f>+'Asset Classification'!L53</f>
        <v>24667860</v>
      </c>
      <c r="P53" s="600">
        <f t="shared" ref="P53:Q53" si="79">+P35+P37+P39+P41+P43+P45+P47+P49+P51</f>
        <v>127374778.09999999</v>
      </c>
      <c r="Q53" s="600">
        <f t="shared" si="79"/>
        <v>-102706918.09999999</v>
      </c>
      <c r="R53" s="600">
        <f>+'Asset Classification'!M53</f>
        <v>102373443</v>
      </c>
      <c r="S53" s="600">
        <f>+'Asset Classification'!N53</f>
        <v>829118</v>
      </c>
      <c r="T53" s="600">
        <f>+'Asset Classification'!O53</f>
        <v>1716703</v>
      </c>
      <c r="U53" s="600">
        <f t="shared" ref="U53:V53" si="80">+U35+U37+U39+U41+U43+U45+U47+U49+U51</f>
        <v>25593360.75</v>
      </c>
      <c r="V53" s="600">
        <f t="shared" si="80"/>
        <v>-23876657.75</v>
      </c>
      <c r="W53" s="600">
        <f>+'Asset Classification'!P53</f>
        <v>74120</v>
      </c>
      <c r="X53" s="600">
        <f t="shared" ref="X53:Y53" si="81">+X35+X37+X39+X41+X43+X45+X47+X49+X51</f>
        <v>207279.5</v>
      </c>
      <c r="Y53" s="600">
        <f t="shared" si="81"/>
        <v>-133159.5</v>
      </c>
      <c r="Z53" s="600">
        <f>+'Asset Classification'!Q53</f>
        <v>237587084</v>
      </c>
      <c r="AA53" s="600">
        <f>+'Asset Classification'!R53</f>
        <v>3072659</v>
      </c>
      <c r="AB53" s="600">
        <f>+'Asset Classification'!S53</f>
        <v>12546992</v>
      </c>
      <c r="AC53" s="600">
        <f t="shared" ref="AC53:AG53" si="82">+AC35+AC37+AC39+AC41+AC43+AC45+AC47+AC49+AC51</f>
        <v>118793542</v>
      </c>
      <c r="AD53" s="600">
        <f t="shared" si="82"/>
        <v>-106246550</v>
      </c>
      <c r="AE53" s="600">
        <f>+'Asset Classification'!T53</f>
        <v>0</v>
      </c>
      <c r="AF53" s="600">
        <f t="shared" si="82"/>
        <v>1536329.5</v>
      </c>
      <c r="AG53" s="600">
        <f t="shared" si="82"/>
        <v>-1536329.5</v>
      </c>
      <c r="AH53" s="600">
        <f>+'Asset Classification'!U53</f>
        <v>525217870</v>
      </c>
      <c r="AI53" s="600">
        <f>+'Asset Classification'!V53</f>
        <v>142822069</v>
      </c>
      <c r="AJ53" s="600">
        <f>+'Asset Classification'!W53</f>
        <v>103010246</v>
      </c>
      <c r="AK53" s="600">
        <f t="shared" ref="AK53:AL53" si="83">+AK35+AK37+AK39+AK41+AK43+AK45+AK47+AK49+AK51</f>
        <v>525217870</v>
      </c>
      <c r="AL53" s="600">
        <f t="shared" si="83"/>
        <v>-422207624</v>
      </c>
      <c r="AM53" s="600">
        <f>+'Asset Classification'!X53</f>
        <v>4132442</v>
      </c>
      <c r="AN53" s="600">
        <f t="shared" ref="AN53:AU53" si="84">+AN35+AN37+AN39+AN41+AN43+AN45+AN47+AN49+AN51</f>
        <v>142822069</v>
      </c>
      <c r="AO53" s="600">
        <f t="shared" si="84"/>
        <v>-138689627</v>
      </c>
      <c r="AP53" s="600">
        <f t="shared" si="84"/>
        <v>225983787</v>
      </c>
      <c r="AQ53" s="600">
        <f t="shared" si="84"/>
        <v>1022889486.8500001</v>
      </c>
      <c r="AR53" s="600">
        <f t="shared" si="84"/>
        <v>-796905699.8499999</v>
      </c>
      <c r="AS53" s="600">
        <f t="shared" si="84"/>
        <v>28874422</v>
      </c>
      <c r="AT53" s="600">
        <f t="shared" si="84"/>
        <v>271940456.09999996</v>
      </c>
      <c r="AU53" s="600">
        <f t="shared" si="84"/>
        <v>-243066034.09999999</v>
      </c>
      <c r="AV53" s="619">
        <f>+'Aging Analysis'!C35</f>
        <v>14437080535</v>
      </c>
    </row>
    <row r="54" spans="1:55" s="265" customFormat="1" ht="23.25" customHeight="1">
      <c r="A54" s="610"/>
      <c r="B54" s="620" t="s">
        <v>660</v>
      </c>
      <c r="C54" s="611">
        <f>+'Asset Classification'!C54</f>
        <v>0</v>
      </c>
      <c r="D54" s="624">
        <f>+'Asset Classification'!D54</f>
        <v>0</v>
      </c>
      <c r="E54" s="621">
        <f>+'Asset Classification'!E54</f>
        <v>0</v>
      </c>
      <c r="F54" s="624">
        <f>+'Asset Classification'!F54</f>
        <v>0</v>
      </c>
      <c r="G54" s="621">
        <f>+'Asset Classification'!G54</f>
        <v>0</v>
      </c>
      <c r="H54" s="612">
        <f t="shared" ref="H54" si="85">+E54*1%</f>
        <v>0</v>
      </c>
      <c r="I54" s="612">
        <f t="shared" ref="I54" si="86">+G54-H54</f>
        <v>0</v>
      </c>
      <c r="J54" s="621">
        <f>+'Asset Classification'!I54</f>
        <v>0</v>
      </c>
      <c r="K54" s="624">
        <f>+'Asset Classification'!J54</f>
        <v>0</v>
      </c>
      <c r="L54" s="621">
        <f>+'Asset Classification'!K54</f>
        <v>0</v>
      </c>
      <c r="M54" s="612">
        <f t="shared" ref="M54" si="87">+J54*10%</f>
        <v>0</v>
      </c>
      <c r="N54" s="612">
        <f t="shared" ref="N54" si="88">+L54-M54</f>
        <v>0</v>
      </c>
      <c r="O54" s="624">
        <f>+'Asset Classification'!L54</f>
        <v>0</v>
      </c>
      <c r="P54" s="612">
        <f t="shared" ref="P54" si="89">+K54*10%</f>
        <v>0</v>
      </c>
      <c r="Q54" s="612">
        <f t="shared" ref="Q54" si="90">+O54-P54</f>
        <v>0</v>
      </c>
      <c r="R54" s="621">
        <f>+'Asset Classification'!M54</f>
        <v>0</v>
      </c>
      <c r="S54" s="624">
        <f>+'Asset Classification'!N54</f>
        <v>0</v>
      </c>
      <c r="T54" s="621">
        <f>+'Asset Classification'!O54</f>
        <v>0</v>
      </c>
      <c r="U54" s="612">
        <f t="shared" ref="U54" si="91">+R54*25%</f>
        <v>0</v>
      </c>
      <c r="V54" s="612">
        <f t="shared" ref="V54" si="92">+T54-U54</f>
        <v>0</v>
      </c>
      <c r="W54" s="624">
        <f>+'Asset Classification'!P54</f>
        <v>0</v>
      </c>
      <c r="X54" s="612">
        <f t="shared" ref="X54" si="93">+S54*25%</f>
        <v>0</v>
      </c>
      <c r="Y54" s="612">
        <f t="shared" ref="Y54" si="94">+W54-X54</f>
        <v>0</v>
      </c>
      <c r="Z54" s="621">
        <f>+'Asset Classification'!Q54</f>
        <v>0</v>
      </c>
      <c r="AA54" s="624">
        <f>+'Asset Classification'!R54</f>
        <v>0</v>
      </c>
      <c r="AB54" s="621">
        <f>+'Asset Classification'!S54</f>
        <v>0</v>
      </c>
      <c r="AC54" s="612">
        <f t="shared" ref="AC54" si="95">+Z54*50%</f>
        <v>0</v>
      </c>
      <c r="AD54" s="612">
        <f t="shared" ref="AD54" si="96">+AB54-AC54</f>
        <v>0</v>
      </c>
      <c r="AE54" s="624">
        <f>+'Asset Classification'!T54</f>
        <v>0</v>
      </c>
      <c r="AF54" s="612">
        <f t="shared" ref="AF54" si="97">+AA54*50%</f>
        <v>0</v>
      </c>
      <c r="AG54" s="612">
        <f t="shared" ref="AG54" si="98">+AE54-AF54</f>
        <v>0</v>
      </c>
      <c r="AH54" s="621">
        <f>+'Asset Classification'!U54</f>
        <v>0</v>
      </c>
      <c r="AI54" s="624">
        <f>+'Asset Classification'!V54</f>
        <v>0</v>
      </c>
      <c r="AJ54" s="621">
        <f>+'Asset Classification'!W54</f>
        <v>0</v>
      </c>
      <c r="AK54" s="612">
        <f t="shared" ref="AK54" si="99">+AH54*100%</f>
        <v>0</v>
      </c>
      <c r="AL54" s="612">
        <f t="shared" ref="AL54" si="100">+AJ54-AK54</f>
        <v>0</v>
      </c>
      <c r="AM54" s="624">
        <f>+'Asset Classification'!X54</f>
        <v>0</v>
      </c>
      <c r="AN54" s="612">
        <f t="shared" ref="AN54" si="101">+AI54*100%</f>
        <v>0</v>
      </c>
      <c r="AO54" s="612">
        <f t="shared" ref="AO54" si="102">+AM54-AN54</f>
        <v>0</v>
      </c>
      <c r="AP54" s="599">
        <f t="shared" ref="AP54" si="103">+L54+T54+AB54+AJ54</f>
        <v>0</v>
      </c>
      <c r="AQ54" s="599">
        <f t="shared" ref="AQ54" si="104">+M54+U54+AC54+AK54</f>
        <v>0</v>
      </c>
      <c r="AR54" s="599">
        <f t="shared" ref="AR54" si="105">+AP54-AQ54</f>
        <v>0</v>
      </c>
      <c r="AS54" s="612">
        <f t="shared" ref="AS54" si="106">+O54+W54+AE54+AM54</f>
        <v>0</v>
      </c>
      <c r="AT54" s="612">
        <f t="shared" ref="AT54" si="107">+P54+X54+AF54+AN54</f>
        <v>0</v>
      </c>
      <c r="AU54" s="612">
        <f t="shared" ref="AU54" si="108">+AS54-AT54</f>
        <v>0</v>
      </c>
      <c r="AV54" s="614"/>
      <c r="AW54" s="614"/>
      <c r="AX54" s="614"/>
      <c r="AY54" s="614"/>
      <c r="AZ54" s="614"/>
      <c r="BA54" s="614"/>
      <c r="BB54" s="614"/>
      <c r="BC54" s="614"/>
    </row>
    <row r="55" spans="1:55" s="609" customFormat="1" ht="27.75" customHeight="1">
      <c r="A55" s="583"/>
      <c r="B55" s="583" t="s">
        <v>670</v>
      </c>
      <c r="C55" s="600"/>
      <c r="D55" s="600"/>
      <c r="E55" s="600"/>
      <c r="F55" s="600"/>
      <c r="G55" s="600"/>
      <c r="H55" s="600"/>
      <c r="I55" s="600"/>
      <c r="J55" s="600"/>
      <c r="K55" s="600"/>
      <c r="L55" s="600"/>
      <c r="M55" s="600"/>
      <c r="N55" s="600"/>
      <c r="O55" s="600"/>
      <c r="P55" s="600"/>
      <c r="Q55" s="600"/>
      <c r="R55" s="600"/>
      <c r="S55" s="600"/>
      <c r="T55" s="600"/>
      <c r="U55" s="600"/>
      <c r="V55" s="600"/>
      <c r="W55" s="600"/>
      <c r="X55" s="600"/>
      <c r="Y55" s="600"/>
      <c r="Z55" s="600"/>
      <c r="AA55" s="600"/>
      <c r="AB55" s="600"/>
      <c r="AC55" s="600"/>
      <c r="AD55" s="600"/>
      <c r="AE55" s="600"/>
      <c r="AF55" s="600"/>
      <c r="AG55" s="600"/>
      <c r="AH55" s="600"/>
      <c r="AI55" s="600"/>
      <c r="AJ55" s="600"/>
      <c r="AK55" s="600"/>
      <c r="AL55" s="600"/>
      <c r="AM55" s="600"/>
      <c r="AN55" s="600"/>
      <c r="AO55" s="600"/>
      <c r="AP55" s="600"/>
      <c r="AQ55" s="600"/>
      <c r="AR55" s="600"/>
      <c r="AS55" s="600"/>
      <c r="AT55" s="600"/>
      <c r="AU55" s="600"/>
    </row>
    <row r="56" spans="1:55" s="265" customFormat="1" ht="7.5" customHeight="1">
      <c r="A56" s="294"/>
      <c r="B56" s="294"/>
      <c r="C56" s="622"/>
      <c r="D56" s="623"/>
      <c r="E56" s="622"/>
      <c r="F56" s="622"/>
      <c r="G56" s="622"/>
      <c r="H56" s="622"/>
      <c r="I56" s="622"/>
      <c r="J56" s="622"/>
      <c r="K56" s="622"/>
      <c r="L56" s="622"/>
      <c r="M56" s="622"/>
      <c r="N56" s="622"/>
      <c r="O56" s="622"/>
      <c r="P56" s="622"/>
      <c r="Q56" s="622"/>
      <c r="R56" s="622"/>
      <c r="S56" s="622"/>
      <c r="T56" s="622"/>
      <c r="U56" s="622"/>
      <c r="V56" s="622"/>
      <c r="W56" s="622"/>
      <c r="X56" s="622"/>
      <c r="Y56" s="622"/>
      <c r="Z56" s="622"/>
      <c r="AA56" s="622"/>
      <c r="AB56" s="622"/>
      <c r="AC56" s="622"/>
      <c r="AD56" s="622"/>
      <c r="AE56" s="622"/>
      <c r="AF56" s="622"/>
      <c r="AG56" s="622"/>
      <c r="AH56" s="622"/>
      <c r="AI56" s="622"/>
      <c r="AJ56" s="622"/>
      <c r="AK56" s="622"/>
      <c r="AL56" s="622"/>
      <c r="AM56" s="622"/>
      <c r="AN56" s="622"/>
      <c r="AO56" s="622"/>
      <c r="AP56" s="622"/>
      <c r="AQ56" s="622"/>
      <c r="AR56" s="622"/>
      <c r="AS56" s="622"/>
      <c r="AT56" s="622"/>
      <c r="AU56" s="622"/>
      <c r="AV56" s="614"/>
      <c r="AW56" s="614"/>
      <c r="AX56" s="614"/>
      <c r="AY56" s="614"/>
      <c r="AZ56" s="614"/>
      <c r="BA56" s="614"/>
      <c r="BB56" s="614"/>
      <c r="BC56" s="614"/>
    </row>
    <row r="57" spans="1:55" s="228" customFormat="1" ht="21.75" customHeight="1">
      <c r="A57" s="610">
        <v>24</v>
      </c>
      <c r="B57" s="398" t="s">
        <v>671</v>
      </c>
      <c r="C57" s="611">
        <f>+'Asset Classification'!C57</f>
        <v>912746946</v>
      </c>
      <c r="D57" s="612">
        <f>+'Asset Classification'!D57</f>
        <v>71320366</v>
      </c>
      <c r="E57" s="617">
        <f>+'Asset Classification'!E57</f>
        <v>761509616</v>
      </c>
      <c r="F57" s="618">
        <f>+'Asset Classification'!F57</f>
        <v>60585069</v>
      </c>
      <c r="G57" s="617">
        <f>+'Asset Classification'!G57</f>
        <v>0</v>
      </c>
      <c r="H57" s="612">
        <f t="shared" ref="H57:H70" si="109">+E57*1%</f>
        <v>7615096.1600000001</v>
      </c>
      <c r="I57" s="612">
        <f t="shared" ref="I57:I70" si="110">+G57-H57</f>
        <v>-7615096.1600000001</v>
      </c>
      <c r="J57" s="617">
        <f>+'Asset Classification'!I57</f>
        <v>131048212</v>
      </c>
      <c r="K57" s="618">
        <f>+'Asset Classification'!J57</f>
        <v>10735297</v>
      </c>
      <c r="L57" s="617">
        <f>+'Asset Classification'!K57</f>
        <v>2351085</v>
      </c>
      <c r="M57" s="612">
        <f t="shared" ref="M57:M70" si="111">+J57*10%</f>
        <v>13104821.200000001</v>
      </c>
      <c r="N57" s="612">
        <f t="shared" ref="N57:N70" si="112">+L57-M57</f>
        <v>-10753736.200000001</v>
      </c>
      <c r="O57" s="618">
        <f>+'Asset Classification'!L57</f>
        <v>543893</v>
      </c>
      <c r="P57" s="612">
        <f t="shared" ref="P57:P70" si="113">+K57*10%</f>
        <v>1073529.7</v>
      </c>
      <c r="Q57" s="612">
        <f t="shared" ref="Q57:Q70" si="114">+O57-P57</f>
        <v>-529636.69999999995</v>
      </c>
      <c r="R57" s="617">
        <f>+'Asset Classification'!M57</f>
        <v>3935647</v>
      </c>
      <c r="S57" s="618">
        <f>+'Asset Classification'!N57</f>
        <v>0</v>
      </c>
      <c r="T57" s="617">
        <f>+'Asset Classification'!O57</f>
        <v>33888</v>
      </c>
      <c r="U57" s="612">
        <f t="shared" ref="U57:U70" si="115">+R57*25%</f>
        <v>983911.75</v>
      </c>
      <c r="V57" s="612">
        <f t="shared" ref="V57:V70" si="116">+T57-U57</f>
        <v>-950023.75</v>
      </c>
      <c r="W57" s="618">
        <f>+'Asset Classification'!P57</f>
        <v>0</v>
      </c>
      <c r="X57" s="612">
        <f t="shared" ref="X57:X70" si="117">+S57*25%</f>
        <v>0</v>
      </c>
      <c r="Y57" s="612">
        <f t="shared" ref="Y57:Y70" si="118">+W57-X57</f>
        <v>0</v>
      </c>
      <c r="Z57" s="617">
        <f>+'Asset Classification'!Q57</f>
        <v>4239543</v>
      </c>
      <c r="AA57" s="618">
        <f>+'Asset Classification'!R57</f>
        <v>0</v>
      </c>
      <c r="AB57" s="617">
        <f>+'Asset Classification'!S57</f>
        <v>162633</v>
      </c>
      <c r="AC57" s="612">
        <f t="shared" ref="AC57:AC70" si="119">+Z57*50%</f>
        <v>2119771.5</v>
      </c>
      <c r="AD57" s="612">
        <f t="shared" ref="AD57:AD70" si="120">+AB57-AC57</f>
        <v>-1957138.5</v>
      </c>
      <c r="AE57" s="618">
        <f>+'Asset Classification'!T57</f>
        <v>0</v>
      </c>
      <c r="AF57" s="612">
        <f t="shared" ref="AF57:AF70" si="121">+AA57*50%</f>
        <v>0</v>
      </c>
      <c r="AG57" s="612">
        <f t="shared" ref="AG57:AG70" si="122">+AE57-AF57</f>
        <v>0</v>
      </c>
      <c r="AH57" s="617">
        <f>+'Asset Classification'!U57</f>
        <v>12013928</v>
      </c>
      <c r="AI57" s="618">
        <f>+'Asset Classification'!V57</f>
        <v>0</v>
      </c>
      <c r="AJ57" s="617">
        <f>+'Asset Classification'!W57</f>
        <v>2118086</v>
      </c>
      <c r="AK57" s="612">
        <f t="shared" ref="AK57:AK70" si="123">+AH57*100%</f>
        <v>12013928</v>
      </c>
      <c r="AL57" s="612">
        <f t="shared" ref="AL57:AL70" si="124">+AJ57-AK57</f>
        <v>-9895842</v>
      </c>
      <c r="AM57" s="618">
        <f>+'Asset Classification'!X57</f>
        <v>0</v>
      </c>
      <c r="AN57" s="612">
        <f t="shared" ref="AN57:AN70" si="125">+AI57*100%</f>
        <v>0</v>
      </c>
      <c r="AO57" s="612">
        <f t="shared" ref="AO57:AO70" si="126">+AM57-AN57</f>
        <v>0</v>
      </c>
      <c r="AP57" s="599">
        <f t="shared" ref="AP57:AQ70" si="127">+L57+T57+AB57+AJ57</f>
        <v>4665692</v>
      </c>
      <c r="AQ57" s="599">
        <f t="shared" si="127"/>
        <v>28222432.450000003</v>
      </c>
      <c r="AR57" s="599">
        <f t="shared" ref="AR57:AR70" si="128">+AP57-AQ57</f>
        <v>-23556740.450000003</v>
      </c>
      <c r="AS57" s="612">
        <f t="shared" ref="AS57:AT70" si="129">+O57+W57+AE57+AM57</f>
        <v>543893</v>
      </c>
      <c r="AT57" s="612">
        <f t="shared" si="129"/>
        <v>1073529.7</v>
      </c>
      <c r="AU57" s="612">
        <f t="shared" ref="AU57:AU70" si="130">+AS57-AT57</f>
        <v>-529636.69999999995</v>
      </c>
      <c r="AV57" s="626"/>
      <c r="AW57" s="626"/>
      <c r="AX57" s="626"/>
      <c r="AY57" s="626"/>
      <c r="AZ57" s="626"/>
      <c r="BA57" s="626"/>
      <c r="BB57" s="626"/>
      <c r="BC57" s="626"/>
    </row>
    <row r="58" spans="1:55" s="228" customFormat="1" ht="21.75" customHeight="1">
      <c r="A58" s="610">
        <v>25</v>
      </c>
      <c r="B58" s="398" t="s">
        <v>672</v>
      </c>
      <c r="C58" s="611">
        <f>+'Asset Classification'!C58</f>
        <v>739398703</v>
      </c>
      <c r="D58" s="612">
        <f>+'Asset Classification'!D58</f>
        <v>145226474</v>
      </c>
      <c r="E58" s="617">
        <f>+'Asset Classification'!E58</f>
        <v>273119457</v>
      </c>
      <c r="F58" s="618">
        <f>+'Asset Classification'!F58</f>
        <v>36040961</v>
      </c>
      <c r="G58" s="617">
        <f>+'Asset Classification'!G58</f>
        <v>0</v>
      </c>
      <c r="H58" s="612">
        <f t="shared" si="109"/>
        <v>2731194.57</v>
      </c>
      <c r="I58" s="612">
        <f t="shared" si="110"/>
        <v>-2731194.57</v>
      </c>
      <c r="J58" s="617">
        <f>+'Asset Classification'!I58</f>
        <v>299974784</v>
      </c>
      <c r="K58" s="618">
        <f>+'Asset Classification'!J58</f>
        <v>103280830</v>
      </c>
      <c r="L58" s="617">
        <f>+'Asset Classification'!K58</f>
        <v>29296143</v>
      </c>
      <c r="M58" s="612">
        <f t="shared" si="111"/>
        <v>29997478.400000002</v>
      </c>
      <c r="N58" s="612">
        <f t="shared" si="112"/>
        <v>-701335.40000000224</v>
      </c>
      <c r="O58" s="618">
        <f>+'Asset Classification'!L58</f>
        <v>3084693</v>
      </c>
      <c r="P58" s="612">
        <f t="shared" si="113"/>
        <v>10328083</v>
      </c>
      <c r="Q58" s="612">
        <f t="shared" si="114"/>
        <v>-7243390</v>
      </c>
      <c r="R58" s="617">
        <f>+'Asset Classification'!M58</f>
        <v>24498257</v>
      </c>
      <c r="S58" s="618">
        <f>+'Asset Classification'!N58</f>
        <v>0</v>
      </c>
      <c r="T58" s="617">
        <f>+'Asset Classification'!O58</f>
        <v>230324</v>
      </c>
      <c r="U58" s="612">
        <f t="shared" si="115"/>
        <v>6124564.25</v>
      </c>
      <c r="V58" s="612">
        <f t="shared" si="116"/>
        <v>-5894240.25</v>
      </c>
      <c r="W58" s="618">
        <f>+'Asset Classification'!P58</f>
        <v>0</v>
      </c>
      <c r="X58" s="612">
        <f t="shared" si="117"/>
        <v>0</v>
      </c>
      <c r="Y58" s="612">
        <f t="shared" si="118"/>
        <v>0</v>
      </c>
      <c r="Z58" s="617">
        <f>+'Asset Classification'!Q58</f>
        <v>64491314</v>
      </c>
      <c r="AA58" s="618">
        <f>+'Asset Classification'!R58</f>
        <v>0</v>
      </c>
      <c r="AB58" s="617">
        <f>+'Asset Classification'!S58</f>
        <v>1477052</v>
      </c>
      <c r="AC58" s="612">
        <f t="shared" si="119"/>
        <v>32245657</v>
      </c>
      <c r="AD58" s="612">
        <f t="shared" si="120"/>
        <v>-30768605</v>
      </c>
      <c r="AE58" s="618">
        <f>+'Asset Classification'!T58</f>
        <v>0</v>
      </c>
      <c r="AF58" s="612">
        <f t="shared" si="121"/>
        <v>0</v>
      </c>
      <c r="AG58" s="612">
        <f t="shared" si="122"/>
        <v>0</v>
      </c>
      <c r="AH58" s="617">
        <f>+'Asset Classification'!U58</f>
        <v>77314891</v>
      </c>
      <c r="AI58" s="618">
        <f>+'Asset Classification'!V58</f>
        <v>5904683</v>
      </c>
      <c r="AJ58" s="617">
        <f>+'Asset Classification'!W58</f>
        <v>29626476</v>
      </c>
      <c r="AK58" s="612">
        <f t="shared" si="123"/>
        <v>77314891</v>
      </c>
      <c r="AL58" s="612">
        <f t="shared" si="124"/>
        <v>-47688415</v>
      </c>
      <c r="AM58" s="618">
        <f>+'Asset Classification'!X58</f>
        <v>0</v>
      </c>
      <c r="AN58" s="612">
        <f t="shared" si="125"/>
        <v>5904683</v>
      </c>
      <c r="AO58" s="612">
        <f t="shared" si="126"/>
        <v>-5904683</v>
      </c>
      <c r="AP58" s="599">
        <f t="shared" si="127"/>
        <v>60629995</v>
      </c>
      <c r="AQ58" s="599">
        <f t="shared" si="127"/>
        <v>145682590.65000001</v>
      </c>
      <c r="AR58" s="599">
        <f t="shared" si="128"/>
        <v>-85052595.650000006</v>
      </c>
      <c r="AS58" s="612">
        <f t="shared" si="129"/>
        <v>3084693</v>
      </c>
      <c r="AT58" s="612">
        <f t="shared" si="129"/>
        <v>16232766</v>
      </c>
      <c r="AU58" s="612">
        <f t="shared" si="130"/>
        <v>-13148073</v>
      </c>
      <c r="AV58" s="626"/>
      <c r="AW58" s="626"/>
      <c r="AX58" s="626"/>
      <c r="AY58" s="626"/>
      <c r="AZ58" s="626"/>
      <c r="BA58" s="626"/>
      <c r="BB58" s="626"/>
      <c r="BC58" s="626"/>
    </row>
    <row r="59" spans="1:55" s="228" customFormat="1" ht="21.75" customHeight="1">
      <c r="A59" s="610">
        <v>26</v>
      </c>
      <c r="B59" s="398" t="s">
        <v>673</v>
      </c>
      <c r="C59" s="611">
        <f>+'Asset Classification'!C59</f>
        <v>1020516691</v>
      </c>
      <c r="D59" s="612">
        <f>+'Asset Classification'!D59</f>
        <v>189370273</v>
      </c>
      <c r="E59" s="617">
        <f>+'Asset Classification'!E59</f>
        <v>774014879</v>
      </c>
      <c r="F59" s="618">
        <f>+'Asset Classification'!F59</f>
        <v>113243062</v>
      </c>
      <c r="G59" s="617">
        <f>+'Asset Classification'!G59</f>
        <v>0</v>
      </c>
      <c r="H59" s="612">
        <f t="shared" si="109"/>
        <v>7740148.79</v>
      </c>
      <c r="I59" s="612">
        <f t="shared" si="110"/>
        <v>-7740148.79</v>
      </c>
      <c r="J59" s="617">
        <f>+'Asset Classification'!I59</f>
        <v>199398641</v>
      </c>
      <c r="K59" s="618">
        <f>+'Asset Classification'!J59</f>
        <v>75386013</v>
      </c>
      <c r="L59" s="617">
        <f>+'Asset Classification'!K59</f>
        <v>3236180</v>
      </c>
      <c r="M59" s="612">
        <f t="shared" si="111"/>
        <v>19939864.100000001</v>
      </c>
      <c r="N59" s="612">
        <f t="shared" si="112"/>
        <v>-16703684.100000001</v>
      </c>
      <c r="O59" s="618">
        <f>+'Asset Classification'!L59</f>
        <v>309611</v>
      </c>
      <c r="P59" s="612">
        <f t="shared" si="113"/>
        <v>7538601.3000000007</v>
      </c>
      <c r="Q59" s="612">
        <f t="shared" si="114"/>
        <v>-7228990.3000000007</v>
      </c>
      <c r="R59" s="617">
        <f>+'Asset Classification'!M59</f>
        <v>3282738</v>
      </c>
      <c r="S59" s="618">
        <f>+'Asset Classification'!N59</f>
        <v>741198</v>
      </c>
      <c r="T59" s="617">
        <f>+'Asset Classification'!O59</f>
        <v>105444</v>
      </c>
      <c r="U59" s="612">
        <f t="shared" si="115"/>
        <v>820684.5</v>
      </c>
      <c r="V59" s="612">
        <f t="shared" si="116"/>
        <v>-715240.5</v>
      </c>
      <c r="W59" s="618">
        <f>+'Asset Classification'!P59</f>
        <v>74120</v>
      </c>
      <c r="X59" s="612">
        <f t="shared" si="117"/>
        <v>185299.5</v>
      </c>
      <c r="Y59" s="612">
        <f t="shared" si="118"/>
        <v>-111179.5</v>
      </c>
      <c r="Z59" s="617">
        <f>+'Asset Classification'!Q59</f>
        <v>9154425</v>
      </c>
      <c r="AA59" s="618">
        <f>+'Asset Classification'!R59</f>
        <v>0</v>
      </c>
      <c r="AB59" s="617">
        <f>+'Asset Classification'!S59</f>
        <v>440303</v>
      </c>
      <c r="AC59" s="612">
        <f t="shared" si="119"/>
        <v>4577212.5</v>
      </c>
      <c r="AD59" s="612">
        <f t="shared" si="120"/>
        <v>-4136909.5</v>
      </c>
      <c r="AE59" s="618">
        <f>+'Asset Classification'!T59</f>
        <v>0</v>
      </c>
      <c r="AF59" s="612">
        <f t="shared" si="121"/>
        <v>0</v>
      </c>
      <c r="AG59" s="612">
        <f t="shared" si="122"/>
        <v>0</v>
      </c>
      <c r="AH59" s="617">
        <f>+'Asset Classification'!U59</f>
        <v>34666008</v>
      </c>
      <c r="AI59" s="618">
        <f>+'Asset Classification'!V59</f>
        <v>0</v>
      </c>
      <c r="AJ59" s="617">
        <f>+'Asset Classification'!W59</f>
        <v>8108086</v>
      </c>
      <c r="AK59" s="612">
        <f t="shared" si="123"/>
        <v>34666008</v>
      </c>
      <c r="AL59" s="612">
        <f t="shared" si="124"/>
        <v>-26557922</v>
      </c>
      <c r="AM59" s="618">
        <f>+'Asset Classification'!X59</f>
        <v>0</v>
      </c>
      <c r="AN59" s="612">
        <f t="shared" si="125"/>
        <v>0</v>
      </c>
      <c r="AO59" s="612">
        <f t="shared" si="126"/>
        <v>0</v>
      </c>
      <c r="AP59" s="599">
        <f t="shared" si="127"/>
        <v>11890013</v>
      </c>
      <c r="AQ59" s="599">
        <f t="shared" si="127"/>
        <v>60003769.100000001</v>
      </c>
      <c r="AR59" s="599">
        <f t="shared" si="128"/>
        <v>-48113756.100000001</v>
      </c>
      <c r="AS59" s="612">
        <f t="shared" si="129"/>
        <v>383731</v>
      </c>
      <c r="AT59" s="612">
        <f t="shared" si="129"/>
        <v>7723900.8000000007</v>
      </c>
      <c r="AU59" s="612">
        <f t="shared" si="130"/>
        <v>-7340169.8000000007</v>
      </c>
      <c r="AV59" s="626"/>
      <c r="AW59" s="626"/>
      <c r="AX59" s="626"/>
      <c r="AY59" s="626"/>
      <c r="AZ59" s="626"/>
      <c r="BA59" s="626"/>
      <c r="BB59" s="626"/>
      <c r="BC59" s="626"/>
    </row>
    <row r="60" spans="1:55" s="228" customFormat="1" ht="21.75" customHeight="1">
      <c r="A60" s="610">
        <v>27</v>
      </c>
      <c r="B60" s="398" t="s">
        <v>674</v>
      </c>
      <c r="C60" s="611">
        <f>+'Asset Classification'!C60</f>
        <v>594045095</v>
      </c>
      <c r="D60" s="612">
        <f>+'Asset Classification'!D60</f>
        <v>87780448</v>
      </c>
      <c r="E60" s="617">
        <f>+'Asset Classification'!E60</f>
        <v>366818870</v>
      </c>
      <c r="F60" s="618">
        <f>+'Asset Classification'!F60</f>
        <v>79704057</v>
      </c>
      <c r="G60" s="617">
        <f>+'Asset Classification'!G60</f>
        <v>0</v>
      </c>
      <c r="H60" s="612">
        <f t="shared" si="109"/>
        <v>3668188.7</v>
      </c>
      <c r="I60" s="612">
        <f t="shared" si="110"/>
        <v>-3668188.7</v>
      </c>
      <c r="J60" s="617">
        <f>+'Asset Classification'!I60</f>
        <v>171674615</v>
      </c>
      <c r="K60" s="618">
        <f>+'Asset Classification'!J60</f>
        <v>7647277</v>
      </c>
      <c r="L60" s="617">
        <f>+'Asset Classification'!K60</f>
        <v>2856019</v>
      </c>
      <c r="M60" s="612">
        <f t="shared" si="111"/>
        <v>17167461.5</v>
      </c>
      <c r="N60" s="612">
        <f t="shared" si="112"/>
        <v>-14311442.5</v>
      </c>
      <c r="O60" s="618">
        <f>+'Asset Classification'!L60</f>
        <v>0</v>
      </c>
      <c r="P60" s="612">
        <f t="shared" si="113"/>
        <v>764727.70000000007</v>
      </c>
      <c r="Q60" s="612">
        <f t="shared" si="114"/>
        <v>-764727.70000000007</v>
      </c>
      <c r="R60" s="617">
        <f>+'Asset Classification'!M60</f>
        <v>9987314</v>
      </c>
      <c r="S60" s="618">
        <f>+'Asset Classification'!N60</f>
        <v>87920</v>
      </c>
      <c r="T60" s="617">
        <f>+'Asset Classification'!O60</f>
        <v>171403</v>
      </c>
      <c r="U60" s="612">
        <f t="shared" si="115"/>
        <v>2496828.5</v>
      </c>
      <c r="V60" s="612">
        <f t="shared" si="116"/>
        <v>-2325425.5</v>
      </c>
      <c r="W60" s="618">
        <f>+'Asset Classification'!P60</f>
        <v>0</v>
      </c>
      <c r="X60" s="612">
        <f t="shared" si="117"/>
        <v>21980</v>
      </c>
      <c r="Y60" s="612">
        <f t="shared" si="118"/>
        <v>-21980</v>
      </c>
      <c r="Z60" s="617">
        <f>+'Asset Classification'!Q60</f>
        <v>16127401</v>
      </c>
      <c r="AA60" s="618">
        <f>+'Asset Classification'!R60</f>
        <v>0</v>
      </c>
      <c r="AB60" s="617">
        <f>+'Asset Classification'!S60</f>
        <v>1026348</v>
      </c>
      <c r="AC60" s="612">
        <f t="shared" si="119"/>
        <v>8063700.5</v>
      </c>
      <c r="AD60" s="612">
        <f t="shared" si="120"/>
        <v>-7037352.5</v>
      </c>
      <c r="AE60" s="618">
        <f>+'Asset Classification'!T60</f>
        <v>0</v>
      </c>
      <c r="AF60" s="612">
        <f t="shared" si="121"/>
        <v>0</v>
      </c>
      <c r="AG60" s="612">
        <f t="shared" si="122"/>
        <v>0</v>
      </c>
      <c r="AH60" s="617">
        <f>+'Asset Classification'!U60</f>
        <v>29436895</v>
      </c>
      <c r="AI60" s="618">
        <f>+'Asset Classification'!V60</f>
        <v>341194</v>
      </c>
      <c r="AJ60" s="617">
        <f>+'Asset Classification'!W60</f>
        <v>3287580</v>
      </c>
      <c r="AK60" s="612">
        <f t="shared" si="123"/>
        <v>29436895</v>
      </c>
      <c r="AL60" s="612">
        <f t="shared" si="124"/>
        <v>-26149315</v>
      </c>
      <c r="AM60" s="618">
        <f>+'Asset Classification'!X60</f>
        <v>0</v>
      </c>
      <c r="AN60" s="612">
        <f t="shared" si="125"/>
        <v>341194</v>
      </c>
      <c r="AO60" s="612">
        <f t="shared" si="126"/>
        <v>-341194</v>
      </c>
      <c r="AP60" s="599">
        <f t="shared" si="127"/>
        <v>7341350</v>
      </c>
      <c r="AQ60" s="599">
        <f t="shared" si="127"/>
        <v>57164885.5</v>
      </c>
      <c r="AR60" s="599">
        <f t="shared" si="128"/>
        <v>-49823535.5</v>
      </c>
      <c r="AS60" s="612">
        <f t="shared" si="129"/>
        <v>0</v>
      </c>
      <c r="AT60" s="612">
        <f t="shared" si="129"/>
        <v>1127901.7000000002</v>
      </c>
      <c r="AU60" s="612">
        <f t="shared" si="130"/>
        <v>-1127901.7000000002</v>
      </c>
      <c r="AV60" s="626"/>
      <c r="AW60" s="626"/>
      <c r="AX60" s="626"/>
      <c r="AY60" s="626"/>
      <c r="AZ60" s="626"/>
      <c r="BA60" s="626"/>
      <c r="BB60" s="626"/>
      <c r="BC60" s="626"/>
    </row>
    <row r="61" spans="1:55" s="228" customFormat="1" ht="21.75" customHeight="1">
      <c r="A61" s="610">
        <v>28</v>
      </c>
      <c r="B61" s="398" t="s">
        <v>675</v>
      </c>
      <c r="C61" s="611">
        <f>+'Asset Classification'!C61</f>
        <v>838023733</v>
      </c>
      <c r="D61" s="612">
        <f>+'Asset Classification'!D61</f>
        <v>51966154</v>
      </c>
      <c r="E61" s="617">
        <f>+'Asset Classification'!E61</f>
        <v>615046455</v>
      </c>
      <c r="F61" s="618">
        <f>+'Asset Classification'!F61</f>
        <v>24951570</v>
      </c>
      <c r="G61" s="617">
        <f>+'Asset Classification'!G61</f>
        <v>0</v>
      </c>
      <c r="H61" s="612">
        <f t="shared" si="109"/>
        <v>6150464.5499999998</v>
      </c>
      <c r="I61" s="612">
        <f t="shared" si="110"/>
        <v>-6150464.5499999998</v>
      </c>
      <c r="J61" s="617">
        <f>+'Asset Classification'!I61</f>
        <v>181974509</v>
      </c>
      <c r="K61" s="618">
        <f>+'Asset Classification'!J61</f>
        <v>23387117</v>
      </c>
      <c r="L61" s="617">
        <f>+'Asset Classification'!K61</f>
        <v>5649087</v>
      </c>
      <c r="M61" s="612">
        <f t="shared" si="111"/>
        <v>18197450.900000002</v>
      </c>
      <c r="N61" s="612">
        <f t="shared" si="112"/>
        <v>-12548363.900000002</v>
      </c>
      <c r="O61" s="618">
        <f>+'Asset Classification'!L61</f>
        <v>2735125</v>
      </c>
      <c r="P61" s="612">
        <f t="shared" si="113"/>
        <v>2338711.7000000002</v>
      </c>
      <c r="Q61" s="612">
        <f t="shared" si="114"/>
        <v>396413.29999999981</v>
      </c>
      <c r="R61" s="617">
        <f>+'Asset Classification'!M61</f>
        <v>3656763</v>
      </c>
      <c r="S61" s="618">
        <f>+'Asset Classification'!N61</f>
        <v>0</v>
      </c>
      <c r="T61" s="617">
        <f>+'Asset Classification'!O61</f>
        <v>49678</v>
      </c>
      <c r="U61" s="612">
        <f t="shared" si="115"/>
        <v>914190.75</v>
      </c>
      <c r="V61" s="612">
        <f t="shared" si="116"/>
        <v>-864512.75</v>
      </c>
      <c r="W61" s="618">
        <f>+'Asset Classification'!P61</f>
        <v>0</v>
      </c>
      <c r="X61" s="612">
        <f t="shared" si="117"/>
        <v>0</v>
      </c>
      <c r="Y61" s="612">
        <f t="shared" si="118"/>
        <v>0</v>
      </c>
      <c r="Z61" s="617">
        <f>+'Asset Classification'!Q61</f>
        <v>5821631</v>
      </c>
      <c r="AA61" s="618">
        <f>+'Asset Classification'!R61</f>
        <v>0</v>
      </c>
      <c r="AB61" s="617">
        <f>+'Asset Classification'!S61</f>
        <v>150045</v>
      </c>
      <c r="AC61" s="612">
        <f t="shared" si="119"/>
        <v>2910815.5</v>
      </c>
      <c r="AD61" s="612">
        <f t="shared" si="120"/>
        <v>-2760770.5</v>
      </c>
      <c r="AE61" s="618">
        <f>+'Asset Classification'!T61</f>
        <v>0</v>
      </c>
      <c r="AF61" s="612">
        <f t="shared" si="121"/>
        <v>0</v>
      </c>
      <c r="AG61" s="612">
        <f t="shared" si="122"/>
        <v>0</v>
      </c>
      <c r="AH61" s="617">
        <f>+'Asset Classification'!U61</f>
        <v>31524375</v>
      </c>
      <c r="AI61" s="618">
        <f>+'Asset Classification'!V61</f>
        <v>3627467</v>
      </c>
      <c r="AJ61" s="617">
        <f>+'Asset Classification'!W61</f>
        <v>8309522</v>
      </c>
      <c r="AK61" s="612">
        <f t="shared" si="123"/>
        <v>31524375</v>
      </c>
      <c r="AL61" s="612">
        <f t="shared" si="124"/>
        <v>-23214853</v>
      </c>
      <c r="AM61" s="618">
        <f>+'Asset Classification'!X61</f>
        <v>0</v>
      </c>
      <c r="AN61" s="612">
        <f t="shared" si="125"/>
        <v>3627467</v>
      </c>
      <c r="AO61" s="612">
        <f t="shared" si="126"/>
        <v>-3627467</v>
      </c>
      <c r="AP61" s="599">
        <f t="shared" si="127"/>
        <v>14158332</v>
      </c>
      <c r="AQ61" s="599">
        <f t="shared" si="127"/>
        <v>53546832.150000006</v>
      </c>
      <c r="AR61" s="599">
        <f t="shared" si="128"/>
        <v>-39388500.150000006</v>
      </c>
      <c r="AS61" s="612">
        <f t="shared" si="129"/>
        <v>2735125</v>
      </c>
      <c r="AT61" s="612">
        <f t="shared" si="129"/>
        <v>5966178.7000000002</v>
      </c>
      <c r="AU61" s="612">
        <f t="shared" si="130"/>
        <v>-3231053.7</v>
      </c>
      <c r="AV61" s="626"/>
      <c r="AW61" s="626"/>
      <c r="AX61" s="626"/>
      <c r="AY61" s="626"/>
      <c r="AZ61" s="626"/>
      <c r="BA61" s="626"/>
      <c r="BB61" s="626"/>
      <c r="BC61" s="626"/>
    </row>
    <row r="62" spans="1:55" s="228" customFormat="1" ht="21.75" customHeight="1">
      <c r="A62" s="610">
        <v>29</v>
      </c>
      <c r="B62" s="398" t="s">
        <v>676</v>
      </c>
      <c r="C62" s="611">
        <f>+'Asset Classification'!C62</f>
        <v>545065147</v>
      </c>
      <c r="D62" s="612">
        <f>+'Asset Classification'!D62</f>
        <v>16830850</v>
      </c>
      <c r="E62" s="617">
        <f>+'Asset Classification'!E62</f>
        <v>381634646</v>
      </c>
      <c r="F62" s="618">
        <f>+'Asset Classification'!F62</f>
        <v>8723757</v>
      </c>
      <c r="G62" s="617">
        <f>+'Asset Classification'!G62</f>
        <v>0</v>
      </c>
      <c r="H62" s="612">
        <f t="shared" si="109"/>
        <v>3816346.46</v>
      </c>
      <c r="I62" s="612">
        <f t="shared" si="110"/>
        <v>-3816346.46</v>
      </c>
      <c r="J62" s="617">
        <f>+'Asset Classification'!I62</f>
        <v>141500489</v>
      </c>
      <c r="K62" s="618">
        <f>+'Asset Classification'!J62</f>
        <v>7271245</v>
      </c>
      <c r="L62" s="617">
        <f>+'Asset Classification'!K62</f>
        <v>921641</v>
      </c>
      <c r="M62" s="612">
        <f t="shared" si="111"/>
        <v>14150048.9</v>
      </c>
      <c r="N62" s="612">
        <f t="shared" si="112"/>
        <v>-13228407.9</v>
      </c>
      <c r="O62" s="618">
        <f>+'Asset Classification'!L62</f>
        <v>0</v>
      </c>
      <c r="P62" s="612">
        <f t="shared" si="113"/>
        <v>727124.5</v>
      </c>
      <c r="Q62" s="612">
        <f t="shared" si="114"/>
        <v>-727124.5</v>
      </c>
      <c r="R62" s="617">
        <f>+'Asset Classification'!M62</f>
        <v>3949047</v>
      </c>
      <c r="S62" s="618">
        <f>+'Asset Classification'!N62</f>
        <v>0</v>
      </c>
      <c r="T62" s="617">
        <f>+'Asset Classification'!O62</f>
        <v>47142</v>
      </c>
      <c r="U62" s="612">
        <f t="shared" si="115"/>
        <v>987261.75</v>
      </c>
      <c r="V62" s="612">
        <f t="shared" si="116"/>
        <v>-940119.75</v>
      </c>
      <c r="W62" s="618">
        <f>+'Asset Classification'!P62</f>
        <v>0</v>
      </c>
      <c r="X62" s="612">
        <f t="shared" si="117"/>
        <v>0</v>
      </c>
      <c r="Y62" s="612">
        <f t="shared" si="118"/>
        <v>0</v>
      </c>
      <c r="Z62" s="617">
        <f>+'Asset Classification'!Q62</f>
        <v>9100237</v>
      </c>
      <c r="AA62" s="618">
        <f>+'Asset Classification'!R62</f>
        <v>0</v>
      </c>
      <c r="AB62" s="617">
        <f>+'Asset Classification'!S62</f>
        <v>502362</v>
      </c>
      <c r="AC62" s="612">
        <f t="shared" si="119"/>
        <v>4550118.5</v>
      </c>
      <c r="AD62" s="612">
        <f t="shared" si="120"/>
        <v>-4047756.5</v>
      </c>
      <c r="AE62" s="618">
        <f>+'Asset Classification'!T62</f>
        <v>0</v>
      </c>
      <c r="AF62" s="612">
        <f t="shared" si="121"/>
        <v>0</v>
      </c>
      <c r="AG62" s="612">
        <f t="shared" si="122"/>
        <v>0</v>
      </c>
      <c r="AH62" s="617">
        <f>+'Asset Classification'!U62</f>
        <v>8880728</v>
      </c>
      <c r="AI62" s="618">
        <f>+'Asset Classification'!V62</f>
        <v>835848</v>
      </c>
      <c r="AJ62" s="617">
        <f>+'Asset Classification'!W62</f>
        <v>1606468</v>
      </c>
      <c r="AK62" s="612">
        <f t="shared" si="123"/>
        <v>8880728</v>
      </c>
      <c r="AL62" s="612">
        <f t="shared" si="124"/>
        <v>-7274260</v>
      </c>
      <c r="AM62" s="618">
        <f>+'Asset Classification'!X62</f>
        <v>0</v>
      </c>
      <c r="AN62" s="612">
        <f t="shared" si="125"/>
        <v>835848</v>
      </c>
      <c r="AO62" s="612">
        <f t="shared" si="126"/>
        <v>-835848</v>
      </c>
      <c r="AP62" s="599">
        <f t="shared" si="127"/>
        <v>3077613</v>
      </c>
      <c r="AQ62" s="599">
        <f t="shared" si="127"/>
        <v>28568157.149999999</v>
      </c>
      <c r="AR62" s="599">
        <f t="shared" si="128"/>
        <v>-25490544.149999999</v>
      </c>
      <c r="AS62" s="612">
        <f t="shared" si="129"/>
        <v>0</v>
      </c>
      <c r="AT62" s="612">
        <f t="shared" si="129"/>
        <v>1562972.5</v>
      </c>
      <c r="AU62" s="612">
        <f t="shared" si="130"/>
        <v>-1562972.5</v>
      </c>
      <c r="AV62" s="626"/>
      <c r="AW62" s="626"/>
      <c r="AX62" s="626"/>
      <c r="AY62" s="626"/>
      <c r="AZ62" s="626"/>
      <c r="BA62" s="626"/>
      <c r="BB62" s="626"/>
      <c r="BC62" s="626"/>
    </row>
    <row r="63" spans="1:55" s="228" customFormat="1" ht="21.75" customHeight="1">
      <c r="A63" s="610">
        <v>30</v>
      </c>
      <c r="B63" s="398" t="s">
        <v>677</v>
      </c>
      <c r="C63" s="611">
        <f>+'Asset Classification'!C63</f>
        <v>645758960</v>
      </c>
      <c r="D63" s="612">
        <f>+'Asset Classification'!D63</f>
        <v>43425850</v>
      </c>
      <c r="E63" s="617">
        <f>+'Asset Classification'!E63</f>
        <v>321965227</v>
      </c>
      <c r="F63" s="618">
        <f>+'Asset Classification'!F63</f>
        <v>8458772</v>
      </c>
      <c r="G63" s="617">
        <f>+'Asset Classification'!G63</f>
        <v>0</v>
      </c>
      <c r="H63" s="612">
        <f t="shared" si="109"/>
        <v>3219652.27</v>
      </c>
      <c r="I63" s="612">
        <f t="shared" si="110"/>
        <v>-3219652.27</v>
      </c>
      <c r="J63" s="617">
        <f>+'Asset Classification'!I63</f>
        <v>227903761</v>
      </c>
      <c r="K63" s="618">
        <f>+'Asset Classification'!J63</f>
        <v>26468953</v>
      </c>
      <c r="L63" s="617">
        <f>+'Asset Classification'!K63</f>
        <v>4299412</v>
      </c>
      <c r="M63" s="612">
        <f t="shared" si="111"/>
        <v>22790376.100000001</v>
      </c>
      <c r="N63" s="612">
        <f t="shared" si="112"/>
        <v>-18490964.100000001</v>
      </c>
      <c r="O63" s="618">
        <f>+'Asset Classification'!L63</f>
        <v>0</v>
      </c>
      <c r="P63" s="612">
        <f t="shared" si="113"/>
        <v>2646895.3000000003</v>
      </c>
      <c r="Q63" s="612">
        <f t="shared" si="114"/>
        <v>-2646895.3000000003</v>
      </c>
      <c r="R63" s="617">
        <f>+'Asset Classification'!M63</f>
        <v>6121614</v>
      </c>
      <c r="S63" s="618">
        <f>+'Asset Classification'!N63</f>
        <v>0</v>
      </c>
      <c r="T63" s="617">
        <f>+'Asset Classification'!O63</f>
        <v>82256</v>
      </c>
      <c r="U63" s="612">
        <f t="shared" si="115"/>
        <v>1530403.5</v>
      </c>
      <c r="V63" s="612">
        <f t="shared" si="116"/>
        <v>-1448147.5</v>
      </c>
      <c r="W63" s="618">
        <f>+'Asset Classification'!P63</f>
        <v>0</v>
      </c>
      <c r="X63" s="612">
        <f t="shared" si="117"/>
        <v>0</v>
      </c>
      <c r="Y63" s="612">
        <f t="shared" si="118"/>
        <v>0</v>
      </c>
      <c r="Z63" s="617">
        <f>+'Asset Classification'!Q63</f>
        <v>33353476</v>
      </c>
      <c r="AA63" s="618">
        <f>+'Asset Classification'!R63</f>
        <v>0</v>
      </c>
      <c r="AB63" s="617">
        <f>+'Asset Classification'!S63</f>
        <v>1783300</v>
      </c>
      <c r="AC63" s="612">
        <f t="shared" si="119"/>
        <v>16676738</v>
      </c>
      <c r="AD63" s="612">
        <f t="shared" si="120"/>
        <v>-14893438</v>
      </c>
      <c r="AE63" s="618">
        <f>+'Asset Classification'!T63</f>
        <v>0</v>
      </c>
      <c r="AF63" s="612">
        <f t="shared" si="121"/>
        <v>0</v>
      </c>
      <c r="AG63" s="612">
        <f t="shared" si="122"/>
        <v>0</v>
      </c>
      <c r="AH63" s="617">
        <f>+'Asset Classification'!U63</f>
        <v>56414882</v>
      </c>
      <c r="AI63" s="618">
        <f>+'Asset Classification'!V63</f>
        <v>8498125</v>
      </c>
      <c r="AJ63" s="617">
        <f>+'Asset Classification'!W63</f>
        <v>3757997</v>
      </c>
      <c r="AK63" s="612">
        <f t="shared" si="123"/>
        <v>56414882</v>
      </c>
      <c r="AL63" s="612">
        <f t="shared" si="124"/>
        <v>-52656885</v>
      </c>
      <c r="AM63" s="618">
        <f>+'Asset Classification'!X63</f>
        <v>1284130</v>
      </c>
      <c r="AN63" s="612">
        <f t="shared" si="125"/>
        <v>8498125</v>
      </c>
      <c r="AO63" s="612">
        <f t="shared" si="126"/>
        <v>-7213995</v>
      </c>
      <c r="AP63" s="599">
        <f t="shared" si="127"/>
        <v>9922965</v>
      </c>
      <c r="AQ63" s="599">
        <f t="shared" si="127"/>
        <v>97412399.599999994</v>
      </c>
      <c r="AR63" s="599">
        <f t="shared" si="128"/>
        <v>-87489434.599999994</v>
      </c>
      <c r="AS63" s="612">
        <f t="shared" si="129"/>
        <v>1284130</v>
      </c>
      <c r="AT63" s="612">
        <f t="shared" si="129"/>
        <v>11145020.300000001</v>
      </c>
      <c r="AU63" s="612">
        <f t="shared" si="130"/>
        <v>-9860890.3000000007</v>
      </c>
      <c r="AV63" s="626"/>
      <c r="AW63" s="626"/>
      <c r="AX63" s="626"/>
      <c r="AY63" s="626"/>
      <c r="AZ63" s="626"/>
      <c r="BA63" s="626"/>
      <c r="BB63" s="626"/>
      <c r="BC63" s="626"/>
    </row>
    <row r="64" spans="1:55" s="228" customFormat="1" ht="21.75" customHeight="1">
      <c r="A64" s="610">
        <v>31</v>
      </c>
      <c r="B64" s="398" t="s">
        <v>678</v>
      </c>
      <c r="C64" s="611">
        <f>+'Asset Classification'!C64</f>
        <v>1359006963</v>
      </c>
      <c r="D64" s="612">
        <f>+'Asset Classification'!D64</f>
        <v>67713829</v>
      </c>
      <c r="E64" s="617">
        <f>+'Asset Classification'!E64</f>
        <v>1137152887</v>
      </c>
      <c r="F64" s="618">
        <f>+'Asset Classification'!F64</f>
        <v>58034349</v>
      </c>
      <c r="G64" s="617">
        <f>+'Asset Classification'!G64</f>
        <v>0</v>
      </c>
      <c r="H64" s="612">
        <f t="shared" si="109"/>
        <v>11371528.870000001</v>
      </c>
      <c r="I64" s="612">
        <f t="shared" si="110"/>
        <v>-11371528.870000001</v>
      </c>
      <c r="J64" s="617">
        <f>+'Asset Classification'!I64</f>
        <v>179014269</v>
      </c>
      <c r="K64" s="618">
        <f>+'Asset Classification'!J64</f>
        <v>9226365</v>
      </c>
      <c r="L64" s="617">
        <f>+'Asset Classification'!K64</f>
        <v>7901279</v>
      </c>
      <c r="M64" s="612">
        <f t="shared" si="111"/>
        <v>17901426.900000002</v>
      </c>
      <c r="N64" s="612">
        <f t="shared" si="112"/>
        <v>-10000147.900000002</v>
      </c>
      <c r="O64" s="618">
        <f>+'Asset Classification'!L64</f>
        <v>0</v>
      </c>
      <c r="P64" s="612">
        <f t="shared" si="113"/>
        <v>922636.5</v>
      </c>
      <c r="Q64" s="612">
        <f t="shared" si="114"/>
        <v>-922636.5</v>
      </c>
      <c r="R64" s="617">
        <f>+'Asset Classification'!M64</f>
        <v>4222037</v>
      </c>
      <c r="S64" s="618">
        <f>+'Asset Classification'!N64</f>
        <v>0</v>
      </c>
      <c r="T64" s="617">
        <f>+'Asset Classification'!O64</f>
        <v>58298</v>
      </c>
      <c r="U64" s="612">
        <f t="shared" si="115"/>
        <v>1055509.25</v>
      </c>
      <c r="V64" s="612">
        <f t="shared" si="116"/>
        <v>-997211.25</v>
      </c>
      <c r="W64" s="618">
        <f>+'Asset Classification'!P64</f>
        <v>0</v>
      </c>
      <c r="X64" s="612">
        <f t="shared" si="117"/>
        <v>0</v>
      </c>
      <c r="Y64" s="612">
        <f t="shared" si="118"/>
        <v>0</v>
      </c>
      <c r="Z64" s="617">
        <f>+'Asset Classification'!Q64</f>
        <v>9498108</v>
      </c>
      <c r="AA64" s="618">
        <f>+'Asset Classification'!R64</f>
        <v>0</v>
      </c>
      <c r="AB64" s="617">
        <f>+'Asset Classification'!S64</f>
        <v>280806</v>
      </c>
      <c r="AC64" s="612">
        <f t="shared" si="119"/>
        <v>4749054</v>
      </c>
      <c r="AD64" s="612">
        <f t="shared" si="120"/>
        <v>-4468248</v>
      </c>
      <c r="AE64" s="618">
        <f>+'Asset Classification'!T64</f>
        <v>0</v>
      </c>
      <c r="AF64" s="612">
        <f t="shared" si="121"/>
        <v>0</v>
      </c>
      <c r="AG64" s="612">
        <f t="shared" si="122"/>
        <v>0</v>
      </c>
      <c r="AH64" s="617">
        <f>+'Asset Classification'!U64</f>
        <v>29119662</v>
      </c>
      <c r="AI64" s="618">
        <f>+'Asset Classification'!V64</f>
        <v>453115</v>
      </c>
      <c r="AJ64" s="617">
        <f>+'Asset Classification'!W64</f>
        <v>6683513</v>
      </c>
      <c r="AK64" s="612">
        <f t="shared" si="123"/>
        <v>29119662</v>
      </c>
      <c r="AL64" s="612">
        <f t="shared" si="124"/>
        <v>-22436149</v>
      </c>
      <c r="AM64" s="618">
        <f>+'Asset Classification'!X64</f>
        <v>0</v>
      </c>
      <c r="AN64" s="612">
        <f t="shared" si="125"/>
        <v>453115</v>
      </c>
      <c r="AO64" s="612">
        <f t="shared" si="126"/>
        <v>-453115</v>
      </c>
      <c r="AP64" s="599">
        <f t="shared" si="127"/>
        <v>14923896</v>
      </c>
      <c r="AQ64" s="599">
        <f t="shared" si="127"/>
        <v>52825652.150000006</v>
      </c>
      <c r="AR64" s="599">
        <f t="shared" si="128"/>
        <v>-37901756.150000006</v>
      </c>
      <c r="AS64" s="612">
        <f t="shared" si="129"/>
        <v>0</v>
      </c>
      <c r="AT64" s="612">
        <f t="shared" si="129"/>
        <v>1375751.5</v>
      </c>
      <c r="AU64" s="612">
        <f t="shared" si="130"/>
        <v>-1375751.5</v>
      </c>
      <c r="AV64" s="626"/>
      <c r="AW64" s="626"/>
      <c r="AX64" s="626"/>
      <c r="AY64" s="626"/>
      <c r="AZ64" s="626"/>
      <c r="BA64" s="626"/>
      <c r="BB64" s="626"/>
      <c r="BC64" s="626"/>
    </row>
    <row r="65" spans="1:55" s="228" customFormat="1" ht="21.75" customHeight="1">
      <c r="A65" s="610">
        <v>32</v>
      </c>
      <c r="B65" s="398" t="s">
        <v>679</v>
      </c>
      <c r="C65" s="611">
        <f>+'Asset Classification'!C65</f>
        <v>1468123270</v>
      </c>
      <c r="D65" s="612">
        <f>+'Asset Classification'!D65</f>
        <v>345440465</v>
      </c>
      <c r="E65" s="617">
        <f>+'Asset Classification'!E65</f>
        <v>900290708</v>
      </c>
      <c r="F65" s="618">
        <f>+'Asset Classification'!F65</f>
        <v>138416803</v>
      </c>
      <c r="G65" s="617">
        <f>+'Asset Classification'!G65</f>
        <v>0</v>
      </c>
      <c r="H65" s="612">
        <f t="shared" si="109"/>
        <v>9002907.0800000001</v>
      </c>
      <c r="I65" s="612">
        <f t="shared" si="110"/>
        <v>-9002907.0800000001</v>
      </c>
      <c r="J65" s="617">
        <f>+'Asset Classification'!I65</f>
        <v>452908983</v>
      </c>
      <c r="K65" s="618">
        <f>+'Asset Classification'!J65</f>
        <v>129554655</v>
      </c>
      <c r="L65" s="617">
        <f>+'Asset Classification'!K65</f>
        <v>12822757</v>
      </c>
      <c r="M65" s="612">
        <f t="shared" si="111"/>
        <v>45290898.300000004</v>
      </c>
      <c r="N65" s="612">
        <f t="shared" si="112"/>
        <v>-32468141.300000004</v>
      </c>
      <c r="O65" s="618">
        <f>+'Asset Classification'!L65</f>
        <v>0</v>
      </c>
      <c r="P65" s="612">
        <f t="shared" si="113"/>
        <v>12955465.5</v>
      </c>
      <c r="Q65" s="612">
        <f t="shared" si="114"/>
        <v>-12955465.5</v>
      </c>
      <c r="R65" s="617">
        <f>+'Asset Classification'!M65</f>
        <v>7854346</v>
      </c>
      <c r="S65" s="618">
        <f>+'Asset Classification'!N65</f>
        <v>0</v>
      </c>
      <c r="T65" s="617">
        <f>+'Asset Classification'!O65</f>
        <v>97560</v>
      </c>
      <c r="U65" s="612">
        <f t="shared" si="115"/>
        <v>1963586.5</v>
      </c>
      <c r="V65" s="612">
        <f t="shared" si="116"/>
        <v>-1866026.5</v>
      </c>
      <c r="W65" s="618">
        <f>+'Asset Classification'!P65</f>
        <v>0</v>
      </c>
      <c r="X65" s="612">
        <f t="shared" si="117"/>
        <v>0</v>
      </c>
      <c r="Y65" s="612">
        <f t="shared" si="118"/>
        <v>0</v>
      </c>
      <c r="Z65" s="617">
        <f>+'Asset Classification'!Q65</f>
        <v>15553765</v>
      </c>
      <c r="AA65" s="618">
        <f>+'Asset Classification'!R65</f>
        <v>3072659</v>
      </c>
      <c r="AB65" s="617">
        <f>+'Asset Classification'!S65</f>
        <v>527644</v>
      </c>
      <c r="AC65" s="612">
        <f t="shared" si="119"/>
        <v>7776882.5</v>
      </c>
      <c r="AD65" s="612">
        <f t="shared" si="120"/>
        <v>-7249238.5</v>
      </c>
      <c r="AE65" s="618">
        <f>+'Asset Classification'!T65</f>
        <v>0</v>
      </c>
      <c r="AF65" s="612">
        <f t="shared" si="121"/>
        <v>1536329.5</v>
      </c>
      <c r="AG65" s="612">
        <f t="shared" si="122"/>
        <v>-1536329.5</v>
      </c>
      <c r="AH65" s="617">
        <f>+'Asset Classification'!U65</f>
        <v>91515468</v>
      </c>
      <c r="AI65" s="618">
        <f>+'Asset Classification'!V65</f>
        <v>74396348</v>
      </c>
      <c r="AJ65" s="617">
        <f>+'Asset Classification'!W65</f>
        <v>4568444</v>
      </c>
      <c r="AK65" s="612">
        <f t="shared" si="123"/>
        <v>91515468</v>
      </c>
      <c r="AL65" s="612">
        <f t="shared" si="124"/>
        <v>-86947024</v>
      </c>
      <c r="AM65" s="618">
        <f>+'Asset Classification'!X65</f>
        <v>1233877</v>
      </c>
      <c r="AN65" s="612">
        <f t="shared" si="125"/>
        <v>74396348</v>
      </c>
      <c r="AO65" s="612">
        <f t="shared" si="126"/>
        <v>-73162471</v>
      </c>
      <c r="AP65" s="599">
        <f t="shared" si="127"/>
        <v>18016405</v>
      </c>
      <c r="AQ65" s="599">
        <f t="shared" si="127"/>
        <v>146546835.30000001</v>
      </c>
      <c r="AR65" s="599">
        <f t="shared" si="128"/>
        <v>-128530430.30000001</v>
      </c>
      <c r="AS65" s="612">
        <f t="shared" si="129"/>
        <v>1233877</v>
      </c>
      <c r="AT65" s="612">
        <f t="shared" si="129"/>
        <v>88888143</v>
      </c>
      <c r="AU65" s="612">
        <f t="shared" si="130"/>
        <v>-87654266</v>
      </c>
      <c r="AV65" s="626"/>
      <c r="AW65" s="626"/>
      <c r="AX65" s="626"/>
      <c r="AY65" s="626"/>
      <c r="AZ65" s="626"/>
      <c r="BA65" s="626"/>
      <c r="BB65" s="626"/>
      <c r="BC65" s="626"/>
    </row>
    <row r="66" spans="1:55" s="228" customFormat="1" ht="21.75" customHeight="1">
      <c r="A66" s="610">
        <v>33</v>
      </c>
      <c r="B66" s="398" t="s">
        <v>680</v>
      </c>
      <c r="C66" s="611">
        <f>+'Asset Classification'!C66</f>
        <v>753303998</v>
      </c>
      <c r="D66" s="612">
        <f>+'Asset Classification'!D66</f>
        <v>316664732</v>
      </c>
      <c r="E66" s="617">
        <f>+'Asset Classification'!E66</f>
        <v>263525603</v>
      </c>
      <c r="F66" s="618">
        <f>+'Asset Classification'!F66</f>
        <v>45935278</v>
      </c>
      <c r="G66" s="617">
        <f>+'Asset Classification'!G66</f>
        <v>0</v>
      </c>
      <c r="H66" s="612">
        <f t="shared" si="109"/>
        <v>2635256.0300000003</v>
      </c>
      <c r="I66" s="612">
        <f t="shared" si="110"/>
        <v>-2635256.0300000003</v>
      </c>
      <c r="J66" s="617">
        <f>+'Asset Classification'!I66</f>
        <v>445076258</v>
      </c>
      <c r="K66" s="618">
        <f>+'Asset Classification'!J66</f>
        <v>270729454</v>
      </c>
      <c r="L66" s="617">
        <f>+'Asset Classification'!K66</f>
        <v>3603818</v>
      </c>
      <c r="M66" s="612">
        <f t="shared" si="111"/>
        <v>44507625.800000004</v>
      </c>
      <c r="N66" s="612">
        <f t="shared" si="112"/>
        <v>-40903807.800000004</v>
      </c>
      <c r="O66" s="618">
        <f>+'Asset Classification'!L66</f>
        <v>376208</v>
      </c>
      <c r="P66" s="612">
        <f t="shared" si="113"/>
        <v>27072945.400000002</v>
      </c>
      <c r="Q66" s="612">
        <f t="shared" si="114"/>
        <v>-26696737.400000002</v>
      </c>
      <c r="R66" s="617">
        <f>+'Asset Classification'!M66</f>
        <v>6029570</v>
      </c>
      <c r="S66" s="618">
        <f>+'Asset Classification'!N66</f>
        <v>0</v>
      </c>
      <c r="T66" s="617">
        <f>+'Asset Classification'!O66</f>
        <v>34270</v>
      </c>
      <c r="U66" s="612">
        <f t="shared" si="115"/>
        <v>1507392.5</v>
      </c>
      <c r="V66" s="612">
        <f t="shared" si="116"/>
        <v>-1473122.5</v>
      </c>
      <c r="W66" s="618">
        <f>+'Asset Classification'!P66</f>
        <v>0</v>
      </c>
      <c r="X66" s="612">
        <f t="shared" si="117"/>
        <v>0</v>
      </c>
      <c r="Y66" s="612">
        <f t="shared" si="118"/>
        <v>0</v>
      </c>
      <c r="Z66" s="617">
        <f>+'Asset Classification'!Q66</f>
        <v>12523585</v>
      </c>
      <c r="AA66" s="618">
        <f>+'Asset Classification'!R66</f>
        <v>0</v>
      </c>
      <c r="AB66" s="617">
        <f>+'Asset Classification'!S66</f>
        <v>389831</v>
      </c>
      <c r="AC66" s="612">
        <f t="shared" si="119"/>
        <v>6261792.5</v>
      </c>
      <c r="AD66" s="612">
        <f t="shared" si="120"/>
        <v>-5871961.5</v>
      </c>
      <c r="AE66" s="618">
        <f>+'Asset Classification'!T66</f>
        <v>0</v>
      </c>
      <c r="AF66" s="612">
        <f t="shared" si="121"/>
        <v>0</v>
      </c>
      <c r="AG66" s="612">
        <f t="shared" si="122"/>
        <v>0</v>
      </c>
      <c r="AH66" s="617">
        <f>+'Asset Classification'!U66</f>
        <v>26148982</v>
      </c>
      <c r="AI66" s="618">
        <f>+'Asset Classification'!V66</f>
        <v>0</v>
      </c>
      <c r="AJ66" s="617">
        <f>+'Asset Classification'!W66</f>
        <v>2579524</v>
      </c>
      <c r="AK66" s="612">
        <f t="shared" si="123"/>
        <v>26148982</v>
      </c>
      <c r="AL66" s="612">
        <f t="shared" si="124"/>
        <v>-23569458</v>
      </c>
      <c r="AM66" s="618">
        <f>+'Asset Classification'!X66</f>
        <v>0</v>
      </c>
      <c r="AN66" s="612">
        <f t="shared" si="125"/>
        <v>0</v>
      </c>
      <c r="AO66" s="612">
        <f t="shared" si="126"/>
        <v>0</v>
      </c>
      <c r="AP66" s="599">
        <f t="shared" si="127"/>
        <v>6607443</v>
      </c>
      <c r="AQ66" s="599">
        <f t="shared" si="127"/>
        <v>78425792.800000012</v>
      </c>
      <c r="AR66" s="599">
        <f t="shared" si="128"/>
        <v>-71818349.800000012</v>
      </c>
      <c r="AS66" s="612">
        <f t="shared" si="129"/>
        <v>376208</v>
      </c>
      <c r="AT66" s="612">
        <f t="shared" si="129"/>
        <v>27072945.400000002</v>
      </c>
      <c r="AU66" s="612">
        <f t="shared" si="130"/>
        <v>-26696737.400000002</v>
      </c>
      <c r="AV66" s="626"/>
      <c r="AW66" s="626"/>
      <c r="AX66" s="626"/>
      <c r="AY66" s="626"/>
      <c r="AZ66" s="626"/>
      <c r="BA66" s="626"/>
      <c r="BB66" s="626"/>
      <c r="BC66" s="626"/>
    </row>
    <row r="67" spans="1:55" s="228" customFormat="1" ht="21.75" customHeight="1">
      <c r="A67" s="610">
        <v>34</v>
      </c>
      <c r="B67" s="398" t="s">
        <v>681</v>
      </c>
      <c r="C67" s="611">
        <f>+'Asset Classification'!C67</f>
        <v>2933081925</v>
      </c>
      <c r="D67" s="612">
        <f>+'Asset Classification'!D67</f>
        <v>1450977986</v>
      </c>
      <c r="E67" s="617">
        <f>+'Asset Classification'!E67</f>
        <v>2550876240</v>
      </c>
      <c r="F67" s="618">
        <f>+'Asset Classification'!F67</f>
        <v>1227855945</v>
      </c>
      <c r="G67" s="617">
        <f>+'Asset Classification'!G67</f>
        <v>0</v>
      </c>
      <c r="H67" s="612">
        <f t="shared" si="109"/>
        <v>25508762.400000002</v>
      </c>
      <c r="I67" s="612">
        <f t="shared" si="110"/>
        <v>-25508762.400000002</v>
      </c>
      <c r="J67" s="617">
        <f>+'Asset Classification'!I67</f>
        <v>343165010</v>
      </c>
      <c r="K67" s="618">
        <f>+'Asset Classification'!J67</f>
        <v>217200797</v>
      </c>
      <c r="L67" s="617">
        <f>+'Asset Classification'!K67</f>
        <v>26465331</v>
      </c>
      <c r="M67" s="612">
        <f t="shared" si="111"/>
        <v>34316501</v>
      </c>
      <c r="N67" s="612">
        <f t="shared" si="112"/>
        <v>-7851170</v>
      </c>
      <c r="O67" s="618">
        <f>+'Asset Classification'!L67</f>
        <v>16525787</v>
      </c>
      <c r="P67" s="612">
        <f t="shared" si="113"/>
        <v>21720079.700000003</v>
      </c>
      <c r="Q67" s="612">
        <f t="shared" si="114"/>
        <v>-5194292.700000003</v>
      </c>
      <c r="R67" s="617">
        <f>+'Asset Classification'!M67</f>
        <v>7938021</v>
      </c>
      <c r="S67" s="618">
        <f>+'Asset Classification'!N67</f>
        <v>0</v>
      </c>
      <c r="T67" s="617">
        <f>+'Asset Classification'!O67</f>
        <v>238808</v>
      </c>
      <c r="U67" s="612">
        <f t="shared" si="115"/>
        <v>1984505.25</v>
      </c>
      <c r="V67" s="612">
        <f t="shared" si="116"/>
        <v>-1745697.25</v>
      </c>
      <c r="W67" s="618">
        <f>+'Asset Classification'!P67</f>
        <v>0</v>
      </c>
      <c r="X67" s="612">
        <f t="shared" si="117"/>
        <v>0</v>
      </c>
      <c r="Y67" s="612">
        <f t="shared" si="118"/>
        <v>0</v>
      </c>
      <c r="Z67" s="617">
        <f>+'Asset Classification'!Q67</f>
        <v>15937837</v>
      </c>
      <c r="AA67" s="618">
        <f>+'Asset Classification'!R67</f>
        <v>0</v>
      </c>
      <c r="AB67" s="617">
        <f>+'Asset Classification'!S67</f>
        <v>2485249</v>
      </c>
      <c r="AC67" s="612">
        <f t="shared" si="119"/>
        <v>7968918.5</v>
      </c>
      <c r="AD67" s="612">
        <f t="shared" si="120"/>
        <v>-5483669.5</v>
      </c>
      <c r="AE67" s="618">
        <f>+'Asset Classification'!T67</f>
        <v>0</v>
      </c>
      <c r="AF67" s="612">
        <f t="shared" si="121"/>
        <v>0</v>
      </c>
      <c r="AG67" s="612">
        <f t="shared" si="122"/>
        <v>0</v>
      </c>
      <c r="AH67" s="617">
        <f>+'Asset Classification'!U67</f>
        <v>15164817</v>
      </c>
      <c r="AI67" s="618">
        <f>+'Asset Classification'!V67</f>
        <v>5921244</v>
      </c>
      <c r="AJ67" s="617">
        <f>+'Asset Classification'!W67</f>
        <v>3285598</v>
      </c>
      <c r="AK67" s="612">
        <f t="shared" si="123"/>
        <v>15164817</v>
      </c>
      <c r="AL67" s="612">
        <f t="shared" si="124"/>
        <v>-11879219</v>
      </c>
      <c r="AM67" s="618">
        <f>+'Asset Classification'!X67</f>
        <v>0</v>
      </c>
      <c r="AN67" s="612">
        <f t="shared" si="125"/>
        <v>5921244</v>
      </c>
      <c r="AO67" s="612">
        <f t="shared" si="126"/>
        <v>-5921244</v>
      </c>
      <c r="AP67" s="599">
        <f t="shared" si="127"/>
        <v>32474986</v>
      </c>
      <c r="AQ67" s="599">
        <f t="shared" si="127"/>
        <v>59434741.75</v>
      </c>
      <c r="AR67" s="599">
        <f t="shared" si="128"/>
        <v>-26959755.75</v>
      </c>
      <c r="AS67" s="612">
        <f t="shared" si="129"/>
        <v>16525787</v>
      </c>
      <c r="AT67" s="612">
        <f t="shared" si="129"/>
        <v>27641323.700000003</v>
      </c>
      <c r="AU67" s="612">
        <f t="shared" si="130"/>
        <v>-11115536.700000003</v>
      </c>
      <c r="AV67" s="626"/>
      <c r="AW67" s="626"/>
      <c r="AX67" s="626"/>
      <c r="AY67" s="626"/>
      <c r="AZ67" s="626"/>
      <c r="BA67" s="626"/>
      <c r="BB67" s="626"/>
      <c r="BC67" s="626"/>
    </row>
    <row r="68" spans="1:55" s="228" customFormat="1" ht="21.75" customHeight="1">
      <c r="A68" s="610">
        <v>35</v>
      </c>
      <c r="B68" s="398" t="s">
        <v>682</v>
      </c>
      <c r="C68" s="611">
        <f>+'Asset Classification'!C68</f>
        <v>985915051</v>
      </c>
      <c r="D68" s="612">
        <f>+'Asset Classification'!D68</f>
        <v>351843348</v>
      </c>
      <c r="E68" s="617">
        <f>+'Asset Classification'!E68</f>
        <v>720902652</v>
      </c>
      <c r="F68" s="618">
        <f>+'Asset Classification'!F68</f>
        <v>291287139</v>
      </c>
      <c r="G68" s="617">
        <f>+'Asset Classification'!G68</f>
        <v>0</v>
      </c>
      <c r="H68" s="612">
        <f t="shared" si="109"/>
        <v>7209026.5200000005</v>
      </c>
      <c r="I68" s="612">
        <f t="shared" si="110"/>
        <v>-7209026.5200000005</v>
      </c>
      <c r="J68" s="617">
        <f>+'Asset Classification'!I68</f>
        <v>203592164</v>
      </c>
      <c r="K68" s="618">
        <f>+'Asset Classification'!J68</f>
        <v>59770937</v>
      </c>
      <c r="L68" s="617">
        <f>+'Asset Classification'!K68</f>
        <v>5442909</v>
      </c>
      <c r="M68" s="612">
        <f t="shared" si="111"/>
        <v>20359216.400000002</v>
      </c>
      <c r="N68" s="612">
        <f t="shared" si="112"/>
        <v>-14916307.400000002</v>
      </c>
      <c r="O68" s="618">
        <f>+'Asset Classification'!L68</f>
        <v>1092543</v>
      </c>
      <c r="P68" s="612">
        <f t="shared" si="113"/>
        <v>5977093.7000000002</v>
      </c>
      <c r="Q68" s="612">
        <f t="shared" si="114"/>
        <v>-4884550.7</v>
      </c>
      <c r="R68" s="617">
        <f>+'Asset Classification'!M68</f>
        <v>10400145</v>
      </c>
      <c r="S68" s="618">
        <f>+'Asset Classification'!N68</f>
        <v>0</v>
      </c>
      <c r="T68" s="617">
        <f>+'Asset Classification'!O68</f>
        <v>393637</v>
      </c>
      <c r="U68" s="612">
        <f t="shared" si="115"/>
        <v>2600036.25</v>
      </c>
      <c r="V68" s="612">
        <f t="shared" si="116"/>
        <v>-2206399.25</v>
      </c>
      <c r="W68" s="618">
        <f>+'Asset Classification'!P68</f>
        <v>0</v>
      </c>
      <c r="X68" s="612">
        <f t="shared" si="117"/>
        <v>0</v>
      </c>
      <c r="Y68" s="612">
        <f t="shared" si="118"/>
        <v>0</v>
      </c>
      <c r="Z68" s="617">
        <f>+'Asset Classification'!Q68</f>
        <v>17379663</v>
      </c>
      <c r="AA68" s="618">
        <f>+'Asset Classification'!R68</f>
        <v>0</v>
      </c>
      <c r="AB68" s="617">
        <f>+'Asset Classification'!S68</f>
        <v>1644736</v>
      </c>
      <c r="AC68" s="612">
        <f t="shared" si="119"/>
        <v>8689831.5</v>
      </c>
      <c r="AD68" s="612">
        <f t="shared" si="120"/>
        <v>-7045095.5</v>
      </c>
      <c r="AE68" s="618">
        <f>+'Asset Classification'!T68</f>
        <v>0</v>
      </c>
      <c r="AF68" s="612">
        <f t="shared" si="121"/>
        <v>0</v>
      </c>
      <c r="AG68" s="612">
        <f t="shared" si="122"/>
        <v>0</v>
      </c>
      <c r="AH68" s="617">
        <f>+'Asset Classification'!U68</f>
        <v>33640427</v>
      </c>
      <c r="AI68" s="618">
        <f>+'Asset Classification'!V68</f>
        <v>785272</v>
      </c>
      <c r="AJ68" s="617">
        <f>+'Asset Classification'!W68</f>
        <v>11843221</v>
      </c>
      <c r="AK68" s="612">
        <f t="shared" si="123"/>
        <v>33640427</v>
      </c>
      <c r="AL68" s="612">
        <f t="shared" si="124"/>
        <v>-21797206</v>
      </c>
      <c r="AM68" s="618">
        <f>+'Asset Classification'!X68</f>
        <v>242756</v>
      </c>
      <c r="AN68" s="612">
        <f t="shared" si="125"/>
        <v>785272</v>
      </c>
      <c r="AO68" s="612">
        <f t="shared" si="126"/>
        <v>-542516</v>
      </c>
      <c r="AP68" s="599">
        <f t="shared" si="127"/>
        <v>19324503</v>
      </c>
      <c r="AQ68" s="599">
        <f t="shared" si="127"/>
        <v>65289511.150000006</v>
      </c>
      <c r="AR68" s="599">
        <f t="shared" si="128"/>
        <v>-45965008.150000006</v>
      </c>
      <c r="AS68" s="612">
        <f t="shared" si="129"/>
        <v>1335299</v>
      </c>
      <c r="AT68" s="612">
        <f t="shared" si="129"/>
        <v>6762365.7000000002</v>
      </c>
      <c r="AU68" s="612">
        <f t="shared" si="130"/>
        <v>-5427066.7000000002</v>
      </c>
      <c r="AV68" s="626"/>
      <c r="AW68" s="626"/>
      <c r="AX68" s="626"/>
      <c r="AY68" s="626"/>
      <c r="AZ68" s="626"/>
      <c r="BA68" s="626"/>
      <c r="BB68" s="626"/>
      <c r="BC68" s="626"/>
    </row>
    <row r="69" spans="1:55" s="228" customFormat="1" ht="21.75" customHeight="1">
      <c r="A69" s="610">
        <v>36</v>
      </c>
      <c r="B69" s="398" t="s">
        <v>683</v>
      </c>
      <c r="C69" s="611">
        <f>+'Asset Classification'!C69</f>
        <v>833623487</v>
      </c>
      <c r="D69" s="612">
        <f>+'Asset Classification'!D69</f>
        <v>272990585</v>
      </c>
      <c r="E69" s="617">
        <f>+'Asset Classification'!E69</f>
        <v>525981527</v>
      </c>
      <c r="F69" s="618">
        <f>+'Asset Classification'!F69</f>
        <v>142339446</v>
      </c>
      <c r="G69" s="617">
        <f>+'Asset Classification'!G69</f>
        <v>0</v>
      </c>
      <c r="H69" s="612">
        <f t="shared" si="109"/>
        <v>5259815.2700000005</v>
      </c>
      <c r="I69" s="612">
        <f t="shared" si="110"/>
        <v>-5259815.2700000005</v>
      </c>
      <c r="J69" s="617">
        <f>+'Asset Classification'!I69</f>
        <v>265370594</v>
      </c>
      <c r="K69" s="618">
        <f>+'Asset Classification'!J69</f>
        <v>129279460</v>
      </c>
      <c r="L69" s="617">
        <f>+'Asset Classification'!K69</f>
        <v>2430750</v>
      </c>
      <c r="M69" s="612">
        <f t="shared" si="111"/>
        <v>26537059.400000002</v>
      </c>
      <c r="N69" s="612">
        <f t="shared" si="112"/>
        <v>-24106309.400000002</v>
      </c>
      <c r="O69" s="618">
        <f>+'Asset Classification'!L69</f>
        <v>0</v>
      </c>
      <c r="P69" s="612">
        <f t="shared" si="113"/>
        <v>12927946</v>
      </c>
      <c r="Q69" s="612">
        <f t="shared" si="114"/>
        <v>-12927946</v>
      </c>
      <c r="R69" s="617">
        <f>+'Asset Classification'!M69</f>
        <v>7181328</v>
      </c>
      <c r="S69" s="618">
        <f>+'Asset Classification'!N69</f>
        <v>0</v>
      </c>
      <c r="T69" s="617">
        <f>+'Asset Classification'!O69</f>
        <v>114101</v>
      </c>
      <c r="U69" s="612">
        <f t="shared" si="115"/>
        <v>1795332</v>
      </c>
      <c r="V69" s="612">
        <f t="shared" si="116"/>
        <v>-1681231</v>
      </c>
      <c r="W69" s="618">
        <f>+'Asset Classification'!P69</f>
        <v>0</v>
      </c>
      <c r="X69" s="612">
        <f t="shared" si="117"/>
        <v>0</v>
      </c>
      <c r="Y69" s="612">
        <f t="shared" si="118"/>
        <v>0</v>
      </c>
      <c r="Z69" s="617">
        <f>+'Asset Classification'!Q69</f>
        <v>20997993</v>
      </c>
      <c r="AA69" s="618">
        <f>+'Asset Classification'!R69</f>
        <v>0</v>
      </c>
      <c r="AB69" s="617">
        <f>+'Asset Classification'!S69</f>
        <v>1581877</v>
      </c>
      <c r="AC69" s="612">
        <f t="shared" si="119"/>
        <v>10498996.5</v>
      </c>
      <c r="AD69" s="612">
        <f t="shared" si="120"/>
        <v>-8917119.5</v>
      </c>
      <c r="AE69" s="618">
        <f>+'Asset Classification'!T69</f>
        <v>0</v>
      </c>
      <c r="AF69" s="612">
        <f t="shared" si="121"/>
        <v>0</v>
      </c>
      <c r="AG69" s="612">
        <f t="shared" si="122"/>
        <v>0</v>
      </c>
      <c r="AH69" s="617">
        <f>+'Asset Classification'!U69</f>
        <v>14092045</v>
      </c>
      <c r="AI69" s="618">
        <f>+'Asset Classification'!V69</f>
        <v>1371679</v>
      </c>
      <c r="AJ69" s="617">
        <f>+'Asset Classification'!W69</f>
        <v>6278335</v>
      </c>
      <c r="AK69" s="612">
        <f t="shared" si="123"/>
        <v>14092045</v>
      </c>
      <c r="AL69" s="612">
        <f t="shared" si="124"/>
        <v>-7813710</v>
      </c>
      <c r="AM69" s="618">
        <f>+'Asset Classification'!X69</f>
        <v>1371679</v>
      </c>
      <c r="AN69" s="612">
        <f t="shared" si="125"/>
        <v>1371679</v>
      </c>
      <c r="AO69" s="612">
        <f t="shared" si="126"/>
        <v>0</v>
      </c>
      <c r="AP69" s="599">
        <f t="shared" si="127"/>
        <v>10405063</v>
      </c>
      <c r="AQ69" s="599">
        <f t="shared" si="127"/>
        <v>52923432.900000006</v>
      </c>
      <c r="AR69" s="599">
        <f t="shared" si="128"/>
        <v>-42518369.900000006</v>
      </c>
      <c r="AS69" s="612">
        <f t="shared" si="129"/>
        <v>1371679</v>
      </c>
      <c r="AT69" s="612">
        <f t="shared" si="129"/>
        <v>14299625</v>
      </c>
      <c r="AU69" s="612">
        <f t="shared" si="130"/>
        <v>-12927946</v>
      </c>
      <c r="AV69" s="626"/>
      <c r="AW69" s="626"/>
      <c r="AX69" s="626"/>
      <c r="AY69" s="626"/>
      <c r="AZ69" s="626"/>
      <c r="BA69" s="626"/>
      <c r="BB69" s="626"/>
      <c r="BC69" s="626"/>
    </row>
    <row r="70" spans="1:55" s="228" customFormat="1" ht="21.75" customHeight="1">
      <c r="A70" s="610">
        <v>37</v>
      </c>
      <c r="B70" s="398" t="s">
        <v>684</v>
      </c>
      <c r="C70" s="611">
        <f>+'Asset Classification'!C70</f>
        <v>808470566</v>
      </c>
      <c r="D70" s="612">
        <f>+'Asset Classification'!D70</f>
        <v>279412733</v>
      </c>
      <c r="E70" s="617">
        <f>+'Asset Classification'!E70</f>
        <v>446216230</v>
      </c>
      <c r="F70" s="618">
        <f>+'Asset Classification'!F70</f>
        <v>34916258</v>
      </c>
      <c r="G70" s="617">
        <f>+'Asset Classification'!G70</f>
        <v>0</v>
      </c>
      <c r="H70" s="612">
        <f t="shared" si="109"/>
        <v>4462162.3</v>
      </c>
      <c r="I70" s="612">
        <f t="shared" si="110"/>
        <v>-4462162.3</v>
      </c>
      <c r="J70" s="617">
        <f>+'Asset Classification'!I70</f>
        <v>290244852</v>
      </c>
      <c r="K70" s="618">
        <f>+'Asset Classification'!J70</f>
        <v>203809381</v>
      </c>
      <c r="L70" s="617">
        <f>+'Asset Classification'!K70</f>
        <v>1433435</v>
      </c>
      <c r="M70" s="612">
        <f t="shared" si="111"/>
        <v>29024485.200000003</v>
      </c>
      <c r="N70" s="612">
        <f t="shared" si="112"/>
        <v>-27591050.200000003</v>
      </c>
      <c r="O70" s="618">
        <f>+'Asset Classification'!L70</f>
        <v>0</v>
      </c>
      <c r="P70" s="612">
        <f t="shared" si="113"/>
        <v>20380938.100000001</v>
      </c>
      <c r="Q70" s="612">
        <f t="shared" si="114"/>
        <v>-20380938.100000001</v>
      </c>
      <c r="R70" s="617">
        <f>+'Asset Classification'!M70</f>
        <v>3316616</v>
      </c>
      <c r="S70" s="618">
        <f>+'Asset Classification'!N70</f>
        <v>0</v>
      </c>
      <c r="T70" s="617">
        <f>+'Asset Classification'!O70</f>
        <v>59894</v>
      </c>
      <c r="U70" s="612">
        <f t="shared" si="115"/>
        <v>829154</v>
      </c>
      <c r="V70" s="612">
        <f t="shared" si="116"/>
        <v>-769260</v>
      </c>
      <c r="W70" s="618">
        <f>+'Asset Classification'!P70</f>
        <v>0</v>
      </c>
      <c r="X70" s="612">
        <f t="shared" si="117"/>
        <v>0</v>
      </c>
      <c r="Y70" s="612">
        <f t="shared" si="118"/>
        <v>0</v>
      </c>
      <c r="Z70" s="617">
        <f>+'Asset Classification'!Q70</f>
        <v>3408106</v>
      </c>
      <c r="AA70" s="618">
        <f>+'Asset Classification'!R70</f>
        <v>0</v>
      </c>
      <c r="AB70" s="617">
        <f>+'Asset Classification'!S70</f>
        <v>94806</v>
      </c>
      <c r="AC70" s="612">
        <f t="shared" si="119"/>
        <v>1704053</v>
      </c>
      <c r="AD70" s="612">
        <f t="shared" si="120"/>
        <v>-1609247</v>
      </c>
      <c r="AE70" s="618">
        <f>+'Asset Classification'!T70</f>
        <v>0</v>
      </c>
      <c r="AF70" s="612">
        <f t="shared" si="121"/>
        <v>0</v>
      </c>
      <c r="AG70" s="612">
        <f t="shared" si="122"/>
        <v>0</v>
      </c>
      <c r="AH70" s="617">
        <f>+'Asset Classification'!U70</f>
        <v>65284762</v>
      </c>
      <c r="AI70" s="618">
        <f>+'Asset Classification'!V70</f>
        <v>40687094</v>
      </c>
      <c r="AJ70" s="617">
        <f>+'Asset Classification'!W70</f>
        <v>10957396</v>
      </c>
      <c r="AK70" s="612">
        <f t="shared" si="123"/>
        <v>65284762</v>
      </c>
      <c r="AL70" s="612">
        <f t="shared" si="124"/>
        <v>-54327366</v>
      </c>
      <c r="AM70" s="618">
        <f>+'Asset Classification'!X70</f>
        <v>0</v>
      </c>
      <c r="AN70" s="612">
        <f t="shared" si="125"/>
        <v>40687094</v>
      </c>
      <c r="AO70" s="612">
        <f t="shared" si="126"/>
        <v>-40687094</v>
      </c>
      <c r="AP70" s="599">
        <f t="shared" si="127"/>
        <v>12545531</v>
      </c>
      <c r="AQ70" s="599">
        <f t="shared" si="127"/>
        <v>96842454.200000003</v>
      </c>
      <c r="AR70" s="599">
        <f t="shared" si="128"/>
        <v>-84296923.200000003</v>
      </c>
      <c r="AS70" s="612">
        <f t="shared" si="129"/>
        <v>0</v>
      </c>
      <c r="AT70" s="612">
        <f t="shared" si="129"/>
        <v>61068032.100000001</v>
      </c>
      <c r="AU70" s="612">
        <f t="shared" si="130"/>
        <v>-61068032.100000001</v>
      </c>
      <c r="AV70" s="626"/>
      <c r="AW70" s="626"/>
      <c r="AX70" s="626"/>
      <c r="AY70" s="626"/>
      <c r="AZ70" s="626"/>
      <c r="BA70" s="626"/>
      <c r="BB70" s="626"/>
      <c r="BC70" s="626"/>
    </row>
    <row r="71" spans="1:55" s="609" customFormat="1" ht="28.5" customHeight="1">
      <c r="A71" s="583">
        <v>38</v>
      </c>
      <c r="B71" s="583" t="s">
        <v>668</v>
      </c>
      <c r="C71" s="600">
        <f>+'Asset Classification'!C71</f>
        <v>14437080535</v>
      </c>
      <c r="D71" s="600">
        <f>+'Asset Classification'!D71</f>
        <v>3690964093</v>
      </c>
      <c r="E71" s="600">
        <f>+'Asset Classification'!E71</f>
        <v>10039054997</v>
      </c>
      <c r="F71" s="600">
        <f>+'Asset Classification'!F71</f>
        <v>2270492466</v>
      </c>
      <c r="G71" s="600">
        <f>+'Asset Classification'!G71</f>
        <v>0</v>
      </c>
      <c r="H71" s="600">
        <f t="shared" ref="H71:I71" si="131">SUM(H57:H70)</f>
        <v>100390549.97</v>
      </c>
      <c r="I71" s="600">
        <f t="shared" si="131"/>
        <v>-100390549.97</v>
      </c>
      <c r="J71" s="600">
        <f>+'Asset Classification'!I71</f>
        <v>3532847141</v>
      </c>
      <c r="K71" s="600">
        <f>+'Asset Classification'!J71</f>
        <v>1273747781</v>
      </c>
      <c r="L71" s="600">
        <f>+'Asset Classification'!K71</f>
        <v>108709846</v>
      </c>
      <c r="M71" s="600">
        <f t="shared" ref="M71:N71" si="132">SUM(M57:M70)</f>
        <v>353284714.09999996</v>
      </c>
      <c r="N71" s="600">
        <f t="shared" si="132"/>
        <v>-244574868.10000008</v>
      </c>
      <c r="O71" s="600">
        <f>+'Asset Classification'!L71</f>
        <v>24667860</v>
      </c>
      <c r="P71" s="600">
        <f t="shared" ref="P71:Q71" si="133">SUM(P57:P70)</f>
        <v>127374778.10000002</v>
      </c>
      <c r="Q71" s="600">
        <f t="shared" si="133"/>
        <v>-102706918.09999999</v>
      </c>
      <c r="R71" s="600">
        <f>+'Asset Classification'!M71</f>
        <v>102373443</v>
      </c>
      <c r="S71" s="600">
        <f>+'Asset Classification'!N71</f>
        <v>829118</v>
      </c>
      <c r="T71" s="600">
        <f>+'Asset Classification'!O71</f>
        <v>1716703</v>
      </c>
      <c r="U71" s="600">
        <f t="shared" ref="U71:Y71" si="134">SUM(U57:U70)</f>
        <v>25593360.75</v>
      </c>
      <c r="V71" s="600">
        <f t="shared" si="134"/>
        <v>-23876657.75</v>
      </c>
      <c r="W71" s="600">
        <f>+'Asset Classification'!P71</f>
        <v>74120</v>
      </c>
      <c r="X71" s="600">
        <f t="shared" si="134"/>
        <v>207279.5</v>
      </c>
      <c r="Y71" s="600">
        <f t="shared" si="134"/>
        <v>-133159.5</v>
      </c>
      <c r="Z71" s="600">
        <f>+'Asset Classification'!Q71</f>
        <v>237587084</v>
      </c>
      <c r="AA71" s="600">
        <f>+'Asset Classification'!R71</f>
        <v>3072659</v>
      </c>
      <c r="AB71" s="600">
        <f>+'Asset Classification'!S71</f>
        <v>12546992</v>
      </c>
      <c r="AC71" s="600">
        <f t="shared" ref="AC71:AD71" si="135">SUM(AC57:AC70)</f>
        <v>118793542</v>
      </c>
      <c r="AD71" s="600">
        <f t="shared" si="135"/>
        <v>-106246550</v>
      </c>
      <c r="AE71" s="600">
        <f>+'Asset Classification'!T71</f>
        <v>0</v>
      </c>
      <c r="AF71" s="600">
        <f t="shared" ref="AF71:AG71" si="136">SUM(AF57:AF70)</f>
        <v>1536329.5</v>
      </c>
      <c r="AG71" s="600">
        <f t="shared" si="136"/>
        <v>-1536329.5</v>
      </c>
      <c r="AH71" s="600">
        <f>+'Asset Classification'!U71</f>
        <v>525217870</v>
      </c>
      <c r="AI71" s="600">
        <f>+'Asset Classification'!V71</f>
        <v>142822069</v>
      </c>
      <c r="AJ71" s="600">
        <f>+'Asset Classification'!W71</f>
        <v>103010246</v>
      </c>
      <c r="AK71" s="600">
        <f t="shared" ref="AK71:AL71" si="137">SUM(AK57:AK70)</f>
        <v>525217870</v>
      </c>
      <c r="AL71" s="600">
        <f t="shared" si="137"/>
        <v>-422207624</v>
      </c>
      <c r="AM71" s="600">
        <f>+'Asset Classification'!X71</f>
        <v>4132442</v>
      </c>
      <c r="AN71" s="600">
        <f t="shared" ref="AN71:AU71" si="138">SUM(AN57:AN70)</f>
        <v>142822069</v>
      </c>
      <c r="AO71" s="600">
        <f t="shared" si="138"/>
        <v>-138689627</v>
      </c>
      <c r="AP71" s="600">
        <f t="shared" si="138"/>
        <v>225983787</v>
      </c>
      <c r="AQ71" s="600">
        <f t="shared" si="138"/>
        <v>1022889486.8499999</v>
      </c>
      <c r="AR71" s="600">
        <f t="shared" si="138"/>
        <v>-796905699.85000002</v>
      </c>
      <c r="AS71" s="600">
        <f t="shared" si="138"/>
        <v>28874422</v>
      </c>
      <c r="AT71" s="600">
        <f t="shared" si="138"/>
        <v>271940456.10000002</v>
      </c>
      <c r="AU71" s="600">
        <f t="shared" si="138"/>
        <v>-243066034.09999999</v>
      </c>
      <c r="AV71" s="619">
        <f>+'Loans Receivable'!C85</f>
        <v>14437080535</v>
      </c>
    </row>
    <row r="72" spans="1:55" s="228" customFormat="1" ht="21.75" customHeight="1">
      <c r="A72" s="610">
        <v>39</v>
      </c>
      <c r="B72" s="398" t="s">
        <v>685</v>
      </c>
      <c r="C72" s="611">
        <f>+'Asset Classification'!C72</f>
        <v>0</v>
      </c>
      <c r="D72" s="612">
        <f>+'Asset Classification'!D72</f>
        <v>0</v>
      </c>
      <c r="E72" s="617">
        <f>+'Asset Classification'!E72</f>
        <v>0</v>
      </c>
      <c r="F72" s="618">
        <f>+'Asset Classification'!F72</f>
        <v>0</v>
      </c>
      <c r="G72" s="617">
        <f>+'Asset Classification'!G72</f>
        <v>0</v>
      </c>
      <c r="H72" s="612">
        <f t="shared" ref="H72:H73" si="139">+E72*1%</f>
        <v>0</v>
      </c>
      <c r="I72" s="612">
        <f t="shared" ref="I72:I73" si="140">+G72-H72</f>
        <v>0</v>
      </c>
      <c r="J72" s="617">
        <f>+'Asset Classification'!I72</f>
        <v>0</v>
      </c>
      <c r="K72" s="618">
        <f>+'Asset Classification'!J72</f>
        <v>0</v>
      </c>
      <c r="L72" s="617">
        <f>+'Asset Classification'!K72</f>
        <v>6748139</v>
      </c>
      <c r="M72" s="612">
        <f t="shared" ref="M72:M73" si="141">+J72*10%</f>
        <v>0</v>
      </c>
      <c r="N72" s="612">
        <f t="shared" ref="N72:N73" si="142">+L72-M72</f>
        <v>6748139</v>
      </c>
      <c r="O72" s="618">
        <f>+'Asset Classification'!L72</f>
        <v>0</v>
      </c>
      <c r="P72" s="612">
        <f t="shared" ref="P72:P73" si="143">+K72*10%</f>
        <v>0</v>
      </c>
      <c r="Q72" s="612">
        <f t="shared" ref="Q72:Q73" si="144">+O72-P72</f>
        <v>0</v>
      </c>
      <c r="R72" s="617">
        <f>+'Asset Classification'!M72</f>
        <v>0</v>
      </c>
      <c r="S72" s="618">
        <f>+'Asset Classification'!N72</f>
        <v>0</v>
      </c>
      <c r="T72" s="617">
        <f>+'Asset Classification'!O72</f>
        <v>0</v>
      </c>
      <c r="U72" s="612">
        <f t="shared" ref="U72:U73" si="145">+R72*25%</f>
        <v>0</v>
      </c>
      <c r="V72" s="612">
        <f t="shared" ref="V72:V73" si="146">+T72-U72</f>
        <v>0</v>
      </c>
      <c r="W72" s="618">
        <f>+'Asset Classification'!P72</f>
        <v>0</v>
      </c>
      <c r="X72" s="612">
        <f t="shared" ref="X72:X73" si="147">+S72*25%</f>
        <v>0</v>
      </c>
      <c r="Y72" s="612">
        <f t="shared" ref="Y72:Y73" si="148">+W72-X72</f>
        <v>0</v>
      </c>
      <c r="Z72" s="617">
        <f>+'Asset Classification'!Q72</f>
        <v>0</v>
      </c>
      <c r="AA72" s="618">
        <f>+'Asset Classification'!R72</f>
        <v>0</v>
      </c>
      <c r="AB72" s="617">
        <f>+'Asset Classification'!S72</f>
        <v>0</v>
      </c>
      <c r="AC72" s="612">
        <f t="shared" ref="AC72:AC73" si="149">+Z72*50%</f>
        <v>0</v>
      </c>
      <c r="AD72" s="612">
        <f t="shared" ref="AD72:AD73" si="150">+AB72-AC72</f>
        <v>0</v>
      </c>
      <c r="AE72" s="618">
        <f>+'Asset Classification'!T72</f>
        <v>0</v>
      </c>
      <c r="AF72" s="612">
        <f t="shared" ref="AF72:AF73" si="151">+AA72*50%</f>
        <v>0</v>
      </c>
      <c r="AG72" s="612">
        <f t="shared" ref="AG72:AG73" si="152">+AE72-AF72</f>
        <v>0</v>
      </c>
      <c r="AH72" s="617">
        <f>+'Asset Classification'!U72</f>
        <v>0</v>
      </c>
      <c r="AI72" s="618">
        <f>+'Asset Classification'!V72</f>
        <v>0</v>
      </c>
      <c r="AJ72" s="617">
        <f>+'Asset Classification'!W72</f>
        <v>0</v>
      </c>
      <c r="AK72" s="612">
        <f t="shared" ref="AK72:AK73" si="153">+AH72*100%</f>
        <v>0</v>
      </c>
      <c r="AL72" s="612">
        <f t="shared" ref="AL72:AL73" si="154">+AJ72-AK72</f>
        <v>0</v>
      </c>
      <c r="AM72" s="618">
        <f>+'Asset Classification'!X72</f>
        <v>0</v>
      </c>
      <c r="AN72" s="612">
        <f t="shared" ref="AN72:AN73" si="155">+AI72*100%</f>
        <v>0</v>
      </c>
      <c r="AO72" s="612">
        <f t="shared" ref="AO72:AO73" si="156">+AM72-AN72</f>
        <v>0</v>
      </c>
      <c r="AP72" s="599">
        <f t="shared" ref="AP72:AP73" si="157">+L72+T72+AB72+AJ72</f>
        <v>6748139</v>
      </c>
      <c r="AQ72" s="599">
        <f t="shared" ref="AQ72:AQ73" si="158">+M72+U72+AC72+AK72</f>
        <v>0</v>
      </c>
      <c r="AR72" s="599">
        <f t="shared" ref="AR72:AR73" si="159">+AP72-AQ72</f>
        <v>6748139</v>
      </c>
      <c r="AS72" s="612">
        <f t="shared" ref="AS72:AS73" si="160">+O72+W72+AE72+AM72</f>
        <v>0</v>
      </c>
      <c r="AT72" s="612">
        <f t="shared" ref="AT72:AT73" si="161">+P72+X72+AF72+AN72</f>
        <v>0</v>
      </c>
      <c r="AU72" s="612">
        <f t="shared" ref="AU72:AU73" si="162">+AS72-AT72</f>
        <v>0</v>
      </c>
      <c r="AV72" s="626"/>
      <c r="AW72" s="626"/>
      <c r="AX72" s="626"/>
      <c r="AY72" s="626"/>
      <c r="AZ72" s="626"/>
      <c r="BA72" s="626"/>
      <c r="BB72" s="626"/>
      <c r="BC72" s="626"/>
    </row>
    <row r="73" spans="1:55" s="228" customFormat="1" ht="21.75" customHeight="1">
      <c r="A73" s="610"/>
      <c r="B73" s="398" t="s">
        <v>660</v>
      </c>
      <c r="C73" s="611">
        <f>+'Asset Classification'!C73</f>
        <v>0</v>
      </c>
      <c r="D73" s="612">
        <f>+'Asset Classification'!D73</f>
        <v>0</v>
      </c>
      <c r="E73" s="617">
        <f>+'Asset Classification'!E73</f>
        <v>0</v>
      </c>
      <c r="F73" s="618">
        <f>+'Asset Classification'!F73</f>
        <v>0</v>
      </c>
      <c r="G73" s="617">
        <f>+'Asset Classification'!G73</f>
        <v>0</v>
      </c>
      <c r="H73" s="612">
        <f t="shared" si="139"/>
        <v>0</v>
      </c>
      <c r="I73" s="612">
        <f t="shared" si="140"/>
        <v>0</v>
      </c>
      <c r="J73" s="617">
        <f>+'Asset Classification'!I73</f>
        <v>0</v>
      </c>
      <c r="K73" s="618">
        <f>+'Asset Classification'!J73</f>
        <v>0</v>
      </c>
      <c r="L73" s="617">
        <f>+'Asset Classification'!K73</f>
        <v>0</v>
      </c>
      <c r="M73" s="612">
        <f t="shared" si="141"/>
        <v>0</v>
      </c>
      <c r="N73" s="612">
        <f t="shared" si="142"/>
        <v>0</v>
      </c>
      <c r="O73" s="618">
        <f>+'Asset Classification'!L73</f>
        <v>0</v>
      </c>
      <c r="P73" s="612">
        <f t="shared" si="143"/>
        <v>0</v>
      </c>
      <c r="Q73" s="612">
        <f t="shared" si="144"/>
        <v>0</v>
      </c>
      <c r="R73" s="617">
        <f>+'Asset Classification'!M73</f>
        <v>0</v>
      </c>
      <c r="S73" s="618">
        <f>+'Asset Classification'!N73</f>
        <v>0</v>
      </c>
      <c r="T73" s="617">
        <f>+'Asset Classification'!O73</f>
        <v>0</v>
      </c>
      <c r="U73" s="612">
        <f t="shared" si="145"/>
        <v>0</v>
      </c>
      <c r="V73" s="612">
        <f t="shared" si="146"/>
        <v>0</v>
      </c>
      <c r="W73" s="618">
        <f>+'Asset Classification'!P73</f>
        <v>0</v>
      </c>
      <c r="X73" s="612">
        <f t="shared" si="147"/>
        <v>0</v>
      </c>
      <c r="Y73" s="612">
        <f t="shared" si="148"/>
        <v>0</v>
      </c>
      <c r="Z73" s="617">
        <f>+'Asset Classification'!Q73</f>
        <v>0</v>
      </c>
      <c r="AA73" s="618">
        <f>+'Asset Classification'!R73</f>
        <v>0</v>
      </c>
      <c r="AB73" s="617">
        <f>+'Asset Classification'!S73</f>
        <v>0</v>
      </c>
      <c r="AC73" s="612">
        <f t="shared" si="149"/>
        <v>0</v>
      </c>
      <c r="AD73" s="612">
        <f t="shared" si="150"/>
        <v>0</v>
      </c>
      <c r="AE73" s="618">
        <f>+'Asset Classification'!T73</f>
        <v>0</v>
      </c>
      <c r="AF73" s="612">
        <f t="shared" si="151"/>
        <v>0</v>
      </c>
      <c r="AG73" s="612">
        <f t="shared" si="152"/>
        <v>0</v>
      </c>
      <c r="AH73" s="617">
        <f>+'Asset Classification'!U73</f>
        <v>0</v>
      </c>
      <c r="AI73" s="618">
        <f>+'Asset Classification'!V73</f>
        <v>0</v>
      </c>
      <c r="AJ73" s="617">
        <f>+'Asset Classification'!W73</f>
        <v>0</v>
      </c>
      <c r="AK73" s="612">
        <f t="shared" si="153"/>
        <v>0</v>
      </c>
      <c r="AL73" s="612">
        <f t="shared" si="154"/>
        <v>0</v>
      </c>
      <c r="AM73" s="618">
        <f>+'Asset Classification'!X73</f>
        <v>0</v>
      </c>
      <c r="AN73" s="612">
        <f t="shared" si="155"/>
        <v>0</v>
      </c>
      <c r="AO73" s="612">
        <f t="shared" si="156"/>
        <v>0</v>
      </c>
      <c r="AP73" s="599">
        <f t="shared" si="157"/>
        <v>0</v>
      </c>
      <c r="AQ73" s="599">
        <f t="shared" si="158"/>
        <v>0</v>
      </c>
      <c r="AR73" s="599">
        <f t="shared" si="159"/>
        <v>0</v>
      </c>
      <c r="AS73" s="612">
        <f t="shared" si="160"/>
        <v>0</v>
      </c>
      <c r="AT73" s="612">
        <f t="shared" si="161"/>
        <v>0</v>
      </c>
      <c r="AU73" s="612">
        <f t="shared" si="162"/>
        <v>0</v>
      </c>
      <c r="AV73" s="626"/>
      <c r="AW73" s="626"/>
      <c r="AX73" s="626"/>
      <c r="AY73" s="626"/>
      <c r="AZ73" s="626"/>
      <c r="BA73" s="626"/>
      <c r="BB73" s="626"/>
      <c r="BC73" s="626"/>
    </row>
    <row r="74" spans="1:55" s="609" customFormat="1" ht="28.5" customHeight="1">
      <c r="A74" s="583">
        <v>40</v>
      </c>
      <c r="B74" s="583" t="s">
        <v>686</v>
      </c>
      <c r="C74" s="600">
        <f t="shared" ref="C74:AU74" si="163">+C53+C72</f>
        <v>14437080535</v>
      </c>
      <c r="D74" s="600">
        <f t="shared" si="163"/>
        <v>3690964093</v>
      </c>
      <c r="E74" s="600">
        <f t="shared" si="163"/>
        <v>10039054997</v>
      </c>
      <c r="F74" s="600">
        <f t="shared" si="163"/>
        <v>2270492466</v>
      </c>
      <c r="G74" s="600">
        <f t="shared" si="163"/>
        <v>0</v>
      </c>
      <c r="H74" s="600">
        <f t="shared" si="163"/>
        <v>100390549.97</v>
      </c>
      <c r="I74" s="600">
        <f t="shared" si="163"/>
        <v>-100390549.97</v>
      </c>
      <c r="J74" s="600">
        <f t="shared" si="163"/>
        <v>3532847141</v>
      </c>
      <c r="K74" s="600">
        <f t="shared" si="163"/>
        <v>1273747781</v>
      </c>
      <c r="L74" s="600">
        <f t="shared" si="163"/>
        <v>115457985</v>
      </c>
      <c r="M74" s="600">
        <f t="shared" si="163"/>
        <v>353284714.10000002</v>
      </c>
      <c r="N74" s="600">
        <f t="shared" si="163"/>
        <v>-237826729.10000002</v>
      </c>
      <c r="O74" s="600">
        <f t="shared" si="163"/>
        <v>24667860</v>
      </c>
      <c r="P74" s="600">
        <f t="shared" si="163"/>
        <v>127374778.09999999</v>
      </c>
      <c r="Q74" s="600">
        <f t="shared" si="163"/>
        <v>-102706918.09999999</v>
      </c>
      <c r="R74" s="600">
        <f t="shared" si="163"/>
        <v>102373443</v>
      </c>
      <c r="S74" s="600">
        <f t="shared" si="163"/>
        <v>829118</v>
      </c>
      <c r="T74" s="600">
        <f t="shared" si="163"/>
        <v>1716703</v>
      </c>
      <c r="U74" s="600">
        <f t="shared" si="163"/>
        <v>25593360.75</v>
      </c>
      <c r="V74" s="600">
        <f t="shared" si="163"/>
        <v>-23876657.75</v>
      </c>
      <c r="W74" s="600">
        <f t="shared" si="163"/>
        <v>74120</v>
      </c>
      <c r="X74" s="600">
        <f t="shared" si="163"/>
        <v>207279.5</v>
      </c>
      <c r="Y74" s="600">
        <f t="shared" ref="Y74" si="164">+Y53+Y72</f>
        <v>-133159.5</v>
      </c>
      <c r="Z74" s="600">
        <f t="shared" si="163"/>
        <v>237587084</v>
      </c>
      <c r="AA74" s="600">
        <f t="shared" si="163"/>
        <v>3072659</v>
      </c>
      <c r="AB74" s="600">
        <f t="shared" si="163"/>
        <v>12546992</v>
      </c>
      <c r="AC74" s="600">
        <f t="shared" si="163"/>
        <v>118793542</v>
      </c>
      <c r="AD74" s="600">
        <f t="shared" si="163"/>
        <v>-106246550</v>
      </c>
      <c r="AE74" s="600">
        <f t="shared" si="163"/>
        <v>0</v>
      </c>
      <c r="AF74" s="600">
        <f t="shared" si="163"/>
        <v>1536329.5</v>
      </c>
      <c r="AG74" s="600">
        <f t="shared" si="163"/>
        <v>-1536329.5</v>
      </c>
      <c r="AH74" s="600">
        <f t="shared" si="163"/>
        <v>525217870</v>
      </c>
      <c r="AI74" s="600">
        <f t="shared" si="163"/>
        <v>142822069</v>
      </c>
      <c r="AJ74" s="600">
        <f t="shared" si="163"/>
        <v>103010246</v>
      </c>
      <c r="AK74" s="600">
        <f t="shared" si="163"/>
        <v>525217870</v>
      </c>
      <c r="AL74" s="600">
        <f t="shared" si="163"/>
        <v>-422207624</v>
      </c>
      <c r="AM74" s="600">
        <f t="shared" si="163"/>
        <v>4132442</v>
      </c>
      <c r="AN74" s="600">
        <f t="shared" si="163"/>
        <v>142822069</v>
      </c>
      <c r="AO74" s="600">
        <f t="shared" si="163"/>
        <v>-138689627</v>
      </c>
      <c r="AP74" s="600">
        <f t="shared" si="163"/>
        <v>232731926</v>
      </c>
      <c r="AQ74" s="600">
        <f t="shared" si="163"/>
        <v>1022889486.8500001</v>
      </c>
      <c r="AR74" s="600">
        <f t="shared" si="163"/>
        <v>-790157560.8499999</v>
      </c>
      <c r="AS74" s="600">
        <f t="shared" si="163"/>
        <v>28874422</v>
      </c>
      <c r="AT74" s="600">
        <f t="shared" si="163"/>
        <v>271940456.09999996</v>
      </c>
      <c r="AU74" s="600">
        <f t="shared" si="163"/>
        <v>-243066034.09999999</v>
      </c>
    </row>
    <row r="75" spans="1:55">
      <c r="C75" s="601">
        <f>+C31-C53</f>
        <v>0</v>
      </c>
      <c r="D75" s="601">
        <f>+D31-D53</f>
        <v>0</v>
      </c>
      <c r="E75" s="601">
        <f>+E31-E53</f>
        <v>0</v>
      </c>
      <c r="F75" s="601">
        <f t="shared" ref="F75:AU75" si="165">+F31-F53</f>
        <v>0</v>
      </c>
      <c r="G75" s="601">
        <f t="shared" si="165"/>
        <v>0</v>
      </c>
      <c r="H75" s="601">
        <f t="shared" si="165"/>
        <v>0</v>
      </c>
      <c r="I75" s="601"/>
      <c r="J75" s="601">
        <f t="shared" si="165"/>
        <v>0</v>
      </c>
      <c r="K75" s="601">
        <f t="shared" si="165"/>
        <v>0</v>
      </c>
      <c r="L75" s="601">
        <f t="shared" si="165"/>
        <v>0</v>
      </c>
      <c r="M75" s="601">
        <f t="shared" si="165"/>
        <v>0</v>
      </c>
      <c r="N75" s="601"/>
      <c r="O75" s="601">
        <f t="shared" si="165"/>
        <v>0</v>
      </c>
      <c r="P75" s="601">
        <f t="shared" si="165"/>
        <v>0</v>
      </c>
      <c r="Q75" s="601"/>
      <c r="R75" s="601">
        <f t="shared" si="165"/>
        <v>0</v>
      </c>
      <c r="S75" s="601">
        <f t="shared" si="165"/>
        <v>0</v>
      </c>
      <c r="T75" s="601">
        <f t="shared" si="165"/>
        <v>0</v>
      </c>
      <c r="U75" s="601">
        <f t="shared" si="165"/>
        <v>0</v>
      </c>
      <c r="V75" s="601"/>
      <c r="W75" s="601">
        <f t="shared" si="165"/>
        <v>0</v>
      </c>
      <c r="X75" s="601">
        <f t="shared" si="165"/>
        <v>0</v>
      </c>
      <c r="Y75" s="601"/>
      <c r="Z75" s="601">
        <f t="shared" si="165"/>
        <v>0</v>
      </c>
      <c r="AA75" s="601">
        <f t="shared" si="165"/>
        <v>0</v>
      </c>
      <c r="AB75" s="601">
        <f t="shared" si="165"/>
        <v>0</v>
      </c>
      <c r="AC75" s="601">
        <f t="shared" si="165"/>
        <v>0</v>
      </c>
      <c r="AD75" s="601"/>
      <c r="AE75" s="601">
        <f t="shared" si="165"/>
        <v>0</v>
      </c>
      <c r="AF75" s="601">
        <f t="shared" si="165"/>
        <v>0</v>
      </c>
      <c r="AG75" s="601"/>
      <c r="AH75" s="601">
        <f t="shared" si="165"/>
        <v>0</v>
      </c>
      <c r="AI75" s="601">
        <f t="shared" si="165"/>
        <v>0</v>
      </c>
      <c r="AJ75" s="601">
        <f t="shared" si="165"/>
        <v>0</v>
      </c>
      <c r="AK75" s="601">
        <f t="shared" si="165"/>
        <v>0</v>
      </c>
      <c r="AL75" s="601"/>
      <c r="AM75" s="601">
        <f t="shared" si="165"/>
        <v>0</v>
      </c>
      <c r="AN75" s="601">
        <f t="shared" si="165"/>
        <v>0</v>
      </c>
      <c r="AO75" s="601"/>
      <c r="AP75" s="601">
        <f t="shared" si="165"/>
        <v>0</v>
      </c>
      <c r="AQ75" s="601">
        <f t="shared" si="165"/>
        <v>0</v>
      </c>
      <c r="AR75" s="601">
        <f t="shared" si="165"/>
        <v>0</v>
      </c>
      <c r="AS75" s="601">
        <f t="shared" si="165"/>
        <v>0</v>
      </c>
      <c r="AT75" s="601">
        <f t="shared" si="165"/>
        <v>0</v>
      </c>
      <c r="AU75" s="601">
        <f t="shared" si="165"/>
        <v>0</v>
      </c>
    </row>
    <row r="76" spans="1:55" ht="15" customHeight="1">
      <c r="A76" s="34"/>
      <c r="B76" s="232" t="s">
        <v>778</v>
      </c>
      <c r="C76" s="601">
        <f>+C31-C71</f>
        <v>0</v>
      </c>
      <c r="D76" s="601">
        <f>+D31-D71</f>
        <v>0</v>
      </c>
      <c r="E76" s="601">
        <f>+E31-E71</f>
        <v>0</v>
      </c>
      <c r="F76" s="601">
        <f t="shared" ref="F76:AU76" si="166">+F31-F71</f>
        <v>0</v>
      </c>
      <c r="G76" s="601">
        <f t="shared" si="166"/>
        <v>0</v>
      </c>
      <c r="H76" s="601">
        <f t="shared" si="166"/>
        <v>0</v>
      </c>
      <c r="I76" s="601"/>
      <c r="J76" s="601">
        <f t="shared" si="166"/>
        <v>0</v>
      </c>
      <c r="K76" s="601">
        <f t="shared" si="166"/>
        <v>0</v>
      </c>
      <c r="L76" s="601">
        <f t="shared" si="166"/>
        <v>0</v>
      </c>
      <c r="M76" s="601">
        <f t="shared" si="166"/>
        <v>0</v>
      </c>
      <c r="N76" s="601"/>
      <c r="O76" s="601">
        <f t="shared" si="166"/>
        <v>0</v>
      </c>
      <c r="P76" s="601">
        <f t="shared" si="166"/>
        <v>0</v>
      </c>
      <c r="Q76" s="601"/>
      <c r="R76" s="601">
        <f t="shared" si="166"/>
        <v>0</v>
      </c>
      <c r="S76" s="601">
        <f t="shared" si="166"/>
        <v>0</v>
      </c>
      <c r="T76" s="601">
        <f t="shared" si="166"/>
        <v>0</v>
      </c>
      <c r="U76" s="601">
        <f t="shared" si="166"/>
        <v>0</v>
      </c>
      <c r="V76" s="601"/>
      <c r="W76" s="601">
        <f t="shared" si="166"/>
        <v>0</v>
      </c>
      <c r="X76" s="601">
        <f t="shared" si="166"/>
        <v>0</v>
      </c>
      <c r="Y76" s="601"/>
      <c r="Z76" s="601">
        <f t="shared" si="166"/>
        <v>0</v>
      </c>
      <c r="AA76" s="601">
        <f t="shared" si="166"/>
        <v>0</v>
      </c>
      <c r="AB76" s="601">
        <f t="shared" si="166"/>
        <v>0</v>
      </c>
      <c r="AC76" s="601">
        <f t="shared" si="166"/>
        <v>0</v>
      </c>
      <c r="AD76" s="601"/>
      <c r="AE76" s="601">
        <f t="shared" si="166"/>
        <v>0</v>
      </c>
      <c r="AF76" s="601">
        <f t="shared" si="166"/>
        <v>0</v>
      </c>
      <c r="AG76" s="601"/>
      <c r="AH76" s="601">
        <f t="shared" si="166"/>
        <v>0</v>
      </c>
      <c r="AI76" s="601">
        <f t="shared" si="166"/>
        <v>0</v>
      </c>
      <c r="AJ76" s="601">
        <f t="shared" si="166"/>
        <v>0</v>
      </c>
      <c r="AK76" s="601">
        <f t="shared" si="166"/>
        <v>0</v>
      </c>
      <c r="AL76" s="601"/>
      <c r="AM76" s="601">
        <f t="shared" si="166"/>
        <v>0</v>
      </c>
      <c r="AN76" s="601">
        <f t="shared" si="166"/>
        <v>0</v>
      </c>
      <c r="AO76" s="601"/>
      <c r="AP76" s="601">
        <f t="shared" si="166"/>
        <v>0</v>
      </c>
      <c r="AQ76" s="601">
        <f t="shared" si="166"/>
        <v>0</v>
      </c>
      <c r="AR76" s="601">
        <f t="shared" si="166"/>
        <v>0</v>
      </c>
      <c r="AS76" s="601">
        <f t="shared" si="166"/>
        <v>0</v>
      </c>
      <c r="AT76" s="601">
        <f t="shared" si="166"/>
        <v>0</v>
      </c>
      <c r="AU76" s="601">
        <f t="shared" si="166"/>
        <v>0</v>
      </c>
      <c r="AV76" s="34"/>
      <c r="AW76" s="34"/>
      <c r="AX76" s="258"/>
      <c r="AY76" s="258"/>
      <c r="AZ76" s="258"/>
      <c r="BA76" s="258"/>
      <c r="BB76" s="258"/>
      <c r="BC76" s="258"/>
    </row>
    <row r="77" spans="1:55" ht="11.25" customHeight="1">
      <c r="A77" s="34"/>
      <c r="B77" s="232"/>
      <c r="C77" s="602">
        <f>+C53-C71</f>
        <v>0</v>
      </c>
      <c r="D77" s="602">
        <f>+D53-D71</f>
        <v>0</v>
      </c>
      <c r="E77" s="602">
        <f>+E53-E71</f>
        <v>0</v>
      </c>
      <c r="F77" s="602">
        <f t="shared" ref="F77:AU77" si="167">+F53-F71</f>
        <v>0</v>
      </c>
      <c r="G77" s="602">
        <f t="shared" si="167"/>
        <v>0</v>
      </c>
      <c r="H77" s="602">
        <f t="shared" si="167"/>
        <v>0</v>
      </c>
      <c r="I77" s="602"/>
      <c r="J77" s="602">
        <f t="shared" si="167"/>
        <v>0</v>
      </c>
      <c r="K77" s="602">
        <f t="shared" si="167"/>
        <v>0</v>
      </c>
      <c r="L77" s="602">
        <f t="shared" si="167"/>
        <v>0</v>
      </c>
      <c r="M77" s="602">
        <f t="shared" si="167"/>
        <v>0</v>
      </c>
      <c r="N77" s="602"/>
      <c r="O77" s="602">
        <f t="shared" si="167"/>
        <v>0</v>
      </c>
      <c r="P77" s="602">
        <f t="shared" si="167"/>
        <v>0</v>
      </c>
      <c r="Q77" s="602"/>
      <c r="R77" s="602">
        <f t="shared" si="167"/>
        <v>0</v>
      </c>
      <c r="S77" s="602">
        <f t="shared" si="167"/>
        <v>0</v>
      </c>
      <c r="T77" s="602">
        <f t="shared" si="167"/>
        <v>0</v>
      </c>
      <c r="U77" s="602">
        <f t="shared" si="167"/>
        <v>0</v>
      </c>
      <c r="V77" s="602"/>
      <c r="W77" s="602">
        <f t="shared" si="167"/>
        <v>0</v>
      </c>
      <c r="X77" s="602">
        <f t="shared" si="167"/>
        <v>0</v>
      </c>
      <c r="Y77" s="602"/>
      <c r="Z77" s="602">
        <f t="shared" si="167"/>
        <v>0</v>
      </c>
      <c r="AA77" s="602">
        <f t="shared" si="167"/>
        <v>0</v>
      </c>
      <c r="AB77" s="602">
        <f t="shared" si="167"/>
        <v>0</v>
      </c>
      <c r="AC77" s="602">
        <f t="shared" si="167"/>
        <v>0</v>
      </c>
      <c r="AD77" s="602"/>
      <c r="AE77" s="602">
        <f t="shared" si="167"/>
        <v>0</v>
      </c>
      <c r="AF77" s="602">
        <f t="shared" si="167"/>
        <v>0</v>
      </c>
      <c r="AG77" s="602"/>
      <c r="AH77" s="602">
        <f t="shared" si="167"/>
        <v>0</v>
      </c>
      <c r="AI77" s="602">
        <f t="shared" si="167"/>
        <v>0</v>
      </c>
      <c r="AJ77" s="602">
        <f t="shared" si="167"/>
        <v>0</v>
      </c>
      <c r="AK77" s="602">
        <f t="shared" si="167"/>
        <v>0</v>
      </c>
      <c r="AL77" s="602"/>
      <c r="AM77" s="602">
        <f t="shared" si="167"/>
        <v>0</v>
      </c>
      <c r="AN77" s="602">
        <f t="shared" si="167"/>
        <v>0</v>
      </c>
      <c r="AO77" s="602"/>
      <c r="AP77" s="602">
        <f t="shared" si="167"/>
        <v>0</v>
      </c>
      <c r="AQ77" s="602">
        <f t="shared" si="167"/>
        <v>0</v>
      </c>
      <c r="AR77" s="602">
        <f t="shared" si="167"/>
        <v>0</v>
      </c>
      <c r="AS77" s="602">
        <f t="shared" si="167"/>
        <v>0</v>
      </c>
      <c r="AT77" s="602">
        <f t="shared" si="167"/>
        <v>0</v>
      </c>
      <c r="AU77" s="602">
        <f t="shared" si="167"/>
        <v>0</v>
      </c>
      <c r="AV77" s="34"/>
      <c r="AW77" s="34"/>
      <c r="AX77" s="258"/>
      <c r="AY77" s="258"/>
      <c r="AZ77" s="258"/>
      <c r="BA77" s="258"/>
      <c r="BB77" s="258"/>
      <c r="BC77" s="258"/>
    </row>
    <row r="78" spans="1:55" ht="15" customHeight="1">
      <c r="A78" s="34"/>
      <c r="B78" s="232" t="s">
        <v>779</v>
      </c>
      <c r="C78" s="633"/>
      <c r="D78" s="633"/>
      <c r="E78" s="633"/>
      <c r="F78" s="633"/>
      <c r="G78" s="633"/>
      <c r="H78" s="633"/>
      <c r="I78" s="633"/>
      <c r="J78" s="633"/>
      <c r="K78" s="633"/>
      <c r="L78" s="633"/>
      <c r="M78" s="633"/>
      <c r="N78" s="633"/>
      <c r="O78" s="633"/>
      <c r="P78" s="633"/>
      <c r="Q78" s="633"/>
      <c r="R78" s="633"/>
      <c r="S78" s="633"/>
      <c r="T78" s="633"/>
      <c r="U78" s="633"/>
      <c r="V78" s="633"/>
      <c r="W78" s="633"/>
      <c r="X78" s="633"/>
      <c r="Y78" s="633"/>
      <c r="Z78" s="633"/>
      <c r="AA78" s="633"/>
      <c r="AB78" s="633"/>
      <c r="AC78" s="633"/>
      <c r="AD78" s="633"/>
      <c r="AE78" s="633"/>
      <c r="AF78" s="633"/>
      <c r="AG78" s="633"/>
      <c r="AH78" s="633"/>
      <c r="AI78" s="633"/>
      <c r="AJ78" s="633"/>
      <c r="AK78" s="633"/>
      <c r="AL78" s="633"/>
      <c r="AM78" s="633"/>
      <c r="AN78" s="633"/>
      <c r="AO78" s="633"/>
      <c r="AP78" s="633"/>
      <c r="AQ78" s="633"/>
      <c r="AR78" s="633"/>
      <c r="AS78" s="633"/>
      <c r="AT78" s="633"/>
      <c r="AU78" s="633"/>
      <c r="AV78" s="34"/>
      <c r="AW78" s="34"/>
      <c r="AX78" s="258"/>
      <c r="AY78" s="258"/>
      <c r="AZ78" s="258"/>
      <c r="BA78" s="258"/>
      <c r="BB78" s="258"/>
      <c r="BC78" s="258"/>
    </row>
    <row r="79" spans="1:55">
      <c r="B79" s="232"/>
      <c r="C79" s="629"/>
      <c r="D79" s="629"/>
      <c r="E79" s="629"/>
      <c r="F79" s="629"/>
      <c r="G79" s="629"/>
      <c r="H79" s="629"/>
      <c r="I79" s="629"/>
      <c r="J79" s="629"/>
      <c r="K79" s="629"/>
      <c r="L79" s="629"/>
      <c r="M79" s="629"/>
      <c r="N79" s="629"/>
      <c r="O79" s="629"/>
      <c r="P79" s="629"/>
      <c r="Q79" s="629"/>
      <c r="R79" s="629"/>
      <c r="S79" s="629"/>
      <c r="T79" s="629"/>
      <c r="U79" s="629"/>
      <c r="V79" s="629"/>
      <c r="W79" s="629"/>
      <c r="X79" s="629"/>
      <c r="Y79" s="629"/>
      <c r="Z79" s="629"/>
      <c r="AA79" s="629"/>
      <c r="AB79" s="629"/>
      <c r="AC79" s="629"/>
      <c r="AD79" s="629"/>
      <c r="AE79" s="629"/>
      <c r="AF79" s="629"/>
      <c r="AG79" s="629"/>
      <c r="AH79" s="629"/>
      <c r="AI79" s="629"/>
      <c r="AJ79" s="629"/>
      <c r="AK79" s="629"/>
      <c r="AL79" s="629"/>
      <c r="AM79" s="629"/>
      <c r="AN79" s="629"/>
      <c r="AO79" s="629"/>
      <c r="AP79" s="629"/>
      <c r="AQ79" s="629"/>
      <c r="AR79" s="629"/>
      <c r="AS79" s="629"/>
      <c r="AT79" s="629"/>
      <c r="AU79" s="629"/>
      <c r="AV79" s="630"/>
    </row>
    <row r="80" spans="1:55">
      <c r="C80" s="631">
        <f>+'Asset Classification'!C71</f>
        <v>14437080535</v>
      </c>
      <c r="D80" s="631">
        <f>+'Asset Classification'!D71</f>
        <v>3690964093</v>
      </c>
      <c r="E80" s="631">
        <f>+'Asset Classification'!E71</f>
        <v>10039054997</v>
      </c>
      <c r="F80" s="631">
        <f>+'Asset Classification'!F71</f>
        <v>2270492466</v>
      </c>
      <c r="G80" s="631">
        <f>+'Asset Classification'!G71</f>
        <v>0</v>
      </c>
      <c r="H80" s="631"/>
      <c r="I80" s="629"/>
      <c r="J80" s="631">
        <f>+'Asset Classification'!I71</f>
        <v>3532847141</v>
      </c>
      <c r="K80" s="631">
        <f>+'Asset Classification'!J71</f>
        <v>1273747781</v>
      </c>
      <c r="L80" s="631">
        <f>+'Asset Classification'!K71</f>
        <v>108709846</v>
      </c>
      <c r="M80" s="629"/>
      <c r="N80" s="629"/>
      <c r="O80" s="631">
        <f>+'Asset Classification'!L71</f>
        <v>24667860</v>
      </c>
      <c r="P80" s="629"/>
      <c r="Q80" s="629"/>
      <c r="R80" s="631">
        <f>+'Asset Classification'!M71</f>
        <v>102373443</v>
      </c>
      <c r="S80" s="631">
        <f>+'Asset Classification'!N71</f>
        <v>829118</v>
      </c>
      <c r="T80" s="631">
        <f>+'Asset Classification'!O71</f>
        <v>1716703</v>
      </c>
      <c r="U80" s="629"/>
      <c r="V80" s="629"/>
      <c r="W80" s="631">
        <f>+'Asset Classification'!P71</f>
        <v>74120</v>
      </c>
      <c r="X80" s="629"/>
      <c r="Y80" s="629"/>
      <c r="Z80" s="631">
        <f>+'Asset Classification'!Q71</f>
        <v>237587084</v>
      </c>
      <c r="AA80" s="631">
        <f>+'Asset Classification'!R71</f>
        <v>3072659</v>
      </c>
      <c r="AB80" s="631">
        <f>+'Asset Classification'!S71</f>
        <v>12546992</v>
      </c>
      <c r="AC80" s="629"/>
      <c r="AD80" s="629"/>
      <c r="AE80" s="631">
        <f>+'Asset Classification'!T71</f>
        <v>0</v>
      </c>
      <c r="AF80" s="629"/>
      <c r="AG80" s="629"/>
      <c r="AH80" s="631">
        <f>+'Asset Classification'!U71</f>
        <v>525217870</v>
      </c>
      <c r="AI80" s="631">
        <f>+'Asset Classification'!V71</f>
        <v>142822069</v>
      </c>
      <c r="AJ80" s="631">
        <f>+'Asset Classification'!W71</f>
        <v>103010246</v>
      </c>
      <c r="AK80" s="629"/>
      <c r="AL80" s="629"/>
      <c r="AM80" s="631">
        <f>+'Asset Classification'!X71</f>
        <v>4132442</v>
      </c>
      <c r="AN80" s="629"/>
      <c r="AO80" s="629"/>
      <c r="AP80" s="631">
        <f>+'Asset Classification'!Y71</f>
        <v>225983787</v>
      </c>
      <c r="AQ80" s="629"/>
      <c r="AR80" s="629"/>
      <c r="AS80" s="631">
        <f>+'Asset Classification'!Z71</f>
        <v>28874422</v>
      </c>
      <c r="AT80" s="629"/>
      <c r="AU80" s="629"/>
      <c r="AV80" s="629"/>
      <c r="AW80" s="258"/>
      <c r="AX80" s="258"/>
      <c r="AY80" s="258"/>
    </row>
    <row r="81" spans="3:55">
      <c r="C81" s="632">
        <f>+C80-C71</f>
        <v>0</v>
      </c>
      <c r="D81" s="632">
        <f t="shared" ref="D81:G81" si="168">+D80-D71</f>
        <v>0</v>
      </c>
      <c r="E81" s="632">
        <f t="shared" si="168"/>
        <v>0</v>
      </c>
      <c r="F81" s="632">
        <f t="shared" si="168"/>
        <v>0</v>
      </c>
      <c r="G81" s="632">
        <f t="shared" si="168"/>
        <v>0</v>
      </c>
      <c r="H81" s="632"/>
      <c r="I81" s="629"/>
      <c r="J81" s="632">
        <f t="shared" ref="J81:L81" si="169">+J80-J71</f>
        <v>0</v>
      </c>
      <c r="K81" s="632">
        <f t="shared" si="169"/>
        <v>0</v>
      </c>
      <c r="L81" s="632">
        <f t="shared" si="169"/>
        <v>0</v>
      </c>
      <c r="M81" s="629"/>
      <c r="N81" s="629"/>
      <c r="O81" s="632">
        <f t="shared" ref="O81" si="170">+O80-O71</f>
        <v>0</v>
      </c>
      <c r="P81" s="629"/>
      <c r="Q81" s="629"/>
      <c r="R81" s="632">
        <f t="shared" ref="R81" si="171">+R80-R71</f>
        <v>0</v>
      </c>
      <c r="S81" s="632">
        <f t="shared" ref="S81" si="172">+S80-S71</f>
        <v>0</v>
      </c>
      <c r="T81" s="632">
        <f t="shared" ref="T81" si="173">+T80-T71</f>
        <v>0</v>
      </c>
      <c r="U81" s="629"/>
      <c r="V81" s="629"/>
      <c r="W81" s="632">
        <f t="shared" ref="W81" si="174">+W80-W71</f>
        <v>0</v>
      </c>
      <c r="X81" s="629"/>
      <c r="Y81" s="629"/>
      <c r="Z81" s="632">
        <f t="shared" ref="Z81" si="175">+Z80-Z71</f>
        <v>0</v>
      </c>
      <c r="AA81" s="632">
        <f t="shared" ref="AA81" si="176">+AA80-AA71</f>
        <v>0</v>
      </c>
      <c r="AB81" s="632">
        <f t="shared" ref="AB81" si="177">+AB80-AB71</f>
        <v>0</v>
      </c>
      <c r="AC81" s="629"/>
      <c r="AD81" s="629"/>
      <c r="AE81" s="632">
        <f t="shared" ref="AE81" si="178">+AE80-AE71</f>
        <v>0</v>
      </c>
      <c r="AF81" s="629"/>
      <c r="AG81" s="629"/>
      <c r="AH81" s="632">
        <f t="shared" ref="AH81" si="179">+AH80-AH71</f>
        <v>0</v>
      </c>
      <c r="AI81" s="632">
        <f t="shared" ref="AI81" si="180">+AI80-AI71</f>
        <v>0</v>
      </c>
      <c r="AJ81" s="632">
        <f t="shared" ref="AJ81" si="181">+AJ80-AJ71</f>
        <v>0</v>
      </c>
      <c r="AK81" s="629"/>
      <c r="AL81" s="629"/>
      <c r="AM81" s="632">
        <f t="shared" ref="AM81" si="182">+AM80-AM71</f>
        <v>0</v>
      </c>
      <c r="AN81" s="629"/>
      <c r="AO81" s="629"/>
      <c r="AP81" s="632">
        <f t="shared" ref="AP81" si="183">+AP80-AP71</f>
        <v>0</v>
      </c>
      <c r="AQ81" s="629"/>
      <c r="AR81" s="629"/>
      <c r="AS81" s="632">
        <f t="shared" ref="AS81" si="184">+AS80-AS71</f>
        <v>0</v>
      </c>
      <c r="AT81" s="629"/>
      <c r="AU81" s="629"/>
      <c r="AV81" s="630"/>
    </row>
    <row r="82" spans="3:55">
      <c r="C82" s="629"/>
      <c r="D82" s="629"/>
      <c r="E82" s="629"/>
      <c r="F82" s="629"/>
      <c r="G82" s="629"/>
      <c r="H82" s="629"/>
      <c r="I82" s="629"/>
      <c r="J82" s="629"/>
      <c r="K82" s="629"/>
      <c r="L82" s="629"/>
      <c r="M82" s="629"/>
      <c r="N82" s="629"/>
      <c r="O82" s="629"/>
      <c r="P82" s="629"/>
      <c r="Q82" s="629"/>
      <c r="R82" s="629"/>
      <c r="S82" s="629"/>
      <c r="T82" s="629"/>
      <c r="U82" s="629"/>
      <c r="V82" s="629"/>
      <c r="W82" s="629"/>
      <c r="X82" s="629"/>
      <c r="Y82" s="629"/>
      <c r="Z82" s="629"/>
      <c r="AA82" s="629"/>
      <c r="AB82" s="629"/>
      <c r="AC82" s="629"/>
      <c r="AD82" s="629"/>
      <c r="AE82" s="629"/>
      <c r="AF82" s="629"/>
      <c r="AG82" s="629"/>
      <c r="AH82" s="629"/>
      <c r="AI82" s="629"/>
      <c r="AJ82" s="629"/>
      <c r="AK82" s="629"/>
      <c r="AL82" s="629"/>
      <c r="AM82" s="629"/>
      <c r="AN82" s="629"/>
      <c r="AO82" s="629"/>
      <c r="AP82" s="629"/>
      <c r="AQ82" s="629"/>
      <c r="AR82" s="629"/>
      <c r="AS82" s="629"/>
      <c r="AT82" s="632"/>
      <c r="AU82" s="629"/>
      <c r="AV82" s="629"/>
      <c r="AW82" s="258"/>
      <c r="AX82" s="258"/>
      <c r="AY82" s="258"/>
    </row>
    <row r="83" spans="3:55">
      <c r="C83" s="631">
        <f>+'Asset Classification'!C72</f>
        <v>0</v>
      </c>
      <c r="D83" s="631">
        <f>+'Asset Classification'!D72</f>
        <v>0</v>
      </c>
      <c r="E83" s="631">
        <f>+'Asset Classification'!E72</f>
        <v>0</v>
      </c>
      <c r="F83" s="631">
        <f>+'Asset Classification'!F72</f>
        <v>0</v>
      </c>
      <c r="G83" s="631">
        <f>+'Asset Classification'!G72</f>
        <v>0</v>
      </c>
      <c r="H83" s="631"/>
      <c r="I83" s="629"/>
      <c r="J83" s="631">
        <f>+'Asset Classification'!I72</f>
        <v>0</v>
      </c>
      <c r="K83" s="631">
        <f>+'Asset Classification'!J72</f>
        <v>0</v>
      </c>
      <c r="L83" s="631">
        <f>+'Asset Classification'!K72</f>
        <v>6748139</v>
      </c>
      <c r="M83" s="629"/>
      <c r="N83" s="629"/>
      <c r="O83" s="631">
        <f>+'Asset Classification'!L72</f>
        <v>0</v>
      </c>
      <c r="P83" s="629"/>
      <c r="Q83" s="629"/>
      <c r="R83" s="631">
        <f>+'Asset Classification'!M72</f>
        <v>0</v>
      </c>
      <c r="S83" s="631">
        <f>+'Asset Classification'!N72</f>
        <v>0</v>
      </c>
      <c r="T83" s="631">
        <f>+'Asset Classification'!O72</f>
        <v>0</v>
      </c>
      <c r="U83" s="629"/>
      <c r="V83" s="629"/>
      <c r="W83" s="631">
        <f>+'Asset Classification'!P72</f>
        <v>0</v>
      </c>
      <c r="X83" s="629"/>
      <c r="Y83" s="629"/>
      <c r="Z83" s="631">
        <f>+'Asset Classification'!Q72</f>
        <v>0</v>
      </c>
      <c r="AA83" s="631">
        <f>+'Asset Classification'!R72</f>
        <v>0</v>
      </c>
      <c r="AB83" s="631">
        <f>+'Asset Classification'!S72</f>
        <v>0</v>
      </c>
      <c r="AC83" s="629"/>
      <c r="AD83" s="629"/>
      <c r="AE83" s="631">
        <f>+'Asset Classification'!T72</f>
        <v>0</v>
      </c>
      <c r="AF83" s="629"/>
      <c r="AG83" s="629"/>
      <c r="AH83" s="631">
        <f>+'Asset Classification'!U72</f>
        <v>0</v>
      </c>
      <c r="AI83" s="631">
        <f>+'Asset Classification'!V72</f>
        <v>0</v>
      </c>
      <c r="AJ83" s="631">
        <f>+'Asset Classification'!W72</f>
        <v>0</v>
      </c>
      <c r="AK83" s="629"/>
      <c r="AL83" s="629"/>
      <c r="AM83" s="631">
        <f>+'Asset Classification'!X72</f>
        <v>0</v>
      </c>
      <c r="AN83" s="629"/>
      <c r="AO83" s="629"/>
      <c r="AP83" s="631">
        <f>+'Asset Classification'!Y72</f>
        <v>6748139</v>
      </c>
      <c r="AQ83" s="629"/>
      <c r="AR83" s="629"/>
      <c r="AS83" s="631">
        <f>+'Asset Classification'!Z72</f>
        <v>0</v>
      </c>
      <c r="AT83" s="629"/>
      <c r="AU83" s="629"/>
      <c r="AV83" s="630"/>
    </row>
    <row r="84" spans="3:55">
      <c r="C84" s="632">
        <f>+C83-C72</f>
        <v>0</v>
      </c>
      <c r="D84" s="632">
        <f>+D83-D72</f>
        <v>0</v>
      </c>
      <c r="E84" s="632">
        <f>+E83-E72</f>
        <v>0</v>
      </c>
      <c r="F84" s="632">
        <f>+F83-F72</f>
        <v>0</v>
      </c>
      <c r="G84" s="632">
        <f>+G83-G72</f>
        <v>0</v>
      </c>
      <c r="H84" s="632"/>
      <c r="I84" s="629"/>
      <c r="J84" s="632">
        <f>+J83-J72</f>
        <v>0</v>
      </c>
      <c r="K84" s="632">
        <f>+K83-K72</f>
        <v>0</v>
      </c>
      <c r="L84" s="632">
        <f>+L83-L72</f>
        <v>0</v>
      </c>
      <c r="M84" s="629"/>
      <c r="N84" s="629"/>
      <c r="O84" s="632">
        <f>+O83-O72</f>
        <v>0</v>
      </c>
      <c r="P84" s="629"/>
      <c r="Q84" s="629"/>
      <c r="R84" s="632">
        <f>+R83-R72</f>
        <v>0</v>
      </c>
      <c r="S84" s="632">
        <f>+S83-S72</f>
        <v>0</v>
      </c>
      <c r="T84" s="632">
        <f>+T83-T72</f>
        <v>0</v>
      </c>
      <c r="U84" s="629"/>
      <c r="V84" s="629"/>
      <c r="W84" s="632">
        <f>+W83-W72</f>
        <v>0</v>
      </c>
      <c r="X84" s="629"/>
      <c r="Y84" s="629"/>
      <c r="Z84" s="632">
        <f>+Z83-Z72</f>
        <v>0</v>
      </c>
      <c r="AA84" s="632">
        <f>+AA83-AA72</f>
        <v>0</v>
      </c>
      <c r="AB84" s="632">
        <f>+AB83-AB72</f>
        <v>0</v>
      </c>
      <c r="AC84" s="629"/>
      <c r="AD84" s="629"/>
      <c r="AE84" s="632">
        <f>+AE83-AE72</f>
        <v>0</v>
      </c>
      <c r="AF84" s="629"/>
      <c r="AG84" s="629"/>
      <c r="AH84" s="632">
        <f>+AH83-AH72</f>
        <v>0</v>
      </c>
      <c r="AI84" s="632">
        <f>+AI83-AI72</f>
        <v>0</v>
      </c>
      <c r="AJ84" s="632">
        <f>+AJ83-AJ72</f>
        <v>0</v>
      </c>
      <c r="AK84" s="629"/>
      <c r="AL84" s="629"/>
      <c r="AM84" s="632">
        <f>+AM83-AM72</f>
        <v>0</v>
      </c>
      <c r="AN84" s="629"/>
      <c r="AO84" s="629"/>
      <c r="AP84" s="632">
        <f>+AP83-AP72</f>
        <v>0</v>
      </c>
      <c r="AQ84" s="629"/>
      <c r="AR84" s="629"/>
      <c r="AS84" s="632">
        <f>+AS83-AS72</f>
        <v>0</v>
      </c>
      <c r="AT84" s="629"/>
      <c r="AU84" s="629"/>
      <c r="AV84" s="629"/>
      <c r="AW84" s="258"/>
      <c r="AX84" s="258"/>
      <c r="AY84" s="258"/>
      <c r="AZ84" s="258"/>
      <c r="BA84" s="258"/>
      <c r="BB84" s="258"/>
      <c r="BC84" s="258"/>
    </row>
    <row r="85" spans="3:55">
      <c r="C85" s="629"/>
      <c r="D85" s="629"/>
      <c r="E85" s="629"/>
      <c r="F85" s="629"/>
      <c r="G85" s="629"/>
      <c r="H85" s="629"/>
      <c r="I85" s="629"/>
      <c r="J85" s="629"/>
      <c r="K85" s="629"/>
      <c r="L85" s="629"/>
      <c r="M85" s="629"/>
      <c r="N85" s="629"/>
      <c r="O85" s="629"/>
      <c r="P85" s="629"/>
      <c r="Q85" s="629"/>
      <c r="R85" s="629"/>
      <c r="S85" s="629"/>
      <c r="T85" s="629"/>
      <c r="U85" s="629"/>
      <c r="V85" s="629"/>
      <c r="W85" s="629"/>
      <c r="X85" s="629"/>
      <c r="Y85" s="629"/>
      <c r="Z85" s="629"/>
      <c r="AA85" s="629"/>
      <c r="AB85" s="629"/>
      <c r="AC85" s="629"/>
      <c r="AD85" s="629"/>
      <c r="AE85" s="629"/>
      <c r="AF85" s="629"/>
      <c r="AG85" s="629"/>
      <c r="AH85" s="629"/>
      <c r="AI85" s="629"/>
      <c r="AJ85" s="629"/>
      <c r="AK85" s="629"/>
      <c r="AL85" s="629"/>
      <c r="AM85" s="629"/>
      <c r="AN85" s="629"/>
      <c r="AO85" s="629"/>
      <c r="AP85" s="629"/>
      <c r="AQ85" s="629"/>
      <c r="AR85" s="629"/>
      <c r="AS85" s="629"/>
      <c r="AT85" s="629"/>
      <c r="AU85" s="629"/>
      <c r="AV85" s="630"/>
    </row>
    <row r="86" spans="3:55">
      <c r="C86" s="631">
        <f>+'Asset Classification'!C74</f>
        <v>14437080535</v>
      </c>
      <c r="D86" s="631">
        <f>+'Asset Classification'!D74</f>
        <v>3690964093</v>
      </c>
      <c r="E86" s="631">
        <f>+'Asset Classification'!E74</f>
        <v>10039054997</v>
      </c>
      <c r="F86" s="631">
        <f>+'Asset Classification'!F74</f>
        <v>2270492466</v>
      </c>
      <c r="G86" s="631">
        <f>+'Asset Classification'!G74</f>
        <v>0</v>
      </c>
      <c r="H86" s="631"/>
      <c r="I86" s="629"/>
      <c r="J86" s="631">
        <f>+'Asset Classification'!I74</f>
        <v>3532847141</v>
      </c>
      <c r="K86" s="631">
        <f>+'Asset Classification'!J74</f>
        <v>1273747781</v>
      </c>
      <c r="L86" s="631">
        <f>+'Asset Classification'!K74</f>
        <v>115457985</v>
      </c>
      <c r="M86" s="629"/>
      <c r="N86" s="629"/>
      <c r="O86" s="631">
        <f>+'Asset Classification'!L74</f>
        <v>24667860</v>
      </c>
      <c r="P86" s="629"/>
      <c r="Q86" s="629"/>
      <c r="R86" s="631">
        <f>+'Asset Classification'!M74</f>
        <v>102373443</v>
      </c>
      <c r="S86" s="631">
        <f>+'Asset Classification'!N74</f>
        <v>829118</v>
      </c>
      <c r="T86" s="631">
        <f>+'Asset Classification'!O74</f>
        <v>1716703</v>
      </c>
      <c r="U86" s="629"/>
      <c r="V86" s="629"/>
      <c r="W86" s="631">
        <f>+'Asset Classification'!P74</f>
        <v>74120</v>
      </c>
      <c r="X86" s="629"/>
      <c r="Y86" s="629"/>
      <c r="Z86" s="631">
        <f>+'Asset Classification'!Q74</f>
        <v>237587084</v>
      </c>
      <c r="AA86" s="631">
        <f>+'Asset Classification'!R74</f>
        <v>3072659</v>
      </c>
      <c r="AB86" s="631">
        <f>+'Asset Classification'!S74</f>
        <v>12546992</v>
      </c>
      <c r="AC86" s="629"/>
      <c r="AD86" s="629"/>
      <c r="AE86" s="631">
        <f>+'Asset Classification'!T74</f>
        <v>0</v>
      </c>
      <c r="AF86" s="629"/>
      <c r="AG86" s="629"/>
      <c r="AH86" s="631">
        <f>+'Asset Classification'!U74</f>
        <v>525217870</v>
      </c>
      <c r="AI86" s="631">
        <f>+'Asset Classification'!V74</f>
        <v>142822069</v>
      </c>
      <c r="AJ86" s="631">
        <f>+'Asset Classification'!W74</f>
        <v>103010246</v>
      </c>
      <c r="AK86" s="629"/>
      <c r="AL86" s="629"/>
      <c r="AM86" s="631">
        <f>+'Asset Classification'!X74</f>
        <v>4132442</v>
      </c>
      <c r="AN86" s="629"/>
      <c r="AO86" s="629"/>
      <c r="AP86" s="631">
        <f>+'Asset Classification'!Y74</f>
        <v>232731926</v>
      </c>
      <c r="AQ86" s="629"/>
      <c r="AR86" s="629"/>
      <c r="AS86" s="631">
        <f>+'Asset Classification'!Z74</f>
        <v>28874422</v>
      </c>
      <c r="AT86" s="629"/>
      <c r="AU86" s="629"/>
      <c r="AV86" s="630"/>
    </row>
    <row r="87" spans="3:55">
      <c r="C87" s="632">
        <f>+C86-C74</f>
        <v>0</v>
      </c>
      <c r="D87" s="632">
        <f>+D86-D74</f>
        <v>0</v>
      </c>
      <c r="E87" s="632">
        <f>+E86-E74</f>
        <v>0</v>
      </c>
      <c r="F87" s="632">
        <f>+F86-F74</f>
        <v>0</v>
      </c>
      <c r="G87" s="632">
        <f>+G86-G74</f>
        <v>0</v>
      </c>
      <c r="H87" s="632"/>
      <c r="I87" s="629"/>
      <c r="J87" s="632">
        <f>+J86-J74</f>
        <v>0</v>
      </c>
      <c r="K87" s="632">
        <f>+K86-K74</f>
        <v>0</v>
      </c>
      <c r="L87" s="632">
        <f>+L86-L74</f>
        <v>0</v>
      </c>
      <c r="M87" s="629"/>
      <c r="N87" s="629"/>
      <c r="O87" s="632">
        <f>+O86-O74</f>
        <v>0</v>
      </c>
      <c r="P87" s="629"/>
      <c r="Q87" s="629"/>
      <c r="R87" s="632">
        <f>+R86-R74</f>
        <v>0</v>
      </c>
      <c r="S87" s="632">
        <f>+S86-S74</f>
        <v>0</v>
      </c>
      <c r="T87" s="632">
        <f>+T86-T74</f>
        <v>0</v>
      </c>
      <c r="U87" s="629"/>
      <c r="V87" s="629"/>
      <c r="W87" s="632">
        <f>+W86-W74</f>
        <v>0</v>
      </c>
      <c r="X87" s="629"/>
      <c r="Y87" s="629"/>
      <c r="Z87" s="632">
        <f>+Z86-Z74</f>
        <v>0</v>
      </c>
      <c r="AA87" s="632">
        <f>+AA86-AA74</f>
        <v>0</v>
      </c>
      <c r="AB87" s="632">
        <f>+AB86-AB74</f>
        <v>0</v>
      </c>
      <c r="AC87" s="629"/>
      <c r="AD87" s="629"/>
      <c r="AE87" s="632">
        <f>+AE86-AE74</f>
        <v>0</v>
      </c>
      <c r="AF87" s="629"/>
      <c r="AG87" s="629"/>
      <c r="AH87" s="632">
        <f>+AH86-AH74</f>
        <v>0</v>
      </c>
      <c r="AI87" s="632">
        <f>+AI86-AI74</f>
        <v>0</v>
      </c>
      <c r="AJ87" s="632">
        <f>+AJ86-AJ74</f>
        <v>0</v>
      </c>
      <c r="AK87" s="629"/>
      <c r="AL87" s="629"/>
      <c r="AM87" s="632">
        <f>+AM86-AM74</f>
        <v>0</v>
      </c>
      <c r="AN87" s="629"/>
      <c r="AO87" s="629"/>
      <c r="AP87" s="632">
        <f>+AP86-AP74</f>
        <v>0</v>
      </c>
      <c r="AQ87" s="629"/>
      <c r="AR87" s="629"/>
      <c r="AS87" s="632">
        <f>+AS86-AS74</f>
        <v>0</v>
      </c>
      <c r="AT87" s="629"/>
      <c r="AU87" s="629"/>
      <c r="AV87" s="630"/>
    </row>
    <row r="88" spans="3:55">
      <c r="C88" s="629"/>
      <c r="D88" s="629"/>
      <c r="E88" s="629"/>
      <c r="F88" s="629"/>
      <c r="G88" s="629"/>
      <c r="H88" s="629"/>
      <c r="I88" s="629"/>
      <c r="J88" s="629"/>
      <c r="K88" s="629"/>
      <c r="L88" s="629"/>
      <c r="M88" s="629"/>
      <c r="N88" s="629"/>
      <c r="O88" s="629"/>
      <c r="P88" s="629"/>
      <c r="Q88" s="629"/>
      <c r="R88" s="629"/>
      <c r="S88" s="629"/>
      <c r="T88" s="629"/>
      <c r="U88" s="629"/>
      <c r="V88" s="629"/>
      <c r="W88" s="629"/>
      <c r="X88" s="629"/>
      <c r="Y88" s="629"/>
      <c r="Z88" s="629"/>
      <c r="AA88" s="629"/>
      <c r="AB88" s="629"/>
      <c r="AC88" s="629"/>
      <c r="AD88" s="629"/>
      <c r="AE88" s="629"/>
      <c r="AF88" s="629"/>
      <c r="AG88" s="629"/>
      <c r="AH88" s="629"/>
      <c r="AI88" s="629"/>
      <c r="AJ88" s="629"/>
      <c r="AK88" s="629"/>
      <c r="AL88" s="629"/>
      <c r="AM88" s="629"/>
      <c r="AN88" s="629"/>
      <c r="AO88" s="629"/>
      <c r="AP88" s="629"/>
      <c r="AQ88" s="629"/>
      <c r="AR88" s="629"/>
      <c r="AS88" s="629"/>
      <c r="AT88" s="629"/>
      <c r="AU88" s="629"/>
      <c r="AV88" s="630"/>
    </row>
    <row r="89" spans="3:55">
      <c r="C89" s="629"/>
      <c r="D89" s="629"/>
      <c r="E89" s="629"/>
      <c r="F89" s="629"/>
      <c r="G89" s="629"/>
      <c r="H89" s="629"/>
      <c r="I89" s="629"/>
      <c r="J89" s="629"/>
      <c r="K89" s="629"/>
      <c r="L89" s="629"/>
      <c r="M89" s="629"/>
      <c r="N89" s="629"/>
      <c r="O89" s="629"/>
      <c r="P89" s="629"/>
      <c r="Q89" s="629"/>
      <c r="R89" s="629"/>
      <c r="S89" s="629"/>
      <c r="T89" s="629"/>
      <c r="U89" s="629"/>
      <c r="V89" s="629"/>
      <c r="W89" s="629"/>
      <c r="X89" s="629"/>
      <c r="Y89" s="629"/>
      <c r="Z89" s="629"/>
      <c r="AA89" s="629"/>
      <c r="AB89" s="629"/>
      <c r="AC89" s="629"/>
      <c r="AD89" s="629"/>
      <c r="AE89" s="629"/>
      <c r="AF89" s="629"/>
      <c r="AG89" s="629"/>
      <c r="AH89" s="629"/>
      <c r="AI89" s="629"/>
      <c r="AJ89" s="629"/>
      <c r="AK89" s="629"/>
      <c r="AL89" s="629"/>
      <c r="AM89" s="629"/>
      <c r="AN89" s="629"/>
      <c r="AO89" s="629"/>
      <c r="AP89" s="629"/>
      <c r="AQ89" s="629"/>
      <c r="AR89" s="629"/>
      <c r="AS89" s="629"/>
      <c r="AT89" s="629"/>
      <c r="AU89" s="629"/>
      <c r="AV89" s="630"/>
    </row>
    <row r="90" spans="3:55">
      <c r="C90" s="629"/>
      <c r="D90" s="629"/>
      <c r="E90" s="629"/>
      <c r="F90" s="629"/>
      <c r="G90" s="629"/>
      <c r="H90" s="629"/>
      <c r="I90" s="629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  <c r="Y90" s="629"/>
      <c r="Z90" s="629"/>
      <c r="AA90" s="629"/>
      <c r="AB90" s="629"/>
      <c r="AC90" s="629"/>
      <c r="AD90" s="629"/>
      <c r="AE90" s="629"/>
      <c r="AF90" s="629"/>
      <c r="AG90" s="629"/>
      <c r="AH90" s="629"/>
      <c r="AI90" s="629"/>
      <c r="AJ90" s="629"/>
      <c r="AK90" s="629"/>
      <c r="AL90" s="629"/>
      <c r="AM90" s="629"/>
      <c r="AN90" s="629"/>
      <c r="AO90" s="629"/>
      <c r="AP90" s="629"/>
      <c r="AQ90" s="629"/>
      <c r="AR90" s="629"/>
      <c r="AS90" s="629"/>
      <c r="AT90" s="629"/>
      <c r="AU90" s="629"/>
      <c r="AV90" s="630"/>
    </row>
    <row r="91" spans="3:55">
      <c r="C91" s="629"/>
      <c r="D91" s="629"/>
      <c r="E91" s="629"/>
      <c r="F91" s="629"/>
      <c r="G91" s="629"/>
      <c r="H91" s="629"/>
      <c r="I91" s="629"/>
      <c r="J91" s="629"/>
      <c r="K91" s="629"/>
      <c r="L91" s="629"/>
      <c r="M91" s="629"/>
      <c r="N91" s="629"/>
      <c r="O91" s="629"/>
      <c r="P91" s="629"/>
      <c r="Q91" s="629"/>
      <c r="R91" s="629"/>
      <c r="S91" s="629"/>
      <c r="T91" s="629"/>
      <c r="U91" s="629"/>
      <c r="V91" s="629"/>
      <c r="W91" s="629"/>
      <c r="X91" s="629"/>
      <c r="Y91" s="629"/>
      <c r="Z91" s="629"/>
      <c r="AA91" s="629"/>
      <c r="AB91" s="629"/>
      <c r="AC91" s="629"/>
      <c r="AD91" s="629"/>
      <c r="AE91" s="629"/>
      <c r="AF91" s="629"/>
      <c r="AG91" s="629"/>
      <c r="AH91" s="629"/>
      <c r="AI91" s="629"/>
      <c r="AJ91" s="629"/>
      <c r="AK91" s="629"/>
      <c r="AL91" s="629"/>
      <c r="AM91" s="629"/>
      <c r="AN91" s="629"/>
      <c r="AO91" s="629"/>
      <c r="AP91" s="629"/>
      <c r="AQ91" s="629"/>
      <c r="AR91" s="629"/>
      <c r="AS91" s="629"/>
      <c r="AT91" s="629"/>
      <c r="AU91" s="629"/>
      <c r="AV91" s="630"/>
    </row>
    <row r="92" spans="3:55"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629"/>
      <c r="V92" s="629"/>
      <c r="W92" s="629"/>
      <c r="X92" s="629"/>
      <c r="Y92" s="629"/>
      <c r="Z92" s="629"/>
      <c r="AA92" s="629"/>
      <c r="AB92" s="629"/>
      <c r="AC92" s="629"/>
      <c r="AD92" s="629"/>
      <c r="AE92" s="629"/>
      <c r="AF92" s="629"/>
      <c r="AG92" s="629"/>
      <c r="AH92" s="629"/>
      <c r="AI92" s="629"/>
      <c r="AJ92" s="629"/>
      <c r="AK92" s="629"/>
      <c r="AL92" s="629"/>
      <c r="AM92" s="629"/>
      <c r="AN92" s="629"/>
      <c r="AO92" s="629"/>
      <c r="AP92" s="629"/>
      <c r="AQ92" s="629"/>
      <c r="AR92" s="629"/>
      <c r="AS92" s="629"/>
      <c r="AT92" s="629"/>
      <c r="AU92" s="629"/>
      <c r="AV92" s="630"/>
    </row>
    <row r="93" spans="3:55">
      <c r="C93" s="629"/>
      <c r="D93" s="629"/>
      <c r="E93" s="629"/>
      <c r="F93" s="629"/>
      <c r="G93" s="629"/>
      <c r="H93" s="629"/>
      <c r="I93" s="629"/>
      <c r="J93" s="629"/>
      <c r="K93" s="629"/>
      <c r="L93" s="629"/>
      <c r="M93" s="629"/>
      <c r="N93" s="629"/>
      <c r="O93" s="629"/>
      <c r="P93" s="629"/>
      <c r="Q93" s="629"/>
      <c r="R93" s="629"/>
      <c r="S93" s="629"/>
      <c r="T93" s="629"/>
      <c r="U93" s="629"/>
      <c r="V93" s="629"/>
      <c r="W93" s="629"/>
      <c r="X93" s="629"/>
      <c r="Y93" s="629"/>
      <c r="Z93" s="629"/>
      <c r="AA93" s="629"/>
      <c r="AB93" s="629"/>
      <c r="AC93" s="629"/>
      <c r="AD93" s="629"/>
      <c r="AE93" s="629"/>
      <c r="AF93" s="629"/>
      <c r="AG93" s="629"/>
      <c r="AH93" s="629"/>
      <c r="AI93" s="629"/>
      <c r="AJ93" s="629"/>
      <c r="AK93" s="629"/>
      <c r="AL93" s="629"/>
      <c r="AM93" s="629"/>
      <c r="AN93" s="629"/>
      <c r="AO93" s="629"/>
      <c r="AP93" s="629"/>
      <c r="AQ93" s="629"/>
      <c r="AR93" s="629"/>
      <c r="AS93" s="629"/>
      <c r="AT93" s="629"/>
      <c r="AU93" s="629"/>
      <c r="AV93" s="630"/>
    </row>
    <row r="94" spans="3:55">
      <c r="C94" s="629"/>
      <c r="D94" s="629"/>
      <c r="E94" s="629"/>
      <c r="F94" s="629"/>
      <c r="G94" s="629"/>
      <c r="H94" s="629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  <c r="Y94" s="629"/>
      <c r="Z94" s="629"/>
      <c r="AA94" s="629"/>
      <c r="AB94" s="629"/>
      <c r="AC94" s="629"/>
      <c r="AD94" s="629"/>
      <c r="AE94" s="629"/>
      <c r="AF94" s="629"/>
      <c r="AG94" s="629"/>
      <c r="AH94" s="629"/>
      <c r="AI94" s="629"/>
      <c r="AJ94" s="629"/>
      <c r="AK94" s="629"/>
      <c r="AL94" s="629"/>
      <c r="AM94" s="629"/>
      <c r="AN94" s="629"/>
      <c r="AO94" s="629"/>
      <c r="AP94" s="629"/>
      <c r="AQ94" s="629"/>
      <c r="AR94" s="629"/>
      <c r="AS94" s="629"/>
      <c r="AT94" s="629"/>
      <c r="AU94" s="629"/>
      <c r="AV94" s="630"/>
    </row>
  </sheetData>
  <sheetProtection password="CACA" sheet="1" objects="1" scenarios="1"/>
  <mergeCells count="26">
    <mergeCell ref="AH3:AI3"/>
    <mergeCell ref="A4:A5"/>
    <mergeCell ref="B4:B5"/>
    <mergeCell ref="C4:C5"/>
    <mergeCell ref="D4:D5"/>
    <mergeCell ref="E4:E5"/>
    <mergeCell ref="F4:F5"/>
    <mergeCell ref="G4:I4"/>
    <mergeCell ref="J4:J5"/>
    <mergeCell ref="AH4:AH5"/>
    <mergeCell ref="K4:K5"/>
    <mergeCell ref="L4:N4"/>
    <mergeCell ref="O4:Q4"/>
    <mergeCell ref="R4:R5"/>
    <mergeCell ref="S4:S5"/>
    <mergeCell ref="T4:V4"/>
    <mergeCell ref="W4:Y4"/>
    <mergeCell ref="Z4:Z5"/>
    <mergeCell ref="AA4:AA5"/>
    <mergeCell ref="AB4:AD4"/>
    <mergeCell ref="AS4:AU4"/>
    <mergeCell ref="AE4:AG4"/>
    <mergeCell ref="AI4:AI5"/>
    <mergeCell ref="AJ4:AL4"/>
    <mergeCell ref="AM4:AO4"/>
    <mergeCell ref="AP4:AR4"/>
  </mergeCells>
  <conditionalFormatting sqref="G53">
    <cfRule type="cellIs" dxfId="219" priority="66" operator="notEqual">
      <formula>$G$71</formula>
    </cfRule>
  </conditionalFormatting>
  <conditionalFormatting sqref="E53">
    <cfRule type="cellIs" dxfId="218" priority="67" operator="notEqual">
      <formula>$E$71</formula>
    </cfRule>
  </conditionalFormatting>
  <conditionalFormatting sqref="D53">
    <cfRule type="cellIs" dxfId="217" priority="68" operator="notEqual">
      <formula>$D$71</formula>
    </cfRule>
  </conditionalFormatting>
  <conditionalFormatting sqref="F53">
    <cfRule type="cellIs" dxfId="216" priority="69" operator="notEqual">
      <formula>$F$71</formula>
    </cfRule>
  </conditionalFormatting>
  <conditionalFormatting sqref="O53">
    <cfRule type="cellIs" dxfId="215" priority="70" operator="notEqual">
      <formula>$O$71</formula>
    </cfRule>
  </conditionalFormatting>
  <conditionalFormatting sqref="C7">
    <cfRule type="cellIs" dxfId="214" priority="10" operator="notEqual">
      <formula>AV7</formula>
    </cfRule>
  </conditionalFormatting>
  <conditionalFormatting sqref="C31">
    <cfRule type="cellIs" dxfId="213" priority="9" operator="notEqual">
      <formula>AV31</formula>
    </cfRule>
  </conditionalFormatting>
  <conditionalFormatting sqref="C53">
    <cfRule type="cellIs" dxfId="212" priority="8" operator="notEqual">
      <formula>AV53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T29 AA49:AA51 W47 S49:S51 O47 K49:K51 F49:F51 J44:J52 T35:T42 Z44:Z52 AJ35:AJ42 F47 G57:G63 K47 L57:L63 S47 W70 AA47 AE70 AI47 R29 J29 L29 Z29 AB35:AB42 AB29 G29 O70 AB65:AB70 AH35:AH42 L35:L42 G35:G42 AJ65:AJ70 R44:R52 E44:E52 AJ29 F70 AH29 K70 O49:O51 S70 W49:W51 AA70 AE49:AE51 AI70 R57:R63 AJ57:AJ63 G65:G70 L65:L70 AH65:AH70 AB57:AB63 Z57:Z63 T65:T70 J57:J63 E57:E63 R35:R42 AJ44:AJ52 AH57:AH63 AB44:AB52 Z35:Z42 T57:T63 J35:J42 E35:E42 AI49:AI51 G44:G52 L44:L52 AH44:AH52 Z65:Z70 T44:T52 J65:J70 E65:E70 R65:R70 AE47 E54 AM49:AM50 AJ54 AB54 G54 L54 AH54 T54 J54 Z54 R54 W72:W73 AE72:AE73 O72:O73 Z72:AB73 AH72:AJ73 E72:G73 J72:L73 R72:T73">
      <formula1>-1E+22</formula1>
      <formula2>1E+22</formula2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19" orientation="landscape" r:id="rId1"/>
  <headerFooter alignWithMargins="0"/>
  <ignoredErrors>
    <ignoredError sqref="AR7:AU73 AT83:AU83 AU82 AT80:AU80 AR79:AU79 AR75:AU7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AF131"/>
  <sheetViews>
    <sheetView view="pageBreakPreview" topLeftCell="A4" zoomScale="65" zoomScaleNormal="74" zoomScaleSheetLayoutView="65" workbookViewId="0">
      <pane xSplit="7" ySplit="4" topLeftCell="H8" activePane="bottomRight" state="frozen"/>
      <selection activeCell="J47" sqref="J47"/>
      <selection pane="topRight" activeCell="J47" sqref="J47"/>
      <selection pane="bottomLeft" activeCell="J47" sqref="J47"/>
      <selection pane="bottomRight" sqref="A1:W1"/>
    </sheetView>
  </sheetViews>
  <sheetFormatPr defaultRowHeight="12.75"/>
  <cols>
    <col min="1" max="1" width="5.140625" style="258" customWidth="1"/>
    <col min="2" max="2" width="43.42578125" style="258" customWidth="1"/>
    <col min="3" max="3" width="14.140625" style="258" customWidth="1"/>
    <col min="4" max="6" width="10.140625" style="258" customWidth="1"/>
    <col min="7" max="7" width="17.28515625" style="258" customWidth="1"/>
    <col min="8" max="8" width="14.28515625" style="258" customWidth="1"/>
    <col min="9" max="10" width="17.28515625" style="258" customWidth="1"/>
    <col min="11" max="19" width="13.85546875" style="258" customWidth="1"/>
    <col min="20" max="20" width="8.28515625" style="258" customWidth="1"/>
    <col min="21" max="21" width="8.140625" style="258" customWidth="1"/>
    <col min="22" max="22" width="17.28515625" style="258" customWidth="1"/>
    <col min="23" max="23" width="9.85546875" style="258" customWidth="1"/>
    <col min="24" max="24" width="15.140625" style="258" customWidth="1"/>
    <col min="25" max="25" width="13.28515625" style="258" customWidth="1"/>
    <col min="26" max="26" width="14.7109375" style="258" customWidth="1"/>
    <col min="27" max="27" width="26.140625" style="406" customWidth="1"/>
    <col min="28" max="16384" width="9.140625" style="258"/>
  </cols>
  <sheetData>
    <row r="1" spans="1:27" ht="20.25">
      <c r="A1" s="767" t="s">
        <v>425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7"/>
      <c r="U1" s="767"/>
      <c r="V1" s="767"/>
      <c r="W1" s="767"/>
      <c r="Y1" s="405" t="s">
        <v>426</v>
      </c>
    </row>
    <row r="2" spans="1:27">
      <c r="A2" s="302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Q2" s="301"/>
      <c r="R2" s="301"/>
      <c r="S2" s="301"/>
      <c r="T2" s="301"/>
    </row>
    <row r="3" spans="1:27" ht="15.75">
      <c r="A3" s="275"/>
      <c r="B3" s="300" t="str">
        <f>+'Asset quality'!B3</f>
        <v>"MKBANK"</v>
      </c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776"/>
      <c r="O3" s="776"/>
      <c r="P3" s="776"/>
      <c r="Q3" s="275"/>
      <c r="R3" s="275"/>
      <c r="T3" s="299"/>
      <c r="U3" s="718">
        <f>+'Asset quality'!Q3</f>
        <v>45289</v>
      </c>
      <c r="V3" s="718"/>
      <c r="W3" s="317"/>
      <c r="Y3" s="766" t="str">
        <f>+'Asset quality'!T3</f>
        <v>минг. сўмда</v>
      </c>
      <c r="Z3" s="766"/>
    </row>
    <row r="4" spans="1:27" ht="27.75" customHeight="1">
      <c r="A4" s="771" t="s">
        <v>61</v>
      </c>
      <c r="B4" s="771" t="s">
        <v>427</v>
      </c>
      <c r="C4" s="758" t="s">
        <v>428</v>
      </c>
      <c r="D4" s="758" t="s">
        <v>429</v>
      </c>
      <c r="E4" s="758" t="s">
        <v>430</v>
      </c>
      <c r="F4" s="758" t="s">
        <v>431</v>
      </c>
      <c r="G4" s="758" t="s">
        <v>432</v>
      </c>
      <c r="H4" s="768" t="s">
        <v>334</v>
      </c>
      <c r="I4" s="769"/>
      <c r="J4" s="769"/>
      <c r="K4" s="769"/>
      <c r="L4" s="769"/>
      <c r="M4" s="769"/>
      <c r="N4" s="769"/>
      <c r="O4" s="769"/>
      <c r="P4" s="769"/>
      <c r="Q4" s="769"/>
      <c r="R4" s="769"/>
      <c r="S4" s="770"/>
      <c r="T4" s="758" t="s">
        <v>433</v>
      </c>
      <c r="U4" s="761" t="s">
        <v>434</v>
      </c>
      <c r="V4" s="762"/>
      <c r="W4" s="758" t="s">
        <v>435</v>
      </c>
      <c r="X4" s="758" t="s">
        <v>436</v>
      </c>
      <c r="Y4" s="758" t="s">
        <v>437</v>
      </c>
      <c r="Z4" s="758" t="s">
        <v>438</v>
      </c>
    </row>
    <row r="5" spans="1:27" ht="27.75" customHeight="1">
      <c r="A5" s="772"/>
      <c r="B5" s="772"/>
      <c r="C5" s="759"/>
      <c r="D5" s="759"/>
      <c r="E5" s="759"/>
      <c r="F5" s="759"/>
      <c r="G5" s="759"/>
      <c r="H5" s="768" t="s">
        <v>439</v>
      </c>
      <c r="I5" s="769"/>
      <c r="J5" s="769"/>
      <c r="K5" s="770"/>
      <c r="L5" s="768" t="s">
        <v>440</v>
      </c>
      <c r="M5" s="769"/>
      <c r="N5" s="769"/>
      <c r="O5" s="769"/>
      <c r="P5" s="769"/>
      <c r="Q5" s="769"/>
      <c r="R5" s="769"/>
      <c r="S5" s="770"/>
      <c r="T5" s="759"/>
      <c r="U5" s="763"/>
      <c r="V5" s="764"/>
      <c r="W5" s="759"/>
      <c r="X5" s="759"/>
      <c r="Y5" s="759"/>
      <c r="Z5" s="759"/>
    </row>
    <row r="6" spans="1:27" ht="108.75" customHeight="1">
      <c r="A6" s="772"/>
      <c r="B6" s="772"/>
      <c r="C6" s="759"/>
      <c r="D6" s="759"/>
      <c r="E6" s="759"/>
      <c r="F6" s="759"/>
      <c r="G6" s="759"/>
      <c r="H6" s="758" t="s">
        <v>441</v>
      </c>
      <c r="I6" s="758" t="s">
        <v>442</v>
      </c>
      <c r="J6" s="758" t="s">
        <v>443</v>
      </c>
      <c r="K6" s="758" t="s">
        <v>444</v>
      </c>
      <c r="L6" s="774" t="s">
        <v>445</v>
      </c>
      <c r="M6" s="775"/>
      <c r="N6" s="774" t="s">
        <v>446</v>
      </c>
      <c r="O6" s="775"/>
      <c r="P6" s="774" t="s">
        <v>447</v>
      </c>
      <c r="Q6" s="775"/>
      <c r="R6" s="774" t="s">
        <v>448</v>
      </c>
      <c r="S6" s="775"/>
      <c r="T6" s="759"/>
      <c r="U6" s="758" t="s">
        <v>449</v>
      </c>
      <c r="V6" s="758" t="s">
        <v>163</v>
      </c>
      <c r="W6" s="759"/>
      <c r="X6" s="759"/>
      <c r="Y6" s="759"/>
      <c r="Z6" s="759"/>
    </row>
    <row r="7" spans="1:27" ht="41.25" customHeight="1">
      <c r="A7" s="773"/>
      <c r="B7" s="773"/>
      <c r="C7" s="760"/>
      <c r="D7" s="760"/>
      <c r="E7" s="760"/>
      <c r="F7" s="760"/>
      <c r="G7" s="760"/>
      <c r="H7" s="760"/>
      <c r="I7" s="760"/>
      <c r="J7" s="760"/>
      <c r="K7" s="760"/>
      <c r="L7" s="407" t="s">
        <v>450</v>
      </c>
      <c r="M7" s="407" t="s">
        <v>451</v>
      </c>
      <c r="N7" s="407" t="s">
        <v>450</v>
      </c>
      <c r="O7" s="407" t="s">
        <v>451</v>
      </c>
      <c r="P7" s="407" t="s">
        <v>450</v>
      </c>
      <c r="Q7" s="407" t="s">
        <v>451</v>
      </c>
      <c r="R7" s="407" t="s">
        <v>450</v>
      </c>
      <c r="S7" s="407" t="s">
        <v>451</v>
      </c>
      <c r="T7" s="760"/>
      <c r="U7" s="760"/>
      <c r="V7" s="760"/>
      <c r="W7" s="760"/>
      <c r="X7" s="760"/>
      <c r="Y7" s="760"/>
      <c r="Z7" s="760"/>
    </row>
    <row r="8" spans="1:27" s="298" customFormat="1" ht="15">
      <c r="A8" s="284"/>
      <c r="B8" s="284" t="s">
        <v>78</v>
      </c>
      <c r="C8" s="284" t="s">
        <v>79</v>
      </c>
      <c r="D8" s="284" t="s">
        <v>89</v>
      </c>
      <c r="E8" s="284" t="s">
        <v>80</v>
      </c>
      <c r="F8" s="284" t="s">
        <v>81</v>
      </c>
      <c r="G8" s="284" t="s">
        <v>90</v>
      </c>
      <c r="H8" s="284" t="s">
        <v>228</v>
      </c>
      <c r="I8" s="284" t="s">
        <v>227</v>
      </c>
      <c r="J8" s="284" t="s">
        <v>226</v>
      </c>
      <c r="K8" s="284" t="s">
        <v>225</v>
      </c>
      <c r="L8" s="756" t="s">
        <v>224</v>
      </c>
      <c r="M8" s="757"/>
      <c r="N8" s="756" t="s">
        <v>223</v>
      </c>
      <c r="O8" s="757"/>
      <c r="P8" s="756" t="s">
        <v>222</v>
      </c>
      <c r="Q8" s="757"/>
      <c r="R8" s="756" t="s">
        <v>221</v>
      </c>
      <c r="S8" s="757"/>
      <c r="T8" s="284" t="s">
        <v>82</v>
      </c>
      <c r="U8" s="284" t="s">
        <v>83</v>
      </c>
      <c r="V8" s="284" t="s">
        <v>84</v>
      </c>
      <c r="W8" s="284" t="s">
        <v>85</v>
      </c>
      <c r="X8" s="284" t="s">
        <v>86</v>
      </c>
      <c r="Y8" s="284" t="s">
        <v>87</v>
      </c>
      <c r="Z8" s="284" t="s">
        <v>88</v>
      </c>
      <c r="AA8" s="409"/>
    </row>
    <row r="9" spans="1:27" s="288" customFormat="1">
      <c r="A9" s="587">
        <v>1</v>
      </c>
      <c r="B9" s="588" t="s">
        <v>810</v>
      </c>
      <c r="C9" s="589" t="s">
        <v>830</v>
      </c>
      <c r="D9" s="589"/>
      <c r="E9" s="590" t="s">
        <v>856</v>
      </c>
      <c r="F9" s="590">
        <v>1</v>
      </c>
      <c r="G9" s="292">
        <f t="shared" ref="G9:G40" si="0">+H9+I9+J9+K9+M9+O9+Q9+S9</f>
        <v>1167000</v>
      </c>
      <c r="H9" s="591">
        <v>1167000</v>
      </c>
      <c r="I9" s="591"/>
      <c r="J9" s="591"/>
      <c r="K9" s="591"/>
      <c r="L9" s="591"/>
      <c r="M9" s="591"/>
      <c r="N9" s="373"/>
      <c r="O9" s="591"/>
      <c r="P9" s="591"/>
      <c r="Q9" s="589"/>
      <c r="R9" s="589"/>
      <c r="S9" s="295"/>
      <c r="T9" s="589"/>
      <c r="U9" s="589"/>
      <c r="V9" s="589"/>
      <c r="W9" s="410" t="s">
        <v>2</v>
      </c>
      <c r="X9" s="589">
        <v>0</v>
      </c>
      <c r="Y9" s="589"/>
      <c r="Z9" s="592">
        <f t="shared" ref="Z9:Z40" si="1">+G9-V9-X9</f>
        <v>1167000</v>
      </c>
      <c r="AA9" s="411">
        <f t="shared" ref="AA9:AA72" si="2">SUMIF($F$9:$F$88,$F9,$Z$9:$Z$88)</f>
        <v>1167000</v>
      </c>
    </row>
    <row r="10" spans="1:27" s="288" customFormat="1">
      <c r="A10" s="294">
        <v>2</v>
      </c>
      <c r="B10" s="290" t="s">
        <v>811</v>
      </c>
      <c r="C10" s="295" t="s">
        <v>831</v>
      </c>
      <c r="D10" s="295"/>
      <c r="E10" s="293" t="s">
        <v>856</v>
      </c>
      <c r="F10" s="293">
        <v>2</v>
      </c>
      <c r="G10" s="292">
        <f t="shared" si="0"/>
        <v>2503</v>
      </c>
      <c r="H10" s="591">
        <v>2503</v>
      </c>
      <c r="I10" s="18"/>
      <c r="J10" s="18"/>
      <c r="K10" s="18"/>
      <c r="L10" s="18"/>
      <c r="M10" s="18"/>
      <c r="N10" s="291"/>
      <c r="O10" s="18"/>
      <c r="P10" s="18"/>
      <c r="Q10" s="295"/>
      <c r="R10" s="295"/>
      <c r="S10" s="295"/>
      <c r="T10" s="295"/>
      <c r="U10" s="295"/>
      <c r="V10" s="295"/>
      <c r="W10" s="410" t="s">
        <v>2</v>
      </c>
      <c r="X10" s="295">
        <v>0</v>
      </c>
      <c r="Y10" s="295"/>
      <c r="Z10" s="289">
        <f t="shared" si="1"/>
        <v>2503</v>
      </c>
      <c r="AA10" s="411">
        <f t="shared" si="2"/>
        <v>2503</v>
      </c>
    </row>
    <row r="11" spans="1:27" s="288" customFormat="1">
      <c r="A11" s="294">
        <v>3</v>
      </c>
      <c r="B11" s="290" t="s">
        <v>812</v>
      </c>
      <c r="C11" s="295" t="s">
        <v>832</v>
      </c>
      <c r="D11" s="295"/>
      <c r="E11" s="293" t="s">
        <v>856</v>
      </c>
      <c r="F11" s="293">
        <v>3</v>
      </c>
      <c r="G11" s="292">
        <f t="shared" si="0"/>
        <v>3906.5205499999997</v>
      </c>
      <c r="H11" s="18">
        <v>3906.5205499999997</v>
      </c>
      <c r="I11" s="18"/>
      <c r="J11" s="18"/>
      <c r="K11" s="18"/>
      <c r="L11" s="18"/>
      <c r="M11" s="18"/>
      <c r="N11" s="291"/>
      <c r="O11" s="18"/>
      <c r="P11" s="18"/>
      <c r="Q11" s="295"/>
      <c r="R11" s="295"/>
      <c r="S11" s="295"/>
      <c r="T11" s="290"/>
      <c r="U11" s="295"/>
      <c r="V11" s="295"/>
      <c r="W11" s="410" t="s">
        <v>2</v>
      </c>
      <c r="X11" s="295">
        <v>0</v>
      </c>
      <c r="Y11" s="290"/>
      <c r="Z11" s="289">
        <f t="shared" si="1"/>
        <v>3906.5205499999997</v>
      </c>
      <c r="AA11" s="411">
        <f t="shared" si="2"/>
        <v>3906.5205499999997</v>
      </c>
    </row>
    <row r="12" spans="1:27" s="288" customFormat="1">
      <c r="A12" s="294">
        <v>4</v>
      </c>
      <c r="B12" s="290" t="s">
        <v>813</v>
      </c>
      <c r="C12" s="295" t="s">
        <v>833</v>
      </c>
      <c r="D12" s="295"/>
      <c r="E12" s="293" t="s">
        <v>856</v>
      </c>
      <c r="F12" s="293">
        <v>4</v>
      </c>
      <c r="G12" s="292">
        <f t="shared" si="0"/>
        <v>9999.9979999999996</v>
      </c>
      <c r="H12" s="18">
        <v>9999.9979999999996</v>
      </c>
      <c r="I12" s="18"/>
      <c r="J12" s="18"/>
      <c r="K12" s="18"/>
      <c r="L12" s="18"/>
      <c r="M12" s="18"/>
      <c r="N12" s="291"/>
      <c r="O12" s="18"/>
      <c r="P12" s="18"/>
      <c r="Q12" s="295"/>
      <c r="R12" s="295"/>
      <c r="S12" s="295"/>
      <c r="T12" s="290"/>
      <c r="U12" s="295"/>
      <c r="V12" s="295"/>
      <c r="W12" s="410" t="s">
        <v>2</v>
      </c>
      <c r="X12" s="295">
        <v>0</v>
      </c>
      <c r="Y12" s="290"/>
      <c r="Z12" s="289">
        <f t="shared" si="1"/>
        <v>9999.9979999999996</v>
      </c>
      <c r="AA12" s="411">
        <f t="shared" si="2"/>
        <v>9999.9979999999996</v>
      </c>
    </row>
    <row r="13" spans="1:27" s="288" customFormat="1">
      <c r="A13" s="294">
        <v>5</v>
      </c>
      <c r="B13" s="290" t="s">
        <v>814</v>
      </c>
      <c r="C13" s="290" t="s">
        <v>834</v>
      </c>
      <c r="D13" s="295"/>
      <c r="E13" s="293" t="s">
        <v>856</v>
      </c>
      <c r="F13" s="293">
        <v>5</v>
      </c>
      <c r="G13" s="292">
        <f t="shared" si="0"/>
        <v>73589.952499999999</v>
      </c>
      <c r="H13" s="290">
        <v>73589.952499999999</v>
      </c>
      <c r="I13" s="290"/>
      <c r="J13" s="290"/>
      <c r="K13" s="18"/>
      <c r="L13" s="290"/>
      <c r="M13" s="18"/>
      <c r="N13" s="291"/>
      <c r="O13" s="18"/>
      <c r="P13" s="18"/>
      <c r="Q13" s="295"/>
      <c r="R13" s="295"/>
      <c r="S13" s="295"/>
      <c r="T13" s="290"/>
      <c r="U13" s="295"/>
      <c r="V13" s="295"/>
      <c r="W13" s="410" t="s">
        <v>2</v>
      </c>
      <c r="X13" s="295">
        <v>0</v>
      </c>
      <c r="Y13" s="290"/>
      <c r="Z13" s="289">
        <f t="shared" si="1"/>
        <v>73589.952499999999</v>
      </c>
      <c r="AA13" s="411">
        <f t="shared" si="2"/>
        <v>73589.952499999999</v>
      </c>
    </row>
    <row r="14" spans="1:27" s="288" customFormat="1">
      <c r="A14" s="294">
        <v>6</v>
      </c>
      <c r="B14" s="290" t="s">
        <v>810</v>
      </c>
      <c r="C14" s="290" t="s">
        <v>830</v>
      </c>
      <c r="D14" s="295"/>
      <c r="E14" s="293" t="s">
        <v>856</v>
      </c>
      <c r="F14" s="293">
        <v>6</v>
      </c>
      <c r="G14" s="292">
        <f t="shared" si="0"/>
        <v>1167000</v>
      </c>
      <c r="H14" s="18">
        <v>1167000</v>
      </c>
      <c r="I14" s="18"/>
      <c r="J14" s="18"/>
      <c r="K14" s="18"/>
      <c r="L14" s="18"/>
      <c r="M14" s="18"/>
      <c r="N14" s="291"/>
      <c r="O14" s="18"/>
      <c r="P14" s="18"/>
      <c r="Q14" s="295"/>
      <c r="R14" s="295"/>
      <c r="S14" s="295"/>
      <c r="T14" s="290"/>
      <c r="U14" s="295"/>
      <c r="V14" s="295"/>
      <c r="W14" s="410" t="s">
        <v>2</v>
      </c>
      <c r="X14" s="295">
        <v>0</v>
      </c>
      <c r="Y14" s="290"/>
      <c r="Z14" s="289">
        <f t="shared" si="1"/>
        <v>1167000</v>
      </c>
      <c r="AA14" s="411">
        <f t="shared" si="2"/>
        <v>1167000</v>
      </c>
    </row>
    <row r="15" spans="1:27" s="288" customFormat="1">
      <c r="A15" s="294">
        <v>7</v>
      </c>
      <c r="B15" s="290" t="s">
        <v>815</v>
      </c>
      <c r="C15" s="295" t="s">
        <v>835</v>
      </c>
      <c r="D15" s="295"/>
      <c r="E15" s="293" t="s">
        <v>856</v>
      </c>
      <c r="F15" s="293">
        <v>7</v>
      </c>
      <c r="G15" s="292">
        <f t="shared" si="0"/>
        <v>17636.269</v>
      </c>
      <c r="H15" s="18">
        <v>17636.269</v>
      </c>
      <c r="I15" s="18"/>
      <c r="J15" s="18"/>
      <c r="K15" s="18"/>
      <c r="L15" s="18"/>
      <c r="M15" s="290"/>
      <c r="N15" s="291"/>
      <c r="O15" s="291"/>
      <c r="P15" s="291"/>
      <c r="Q15" s="291"/>
      <c r="R15" s="290"/>
      <c r="S15" s="295"/>
      <c r="T15" s="295"/>
      <c r="U15" s="291"/>
      <c r="V15" s="295"/>
      <c r="W15" s="410" t="s">
        <v>2</v>
      </c>
      <c r="X15" s="295">
        <v>0</v>
      </c>
      <c r="Y15" s="295"/>
      <c r="Z15" s="289">
        <f t="shared" si="1"/>
        <v>17636.269</v>
      </c>
      <c r="AA15" s="411">
        <f t="shared" si="2"/>
        <v>17636.269</v>
      </c>
    </row>
    <row r="16" spans="1:27" s="288" customFormat="1">
      <c r="A16" s="294">
        <v>8</v>
      </c>
      <c r="B16" s="290" t="s">
        <v>816</v>
      </c>
      <c r="C16" s="290" t="s">
        <v>836</v>
      </c>
      <c r="D16" s="295"/>
      <c r="E16" s="293" t="s">
        <v>856</v>
      </c>
      <c r="F16" s="293">
        <v>8</v>
      </c>
      <c r="G16" s="292">
        <f t="shared" si="0"/>
        <v>16500</v>
      </c>
      <c r="H16" s="18">
        <v>16500</v>
      </c>
      <c r="I16" s="18"/>
      <c r="J16" s="18"/>
      <c r="K16" s="18"/>
      <c r="L16" s="18"/>
      <c r="M16" s="290"/>
      <c r="N16" s="291"/>
      <c r="O16" s="291"/>
      <c r="P16" s="291"/>
      <c r="Q16" s="291"/>
      <c r="R16" s="290"/>
      <c r="S16" s="295"/>
      <c r="T16" s="295"/>
      <c r="U16" s="291"/>
      <c r="V16" s="295"/>
      <c r="W16" s="410" t="s">
        <v>2</v>
      </c>
      <c r="X16" s="295">
        <v>0</v>
      </c>
      <c r="Y16" s="295"/>
      <c r="Z16" s="289">
        <f t="shared" si="1"/>
        <v>16500</v>
      </c>
      <c r="AA16" s="411">
        <f t="shared" si="2"/>
        <v>16500</v>
      </c>
    </row>
    <row r="17" spans="1:27" s="288" customFormat="1">
      <c r="A17" s="294">
        <v>9</v>
      </c>
      <c r="B17" s="290" t="s">
        <v>811</v>
      </c>
      <c r="C17" s="295" t="s">
        <v>831</v>
      </c>
      <c r="D17" s="295"/>
      <c r="E17" s="293" t="s">
        <v>856</v>
      </c>
      <c r="F17" s="293">
        <v>9</v>
      </c>
      <c r="G17" s="292">
        <f t="shared" si="0"/>
        <v>2503</v>
      </c>
      <c r="H17" s="18">
        <v>2503</v>
      </c>
      <c r="I17" s="296"/>
      <c r="J17" s="18"/>
      <c r="K17" s="18"/>
      <c r="L17" s="18"/>
      <c r="M17" s="290"/>
      <c r="N17" s="291"/>
      <c r="O17" s="291"/>
      <c r="P17" s="291"/>
      <c r="Q17" s="291"/>
      <c r="R17" s="290"/>
      <c r="S17" s="295"/>
      <c r="T17" s="295"/>
      <c r="U17" s="291"/>
      <c r="V17" s="295"/>
      <c r="W17" s="410" t="s">
        <v>2</v>
      </c>
      <c r="X17" s="295">
        <v>0</v>
      </c>
      <c r="Y17" s="295"/>
      <c r="Z17" s="289">
        <f t="shared" si="1"/>
        <v>2503</v>
      </c>
      <c r="AA17" s="411">
        <f t="shared" si="2"/>
        <v>2503</v>
      </c>
    </row>
    <row r="18" spans="1:27" s="288" customFormat="1">
      <c r="A18" s="294">
        <v>10</v>
      </c>
      <c r="B18" s="290" t="s">
        <v>817</v>
      </c>
      <c r="C18" s="295" t="s">
        <v>837</v>
      </c>
      <c r="D18" s="295"/>
      <c r="E18" s="293" t="s">
        <v>856</v>
      </c>
      <c r="F18" s="293">
        <v>10</v>
      </c>
      <c r="G18" s="292">
        <f t="shared" si="0"/>
        <v>43040</v>
      </c>
      <c r="H18" s="18">
        <v>43040</v>
      </c>
      <c r="I18" s="296"/>
      <c r="J18" s="18"/>
      <c r="K18" s="18"/>
      <c r="L18" s="18"/>
      <c r="M18" s="290"/>
      <c r="N18" s="291"/>
      <c r="O18" s="291"/>
      <c r="P18" s="291"/>
      <c r="Q18" s="291"/>
      <c r="R18" s="290"/>
      <c r="S18" s="295"/>
      <c r="T18" s="295"/>
      <c r="U18" s="291"/>
      <c r="V18" s="295"/>
      <c r="W18" s="410" t="s">
        <v>2</v>
      </c>
      <c r="X18" s="295">
        <v>0</v>
      </c>
      <c r="Y18" s="295"/>
      <c r="Z18" s="289">
        <f t="shared" si="1"/>
        <v>43040</v>
      </c>
      <c r="AA18" s="411">
        <f t="shared" si="2"/>
        <v>43040</v>
      </c>
    </row>
    <row r="19" spans="1:27" s="288" customFormat="1">
      <c r="A19" s="294">
        <v>11</v>
      </c>
      <c r="B19" s="290" t="s">
        <v>818</v>
      </c>
      <c r="C19" s="290" t="s">
        <v>838</v>
      </c>
      <c r="D19" s="290"/>
      <c r="E19" s="293" t="s">
        <v>856</v>
      </c>
      <c r="F19" s="293">
        <v>11</v>
      </c>
      <c r="G19" s="292">
        <f t="shared" si="0"/>
        <v>137120.87565999999</v>
      </c>
      <c r="H19" s="18">
        <v>137120.87565999999</v>
      </c>
      <c r="I19" s="18"/>
      <c r="J19" s="18"/>
      <c r="K19" s="18"/>
      <c r="L19" s="18"/>
      <c r="M19" s="290"/>
      <c r="N19" s="291"/>
      <c r="O19" s="291"/>
      <c r="P19" s="291"/>
      <c r="Q19" s="291"/>
      <c r="R19" s="290"/>
      <c r="S19" s="295"/>
      <c r="T19" s="295"/>
      <c r="U19" s="295"/>
      <c r="V19" s="295"/>
      <c r="W19" s="410" t="s">
        <v>2</v>
      </c>
      <c r="X19" s="295">
        <v>0</v>
      </c>
      <c r="Y19" s="295"/>
      <c r="Z19" s="289">
        <f t="shared" si="1"/>
        <v>137120.87565999999</v>
      </c>
      <c r="AA19" s="411">
        <f t="shared" si="2"/>
        <v>137120.87565999999</v>
      </c>
    </row>
    <row r="20" spans="1:27" s="288" customFormat="1">
      <c r="A20" s="294">
        <v>12</v>
      </c>
      <c r="B20" s="290" t="s">
        <v>817</v>
      </c>
      <c r="C20" s="290" t="s">
        <v>837</v>
      </c>
      <c r="D20" s="290"/>
      <c r="E20" s="293" t="s">
        <v>856</v>
      </c>
      <c r="F20" s="293">
        <v>12</v>
      </c>
      <c r="G20" s="292">
        <f t="shared" si="0"/>
        <v>43040</v>
      </c>
      <c r="H20" s="18">
        <v>43040</v>
      </c>
      <c r="I20" s="296"/>
      <c r="J20" s="18"/>
      <c r="K20" s="18"/>
      <c r="L20" s="18"/>
      <c r="M20" s="290"/>
      <c r="N20" s="291"/>
      <c r="O20" s="291"/>
      <c r="P20" s="291"/>
      <c r="Q20" s="291"/>
      <c r="R20" s="290"/>
      <c r="S20" s="295"/>
      <c r="T20" s="295"/>
      <c r="U20" s="295"/>
      <c r="V20" s="295"/>
      <c r="W20" s="410" t="s">
        <v>2</v>
      </c>
      <c r="X20" s="295">
        <v>0</v>
      </c>
      <c r="Y20" s="295"/>
      <c r="Z20" s="289">
        <f t="shared" si="1"/>
        <v>43040</v>
      </c>
      <c r="AA20" s="411">
        <f t="shared" si="2"/>
        <v>43040</v>
      </c>
    </row>
    <row r="21" spans="1:27" s="288" customFormat="1">
      <c r="A21" s="294">
        <v>13</v>
      </c>
      <c r="B21" s="290" t="s">
        <v>812</v>
      </c>
      <c r="C21" s="290" t="s">
        <v>832</v>
      </c>
      <c r="D21" s="290"/>
      <c r="E21" s="293" t="s">
        <v>856</v>
      </c>
      <c r="F21" s="293">
        <v>13</v>
      </c>
      <c r="G21" s="292">
        <f t="shared" si="0"/>
        <v>3906.5205499999997</v>
      </c>
      <c r="H21" s="18">
        <v>3906.5205499999997</v>
      </c>
      <c r="I21" s="296"/>
      <c r="J21" s="18"/>
      <c r="K21" s="18"/>
      <c r="L21" s="18"/>
      <c r="M21" s="290"/>
      <c r="N21" s="291"/>
      <c r="O21" s="291"/>
      <c r="P21" s="291"/>
      <c r="Q21" s="291"/>
      <c r="R21" s="290"/>
      <c r="S21" s="295"/>
      <c r="T21" s="295"/>
      <c r="U21" s="295"/>
      <c r="V21" s="295"/>
      <c r="W21" s="410" t="s">
        <v>2</v>
      </c>
      <c r="X21" s="295">
        <v>0</v>
      </c>
      <c r="Y21" s="295"/>
      <c r="Z21" s="289">
        <f t="shared" si="1"/>
        <v>3906.5205499999997</v>
      </c>
      <c r="AA21" s="411">
        <f t="shared" si="2"/>
        <v>3906.5205499999997</v>
      </c>
    </row>
    <row r="22" spans="1:27" s="288" customFormat="1">
      <c r="A22" s="294">
        <v>14</v>
      </c>
      <c r="B22" s="290" t="s">
        <v>814</v>
      </c>
      <c r="C22" s="290" t="s">
        <v>834</v>
      </c>
      <c r="D22" s="290"/>
      <c r="E22" s="293" t="s">
        <v>856</v>
      </c>
      <c r="F22" s="293">
        <v>14</v>
      </c>
      <c r="G22" s="292">
        <f t="shared" si="0"/>
        <v>73589.952499999999</v>
      </c>
      <c r="H22" s="18">
        <v>73589.952499999999</v>
      </c>
      <c r="I22" s="296"/>
      <c r="J22" s="18"/>
      <c r="K22" s="18"/>
      <c r="L22" s="18"/>
      <c r="M22" s="290"/>
      <c r="N22" s="291"/>
      <c r="O22" s="291"/>
      <c r="P22" s="291"/>
      <c r="Q22" s="291"/>
      <c r="R22" s="290"/>
      <c r="S22" s="295"/>
      <c r="T22" s="295"/>
      <c r="U22" s="295"/>
      <c r="V22" s="295"/>
      <c r="W22" s="410" t="s">
        <v>2</v>
      </c>
      <c r="X22" s="295">
        <v>0</v>
      </c>
      <c r="Y22" s="295"/>
      <c r="Z22" s="289">
        <f t="shared" si="1"/>
        <v>73589.952499999999</v>
      </c>
      <c r="AA22" s="411">
        <f t="shared" si="2"/>
        <v>73589.952499999999</v>
      </c>
    </row>
    <row r="23" spans="1:27" s="288" customFormat="1">
      <c r="A23" s="294">
        <v>15</v>
      </c>
      <c r="B23" s="290" t="s">
        <v>816</v>
      </c>
      <c r="C23" s="290" t="s">
        <v>836</v>
      </c>
      <c r="D23" s="290"/>
      <c r="E23" s="293" t="s">
        <v>856</v>
      </c>
      <c r="F23" s="293">
        <v>15</v>
      </c>
      <c r="G23" s="292">
        <f t="shared" si="0"/>
        <v>16500</v>
      </c>
      <c r="H23" s="290">
        <v>16500</v>
      </c>
      <c r="I23" s="290"/>
      <c r="J23" s="290"/>
      <c r="K23" s="290"/>
      <c r="L23" s="290"/>
      <c r="M23" s="290"/>
      <c r="N23" s="291"/>
      <c r="O23" s="291"/>
      <c r="P23" s="291"/>
      <c r="Q23" s="291"/>
      <c r="R23" s="290"/>
      <c r="S23" s="295"/>
      <c r="T23" s="295"/>
      <c r="U23" s="295"/>
      <c r="V23" s="295"/>
      <c r="W23" s="410" t="s">
        <v>2</v>
      </c>
      <c r="X23" s="295">
        <v>0</v>
      </c>
      <c r="Y23" s="295"/>
      <c r="Z23" s="289">
        <f t="shared" si="1"/>
        <v>16500</v>
      </c>
      <c r="AA23" s="411">
        <f t="shared" si="2"/>
        <v>16500</v>
      </c>
    </row>
    <row r="24" spans="1:27" s="288" customFormat="1">
      <c r="A24" s="294">
        <v>16</v>
      </c>
      <c r="B24" s="290" t="s">
        <v>819</v>
      </c>
      <c r="C24" s="295" t="s">
        <v>839</v>
      </c>
      <c r="D24" s="295"/>
      <c r="E24" s="293" t="s">
        <v>856</v>
      </c>
      <c r="F24" s="293">
        <v>16</v>
      </c>
      <c r="G24" s="292">
        <f t="shared" si="0"/>
        <v>46750</v>
      </c>
      <c r="H24" s="290">
        <v>46750</v>
      </c>
      <c r="I24" s="296"/>
      <c r="J24" s="290"/>
      <c r="K24" s="290"/>
      <c r="L24" s="290"/>
      <c r="M24" s="290"/>
      <c r="N24" s="291"/>
      <c r="O24" s="291"/>
      <c r="P24" s="291"/>
      <c r="Q24" s="291"/>
      <c r="R24" s="290"/>
      <c r="S24" s="295"/>
      <c r="T24" s="295"/>
      <c r="U24" s="295"/>
      <c r="V24" s="295"/>
      <c r="W24" s="410" t="s">
        <v>2</v>
      </c>
      <c r="X24" s="295">
        <v>0</v>
      </c>
      <c r="Y24" s="295"/>
      <c r="Z24" s="289">
        <f t="shared" si="1"/>
        <v>46750</v>
      </c>
      <c r="AA24" s="411">
        <f t="shared" si="2"/>
        <v>46750</v>
      </c>
    </row>
    <row r="25" spans="1:27" s="288" customFormat="1">
      <c r="A25" s="294">
        <v>17</v>
      </c>
      <c r="B25" s="412" t="s">
        <v>811</v>
      </c>
      <c r="C25" s="290" t="s">
        <v>831</v>
      </c>
      <c r="D25" s="290"/>
      <c r="E25" s="293" t="s">
        <v>856</v>
      </c>
      <c r="F25" s="293">
        <v>17</v>
      </c>
      <c r="G25" s="292">
        <f t="shared" si="0"/>
        <v>2503</v>
      </c>
      <c r="H25" s="290">
        <v>2503</v>
      </c>
      <c r="I25" s="296"/>
      <c r="J25" s="290"/>
      <c r="K25" s="290"/>
      <c r="L25" s="290"/>
      <c r="M25" s="290"/>
      <c r="N25" s="291"/>
      <c r="O25" s="291"/>
      <c r="P25" s="291"/>
      <c r="Q25" s="291"/>
      <c r="R25" s="290"/>
      <c r="S25" s="295"/>
      <c r="T25" s="295"/>
      <c r="U25" s="295"/>
      <c r="V25" s="295"/>
      <c r="W25" s="410" t="s">
        <v>2</v>
      </c>
      <c r="X25" s="295">
        <v>0</v>
      </c>
      <c r="Y25" s="295"/>
      <c r="Z25" s="289">
        <f t="shared" si="1"/>
        <v>2503</v>
      </c>
      <c r="AA25" s="411">
        <f t="shared" si="2"/>
        <v>2503</v>
      </c>
    </row>
    <row r="26" spans="1:27" s="288" customFormat="1">
      <c r="A26" s="294">
        <v>18</v>
      </c>
      <c r="B26" s="412" t="s">
        <v>820</v>
      </c>
      <c r="C26" s="290" t="s">
        <v>840</v>
      </c>
      <c r="D26" s="295"/>
      <c r="E26" s="293" t="s">
        <v>856</v>
      </c>
      <c r="F26" s="293">
        <v>18</v>
      </c>
      <c r="G26" s="292">
        <f t="shared" si="0"/>
        <v>209511.67788</v>
      </c>
      <c r="H26" s="290">
        <v>209511.67788</v>
      </c>
      <c r="I26" s="290"/>
      <c r="J26" s="290"/>
      <c r="K26" s="290"/>
      <c r="L26" s="290"/>
      <c r="M26" s="290"/>
      <c r="N26" s="291"/>
      <c r="O26" s="291"/>
      <c r="P26" s="291"/>
      <c r="Q26" s="291"/>
      <c r="R26" s="290"/>
      <c r="S26" s="290"/>
      <c r="T26" s="290"/>
      <c r="U26" s="290"/>
      <c r="V26" s="290"/>
      <c r="W26" s="410" t="s">
        <v>2</v>
      </c>
      <c r="X26" s="295">
        <v>0</v>
      </c>
      <c r="Y26" s="290"/>
      <c r="Z26" s="289">
        <f t="shared" si="1"/>
        <v>209511.67788</v>
      </c>
      <c r="AA26" s="411">
        <f t="shared" si="2"/>
        <v>209511.67788</v>
      </c>
    </row>
    <row r="27" spans="1:27" s="288" customFormat="1">
      <c r="A27" s="294">
        <v>19</v>
      </c>
      <c r="B27" s="412" t="s">
        <v>815</v>
      </c>
      <c r="C27" s="290" t="s">
        <v>835</v>
      </c>
      <c r="D27" s="290"/>
      <c r="E27" s="293" t="s">
        <v>856</v>
      </c>
      <c r="F27" s="293">
        <v>19</v>
      </c>
      <c r="G27" s="292">
        <f t="shared" si="0"/>
        <v>17636.269</v>
      </c>
      <c r="H27" s="290">
        <v>17636.269</v>
      </c>
      <c r="I27" s="296"/>
      <c r="J27" s="290"/>
      <c r="K27" s="290"/>
      <c r="L27" s="290"/>
      <c r="M27" s="290"/>
      <c r="N27" s="291"/>
      <c r="O27" s="291"/>
      <c r="P27" s="291"/>
      <c r="Q27" s="291"/>
      <c r="R27" s="290"/>
      <c r="S27" s="290"/>
      <c r="T27" s="290"/>
      <c r="U27" s="290"/>
      <c r="V27" s="290"/>
      <c r="W27" s="410" t="s">
        <v>2</v>
      </c>
      <c r="X27" s="295">
        <v>0</v>
      </c>
      <c r="Y27" s="290"/>
      <c r="Z27" s="289">
        <f t="shared" si="1"/>
        <v>17636.269</v>
      </c>
      <c r="AA27" s="411">
        <f t="shared" si="2"/>
        <v>17636.269</v>
      </c>
    </row>
    <row r="28" spans="1:27" s="288" customFormat="1">
      <c r="A28" s="294">
        <v>20</v>
      </c>
      <c r="B28" s="412" t="s">
        <v>821</v>
      </c>
      <c r="C28" s="290" t="s">
        <v>841</v>
      </c>
      <c r="D28" s="290"/>
      <c r="E28" s="293" t="s">
        <v>856</v>
      </c>
      <c r="F28" s="293">
        <v>20</v>
      </c>
      <c r="G28" s="292">
        <f t="shared" si="0"/>
        <v>86446.172870000009</v>
      </c>
      <c r="H28" s="290">
        <v>86446.172870000009</v>
      </c>
      <c r="I28" s="296"/>
      <c r="J28" s="290"/>
      <c r="K28" s="290"/>
      <c r="L28" s="290"/>
      <c r="M28" s="290"/>
      <c r="N28" s="291"/>
      <c r="O28" s="291"/>
      <c r="P28" s="291"/>
      <c r="Q28" s="291"/>
      <c r="R28" s="290"/>
      <c r="S28" s="290"/>
      <c r="T28" s="290"/>
      <c r="U28" s="290"/>
      <c r="V28" s="290"/>
      <c r="W28" s="410" t="s">
        <v>2</v>
      </c>
      <c r="X28" s="295">
        <v>0</v>
      </c>
      <c r="Y28" s="290"/>
      <c r="Z28" s="289">
        <f t="shared" si="1"/>
        <v>86446.172870000009</v>
      </c>
      <c r="AA28" s="411">
        <f t="shared" si="2"/>
        <v>86446.172870000009</v>
      </c>
    </row>
    <row r="29" spans="1:27" s="288" customFormat="1">
      <c r="A29" s="294">
        <v>21</v>
      </c>
      <c r="B29" s="412" t="s">
        <v>822</v>
      </c>
      <c r="C29" s="290" t="s">
        <v>842</v>
      </c>
      <c r="D29" s="290"/>
      <c r="E29" s="293" t="s">
        <v>856</v>
      </c>
      <c r="F29" s="293">
        <v>21</v>
      </c>
      <c r="G29" s="292">
        <f t="shared" si="0"/>
        <v>23252.677</v>
      </c>
      <c r="H29" s="290">
        <v>23252.677</v>
      </c>
      <c r="I29" s="296"/>
      <c r="J29" s="290"/>
      <c r="K29" s="290"/>
      <c r="L29" s="290"/>
      <c r="M29" s="290"/>
      <c r="N29" s="291"/>
      <c r="O29" s="291"/>
      <c r="P29" s="291"/>
      <c r="Q29" s="291"/>
      <c r="R29" s="290"/>
      <c r="S29" s="290"/>
      <c r="T29" s="290"/>
      <c r="U29" s="290"/>
      <c r="V29" s="290"/>
      <c r="W29" s="410" t="s">
        <v>2</v>
      </c>
      <c r="X29" s="295">
        <v>0</v>
      </c>
      <c r="Y29" s="290"/>
      <c r="Z29" s="289">
        <f t="shared" si="1"/>
        <v>23252.677</v>
      </c>
      <c r="AA29" s="411">
        <f t="shared" si="2"/>
        <v>23252.677</v>
      </c>
    </row>
    <row r="30" spans="1:27" s="288" customFormat="1">
      <c r="A30" s="294">
        <v>22</v>
      </c>
      <c r="B30" s="412" t="s">
        <v>812</v>
      </c>
      <c r="C30" s="290" t="s">
        <v>832</v>
      </c>
      <c r="D30" s="290"/>
      <c r="E30" s="293" t="s">
        <v>856</v>
      </c>
      <c r="F30" s="293">
        <v>22</v>
      </c>
      <c r="G30" s="292">
        <f t="shared" si="0"/>
        <v>3906.5205499999997</v>
      </c>
      <c r="H30" s="290">
        <v>3906.5205499999997</v>
      </c>
      <c r="I30" s="296"/>
      <c r="J30" s="290"/>
      <c r="K30" s="290"/>
      <c r="L30" s="290"/>
      <c r="M30" s="290"/>
      <c r="N30" s="291"/>
      <c r="O30" s="291"/>
      <c r="P30" s="291"/>
      <c r="Q30" s="291"/>
      <c r="R30" s="290"/>
      <c r="S30" s="290"/>
      <c r="T30" s="290"/>
      <c r="U30" s="290"/>
      <c r="V30" s="290"/>
      <c r="W30" s="410" t="s">
        <v>2</v>
      </c>
      <c r="X30" s="295">
        <v>0</v>
      </c>
      <c r="Y30" s="290"/>
      <c r="Z30" s="289">
        <f t="shared" si="1"/>
        <v>3906.5205499999997</v>
      </c>
      <c r="AA30" s="411">
        <f t="shared" si="2"/>
        <v>3906.5205499999997</v>
      </c>
    </row>
    <row r="31" spans="1:27" s="288" customFormat="1">
      <c r="A31" s="294">
        <v>23</v>
      </c>
      <c r="B31" s="412" t="s">
        <v>814</v>
      </c>
      <c r="C31" s="290" t="s">
        <v>834</v>
      </c>
      <c r="D31" s="290"/>
      <c r="E31" s="293" t="s">
        <v>856</v>
      </c>
      <c r="F31" s="293">
        <v>23</v>
      </c>
      <c r="G31" s="292">
        <f t="shared" si="0"/>
        <v>73589.952499999999</v>
      </c>
      <c r="H31" s="290">
        <v>73589.952499999999</v>
      </c>
      <c r="I31" s="296"/>
      <c r="J31" s="290"/>
      <c r="K31" s="290"/>
      <c r="L31" s="290"/>
      <c r="M31" s="290"/>
      <c r="N31" s="291"/>
      <c r="O31" s="291"/>
      <c r="P31" s="291"/>
      <c r="Q31" s="291"/>
      <c r="R31" s="290"/>
      <c r="S31" s="290"/>
      <c r="T31" s="290"/>
      <c r="U31" s="290"/>
      <c r="V31" s="290"/>
      <c r="W31" s="410" t="s">
        <v>2</v>
      </c>
      <c r="X31" s="295">
        <v>0</v>
      </c>
      <c r="Y31" s="290"/>
      <c r="Z31" s="289">
        <f t="shared" si="1"/>
        <v>73589.952499999999</v>
      </c>
      <c r="AA31" s="411">
        <f t="shared" si="2"/>
        <v>73589.952499999999</v>
      </c>
    </row>
    <row r="32" spans="1:27" s="288" customFormat="1">
      <c r="A32" s="294">
        <v>24</v>
      </c>
      <c r="B32" s="412" t="s">
        <v>816</v>
      </c>
      <c r="C32" s="290" t="s">
        <v>836</v>
      </c>
      <c r="D32" s="290"/>
      <c r="E32" s="293" t="s">
        <v>856</v>
      </c>
      <c r="F32" s="293">
        <v>24</v>
      </c>
      <c r="G32" s="292">
        <f t="shared" si="0"/>
        <v>16500</v>
      </c>
      <c r="H32" s="290">
        <v>16500</v>
      </c>
      <c r="I32" s="296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410" t="s">
        <v>2</v>
      </c>
      <c r="X32" s="295">
        <v>0</v>
      </c>
      <c r="Y32" s="290"/>
      <c r="Z32" s="289">
        <f t="shared" si="1"/>
        <v>16500</v>
      </c>
      <c r="AA32" s="411">
        <f t="shared" si="2"/>
        <v>16500</v>
      </c>
    </row>
    <row r="33" spans="1:27" s="288" customFormat="1">
      <c r="A33" s="294">
        <v>25</v>
      </c>
      <c r="B33" s="290" t="s">
        <v>823</v>
      </c>
      <c r="C33" s="290" t="s">
        <v>843</v>
      </c>
      <c r="D33" s="290"/>
      <c r="E33" s="293" t="s">
        <v>856</v>
      </c>
      <c r="F33" s="293">
        <v>25</v>
      </c>
      <c r="G33" s="292">
        <f t="shared" si="0"/>
        <v>28636.364000000001</v>
      </c>
      <c r="H33" s="290">
        <v>28636.364000000001</v>
      </c>
      <c r="I33" s="296"/>
      <c r="J33" s="290"/>
      <c r="K33" s="290"/>
      <c r="L33" s="290"/>
      <c r="M33" s="290"/>
      <c r="N33" s="291"/>
      <c r="O33" s="291"/>
      <c r="P33" s="291"/>
      <c r="Q33" s="291"/>
      <c r="R33" s="290"/>
      <c r="S33" s="290"/>
      <c r="T33" s="290"/>
      <c r="U33" s="290"/>
      <c r="V33" s="290"/>
      <c r="W33" s="410" t="s">
        <v>2</v>
      </c>
      <c r="X33" s="295">
        <v>0</v>
      </c>
      <c r="Y33" s="290"/>
      <c r="Z33" s="289">
        <f t="shared" si="1"/>
        <v>28636.364000000001</v>
      </c>
      <c r="AA33" s="411">
        <f t="shared" si="2"/>
        <v>28636.364000000001</v>
      </c>
    </row>
    <row r="34" spans="1:27" s="288" customFormat="1">
      <c r="A34" s="294">
        <v>26</v>
      </c>
      <c r="B34" s="412" t="s">
        <v>824</v>
      </c>
      <c r="C34" s="290" t="s">
        <v>844</v>
      </c>
      <c r="D34" s="290"/>
      <c r="E34" s="293" t="s">
        <v>856</v>
      </c>
      <c r="F34" s="293">
        <v>26</v>
      </c>
      <c r="G34" s="292">
        <f t="shared" si="0"/>
        <v>28750</v>
      </c>
      <c r="H34" s="290">
        <v>28750</v>
      </c>
      <c r="I34" s="297"/>
      <c r="J34" s="290"/>
      <c r="K34" s="290"/>
      <c r="L34" s="290"/>
      <c r="M34" s="290"/>
      <c r="N34" s="291"/>
      <c r="O34" s="291"/>
      <c r="P34" s="291"/>
      <c r="Q34" s="291"/>
      <c r="R34" s="290"/>
      <c r="S34" s="290"/>
      <c r="T34" s="290"/>
      <c r="U34" s="290"/>
      <c r="V34" s="290"/>
      <c r="W34" s="410" t="s">
        <v>2</v>
      </c>
      <c r="X34" s="295">
        <v>0</v>
      </c>
      <c r="Y34" s="290"/>
      <c r="Z34" s="289">
        <f t="shared" si="1"/>
        <v>28750</v>
      </c>
      <c r="AA34" s="411">
        <f t="shared" si="2"/>
        <v>28750</v>
      </c>
    </row>
    <row r="35" spans="1:27" s="288" customFormat="1">
      <c r="A35" s="294">
        <v>27</v>
      </c>
      <c r="B35" s="412" t="s">
        <v>825</v>
      </c>
      <c r="C35" s="290" t="s">
        <v>845</v>
      </c>
      <c r="D35" s="290"/>
      <c r="E35" s="293" t="s">
        <v>856</v>
      </c>
      <c r="F35" s="293">
        <v>27</v>
      </c>
      <c r="G35" s="292">
        <f t="shared" si="0"/>
        <v>265999.99900000001</v>
      </c>
      <c r="H35" s="290">
        <v>265999.99900000001</v>
      </c>
      <c r="I35" s="290"/>
      <c r="J35" s="290"/>
      <c r="K35" s="290"/>
      <c r="L35" s="290"/>
      <c r="M35" s="290"/>
      <c r="N35" s="291"/>
      <c r="O35" s="291"/>
      <c r="P35" s="291"/>
      <c r="Q35" s="291"/>
      <c r="R35" s="290"/>
      <c r="S35" s="290"/>
      <c r="T35" s="290"/>
      <c r="U35" s="290"/>
      <c r="V35" s="290"/>
      <c r="W35" s="410" t="s">
        <v>2</v>
      </c>
      <c r="X35" s="295">
        <v>0</v>
      </c>
      <c r="Y35" s="290"/>
      <c r="Z35" s="289">
        <f t="shared" si="1"/>
        <v>265999.99900000001</v>
      </c>
      <c r="AA35" s="411">
        <f t="shared" si="2"/>
        <v>265999.99900000001</v>
      </c>
    </row>
    <row r="36" spans="1:27" s="288" customFormat="1">
      <c r="A36" s="294">
        <v>28</v>
      </c>
      <c r="B36" s="412" t="s">
        <v>815</v>
      </c>
      <c r="C36" s="290" t="s">
        <v>835</v>
      </c>
      <c r="D36" s="290"/>
      <c r="E36" s="293" t="s">
        <v>856</v>
      </c>
      <c r="F36" s="293">
        <v>28</v>
      </c>
      <c r="G36" s="292">
        <f t="shared" si="0"/>
        <v>17636.269</v>
      </c>
      <c r="H36" s="290">
        <v>17636.269</v>
      </c>
      <c r="I36" s="296"/>
      <c r="J36" s="290"/>
      <c r="K36" s="290"/>
      <c r="L36" s="290"/>
      <c r="M36" s="290"/>
      <c r="N36" s="291"/>
      <c r="O36" s="291"/>
      <c r="P36" s="291"/>
      <c r="Q36" s="291"/>
      <c r="R36" s="290"/>
      <c r="S36" s="290"/>
      <c r="T36" s="290"/>
      <c r="U36" s="290"/>
      <c r="V36" s="290"/>
      <c r="W36" s="410" t="s">
        <v>2</v>
      </c>
      <c r="X36" s="295">
        <v>0</v>
      </c>
      <c r="Y36" s="290"/>
      <c r="Z36" s="289">
        <f t="shared" si="1"/>
        <v>17636.269</v>
      </c>
      <c r="AA36" s="411">
        <f t="shared" si="2"/>
        <v>17636.269</v>
      </c>
    </row>
    <row r="37" spans="1:27" s="288" customFormat="1">
      <c r="A37" s="294">
        <v>29</v>
      </c>
      <c r="B37" s="412" t="s">
        <v>821</v>
      </c>
      <c r="C37" s="290" t="s">
        <v>841</v>
      </c>
      <c r="D37" s="290"/>
      <c r="E37" s="293" t="s">
        <v>856</v>
      </c>
      <c r="F37" s="293">
        <v>29</v>
      </c>
      <c r="G37" s="292">
        <f t="shared" si="0"/>
        <v>86446.172870000009</v>
      </c>
      <c r="H37" s="290">
        <v>86446.172870000009</v>
      </c>
      <c r="I37" s="296"/>
      <c r="J37" s="290"/>
      <c r="K37" s="290"/>
      <c r="L37" s="290"/>
      <c r="M37" s="290"/>
      <c r="N37" s="291"/>
      <c r="O37" s="291"/>
      <c r="P37" s="291"/>
      <c r="Q37" s="291"/>
      <c r="R37" s="290"/>
      <c r="S37" s="290"/>
      <c r="T37" s="290"/>
      <c r="U37" s="290"/>
      <c r="V37" s="290"/>
      <c r="W37" s="410" t="s">
        <v>2</v>
      </c>
      <c r="X37" s="295">
        <v>0</v>
      </c>
      <c r="Y37" s="290"/>
      <c r="Z37" s="289">
        <f t="shared" si="1"/>
        <v>86446.172870000009</v>
      </c>
      <c r="AA37" s="411">
        <f t="shared" si="2"/>
        <v>86446.172870000009</v>
      </c>
    </row>
    <row r="38" spans="1:27" s="288" customFormat="1">
      <c r="A38" s="294">
        <v>30</v>
      </c>
      <c r="B38" s="290" t="s">
        <v>810</v>
      </c>
      <c r="C38" s="290" t="s">
        <v>830</v>
      </c>
      <c r="D38" s="290"/>
      <c r="E38" s="293" t="s">
        <v>856</v>
      </c>
      <c r="F38" s="293">
        <v>30</v>
      </c>
      <c r="G38" s="292">
        <f t="shared" si="0"/>
        <v>1167000</v>
      </c>
      <c r="H38" s="290">
        <v>1167000</v>
      </c>
      <c r="I38" s="290"/>
      <c r="J38" s="290"/>
      <c r="K38" s="290"/>
      <c r="L38" s="290"/>
      <c r="M38" s="290"/>
      <c r="N38" s="291"/>
      <c r="O38" s="291"/>
      <c r="P38" s="291"/>
      <c r="Q38" s="291"/>
      <c r="R38" s="290"/>
      <c r="S38" s="290"/>
      <c r="T38" s="290"/>
      <c r="U38" s="290"/>
      <c r="V38" s="290"/>
      <c r="W38" s="410" t="s">
        <v>2</v>
      </c>
      <c r="X38" s="295">
        <v>0</v>
      </c>
      <c r="Y38" s="290"/>
      <c r="Z38" s="289">
        <f t="shared" si="1"/>
        <v>1167000</v>
      </c>
      <c r="AA38" s="411">
        <f t="shared" si="2"/>
        <v>1167000</v>
      </c>
    </row>
    <row r="39" spans="1:27" s="288" customFormat="1">
      <c r="A39" s="294">
        <v>31</v>
      </c>
      <c r="B39" s="290" t="s">
        <v>815</v>
      </c>
      <c r="C39" s="290" t="s">
        <v>835</v>
      </c>
      <c r="D39" s="290"/>
      <c r="E39" s="293" t="s">
        <v>856</v>
      </c>
      <c r="F39" s="293">
        <v>31</v>
      </c>
      <c r="G39" s="292">
        <f t="shared" si="0"/>
        <v>17636.269</v>
      </c>
      <c r="H39" s="290">
        <v>17636.269</v>
      </c>
      <c r="I39" s="290"/>
      <c r="J39" s="290"/>
      <c r="K39" s="290"/>
      <c r="L39" s="290"/>
      <c r="M39" s="290"/>
      <c r="N39" s="291"/>
      <c r="O39" s="291"/>
      <c r="P39" s="291"/>
      <c r="Q39" s="291"/>
      <c r="R39" s="290"/>
      <c r="S39" s="290"/>
      <c r="T39" s="290"/>
      <c r="U39" s="290"/>
      <c r="V39" s="290"/>
      <c r="W39" s="410" t="s">
        <v>2</v>
      </c>
      <c r="X39" s="295">
        <v>0</v>
      </c>
      <c r="Y39" s="290"/>
      <c r="Z39" s="289">
        <f t="shared" si="1"/>
        <v>17636.269</v>
      </c>
      <c r="AA39" s="411">
        <f t="shared" si="2"/>
        <v>17636.269</v>
      </c>
    </row>
    <row r="40" spans="1:27" s="288" customFormat="1">
      <c r="A40" s="294">
        <v>32</v>
      </c>
      <c r="B40" s="290" t="s">
        <v>810</v>
      </c>
      <c r="C40" s="290" t="s">
        <v>830</v>
      </c>
      <c r="D40" s="290"/>
      <c r="E40" s="293" t="s">
        <v>856</v>
      </c>
      <c r="F40" s="293">
        <v>32</v>
      </c>
      <c r="G40" s="292">
        <f t="shared" si="0"/>
        <v>1167000</v>
      </c>
      <c r="H40" s="290">
        <v>1167000</v>
      </c>
      <c r="I40" s="290"/>
      <c r="J40" s="290"/>
      <c r="K40" s="290"/>
      <c r="L40" s="290"/>
      <c r="M40" s="290"/>
      <c r="N40" s="291"/>
      <c r="O40" s="291"/>
      <c r="P40" s="291"/>
      <c r="Q40" s="291"/>
      <c r="R40" s="290"/>
      <c r="S40" s="290"/>
      <c r="T40" s="290"/>
      <c r="U40" s="290"/>
      <c r="V40" s="290"/>
      <c r="W40" s="410" t="s">
        <v>2</v>
      </c>
      <c r="X40" s="295">
        <v>0</v>
      </c>
      <c r="Y40" s="290"/>
      <c r="Z40" s="289">
        <f t="shared" si="1"/>
        <v>1167000</v>
      </c>
      <c r="AA40" s="411">
        <f t="shared" si="2"/>
        <v>1167000</v>
      </c>
    </row>
    <row r="41" spans="1:27" s="288" customFormat="1">
      <c r="A41" s="294">
        <v>33</v>
      </c>
      <c r="B41" s="412" t="s">
        <v>818</v>
      </c>
      <c r="C41" s="290" t="s">
        <v>838</v>
      </c>
      <c r="D41" s="295"/>
      <c r="E41" s="293" t="s">
        <v>856</v>
      </c>
      <c r="F41" s="293">
        <v>33</v>
      </c>
      <c r="G41" s="292">
        <f t="shared" ref="G41:G88" si="3">+H41+I41+J41+K41+M41+O41+Q41+S41</f>
        <v>137120.87565999999</v>
      </c>
      <c r="H41" s="290">
        <v>137120.87565999999</v>
      </c>
      <c r="I41" s="296"/>
      <c r="J41" s="290"/>
      <c r="K41" s="290"/>
      <c r="L41" s="290"/>
      <c r="M41" s="290"/>
      <c r="N41" s="291"/>
      <c r="O41" s="291"/>
      <c r="P41" s="291"/>
      <c r="Q41" s="291"/>
      <c r="R41" s="290"/>
      <c r="S41" s="290"/>
      <c r="T41" s="290"/>
      <c r="U41" s="290"/>
      <c r="V41" s="290"/>
      <c r="W41" s="410" t="s">
        <v>2</v>
      </c>
      <c r="X41" s="295">
        <v>0</v>
      </c>
      <c r="Y41" s="290"/>
      <c r="Z41" s="289">
        <f t="shared" ref="Z41:Z88" si="4">+G41-V41-X41</f>
        <v>137120.87565999999</v>
      </c>
      <c r="AA41" s="411">
        <f t="shared" si="2"/>
        <v>137120.87565999999</v>
      </c>
    </row>
    <row r="42" spans="1:27" s="288" customFormat="1">
      <c r="A42" s="294">
        <v>34</v>
      </c>
      <c r="B42" s="412" t="s">
        <v>826</v>
      </c>
      <c r="C42" s="290" t="s">
        <v>846</v>
      </c>
      <c r="D42" s="295"/>
      <c r="E42" s="293" t="s">
        <v>856</v>
      </c>
      <c r="F42" s="293">
        <v>34</v>
      </c>
      <c r="G42" s="292">
        <f t="shared" si="3"/>
        <v>343012.39824000001</v>
      </c>
      <c r="H42" s="290">
        <v>343012.39824000001</v>
      </c>
      <c r="I42" s="290"/>
      <c r="J42" s="290"/>
      <c r="K42" s="290"/>
      <c r="L42" s="290"/>
      <c r="M42" s="290"/>
      <c r="N42" s="291"/>
      <c r="O42" s="291"/>
      <c r="P42" s="291"/>
      <c r="Q42" s="291"/>
      <c r="R42" s="290"/>
      <c r="S42" s="290"/>
      <c r="T42" s="290"/>
      <c r="U42" s="290"/>
      <c r="V42" s="290"/>
      <c r="W42" s="410" t="s">
        <v>2</v>
      </c>
      <c r="X42" s="295">
        <v>0</v>
      </c>
      <c r="Y42" s="290"/>
      <c r="Z42" s="289">
        <f t="shared" si="4"/>
        <v>343012.39824000001</v>
      </c>
      <c r="AA42" s="411">
        <f t="shared" si="2"/>
        <v>343012.39824000001</v>
      </c>
    </row>
    <row r="43" spans="1:27" s="288" customFormat="1">
      <c r="A43" s="294">
        <v>35</v>
      </c>
      <c r="B43" s="412" t="s">
        <v>816</v>
      </c>
      <c r="C43" s="290" t="s">
        <v>836</v>
      </c>
      <c r="D43" s="295"/>
      <c r="E43" s="293" t="s">
        <v>856</v>
      </c>
      <c r="F43" s="293">
        <v>35</v>
      </c>
      <c r="G43" s="292">
        <f t="shared" si="3"/>
        <v>16500</v>
      </c>
      <c r="H43" s="290">
        <v>16500</v>
      </c>
      <c r="I43" s="290"/>
      <c r="J43" s="290"/>
      <c r="K43" s="290"/>
      <c r="L43" s="290"/>
      <c r="M43" s="290"/>
      <c r="N43" s="291"/>
      <c r="O43" s="291"/>
      <c r="P43" s="291"/>
      <c r="Q43" s="291"/>
      <c r="R43" s="290"/>
      <c r="S43" s="290"/>
      <c r="T43" s="290"/>
      <c r="U43" s="290"/>
      <c r="V43" s="290"/>
      <c r="W43" s="410" t="s">
        <v>2</v>
      </c>
      <c r="X43" s="295">
        <v>0</v>
      </c>
      <c r="Y43" s="290"/>
      <c r="Z43" s="289">
        <f t="shared" si="4"/>
        <v>16500</v>
      </c>
      <c r="AA43" s="411">
        <f t="shared" si="2"/>
        <v>16500</v>
      </c>
    </row>
    <row r="44" spans="1:27" s="288" customFormat="1">
      <c r="A44" s="294">
        <v>36</v>
      </c>
      <c r="B44" s="290" t="s">
        <v>817</v>
      </c>
      <c r="C44" s="290" t="s">
        <v>847</v>
      </c>
      <c r="D44" s="290"/>
      <c r="E44" s="293" t="s">
        <v>856</v>
      </c>
      <c r="F44" s="293">
        <v>36</v>
      </c>
      <c r="G44" s="292">
        <f t="shared" si="3"/>
        <v>107435.2</v>
      </c>
      <c r="H44" s="290">
        <v>107435.2</v>
      </c>
      <c r="I44" s="290"/>
      <c r="J44" s="290"/>
      <c r="K44" s="290"/>
      <c r="L44" s="290"/>
      <c r="M44" s="290"/>
      <c r="N44" s="291"/>
      <c r="O44" s="291"/>
      <c r="P44" s="291"/>
      <c r="Q44" s="291"/>
      <c r="R44" s="290"/>
      <c r="S44" s="290"/>
      <c r="T44" s="290"/>
      <c r="U44" s="290"/>
      <c r="V44" s="290"/>
      <c r="W44" s="410" t="s">
        <v>2</v>
      </c>
      <c r="X44" s="290">
        <v>0</v>
      </c>
      <c r="Y44" s="290"/>
      <c r="Z44" s="289">
        <f t="shared" si="4"/>
        <v>107435.2</v>
      </c>
      <c r="AA44" s="411">
        <f t="shared" si="2"/>
        <v>107435.2</v>
      </c>
    </row>
    <row r="45" spans="1:27" s="288" customFormat="1">
      <c r="A45" s="294">
        <v>37</v>
      </c>
      <c r="B45" s="290" t="s">
        <v>827</v>
      </c>
      <c r="C45" s="290" t="s">
        <v>848</v>
      </c>
      <c r="D45" s="290"/>
      <c r="E45" s="293" t="s">
        <v>856</v>
      </c>
      <c r="F45" s="293">
        <v>37</v>
      </c>
      <c r="G45" s="292">
        <f t="shared" si="3"/>
        <v>6412.61</v>
      </c>
      <c r="H45" s="290">
        <v>6412.61</v>
      </c>
      <c r="I45" s="290"/>
      <c r="J45" s="290"/>
      <c r="K45" s="290"/>
      <c r="L45" s="290"/>
      <c r="M45" s="290"/>
      <c r="N45" s="291"/>
      <c r="O45" s="291"/>
      <c r="P45" s="291"/>
      <c r="Q45" s="291"/>
      <c r="R45" s="290"/>
      <c r="S45" s="290"/>
      <c r="T45" s="290"/>
      <c r="U45" s="290"/>
      <c r="V45" s="290"/>
      <c r="W45" s="410" t="s">
        <v>2</v>
      </c>
      <c r="X45" s="290">
        <v>0</v>
      </c>
      <c r="Y45" s="290"/>
      <c r="Z45" s="289">
        <f t="shared" si="4"/>
        <v>6412.61</v>
      </c>
      <c r="AA45" s="411">
        <f t="shared" si="2"/>
        <v>6412.61</v>
      </c>
    </row>
    <row r="46" spans="1:27" s="288" customFormat="1" ht="25.5">
      <c r="A46" s="294">
        <v>38</v>
      </c>
      <c r="B46" s="290" t="s">
        <v>826</v>
      </c>
      <c r="C46" s="290" t="s">
        <v>849</v>
      </c>
      <c r="D46" s="290"/>
      <c r="E46" s="293" t="s">
        <v>856</v>
      </c>
      <c r="F46" s="293">
        <v>38</v>
      </c>
      <c r="G46" s="292">
        <f t="shared" si="3"/>
        <v>6500</v>
      </c>
      <c r="H46" s="290">
        <v>6500</v>
      </c>
      <c r="I46" s="290"/>
      <c r="J46" s="290"/>
      <c r="K46" s="290"/>
      <c r="L46" s="290"/>
      <c r="M46" s="290"/>
      <c r="N46" s="291"/>
      <c r="O46" s="291"/>
      <c r="P46" s="291"/>
      <c r="Q46" s="291"/>
      <c r="R46" s="290"/>
      <c r="S46" s="290"/>
      <c r="T46" s="290"/>
      <c r="U46" s="290"/>
      <c r="V46" s="290"/>
      <c r="W46" s="410" t="s">
        <v>2</v>
      </c>
      <c r="X46" s="290">
        <v>0</v>
      </c>
      <c r="Y46" s="290"/>
      <c r="Z46" s="289">
        <f t="shared" si="4"/>
        <v>6500</v>
      </c>
      <c r="AA46" s="411">
        <f t="shared" si="2"/>
        <v>6500</v>
      </c>
    </row>
    <row r="47" spans="1:27" s="288" customFormat="1">
      <c r="A47" s="294">
        <v>39</v>
      </c>
      <c r="B47" s="290" t="s">
        <v>815</v>
      </c>
      <c r="C47" s="290" t="s">
        <v>850</v>
      </c>
      <c r="D47" s="290"/>
      <c r="E47" s="293" t="s">
        <v>856</v>
      </c>
      <c r="F47" s="293">
        <v>39</v>
      </c>
      <c r="G47" s="292">
        <f t="shared" ref="G47:G53" si="5">+H47+I47+J47+K47+M47+O47+Q47+S47</f>
        <v>14777.773999999999</v>
      </c>
      <c r="H47" s="290">
        <v>14777.773999999999</v>
      </c>
      <c r="I47" s="290"/>
      <c r="J47" s="290"/>
      <c r="K47" s="290"/>
      <c r="L47" s="290"/>
      <c r="M47" s="290"/>
      <c r="N47" s="291"/>
      <c r="O47" s="291"/>
      <c r="P47" s="291"/>
      <c r="Q47" s="291"/>
      <c r="R47" s="290"/>
      <c r="S47" s="290"/>
      <c r="T47" s="290"/>
      <c r="U47" s="290"/>
      <c r="V47" s="290"/>
      <c r="W47" s="410" t="s">
        <v>2</v>
      </c>
      <c r="X47" s="290">
        <v>0</v>
      </c>
      <c r="Y47" s="290"/>
      <c r="Z47" s="289">
        <f t="shared" ref="Z47:Z53" si="6">+G47-V47-X47</f>
        <v>14777.773999999999</v>
      </c>
      <c r="AA47" s="411">
        <f t="shared" si="2"/>
        <v>14777.773999999999</v>
      </c>
    </row>
    <row r="48" spans="1:27" s="288" customFormat="1" ht="25.5">
      <c r="A48" s="294">
        <v>40</v>
      </c>
      <c r="B48" s="290" t="s">
        <v>828</v>
      </c>
      <c r="C48" s="290" t="s">
        <v>851</v>
      </c>
      <c r="D48" s="290"/>
      <c r="E48" s="293" t="s">
        <v>856</v>
      </c>
      <c r="F48" s="293">
        <v>40</v>
      </c>
      <c r="G48" s="292">
        <f t="shared" si="5"/>
        <v>32993.4</v>
      </c>
      <c r="H48" s="290">
        <v>32993.4</v>
      </c>
      <c r="I48" s="290"/>
      <c r="J48" s="290"/>
      <c r="K48" s="290"/>
      <c r="L48" s="290"/>
      <c r="M48" s="290"/>
      <c r="N48" s="291"/>
      <c r="O48" s="291"/>
      <c r="P48" s="291"/>
      <c r="Q48" s="291"/>
      <c r="R48" s="290"/>
      <c r="S48" s="290"/>
      <c r="T48" s="290"/>
      <c r="U48" s="290"/>
      <c r="V48" s="290"/>
      <c r="W48" s="410" t="s">
        <v>2</v>
      </c>
      <c r="X48" s="290">
        <v>0</v>
      </c>
      <c r="Y48" s="290"/>
      <c r="Z48" s="289">
        <f t="shared" si="6"/>
        <v>32993.4</v>
      </c>
      <c r="AA48" s="411">
        <f t="shared" si="2"/>
        <v>32993.4</v>
      </c>
    </row>
    <row r="49" spans="1:27" s="288" customFormat="1">
      <c r="A49" s="294">
        <v>41</v>
      </c>
      <c r="B49" s="290" t="s">
        <v>821</v>
      </c>
      <c r="C49" s="290" t="s">
        <v>852</v>
      </c>
      <c r="D49" s="290"/>
      <c r="E49" s="293" t="s">
        <v>856</v>
      </c>
      <c r="F49" s="293">
        <v>41</v>
      </c>
      <c r="G49" s="292">
        <f t="shared" si="5"/>
        <v>8219.893</v>
      </c>
      <c r="H49" s="290">
        <v>8219.893</v>
      </c>
      <c r="I49" s="290"/>
      <c r="J49" s="290"/>
      <c r="K49" s="290"/>
      <c r="L49" s="290"/>
      <c r="M49" s="290"/>
      <c r="N49" s="291"/>
      <c r="O49" s="291"/>
      <c r="P49" s="291"/>
      <c r="Q49" s="291"/>
      <c r="R49" s="290"/>
      <c r="S49" s="290"/>
      <c r="T49" s="290"/>
      <c r="U49" s="290"/>
      <c r="V49" s="290"/>
      <c r="W49" s="290" t="s">
        <v>2</v>
      </c>
      <c r="X49" s="290">
        <v>0</v>
      </c>
      <c r="Y49" s="290"/>
      <c r="Z49" s="289">
        <f t="shared" si="6"/>
        <v>8219.893</v>
      </c>
      <c r="AA49" s="411">
        <f t="shared" si="2"/>
        <v>8219.893</v>
      </c>
    </row>
    <row r="50" spans="1:27" s="288" customFormat="1">
      <c r="A50" s="294">
        <v>42</v>
      </c>
      <c r="B50" s="290" t="s">
        <v>813</v>
      </c>
      <c r="C50" s="290" t="s">
        <v>853</v>
      </c>
      <c r="D50" s="290"/>
      <c r="E50" s="293" t="s">
        <v>856</v>
      </c>
      <c r="F50" s="293">
        <v>42</v>
      </c>
      <c r="G50" s="292">
        <f t="shared" si="5"/>
        <v>10627.72</v>
      </c>
      <c r="H50" s="290">
        <v>10627.72</v>
      </c>
      <c r="I50" s="290"/>
      <c r="J50" s="290"/>
      <c r="K50" s="290"/>
      <c r="L50" s="290"/>
      <c r="M50" s="290"/>
      <c r="N50" s="291"/>
      <c r="O50" s="291"/>
      <c r="P50" s="291"/>
      <c r="Q50" s="291"/>
      <c r="R50" s="290"/>
      <c r="S50" s="290"/>
      <c r="T50" s="290"/>
      <c r="U50" s="290"/>
      <c r="V50" s="290"/>
      <c r="W50" s="290" t="s">
        <v>2</v>
      </c>
      <c r="X50" s="290">
        <v>0</v>
      </c>
      <c r="Y50" s="290"/>
      <c r="Z50" s="289">
        <f t="shared" si="6"/>
        <v>10627.72</v>
      </c>
      <c r="AA50" s="411">
        <f t="shared" si="2"/>
        <v>10627.72</v>
      </c>
    </row>
    <row r="51" spans="1:27" s="288" customFormat="1">
      <c r="A51" s="294">
        <v>43</v>
      </c>
      <c r="B51" s="290" t="s">
        <v>829</v>
      </c>
      <c r="C51" s="290" t="s">
        <v>854</v>
      </c>
      <c r="D51" s="290"/>
      <c r="E51" s="293" t="s">
        <v>856</v>
      </c>
      <c r="F51" s="293">
        <v>43</v>
      </c>
      <c r="G51" s="292">
        <f t="shared" si="5"/>
        <v>219487.18</v>
      </c>
      <c r="H51" s="290">
        <v>219487.18</v>
      </c>
      <c r="I51" s="290"/>
      <c r="J51" s="290"/>
      <c r="K51" s="290"/>
      <c r="L51" s="290"/>
      <c r="M51" s="290"/>
      <c r="N51" s="291"/>
      <c r="O51" s="291"/>
      <c r="P51" s="291"/>
      <c r="Q51" s="291"/>
      <c r="R51" s="290"/>
      <c r="S51" s="290"/>
      <c r="T51" s="290"/>
      <c r="U51" s="290"/>
      <c r="V51" s="290"/>
      <c r="W51" s="290" t="s">
        <v>2</v>
      </c>
      <c r="X51" s="290">
        <v>0</v>
      </c>
      <c r="Y51" s="290"/>
      <c r="Z51" s="289">
        <f t="shared" si="6"/>
        <v>219487.18</v>
      </c>
      <c r="AA51" s="411">
        <f t="shared" si="2"/>
        <v>219487.18</v>
      </c>
    </row>
    <row r="52" spans="1:27" s="288" customFormat="1">
      <c r="A52" s="294">
        <v>44</v>
      </c>
      <c r="B52" s="290" t="s">
        <v>816</v>
      </c>
      <c r="C52" s="290" t="s">
        <v>855</v>
      </c>
      <c r="D52" s="290"/>
      <c r="E52" s="293" t="s">
        <v>856</v>
      </c>
      <c r="F52" s="293">
        <v>44</v>
      </c>
      <c r="G52" s="292">
        <f t="shared" si="5"/>
        <v>327421.51991000003</v>
      </c>
      <c r="H52" s="290">
        <v>327421.51991000003</v>
      </c>
      <c r="I52" s="290"/>
      <c r="J52" s="290"/>
      <c r="K52" s="290"/>
      <c r="L52" s="290"/>
      <c r="M52" s="290"/>
      <c r="N52" s="291"/>
      <c r="O52" s="291"/>
      <c r="P52" s="291"/>
      <c r="Q52" s="291"/>
      <c r="R52" s="290"/>
      <c r="S52" s="290"/>
      <c r="T52" s="290"/>
      <c r="U52" s="290"/>
      <c r="V52" s="290"/>
      <c r="W52" s="290" t="s">
        <v>2</v>
      </c>
      <c r="X52" s="290">
        <v>0</v>
      </c>
      <c r="Y52" s="290"/>
      <c r="Z52" s="289">
        <f t="shared" si="6"/>
        <v>327421.51991000003</v>
      </c>
      <c r="AA52" s="411">
        <f t="shared" si="2"/>
        <v>327421.51991000003</v>
      </c>
    </row>
    <row r="53" spans="1:27" s="288" customFormat="1">
      <c r="A53" s="294">
        <v>45</v>
      </c>
      <c r="B53" s="290"/>
      <c r="C53" s="290"/>
      <c r="D53" s="290"/>
      <c r="E53" s="293"/>
      <c r="F53" s="293"/>
      <c r="G53" s="292">
        <f t="shared" si="5"/>
        <v>0</v>
      </c>
      <c r="H53" s="290"/>
      <c r="I53" s="290"/>
      <c r="J53" s="290"/>
      <c r="K53" s="290"/>
      <c r="L53" s="290"/>
      <c r="M53" s="290"/>
      <c r="N53" s="291"/>
      <c r="O53" s="291"/>
      <c r="P53" s="291"/>
      <c r="Q53" s="291"/>
      <c r="R53" s="290"/>
      <c r="S53" s="290"/>
      <c r="T53" s="290"/>
      <c r="U53" s="290"/>
      <c r="V53" s="290"/>
      <c r="W53" s="290"/>
      <c r="X53" s="290"/>
      <c r="Y53" s="290"/>
      <c r="Z53" s="289">
        <f t="shared" si="6"/>
        <v>0</v>
      </c>
      <c r="AA53" s="411">
        <f t="shared" si="2"/>
        <v>0</v>
      </c>
    </row>
    <row r="54" spans="1:27" s="288" customFormat="1">
      <c r="A54" s="294">
        <v>46</v>
      </c>
      <c r="B54" s="290"/>
      <c r="C54" s="290"/>
      <c r="D54" s="290"/>
      <c r="E54" s="293"/>
      <c r="F54" s="293"/>
      <c r="G54" s="292">
        <f t="shared" ref="G54:G75" si="7">+H54+I54+J54+K54+M54+O54+Q54+S54</f>
        <v>0</v>
      </c>
      <c r="H54" s="290"/>
      <c r="I54" s="290"/>
      <c r="J54" s="290"/>
      <c r="K54" s="290"/>
      <c r="L54" s="290"/>
      <c r="M54" s="290"/>
      <c r="N54" s="291"/>
      <c r="O54" s="291"/>
      <c r="P54" s="291"/>
      <c r="Q54" s="291"/>
      <c r="R54" s="290"/>
      <c r="S54" s="290"/>
      <c r="T54" s="290"/>
      <c r="U54" s="290"/>
      <c r="V54" s="290"/>
      <c r="W54" s="290"/>
      <c r="X54" s="290"/>
      <c r="Y54" s="290"/>
      <c r="Z54" s="289">
        <f t="shared" ref="Z54:Z75" si="8">+G54-V54-X54</f>
        <v>0</v>
      </c>
      <c r="AA54" s="411">
        <f t="shared" si="2"/>
        <v>0</v>
      </c>
    </row>
    <row r="55" spans="1:27" s="288" customFormat="1">
      <c r="A55" s="294">
        <v>47</v>
      </c>
      <c r="B55" s="290"/>
      <c r="C55" s="290"/>
      <c r="D55" s="290"/>
      <c r="E55" s="293"/>
      <c r="F55" s="293"/>
      <c r="G55" s="292">
        <f t="shared" si="7"/>
        <v>0</v>
      </c>
      <c r="H55" s="290"/>
      <c r="I55" s="290"/>
      <c r="J55" s="290"/>
      <c r="K55" s="290"/>
      <c r="L55" s="290"/>
      <c r="M55" s="290"/>
      <c r="N55" s="291"/>
      <c r="O55" s="291"/>
      <c r="P55" s="291"/>
      <c r="Q55" s="291"/>
      <c r="R55" s="290"/>
      <c r="S55" s="290"/>
      <c r="T55" s="290"/>
      <c r="U55" s="290"/>
      <c r="V55" s="290"/>
      <c r="W55" s="290"/>
      <c r="X55" s="290"/>
      <c r="Y55" s="290"/>
      <c r="Z55" s="289">
        <f t="shared" si="8"/>
        <v>0</v>
      </c>
      <c r="AA55" s="411">
        <f t="shared" si="2"/>
        <v>0</v>
      </c>
    </row>
    <row r="56" spans="1:27" s="288" customFormat="1">
      <c r="A56" s="294">
        <v>48</v>
      </c>
      <c r="B56" s="290"/>
      <c r="C56" s="290"/>
      <c r="D56" s="290"/>
      <c r="E56" s="293"/>
      <c r="F56" s="293"/>
      <c r="G56" s="292">
        <f t="shared" si="7"/>
        <v>0</v>
      </c>
      <c r="H56" s="290"/>
      <c r="I56" s="290"/>
      <c r="J56" s="290"/>
      <c r="K56" s="290"/>
      <c r="L56" s="290"/>
      <c r="M56" s="290"/>
      <c r="N56" s="291"/>
      <c r="O56" s="291"/>
      <c r="P56" s="291"/>
      <c r="Q56" s="291"/>
      <c r="R56" s="290"/>
      <c r="S56" s="290"/>
      <c r="T56" s="290"/>
      <c r="U56" s="290"/>
      <c r="V56" s="290"/>
      <c r="W56" s="290"/>
      <c r="X56" s="290"/>
      <c r="Y56" s="290"/>
      <c r="Z56" s="289">
        <f t="shared" si="8"/>
        <v>0</v>
      </c>
      <c r="AA56" s="411">
        <f t="shared" si="2"/>
        <v>0</v>
      </c>
    </row>
    <row r="57" spans="1:27" s="288" customFormat="1">
      <c r="A57" s="294">
        <v>49</v>
      </c>
      <c r="B57" s="290"/>
      <c r="C57" s="290"/>
      <c r="D57" s="290"/>
      <c r="E57" s="293"/>
      <c r="F57" s="293"/>
      <c r="G57" s="292">
        <f t="shared" si="7"/>
        <v>0</v>
      </c>
      <c r="H57" s="290"/>
      <c r="I57" s="290"/>
      <c r="J57" s="290"/>
      <c r="K57" s="290"/>
      <c r="L57" s="290"/>
      <c r="M57" s="290"/>
      <c r="N57" s="291"/>
      <c r="O57" s="291"/>
      <c r="P57" s="291"/>
      <c r="Q57" s="291"/>
      <c r="R57" s="290"/>
      <c r="S57" s="290"/>
      <c r="T57" s="290"/>
      <c r="U57" s="290"/>
      <c r="V57" s="290"/>
      <c r="W57" s="290"/>
      <c r="X57" s="290"/>
      <c r="Y57" s="290"/>
      <c r="Z57" s="289">
        <f t="shared" si="8"/>
        <v>0</v>
      </c>
      <c r="AA57" s="411">
        <f t="shared" si="2"/>
        <v>0</v>
      </c>
    </row>
    <row r="58" spans="1:27" s="288" customFormat="1">
      <c r="A58" s="294">
        <v>50</v>
      </c>
      <c r="B58" s="290"/>
      <c r="C58" s="290"/>
      <c r="D58" s="290"/>
      <c r="E58" s="293"/>
      <c r="F58" s="293"/>
      <c r="G58" s="292">
        <f t="shared" si="7"/>
        <v>0</v>
      </c>
      <c r="H58" s="290"/>
      <c r="I58" s="290"/>
      <c r="J58" s="290"/>
      <c r="K58" s="290"/>
      <c r="L58" s="290"/>
      <c r="M58" s="290"/>
      <c r="N58" s="291"/>
      <c r="O58" s="291"/>
      <c r="P58" s="291"/>
      <c r="Q58" s="291"/>
      <c r="R58" s="290"/>
      <c r="S58" s="290"/>
      <c r="T58" s="290"/>
      <c r="U58" s="290"/>
      <c r="V58" s="290"/>
      <c r="W58" s="290"/>
      <c r="X58" s="290"/>
      <c r="Y58" s="290"/>
      <c r="Z58" s="289">
        <f t="shared" si="8"/>
        <v>0</v>
      </c>
      <c r="AA58" s="411">
        <f t="shared" si="2"/>
        <v>0</v>
      </c>
    </row>
    <row r="59" spans="1:27" s="288" customFormat="1">
      <c r="A59" s="294">
        <v>51</v>
      </c>
      <c r="B59" s="290"/>
      <c r="C59" s="290"/>
      <c r="D59" s="290"/>
      <c r="E59" s="293"/>
      <c r="F59" s="293"/>
      <c r="G59" s="292">
        <f t="shared" si="7"/>
        <v>0</v>
      </c>
      <c r="H59" s="290"/>
      <c r="I59" s="290"/>
      <c r="J59" s="290"/>
      <c r="K59" s="290"/>
      <c r="L59" s="290"/>
      <c r="M59" s="290"/>
      <c r="N59" s="291"/>
      <c r="O59" s="291"/>
      <c r="P59" s="291"/>
      <c r="Q59" s="291"/>
      <c r="R59" s="290"/>
      <c r="S59" s="290"/>
      <c r="T59" s="290"/>
      <c r="U59" s="290"/>
      <c r="V59" s="290"/>
      <c r="W59" s="290"/>
      <c r="X59" s="290"/>
      <c r="Y59" s="290"/>
      <c r="Z59" s="289">
        <f t="shared" si="8"/>
        <v>0</v>
      </c>
      <c r="AA59" s="411">
        <f t="shared" si="2"/>
        <v>0</v>
      </c>
    </row>
    <row r="60" spans="1:27" s="288" customFormat="1">
      <c r="A60" s="294">
        <v>52</v>
      </c>
      <c r="B60" s="290"/>
      <c r="C60" s="290"/>
      <c r="D60" s="290"/>
      <c r="E60" s="293"/>
      <c r="F60" s="293"/>
      <c r="G60" s="292">
        <f t="shared" si="7"/>
        <v>0</v>
      </c>
      <c r="H60" s="290"/>
      <c r="I60" s="290"/>
      <c r="J60" s="290"/>
      <c r="K60" s="290"/>
      <c r="L60" s="290"/>
      <c r="M60" s="290"/>
      <c r="N60" s="291"/>
      <c r="O60" s="291"/>
      <c r="P60" s="291"/>
      <c r="Q60" s="291"/>
      <c r="R60" s="290"/>
      <c r="S60" s="290"/>
      <c r="T60" s="290"/>
      <c r="U60" s="290"/>
      <c r="V60" s="290"/>
      <c r="W60" s="290"/>
      <c r="X60" s="290"/>
      <c r="Y60" s="290"/>
      <c r="Z60" s="289">
        <f t="shared" si="8"/>
        <v>0</v>
      </c>
      <c r="AA60" s="411">
        <f t="shared" si="2"/>
        <v>0</v>
      </c>
    </row>
    <row r="61" spans="1:27" s="288" customFormat="1">
      <c r="A61" s="294">
        <v>53</v>
      </c>
      <c r="B61" s="290"/>
      <c r="C61" s="290"/>
      <c r="D61" s="290"/>
      <c r="E61" s="293"/>
      <c r="F61" s="293"/>
      <c r="G61" s="292">
        <f t="shared" si="7"/>
        <v>0</v>
      </c>
      <c r="H61" s="290"/>
      <c r="I61" s="290"/>
      <c r="J61" s="290"/>
      <c r="K61" s="290"/>
      <c r="L61" s="290"/>
      <c r="M61" s="290"/>
      <c r="N61" s="291"/>
      <c r="O61" s="291"/>
      <c r="P61" s="291"/>
      <c r="Q61" s="291"/>
      <c r="R61" s="290"/>
      <c r="S61" s="290"/>
      <c r="T61" s="290"/>
      <c r="U61" s="290"/>
      <c r="V61" s="290"/>
      <c r="W61" s="290"/>
      <c r="X61" s="290"/>
      <c r="Y61" s="290"/>
      <c r="Z61" s="289">
        <f t="shared" si="8"/>
        <v>0</v>
      </c>
      <c r="AA61" s="411">
        <f t="shared" si="2"/>
        <v>0</v>
      </c>
    </row>
    <row r="62" spans="1:27" s="288" customFormat="1">
      <c r="A62" s="294">
        <v>54</v>
      </c>
      <c r="B62" s="290"/>
      <c r="C62" s="290"/>
      <c r="D62" s="290"/>
      <c r="E62" s="293"/>
      <c r="F62" s="293"/>
      <c r="G62" s="292">
        <f t="shared" si="7"/>
        <v>0</v>
      </c>
      <c r="H62" s="290"/>
      <c r="I62" s="290"/>
      <c r="J62" s="290"/>
      <c r="K62" s="290"/>
      <c r="L62" s="290"/>
      <c r="M62" s="290"/>
      <c r="N62" s="291"/>
      <c r="O62" s="291"/>
      <c r="P62" s="291"/>
      <c r="Q62" s="291"/>
      <c r="R62" s="290"/>
      <c r="S62" s="290"/>
      <c r="T62" s="290"/>
      <c r="U62" s="290"/>
      <c r="V62" s="290"/>
      <c r="W62" s="290"/>
      <c r="X62" s="290"/>
      <c r="Y62" s="290"/>
      <c r="Z62" s="289">
        <f t="shared" si="8"/>
        <v>0</v>
      </c>
      <c r="AA62" s="411">
        <f t="shared" si="2"/>
        <v>0</v>
      </c>
    </row>
    <row r="63" spans="1:27" s="288" customFormat="1">
      <c r="A63" s="294">
        <v>55</v>
      </c>
      <c r="B63" s="290"/>
      <c r="C63" s="290"/>
      <c r="D63" s="290"/>
      <c r="E63" s="293"/>
      <c r="F63" s="293"/>
      <c r="G63" s="292">
        <f t="shared" si="7"/>
        <v>0</v>
      </c>
      <c r="H63" s="290"/>
      <c r="I63" s="290"/>
      <c r="J63" s="290"/>
      <c r="K63" s="290"/>
      <c r="L63" s="290"/>
      <c r="M63" s="290"/>
      <c r="N63" s="291"/>
      <c r="O63" s="291"/>
      <c r="P63" s="291"/>
      <c r="Q63" s="291"/>
      <c r="R63" s="290"/>
      <c r="S63" s="290"/>
      <c r="T63" s="290"/>
      <c r="U63" s="290"/>
      <c r="V63" s="290"/>
      <c r="W63" s="290"/>
      <c r="X63" s="290"/>
      <c r="Y63" s="290"/>
      <c r="Z63" s="289">
        <f t="shared" si="8"/>
        <v>0</v>
      </c>
      <c r="AA63" s="411">
        <f t="shared" si="2"/>
        <v>0</v>
      </c>
    </row>
    <row r="64" spans="1:27" s="288" customFormat="1">
      <c r="A64" s="294">
        <v>56</v>
      </c>
      <c r="B64" s="290"/>
      <c r="C64" s="290"/>
      <c r="D64" s="290"/>
      <c r="E64" s="293"/>
      <c r="F64" s="293"/>
      <c r="G64" s="292">
        <f t="shared" si="7"/>
        <v>0</v>
      </c>
      <c r="H64" s="290"/>
      <c r="I64" s="290"/>
      <c r="J64" s="290"/>
      <c r="K64" s="290"/>
      <c r="L64" s="290"/>
      <c r="M64" s="290"/>
      <c r="N64" s="291"/>
      <c r="O64" s="291"/>
      <c r="P64" s="291"/>
      <c r="Q64" s="291"/>
      <c r="R64" s="290"/>
      <c r="S64" s="290"/>
      <c r="T64" s="290"/>
      <c r="U64" s="290"/>
      <c r="V64" s="290"/>
      <c r="W64" s="290"/>
      <c r="X64" s="290"/>
      <c r="Y64" s="290"/>
      <c r="Z64" s="289">
        <f t="shared" si="8"/>
        <v>0</v>
      </c>
      <c r="AA64" s="411">
        <f t="shared" si="2"/>
        <v>0</v>
      </c>
    </row>
    <row r="65" spans="1:27" s="288" customFormat="1">
      <c r="A65" s="294">
        <v>57</v>
      </c>
      <c r="B65" s="290"/>
      <c r="C65" s="290"/>
      <c r="D65" s="290"/>
      <c r="E65" s="293"/>
      <c r="F65" s="293"/>
      <c r="G65" s="292">
        <f t="shared" si="7"/>
        <v>0</v>
      </c>
      <c r="H65" s="290"/>
      <c r="I65" s="290"/>
      <c r="J65" s="290"/>
      <c r="K65" s="290"/>
      <c r="L65" s="290"/>
      <c r="M65" s="290"/>
      <c r="N65" s="291"/>
      <c r="O65" s="291"/>
      <c r="P65" s="291"/>
      <c r="Q65" s="291"/>
      <c r="R65" s="290"/>
      <c r="S65" s="290"/>
      <c r="T65" s="290"/>
      <c r="U65" s="290"/>
      <c r="V65" s="290"/>
      <c r="W65" s="290"/>
      <c r="X65" s="290"/>
      <c r="Y65" s="290"/>
      <c r="Z65" s="289">
        <f t="shared" si="8"/>
        <v>0</v>
      </c>
      <c r="AA65" s="411">
        <f t="shared" si="2"/>
        <v>0</v>
      </c>
    </row>
    <row r="66" spans="1:27" s="288" customFormat="1">
      <c r="A66" s="294">
        <v>58</v>
      </c>
      <c r="B66" s="290"/>
      <c r="C66" s="290"/>
      <c r="D66" s="290"/>
      <c r="E66" s="293"/>
      <c r="F66" s="293"/>
      <c r="G66" s="292">
        <f t="shared" si="7"/>
        <v>0</v>
      </c>
      <c r="H66" s="290"/>
      <c r="I66" s="290"/>
      <c r="J66" s="290"/>
      <c r="K66" s="290"/>
      <c r="L66" s="290"/>
      <c r="M66" s="290"/>
      <c r="N66" s="291"/>
      <c r="O66" s="291"/>
      <c r="P66" s="291"/>
      <c r="Q66" s="291"/>
      <c r="R66" s="290"/>
      <c r="S66" s="290"/>
      <c r="T66" s="290"/>
      <c r="U66" s="290"/>
      <c r="V66" s="290"/>
      <c r="W66" s="290"/>
      <c r="X66" s="290"/>
      <c r="Y66" s="290"/>
      <c r="Z66" s="289">
        <f t="shared" si="8"/>
        <v>0</v>
      </c>
      <c r="AA66" s="411">
        <f t="shared" si="2"/>
        <v>0</v>
      </c>
    </row>
    <row r="67" spans="1:27" s="288" customFormat="1">
      <c r="A67" s="294">
        <v>59</v>
      </c>
      <c r="B67" s="290"/>
      <c r="C67" s="290"/>
      <c r="D67" s="290"/>
      <c r="E67" s="293"/>
      <c r="F67" s="293"/>
      <c r="G67" s="292">
        <f t="shared" si="7"/>
        <v>0</v>
      </c>
      <c r="H67" s="290"/>
      <c r="I67" s="290"/>
      <c r="J67" s="290"/>
      <c r="K67" s="290"/>
      <c r="L67" s="290"/>
      <c r="M67" s="290"/>
      <c r="N67" s="291"/>
      <c r="O67" s="291"/>
      <c r="P67" s="291"/>
      <c r="Q67" s="291"/>
      <c r="R67" s="290"/>
      <c r="S67" s="290"/>
      <c r="T67" s="290"/>
      <c r="U67" s="290"/>
      <c r="V67" s="290"/>
      <c r="W67" s="290"/>
      <c r="X67" s="290"/>
      <c r="Y67" s="290"/>
      <c r="Z67" s="289">
        <f t="shared" si="8"/>
        <v>0</v>
      </c>
      <c r="AA67" s="411">
        <f t="shared" si="2"/>
        <v>0</v>
      </c>
    </row>
    <row r="68" spans="1:27" s="288" customFormat="1">
      <c r="A68" s="294">
        <v>60</v>
      </c>
      <c r="B68" s="290"/>
      <c r="C68" s="290"/>
      <c r="D68" s="290"/>
      <c r="E68" s="293"/>
      <c r="F68" s="293"/>
      <c r="G68" s="292">
        <f t="shared" si="7"/>
        <v>0</v>
      </c>
      <c r="H68" s="290"/>
      <c r="I68" s="290"/>
      <c r="J68" s="290"/>
      <c r="K68" s="290"/>
      <c r="L68" s="290"/>
      <c r="M68" s="290"/>
      <c r="N68" s="291"/>
      <c r="O68" s="291"/>
      <c r="P68" s="291"/>
      <c r="Q68" s="291"/>
      <c r="R68" s="290"/>
      <c r="S68" s="290"/>
      <c r="T68" s="290"/>
      <c r="U68" s="290"/>
      <c r="V68" s="290"/>
      <c r="W68" s="290"/>
      <c r="X68" s="290"/>
      <c r="Y68" s="290"/>
      <c r="Z68" s="289">
        <f t="shared" si="8"/>
        <v>0</v>
      </c>
      <c r="AA68" s="411">
        <f t="shared" si="2"/>
        <v>0</v>
      </c>
    </row>
    <row r="69" spans="1:27" s="288" customFormat="1">
      <c r="A69" s="294">
        <v>61</v>
      </c>
      <c r="B69" s="290"/>
      <c r="C69" s="290"/>
      <c r="D69" s="290"/>
      <c r="E69" s="293"/>
      <c r="F69" s="293"/>
      <c r="G69" s="292">
        <f t="shared" si="7"/>
        <v>0</v>
      </c>
      <c r="H69" s="290"/>
      <c r="I69" s="290"/>
      <c r="J69" s="290"/>
      <c r="K69" s="290"/>
      <c r="L69" s="290"/>
      <c r="M69" s="290"/>
      <c r="N69" s="291"/>
      <c r="O69" s="291"/>
      <c r="P69" s="291"/>
      <c r="Q69" s="291"/>
      <c r="R69" s="290"/>
      <c r="S69" s="290"/>
      <c r="T69" s="290"/>
      <c r="U69" s="290"/>
      <c r="V69" s="290"/>
      <c r="W69" s="290"/>
      <c r="X69" s="290"/>
      <c r="Y69" s="290"/>
      <c r="Z69" s="289">
        <f t="shared" si="8"/>
        <v>0</v>
      </c>
      <c r="AA69" s="411">
        <f t="shared" si="2"/>
        <v>0</v>
      </c>
    </row>
    <row r="70" spans="1:27" s="288" customFormat="1">
      <c r="A70" s="294">
        <v>62</v>
      </c>
      <c r="B70" s="290"/>
      <c r="C70" s="290"/>
      <c r="D70" s="290"/>
      <c r="E70" s="293"/>
      <c r="F70" s="293"/>
      <c r="G70" s="292">
        <f t="shared" si="7"/>
        <v>0</v>
      </c>
      <c r="H70" s="290"/>
      <c r="I70" s="290"/>
      <c r="J70" s="290"/>
      <c r="K70" s="290"/>
      <c r="L70" s="290"/>
      <c r="M70" s="290"/>
      <c r="N70" s="291"/>
      <c r="O70" s="291"/>
      <c r="P70" s="291"/>
      <c r="Q70" s="291"/>
      <c r="R70" s="290"/>
      <c r="S70" s="290"/>
      <c r="T70" s="290"/>
      <c r="U70" s="290"/>
      <c r="V70" s="290"/>
      <c r="W70" s="290"/>
      <c r="X70" s="290"/>
      <c r="Y70" s="290"/>
      <c r="Z70" s="289">
        <f t="shared" si="8"/>
        <v>0</v>
      </c>
      <c r="AA70" s="411">
        <f t="shared" si="2"/>
        <v>0</v>
      </c>
    </row>
    <row r="71" spans="1:27" s="288" customFormat="1">
      <c r="A71" s="294">
        <v>63</v>
      </c>
      <c r="B71" s="290"/>
      <c r="C71" s="290"/>
      <c r="D71" s="290"/>
      <c r="E71" s="293"/>
      <c r="F71" s="293"/>
      <c r="G71" s="292">
        <f t="shared" si="7"/>
        <v>0</v>
      </c>
      <c r="H71" s="290"/>
      <c r="I71" s="290"/>
      <c r="J71" s="290"/>
      <c r="K71" s="290"/>
      <c r="L71" s="290"/>
      <c r="M71" s="290"/>
      <c r="N71" s="291"/>
      <c r="O71" s="291"/>
      <c r="P71" s="291"/>
      <c r="Q71" s="291"/>
      <c r="R71" s="290"/>
      <c r="S71" s="290"/>
      <c r="T71" s="290"/>
      <c r="U71" s="290"/>
      <c r="V71" s="290"/>
      <c r="W71" s="290"/>
      <c r="X71" s="290"/>
      <c r="Y71" s="290"/>
      <c r="Z71" s="289">
        <f t="shared" si="8"/>
        <v>0</v>
      </c>
      <c r="AA71" s="411">
        <f t="shared" si="2"/>
        <v>0</v>
      </c>
    </row>
    <row r="72" spans="1:27" s="288" customFormat="1">
      <c r="A72" s="294">
        <v>64</v>
      </c>
      <c r="B72" s="290"/>
      <c r="C72" s="290"/>
      <c r="D72" s="290"/>
      <c r="E72" s="293"/>
      <c r="F72" s="293"/>
      <c r="G72" s="292">
        <f t="shared" si="7"/>
        <v>0</v>
      </c>
      <c r="H72" s="290"/>
      <c r="I72" s="290"/>
      <c r="J72" s="290"/>
      <c r="K72" s="290"/>
      <c r="L72" s="290"/>
      <c r="M72" s="290"/>
      <c r="N72" s="291"/>
      <c r="O72" s="291"/>
      <c r="P72" s="291"/>
      <c r="Q72" s="291"/>
      <c r="R72" s="290"/>
      <c r="S72" s="290"/>
      <c r="T72" s="290"/>
      <c r="U72" s="290"/>
      <c r="V72" s="290"/>
      <c r="W72" s="290"/>
      <c r="X72" s="290"/>
      <c r="Y72" s="290"/>
      <c r="Z72" s="289">
        <f t="shared" si="8"/>
        <v>0</v>
      </c>
      <c r="AA72" s="411">
        <f t="shared" si="2"/>
        <v>0</v>
      </c>
    </row>
    <row r="73" spans="1:27" s="288" customFormat="1">
      <c r="A73" s="294">
        <v>65</v>
      </c>
      <c r="B73" s="290"/>
      <c r="C73" s="290"/>
      <c r="D73" s="290"/>
      <c r="E73" s="293"/>
      <c r="F73" s="293"/>
      <c r="G73" s="292">
        <f t="shared" si="7"/>
        <v>0</v>
      </c>
      <c r="H73" s="290"/>
      <c r="I73" s="290"/>
      <c r="J73" s="290"/>
      <c r="K73" s="290"/>
      <c r="L73" s="290"/>
      <c r="M73" s="290"/>
      <c r="N73" s="291"/>
      <c r="O73" s="291"/>
      <c r="P73" s="291"/>
      <c r="Q73" s="291"/>
      <c r="R73" s="290"/>
      <c r="S73" s="290"/>
      <c r="T73" s="290"/>
      <c r="U73" s="290"/>
      <c r="V73" s="290"/>
      <c r="W73" s="290"/>
      <c r="X73" s="290"/>
      <c r="Y73" s="290"/>
      <c r="Z73" s="289">
        <f t="shared" si="8"/>
        <v>0</v>
      </c>
      <c r="AA73" s="411">
        <f t="shared" ref="AA73:AA88" si="9">SUMIF($F$9:$F$88,$F73,$Z$9:$Z$88)</f>
        <v>0</v>
      </c>
    </row>
    <row r="74" spans="1:27" s="288" customFormat="1">
      <c r="A74" s="294">
        <v>66</v>
      </c>
      <c r="B74" s="290"/>
      <c r="C74" s="290"/>
      <c r="D74" s="290"/>
      <c r="E74" s="293"/>
      <c r="F74" s="293"/>
      <c r="G74" s="292">
        <f t="shared" si="7"/>
        <v>0</v>
      </c>
      <c r="H74" s="290"/>
      <c r="I74" s="290"/>
      <c r="J74" s="290"/>
      <c r="K74" s="290"/>
      <c r="L74" s="290"/>
      <c r="M74" s="290"/>
      <c r="N74" s="291"/>
      <c r="O74" s="291"/>
      <c r="P74" s="291"/>
      <c r="Q74" s="291"/>
      <c r="R74" s="290"/>
      <c r="S74" s="290"/>
      <c r="T74" s="290"/>
      <c r="U74" s="290"/>
      <c r="V74" s="290"/>
      <c r="W74" s="290"/>
      <c r="X74" s="290"/>
      <c r="Y74" s="290"/>
      <c r="Z74" s="289">
        <f t="shared" si="8"/>
        <v>0</v>
      </c>
      <c r="AA74" s="411">
        <f t="shared" si="9"/>
        <v>0</v>
      </c>
    </row>
    <row r="75" spans="1:27" s="288" customFormat="1">
      <c r="A75" s="294">
        <v>67</v>
      </c>
      <c r="B75" s="290"/>
      <c r="C75" s="290"/>
      <c r="D75" s="290"/>
      <c r="E75" s="293"/>
      <c r="F75" s="293"/>
      <c r="G75" s="292">
        <f t="shared" si="7"/>
        <v>0</v>
      </c>
      <c r="H75" s="290"/>
      <c r="I75" s="290"/>
      <c r="J75" s="290"/>
      <c r="K75" s="290"/>
      <c r="L75" s="290"/>
      <c r="M75" s="290"/>
      <c r="N75" s="291"/>
      <c r="O75" s="291"/>
      <c r="P75" s="291"/>
      <c r="Q75" s="291"/>
      <c r="R75" s="290"/>
      <c r="S75" s="290"/>
      <c r="T75" s="290"/>
      <c r="U75" s="290"/>
      <c r="V75" s="290"/>
      <c r="W75" s="290"/>
      <c r="X75" s="290"/>
      <c r="Y75" s="290"/>
      <c r="Z75" s="289">
        <f t="shared" si="8"/>
        <v>0</v>
      </c>
      <c r="AA75" s="411">
        <f t="shared" si="9"/>
        <v>0</v>
      </c>
    </row>
    <row r="76" spans="1:27" s="288" customFormat="1">
      <c r="A76" s="294">
        <v>68</v>
      </c>
      <c r="B76" s="290"/>
      <c r="C76" s="290"/>
      <c r="D76" s="290"/>
      <c r="E76" s="293"/>
      <c r="F76" s="293"/>
      <c r="G76" s="292">
        <f t="shared" si="3"/>
        <v>0</v>
      </c>
      <c r="H76" s="290"/>
      <c r="I76" s="290"/>
      <c r="J76" s="290"/>
      <c r="K76" s="290"/>
      <c r="L76" s="290"/>
      <c r="M76" s="290"/>
      <c r="N76" s="291"/>
      <c r="O76" s="291"/>
      <c r="P76" s="291"/>
      <c r="Q76" s="291"/>
      <c r="R76" s="290"/>
      <c r="S76" s="290"/>
      <c r="T76" s="290"/>
      <c r="U76" s="290"/>
      <c r="V76" s="290"/>
      <c r="W76" s="290"/>
      <c r="X76" s="290"/>
      <c r="Y76" s="290"/>
      <c r="Z76" s="289">
        <f t="shared" si="4"/>
        <v>0</v>
      </c>
      <c r="AA76" s="411">
        <f t="shared" si="9"/>
        <v>0</v>
      </c>
    </row>
    <row r="77" spans="1:27" s="288" customFormat="1">
      <c r="A77" s="294">
        <v>69</v>
      </c>
      <c r="B77" s="290"/>
      <c r="C77" s="290"/>
      <c r="D77" s="290"/>
      <c r="E77" s="293"/>
      <c r="F77" s="293"/>
      <c r="G77" s="292">
        <f t="shared" si="3"/>
        <v>0</v>
      </c>
      <c r="H77" s="290"/>
      <c r="I77" s="290"/>
      <c r="J77" s="290"/>
      <c r="K77" s="290"/>
      <c r="L77" s="290"/>
      <c r="M77" s="290"/>
      <c r="N77" s="291"/>
      <c r="O77" s="291"/>
      <c r="P77" s="291"/>
      <c r="Q77" s="291"/>
      <c r="R77" s="290"/>
      <c r="S77" s="290"/>
      <c r="T77" s="290"/>
      <c r="U77" s="290"/>
      <c r="V77" s="290"/>
      <c r="W77" s="290"/>
      <c r="X77" s="290"/>
      <c r="Y77" s="290"/>
      <c r="Z77" s="289">
        <f t="shared" si="4"/>
        <v>0</v>
      </c>
      <c r="AA77" s="411">
        <f t="shared" si="9"/>
        <v>0</v>
      </c>
    </row>
    <row r="78" spans="1:27" s="288" customFormat="1">
      <c r="A78" s="294">
        <v>70</v>
      </c>
      <c r="B78" s="290"/>
      <c r="C78" s="290"/>
      <c r="D78" s="290"/>
      <c r="E78" s="293"/>
      <c r="F78" s="293"/>
      <c r="G78" s="292">
        <f t="shared" si="3"/>
        <v>0</v>
      </c>
      <c r="H78" s="290"/>
      <c r="I78" s="290"/>
      <c r="J78" s="290"/>
      <c r="K78" s="290"/>
      <c r="L78" s="290"/>
      <c r="M78" s="290"/>
      <c r="N78" s="291"/>
      <c r="O78" s="291"/>
      <c r="P78" s="291"/>
      <c r="Q78" s="291"/>
      <c r="R78" s="290"/>
      <c r="S78" s="290"/>
      <c r="T78" s="290"/>
      <c r="U78" s="290"/>
      <c r="V78" s="290"/>
      <c r="W78" s="290"/>
      <c r="X78" s="290"/>
      <c r="Y78" s="290"/>
      <c r="Z78" s="289">
        <f t="shared" si="4"/>
        <v>0</v>
      </c>
      <c r="AA78" s="411">
        <f t="shared" si="9"/>
        <v>0</v>
      </c>
    </row>
    <row r="79" spans="1:27" s="288" customFormat="1">
      <c r="A79" s="294">
        <v>71</v>
      </c>
      <c r="B79" s="290"/>
      <c r="C79" s="290"/>
      <c r="D79" s="290"/>
      <c r="E79" s="293"/>
      <c r="F79" s="293"/>
      <c r="G79" s="292">
        <f t="shared" si="3"/>
        <v>0</v>
      </c>
      <c r="H79" s="290"/>
      <c r="I79" s="290"/>
      <c r="J79" s="290"/>
      <c r="K79" s="290"/>
      <c r="L79" s="290"/>
      <c r="M79" s="290"/>
      <c r="N79" s="291"/>
      <c r="O79" s="291"/>
      <c r="P79" s="291"/>
      <c r="Q79" s="291"/>
      <c r="R79" s="290"/>
      <c r="S79" s="290"/>
      <c r="T79" s="290"/>
      <c r="U79" s="290"/>
      <c r="V79" s="290"/>
      <c r="W79" s="290"/>
      <c r="X79" s="290"/>
      <c r="Y79" s="290"/>
      <c r="Z79" s="289">
        <f t="shared" si="4"/>
        <v>0</v>
      </c>
      <c r="AA79" s="411">
        <f t="shared" si="9"/>
        <v>0</v>
      </c>
    </row>
    <row r="80" spans="1:27" s="288" customFormat="1">
      <c r="A80" s="294">
        <v>72</v>
      </c>
      <c r="B80" s="290"/>
      <c r="C80" s="290"/>
      <c r="D80" s="290"/>
      <c r="E80" s="293"/>
      <c r="F80" s="293"/>
      <c r="G80" s="292">
        <f t="shared" si="3"/>
        <v>0</v>
      </c>
      <c r="H80" s="290"/>
      <c r="I80" s="290"/>
      <c r="J80" s="290"/>
      <c r="K80" s="290"/>
      <c r="L80" s="290"/>
      <c r="M80" s="290"/>
      <c r="N80" s="291"/>
      <c r="O80" s="291"/>
      <c r="P80" s="291"/>
      <c r="Q80" s="291"/>
      <c r="R80" s="290"/>
      <c r="S80" s="290"/>
      <c r="T80" s="290"/>
      <c r="U80" s="290"/>
      <c r="V80" s="290"/>
      <c r="W80" s="290"/>
      <c r="X80" s="290"/>
      <c r="Y80" s="290"/>
      <c r="Z80" s="289">
        <f t="shared" si="4"/>
        <v>0</v>
      </c>
      <c r="AA80" s="411">
        <f t="shared" si="9"/>
        <v>0</v>
      </c>
    </row>
    <row r="81" spans="1:30" s="288" customFormat="1">
      <c r="A81" s="294">
        <v>73</v>
      </c>
      <c r="B81" s="290"/>
      <c r="C81" s="290"/>
      <c r="D81" s="290"/>
      <c r="E81" s="293"/>
      <c r="F81" s="293"/>
      <c r="G81" s="292">
        <f t="shared" si="3"/>
        <v>0</v>
      </c>
      <c r="H81" s="290"/>
      <c r="I81" s="290"/>
      <c r="J81" s="290"/>
      <c r="K81" s="290"/>
      <c r="L81" s="290"/>
      <c r="M81" s="290"/>
      <c r="N81" s="291"/>
      <c r="O81" s="291"/>
      <c r="P81" s="291"/>
      <c r="Q81" s="291"/>
      <c r="R81" s="290"/>
      <c r="S81" s="290"/>
      <c r="T81" s="290"/>
      <c r="U81" s="290"/>
      <c r="V81" s="290"/>
      <c r="W81" s="290"/>
      <c r="X81" s="290"/>
      <c r="Y81" s="290"/>
      <c r="Z81" s="289">
        <f t="shared" si="4"/>
        <v>0</v>
      </c>
      <c r="AA81" s="411">
        <f t="shared" si="9"/>
        <v>0</v>
      </c>
    </row>
    <row r="82" spans="1:30" s="288" customFormat="1">
      <c r="A82" s="294">
        <v>74</v>
      </c>
      <c r="B82" s="290"/>
      <c r="C82" s="290"/>
      <c r="D82" s="290"/>
      <c r="E82" s="293"/>
      <c r="F82" s="293"/>
      <c r="G82" s="292">
        <f t="shared" si="3"/>
        <v>0</v>
      </c>
      <c r="H82" s="290"/>
      <c r="I82" s="290"/>
      <c r="J82" s="290"/>
      <c r="K82" s="290"/>
      <c r="L82" s="290"/>
      <c r="M82" s="290"/>
      <c r="N82" s="291"/>
      <c r="O82" s="291"/>
      <c r="P82" s="291"/>
      <c r="Q82" s="291"/>
      <c r="R82" s="290"/>
      <c r="S82" s="290"/>
      <c r="T82" s="290"/>
      <c r="U82" s="290"/>
      <c r="V82" s="290"/>
      <c r="W82" s="290"/>
      <c r="X82" s="290"/>
      <c r="Y82" s="290"/>
      <c r="Z82" s="289">
        <f t="shared" si="4"/>
        <v>0</v>
      </c>
      <c r="AA82" s="411">
        <f t="shared" si="9"/>
        <v>0</v>
      </c>
    </row>
    <row r="83" spans="1:30" s="288" customFormat="1">
      <c r="A83" s="294">
        <v>75</v>
      </c>
      <c r="B83" s="290"/>
      <c r="C83" s="290"/>
      <c r="D83" s="290"/>
      <c r="E83" s="293"/>
      <c r="F83" s="293"/>
      <c r="G83" s="292">
        <f t="shared" si="3"/>
        <v>0</v>
      </c>
      <c r="H83" s="290"/>
      <c r="I83" s="290"/>
      <c r="J83" s="290"/>
      <c r="K83" s="290"/>
      <c r="L83" s="290"/>
      <c r="M83" s="290"/>
      <c r="N83" s="291"/>
      <c r="O83" s="291"/>
      <c r="P83" s="291"/>
      <c r="Q83" s="291"/>
      <c r="R83" s="290"/>
      <c r="S83" s="290"/>
      <c r="T83" s="290"/>
      <c r="U83" s="290"/>
      <c r="V83" s="290"/>
      <c r="W83" s="290"/>
      <c r="X83" s="290"/>
      <c r="Y83" s="290"/>
      <c r="Z83" s="289">
        <f t="shared" si="4"/>
        <v>0</v>
      </c>
      <c r="AA83" s="411">
        <f t="shared" si="9"/>
        <v>0</v>
      </c>
    </row>
    <row r="84" spans="1:30" s="288" customFormat="1">
      <c r="A84" s="294">
        <v>76</v>
      </c>
      <c r="B84" s="290"/>
      <c r="C84" s="290"/>
      <c r="D84" s="290"/>
      <c r="E84" s="293"/>
      <c r="F84" s="293"/>
      <c r="G84" s="292">
        <f t="shared" si="3"/>
        <v>0</v>
      </c>
      <c r="H84" s="290"/>
      <c r="I84" s="290"/>
      <c r="J84" s="290"/>
      <c r="K84" s="290"/>
      <c r="L84" s="290"/>
      <c r="M84" s="290"/>
      <c r="N84" s="291"/>
      <c r="O84" s="291"/>
      <c r="P84" s="291"/>
      <c r="Q84" s="291"/>
      <c r="R84" s="290"/>
      <c r="S84" s="290"/>
      <c r="T84" s="290"/>
      <c r="U84" s="290"/>
      <c r="V84" s="290"/>
      <c r="W84" s="290"/>
      <c r="X84" s="290"/>
      <c r="Y84" s="290"/>
      <c r="Z84" s="289">
        <f t="shared" si="4"/>
        <v>0</v>
      </c>
      <c r="AA84" s="411">
        <f t="shared" si="9"/>
        <v>0</v>
      </c>
    </row>
    <row r="85" spans="1:30" s="288" customFormat="1">
      <c r="A85" s="294">
        <v>77</v>
      </c>
      <c r="B85" s="290"/>
      <c r="C85" s="290"/>
      <c r="D85" s="290"/>
      <c r="E85" s="293"/>
      <c r="F85" s="293"/>
      <c r="G85" s="292">
        <f t="shared" si="3"/>
        <v>0</v>
      </c>
      <c r="H85" s="290"/>
      <c r="I85" s="290"/>
      <c r="J85" s="290"/>
      <c r="K85" s="290"/>
      <c r="L85" s="290"/>
      <c r="M85" s="290"/>
      <c r="N85" s="291"/>
      <c r="O85" s="291"/>
      <c r="P85" s="291"/>
      <c r="Q85" s="291"/>
      <c r="R85" s="290"/>
      <c r="S85" s="290"/>
      <c r="T85" s="290"/>
      <c r="U85" s="290"/>
      <c r="V85" s="290"/>
      <c r="W85" s="290"/>
      <c r="X85" s="290"/>
      <c r="Y85" s="290"/>
      <c r="Z85" s="289">
        <f t="shared" si="4"/>
        <v>0</v>
      </c>
      <c r="AA85" s="411">
        <f t="shared" si="9"/>
        <v>0</v>
      </c>
    </row>
    <row r="86" spans="1:30" s="288" customFormat="1">
      <c r="A86" s="294">
        <v>78</v>
      </c>
      <c r="B86" s="290"/>
      <c r="C86" s="290"/>
      <c r="D86" s="290"/>
      <c r="E86" s="293"/>
      <c r="F86" s="293"/>
      <c r="G86" s="292">
        <f t="shared" si="3"/>
        <v>0</v>
      </c>
      <c r="H86" s="290"/>
      <c r="I86" s="290"/>
      <c r="J86" s="290"/>
      <c r="K86" s="290"/>
      <c r="L86" s="290"/>
      <c r="M86" s="290"/>
      <c r="N86" s="291"/>
      <c r="O86" s="291"/>
      <c r="P86" s="291"/>
      <c r="Q86" s="291"/>
      <c r="R86" s="290"/>
      <c r="S86" s="290"/>
      <c r="T86" s="290"/>
      <c r="U86" s="290"/>
      <c r="V86" s="290"/>
      <c r="W86" s="290"/>
      <c r="X86" s="290"/>
      <c r="Y86" s="290"/>
      <c r="Z86" s="289">
        <f t="shared" si="4"/>
        <v>0</v>
      </c>
      <c r="AA86" s="411">
        <f t="shared" si="9"/>
        <v>0</v>
      </c>
    </row>
    <row r="87" spans="1:30" s="288" customFormat="1">
      <c r="A87" s="294">
        <v>79</v>
      </c>
      <c r="B87" s="290"/>
      <c r="C87" s="290"/>
      <c r="D87" s="290"/>
      <c r="E87" s="293"/>
      <c r="F87" s="293"/>
      <c r="G87" s="292">
        <f t="shared" si="3"/>
        <v>0</v>
      </c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89">
        <f t="shared" si="4"/>
        <v>0</v>
      </c>
      <c r="AA87" s="411">
        <f t="shared" si="9"/>
        <v>0</v>
      </c>
    </row>
    <row r="88" spans="1:30" s="288" customFormat="1">
      <c r="A88" s="294">
        <v>80</v>
      </c>
      <c r="B88" s="290"/>
      <c r="C88" s="290"/>
      <c r="D88" s="290"/>
      <c r="E88" s="293"/>
      <c r="F88" s="293"/>
      <c r="G88" s="292">
        <f t="shared" si="3"/>
        <v>0</v>
      </c>
      <c r="H88" s="290"/>
      <c r="I88" s="290"/>
      <c r="J88" s="290"/>
      <c r="K88" s="290"/>
      <c r="L88" s="290"/>
      <c r="M88" s="290"/>
      <c r="N88" s="291"/>
      <c r="O88" s="291"/>
      <c r="P88" s="291"/>
      <c r="Q88" s="291"/>
      <c r="R88" s="290"/>
      <c r="S88" s="290"/>
      <c r="T88" s="290"/>
      <c r="U88" s="290"/>
      <c r="V88" s="290"/>
      <c r="W88" s="290"/>
      <c r="X88" s="290"/>
      <c r="Y88" s="290"/>
      <c r="Z88" s="289">
        <f t="shared" si="4"/>
        <v>0</v>
      </c>
      <c r="AA88" s="411">
        <f t="shared" si="9"/>
        <v>0</v>
      </c>
    </row>
    <row r="89" spans="1:30" s="265" customFormat="1" ht="29.25" customHeight="1">
      <c r="A89" s="753" t="s">
        <v>452</v>
      </c>
      <c r="B89" s="754"/>
      <c r="C89" s="754"/>
      <c r="D89" s="754"/>
      <c r="E89" s="754"/>
      <c r="F89" s="755"/>
      <c r="G89" s="311">
        <f t="shared" ref="G89:T89" si="10">SUM(G9:G88)</f>
        <v>7267546.0032400014</v>
      </c>
      <c r="H89" s="311">
        <f t="shared" si="10"/>
        <v>7267546.0032400014</v>
      </c>
      <c r="I89" s="311">
        <f t="shared" si="10"/>
        <v>0</v>
      </c>
      <c r="J89" s="311">
        <f t="shared" si="10"/>
        <v>0</v>
      </c>
      <c r="K89" s="311">
        <f t="shared" si="10"/>
        <v>0</v>
      </c>
      <c r="L89" s="311">
        <f t="shared" si="10"/>
        <v>0</v>
      </c>
      <c r="M89" s="311">
        <f t="shared" si="10"/>
        <v>0</v>
      </c>
      <c r="N89" s="311">
        <f t="shared" si="10"/>
        <v>0</v>
      </c>
      <c r="O89" s="311">
        <f t="shared" si="10"/>
        <v>0</v>
      </c>
      <c r="P89" s="311">
        <f t="shared" si="10"/>
        <v>0</v>
      </c>
      <c r="Q89" s="311">
        <f t="shared" si="10"/>
        <v>0</v>
      </c>
      <c r="R89" s="311">
        <f t="shared" si="10"/>
        <v>0</v>
      </c>
      <c r="S89" s="311">
        <f t="shared" si="10"/>
        <v>0</v>
      </c>
      <c r="T89" s="311">
        <f t="shared" si="10"/>
        <v>0</v>
      </c>
      <c r="U89" s="312"/>
      <c r="V89" s="311">
        <f>SUM(V9:V88)</f>
        <v>0</v>
      </c>
      <c r="W89" s="312"/>
      <c r="X89" s="311">
        <f>SUM(X9:X88)</f>
        <v>0</v>
      </c>
      <c r="Y89" s="311">
        <f>SUM(Y9:Y88)</f>
        <v>0</v>
      </c>
      <c r="Z89" s="311">
        <f>SUM(Z9:Z88)</f>
        <v>7267546.0032400014</v>
      </c>
      <c r="AA89" s="411"/>
    </row>
    <row r="90" spans="1:30" s="265" customFormat="1" ht="29.25" customHeight="1">
      <c r="A90" s="753" t="s">
        <v>453</v>
      </c>
      <c r="B90" s="754"/>
      <c r="C90" s="754"/>
      <c r="D90" s="754"/>
      <c r="E90" s="754"/>
      <c r="F90" s="755"/>
      <c r="G90" s="311">
        <f>+SUMIF($F$9:$F$88,$AA$90,$G$9:$G$88)</f>
        <v>1167000</v>
      </c>
      <c r="H90" s="311">
        <f>+SUMIF($F$9:$F$88,$AA$90,$H$9:$H$88)</f>
        <v>1167000</v>
      </c>
      <c r="I90" s="311">
        <f>+SUMIF($F$9:$F$88,$AA$90,$I$9:$I$88)</f>
        <v>0</v>
      </c>
      <c r="J90" s="311">
        <f>+SUMIF($F$9:$F$88,$AA$90,$J$9:$J$88)</f>
        <v>0</v>
      </c>
      <c r="K90" s="311">
        <f>+SUMIF($F$9:$F$88,$AA$90,$K$9:$K$88)</f>
        <v>0</v>
      </c>
      <c r="L90" s="311">
        <f>+SUMIF($F$9:$F$88,$AA$90,$L$9:$L$88)</f>
        <v>0</v>
      </c>
      <c r="M90" s="311">
        <f>+SUMIF($F$9:$F$88,$AA$90,$M$9:$M$88)</f>
        <v>0</v>
      </c>
      <c r="N90" s="311">
        <f>+SUMIF($F$9:$F$88,$AA$90,$N$9:$N$88)</f>
        <v>0</v>
      </c>
      <c r="O90" s="311">
        <f>+SUMIF($F$9:$F$88,$AA$90,$O$9:$O$88)</f>
        <v>0</v>
      </c>
      <c r="P90" s="311">
        <f>+SUMIF($F$9:$F$88,$AA$90,$P$9:$P$88)</f>
        <v>0</v>
      </c>
      <c r="Q90" s="311">
        <f>+SUMIF($F$9:$F$88,$AA$90,$Q$9:$Q$88)</f>
        <v>0</v>
      </c>
      <c r="R90" s="311">
        <f>+SUMIF($F$9:$F$88,$AA$90,$R$9:$R$88)</f>
        <v>0</v>
      </c>
      <c r="S90" s="311">
        <f>+SUMIF($F$9:$F$88,$AA$90,$S$9:$S$88)</f>
        <v>0</v>
      </c>
      <c r="T90" s="311">
        <f>+SUMIF($F$9:$F$88,$AA$90,$T$9:$T$88)</f>
        <v>0</v>
      </c>
      <c r="U90" s="312"/>
      <c r="V90" s="311">
        <f>+SUMIF($F$9:$F$88,$AA$90,$V$9:$V$88)</f>
        <v>0</v>
      </c>
      <c r="W90" s="312"/>
      <c r="X90" s="311">
        <f>+SUMIF($F$9:$F$88,$AA$90,$X$9:$X$88)</f>
        <v>0</v>
      </c>
      <c r="Y90" s="311">
        <f>+SUMIF($F$9:$F$88,$AA$90,$Y$9:$Y$88)</f>
        <v>0</v>
      </c>
      <c r="Z90" s="311">
        <f>+MAX(AA9:AA88)</f>
        <v>1167000</v>
      </c>
      <c r="AA90" s="411">
        <f>INDEX($F$9:$F$88,MATCH($Z90,$AA$9:$AA$88,0))</f>
        <v>1</v>
      </c>
    </row>
    <row r="91" spans="1:30" s="265" customFormat="1">
      <c r="AA91" s="413"/>
    </row>
    <row r="92" spans="1:30" ht="16.5" customHeight="1">
      <c r="A92" s="34"/>
      <c r="B92" s="232" t="s">
        <v>778</v>
      </c>
      <c r="C92" s="34"/>
      <c r="D92" s="34"/>
      <c r="E92" s="34"/>
      <c r="F92" s="338"/>
      <c r="G92" s="338"/>
      <c r="H92" s="338"/>
      <c r="I92" s="338"/>
      <c r="J92" s="338"/>
      <c r="K92" s="338"/>
      <c r="L92" s="338"/>
      <c r="M92" s="338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2"/>
      <c r="C93" s="34"/>
      <c r="D93" s="34"/>
      <c r="E93" s="34"/>
      <c r="F93" s="338"/>
      <c r="G93" s="338"/>
      <c r="H93" s="338"/>
      <c r="I93" s="338"/>
      <c r="J93" s="338"/>
      <c r="K93" s="338"/>
      <c r="L93" s="338"/>
      <c r="M93" s="338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6.5" customHeight="1">
      <c r="A94" s="34"/>
      <c r="B94" s="232" t="s">
        <v>779</v>
      </c>
      <c r="C94" s="34"/>
      <c r="D94" s="34"/>
      <c r="E94" s="34"/>
      <c r="F94" s="338"/>
      <c r="G94" s="338"/>
      <c r="H94" s="338"/>
      <c r="I94" s="338"/>
      <c r="J94" s="338"/>
      <c r="K94" s="338"/>
      <c r="L94" s="338"/>
      <c r="M94" s="338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65" customFormat="1">
      <c r="B95" s="286"/>
      <c r="AA95" s="413"/>
    </row>
    <row r="96" spans="1:30" s="265" customFormat="1">
      <c r="B96" s="286"/>
      <c r="AA96" s="413"/>
    </row>
    <row r="97" spans="1:32" s="265" customFormat="1">
      <c r="B97" s="286"/>
      <c r="AA97" s="413"/>
    </row>
    <row r="98" spans="1:32" s="265" customFormat="1">
      <c r="AA98" s="413"/>
    </row>
    <row r="99" spans="1:32" s="265" customFormat="1" ht="15.75">
      <c r="B99" s="765"/>
      <c r="C99" s="765"/>
      <c r="D99" s="765"/>
      <c r="E99" s="765"/>
      <c r="F99" s="765"/>
      <c r="G99" s="765"/>
      <c r="H99" s="765"/>
      <c r="I99" s="765"/>
      <c r="J99" s="765"/>
      <c r="K99" s="765"/>
      <c r="L99" s="765"/>
      <c r="M99" s="765"/>
      <c r="N99" s="765"/>
      <c r="O99" s="765"/>
      <c r="P99" s="765"/>
      <c r="Q99" s="765"/>
      <c r="R99" s="765"/>
      <c r="S99" s="765"/>
      <c r="T99" s="765"/>
      <c r="AA99" s="413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14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14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14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14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14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14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14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14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14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14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14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14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14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14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14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14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14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14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14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14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14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14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14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14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14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14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14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14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14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14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14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14"/>
      <c r="AB131" s="34"/>
      <c r="AC131" s="34"/>
      <c r="AD131" s="34"/>
      <c r="AE131" s="34"/>
      <c r="AF131" s="34"/>
    </row>
  </sheetData>
  <sheetProtection password="CACA" sheet="1" objects="1" scenarios="1"/>
  <mergeCells count="37">
    <mergeCell ref="U3:V3"/>
    <mergeCell ref="D4:D7"/>
    <mergeCell ref="E4:E7"/>
    <mergeCell ref="H5:K5"/>
    <mergeCell ref="L5:S5"/>
    <mergeCell ref="H6:H7"/>
    <mergeCell ref="P6:Q6"/>
    <mergeCell ref="R6:S6"/>
    <mergeCell ref="B99:T99"/>
    <mergeCell ref="Y3:Z3"/>
    <mergeCell ref="A1:W1"/>
    <mergeCell ref="F4:F7"/>
    <mergeCell ref="G4:G7"/>
    <mergeCell ref="H4:S4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R8:S8"/>
    <mergeCell ref="Z4:Z7"/>
    <mergeCell ref="U6:U7"/>
    <mergeCell ref="V6:V7"/>
    <mergeCell ref="T4:T7"/>
    <mergeCell ref="U4:V5"/>
    <mergeCell ref="W4:W7"/>
    <mergeCell ref="X4:X7"/>
    <mergeCell ref="Y4:Y7"/>
    <mergeCell ref="A89:F89"/>
    <mergeCell ref="A90:F90"/>
    <mergeCell ref="L8:M8"/>
    <mergeCell ref="N8:O8"/>
    <mergeCell ref="P8:Q8"/>
  </mergeCells>
  <dataValidations count="1">
    <dataValidation type="date" operator="greaterThan" allowBlank="1" showInputMessage="1" showErrorMessage="1" prompt="Введите дату в формате ЧЧ.ММ.ГГГГ" sqref="Y100:Z129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3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AF131"/>
  <sheetViews>
    <sheetView view="pageBreakPreview" zoomScale="65" zoomScaleNormal="40" zoomScaleSheetLayoutView="65" workbookViewId="0">
      <pane xSplit="7" ySplit="8" topLeftCell="H9" activePane="bottomRight" state="frozen"/>
      <selection activeCell="J47" sqref="J47"/>
      <selection pane="topRight" activeCell="J47" sqref="J47"/>
      <selection pane="bottomLeft" activeCell="J47" sqref="J47"/>
      <selection pane="bottomRight" activeCell="Z89" sqref="Z89"/>
    </sheetView>
  </sheetViews>
  <sheetFormatPr defaultRowHeight="12.75"/>
  <cols>
    <col min="1" max="1" width="5.140625" style="258" customWidth="1"/>
    <col min="2" max="2" width="43.42578125" style="258" customWidth="1"/>
    <col min="3" max="3" width="14.140625" style="258" customWidth="1"/>
    <col min="4" max="6" width="10.140625" style="258" customWidth="1"/>
    <col min="7" max="7" width="16" style="258" customWidth="1"/>
    <col min="8" max="8" width="14.28515625" style="258" customWidth="1"/>
    <col min="9" max="9" width="16" style="258" customWidth="1"/>
    <col min="10" max="19" width="13.85546875" style="258" customWidth="1"/>
    <col min="20" max="20" width="8.28515625" style="258" customWidth="1"/>
    <col min="21" max="21" width="10.140625" style="258" customWidth="1"/>
    <col min="22" max="22" width="14" style="258" customWidth="1"/>
    <col min="23" max="23" width="9.85546875" style="258" customWidth="1"/>
    <col min="24" max="24" width="14" style="258" customWidth="1"/>
    <col min="25" max="25" width="13.28515625" style="258" customWidth="1"/>
    <col min="26" max="26" width="14.7109375" style="258" customWidth="1"/>
    <col min="27" max="27" width="17.42578125" style="406" customWidth="1"/>
    <col min="28" max="16384" width="9.140625" style="258"/>
  </cols>
  <sheetData>
    <row r="1" spans="1:27" ht="20.25">
      <c r="A1" s="767" t="s">
        <v>454</v>
      </c>
      <c r="B1" s="767"/>
      <c r="C1" s="767"/>
      <c r="D1" s="767"/>
      <c r="E1" s="767"/>
      <c r="F1" s="767"/>
      <c r="G1" s="767"/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7"/>
      <c r="U1" s="767"/>
      <c r="V1" s="767"/>
      <c r="W1" s="767"/>
      <c r="Y1" s="405" t="s">
        <v>455</v>
      </c>
    </row>
    <row r="2" spans="1:27">
      <c r="A2" s="302"/>
      <c r="B2" s="301"/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Q2" s="301"/>
      <c r="R2" s="301"/>
      <c r="S2" s="301"/>
      <c r="T2" s="301"/>
    </row>
    <row r="3" spans="1:27" ht="15.75">
      <c r="A3" s="275"/>
      <c r="B3" s="300" t="str">
        <f>+'Asset quality'!B3</f>
        <v>"MKBANK"</v>
      </c>
      <c r="D3" s="275"/>
      <c r="E3" s="275"/>
      <c r="F3" s="275"/>
      <c r="G3" s="275"/>
      <c r="H3" s="275"/>
      <c r="I3" s="275"/>
      <c r="J3" s="275"/>
      <c r="K3" s="275"/>
      <c r="L3" s="275"/>
      <c r="M3" s="275"/>
      <c r="Q3" s="275"/>
      <c r="R3" s="275"/>
      <c r="T3" s="299"/>
      <c r="U3" s="718">
        <f>+'Asset quality'!Q3</f>
        <v>45289</v>
      </c>
      <c r="V3" s="718"/>
      <c r="W3" s="315"/>
      <c r="Y3" s="766" t="str">
        <f>+'Asset quality'!T3</f>
        <v>минг. сўмда</v>
      </c>
      <c r="Z3" s="766"/>
    </row>
    <row r="4" spans="1:27" ht="27.75" customHeight="1">
      <c r="A4" s="771" t="s">
        <v>61</v>
      </c>
      <c r="B4" s="771" t="s">
        <v>427</v>
      </c>
      <c r="C4" s="758" t="s">
        <v>428</v>
      </c>
      <c r="D4" s="758" t="s">
        <v>429</v>
      </c>
      <c r="E4" s="758" t="s">
        <v>430</v>
      </c>
      <c r="F4" s="758" t="s">
        <v>431</v>
      </c>
      <c r="G4" s="758" t="s">
        <v>432</v>
      </c>
      <c r="H4" s="768" t="s">
        <v>334</v>
      </c>
      <c r="I4" s="769"/>
      <c r="J4" s="769"/>
      <c r="K4" s="769"/>
      <c r="L4" s="769"/>
      <c r="M4" s="769"/>
      <c r="N4" s="769"/>
      <c r="O4" s="769"/>
      <c r="P4" s="769"/>
      <c r="Q4" s="769"/>
      <c r="R4" s="769"/>
      <c r="S4" s="769"/>
      <c r="T4" s="758" t="s">
        <v>433</v>
      </c>
      <c r="U4" s="761" t="s">
        <v>434</v>
      </c>
      <c r="V4" s="762"/>
      <c r="W4" s="758" t="s">
        <v>435</v>
      </c>
      <c r="X4" s="758" t="s">
        <v>436</v>
      </c>
      <c r="Y4" s="758" t="s">
        <v>437</v>
      </c>
      <c r="Z4" s="758" t="s">
        <v>438</v>
      </c>
    </row>
    <row r="5" spans="1:27" ht="27.75" customHeight="1">
      <c r="A5" s="772"/>
      <c r="B5" s="772"/>
      <c r="C5" s="759"/>
      <c r="D5" s="759"/>
      <c r="E5" s="759"/>
      <c r="F5" s="759"/>
      <c r="G5" s="759"/>
      <c r="H5" s="768" t="s">
        <v>439</v>
      </c>
      <c r="I5" s="769"/>
      <c r="J5" s="769"/>
      <c r="K5" s="769"/>
      <c r="L5" s="768" t="s">
        <v>440</v>
      </c>
      <c r="M5" s="769"/>
      <c r="N5" s="769"/>
      <c r="O5" s="769"/>
      <c r="P5" s="769"/>
      <c r="Q5" s="769"/>
      <c r="R5" s="769"/>
      <c r="S5" s="769"/>
      <c r="T5" s="759"/>
      <c r="U5" s="763"/>
      <c r="V5" s="764"/>
      <c r="W5" s="759"/>
      <c r="X5" s="759"/>
      <c r="Y5" s="759"/>
      <c r="Z5" s="759"/>
    </row>
    <row r="6" spans="1:27" ht="108.75" customHeight="1">
      <c r="A6" s="772"/>
      <c r="B6" s="772"/>
      <c r="C6" s="759"/>
      <c r="D6" s="759"/>
      <c r="E6" s="759"/>
      <c r="F6" s="759"/>
      <c r="G6" s="759"/>
      <c r="H6" s="758" t="s">
        <v>441</v>
      </c>
      <c r="I6" s="758" t="s">
        <v>442</v>
      </c>
      <c r="J6" s="758" t="s">
        <v>443</v>
      </c>
      <c r="K6" s="758" t="s">
        <v>444</v>
      </c>
      <c r="L6" s="774" t="s">
        <v>445</v>
      </c>
      <c r="M6" s="775"/>
      <c r="N6" s="774" t="s">
        <v>446</v>
      </c>
      <c r="O6" s="775"/>
      <c r="P6" s="774" t="s">
        <v>447</v>
      </c>
      <c r="Q6" s="775"/>
      <c r="R6" s="774" t="s">
        <v>448</v>
      </c>
      <c r="S6" s="775"/>
      <c r="T6" s="759"/>
      <c r="U6" s="758" t="s">
        <v>449</v>
      </c>
      <c r="V6" s="758" t="s">
        <v>163</v>
      </c>
      <c r="W6" s="759"/>
      <c r="X6" s="759"/>
      <c r="Y6" s="759"/>
      <c r="Z6" s="759"/>
    </row>
    <row r="7" spans="1:27" ht="41.25" customHeight="1">
      <c r="A7" s="773"/>
      <c r="B7" s="773"/>
      <c r="C7" s="760"/>
      <c r="D7" s="760"/>
      <c r="E7" s="760"/>
      <c r="F7" s="760"/>
      <c r="G7" s="760"/>
      <c r="H7" s="760"/>
      <c r="I7" s="760"/>
      <c r="J7" s="760"/>
      <c r="K7" s="760"/>
      <c r="L7" s="407" t="s">
        <v>450</v>
      </c>
      <c r="M7" s="407" t="s">
        <v>451</v>
      </c>
      <c r="N7" s="407" t="s">
        <v>450</v>
      </c>
      <c r="O7" s="407" t="s">
        <v>451</v>
      </c>
      <c r="P7" s="407" t="s">
        <v>450</v>
      </c>
      <c r="Q7" s="407" t="s">
        <v>451</v>
      </c>
      <c r="R7" s="407" t="s">
        <v>450</v>
      </c>
      <c r="S7" s="407" t="s">
        <v>451</v>
      </c>
      <c r="T7" s="760"/>
      <c r="U7" s="760"/>
      <c r="V7" s="760"/>
      <c r="W7" s="760"/>
      <c r="X7" s="760"/>
      <c r="Y7" s="760"/>
      <c r="Z7" s="760"/>
    </row>
    <row r="8" spans="1:27" s="298" customFormat="1" ht="15">
      <c r="A8" s="408"/>
      <c r="B8" s="408" t="s">
        <v>78</v>
      </c>
      <c r="C8" s="408" t="s">
        <v>79</v>
      </c>
      <c r="D8" s="408" t="s">
        <v>89</v>
      </c>
      <c r="E8" s="408" t="s">
        <v>80</v>
      </c>
      <c r="F8" s="408" t="s">
        <v>81</v>
      </c>
      <c r="G8" s="284" t="s">
        <v>90</v>
      </c>
      <c r="H8" s="408" t="s">
        <v>228</v>
      </c>
      <c r="I8" s="408" t="s">
        <v>227</v>
      </c>
      <c r="J8" s="408" t="s">
        <v>226</v>
      </c>
      <c r="K8" s="408" t="s">
        <v>225</v>
      </c>
      <c r="L8" s="756" t="s">
        <v>224</v>
      </c>
      <c r="M8" s="757"/>
      <c r="N8" s="756" t="s">
        <v>223</v>
      </c>
      <c r="O8" s="757"/>
      <c r="P8" s="756" t="s">
        <v>222</v>
      </c>
      <c r="Q8" s="757"/>
      <c r="R8" s="756" t="s">
        <v>221</v>
      </c>
      <c r="S8" s="757"/>
      <c r="T8" s="408" t="s">
        <v>82</v>
      </c>
      <c r="U8" s="408" t="s">
        <v>83</v>
      </c>
      <c r="V8" s="408" t="s">
        <v>84</v>
      </c>
      <c r="W8" s="408" t="s">
        <v>85</v>
      </c>
      <c r="X8" s="408" t="s">
        <v>86</v>
      </c>
      <c r="Y8" s="408" t="s">
        <v>87</v>
      </c>
      <c r="Z8" s="408" t="s">
        <v>88</v>
      </c>
      <c r="AA8" s="409"/>
    </row>
    <row r="9" spans="1:27" s="288" customFormat="1">
      <c r="A9" s="294">
        <v>1</v>
      </c>
      <c r="B9" s="290" t="s">
        <v>807</v>
      </c>
      <c r="C9" s="295">
        <v>306892604</v>
      </c>
      <c r="D9" s="295" t="s">
        <v>809</v>
      </c>
      <c r="E9" s="293">
        <v>978</v>
      </c>
      <c r="F9" s="293">
        <v>1</v>
      </c>
      <c r="G9" s="306">
        <f t="shared" ref="G9:G65" si="0">+H9+I9+J9+K9+M9+O9+Q9+S9</f>
        <v>441025455.46803004</v>
      </c>
      <c r="H9" s="304">
        <v>441025455.46803004</v>
      </c>
      <c r="I9" s="304"/>
      <c r="J9" s="304"/>
      <c r="K9" s="304"/>
      <c r="L9" s="304"/>
      <c r="M9" s="304"/>
      <c r="N9" s="305"/>
      <c r="O9" s="304"/>
      <c r="P9" s="304"/>
      <c r="Q9" s="304"/>
      <c r="R9" s="304"/>
      <c r="S9" s="304"/>
      <c r="T9" s="307"/>
      <c r="U9" s="307"/>
      <c r="V9" s="304"/>
      <c r="W9" s="290" t="s">
        <v>2</v>
      </c>
      <c r="X9" s="304">
        <v>0</v>
      </c>
      <c r="Y9" s="304"/>
      <c r="Z9" s="303">
        <f t="shared" ref="Z9:Z65" si="1">+G9-V9-X9</f>
        <v>441025455.46803004</v>
      </c>
      <c r="AA9" s="411">
        <f t="shared" ref="AA9:AA40" si="2">SUMIF($F$9:$F$88,$F9,$Z$9:$Z$88)</f>
        <v>797430249.40594006</v>
      </c>
    </row>
    <row r="10" spans="1:27" s="288" customFormat="1" ht="25.5">
      <c r="A10" s="294">
        <v>2</v>
      </c>
      <c r="B10" s="290" t="s">
        <v>808</v>
      </c>
      <c r="C10" s="295">
        <v>305922787</v>
      </c>
      <c r="D10" s="295" t="s">
        <v>809</v>
      </c>
      <c r="E10" s="293">
        <v>978</v>
      </c>
      <c r="F10" s="293">
        <v>1</v>
      </c>
      <c r="G10" s="306">
        <f t="shared" si="0"/>
        <v>356404793.93791002</v>
      </c>
      <c r="H10" s="304">
        <v>356404793.93791002</v>
      </c>
      <c r="I10" s="304"/>
      <c r="J10" s="304"/>
      <c r="K10" s="304"/>
      <c r="L10" s="304"/>
      <c r="M10" s="304"/>
      <c r="N10" s="305"/>
      <c r="O10" s="304"/>
      <c r="P10" s="304"/>
      <c r="Q10" s="304"/>
      <c r="R10" s="304"/>
      <c r="S10" s="304"/>
      <c r="T10" s="307"/>
      <c r="U10" s="307"/>
      <c r="V10" s="304"/>
      <c r="W10" s="290" t="s">
        <v>2</v>
      </c>
      <c r="X10" s="304">
        <v>0</v>
      </c>
      <c r="Y10" s="307"/>
      <c r="Z10" s="303">
        <f t="shared" si="1"/>
        <v>356404793.93791002</v>
      </c>
      <c r="AA10" s="411">
        <f t="shared" si="2"/>
        <v>797430249.40594006</v>
      </c>
    </row>
    <row r="11" spans="1:27" s="288" customFormat="1">
      <c r="A11" s="294">
        <v>3</v>
      </c>
      <c r="B11" s="290"/>
      <c r="C11" s="295"/>
      <c r="D11" s="295"/>
      <c r="E11" s="293"/>
      <c r="F11" s="293"/>
      <c r="G11" s="306">
        <f t="shared" si="0"/>
        <v>0</v>
      </c>
      <c r="H11" s="304"/>
      <c r="I11" s="304"/>
      <c r="J11" s="304"/>
      <c r="K11" s="304"/>
      <c r="L11" s="304"/>
      <c r="M11" s="304"/>
      <c r="N11" s="305"/>
      <c r="O11" s="304"/>
      <c r="P11" s="304"/>
      <c r="Q11" s="304"/>
      <c r="R11" s="304"/>
      <c r="S11" s="304"/>
      <c r="T11" s="307"/>
      <c r="U11" s="304"/>
      <c r="V11" s="304"/>
      <c r="W11" s="290" t="s">
        <v>2</v>
      </c>
      <c r="X11" s="304">
        <v>0</v>
      </c>
      <c r="Y11" s="307"/>
      <c r="Z11" s="303">
        <f t="shared" si="1"/>
        <v>0</v>
      </c>
      <c r="AA11" s="411">
        <f t="shared" si="2"/>
        <v>0</v>
      </c>
    </row>
    <row r="12" spans="1:27" s="288" customFormat="1">
      <c r="A12" s="294">
        <v>4</v>
      </c>
      <c r="B12" s="290"/>
      <c r="C12" s="295"/>
      <c r="D12" s="295"/>
      <c r="E12" s="293"/>
      <c r="F12" s="293"/>
      <c r="G12" s="306">
        <f t="shared" si="0"/>
        <v>0</v>
      </c>
      <c r="H12" s="304"/>
      <c r="I12" s="304"/>
      <c r="J12" s="304"/>
      <c r="K12" s="304"/>
      <c r="L12" s="304"/>
      <c r="M12" s="304"/>
      <c r="N12" s="305"/>
      <c r="O12" s="304"/>
      <c r="P12" s="304"/>
      <c r="Q12" s="304"/>
      <c r="R12" s="304"/>
      <c r="S12" s="304"/>
      <c r="T12" s="307"/>
      <c r="U12" s="304"/>
      <c r="V12" s="304"/>
      <c r="W12" s="290" t="s">
        <v>2</v>
      </c>
      <c r="X12" s="304">
        <v>0</v>
      </c>
      <c r="Y12" s="304"/>
      <c r="Z12" s="303">
        <f t="shared" si="1"/>
        <v>0</v>
      </c>
      <c r="AA12" s="411">
        <f t="shared" si="2"/>
        <v>0</v>
      </c>
    </row>
    <row r="13" spans="1:27" s="288" customFormat="1">
      <c r="A13" s="294">
        <v>5</v>
      </c>
      <c r="B13" s="290"/>
      <c r="C13" s="295"/>
      <c r="D13" s="295"/>
      <c r="E13" s="293"/>
      <c r="F13" s="293"/>
      <c r="G13" s="306">
        <f t="shared" si="0"/>
        <v>0</v>
      </c>
      <c r="H13" s="304"/>
      <c r="I13" s="304"/>
      <c r="J13" s="304"/>
      <c r="K13" s="304"/>
      <c r="L13" s="304"/>
      <c r="M13" s="304"/>
      <c r="N13" s="305"/>
      <c r="O13" s="304"/>
      <c r="P13" s="304"/>
      <c r="Q13" s="304"/>
      <c r="R13" s="304"/>
      <c r="S13" s="304"/>
      <c r="T13" s="307"/>
      <c r="U13" s="304"/>
      <c r="V13" s="304"/>
      <c r="W13" s="290" t="s">
        <v>2</v>
      </c>
      <c r="X13" s="304">
        <v>0</v>
      </c>
      <c r="Y13" s="304"/>
      <c r="Z13" s="303">
        <f t="shared" si="1"/>
        <v>0</v>
      </c>
      <c r="AA13" s="411">
        <f t="shared" si="2"/>
        <v>0</v>
      </c>
    </row>
    <row r="14" spans="1:27" s="288" customFormat="1">
      <c r="A14" s="294">
        <v>6</v>
      </c>
      <c r="B14" s="290"/>
      <c r="C14" s="295"/>
      <c r="D14" s="295"/>
      <c r="E14" s="293"/>
      <c r="F14" s="293"/>
      <c r="G14" s="306">
        <f t="shared" si="0"/>
        <v>0</v>
      </c>
      <c r="H14" s="304"/>
      <c r="I14" s="304"/>
      <c r="J14" s="304"/>
      <c r="K14" s="304"/>
      <c r="L14" s="304"/>
      <c r="M14" s="304"/>
      <c r="N14" s="305"/>
      <c r="O14" s="304"/>
      <c r="P14" s="304"/>
      <c r="Q14" s="295"/>
      <c r="R14" s="304"/>
      <c r="S14" s="304"/>
      <c r="T14" s="307"/>
      <c r="U14" s="304"/>
      <c r="V14" s="304"/>
      <c r="W14" s="290" t="s">
        <v>2</v>
      </c>
      <c r="X14" s="304">
        <v>0</v>
      </c>
      <c r="Y14" s="304"/>
      <c r="Z14" s="303">
        <f t="shared" si="1"/>
        <v>0</v>
      </c>
      <c r="AA14" s="411">
        <f t="shared" si="2"/>
        <v>0</v>
      </c>
    </row>
    <row r="15" spans="1:27" s="288" customFormat="1">
      <c r="A15" s="294">
        <v>7</v>
      </c>
      <c r="B15" s="290"/>
      <c r="C15" s="295"/>
      <c r="D15" s="295"/>
      <c r="E15" s="293"/>
      <c r="F15" s="293"/>
      <c r="G15" s="306">
        <f t="shared" si="0"/>
        <v>0</v>
      </c>
      <c r="H15" s="304"/>
      <c r="I15" s="304"/>
      <c r="J15" s="304"/>
      <c r="K15" s="304"/>
      <c r="L15" s="304"/>
      <c r="M15" s="304"/>
      <c r="N15" s="305"/>
      <c r="O15" s="304"/>
      <c r="P15" s="304"/>
      <c r="Q15" s="305"/>
      <c r="R15" s="304"/>
      <c r="S15" s="304"/>
      <c r="T15" s="307"/>
      <c r="U15" s="304"/>
      <c r="V15" s="304"/>
      <c r="W15" s="290" t="s">
        <v>2</v>
      </c>
      <c r="X15" s="304">
        <v>0</v>
      </c>
      <c r="Y15" s="304"/>
      <c r="Z15" s="303">
        <f t="shared" si="1"/>
        <v>0</v>
      </c>
      <c r="AA15" s="411">
        <f t="shared" si="2"/>
        <v>0</v>
      </c>
    </row>
    <row r="16" spans="1:27" s="288" customFormat="1">
      <c r="A16" s="294">
        <v>8</v>
      </c>
      <c r="B16" s="290"/>
      <c r="C16" s="295"/>
      <c r="D16" s="295"/>
      <c r="E16" s="293"/>
      <c r="F16" s="293"/>
      <c r="G16" s="306">
        <f t="shared" si="0"/>
        <v>0</v>
      </c>
      <c r="H16" s="304"/>
      <c r="I16" s="304"/>
      <c r="J16" s="304"/>
      <c r="K16" s="304"/>
      <c r="L16" s="304"/>
      <c r="M16" s="304"/>
      <c r="N16" s="305"/>
      <c r="O16" s="304"/>
      <c r="P16" s="304"/>
      <c r="Q16" s="305"/>
      <c r="R16" s="304"/>
      <c r="S16" s="304"/>
      <c r="T16" s="307"/>
      <c r="U16" s="304"/>
      <c r="V16" s="304"/>
      <c r="W16" s="290" t="s">
        <v>2</v>
      </c>
      <c r="X16" s="304">
        <v>0</v>
      </c>
      <c r="Y16" s="304"/>
      <c r="Z16" s="303">
        <f t="shared" si="1"/>
        <v>0</v>
      </c>
      <c r="AA16" s="411">
        <f t="shared" si="2"/>
        <v>0</v>
      </c>
    </row>
    <row r="17" spans="1:27" s="288" customFormat="1">
      <c r="A17" s="294">
        <v>9</v>
      </c>
      <c r="B17" s="290"/>
      <c r="C17" s="295"/>
      <c r="D17" s="295"/>
      <c r="E17" s="293"/>
      <c r="F17" s="293"/>
      <c r="G17" s="306">
        <f t="shared" si="0"/>
        <v>0</v>
      </c>
      <c r="H17" s="304"/>
      <c r="I17" s="304"/>
      <c r="J17" s="304"/>
      <c r="K17" s="304"/>
      <c r="L17" s="304"/>
      <c r="M17" s="304"/>
      <c r="N17" s="305"/>
      <c r="O17" s="304"/>
      <c r="P17" s="304"/>
      <c r="Q17" s="305"/>
      <c r="R17" s="304"/>
      <c r="S17" s="304"/>
      <c r="T17" s="307"/>
      <c r="U17" s="304"/>
      <c r="V17" s="304"/>
      <c r="W17" s="290" t="s">
        <v>2</v>
      </c>
      <c r="X17" s="304">
        <v>0</v>
      </c>
      <c r="Y17" s="304"/>
      <c r="Z17" s="303">
        <f t="shared" si="1"/>
        <v>0</v>
      </c>
      <c r="AA17" s="411">
        <f t="shared" si="2"/>
        <v>0</v>
      </c>
    </row>
    <row r="18" spans="1:27" s="288" customFormat="1">
      <c r="A18" s="294">
        <v>10</v>
      </c>
      <c r="B18" s="290"/>
      <c r="C18" s="295"/>
      <c r="D18" s="295"/>
      <c r="E18" s="293"/>
      <c r="F18" s="293"/>
      <c r="G18" s="306">
        <f t="shared" si="0"/>
        <v>0</v>
      </c>
      <c r="H18" s="304"/>
      <c r="I18" s="304"/>
      <c r="J18" s="304"/>
      <c r="K18" s="304"/>
      <c r="L18" s="304"/>
      <c r="M18" s="304"/>
      <c r="N18" s="305"/>
      <c r="O18" s="304"/>
      <c r="P18" s="304"/>
      <c r="Q18" s="304"/>
      <c r="R18" s="304"/>
      <c r="S18" s="304"/>
      <c r="T18" s="307"/>
      <c r="U18" s="304"/>
      <c r="V18" s="304"/>
      <c r="W18" s="290" t="s">
        <v>2</v>
      </c>
      <c r="X18" s="304">
        <v>0</v>
      </c>
      <c r="Y18" s="304"/>
      <c r="Z18" s="303">
        <f t="shared" si="1"/>
        <v>0</v>
      </c>
      <c r="AA18" s="411">
        <f t="shared" si="2"/>
        <v>0</v>
      </c>
    </row>
    <row r="19" spans="1:27" s="288" customFormat="1">
      <c r="A19" s="294">
        <v>11</v>
      </c>
      <c r="B19" s="290"/>
      <c r="C19" s="295"/>
      <c r="D19" s="295"/>
      <c r="E19" s="293"/>
      <c r="F19" s="293"/>
      <c r="G19" s="306">
        <f t="shared" si="0"/>
        <v>0</v>
      </c>
      <c r="H19" s="304"/>
      <c r="I19" s="304"/>
      <c r="J19" s="304"/>
      <c r="K19" s="304"/>
      <c r="L19" s="304"/>
      <c r="M19" s="304"/>
      <c r="N19" s="305"/>
      <c r="O19" s="304"/>
      <c r="P19" s="304"/>
      <c r="Q19" s="304"/>
      <c r="R19" s="304"/>
      <c r="S19" s="304"/>
      <c r="T19" s="307"/>
      <c r="U19" s="304"/>
      <c r="V19" s="304"/>
      <c r="W19" s="290" t="s">
        <v>2</v>
      </c>
      <c r="X19" s="304">
        <v>0</v>
      </c>
      <c r="Y19" s="304"/>
      <c r="Z19" s="303">
        <f t="shared" si="1"/>
        <v>0</v>
      </c>
      <c r="AA19" s="411">
        <f t="shared" si="2"/>
        <v>0</v>
      </c>
    </row>
    <row r="20" spans="1:27" s="288" customFormat="1">
      <c r="A20" s="294">
        <v>12</v>
      </c>
      <c r="B20" s="290"/>
      <c r="C20" s="295"/>
      <c r="D20" s="295"/>
      <c r="E20" s="293"/>
      <c r="F20" s="293"/>
      <c r="G20" s="306">
        <f t="shared" si="0"/>
        <v>0</v>
      </c>
      <c r="H20" s="304"/>
      <c r="I20" s="304"/>
      <c r="J20" s="304"/>
      <c r="K20" s="304"/>
      <c r="L20" s="304"/>
      <c r="M20" s="304"/>
      <c r="N20" s="305"/>
      <c r="O20" s="304"/>
      <c r="P20" s="304"/>
      <c r="Q20" s="304"/>
      <c r="R20" s="304"/>
      <c r="S20" s="304"/>
      <c r="T20" s="307"/>
      <c r="U20" s="304"/>
      <c r="V20" s="304"/>
      <c r="W20" s="290" t="s">
        <v>2</v>
      </c>
      <c r="X20" s="304">
        <v>0</v>
      </c>
      <c r="Y20" s="304"/>
      <c r="Z20" s="303">
        <f t="shared" si="1"/>
        <v>0</v>
      </c>
      <c r="AA20" s="411">
        <f t="shared" si="2"/>
        <v>0</v>
      </c>
    </row>
    <row r="21" spans="1:27" s="288" customFormat="1">
      <c r="A21" s="294">
        <v>13</v>
      </c>
      <c r="B21" s="290"/>
      <c r="C21" s="295"/>
      <c r="D21" s="295"/>
      <c r="E21" s="293"/>
      <c r="F21" s="293"/>
      <c r="G21" s="306">
        <f t="shared" si="0"/>
        <v>0</v>
      </c>
      <c r="H21" s="304"/>
      <c r="I21" s="304"/>
      <c r="J21" s="304"/>
      <c r="K21" s="304"/>
      <c r="L21" s="304"/>
      <c r="M21" s="304"/>
      <c r="N21" s="305"/>
      <c r="O21" s="304"/>
      <c r="P21" s="304"/>
      <c r="Q21" s="295"/>
      <c r="R21" s="304"/>
      <c r="S21" s="304"/>
      <c r="T21" s="307"/>
      <c r="U21" s="304"/>
      <c r="V21" s="304"/>
      <c r="W21" s="290" t="s">
        <v>2</v>
      </c>
      <c r="X21" s="304">
        <v>0</v>
      </c>
      <c r="Y21" s="304"/>
      <c r="Z21" s="303">
        <f t="shared" si="1"/>
        <v>0</v>
      </c>
      <c r="AA21" s="411">
        <f t="shared" si="2"/>
        <v>0</v>
      </c>
    </row>
    <row r="22" spans="1:27" s="288" customFormat="1">
      <c r="A22" s="294">
        <v>14</v>
      </c>
      <c r="B22" s="290"/>
      <c r="C22" s="295"/>
      <c r="D22" s="295"/>
      <c r="E22" s="293"/>
      <c r="F22" s="293"/>
      <c r="G22" s="306">
        <f t="shared" si="0"/>
        <v>0</v>
      </c>
      <c r="H22" s="304"/>
      <c r="I22" s="304"/>
      <c r="J22" s="304"/>
      <c r="K22" s="304"/>
      <c r="L22" s="304"/>
      <c r="M22" s="304"/>
      <c r="N22" s="305"/>
      <c r="O22" s="304"/>
      <c r="P22" s="304"/>
      <c r="Q22" s="305"/>
      <c r="R22" s="304"/>
      <c r="S22" s="304"/>
      <c r="T22" s="307"/>
      <c r="U22" s="304"/>
      <c r="V22" s="304"/>
      <c r="W22" s="290" t="s">
        <v>2</v>
      </c>
      <c r="X22" s="304">
        <v>0</v>
      </c>
      <c r="Y22" s="304"/>
      <c r="Z22" s="303">
        <f t="shared" si="1"/>
        <v>0</v>
      </c>
      <c r="AA22" s="411">
        <f t="shared" si="2"/>
        <v>0</v>
      </c>
    </row>
    <row r="23" spans="1:27" s="288" customFormat="1">
      <c r="A23" s="294">
        <v>15</v>
      </c>
      <c r="B23" s="290"/>
      <c r="C23" s="295"/>
      <c r="D23" s="295"/>
      <c r="E23" s="293"/>
      <c r="F23" s="293"/>
      <c r="G23" s="306">
        <f t="shared" si="0"/>
        <v>0</v>
      </c>
      <c r="H23" s="304"/>
      <c r="I23" s="304"/>
      <c r="J23" s="304"/>
      <c r="K23" s="304"/>
      <c r="L23" s="304"/>
      <c r="M23" s="304"/>
      <c r="N23" s="305"/>
      <c r="O23" s="304"/>
      <c r="P23" s="304"/>
      <c r="Q23" s="305"/>
      <c r="R23" s="304"/>
      <c r="S23" s="304"/>
      <c r="T23" s="307"/>
      <c r="U23" s="304"/>
      <c r="V23" s="304"/>
      <c r="W23" s="290" t="s">
        <v>2</v>
      </c>
      <c r="X23" s="304">
        <v>0</v>
      </c>
      <c r="Y23" s="304"/>
      <c r="Z23" s="303">
        <f t="shared" si="1"/>
        <v>0</v>
      </c>
      <c r="AA23" s="411">
        <f t="shared" si="2"/>
        <v>0</v>
      </c>
    </row>
    <row r="24" spans="1:27" s="288" customFormat="1">
      <c r="A24" s="294">
        <v>16</v>
      </c>
      <c r="B24" s="290"/>
      <c r="C24" s="295"/>
      <c r="D24" s="295"/>
      <c r="E24" s="293"/>
      <c r="F24" s="293"/>
      <c r="G24" s="306">
        <f t="shared" si="0"/>
        <v>0</v>
      </c>
      <c r="H24" s="304"/>
      <c r="I24" s="304"/>
      <c r="J24" s="304"/>
      <c r="K24" s="304"/>
      <c r="L24" s="304"/>
      <c r="M24" s="304"/>
      <c r="N24" s="305"/>
      <c r="O24" s="304"/>
      <c r="P24" s="304"/>
      <c r="Q24" s="305"/>
      <c r="R24" s="304"/>
      <c r="S24" s="304"/>
      <c r="T24" s="307"/>
      <c r="U24" s="304"/>
      <c r="V24" s="304"/>
      <c r="W24" s="290" t="s">
        <v>2</v>
      </c>
      <c r="X24" s="304">
        <v>0</v>
      </c>
      <c r="Y24" s="304"/>
      <c r="Z24" s="303">
        <f t="shared" si="1"/>
        <v>0</v>
      </c>
      <c r="AA24" s="411">
        <f t="shared" si="2"/>
        <v>0</v>
      </c>
    </row>
    <row r="25" spans="1:27" s="288" customFormat="1">
      <c r="A25" s="294">
        <v>17</v>
      </c>
      <c r="B25" s="290"/>
      <c r="C25" s="295"/>
      <c r="D25" s="295"/>
      <c r="E25" s="293"/>
      <c r="F25" s="293"/>
      <c r="G25" s="306">
        <f t="shared" si="0"/>
        <v>0</v>
      </c>
      <c r="H25" s="304"/>
      <c r="I25" s="304"/>
      <c r="J25" s="304"/>
      <c r="K25" s="304"/>
      <c r="L25" s="304"/>
      <c r="M25" s="304"/>
      <c r="N25" s="305"/>
      <c r="O25" s="304"/>
      <c r="P25" s="304"/>
      <c r="Q25" s="305"/>
      <c r="R25" s="304"/>
      <c r="S25" s="304"/>
      <c r="T25" s="307"/>
      <c r="U25" s="304"/>
      <c r="V25" s="304"/>
      <c r="W25" s="290" t="s">
        <v>2</v>
      </c>
      <c r="X25" s="304">
        <v>0</v>
      </c>
      <c r="Y25" s="304"/>
      <c r="Z25" s="303">
        <f t="shared" si="1"/>
        <v>0</v>
      </c>
      <c r="AA25" s="411">
        <f t="shared" si="2"/>
        <v>0</v>
      </c>
    </row>
    <row r="26" spans="1:27" s="288" customFormat="1">
      <c r="A26" s="294">
        <v>18</v>
      </c>
      <c r="B26" s="290"/>
      <c r="C26" s="295"/>
      <c r="D26" s="295"/>
      <c r="E26" s="293"/>
      <c r="F26" s="293"/>
      <c r="G26" s="306">
        <f t="shared" si="0"/>
        <v>0</v>
      </c>
      <c r="H26" s="304"/>
      <c r="I26" s="304"/>
      <c r="J26" s="304"/>
      <c r="K26" s="304"/>
      <c r="L26" s="304"/>
      <c r="M26" s="304"/>
      <c r="N26" s="305"/>
      <c r="O26" s="304"/>
      <c r="P26" s="304"/>
      <c r="Q26" s="305"/>
      <c r="R26" s="304"/>
      <c r="S26" s="304"/>
      <c r="T26" s="307"/>
      <c r="U26" s="304"/>
      <c r="V26" s="304"/>
      <c r="W26" s="290" t="s">
        <v>2</v>
      </c>
      <c r="X26" s="304">
        <v>0</v>
      </c>
      <c r="Y26" s="304"/>
      <c r="Z26" s="303">
        <f t="shared" si="1"/>
        <v>0</v>
      </c>
      <c r="AA26" s="411">
        <f t="shared" si="2"/>
        <v>0</v>
      </c>
    </row>
    <row r="27" spans="1:27" s="288" customFormat="1">
      <c r="A27" s="294">
        <v>19</v>
      </c>
      <c r="B27" s="290"/>
      <c r="C27" s="295"/>
      <c r="D27" s="295"/>
      <c r="E27" s="293"/>
      <c r="F27" s="293"/>
      <c r="G27" s="306">
        <f t="shared" si="0"/>
        <v>0</v>
      </c>
      <c r="H27" s="304"/>
      <c r="I27" s="304"/>
      <c r="J27" s="304"/>
      <c r="K27" s="304"/>
      <c r="L27" s="304"/>
      <c r="M27" s="304"/>
      <c r="N27" s="305"/>
      <c r="O27" s="304"/>
      <c r="P27" s="304"/>
      <c r="Q27" s="305"/>
      <c r="R27" s="304"/>
      <c r="S27" s="304"/>
      <c r="T27" s="307"/>
      <c r="U27" s="304"/>
      <c r="V27" s="304"/>
      <c r="W27" s="290" t="s">
        <v>2</v>
      </c>
      <c r="X27" s="304">
        <v>0</v>
      </c>
      <c r="Y27" s="304"/>
      <c r="Z27" s="303">
        <f t="shared" si="1"/>
        <v>0</v>
      </c>
      <c r="AA27" s="411">
        <f t="shared" si="2"/>
        <v>0</v>
      </c>
    </row>
    <row r="28" spans="1:27" s="288" customFormat="1">
      <c r="A28" s="294">
        <v>20</v>
      </c>
      <c r="B28" s="290"/>
      <c r="C28" s="295"/>
      <c r="D28" s="295"/>
      <c r="E28" s="293"/>
      <c r="F28" s="293"/>
      <c r="G28" s="306">
        <f t="shared" si="0"/>
        <v>0</v>
      </c>
      <c r="H28" s="304"/>
      <c r="I28" s="304"/>
      <c r="J28" s="304"/>
      <c r="K28" s="304"/>
      <c r="L28" s="304"/>
      <c r="M28" s="304"/>
      <c r="N28" s="305"/>
      <c r="O28" s="304"/>
      <c r="P28" s="304"/>
      <c r="Q28" s="305"/>
      <c r="R28" s="304"/>
      <c r="S28" s="304"/>
      <c r="T28" s="307"/>
      <c r="U28" s="304"/>
      <c r="V28" s="304"/>
      <c r="W28" s="290" t="s">
        <v>2</v>
      </c>
      <c r="X28" s="304">
        <v>0</v>
      </c>
      <c r="Y28" s="304"/>
      <c r="Z28" s="303">
        <f t="shared" si="1"/>
        <v>0</v>
      </c>
      <c r="AA28" s="411">
        <f t="shared" si="2"/>
        <v>0</v>
      </c>
    </row>
    <row r="29" spans="1:27" s="288" customFormat="1">
      <c r="A29" s="294">
        <v>21</v>
      </c>
      <c r="B29" s="290"/>
      <c r="C29" s="295"/>
      <c r="D29" s="295"/>
      <c r="E29" s="293"/>
      <c r="F29" s="293"/>
      <c r="G29" s="306">
        <f t="shared" si="0"/>
        <v>0</v>
      </c>
      <c r="H29" s="304"/>
      <c r="I29" s="304"/>
      <c r="J29" s="304"/>
      <c r="K29" s="304"/>
      <c r="L29" s="304"/>
      <c r="M29" s="304"/>
      <c r="N29" s="305"/>
      <c r="O29" s="304"/>
      <c r="P29" s="304"/>
      <c r="Q29" s="305"/>
      <c r="R29" s="304"/>
      <c r="S29" s="304"/>
      <c r="T29" s="307"/>
      <c r="U29" s="304"/>
      <c r="V29" s="304"/>
      <c r="W29" s="290" t="s">
        <v>2</v>
      </c>
      <c r="X29" s="304">
        <v>0</v>
      </c>
      <c r="Y29" s="304"/>
      <c r="Z29" s="303">
        <f t="shared" si="1"/>
        <v>0</v>
      </c>
      <c r="AA29" s="411">
        <f t="shared" si="2"/>
        <v>0</v>
      </c>
    </row>
    <row r="30" spans="1:27" s="288" customFormat="1">
      <c r="A30" s="294">
        <v>22</v>
      </c>
      <c r="B30" s="290"/>
      <c r="C30" s="295"/>
      <c r="D30" s="295"/>
      <c r="E30" s="293"/>
      <c r="F30" s="293"/>
      <c r="G30" s="306">
        <f t="shared" si="0"/>
        <v>0</v>
      </c>
      <c r="H30" s="304"/>
      <c r="I30" s="304"/>
      <c r="J30" s="304"/>
      <c r="K30" s="304"/>
      <c r="L30" s="304"/>
      <c r="M30" s="304"/>
      <c r="N30" s="305"/>
      <c r="O30" s="304"/>
      <c r="P30" s="304"/>
      <c r="Q30" s="305"/>
      <c r="R30" s="304"/>
      <c r="S30" s="304"/>
      <c r="T30" s="307"/>
      <c r="U30" s="304"/>
      <c r="V30" s="304"/>
      <c r="W30" s="290" t="s">
        <v>2</v>
      </c>
      <c r="X30" s="304">
        <v>0</v>
      </c>
      <c r="Y30" s="304"/>
      <c r="Z30" s="303">
        <f t="shared" si="1"/>
        <v>0</v>
      </c>
      <c r="AA30" s="411">
        <f t="shared" si="2"/>
        <v>0</v>
      </c>
    </row>
    <row r="31" spans="1:27" s="288" customFormat="1">
      <c r="A31" s="294">
        <v>23</v>
      </c>
      <c r="B31" s="290"/>
      <c r="C31" s="295"/>
      <c r="D31" s="295"/>
      <c r="E31" s="293"/>
      <c r="F31" s="293"/>
      <c r="G31" s="306">
        <f t="shared" si="0"/>
        <v>0</v>
      </c>
      <c r="H31" s="304"/>
      <c r="I31" s="304"/>
      <c r="J31" s="304"/>
      <c r="K31" s="304"/>
      <c r="L31" s="304"/>
      <c r="M31" s="304"/>
      <c r="N31" s="305"/>
      <c r="O31" s="304"/>
      <c r="P31" s="304"/>
      <c r="Q31" s="305"/>
      <c r="R31" s="304"/>
      <c r="S31" s="304"/>
      <c r="T31" s="307"/>
      <c r="U31" s="304"/>
      <c r="V31" s="304"/>
      <c r="W31" s="290" t="s">
        <v>2</v>
      </c>
      <c r="X31" s="304">
        <v>0</v>
      </c>
      <c r="Y31" s="304"/>
      <c r="Z31" s="303">
        <f t="shared" si="1"/>
        <v>0</v>
      </c>
      <c r="AA31" s="411">
        <f t="shared" si="2"/>
        <v>0</v>
      </c>
    </row>
    <row r="32" spans="1:27" s="288" customFormat="1">
      <c r="A32" s="294">
        <v>24</v>
      </c>
      <c r="B32" s="290"/>
      <c r="C32" s="295"/>
      <c r="D32" s="295"/>
      <c r="E32" s="293"/>
      <c r="F32" s="293"/>
      <c r="G32" s="306">
        <f t="shared" si="0"/>
        <v>0</v>
      </c>
      <c r="H32" s="304"/>
      <c r="I32" s="304"/>
      <c r="J32" s="304"/>
      <c r="K32" s="304"/>
      <c r="L32" s="304"/>
      <c r="M32" s="304"/>
      <c r="N32" s="305"/>
      <c r="O32" s="304"/>
      <c r="P32" s="304"/>
      <c r="Q32" s="305"/>
      <c r="R32" s="304"/>
      <c r="S32" s="304"/>
      <c r="T32" s="307"/>
      <c r="U32" s="304"/>
      <c r="V32" s="304"/>
      <c r="W32" s="290" t="s">
        <v>2</v>
      </c>
      <c r="X32" s="304">
        <v>0</v>
      </c>
      <c r="Y32" s="304"/>
      <c r="Z32" s="303">
        <f t="shared" si="1"/>
        <v>0</v>
      </c>
      <c r="AA32" s="411">
        <f t="shared" si="2"/>
        <v>0</v>
      </c>
    </row>
    <row r="33" spans="1:27" s="288" customFormat="1">
      <c r="A33" s="294">
        <v>25</v>
      </c>
      <c r="B33" s="290"/>
      <c r="C33" s="295"/>
      <c r="D33" s="295"/>
      <c r="E33" s="293"/>
      <c r="F33" s="293"/>
      <c r="G33" s="306">
        <f t="shared" si="0"/>
        <v>0</v>
      </c>
      <c r="H33" s="304"/>
      <c r="I33" s="304"/>
      <c r="J33" s="304"/>
      <c r="K33" s="304"/>
      <c r="L33" s="304"/>
      <c r="M33" s="304"/>
      <c r="N33" s="305"/>
      <c r="O33" s="304"/>
      <c r="P33" s="304"/>
      <c r="Q33" s="305"/>
      <c r="R33" s="304"/>
      <c r="S33" s="304"/>
      <c r="T33" s="307"/>
      <c r="U33" s="304"/>
      <c r="V33" s="304"/>
      <c r="W33" s="290" t="s">
        <v>2</v>
      </c>
      <c r="X33" s="304">
        <v>0</v>
      </c>
      <c r="Y33" s="304"/>
      <c r="Z33" s="303">
        <f t="shared" si="1"/>
        <v>0</v>
      </c>
      <c r="AA33" s="411">
        <f t="shared" si="2"/>
        <v>0</v>
      </c>
    </row>
    <row r="34" spans="1:27" s="288" customFormat="1">
      <c r="A34" s="294">
        <v>26</v>
      </c>
      <c r="B34" s="290"/>
      <c r="C34" s="295"/>
      <c r="D34" s="295"/>
      <c r="E34" s="293"/>
      <c r="F34" s="293"/>
      <c r="G34" s="306">
        <f t="shared" ref="G34:G58" si="3">+H34+I34+J34+K34+M34+O34+Q34+S34</f>
        <v>0</v>
      </c>
      <c r="H34" s="304"/>
      <c r="I34" s="304"/>
      <c r="J34" s="304"/>
      <c r="K34" s="304"/>
      <c r="L34" s="304"/>
      <c r="M34" s="304"/>
      <c r="N34" s="305"/>
      <c r="O34" s="304"/>
      <c r="P34" s="304"/>
      <c r="Q34" s="304"/>
      <c r="R34" s="304"/>
      <c r="S34" s="304"/>
      <c r="T34" s="307"/>
      <c r="U34" s="304"/>
      <c r="V34" s="304"/>
      <c r="W34" s="290" t="s">
        <v>2</v>
      </c>
      <c r="X34" s="304">
        <v>0</v>
      </c>
      <c r="Y34" s="304"/>
      <c r="Z34" s="303">
        <f t="shared" ref="Z34:Z58" si="4">+G34-V34-X34</f>
        <v>0</v>
      </c>
      <c r="AA34" s="411">
        <f t="shared" si="2"/>
        <v>0</v>
      </c>
    </row>
    <row r="35" spans="1:27" s="288" customFormat="1">
      <c r="A35" s="294">
        <v>27</v>
      </c>
      <c r="B35" s="290"/>
      <c r="C35" s="295"/>
      <c r="D35" s="295"/>
      <c r="E35" s="293"/>
      <c r="F35" s="293"/>
      <c r="G35" s="306">
        <f t="shared" si="3"/>
        <v>0</v>
      </c>
      <c r="H35" s="304"/>
      <c r="I35" s="304"/>
      <c r="J35" s="304"/>
      <c r="K35" s="304"/>
      <c r="L35" s="304"/>
      <c r="M35" s="304"/>
      <c r="N35" s="305"/>
      <c r="O35" s="304"/>
      <c r="P35" s="304"/>
      <c r="Q35" s="304"/>
      <c r="R35" s="304"/>
      <c r="S35" s="304"/>
      <c r="T35" s="307"/>
      <c r="U35" s="304"/>
      <c r="V35" s="304"/>
      <c r="W35" s="290" t="s">
        <v>2</v>
      </c>
      <c r="X35" s="304">
        <v>0</v>
      </c>
      <c r="Y35" s="304"/>
      <c r="Z35" s="303">
        <f t="shared" si="4"/>
        <v>0</v>
      </c>
      <c r="AA35" s="411">
        <f t="shared" si="2"/>
        <v>0</v>
      </c>
    </row>
    <row r="36" spans="1:27" s="288" customFormat="1">
      <c r="A36" s="294">
        <v>28</v>
      </c>
      <c r="B36" s="290"/>
      <c r="C36" s="295"/>
      <c r="D36" s="295"/>
      <c r="E36" s="293"/>
      <c r="F36" s="293"/>
      <c r="G36" s="306">
        <f t="shared" si="3"/>
        <v>0</v>
      </c>
      <c r="H36" s="304"/>
      <c r="I36" s="304"/>
      <c r="J36" s="304"/>
      <c r="K36" s="304"/>
      <c r="L36" s="304"/>
      <c r="M36" s="304"/>
      <c r="N36" s="305"/>
      <c r="O36" s="304"/>
      <c r="P36" s="304"/>
      <c r="Q36" s="304"/>
      <c r="R36" s="304"/>
      <c r="S36" s="304"/>
      <c r="T36" s="307"/>
      <c r="U36" s="304"/>
      <c r="V36" s="304"/>
      <c r="W36" s="290" t="s">
        <v>2</v>
      </c>
      <c r="X36" s="304">
        <v>0</v>
      </c>
      <c r="Y36" s="304"/>
      <c r="Z36" s="303">
        <f t="shared" si="4"/>
        <v>0</v>
      </c>
      <c r="AA36" s="411">
        <f t="shared" si="2"/>
        <v>0</v>
      </c>
    </row>
    <row r="37" spans="1:27" s="288" customFormat="1">
      <c r="A37" s="294">
        <v>29</v>
      </c>
      <c r="B37" s="290"/>
      <c r="C37" s="295"/>
      <c r="D37" s="295"/>
      <c r="E37" s="293"/>
      <c r="F37" s="293"/>
      <c r="G37" s="306">
        <f t="shared" si="3"/>
        <v>0</v>
      </c>
      <c r="H37" s="304"/>
      <c r="I37" s="304"/>
      <c r="J37" s="304"/>
      <c r="K37" s="304"/>
      <c r="L37" s="304"/>
      <c r="M37" s="304"/>
      <c r="N37" s="305"/>
      <c r="O37" s="304"/>
      <c r="P37" s="304"/>
      <c r="Q37" s="304"/>
      <c r="R37" s="304"/>
      <c r="S37" s="304"/>
      <c r="T37" s="307"/>
      <c r="U37" s="304"/>
      <c r="V37" s="304"/>
      <c r="W37" s="290" t="s">
        <v>2</v>
      </c>
      <c r="X37" s="304">
        <v>0</v>
      </c>
      <c r="Y37" s="304"/>
      <c r="Z37" s="303">
        <f t="shared" si="4"/>
        <v>0</v>
      </c>
      <c r="AA37" s="411">
        <f t="shared" si="2"/>
        <v>0</v>
      </c>
    </row>
    <row r="38" spans="1:27" s="288" customFormat="1">
      <c r="A38" s="294">
        <v>30</v>
      </c>
      <c r="B38" s="290"/>
      <c r="C38" s="295"/>
      <c r="D38" s="295"/>
      <c r="E38" s="293"/>
      <c r="F38" s="293"/>
      <c r="G38" s="306">
        <f t="shared" si="3"/>
        <v>0</v>
      </c>
      <c r="H38" s="304"/>
      <c r="I38" s="304"/>
      <c r="J38" s="304"/>
      <c r="K38" s="304"/>
      <c r="L38" s="304"/>
      <c r="M38" s="304"/>
      <c r="N38" s="305"/>
      <c r="O38" s="304"/>
      <c r="P38" s="304"/>
      <c r="Q38" s="304"/>
      <c r="R38" s="304"/>
      <c r="S38" s="304"/>
      <c r="T38" s="307"/>
      <c r="U38" s="304"/>
      <c r="V38" s="304"/>
      <c r="W38" s="290" t="s">
        <v>2</v>
      </c>
      <c r="X38" s="304">
        <v>0</v>
      </c>
      <c r="Y38" s="304"/>
      <c r="Z38" s="303">
        <f t="shared" si="4"/>
        <v>0</v>
      </c>
      <c r="AA38" s="411">
        <f t="shared" si="2"/>
        <v>0</v>
      </c>
    </row>
    <row r="39" spans="1:27" s="288" customFormat="1">
      <c r="A39" s="294">
        <v>31</v>
      </c>
      <c r="B39" s="290"/>
      <c r="C39" s="295"/>
      <c r="D39" s="295"/>
      <c r="E39" s="293"/>
      <c r="F39" s="293"/>
      <c r="G39" s="306">
        <f t="shared" si="3"/>
        <v>0</v>
      </c>
      <c r="H39" s="304"/>
      <c r="I39" s="304"/>
      <c r="J39" s="304"/>
      <c r="K39" s="304"/>
      <c r="L39" s="304"/>
      <c r="M39" s="304"/>
      <c r="N39" s="305"/>
      <c r="O39" s="304"/>
      <c r="P39" s="304"/>
      <c r="Q39" s="304"/>
      <c r="R39" s="304"/>
      <c r="S39" s="304"/>
      <c r="T39" s="307"/>
      <c r="U39" s="304"/>
      <c r="V39" s="304"/>
      <c r="W39" s="290" t="s">
        <v>2</v>
      </c>
      <c r="X39" s="304">
        <v>0</v>
      </c>
      <c r="Y39" s="304"/>
      <c r="Z39" s="303">
        <f t="shared" si="4"/>
        <v>0</v>
      </c>
      <c r="AA39" s="411">
        <f t="shared" si="2"/>
        <v>0</v>
      </c>
    </row>
    <row r="40" spans="1:27" s="288" customFormat="1">
      <c r="A40" s="294">
        <v>32</v>
      </c>
      <c r="B40" s="290"/>
      <c r="C40" s="295"/>
      <c r="D40" s="295"/>
      <c r="E40" s="293"/>
      <c r="F40" s="293"/>
      <c r="G40" s="306">
        <f t="shared" si="3"/>
        <v>0</v>
      </c>
      <c r="H40" s="304"/>
      <c r="I40" s="304"/>
      <c r="J40" s="304"/>
      <c r="K40" s="304"/>
      <c r="L40" s="304"/>
      <c r="M40" s="304"/>
      <c r="N40" s="305"/>
      <c r="O40" s="304"/>
      <c r="P40" s="304"/>
      <c r="Q40" s="304"/>
      <c r="R40" s="304"/>
      <c r="S40" s="304"/>
      <c r="T40" s="307"/>
      <c r="U40" s="304"/>
      <c r="V40" s="304"/>
      <c r="W40" s="290" t="s">
        <v>2</v>
      </c>
      <c r="X40" s="304">
        <v>0</v>
      </c>
      <c r="Y40" s="304"/>
      <c r="Z40" s="303">
        <f t="shared" si="4"/>
        <v>0</v>
      </c>
      <c r="AA40" s="411">
        <f t="shared" si="2"/>
        <v>0</v>
      </c>
    </row>
    <row r="41" spans="1:27" s="288" customFormat="1">
      <c r="A41" s="294">
        <v>33</v>
      </c>
      <c r="B41" s="290"/>
      <c r="C41" s="295"/>
      <c r="D41" s="295"/>
      <c r="E41" s="293"/>
      <c r="F41" s="293"/>
      <c r="G41" s="306">
        <f t="shared" si="3"/>
        <v>0</v>
      </c>
      <c r="H41" s="304"/>
      <c r="I41" s="304"/>
      <c r="J41" s="304"/>
      <c r="K41" s="304"/>
      <c r="L41" s="304"/>
      <c r="M41" s="304"/>
      <c r="N41" s="305"/>
      <c r="O41" s="304"/>
      <c r="P41" s="304"/>
      <c r="Q41" s="305"/>
      <c r="R41" s="304"/>
      <c r="S41" s="304"/>
      <c r="T41" s="307"/>
      <c r="U41" s="304"/>
      <c r="V41" s="304"/>
      <c r="W41" s="290" t="s">
        <v>2</v>
      </c>
      <c r="X41" s="304">
        <v>0</v>
      </c>
      <c r="Y41" s="304"/>
      <c r="Z41" s="303">
        <f t="shared" si="4"/>
        <v>0</v>
      </c>
      <c r="AA41" s="411">
        <f t="shared" ref="AA41:AA72" si="5">SUMIF($F$9:$F$88,$F41,$Z$9:$Z$88)</f>
        <v>0</v>
      </c>
    </row>
    <row r="42" spans="1:27" s="288" customFormat="1">
      <c r="A42" s="294">
        <v>34</v>
      </c>
      <c r="B42" s="290"/>
      <c r="C42" s="295"/>
      <c r="D42" s="295"/>
      <c r="E42" s="293"/>
      <c r="F42" s="293"/>
      <c r="G42" s="306">
        <f t="shared" si="3"/>
        <v>0</v>
      </c>
      <c r="H42" s="304"/>
      <c r="I42" s="304"/>
      <c r="J42" s="304"/>
      <c r="K42" s="304"/>
      <c r="L42" s="304"/>
      <c r="M42" s="304"/>
      <c r="N42" s="305"/>
      <c r="O42" s="304"/>
      <c r="P42" s="304"/>
      <c r="Q42" s="305"/>
      <c r="R42" s="304"/>
      <c r="S42" s="304"/>
      <c r="T42" s="307"/>
      <c r="U42" s="304"/>
      <c r="V42" s="304"/>
      <c r="W42" s="290" t="s">
        <v>2</v>
      </c>
      <c r="X42" s="304">
        <v>0</v>
      </c>
      <c r="Y42" s="304"/>
      <c r="Z42" s="303">
        <f t="shared" si="4"/>
        <v>0</v>
      </c>
      <c r="AA42" s="411">
        <f t="shared" si="5"/>
        <v>0</v>
      </c>
    </row>
    <row r="43" spans="1:27" s="288" customFormat="1">
      <c r="A43" s="294">
        <v>35</v>
      </c>
      <c r="B43" s="290"/>
      <c r="C43" s="295"/>
      <c r="D43" s="295"/>
      <c r="E43" s="293"/>
      <c r="F43" s="293"/>
      <c r="G43" s="306">
        <f t="shared" si="3"/>
        <v>0</v>
      </c>
      <c r="H43" s="304"/>
      <c r="I43" s="304"/>
      <c r="J43" s="304"/>
      <c r="K43" s="304"/>
      <c r="L43" s="304"/>
      <c r="M43" s="304"/>
      <c r="N43" s="305"/>
      <c r="O43" s="304"/>
      <c r="P43" s="304"/>
      <c r="Q43" s="305"/>
      <c r="R43" s="304"/>
      <c r="S43" s="304"/>
      <c r="T43" s="307"/>
      <c r="U43" s="304"/>
      <c r="V43" s="304"/>
      <c r="W43" s="290" t="s">
        <v>2</v>
      </c>
      <c r="X43" s="304">
        <v>0</v>
      </c>
      <c r="Y43" s="304"/>
      <c r="Z43" s="303">
        <f t="shared" si="4"/>
        <v>0</v>
      </c>
      <c r="AA43" s="411">
        <f t="shared" si="5"/>
        <v>0</v>
      </c>
    </row>
    <row r="44" spans="1:27" s="288" customFormat="1">
      <c r="A44" s="294">
        <v>36</v>
      </c>
      <c r="B44" s="290"/>
      <c r="C44" s="295"/>
      <c r="D44" s="295"/>
      <c r="E44" s="293"/>
      <c r="F44" s="293"/>
      <c r="G44" s="306">
        <f t="shared" si="3"/>
        <v>0</v>
      </c>
      <c r="H44" s="304"/>
      <c r="I44" s="304"/>
      <c r="J44" s="304"/>
      <c r="K44" s="304"/>
      <c r="L44" s="304"/>
      <c r="M44" s="304"/>
      <c r="N44" s="305"/>
      <c r="O44" s="304"/>
      <c r="P44" s="304"/>
      <c r="Q44" s="305"/>
      <c r="R44" s="304"/>
      <c r="S44" s="304"/>
      <c r="T44" s="307"/>
      <c r="U44" s="304"/>
      <c r="V44" s="304"/>
      <c r="W44" s="290" t="s">
        <v>2</v>
      </c>
      <c r="X44" s="304">
        <v>0</v>
      </c>
      <c r="Y44" s="304"/>
      <c r="Z44" s="303">
        <f t="shared" si="4"/>
        <v>0</v>
      </c>
      <c r="AA44" s="411">
        <f t="shared" si="5"/>
        <v>0</v>
      </c>
    </row>
    <row r="45" spans="1:27" s="288" customFormat="1">
      <c r="A45" s="294">
        <v>37</v>
      </c>
      <c r="B45" s="290"/>
      <c r="C45" s="295"/>
      <c r="D45" s="295"/>
      <c r="E45" s="293"/>
      <c r="F45" s="293"/>
      <c r="G45" s="306">
        <f t="shared" si="3"/>
        <v>0</v>
      </c>
      <c r="H45" s="304"/>
      <c r="I45" s="304"/>
      <c r="J45" s="304"/>
      <c r="K45" s="304"/>
      <c r="L45" s="304"/>
      <c r="M45" s="304"/>
      <c r="N45" s="305"/>
      <c r="O45" s="304"/>
      <c r="P45" s="304"/>
      <c r="Q45" s="305"/>
      <c r="R45" s="304"/>
      <c r="S45" s="304"/>
      <c r="T45" s="307"/>
      <c r="U45" s="304"/>
      <c r="V45" s="304"/>
      <c r="W45" s="290" t="s">
        <v>2</v>
      </c>
      <c r="X45" s="304">
        <v>0</v>
      </c>
      <c r="Y45" s="304"/>
      <c r="Z45" s="303">
        <f t="shared" si="4"/>
        <v>0</v>
      </c>
      <c r="AA45" s="411">
        <f t="shared" si="5"/>
        <v>0</v>
      </c>
    </row>
    <row r="46" spans="1:27" s="288" customFormat="1">
      <c r="A46" s="294">
        <v>38</v>
      </c>
      <c r="B46" s="290"/>
      <c r="C46" s="295"/>
      <c r="D46" s="295"/>
      <c r="E46" s="293"/>
      <c r="F46" s="293"/>
      <c r="G46" s="306">
        <f t="shared" si="3"/>
        <v>0</v>
      </c>
      <c r="H46" s="304"/>
      <c r="I46" s="304"/>
      <c r="J46" s="304"/>
      <c r="K46" s="304"/>
      <c r="L46" s="304"/>
      <c r="M46" s="304"/>
      <c r="N46" s="305"/>
      <c r="O46" s="304"/>
      <c r="P46" s="304"/>
      <c r="Q46" s="305"/>
      <c r="R46" s="304"/>
      <c r="S46" s="304"/>
      <c r="T46" s="307"/>
      <c r="U46" s="304"/>
      <c r="V46" s="304"/>
      <c r="W46" s="290" t="s">
        <v>2</v>
      </c>
      <c r="X46" s="304">
        <v>0</v>
      </c>
      <c r="Y46" s="304"/>
      <c r="Z46" s="303">
        <f t="shared" si="4"/>
        <v>0</v>
      </c>
      <c r="AA46" s="411">
        <f t="shared" si="5"/>
        <v>0</v>
      </c>
    </row>
    <row r="47" spans="1:27" s="288" customFormat="1">
      <c r="A47" s="294">
        <v>39</v>
      </c>
      <c r="B47" s="290"/>
      <c r="C47" s="290"/>
      <c r="D47" s="295"/>
      <c r="E47" s="293"/>
      <c r="F47" s="293"/>
      <c r="G47" s="306">
        <f t="shared" si="3"/>
        <v>0</v>
      </c>
      <c r="H47" s="304"/>
      <c r="I47" s="304"/>
      <c r="J47" s="304"/>
      <c r="K47" s="304"/>
      <c r="L47" s="304"/>
      <c r="M47" s="304"/>
      <c r="N47" s="305"/>
      <c r="O47" s="304"/>
      <c r="P47" s="304"/>
      <c r="Q47" s="305"/>
      <c r="R47" s="304"/>
      <c r="S47" s="304"/>
      <c r="T47" s="307"/>
      <c r="U47" s="304"/>
      <c r="V47" s="304"/>
      <c r="W47" s="290" t="s">
        <v>2</v>
      </c>
      <c r="X47" s="304">
        <v>0</v>
      </c>
      <c r="Y47" s="304"/>
      <c r="Z47" s="303">
        <f t="shared" si="4"/>
        <v>0</v>
      </c>
      <c r="AA47" s="411">
        <f t="shared" si="5"/>
        <v>0</v>
      </c>
    </row>
    <row r="48" spans="1:27" s="288" customFormat="1">
      <c r="A48" s="294">
        <v>40</v>
      </c>
      <c r="B48" s="290"/>
      <c r="C48" s="290"/>
      <c r="D48" s="290"/>
      <c r="E48" s="293"/>
      <c r="F48" s="293"/>
      <c r="G48" s="306">
        <f t="shared" si="3"/>
        <v>0</v>
      </c>
      <c r="H48" s="304"/>
      <c r="I48" s="304"/>
      <c r="J48" s="304"/>
      <c r="K48" s="304"/>
      <c r="L48" s="304"/>
      <c r="M48" s="304"/>
      <c r="N48" s="305"/>
      <c r="O48" s="304"/>
      <c r="P48" s="304"/>
      <c r="Q48" s="305"/>
      <c r="R48" s="304"/>
      <c r="S48" s="304"/>
      <c r="T48" s="307"/>
      <c r="U48" s="304"/>
      <c r="V48" s="304"/>
      <c r="W48" s="290" t="s">
        <v>2</v>
      </c>
      <c r="X48" s="304">
        <v>0</v>
      </c>
      <c r="Y48" s="304"/>
      <c r="Z48" s="303">
        <f t="shared" si="4"/>
        <v>0</v>
      </c>
      <c r="AA48" s="411">
        <f t="shared" si="5"/>
        <v>0</v>
      </c>
    </row>
    <row r="49" spans="1:27" s="288" customFormat="1">
      <c r="A49" s="294">
        <v>41</v>
      </c>
      <c r="B49" s="290"/>
      <c r="C49" s="290"/>
      <c r="D49" s="290"/>
      <c r="E49" s="293"/>
      <c r="F49" s="293"/>
      <c r="G49" s="306">
        <f t="shared" si="3"/>
        <v>0</v>
      </c>
      <c r="H49" s="304"/>
      <c r="I49" s="304"/>
      <c r="J49" s="304"/>
      <c r="K49" s="304"/>
      <c r="L49" s="304"/>
      <c r="M49" s="304"/>
      <c r="N49" s="305"/>
      <c r="O49" s="305"/>
      <c r="P49" s="305"/>
      <c r="Q49" s="305"/>
      <c r="R49" s="304"/>
      <c r="S49" s="304"/>
      <c r="T49" s="307"/>
      <c r="U49" s="304"/>
      <c r="V49" s="304"/>
      <c r="W49" s="290" t="s">
        <v>2</v>
      </c>
      <c r="X49" s="304">
        <v>0</v>
      </c>
      <c r="Y49" s="304"/>
      <c r="Z49" s="303">
        <f t="shared" si="4"/>
        <v>0</v>
      </c>
      <c r="AA49" s="411">
        <f t="shared" si="5"/>
        <v>0</v>
      </c>
    </row>
    <row r="50" spans="1:27" s="288" customFormat="1">
      <c r="A50" s="294">
        <v>42</v>
      </c>
      <c r="B50" s="290"/>
      <c r="C50" s="290"/>
      <c r="D50" s="290"/>
      <c r="E50" s="293"/>
      <c r="F50" s="293"/>
      <c r="G50" s="306">
        <f t="shared" si="3"/>
        <v>0</v>
      </c>
      <c r="H50" s="304"/>
      <c r="I50" s="304"/>
      <c r="J50" s="304"/>
      <c r="K50" s="304"/>
      <c r="L50" s="304"/>
      <c r="M50" s="304"/>
      <c r="N50" s="305"/>
      <c r="O50" s="305"/>
      <c r="P50" s="305"/>
      <c r="Q50" s="305"/>
      <c r="R50" s="304"/>
      <c r="S50" s="304"/>
      <c r="T50" s="307"/>
      <c r="U50" s="304"/>
      <c r="V50" s="304"/>
      <c r="W50" s="290" t="s">
        <v>2</v>
      </c>
      <c r="X50" s="304">
        <v>0</v>
      </c>
      <c r="Y50" s="304"/>
      <c r="Z50" s="303">
        <f t="shared" si="4"/>
        <v>0</v>
      </c>
      <c r="AA50" s="411">
        <f t="shared" si="5"/>
        <v>0</v>
      </c>
    </row>
    <row r="51" spans="1:27" s="288" customFormat="1">
      <c r="A51" s="294">
        <v>43</v>
      </c>
      <c r="B51" s="290"/>
      <c r="C51" s="290"/>
      <c r="D51" s="290"/>
      <c r="E51" s="293"/>
      <c r="F51" s="293"/>
      <c r="G51" s="306">
        <f t="shared" si="3"/>
        <v>0</v>
      </c>
      <c r="H51" s="304"/>
      <c r="I51" s="304"/>
      <c r="J51" s="304"/>
      <c r="K51" s="304"/>
      <c r="L51" s="304"/>
      <c r="M51" s="304"/>
      <c r="N51" s="305"/>
      <c r="O51" s="305"/>
      <c r="P51" s="305"/>
      <c r="Q51" s="305"/>
      <c r="R51" s="304"/>
      <c r="S51" s="304"/>
      <c r="T51" s="307"/>
      <c r="U51" s="304"/>
      <c r="V51" s="304"/>
      <c r="W51" s="290" t="s">
        <v>2</v>
      </c>
      <c r="X51" s="304">
        <v>0</v>
      </c>
      <c r="Y51" s="304"/>
      <c r="Z51" s="303">
        <f t="shared" si="4"/>
        <v>0</v>
      </c>
      <c r="AA51" s="411">
        <f t="shared" si="5"/>
        <v>0</v>
      </c>
    </row>
    <row r="52" spans="1:27" s="288" customFormat="1">
      <c r="A52" s="294">
        <v>44</v>
      </c>
      <c r="B52" s="290"/>
      <c r="C52" s="290"/>
      <c r="D52" s="290"/>
      <c r="E52" s="293"/>
      <c r="F52" s="293"/>
      <c r="G52" s="306">
        <f t="shared" si="3"/>
        <v>0</v>
      </c>
      <c r="H52" s="304"/>
      <c r="I52" s="304"/>
      <c r="J52" s="304"/>
      <c r="K52" s="304"/>
      <c r="L52" s="304"/>
      <c r="M52" s="304"/>
      <c r="N52" s="305"/>
      <c r="O52" s="305"/>
      <c r="P52" s="304"/>
      <c r="Q52" s="305"/>
      <c r="R52" s="304"/>
      <c r="S52" s="304"/>
      <c r="T52" s="307"/>
      <c r="U52" s="304"/>
      <c r="V52" s="304"/>
      <c r="W52" s="290" t="s">
        <v>2</v>
      </c>
      <c r="X52" s="304">
        <v>0</v>
      </c>
      <c r="Y52" s="304"/>
      <c r="Z52" s="303">
        <f t="shared" si="4"/>
        <v>0</v>
      </c>
      <c r="AA52" s="411">
        <f t="shared" si="5"/>
        <v>0</v>
      </c>
    </row>
    <row r="53" spans="1:27" s="288" customFormat="1">
      <c r="A53" s="294">
        <v>45</v>
      </c>
      <c r="B53" s="290"/>
      <c r="C53" s="290"/>
      <c r="D53" s="290"/>
      <c r="E53" s="293"/>
      <c r="F53" s="293"/>
      <c r="G53" s="306">
        <f t="shared" si="3"/>
        <v>0</v>
      </c>
      <c r="H53" s="304"/>
      <c r="I53" s="304"/>
      <c r="J53" s="304"/>
      <c r="K53" s="304"/>
      <c r="L53" s="304"/>
      <c r="M53" s="304"/>
      <c r="N53" s="305"/>
      <c r="O53" s="305"/>
      <c r="P53" s="304"/>
      <c r="Q53" s="305"/>
      <c r="R53" s="304"/>
      <c r="S53" s="304"/>
      <c r="T53" s="307"/>
      <c r="U53" s="304"/>
      <c r="V53" s="304"/>
      <c r="W53" s="304"/>
      <c r="X53" s="304"/>
      <c r="Y53" s="304"/>
      <c r="Z53" s="303">
        <f t="shared" si="4"/>
        <v>0</v>
      </c>
      <c r="AA53" s="411">
        <f t="shared" si="5"/>
        <v>0</v>
      </c>
    </row>
    <row r="54" spans="1:27" s="288" customFormat="1">
      <c r="A54" s="294">
        <v>46</v>
      </c>
      <c r="B54" s="290"/>
      <c r="C54" s="290"/>
      <c r="D54" s="290"/>
      <c r="E54" s="293"/>
      <c r="F54" s="293"/>
      <c r="G54" s="306">
        <f t="shared" si="3"/>
        <v>0</v>
      </c>
      <c r="H54" s="304"/>
      <c r="I54" s="304"/>
      <c r="J54" s="304"/>
      <c r="K54" s="304"/>
      <c r="L54" s="304"/>
      <c r="M54" s="304"/>
      <c r="N54" s="305"/>
      <c r="O54" s="305"/>
      <c r="P54" s="304"/>
      <c r="Q54" s="305"/>
      <c r="R54" s="304"/>
      <c r="S54" s="304"/>
      <c r="T54" s="307"/>
      <c r="U54" s="304"/>
      <c r="V54" s="304"/>
      <c r="W54" s="304"/>
      <c r="X54" s="304"/>
      <c r="Y54" s="304"/>
      <c r="Z54" s="303">
        <f t="shared" si="4"/>
        <v>0</v>
      </c>
      <c r="AA54" s="411">
        <f t="shared" si="5"/>
        <v>0</v>
      </c>
    </row>
    <row r="55" spans="1:27" s="288" customFormat="1">
      <c r="A55" s="294">
        <v>47</v>
      </c>
      <c r="B55" s="290"/>
      <c r="C55" s="290"/>
      <c r="D55" s="290"/>
      <c r="E55" s="293"/>
      <c r="F55" s="293"/>
      <c r="G55" s="306">
        <f t="shared" si="3"/>
        <v>0</v>
      </c>
      <c r="H55" s="304"/>
      <c r="I55" s="304"/>
      <c r="J55" s="304"/>
      <c r="K55" s="304"/>
      <c r="L55" s="304"/>
      <c r="M55" s="304"/>
      <c r="N55" s="305"/>
      <c r="O55" s="305"/>
      <c r="P55" s="18"/>
      <c r="Q55" s="305"/>
      <c r="R55" s="304"/>
      <c r="S55" s="304"/>
      <c r="T55" s="307"/>
      <c r="U55" s="304"/>
      <c r="V55" s="304"/>
      <c r="W55" s="304"/>
      <c r="X55" s="304"/>
      <c r="Y55" s="304"/>
      <c r="Z55" s="303">
        <f t="shared" si="4"/>
        <v>0</v>
      </c>
      <c r="AA55" s="411">
        <f t="shared" si="5"/>
        <v>0</v>
      </c>
    </row>
    <row r="56" spans="1:27" s="288" customFormat="1">
      <c r="A56" s="294">
        <v>48</v>
      </c>
      <c r="B56" s="290"/>
      <c r="C56" s="290"/>
      <c r="D56" s="290"/>
      <c r="E56" s="293"/>
      <c r="F56" s="293"/>
      <c r="G56" s="306">
        <f t="shared" si="3"/>
        <v>0</v>
      </c>
      <c r="H56" s="304"/>
      <c r="I56" s="304"/>
      <c r="J56" s="304"/>
      <c r="K56" s="304"/>
      <c r="L56" s="304"/>
      <c r="M56" s="304"/>
      <c r="N56" s="305"/>
      <c r="O56" s="305"/>
      <c r="P56" s="305"/>
      <c r="Q56" s="305"/>
      <c r="R56" s="304"/>
      <c r="S56" s="304"/>
      <c r="T56" s="307"/>
      <c r="U56" s="304"/>
      <c r="V56" s="304"/>
      <c r="W56" s="304"/>
      <c r="X56" s="304"/>
      <c r="Y56" s="304"/>
      <c r="Z56" s="303">
        <f t="shared" si="4"/>
        <v>0</v>
      </c>
      <c r="AA56" s="411">
        <f t="shared" si="5"/>
        <v>0</v>
      </c>
    </row>
    <row r="57" spans="1:27" s="288" customFormat="1">
      <c r="A57" s="294">
        <v>49</v>
      </c>
      <c r="B57" s="290"/>
      <c r="C57" s="290"/>
      <c r="D57" s="290"/>
      <c r="E57" s="293"/>
      <c r="F57" s="293"/>
      <c r="G57" s="306">
        <f t="shared" si="3"/>
        <v>0</v>
      </c>
      <c r="H57" s="304"/>
      <c r="I57" s="304"/>
      <c r="J57" s="304"/>
      <c r="K57" s="304"/>
      <c r="L57" s="304"/>
      <c r="M57" s="304"/>
      <c r="N57" s="305"/>
      <c r="O57" s="305"/>
      <c r="P57" s="305"/>
      <c r="Q57" s="305"/>
      <c r="R57" s="304"/>
      <c r="S57" s="304"/>
      <c r="T57" s="307"/>
      <c r="U57" s="304"/>
      <c r="V57" s="304"/>
      <c r="W57" s="304"/>
      <c r="X57" s="304"/>
      <c r="Y57" s="304"/>
      <c r="Z57" s="303">
        <f t="shared" si="4"/>
        <v>0</v>
      </c>
      <c r="AA57" s="411">
        <f t="shared" si="5"/>
        <v>0</v>
      </c>
    </row>
    <row r="58" spans="1:27" s="288" customFormat="1">
      <c r="A58" s="294">
        <v>50</v>
      </c>
      <c r="B58" s="290"/>
      <c r="C58" s="290"/>
      <c r="D58" s="290"/>
      <c r="E58" s="293"/>
      <c r="F58" s="293"/>
      <c r="G58" s="306">
        <f t="shared" si="3"/>
        <v>0</v>
      </c>
      <c r="H58" s="304"/>
      <c r="I58" s="304"/>
      <c r="J58" s="304"/>
      <c r="K58" s="304"/>
      <c r="L58" s="304"/>
      <c r="M58" s="304"/>
      <c r="N58" s="305"/>
      <c r="O58" s="305"/>
      <c r="P58" s="305"/>
      <c r="Q58" s="305"/>
      <c r="R58" s="304"/>
      <c r="S58" s="304"/>
      <c r="T58" s="304"/>
      <c r="U58" s="304"/>
      <c r="V58" s="304"/>
      <c r="W58" s="304"/>
      <c r="X58" s="304"/>
      <c r="Y58" s="304"/>
      <c r="Z58" s="303">
        <f t="shared" si="4"/>
        <v>0</v>
      </c>
      <c r="AA58" s="411">
        <f t="shared" si="5"/>
        <v>0</v>
      </c>
    </row>
    <row r="59" spans="1:27" s="288" customFormat="1">
      <c r="A59" s="294">
        <v>51</v>
      </c>
      <c r="B59" s="290"/>
      <c r="C59" s="295"/>
      <c r="D59" s="295"/>
      <c r="E59" s="293"/>
      <c r="F59" s="293"/>
      <c r="G59" s="306">
        <f t="shared" si="0"/>
        <v>0</v>
      </c>
      <c r="H59" s="304"/>
      <c r="I59" s="304"/>
      <c r="J59" s="304"/>
      <c r="K59" s="304"/>
      <c r="L59" s="304"/>
      <c r="M59" s="304"/>
      <c r="N59" s="305"/>
      <c r="O59" s="304"/>
      <c r="P59" s="304"/>
      <c r="Q59" s="304"/>
      <c r="R59" s="304"/>
      <c r="S59" s="304"/>
      <c r="T59" s="307"/>
      <c r="U59" s="304"/>
      <c r="V59" s="304"/>
      <c r="W59" s="410"/>
      <c r="X59" s="304"/>
      <c r="Y59" s="304"/>
      <c r="Z59" s="303">
        <f t="shared" si="1"/>
        <v>0</v>
      </c>
      <c r="AA59" s="411">
        <f t="shared" si="5"/>
        <v>0</v>
      </c>
    </row>
    <row r="60" spans="1:27" s="288" customFormat="1">
      <c r="A60" s="294">
        <v>52</v>
      </c>
      <c r="B60" s="290"/>
      <c r="C60" s="295"/>
      <c r="D60" s="295"/>
      <c r="E60" s="293"/>
      <c r="F60" s="293"/>
      <c r="G60" s="306">
        <f t="shared" si="0"/>
        <v>0</v>
      </c>
      <c r="H60" s="304"/>
      <c r="I60" s="304"/>
      <c r="J60" s="304"/>
      <c r="K60" s="304"/>
      <c r="L60" s="304"/>
      <c r="M60" s="304"/>
      <c r="N60" s="305"/>
      <c r="O60" s="304"/>
      <c r="P60" s="304"/>
      <c r="Q60" s="304"/>
      <c r="R60" s="304"/>
      <c r="S60" s="304"/>
      <c r="T60" s="307"/>
      <c r="U60" s="304"/>
      <c r="V60" s="304"/>
      <c r="W60" s="410"/>
      <c r="X60" s="304"/>
      <c r="Y60" s="304"/>
      <c r="Z60" s="303">
        <f t="shared" si="1"/>
        <v>0</v>
      </c>
      <c r="AA60" s="411">
        <f t="shared" si="5"/>
        <v>0</v>
      </c>
    </row>
    <row r="61" spans="1:27" s="288" customFormat="1">
      <c r="A61" s="294">
        <v>53</v>
      </c>
      <c r="B61" s="290"/>
      <c r="C61" s="295"/>
      <c r="D61" s="295"/>
      <c r="E61" s="293"/>
      <c r="F61" s="293"/>
      <c r="G61" s="306">
        <f t="shared" si="0"/>
        <v>0</v>
      </c>
      <c r="H61" s="304"/>
      <c r="I61" s="304"/>
      <c r="J61" s="304"/>
      <c r="K61" s="304"/>
      <c r="L61" s="304"/>
      <c r="M61" s="304"/>
      <c r="N61" s="305"/>
      <c r="O61" s="304"/>
      <c r="P61" s="304"/>
      <c r="Q61" s="304"/>
      <c r="R61" s="304"/>
      <c r="S61" s="304"/>
      <c r="T61" s="307"/>
      <c r="U61" s="304"/>
      <c r="V61" s="304"/>
      <c r="W61" s="410"/>
      <c r="X61" s="304"/>
      <c r="Y61" s="304"/>
      <c r="Z61" s="303">
        <f t="shared" si="1"/>
        <v>0</v>
      </c>
      <c r="AA61" s="411">
        <f t="shared" si="5"/>
        <v>0</v>
      </c>
    </row>
    <row r="62" spans="1:27" s="288" customFormat="1">
      <c r="A62" s="294">
        <v>54</v>
      </c>
      <c r="B62" s="290"/>
      <c r="C62" s="295"/>
      <c r="D62" s="295"/>
      <c r="E62" s="293"/>
      <c r="F62" s="293"/>
      <c r="G62" s="306">
        <f t="shared" si="0"/>
        <v>0</v>
      </c>
      <c r="H62" s="304"/>
      <c r="I62" s="304"/>
      <c r="J62" s="304"/>
      <c r="K62" s="304"/>
      <c r="L62" s="304"/>
      <c r="M62" s="304"/>
      <c r="N62" s="305"/>
      <c r="O62" s="304"/>
      <c r="P62" s="304"/>
      <c r="Q62" s="304"/>
      <c r="R62" s="304"/>
      <c r="S62" s="304"/>
      <c r="T62" s="307"/>
      <c r="U62" s="304"/>
      <c r="V62" s="304"/>
      <c r="W62" s="410"/>
      <c r="X62" s="304"/>
      <c r="Y62" s="304"/>
      <c r="Z62" s="303">
        <f t="shared" si="1"/>
        <v>0</v>
      </c>
      <c r="AA62" s="411">
        <f t="shared" si="5"/>
        <v>0</v>
      </c>
    </row>
    <row r="63" spans="1:27" s="288" customFormat="1">
      <c r="A63" s="294">
        <v>55</v>
      </c>
      <c r="B63" s="290"/>
      <c r="C63" s="295"/>
      <c r="D63" s="295"/>
      <c r="E63" s="293"/>
      <c r="F63" s="293"/>
      <c r="G63" s="306">
        <f t="shared" si="0"/>
        <v>0</v>
      </c>
      <c r="H63" s="304"/>
      <c r="I63" s="304"/>
      <c r="J63" s="304"/>
      <c r="K63" s="304"/>
      <c r="L63" s="304"/>
      <c r="M63" s="304"/>
      <c r="N63" s="305"/>
      <c r="O63" s="304"/>
      <c r="P63" s="304"/>
      <c r="Q63" s="304"/>
      <c r="R63" s="304"/>
      <c r="S63" s="304"/>
      <c r="T63" s="307"/>
      <c r="U63" s="304"/>
      <c r="V63" s="304"/>
      <c r="W63" s="410"/>
      <c r="X63" s="304"/>
      <c r="Y63" s="304"/>
      <c r="Z63" s="303">
        <f t="shared" si="1"/>
        <v>0</v>
      </c>
      <c r="AA63" s="411">
        <f t="shared" si="5"/>
        <v>0</v>
      </c>
    </row>
    <row r="64" spans="1:27" s="288" customFormat="1">
      <c r="A64" s="294">
        <v>56</v>
      </c>
      <c r="B64" s="290"/>
      <c r="C64" s="295"/>
      <c r="D64" s="295"/>
      <c r="E64" s="293"/>
      <c r="F64" s="293"/>
      <c r="G64" s="306">
        <f t="shared" si="0"/>
        <v>0</v>
      </c>
      <c r="H64" s="304"/>
      <c r="I64" s="304"/>
      <c r="J64" s="304"/>
      <c r="K64" s="304"/>
      <c r="L64" s="304"/>
      <c r="M64" s="304"/>
      <c r="N64" s="305"/>
      <c r="O64" s="304"/>
      <c r="P64" s="304"/>
      <c r="Q64" s="304"/>
      <c r="R64" s="304"/>
      <c r="S64" s="304"/>
      <c r="T64" s="307"/>
      <c r="U64" s="304"/>
      <c r="V64" s="304"/>
      <c r="W64" s="307"/>
      <c r="X64" s="304"/>
      <c r="Y64" s="304"/>
      <c r="Z64" s="303">
        <f t="shared" si="1"/>
        <v>0</v>
      </c>
      <c r="AA64" s="411">
        <f t="shared" si="5"/>
        <v>0</v>
      </c>
    </row>
    <row r="65" spans="1:27" s="288" customFormat="1">
      <c r="A65" s="294">
        <v>57</v>
      </c>
      <c r="B65" s="290"/>
      <c r="C65" s="295"/>
      <c r="D65" s="295"/>
      <c r="E65" s="293"/>
      <c r="F65" s="293"/>
      <c r="G65" s="306">
        <f t="shared" si="0"/>
        <v>0</v>
      </c>
      <c r="H65" s="304"/>
      <c r="I65" s="304"/>
      <c r="J65" s="304"/>
      <c r="K65" s="304"/>
      <c r="L65" s="304"/>
      <c r="M65" s="304"/>
      <c r="N65" s="305"/>
      <c r="O65" s="304"/>
      <c r="P65" s="304"/>
      <c r="Q65" s="304"/>
      <c r="R65" s="304"/>
      <c r="S65" s="304"/>
      <c r="T65" s="307"/>
      <c r="U65" s="304"/>
      <c r="V65" s="304"/>
      <c r="W65" s="307"/>
      <c r="X65" s="304"/>
      <c r="Y65" s="304"/>
      <c r="Z65" s="303">
        <f t="shared" si="1"/>
        <v>0</v>
      </c>
      <c r="AA65" s="411">
        <f t="shared" si="5"/>
        <v>0</v>
      </c>
    </row>
    <row r="66" spans="1:27" s="288" customFormat="1">
      <c r="A66" s="294">
        <v>58</v>
      </c>
      <c r="B66" s="290"/>
      <c r="C66" s="295"/>
      <c r="D66" s="295"/>
      <c r="E66" s="293"/>
      <c r="F66" s="293"/>
      <c r="G66" s="306">
        <f t="shared" ref="G66:G88" si="6">+H66+I66+J66+K66+M66+O66+Q66+S66</f>
        <v>0</v>
      </c>
      <c r="H66" s="304"/>
      <c r="I66" s="304"/>
      <c r="J66" s="304"/>
      <c r="K66" s="304"/>
      <c r="L66" s="304"/>
      <c r="M66" s="304"/>
      <c r="N66" s="305"/>
      <c r="O66" s="304"/>
      <c r="P66" s="304"/>
      <c r="Q66" s="305"/>
      <c r="R66" s="304"/>
      <c r="S66" s="304"/>
      <c r="T66" s="307"/>
      <c r="U66" s="304"/>
      <c r="V66" s="304"/>
      <c r="W66" s="307"/>
      <c r="X66" s="304"/>
      <c r="Y66" s="304"/>
      <c r="Z66" s="303">
        <f t="shared" ref="Z66:Z88" si="7">+G66-V66-X66</f>
        <v>0</v>
      </c>
      <c r="AA66" s="411">
        <f t="shared" si="5"/>
        <v>0</v>
      </c>
    </row>
    <row r="67" spans="1:27" s="288" customFormat="1">
      <c r="A67" s="294">
        <v>59</v>
      </c>
      <c r="B67" s="290"/>
      <c r="C67" s="295"/>
      <c r="D67" s="295"/>
      <c r="E67" s="293"/>
      <c r="F67" s="293"/>
      <c r="G67" s="306">
        <f t="shared" si="6"/>
        <v>0</v>
      </c>
      <c r="H67" s="304"/>
      <c r="I67" s="304"/>
      <c r="J67" s="304"/>
      <c r="K67" s="304"/>
      <c r="L67" s="304"/>
      <c r="M67" s="304"/>
      <c r="N67" s="305"/>
      <c r="O67" s="304"/>
      <c r="P67" s="304"/>
      <c r="Q67" s="305"/>
      <c r="R67" s="304"/>
      <c r="S67" s="304"/>
      <c r="T67" s="307"/>
      <c r="U67" s="304"/>
      <c r="V67" s="304"/>
      <c r="W67" s="307"/>
      <c r="X67" s="304"/>
      <c r="Y67" s="304"/>
      <c r="Z67" s="303">
        <f t="shared" si="7"/>
        <v>0</v>
      </c>
      <c r="AA67" s="411">
        <f t="shared" si="5"/>
        <v>0</v>
      </c>
    </row>
    <row r="68" spans="1:27" s="288" customFormat="1">
      <c r="A68" s="294">
        <v>60</v>
      </c>
      <c r="B68" s="290"/>
      <c r="C68" s="295"/>
      <c r="D68" s="295"/>
      <c r="E68" s="293"/>
      <c r="F68" s="293"/>
      <c r="G68" s="306">
        <f t="shared" si="6"/>
        <v>0</v>
      </c>
      <c r="H68" s="304"/>
      <c r="I68" s="304"/>
      <c r="J68" s="304"/>
      <c r="K68" s="304"/>
      <c r="L68" s="304"/>
      <c r="M68" s="304"/>
      <c r="N68" s="305"/>
      <c r="O68" s="304"/>
      <c r="P68" s="304"/>
      <c r="Q68" s="305"/>
      <c r="R68" s="304"/>
      <c r="S68" s="304"/>
      <c r="T68" s="307"/>
      <c r="U68" s="304"/>
      <c r="V68" s="304"/>
      <c r="W68" s="307"/>
      <c r="X68" s="304"/>
      <c r="Y68" s="304"/>
      <c r="Z68" s="303">
        <f t="shared" si="7"/>
        <v>0</v>
      </c>
      <c r="AA68" s="411">
        <f t="shared" si="5"/>
        <v>0</v>
      </c>
    </row>
    <row r="69" spans="1:27" s="288" customFormat="1">
      <c r="A69" s="294">
        <v>61</v>
      </c>
      <c r="B69" s="290"/>
      <c r="C69" s="295"/>
      <c r="D69" s="295"/>
      <c r="E69" s="293"/>
      <c r="F69" s="293"/>
      <c r="G69" s="306">
        <f t="shared" si="6"/>
        <v>0</v>
      </c>
      <c r="H69" s="304"/>
      <c r="I69" s="304"/>
      <c r="J69" s="304"/>
      <c r="K69" s="304"/>
      <c r="L69" s="304"/>
      <c r="M69" s="304"/>
      <c r="N69" s="305"/>
      <c r="O69" s="304"/>
      <c r="P69" s="304"/>
      <c r="Q69" s="305"/>
      <c r="R69" s="304"/>
      <c r="S69" s="304"/>
      <c r="T69" s="307"/>
      <c r="U69" s="304"/>
      <c r="V69" s="304"/>
      <c r="W69" s="307"/>
      <c r="X69" s="304"/>
      <c r="Y69" s="304"/>
      <c r="Z69" s="303">
        <f t="shared" si="7"/>
        <v>0</v>
      </c>
      <c r="AA69" s="411">
        <f t="shared" si="5"/>
        <v>0</v>
      </c>
    </row>
    <row r="70" spans="1:27" s="288" customFormat="1">
      <c r="A70" s="294">
        <v>62</v>
      </c>
      <c r="B70" s="290"/>
      <c r="C70" s="295"/>
      <c r="D70" s="295"/>
      <c r="E70" s="293"/>
      <c r="F70" s="293"/>
      <c r="G70" s="306">
        <f t="shared" si="6"/>
        <v>0</v>
      </c>
      <c r="H70" s="304"/>
      <c r="I70" s="304"/>
      <c r="J70" s="304"/>
      <c r="K70" s="304"/>
      <c r="L70" s="304"/>
      <c r="M70" s="304"/>
      <c r="N70" s="305"/>
      <c r="O70" s="304"/>
      <c r="P70" s="304"/>
      <c r="Q70" s="305"/>
      <c r="R70" s="304"/>
      <c r="S70" s="304"/>
      <c r="T70" s="307"/>
      <c r="U70" s="304"/>
      <c r="V70" s="304"/>
      <c r="W70" s="307"/>
      <c r="X70" s="304"/>
      <c r="Y70" s="304"/>
      <c r="Z70" s="303">
        <f t="shared" si="7"/>
        <v>0</v>
      </c>
      <c r="AA70" s="411">
        <f t="shared" si="5"/>
        <v>0</v>
      </c>
    </row>
    <row r="71" spans="1:27" s="288" customFormat="1">
      <c r="A71" s="294">
        <v>63</v>
      </c>
      <c r="B71" s="290"/>
      <c r="C71" s="295"/>
      <c r="D71" s="295"/>
      <c r="E71" s="293"/>
      <c r="F71" s="293"/>
      <c r="G71" s="306">
        <f t="shared" si="6"/>
        <v>0</v>
      </c>
      <c r="H71" s="304"/>
      <c r="I71" s="304"/>
      <c r="J71" s="304"/>
      <c r="K71" s="304"/>
      <c r="L71" s="304"/>
      <c r="M71" s="304"/>
      <c r="N71" s="305"/>
      <c r="O71" s="304"/>
      <c r="P71" s="304"/>
      <c r="Q71" s="305"/>
      <c r="R71" s="304"/>
      <c r="S71" s="304"/>
      <c r="T71" s="307"/>
      <c r="U71" s="304"/>
      <c r="V71" s="304"/>
      <c r="W71" s="307"/>
      <c r="X71" s="304"/>
      <c r="Y71" s="304"/>
      <c r="Z71" s="303">
        <f t="shared" si="7"/>
        <v>0</v>
      </c>
      <c r="AA71" s="411">
        <f t="shared" si="5"/>
        <v>0</v>
      </c>
    </row>
    <row r="72" spans="1:27" s="288" customFormat="1">
      <c r="A72" s="294">
        <v>64</v>
      </c>
      <c r="B72" s="290"/>
      <c r="C72" s="290"/>
      <c r="D72" s="295"/>
      <c r="E72" s="295"/>
      <c r="F72" s="293"/>
      <c r="G72" s="306">
        <f t="shared" si="6"/>
        <v>0</v>
      </c>
      <c r="H72" s="304"/>
      <c r="I72" s="304"/>
      <c r="J72" s="304"/>
      <c r="K72" s="304"/>
      <c r="L72" s="304"/>
      <c r="M72" s="304"/>
      <c r="N72" s="305"/>
      <c r="O72" s="304"/>
      <c r="P72" s="304"/>
      <c r="Q72" s="305"/>
      <c r="R72" s="304"/>
      <c r="S72" s="304"/>
      <c r="T72" s="307"/>
      <c r="U72" s="304"/>
      <c r="V72" s="304"/>
      <c r="W72" s="307"/>
      <c r="X72" s="304"/>
      <c r="Y72" s="304"/>
      <c r="Z72" s="303">
        <f t="shared" si="7"/>
        <v>0</v>
      </c>
      <c r="AA72" s="411">
        <f t="shared" si="5"/>
        <v>0</v>
      </c>
    </row>
    <row r="73" spans="1:27" s="288" customFormat="1">
      <c r="A73" s="294">
        <v>65</v>
      </c>
      <c r="B73" s="290"/>
      <c r="C73" s="290"/>
      <c r="D73" s="290"/>
      <c r="E73" s="293"/>
      <c r="F73" s="293"/>
      <c r="G73" s="306">
        <f t="shared" si="6"/>
        <v>0</v>
      </c>
      <c r="H73" s="304"/>
      <c r="I73" s="304"/>
      <c r="J73" s="304"/>
      <c r="K73" s="304"/>
      <c r="L73" s="304"/>
      <c r="M73" s="304"/>
      <c r="N73" s="305"/>
      <c r="O73" s="304"/>
      <c r="P73" s="304"/>
      <c r="Q73" s="305"/>
      <c r="R73" s="304"/>
      <c r="S73" s="304"/>
      <c r="T73" s="307"/>
      <c r="U73" s="304"/>
      <c r="V73" s="304"/>
      <c r="W73" s="307"/>
      <c r="X73" s="304"/>
      <c r="Y73" s="304"/>
      <c r="Z73" s="303">
        <f t="shared" si="7"/>
        <v>0</v>
      </c>
      <c r="AA73" s="411">
        <f t="shared" ref="AA73:AA88" si="8">SUMIF($F$9:$F$88,$F73,$Z$9:$Z$88)</f>
        <v>0</v>
      </c>
    </row>
    <row r="74" spans="1:27" s="288" customFormat="1">
      <c r="A74" s="294">
        <v>66</v>
      </c>
      <c r="B74" s="290"/>
      <c r="C74" s="290"/>
      <c r="D74" s="290"/>
      <c r="E74" s="293"/>
      <c r="F74" s="293"/>
      <c r="G74" s="306">
        <f t="shared" si="6"/>
        <v>0</v>
      </c>
      <c r="H74" s="304"/>
      <c r="I74" s="304"/>
      <c r="J74" s="304"/>
      <c r="K74" s="304"/>
      <c r="L74" s="304"/>
      <c r="M74" s="304"/>
      <c r="N74" s="305"/>
      <c r="O74" s="305"/>
      <c r="P74" s="305"/>
      <c r="Q74" s="305"/>
      <c r="R74" s="304"/>
      <c r="S74" s="304"/>
      <c r="T74" s="307"/>
      <c r="U74" s="304"/>
      <c r="V74" s="304"/>
      <c r="W74" s="307"/>
      <c r="X74" s="304"/>
      <c r="Y74" s="304"/>
      <c r="Z74" s="303">
        <f t="shared" si="7"/>
        <v>0</v>
      </c>
      <c r="AA74" s="411">
        <f t="shared" si="8"/>
        <v>0</v>
      </c>
    </row>
    <row r="75" spans="1:27" s="288" customFormat="1">
      <c r="A75" s="294">
        <v>67</v>
      </c>
      <c r="B75" s="290"/>
      <c r="C75" s="290"/>
      <c r="D75" s="290"/>
      <c r="E75" s="293"/>
      <c r="F75" s="293"/>
      <c r="G75" s="306">
        <f t="shared" si="6"/>
        <v>0</v>
      </c>
      <c r="H75" s="304"/>
      <c r="I75" s="304"/>
      <c r="J75" s="304"/>
      <c r="K75" s="304"/>
      <c r="L75" s="304"/>
      <c r="M75" s="304"/>
      <c r="N75" s="305"/>
      <c r="O75" s="305"/>
      <c r="P75" s="305"/>
      <c r="Q75" s="305"/>
      <c r="R75" s="304"/>
      <c r="S75" s="304"/>
      <c r="T75" s="307"/>
      <c r="U75" s="304"/>
      <c r="V75" s="304"/>
      <c r="W75" s="307"/>
      <c r="X75" s="304"/>
      <c r="Y75" s="304"/>
      <c r="Z75" s="303">
        <f t="shared" si="7"/>
        <v>0</v>
      </c>
      <c r="AA75" s="411">
        <f t="shared" si="8"/>
        <v>0</v>
      </c>
    </row>
    <row r="76" spans="1:27" s="288" customFormat="1">
      <c r="A76" s="294">
        <v>68</v>
      </c>
      <c r="B76" s="290"/>
      <c r="C76" s="290"/>
      <c r="D76" s="290"/>
      <c r="E76" s="293"/>
      <c r="F76" s="293"/>
      <c r="G76" s="306">
        <f t="shared" si="6"/>
        <v>0</v>
      </c>
      <c r="H76" s="304"/>
      <c r="I76" s="304"/>
      <c r="J76" s="304"/>
      <c r="K76" s="304"/>
      <c r="L76" s="304"/>
      <c r="M76" s="304"/>
      <c r="N76" s="305"/>
      <c r="O76" s="305"/>
      <c r="P76" s="305"/>
      <c r="Q76" s="305"/>
      <c r="R76" s="304"/>
      <c r="S76" s="304"/>
      <c r="T76" s="307"/>
      <c r="U76" s="304"/>
      <c r="V76" s="304"/>
      <c r="W76" s="304"/>
      <c r="X76" s="304"/>
      <c r="Y76" s="304"/>
      <c r="Z76" s="303">
        <f t="shared" si="7"/>
        <v>0</v>
      </c>
      <c r="AA76" s="411">
        <f t="shared" si="8"/>
        <v>0</v>
      </c>
    </row>
    <row r="77" spans="1:27" s="288" customFormat="1">
      <c r="A77" s="294">
        <v>69</v>
      </c>
      <c r="B77" s="290"/>
      <c r="C77" s="290"/>
      <c r="D77" s="290"/>
      <c r="E77" s="293"/>
      <c r="F77" s="293"/>
      <c r="G77" s="306">
        <f t="shared" si="6"/>
        <v>0</v>
      </c>
      <c r="H77" s="304"/>
      <c r="I77" s="304"/>
      <c r="J77" s="304"/>
      <c r="K77" s="304"/>
      <c r="L77" s="304"/>
      <c r="M77" s="304"/>
      <c r="N77" s="305"/>
      <c r="O77" s="305"/>
      <c r="P77" s="304"/>
      <c r="Q77" s="305"/>
      <c r="R77" s="304"/>
      <c r="S77" s="304"/>
      <c r="T77" s="307"/>
      <c r="U77" s="304"/>
      <c r="V77" s="304"/>
      <c r="W77" s="304"/>
      <c r="X77" s="304"/>
      <c r="Y77" s="304"/>
      <c r="Z77" s="303">
        <f t="shared" si="7"/>
        <v>0</v>
      </c>
      <c r="AA77" s="411">
        <f t="shared" si="8"/>
        <v>0</v>
      </c>
    </row>
    <row r="78" spans="1:27" s="288" customFormat="1">
      <c r="A78" s="294">
        <v>70</v>
      </c>
      <c r="B78" s="290"/>
      <c r="C78" s="290"/>
      <c r="D78" s="290"/>
      <c r="E78" s="293"/>
      <c r="F78" s="293"/>
      <c r="G78" s="306">
        <f t="shared" si="6"/>
        <v>0</v>
      </c>
      <c r="H78" s="304"/>
      <c r="I78" s="304"/>
      <c r="J78" s="304"/>
      <c r="K78" s="304"/>
      <c r="L78" s="304"/>
      <c r="M78" s="304"/>
      <c r="N78" s="305"/>
      <c r="O78" s="305"/>
      <c r="P78" s="304"/>
      <c r="Q78" s="305"/>
      <c r="R78" s="304"/>
      <c r="S78" s="304"/>
      <c r="T78" s="307"/>
      <c r="U78" s="304"/>
      <c r="V78" s="304"/>
      <c r="W78" s="304"/>
      <c r="X78" s="304"/>
      <c r="Y78" s="304"/>
      <c r="Z78" s="303">
        <f t="shared" si="7"/>
        <v>0</v>
      </c>
      <c r="AA78" s="411">
        <f t="shared" si="8"/>
        <v>0</v>
      </c>
    </row>
    <row r="79" spans="1:27" s="288" customFormat="1">
      <c r="A79" s="294">
        <v>71</v>
      </c>
      <c r="B79" s="290"/>
      <c r="C79" s="290"/>
      <c r="D79" s="290"/>
      <c r="E79" s="293"/>
      <c r="F79" s="293"/>
      <c r="G79" s="306">
        <f t="shared" si="6"/>
        <v>0</v>
      </c>
      <c r="H79" s="304"/>
      <c r="I79" s="304"/>
      <c r="J79" s="304"/>
      <c r="K79" s="304"/>
      <c r="L79" s="304"/>
      <c r="M79" s="304"/>
      <c r="N79" s="305"/>
      <c r="O79" s="305"/>
      <c r="P79" s="304"/>
      <c r="Q79" s="305"/>
      <c r="R79" s="304"/>
      <c r="S79" s="304"/>
      <c r="T79" s="307"/>
      <c r="U79" s="304"/>
      <c r="V79" s="304"/>
      <c r="W79" s="304"/>
      <c r="X79" s="304"/>
      <c r="Y79" s="304"/>
      <c r="Z79" s="303">
        <f t="shared" si="7"/>
        <v>0</v>
      </c>
      <c r="AA79" s="411">
        <f t="shared" si="8"/>
        <v>0</v>
      </c>
    </row>
    <row r="80" spans="1:27" s="288" customFormat="1">
      <c r="A80" s="294">
        <v>72</v>
      </c>
      <c r="B80" s="290"/>
      <c r="C80" s="290"/>
      <c r="D80" s="290"/>
      <c r="E80" s="293"/>
      <c r="F80" s="293"/>
      <c r="G80" s="306">
        <f t="shared" si="6"/>
        <v>0</v>
      </c>
      <c r="H80" s="304"/>
      <c r="I80" s="304"/>
      <c r="J80" s="304"/>
      <c r="K80" s="304"/>
      <c r="L80" s="304"/>
      <c r="M80" s="304"/>
      <c r="N80" s="305"/>
      <c r="O80" s="305"/>
      <c r="P80" s="18"/>
      <c r="Q80" s="305"/>
      <c r="R80" s="304"/>
      <c r="S80" s="304"/>
      <c r="T80" s="307"/>
      <c r="U80" s="304"/>
      <c r="V80" s="304"/>
      <c r="W80" s="304"/>
      <c r="X80" s="304"/>
      <c r="Y80" s="304"/>
      <c r="Z80" s="303">
        <f t="shared" si="7"/>
        <v>0</v>
      </c>
      <c r="AA80" s="411">
        <f t="shared" si="8"/>
        <v>0</v>
      </c>
    </row>
    <row r="81" spans="1:30" s="288" customFormat="1">
      <c r="A81" s="294">
        <v>73</v>
      </c>
      <c r="B81" s="290"/>
      <c r="C81" s="290"/>
      <c r="D81" s="290"/>
      <c r="E81" s="293"/>
      <c r="F81" s="293"/>
      <c r="G81" s="306">
        <f t="shared" si="6"/>
        <v>0</v>
      </c>
      <c r="H81" s="304"/>
      <c r="I81" s="304"/>
      <c r="J81" s="304"/>
      <c r="K81" s="304"/>
      <c r="L81" s="304"/>
      <c r="M81" s="304"/>
      <c r="N81" s="305"/>
      <c r="O81" s="305"/>
      <c r="P81" s="305"/>
      <c r="Q81" s="305"/>
      <c r="R81" s="304"/>
      <c r="S81" s="304"/>
      <c r="T81" s="307"/>
      <c r="U81" s="304"/>
      <c r="V81" s="304"/>
      <c r="W81" s="304"/>
      <c r="X81" s="304"/>
      <c r="Y81" s="304"/>
      <c r="Z81" s="303">
        <f t="shared" si="7"/>
        <v>0</v>
      </c>
      <c r="AA81" s="411">
        <f t="shared" si="8"/>
        <v>0</v>
      </c>
    </row>
    <row r="82" spans="1:30" s="288" customFormat="1">
      <c r="A82" s="294">
        <v>74</v>
      </c>
      <c r="B82" s="290"/>
      <c r="C82" s="290"/>
      <c r="D82" s="290"/>
      <c r="E82" s="293"/>
      <c r="F82" s="293"/>
      <c r="G82" s="306">
        <f t="shared" si="6"/>
        <v>0</v>
      </c>
      <c r="H82" s="304"/>
      <c r="I82" s="304"/>
      <c r="J82" s="304"/>
      <c r="K82" s="304"/>
      <c r="L82" s="304"/>
      <c r="M82" s="304"/>
      <c r="N82" s="305"/>
      <c r="O82" s="305"/>
      <c r="P82" s="305"/>
      <c r="Q82" s="305"/>
      <c r="R82" s="304"/>
      <c r="S82" s="304"/>
      <c r="T82" s="307"/>
      <c r="U82" s="304"/>
      <c r="V82" s="304"/>
      <c r="W82" s="304"/>
      <c r="X82" s="304"/>
      <c r="Y82" s="304"/>
      <c r="Z82" s="303">
        <f t="shared" si="7"/>
        <v>0</v>
      </c>
      <c r="AA82" s="411">
        <f t="shared" si="8"/>
        <v>0</v>
      </c>
    </row>
    <row r="83" spans="1:30" s="288" customFormat="1">
      <c r="A83" s="294">
        <v>75</v>
      </c>
      <c r="B83" s="290"/>
      <c r="C83" s="290"/>
      <c r="D83" s="290"/>
      <c r="E83" s="293"/>
      <c r="F83" s="293"/>
      <c r="G83" s="306">
        <f t="shared" si="6"/>
        <v>0</v>
      </c>
      <c r="H83" s="304"/>
      <c r="I83" s="304"/>
      <c r="J83" s="304"/>
      <c r="K83" s="304"/>
      <c r="L83" s="304"/>
      <c r="M83" s="304"/>
      <c r="N83" s="305"/>
      <c r="O83" s="305"/>
      <c r="P83" s="305"/>
      <c r="Q83" s="305"/>
      <c r="R83" s="304"/>
      <c r="S83" s="304"/>
      <c r="T83" s="304"/>
      <c r="U83" s="304"/>
      <c r="V83" s="304"/>
      <c r="W83" s="304"/>
      <c r="X83" s="304"/>
      <c r="Y83" s="304"/>
      <c r="Z83" s="303">
        <f t="shared" si="7"/>
        <v>0</v>
      </c>
      <c r="AA83" s="411">
        <f t="shared" si="8"/>
        <v>0</v>
      </c>
    </row>
    <row r="84" spans="1:30" s="288" customFormat="1">
      <c r="A84" s="294">
        <v>76</v>
      </c>
      <c r="B84" s="290"/>
      <c r="C84" s="290"/>
      <c r="D84" s="290"/>
      <c r="E84" s="293"/>
      <c r="F84" s="293"/>
      <c r="G84" s="306">
        <f t="shared" si="6"/>
        <v>0</v>
      </c>
      <c r="H84" s="304"/>
      <c r="I84" s="304"/>
      <c r="J84" s="304"/>
      <c r="K84" s="304"/>
      <c r="L84" s="304"/>
      <c r="M84" s="304"/>
      <c r="N84" s="305"/>
      <c r="O84" s="305"/>
      <c r="P84" s="305"/>
      <c r="Q84" s="305"/>
      <c r="R84" s="304"/>
      <c r="S84" s="304"/>
      <c r="T84" s="304"/>
      <c r="U84" s="304"/>
      <c r="V84" s="304"/>
      <c r="W84" s="304"/>
      <c r="X84" s="304"/>
      <c r="Y84" s="304"/>
      <c r="Z84" s="303">
        <f t="shared" si="7"/>
        <v>0</v>
      </c>
      <c r="AA84" s="411">
        <f t="shared" si="8"/>
        <v>0</v>
      </c>
    </row>
    <row r="85" spans="1:30" s="288" customFormat="1">
      <c r="A85" s="294">
        <v>77</v>
      </c>
      <c r="B85" s="290"/>
      <c r="C85" s="290"/>
      <c r="D85" s="290"/>
      <c r="E85" s="293"/>
      <c r="F85" s="293"/>
      <c r="G85" s="306">
        <f t="shared" si="6"/>
        <v>0</v>
      </c>
      <c r="H85" s="304"/>
      <c r="I85" s="304"/>
      <c r="J85" s="304"/>
      <c r="K85" s="304"/>
      <c r="L85" s="304"/>
      <c r="M85" s="304"/>
      <c r="N85" s="305"/>
      <c r="O85" s="305"/>
      <c r="P85" s="305"/>
      <c r="Q85" s="305"/>
      <c r="R85" s="304"/>
      <c r="S85" s="304"/>
      <c r="T85" s="304"/>
      <c r="U85" s="304"/>
      <c r="V85" s="304"/>
      <c r="W85" s="304"/>
      <c r="X85" s="304"/>
      <c r="Y85" s="304"/>
      <c r="Z85" s="303">
        <f t="shared" si="7"/>
        <v>0</v>
      </c>
      <c r="AA85" s="411">
        <f t="shared" si="8"/>
        <v>0</v>
      </c>
    </row>
    <row r="86" spans="1:30" s="288" customFormat="1">
      <c r="A86" s="294">
        <v>78</v>
      </c>
      <c r="B86" s="290"/>
      <c r="C86" s="290"/>
      <c r="D86" s="290"/>
      <c r="E86" s="293"/>
      <c r="F86" s="293"/>
      <c r="G86" s="306">
        <f t="shared" si="6"/>
        <v>0</v>
      </c>
      <c r="H86" s="304"/>
      <c r="I86" s="304"/>
      <c r="J86" s="304"/>
      <c r="K86" s="304"/>
      <c r="L86" s="304"/>
      <c r="M86" s="304"/>
      <c r="N86" s="305"/>
      <c r="O86" s="305"/>
      <c r="P86" s="305"/>
      <c r="Q86" s="305"/>
      <c r="R86" s="304"/>
      <c r="S86" s="304"/>
      <c r="T86" s="304"/>
      <c r="U86" s="304"/>
      <c r="V86" s="304"/>
      <c r="W86" s="304"/>
      <c r="X86" s="304"/>
      <c r="Y86" s="304"/>
      <c r="Z86" s="303">
        <f t="shared" si="7"/>
        <v>0</v>
      </c>
      <c r="AA86" s="411">
        <f t="shared" si="8"/>
        <v>0</v>
      </c>
    </row>
    <row r="87" spans="1:30" s="288" customFormat="1">
      <c r="A87" s="294">
        <v>79</v>
      </c>
      <c r="B87" s="290"/>
      <c r="C87" s="290"/>
      <c r="D87" s="290"/>
      <c r="E87" s="293"/>
      <c r="F87" s="293"/>
      <c r="G87" s="306">
        <f t="shared" si="6"/>
        <v>0</v>
      </c>
      <c r="H87" s="304"/>
      <c r="I87" s="304"/>
      <c r="J87" s="304"/>
      <c r="K87" s="304"/>
      <c r="L87" s="304"/>
      <c r="M87" s="304"/>
      <c r="N87" s="305"/>
      <c r="O87" s="305"/>
      <c r="P87" s="305"/>
      <c r="Q87" s="305"/>
      <c r="R87" s="304"/>
      <c r="S87" s="304"/>
      <c r="T87" s="304"/>
      <c r="U87" s="304"/>
      <c r="V87" s="304"/>
      <c r="W87" s="304"/>
      <c r="X87" s="304"/>
      <c r="Y87" s="304"/>
      <c r="Z87" s="303">
        <f t="shared" si="7"/>
        <v>0</v>
      </c>
      <c r="AA87" s="411">
        <f t="shared" si="8"/>
        <v>0</v>
      </c>
    </row>
    <row r="88" spans="1:30" s="288" customFormat="1">
      <c r="A88" s="294">
        <v>80</v>
      </c>
      <c r="B88" s="290"/>
      <c r="C88" s="290"/>
      <c r="D88" s="290"/>
      <c r="E88" s="293"/>
      <c r="F88" s="293"/>
      <c r="G88" s="306">
        <f t="shared" si="6"/>
        <v>0</v>
      </c>
      <c r="H88" s="304"/>
      <c r="I88" s="304"/>
      <c r="J88" s="304"/>
      <c r="K88" s="304"/>
      <c r="L88" s="304"/>
      <c r="M88" s="304"/>
      <c r="N88" s="305"/>
      <c r="O88" s="305"/>
      <c r="P88" s="305"/>
      <c r="Q88" s="305"/>
      <c r="R88" s="304"/>
      <c r="S88" s="304"/>
      <c r="T88" s="304"/>
      <c r="U88" s="304"/>
      <c r="V88" s="304"/>
      <c r="W88" s="304"/>
      <c r="X88" s="304"/>
      <c r="Y88" s="304"/>
      <c r="Z88" s="303">
        <f t="shared" si="7"/>
        <v>0</v>
      </c>
      <c r="AA88" s="411">
        <f t="shared" si="8"/>
        <v>0</v>
      </c>
    </row>
    <row r="89" spans="1:30" s="313" customFormat="1" ht="19.5" customHeight="1">
      <c r="A89" s="777" t="s">
        <v>456</v>
      </c>
      <c r="B89" s="778"/>
      <c r="C89" s="778"/>
      <c r="D89" s="778"/>
      <c r="E89" s="778"/>
      <c r="F89" s="779"/>
      <c r="G89" s="287">
        <f>SUM(G9:G88)</f>
        <v>797430249.40594006</v>
      </c>
      <c r="H89" s="287">
        <f t="shared" ref="H89:V89" si="9">SUM(H9:H88)</f>
        <v>797430249.40594006</v>
      </c>
      <c r="I89" s="287">
        <f t="shared" si="9"/>
        <v>0</v>
      </c>
      <c r="J89" s="287">
        <f t="shared" si="9"/>
        <v>0</v>
      </c>
      <c r="K89" s="287">
        <f t="shared" si="9"/>
        <v>0</v>
      </c>
      <c r="L89" s="287">
        <f t="shared" si="9"/>
        <v>0</v>
      </c>
      <c r="M89" s="287">
        <f t="shared" si="9"/>
        <v>0</v>
      </c>
      <c r="N89" s="287">
        <f t="shared" si="9"/>
        <v>0</v>
      </c>
      <c r="O89" s="287">
        <f t="shared" si="9"/>
        <v>0</v>
      </c>
      <c r="P89" s="287">
        <f t="shared" si="9"/>
        <v>0</v>
      </c>
      <c r="Q89" s="287">
        <f t="shared" si="9"/>
        <v>0</v>
      </c>
      <c r="R89" s="287">
        <f t="shared" si="9"/>
        <v>0</v>
      </c>
      <c r="S89" s="287">
        <f t="shared" si="9"/>
        <v>0</v>
      </c>
      <c r="T89" s="287">
        <f t="shared" si="9"/>
        <v>0</v>
      </c>
      <c r="U89" s="310"/>
      <c r="V89" s="287">
        <f t="shared" si="9"/>
        <v>0</v>
      </c>
      <c r="W89" s="310"/>
      <c r="X89" s="287">
        <f t="shared" ref="X89:Z89" si="10">SUM(X9:X88)</f>
        <v>0</v>
      </c>
      <c r="Y89" s="287">
        <f t="shared" si="10"/>
        <v>0</v>
      </c>
      <c r="Z89" s="287">
        <f t="shared" si="10"/>
        <v>797430249.40594006</v>
      </c>
      <c r="AA89" s="415"/>
    </row>
    <row r="90" spans="1:30" s="313" customFormat="1" ht="19.5" customHeight="1">
      <c r="A90" s="777" t="s">
        <v>457</v>
      </c>
      <c r="B90" s="778"/>
      <c r="C90" s="778"/>
      <c r="D90" s="778"/>
      <c r="E90" s="778"/>
      <c r="F90" s="779"/>
      <c r="G90" s="287">
        <f>+SUMIF($F$9:$F$88,$AA$90,$G$9:$G$88)</f>
        <v>797430249.40594006</v>
      </c>
      <c r="H90" s="287">
        <f>+SUMIF($F$9:$F$88,$AA$90,$H$9:$H$88)</f>
        <v>797430249.40594006</v>
      </c>
      <c r="I90" s="287">
        <f>+SUMIF($F$9:$F$88,$AA$90,$I$9:$I$88)</f>
        <v>0</v>
      </c>
      <c r="J90" s="287">
        <f>+SUMIF($F$9:$F$88,$AA$90,$J$9:$J$88)</f>
        <v>0</v>
      </c>
      <c r="K90" s="287">
        <f>+SUMIF($F$9:$F$88,$AA$90,$K$9:$K$88)</f>
        <v>0</v>
      </c>
      <c r="L90" s="287">
        <f>+SUMIF($F$9:$F$88,$AA$90,$L$9:$L$88)</f>
        <v>0</v>
      </c>
      <c r="M90" s="287">
        <f>+SUMIF($F$9:$F$88,$AA$90,$M$9:$M$88)</f>
        <v>0</v>
      </c>
      <c r="N90" s="287">
        <f>+SUMIF($F$9:$F$88,$AA$90,$N$9:$N$88)</f>
        <v>0</v>
      </c>
      <c r="O90" s="287">
        <f>+SUMIF($F$9:$F$88,$AA$90,$O$9:$O$88)</f>
        <v>0</v>
      </c>
      <c r="P90" s="287">
        <f>+SUMIF($F$9:$F$88,$AA$90,$P$9:$P$88)</f>
        <v>0</v>
      </c>
      <c r="Q90" s="287">
        <f>+SUMIF($F$9:$F$88,$AA$90,$Q$9:$Q$88)</f>
        <v>0</v>
      </c>
      <c r="R90" s="287">
        <f>+SUMIF($F$9:$F$88,$AA$90,$R$9:$R$88)</f>
        <v>0</v>
      </c>
      <c r="S90" s="287">
        <f>+SUMIF($F$9:$F$88,$AA$90,$S$9:$S$88)</f>
        <v>0</v>
      </c>
      <c r="T90" s="287">
        <f>+SUMIF($F$9:$F$88,$AA$90,$T$9:$T$88)</f>
        <v>0</v>
      </c>
      <c r="U90" s="310"/>
      <c r="V90" s="287">
        <f>+SUMIF($F$9:$F$88,$AA$90,$V$9:$V$88)</f>
        <v>0</v>
      </c>
      <c r="W90" s="310"/>
      <c r="X90" s="287">
        <f>+SUMIF($F$9:$F$88,$AA$90,$X$9:$X$88)</f>
        <v>0</v>
      </c>
      <c r="Y90" s="287">
        <f>+SUMIF($F$9:$F$88,$AA$90,$Y$9:$Y$88)</f>
        <v>0</v>
      </c>
      <c r="Z90" s="287">
        <f>+MAX(AA9:AA88)</f>
        <v>797430249.40594006</v>
      </c>
      <c r="AA90" s="415">
        <f>INDEX($F$9:$F$88,MATCH($Z90,$AA$9:$AA$88,0))</f>
        <v>1</v>
      </c>
    </row>
    <row r="91" spans="1:30" s="265" customFormat="1">
      <c r="AA91" s="413"/>
    </row>
    <row r="92" spans="1:30" ht="15" customHeight="1">
      <c r="A92" s="34"/>
      <c r="B92" s="232" t="s">
        <v>778</v>
      </c>
      <c r="C92" s="34"/>
      <c r="D92" s="34"/>
      <c r="E92" s="34"/>
      <c r="F92" s="338"/>
      <c r="G92" s="338"/>
      <c r="H92" s="338"/>
      <c r="I92" s="338"/>
      <c r="J92" s="338"/>
      <c r="K92" s="338"/>
      <c r="L92" s="338"/>
      <c r="M92" s="338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</row>
    <row r="93" spans="1:30" ht="11.25" customHeight="1">
      <c r="A93" s="34"/>
      <c r="B93" s="232"/>
      <c r="C93" s="34"/>
      <c r="D93" s="34"/>
      <c r="E93" s="34"/>
      <c r="F93" s="338"/>
      <c r="G93" s="338"/>
      <c r="H93" s="338"/>
      <c r="I93" s="338"/>
      <c r="J93" s="338"/>
      <c r="K93" s="338"/>
      <c r="L93" s="338"/>
      <c r="M93" s="338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spans="1:30" ht="15" customHeight="1">
      <c r="A94" s="34"/>
      <c r="B94" s="232" t="s">
        <v>779</v>
      </c>
      <c r="C94" s="34"/>
      <c r="D94" s="34"/>
      <c r="E94" s="34"/>
      <c r="F94" s="338"/>
      <c r="G94" s="338"/>
      <c r="H94" s="338"/>
      <c r="I94" s="338"/>
      <c r="J94" s="338"/>
      <c r="K94" s="338"/>
      <c r="L94" s="338"/>
      <c r="M94" s="338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spans="1:30" s="265" customFormat="1">
      <c r="B95" s="286"/>
      <c r="AA95" s="413"/>
    </row>
    <row r="96" spans="1:30" s="265" customFormat="1">
      <c r="B96" s="286"/>
      <c r="AA96" s="413"/>
    </row>
    <row r="97" spans="1:32" s="265" customFormat="1">
      <c r="B97" s="286"/>
      <c r="AA97" s="413"/>
    </row>
    <row r="98" spans="1:32" s="265" customFormat="1">
      <c r="AA98" s="413"/>
    </row>
    <row r="99" spans="1:32" s="265" customFormat="1" ht="15.75">
      <c r="B99" s="765"/>
      <c r="C99" s="765"/>
      <c r="D99" s="765"/>
      <c r="E99" s="765"/>
      <c r="F99" s="765"/>
      <c r="G99" s="765"/>
      <c r="H99" s="765"/>
      <c r="I99" s="765"/>
      <c r="J99" s="765"/>
      <c r="K99" s="765"/>
      <c r="L99" s="765"/>
      <c r="M99" s="765"/>
      <c r="N99" s="765"/>
      <c r="O99" s="765"/>
      <c r="P99" s="765"/>
      <c r="Q99" s="765"/>
      <c r="R99" s="765"/>
      <c r="S99" s="765"/>
      <c r="T99" s="765"/>
      <c r="AA99" s="413"/>
    </row>
    <row r="100" spans="1:32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V100" s="34"/>
      <c r="W100" s="34"/>
      <c r="X100" s="34"/>
      <c r="Y100" s="34"/>
      <c r="Z100" s="34"/>
      <c r="AA100" s="414"/>
      <c r="AB100" s="34"/>
      <c r="AC100" s="34"/>
      <c r="AD100" s="34"/>
      <c r="AE100" s="34"/>
      <c r="AF100" s="34"/>
    </row>
    <row r="101" spans="1:32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V101" s="34"/>
      <c r="W101" s="34"/>
      <c r="X101" s="34"/>
      <c r="Y101" s="34"/>
      <c r="Z101" s="34"/>
      <c r="AA101" s="414"/>
      <c r="AB101" s="34"/>
      <c r="AC101" s="34"/>
      <c r="AD101" s="34"/>
      <c r="AE101" s="34"/>
      <c r="AF101" s="34"/>
    </row>
    <row r="102" spans="1:3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V102" s="34"/>
      <c r="W102" s="34"/>
      <c r="X102" s="34"/>
      <c r="Y102" s="34"/>
      <c r="Z102" s="34"/>
      <c r="AA102" s="414"/>
      <c r="AB102" s="34"/>
      <c r="AC102" s="34"/>
      <c r="AD102" s="34"/>
      <c r="AE102" s="34"/>
      <c r="AF102" s="34"/>
    </row>
    <row r="103" spans="1:32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V103" s="34"/>
      <c r="W103" s="34"/>
      <c r="X103" s="34"/>
      <c r="Y103" s="34"/>
      <c r="Z103" s="34"/>
      <c r="AA103" s="414"/>
      <c r="AB103" s="34"/>
      <c r="AC103" s="34"/>
      <c r="AD103" s="34"/>
      <c r="AE103" s="34"/>
      <c r="AF103" s="34"/>
    </row>
    <row r="104" spans="1:32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V104" s="34"/>
      <c r="W104" s="34"/>
      <c r="X104" s="34"/>
      <c r="Y104" s="34"/>
      <c r="Z104" s="34"/>
      <c r="AA104" s="414"/>
      <c r="AB104" s="34"/>
      <c r="AC104" s="34"/>
      <c r="AD104" s="34"/>
      <c r="AE104" s="34"/>
      <c r="AF104" s="34"/>
    </row>
    <row r="105" spans="1:32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V105" s="34"/>
      <c r="W105" s="34"/>
      <c r="X105" s="34"/>
      <c r="Y105" s="34"/>
      <c r="Z105" s="34"/>
      <c r="AA105" s="414"/>
      <c r="AB105" s="34"/>
      <c r="AC105" s="34"/>
      <c r="AD105" s="34"/>
      <c r="AE105" s="34"/>
      <c r="AF105" s="34"/>
    </row>
    <row r="106" spans="1:32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V106" s="34"/>
      <c r="W106" s="34"/>
      <c r="X106" s="34"/>
      <c r="Y106" s="34"/>
      <c r="Z106" s="34"/>
      <c r="AA106" s="414"/>
      <c r="AB106" s="34"/>
      <c r="AC106" s="34"/>
      <c r="AD106" s="34"/>
      <c r="AE106" s="34"/>
      <c r="AF106" s="34"/>
    </row>
    <row r="107" spans="1:32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V107" s="34"/>
      <c r="W107" s="34"/>
      <c r="X107" s="34"/>
      <c r="Y107" s="34"/>
      <c r="Z107" s="34"/>
      <c r="AA107" s="414"/>
      <c r="AB107" s="34"/>
      <c r="AC107" s="34"/>
      <c r="AD107" s="34"/>
      <c r="AE107" s="34"/>
      <c r="AF107" s="34"/>
    </row>
    <row r="108" spans="1:32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V108" s="34"/>
      <c r="W108" s="34"/>
      <c r="X108" s="34"/>
      <c r="Y108" s="34"/>
      <c r="Z108" s="34"/>
      <c r="AA108" s="414"/>
      <c r="AB108" s="34"/>
      <c r="AC108" s="34"/>
      <c r="AD108" s="34"/>
      <c r="AE108" s="34"/>
      <c r="AF108" s="34"/>
    </row>
    <row r="109" spans="1:32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V109" s="34"/>
      <c r="W109" s="34"/>
      <c r="X109" s="34"/>
      <c r="Y109" s="34"/>
      <c r="Z109" s="34"/>
      <c r="AA109" s="414"/>
      <c r="AB109" s="34"/>
      <c r="AC109" s="34"/>
      <c r="AD109" s="34"/>
      <c r="AE109" s="34"/>
      <c r="AF109" s="34"/>
    </row>
    <row r="110" spans="1:32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V110" s="34"/>
      <c r="W110" s="34"/>
      <c r="X110" s="34"/>
      <c r="Y110" s="34"/>
      <c r="Z110" s="34"/>
      <c r="AA110" s="414"/>
      <c r="AB110" s="34"/>
      <c r="AC110" s="34"/>
      <c r="AD110" s="34"/>
      <c r="AE110" s="34"/>
      <c r="AF110" s="34"/>
    </row>
    <row r="111" spans="1:32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V111" s="34"/>
      <c r="W111" s="34"/>
      <c r="X111" s="34"/>
      <c r="Y111" s="34"/>
      <c r="Z111" s="34"/>
      <c r="AA111" s="414"/>
      <c r="AB111" s="34"/>
      <c r="AC111" s="34"/>
      <c r="AD111" s="34"/>
      <c r="AE111" s="34"/>
      <c r="AF111" s="34"/>
    </row>
    <row r="112" spans="1:3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V112" s="34"/>
      <c r="W112" s="34"/>
      <c r="X112" s="34"/>
      <c r="Y112" s="34"/>
      <c r="Z112" s="34"/>
      <c r="AA112" s="414"/>
      <c r="AB112" s="34"/>
      <c r="AC112" s="34"/>
      <c r="AD112" s="34"/>
      <c r="AE112" s="34"/>
      <c r="AF112" s="34"/>
    </row>
    <row r="113" spans="1:32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V113" s="34"/>
      <c r="W113" s="34"/>
      <c r="X113" s="34"/>
      <c r="Y113" s="34"/>
      <c r="Z113" s="34"/>
      <c r="AA113" s="414"/>
      <c r="AB113" s="34"/>
      <c r="AC113" s="34"/>
      <c r="AD113" s="34"/>
      <c r="AE113" s="34"/>
      <c r="AF113" s="34"/>
    </row>
    <row r="114" spans="1:32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V114" s="34"/>
      <c r="W114" s="34"/>
      <c r="X114" s="34"/>
      <c r="Y114" s="34"/>
      <c r="Z114" s="34"/>
      <c r="AA114" s="414"/>
      <c r="AB114" s="34"/>
      <c r="AC114" s="34"/>
      <c r="AD114" s="34"/>
      <c r="AE114" s="34"/>
      <c r="AF114" s="34"/>
    </row>
    <row r="115" spans="1:32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V115" s="34"/>
      <c r="W115" s="34"/>
      <c r="X115" s="34"/>
      <c r="Y115" s="34"/>
      <c r="Z115" s="34"/>
      <c r="AA115" s="414"/>
      <c r="AB115" s="34"/>
      <c r="AC115" s="34"/>
      <c r="AD115" s="34"/>
      <c r="AE115" s="34"/>
      <c r="AF115" s="34"/>
    </row>
    <row r="116" spans="1:32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V116" s="34"/>
      <c r="W116" s="34"/>
      <c r="X116" s="34"/>
      <c r="Y116" s="34"/>
      <c r="Z116" s="34"/>
      <c r="AA116" s="414"/>
      <c r="AB116" s="34"/>
      <c r="AC116" s="34"/>
      <c r="AD116" s="34"/>
      <c r="AE116" s="34"/>
      <c r="AF116" s="34"/>
    </row>
    <row r="117" spans="1:32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V117" s="34"/>
      <c r="W117" s="34"/>
      <c r="X117" s="34"/>
      <c r="Y117" s="34"/>
      <c r="Z117" s="34"/>
      <c r="AA117" s="414"/>
      <c r="AB117" s="34"/>
      <c r="AC117" s="34"/>
      <c r="AD117" s="34"/>
      <c r="AE117" s="34"/>
      <c r="AF117" s="34"/>
    </row>
    <row r="118" spans="1:32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V118" s="34"/>
      <c r="W118" s="34"/>
      <c r="X118" s="34"/>
      <c r="Y118" s="34"/>
      <c r="Z118" s="34"/>
      <c r="AA118" s="414"/>
      <c r="AB118" s="34"/>
      <c r="AC118" s="34"/>
      <c r="AD118" s="34"/>
      <c r="AE118" s="34"/>
      <c r="AF118" s="34"/>
    </row>
    <row r="119" spans="1:32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V119" s="34"/>
      <c r="W119" s="34"/>
      <c r="X119" s="34"/>
      <c r="Y119" s="34"/>
      <c r="Z119" s="34"/>
      <c r="AA119" s="414"/>
      <c r="AB119" s="34"/>
      <c r="AC119" s="34"/>
      <c r="AD119" s="34"/>
      <c r="AE119" s="34"/>
      <c r="AF119" s="34"/>
    </row>
    <row r="120" spans="1:32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V120" s="34"/>
      <c r="W120" s="34"/>
      <c r="X120" s="34"/>
      <c r="Y120" s="34"/>
      <c r="Z120" s="34"/>
      <c r="AA120" s="414"/>
      <c r="AB120" s="34"/>
      <c r="AC120" s="34"/>
      <c r="AD120" s="34"/>
      <c r="AE120" s="34"/>
      <c r="AF120" s="34"/>
    </row>
    <row r="121" spans="1:32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V121" s="34"/>
      <c r="W121" s="34"/>
      <c r="X121" s="34"/>
      <c r="Y121" s="34"/>
      <c r="Z121" s="34"/>
      <c r="AA121" s="414"/>
      <c r="AB121" s="34"/>
      <c r="AC121" s="34"/>
      <c r="AD121" s="34"/>
      <c r="AE121" s="34"/>
      <c r="AF121" s="34"/>
    </row>
    <row r="122" spans="1:3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V122" s="34"/>
      <c r="W122" s="34"/>
      <c r="X122" s="34"/>
      <c r="Y122" s="34"/>
      <c r="Z122" s="34"/>
      <c r="AA122" s="414"/>
      <c r="AB122" s="34"/>
      <c r="AC122" s="34"/>
      <c r="AD122" s="34"/>
      <c r="AE122" s="34"/>
      <c r="AF122" s="34"/>
    </row>
    <row r="123" spans="1:32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V123" s="34"/>
      <c r="W123" s="34"/>
      <c r="X123" s="34"/>
      <c r="Y123" s="34"/>
      <c r="Z123" s="34"/>
      <c r="AA123" s="414"/>
      <c r="AB123" s="34"/>
      <c r="AC123" s="34"/>
      <c r="AD123" s="34"/>
      <c r="AE123" s="34"/>
      <c r="AF123" s="34"/>
    </row>
    <row r="124" spans="1:32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V124" s="34"/>
      <c r="W124" s="34"/>
      <c r="X124" s="34"/>
      <c r="Y124" s="34"/>
      <c r="Z124" s="34"/>
      <c r="AA124" s="414"/>
      <c r="AB124" s="34"/>
      <c r="AC124" s="34"/>
      <c r="AD124" s="34"/>
      <c r="AE124" s="34"/>
      <c r="AF124" s="34"/>
    </row>
    <row r="125" spans="1:32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V125" s="34"/>
      <c r="W125" s="34"/>
      <c r="X125" s="34"/>
      <c r="Y125" s="34"/>
      <c r="Z125" s="34"/>
      <c r="AA125" s="414"/>
      <c r="AB125" s="34"/>
      <c r="AC125" s="34"/>
      <c r="AD125" s="34"/>
      <c r="AE125" s="34"/>
      <c r="AF125" s="34"/>
    </row>
    <row r="126" spans="1:32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V126" s="34"/>
      <c r="W126" s="34"/>
      <c r="X126" s="34"/>
      <c r="Y126" s="34"/>
      <c r="Z126" s="34"/>
      <c r="AA126" s="414"/>
      <c r="AB126" s="34"/>
      <c r="AC126" s="34"/>
      <c r="AD126" s="34"/>
      <c r="AE126" s="34"/>
      <c r="AF126" s="34"/>
    </row>
    <row r="127" spans="1:32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V127" s="34"/>
      <c r="W127" s="34"/>
      <c r="X127" s="34"/>
      <c r="Y127" s="34"/>
      <c r="Z127" s="34"/>
      <c r="AA127" s="414"/>
      <c r="AB127" s="34"/>
      <c r="AC127" s="34"/>
      <c r="AD127" s="34"/>
      <c r="AE127" s="34"/>
      <c r="AF127" s="34"/>
    </row>
    <row r="128" spans="1:32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V128" s="34"/>
      <c r="W128" s="34"/>
      <c r="X128" s="34"/>
      <c r="Y128" s="34"/>
      <c r="Z128" s="34"/>
      <c r="AA128" s="414"/>
      <c r="AB128" s="34"/>
      <c r="AC128" s="34"/>
      <c r="AD128" s="34"/>
      <c r="AE128" s="34"/>
      <c r="AF128" s="34"/>
    </row>
    <row r="129" spans="1:32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V129" s="34"/>
      <c r="W129" s="34"/>
      <c r="X129" s="34"/>
      <c r="Y129" s="34"/>
      <c r="Z129" s="34"/>
      <c r="AA129" s="414"/>
      <c r="AB129" s="34"/>
      <c r="AC129" s="34"/>
      <c r="AD129" s="34"/>
      <c r="AE129" s="34"/>
      <c r="AF129" s="34"/>
    </row>
    <row r="130" spans="1:32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V130" s="34"/>
      <c r="W130" s="34"/>
      <c r="X130" s="34"/>
      <c r="Y130" s="34"/>
      <c r="Z130" s="34"/>
      <c r="AA130" s="414"/>
      <c r="AB130" s="34"/>
      <c r="AC130" s="34"/>
      <c r="AD130" s="34"/>
      <c r="AE130" s="34"/>
      <c r="AF130" s="34"/>
    </row>
    <row r="131" spans="1:32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V131" s="34"/>
      <c r="W131" s="34"/>
      <c r="X131" s="34"/>
      <c r="Y131" s="34"/>
      <c r="Z131" s="34"/>
      <c r="AA131" s="414"/>
      <c r="AB131" s="34"/>
      <c r="AC131" s="34"/>
      <c r="AD131" s="34"/>
      <c r="AE131" s="34"/>
      <c r="AF131" s="34"/>
    </row>
  </sheetData>
  <sheetProtection password="CACA" sheet="1" objects="1" scenarios="1"/>
  <mergeCells count="36"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  <mergeCell ref="Y3:Z3"/>
    <mergeCell ref="X4:X7"/>
    <mergeCell ref="Y4:Y7"/>
    <mergeCell ref="T4:T7"/>
    <mergeCell ref="Z4:Z7"/>
    <mergeCell ref="U6:U7"/>
    <mergeCell ref="V6:V7"/>
    <mergeCell ref="U3:V3"/>
    <mergeCell ref="A89:F89"/>
    <mergeCell ref="A90:F90"/>
    <mergeCell ref="B99:T99"/>
    <mergeCell ref="G4:G7"/>
    <mergeCell ref="N6:O6"/>
    <mergeCell ref="P6:Q6"/>
    <mergeCell ref="R6:S6"/>
    <mergeCell ref="H6:H7"/>
    <mergeCell ref="I6:I7"/>
    <mergeCell ref="J6:J7"/>
    <mergeCell ref="K6:K7"/>
    <mergeCell ref="L6:M6"/>
  </mergeCells>
  <printOptions horizontalCentered="1"/>
  <pageMargins left="0.15748031496062992" right="0.19685039370078741" top="0.49" bottom="0.19685039370078741" header="0.51181102362204722" footer="0.51181102362204722"/>
  <pageSetup paperSize="9" scale="4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AD53"/>
  <sheetViews>
    <sheetView view="pageBreakPreview" topLeftCell="A4" zoomScale="70" zoomScaleNormal="75" zoomScaleSheetLayoutView="70" workbookViewId="0">
      <pane xSplit="2" ySplit="3" topLeftCell="C28" activePane="bottomRight" state="frozen"/>
      <selection activeCell="J47" sqref="J47"/>
      <selection pane="topRight" activeCell="J47" sqref="J47"/>
      <selection pane="bottomLeft" activeCell="J47" sqref="J47"/>
      <selection pane="bottomRight" activeCell="L50" sqref="L50"/>
    </sheetView>
  </sheetViews>
  <sheetFormatPr defaultColWidth="9.42578125" defaultRowHeight="15"/>
  <cols>
    <col min="1" max="1" width="11" style="274" bestFit="1" customWidth="1"/>
    <col min="2" max="2" width="31" style="174" customWidth="1"/>
    <col min="3" max="3" width="17.28515625" style="174" customWidth="1"/>
    <col min="4" max="9" width="17.42578125" style="174" customWidth="1"/>
    <col min="10" max="10" width="16.28515625" style="174" customWidth="1"/>
    <col min="11" max="11" width="9.42578125" style="174"/>
    <col min="12" max="14" width="18.85546875" style="174" customWidth="1"/>
    <col min="15" max="16384" width="9.42578125" style="174"/>
  </cols>
  <sheetData>
    <row r="1" spans="1:14" s="265" customFormat="1" ht="35.25" customHeight="1">
      <c r="A1" s="787" t="s">
        <v>459</v>
      </c>
      <c r="B1" s="787"/>
      <c r="C1" s="787"/>
      <c r="D1" s="787"/>
      <c r="E1" s="787"/>
      <c r="F1" s="787"/>
      <c r="G1" s="787"/>
      <c r="H1" s="787"/>
      <c r="I1" s="787"/>
      <c r="J1" s="416" t="s">
        <v>458</v>
      </c>
    </row>
    <row r="2" spans="1:14" s="258" customFormat="1" ht="15.75" customHeight="1">
      <c r="A2" s="266"/>
      <c r="B2" s="267"/>
      <c r="C2" s="267"/>
      <c r="E2" s="268"/>
    </row>
    <row r="3" spans="1:14" s="258" customFormat="1" ht="16.5" customHeight="1">
      <c r="A3" s="269" t="s">
        <v>460</v>
      </c>
      <c r="C3" s="269"/>
      <c r="F3" s="270"/>
      <c r="G3" s="718">
        <f>+'Asset quality'!Q3</f>
        <v>45289</v>
      </c>
      <c r="H3" s="718"/>
      <c r="J3" s="309" t="str">
        <f>+'Asset quality'!T3</f>
        <v>минг. сўмда</v>
      </c>
      <c r="L3" s="309"/>
    </row>
    <row r="4" spans="1:14" s="233" customFormat="1" ht="36" customHeight="1">
      <c r="A4" s="788" t="s">
        <v>61</v>
      </c>
      <c r="B4" s="788" t="s">
        <v>461</v>
      </c>
      <c r="C4" s="771" t="str">
        <f>"Ҳисобдан чиқарилган кредит ва лизинглар қолдиғи"&amp;" "&amp;DAY(G3)&amp;"."&amp;IF(LEN(MONTH(G3))&lt;2,"0"&amp;MONTH(G3),MONTH(G3))&amp;"."&amp;YEAR(G3)-1&amp;"г"</f>
        <v>Ҳисобдан чиқарилган кредит ва лизинглар қолдиғи 29.12.2022г</v>
      </c>
      <c r="D4" s="756" t="s">
        <v>462</v>
      </c>
      <c r="E4" s="783"/>
      <c r="F4" s="783"/>
      <c r="G4" s="783"/>
      <c r="H4" s="783"/>
      <c r="I4" s="757"/>
      <c r="J4" s="771" t="str">
        <f>"Хисобдан чиқарилган кредит ва лизинглар қолдиғи"&amp;" "&amp;DAY(G3)&amp;"."&amp;IF(LEN(MONTH(G3))&lt;2,"0"&amp;MONTH(G3),MONTH(G3))&amp;"."&amp;YEAR(G3)&amp;"г"</f>
        <v>Хисобдан чиқарилган кредит ва лизинглар қолдиғи 29.12.2023г</v>
      </c>
    </row>
    <row r="5" spans="1:14" s="233" customFormat="1" ht="33.75" customHeight="1">
      <c r="A5" s="789"/>
      <c r="B5" s="789"/>
      <c r="C5" s="772"/>
      <c r="D5" s="784" t="s">
        <v>463</v>
      </c>
      <c r="E5" s="785"/>
      <c r="F5" s="763" t="s">
        <v>464</v>
      </c>
      <c r="G5" s="786"/>
      <c r="H5" s="763" t="s">
        <v>465</v>
      </c>
      <c r="I5" s="786"/>
      <c r="J5" s="772"/>
      <c r="N5" s="271"/>
    </row>
    <row r="6" spans="1:14" s="233" customFormat="1" ht="44.25" customHeight="1">
      <c r="A6" s="790"/>
      <c r="B6" s="790"/>
      <c r="C6" s="773"/>
      <c r="D6" s="284" t="s">
        <v>234</v>
      </c>
      <c r="E6" s="284" t="s">
        <v>466</v>
      </c>
      <c r="F6" s="284" t="s">
        <v>234</v>
      </c>
      <c r="G6" s="284" t="s">
        <v>466</v>
      </c>
      <c r="H6" s="284" t="s">
        <v>234</v>
      </c>
      <c r="I6" s="284" t="s">
        <v>466</v>
      </c>
      <c r="J6" s="773"/>
    </row>
    <row r="7" spans="1:14" ht="19.5" customHeight="1">
      <c r="A7" s="284"/>
      <c r="B7" s="284" t="s">
        <v>78</v>
      </c>
      <c r="C7" s="284" t="s">
        <v>79</v>
      </c>
      <c r="D7" s="284" t="s">
        <v>89</v>
      </c>
      <c r="E7" s="284" t="s">
        <v>80</v>
      </c>
      <c r="F7" s="284" t="s">
        <v>81</v>
      </c>
      <c r="G7" s="284" t="s">
        <v>90</v>
      </c>
      <c r="H7" s="284" t="s">
        <v>82</v>
      </c>
      <c r="I7" s="284" t="s">
        <v>83</v>
      </c>
      <c r="J7" s="284" t="s">
        <v>84</v>
      </c>
    </row>
    <row r="8" spans="1:14" ht="19.5" customHeight="1">
      <c r="A8" s="284">
        <v>1</v>
      </c>
      <c r="B8" s="284" t="s">
        <v>467</v>
      </c>
      <c r="C8" s="284">
        <f>SUM(C10:C17)</f>
        <v>253205924</v>
      </c>
      <c r="D8" s="284">
        <f t="shared" ref="D8:J8" si="0">SUM(D10:D17)</f>
        <v>48561332</v>
      </c>
      <c r="E8" s="284">
        <f t="shared" si="0"/>
        <v>6545286</v>
      </c>
      <c r="F8" s="284">
        <f t="shared" si="0"/>
        <v>87759221</v>
      </c>
      <c r="G8" s="284">
        <f t="shared" si="0"/>
        <v>35058730</v>
      </c>
      <c r="H8" s="284">
        <f t="shared" si="0"/>
        <v>-39197889</v>
      </c>
      <c r="I8" s="284">
        <f t="shared" si="0"/>
        <v>-28513444</v>
      </c>
      <c r="J8" s="284">
        <f t="shared" si="0"/>
        <v>214008035</v>
      </c>
      <c r="L8" s="274">
        <f>+'loans type'!Y27</f>
        <v>214008035</v>
      </c>
    </row>
    <row r="9" spans="1:14" ht="19.5" customHeight="1">
      <c r="A9" s="417"/>
      <c r="B9" s="418" t="s">
        <v>334</v>
      </c>
      <c r="C9" s="272"/>
      <c r="D9" s="273"/>
      <c r="E9" s="273"/>
      <c r="F9" s="273"/>
      <c r="G9" s="273"/>
      <c r="H9" s="273"/>
      <c r="I9" s="273"/>
      <c r="J9" s="273"/>
      <c r="K9" s="274"/>
    </row>
    <row r="10" spans="1:14" ht="28.5" customHeight="1">
      <c r="A10" s="419" t="s">
        <v>110</v>
      </c>
      <c r="B10" s="272" t="s">
        <v>468</v>
      </c>
      <c r="C10" s="285">
        <v>78051292</v>
      </c>
      <c r="D10" s="285">
        <v>17911473</v>
      </c>
      <c r="E10" s="285">
        <v>2497501</v>
      </c>
      <c r="F10" s="285">
        <v>9827038</v>
      </c>
      <c r="G10" s="285">
        <v>0</v>
      </c>
      <c r="H10" s="285">
        <f>+D10-F10</f>
        <v>8084435</v>
      </c>
      <c r="I10" s="285">
        <f>+E10-G10</f>
        <v>2497501</v>
      </c>
      <c r="J10" s="285">
        <f>+C10+D10-F10</f>
        <v>86135727</v>
      </c>
    </row>
    <row r="11" spans="1:14" ht="28.5" customHeight="1">
      <c r="A11" s="419" t="s">
        <v>111</v>
      </c>
      <c r="B11" s="272" t="s">
        <v>469</v>
      </c>
      <c r="C11" s="285">
        <v>55070053</v>
      </c>
      <c r="D11" s="285">
        <v>5549429</v>
      </c>
      <c r="E11" s="285">
        <v>1852752</v>
      </c>
      <c r="F11" s="285">
        <v>28601254</v>
      </c>
      <c r="G11" s="285">
        <v>1946297</v>
      </c>
      <c r="H11" s="285">
        <f>+D11-F11</f>
        <v>-23051825</v>
      </c>
      <c r="I11" s="285">
        <f>+E11-G11</f>
        <v>-93545</v>
      </c>
      <c r="J11" s="285">
        <f t="shared" ref="J11:J17" si="1">+C11+D11-F11</f>
        <v>32018228</v>
      </c>
    </row>
    <row r="12" spans="1:14" ht="28.5" customHeight="1">
      <c r="A12" s="419" t="s">
        <v>112</v>
      </c>
      <c r="B12" s="272" t="s">
        <v>470</v>
      </c>
      <c r="C12" s="285">
        <v>0</v>
      </c>
      <c r="D12" s="285">
        <v>8153386</v>
      </c>
      <c r="E12" s="285">
        <v>13614</v>
      </c>
      <c r="F12" s="285">
        <v>16354459</v>
      </c>
      <c r="G12" s="285">
        <v>6448456</v>
      </c>
      <c r="H12" s="285">
        <f>+D12-F12</f>
        <v>-8201073</v>
      </c>
      <c r="I12" s="285">
        <f t="shared" ref="I12:I17" si="2">+E12-G12</f>
        <v>-6434842</v>
      </c>
      <c r="J12" s="285">
        <f>+C12+D12-F12</f>
        <v>-8201073</v>
      </c>
    </row>
    <row r="13" spans="1:14" ht="28.5" customHeight="1">
      <c r="A13" s="419" t="s">
        <v>116</v>
      </c>
      <c r="B13" s="272" t="s">
        <v>471</v>
      </c>
      <c r="C13" s="285">
        <v>83400254</v>
      </c>
      <c r="D13" s="285">
        <v>6310987</v>
      </c>
      <c r="E13" s="285">
        <v>83656</v>
      </c>
      <c r="F13" s="285">
        <v>8827038</v>
      </c>
      <c r="G13" s="285"/>
      <c r="H13" s="285">
        <f t="shared" ref="H13:H15" si="3">+D13-F13</f>
        <v>-2516051</v>
      </c>
      <c r="I13" s="285">
        <f t="shared" si="2"/>
        <v>83656</v>
      </c>
      <c r="J13" s="285">
        <f t="shared" si="1"/>
        <v>80884203</v>
      </c>
    </row>
    <row r="14" spans="1:14" ht="28.5" customHeight="1">
      <c r="A14" s="419" t="s">
        <v>117</v>
      </c>
      <c r="B14" s="272" t="s">
        <v>472</v>
      </c>
      <c r="C14" s="285">
        <v>1261220</v>
      </c>
      <c r="D14" s="285">
        <v>3397429</v>
      </c>
      <c r="E14" s="285">
        <v>570221</v>
      </c>
      <c r="F14" s="285">
        <v>7827038</v>
      </c>
      <c r="G14" s="285">
        <v>307000</v>
      </c>
      <c r="H14" s="285">
        <f>+D14-F14</f>
        <v>-4429609</v>
      </c>
      <c r="I14" s="285">
        <f t="shared" si="2"/>
        <v>263221</v>
      </c>
      <c r="J14" s="285">
        <f t="shared" si="1"/>
        <v>-3168389</v>
      </c>
    </row>
    <row r="15" spans="1:14" ht="28.5" customHeight="1">
      <c r="A15" s="419" t="s">
        <v>146</v>
      </c>
      <c r="B15" s="272" t="s">
        <v>473</v>
      </c>
      <c r="C15" s="285">
        <v>0</v>
      </c>
      <c r="D15" s="285">
        <v>2993544</v>
      </c>
      <c r="E15" s="285">
        <v>73763</v>
      </c>
      <c r="F15" s="285">
        <v>2413519</v>
      </c>
      <c r="G15" s="285">
        <v>10955293</v>
      </c>
      <c r="H15" s="285">
        <f t="shared" si="3"/>
        <v>580025</v>
      </c>
      <c r="I15" s="285">
        <f t="shared" si="2"/>
        <v>-10881530</v>
      </c>
      <c r="J15" s="285">
        <f t="shared" si="1"/>
        <v>580025</v>
      </c>
    </row>
    <row r="16" spans="1:14" ht="28.5" customHeight="1">
      <c r="A16" s="419" t="s">
        <v>219</v>
      </c>
      <c r="B16" s="272" t="s">
        <v>474</v>
      </c>
      <c r="C16" s="285">
        <v>35423105</v>
      </c>
      <c r="D16" s="285">
        <v>1441812</v>
      </c>
      <c r="E16" s="285">
        <v>558652</v>
      </c>
      <c r="F16" s="285">
        <v>13908875</v>
      </c>
      <c r="G16" s="285">
        <v>8716374</v>
      </c>
      <c r="H16" s="285">
        <f>+D16-F16</f>
        <v>-12467063</v>
      </c>
      <c r="I16" s="285">
        <f t="shared" si="2"/>
        <v>-8157722</v>
      </c>
      <c r="J16" s="285">
        <f t="shared" si="1"/>
        <v>22956042</v>
      </c>
    </row>
    <row r="17" spans="1:15" ht="28.5" customHeight="1">
      <c r="A17" s="419" t="s">
        <v>220</v>
      </c>
      <c r="B17" s="272" t="s">
        <v>475</v>
      </c>
      <c r="C17" s="285">
        <v>0</v>
      </c>
      <c r="D17" s="285">
        <v>2803272</v>
      </c>
      <c r="E17" s="285">
        <v>895127</v>
      </c>
      <c r="F17" s="285">
        <v>0</v>
      </c>
      <c r="G17" s="285">
        <v>6685310</v>
      </c>
      <c r="H17" s="285">
        <f>+D17-F17</f>
        <v>2803272</v>
      </c>
      <c r="I17" s="285">
        <f t="shared" si="2"/>
        <v>-5790183</v>
      </c>
      <c r="J17" s="285">
        <f t="shared" si="1"/>
        <v>2803272</v>
      </c>
    </row>
    <row r="18" spans="1:15" ht="19.5" customHeight="1">
      <c r="A18" s="284">
        <v>2</v>
      </c>
      <c r="B18" s="284" t="s">
        <v>398</v>
      </c>
      <c r="C18" s="284">
        <f>SUM(C20:C24)</f>
        <v>94140738</v>
      </c>
      <c r="D18" s="284">
        <f t="shared" ref="D18:J18" si="4">SUM(D20:D24)</f>
        <v>67531857.900000006</v>
      </c>
      <c r="E18" s="284">
        <f t="shared" si="4"/>
        <v>0</v>
      </c>
      <c r="F18" s="284">
        <f t="shared" si="4"/>
        <v>18696956.900000002</v>
      </c>
      <c r="G18" s="284">
        <f t="shared" si="4"/>
        <v>0</v>
      </c>
      <c r="H18" s="284">
        <f t="shared" si="4"/>
        <v>48834901</v>
      </c>
      <c r="I18" s="284">
        <f t="shared" si="4"/>
        <v>0</v>
      </c>
      <c r="J18" s="284">
        <f t="shared" si="4"/>
        <v>142975639</v>
      </c>
      <c r="L18" s="274">
        <f>+'loans type'!Y9</f>
        <v>142975639</v>
      </c>
    </row>
    <row r="19" spans="1:15" ht="19.5" customHeight="1">
      <c r="A19" s="420"/>
      <c r="B19" s="418" t="s">
        <v>334</v>
      </c>
      <c r="C19" s="272"/>
      <c r="D19" s="273"/>
      <c r="E19" s="273"/>
      <c r="F19" s="273"/>
      <c r="G19" s="273"/>
      <c r="H19" s="273"/>
      <c r="I19" s="273"/>
      <c r="J19" s="273"/>
    </row>
    <row r="20" spans="1:15" ht="28.5" customHeight="1">
      <c r="A20" s="419" t="s">
        <v>123</v>
      </c>
      <c r="B20" s="272" t="s">
        <v>476</v>
      </c>
      <c r="C20" s="285">
        <v>0</v>
      </c>
      <c r="D20" s="285">
        <v>35336778.799999997</v>
      </c>
      <c r="E20" s="285">
        <v>0</v>
      </c>
      <c r="F20" s="285">
        <v>1278452</v>
      </c>
      <c r="G20" s="285">
        <v>0</v>
      </c>
      <c r="H20" s="285">
        <f>+D20-F20</f>
        <v>34058326.799999997</v>
      </c>
      <c r="I20" s="285">
        <f>+E20-G20</f>
        <v>0</v>
      </c>
      <c r="J20" s="285">
        <f>+C20+D20-F20</f>
        <v>34058326.799999997</v>
      </c>
    </row>
    <row r="21" spans="1:15" ht="28.5" customHeight="1">
      <c r="A21" s="419" t="s">
        <v>124</v>
      </c>
      <c r="B21" s="272" t="s">
        <v>174</v>
      </c>
      <c r="C21" s="285">
        <v>0</v>
      </c>
      <c r="D21" s="285">
        <v>0</v>
      </c>
      <c r="E21" s="285">
        <v>0</v>
      </c>
      <c r="F21" s="285">
        <v>3044461</v>
      </c>
      <c r="G21" s="285">
        <v>0</v>
      </c>
      <c r="H21" s="285">
        <f>+D21-F21</f>
        <v>-3044461</v>
      </c>
      <c r="I21" s="285">
        <f t="shared" ref="I21:I24" si="5">+E21-G21</f>
        <v>0</v>
      </c>
      <c r="J21" s="285">
        <f t="shared" ref="J21:J24" si="6">+C21+D21-F21</f>
        <v>-3044461</v>
      </c>
    </row>
    <row r="22" spans="1:15" ht="28.5" customHeight="1">
      <c r="A22" s="419" t="s">
        <v>126</v>
      </c>
      <c r="B22" s="272" t="s">
        <v>477</v>
      </c>
      <c r="C22" s="285">
        <v>0</v>
      </c>
      <c r="D22" s="285">
        <v>8834194.6999999993</v>
      </c>
      <c r="E22" s="285">
        <v>0</v>
      </c>
      <c r="F22" s="285">
        <v>4339476</v>
      </c>
      <c r="G22" s="285">
        <v>0</v>
      </c>
      <c r="H22" s="285">
        <f>+D22-F22</f>
        <v>4494718.6999999993</v>
      </c>
      <c r="I22" s="285">
        <f t="shared" si="5"/>
        <v>0</v>
      </c>
      <c r="J22" s="285">
        <f t="shared" si="6"/>
        <v>4494718.6999999993</v>
      </c>
    </row>
    <row r="23" spans="1:15" ht="28.5" customHeight="1">
      <c r="A23" s="419" t="s">
        <v>128</v>
      </c>
      <c r="B23" s="272" t="s">
        <v>478</v>
      </c>
      <c r="C23" s="285">
        <v>0</v>
      </c>
      <c r="D23" s="285">
        <v>0</v>
      </c>
      <c r="E23" s="285">
        <v>0</v>
      </c>
      <c r="F23" s="285">
        <v>3101221</v>
      </c>
      <c r="G23" s="285">
        <v>0</v>
      </c>
      <c r="H23" s="285">
        <f>+D23-F23</f>
        <v>-3101221</v>
      </c>
      <c r="I23" s="285">
        <f t="shared" si="5"/>
        <v>0</v>
      </c>
      <c r="J23" s="285">
        <f t="shared" si="6"/>
        <v>-3101221</v>
      </c>
    </row>
    <row r="24" spans="1:15" ht="28.5" customHeight="1">
      <c r="A24" s="419" t="s">
        <v>175</v>
      </c>
      <c r="B24" s="272" t="s">
        <v>479</v>
      </c>
      <c r="C24" s="285">
        <v>94140738</v>
      </c>
      <c r="D24" s="285">
        <v>23360884.399999999</v>
      </c>
      <c r="E24" s="285">
        <v>0</v>
      </c>
      <c r="F24" s="285">
        <v>6933346.9000000022</v>
      </c>
      <c r="G24" s="285">
        <v>0</v>
      </c>
      <c r="H24" s="285">
        <f>+D24-F24</f>
        <v>16427537.499999996</v>
      </c>
      <c r="I24" s="285">
        <f t="shared" si="5"/>
        <v>0</v>
      </c>
      <c r="J24" s="285">
        <f t="shared" si="6"/>
        <v>110568275.5</v>
      </c>
    </row>
    <row r="25" spans="1:15" ht="19.5" customHeight="1">
      <c r="A25" s="284">
        <v>3</v>
      </c>
      <c r="B25" s="284" t="s">
        <v>234</v>
      </c>
      <c r="C25" s="284">
        <f>+C18+C8</f>
        <v>347346662</v>
      </c>
      <c r="D25" s="284">
        <f t="shared" ref="D25:J25" si="7">+D18+D8</f>
        <v>116093189.90000001</v>
      </c>
      <c r="E25" s="284">
        <f t="shared" si="7"/>
        <v>6545286</v>
      </c>
      <c r="F25" s="284">
        <f t="shared" si="7"/>
        <v>106456177.90000001</v>
      </c>
      <c r="G25" s="284">
        <f t="shared" si="7"/>
        <v>35058730</v>
      </c>
      <c r="H25" s="284">
        <f t="shared" si="7"/>
        <v>9637012</v>
      </c>
      <c r="I25" s="284">
        <f t="shared" si="7"/>
        <v>-28513444</v>
      </c>
      <c r="J25" s="284">
        <f t="shared" si="7"/>
        <v>356983674</v>
      </c>
      <c r="L25" s="575">
        <f>+'loans type'!Y8</f>
        <v>356983674</v>
      </c>
    </row>
    <row r="26" spans="1:15">
      <c r="B26" s="266"/>
      <c r="C26" s="266"/>
      <c r="D26" s="275"/>
      <c r="E26" s="275"/>
      <c r="F26" s="275"/>
      <c r="G26" s="275"/>
      <c r="H26" s="275"/>
      <c r="I26" s="275"/>
      <c r="J26" s="275"/>
    </row>
    <row r="27" spans="1:15" s="258" customFormat="1" ht="16.5" customHeight="1">
      <c r="A27" s="269" t="s">
        <v>484</v>
      </c>
      <c r="B27" s="269"/>
      <c r="C27" s="269"/>
      <c r="G27" s="276"/>
      <c r="H27" s="259"/>
      <c r="L27" s="174"/>
      <c r="N27" s="277"/>
      <c r="O27" s="277"/>
    </row>
    <row r="28" spans="1:15" s="233" customFormat="1" ht="33.75" customHeight="1">
      <c r="A28" s="780" t="s">
        <v>61</v>
      </c>
      <c r="B28" s="771" t="s">
        <v>461</v>
      </c>
      <c r="C28" s="771" t="str">
        <f>"Кредит ва лизинг бўйича эҳтимолий йўқотишларга қарши захиралар"&amp;" "&amp;DAY(G3)&amp;"."&amp;IF(LEN(MONTH(G3))&lt;2,"0"&amp;MONTH(G3),MONTH(G3))&amp;"."&amp;YEAR(G3)-1&amp;"г"</f>
        <v>Кредит ва лизинг бўйича эҳтимолий йўқотишларга қарши захиралар 29.12.2022г</v>
      </c>
      <c r="D28" s="756" t="s">
        <v>480</v>
      </c>
      <c r="E28" s="783"/>
      <c r="F28" s="783"/>
      <c r="G28" s="757"/>
      <c r="H28" s="771" t="s">
        <v>483</v>
      </c>
      <c r="I28" s="771" t="str">
        <f>"Кредит ва лизинг бўйича эҳтимолий йўқотишларга қарши захиралар"&amp;" "&amp;DAY(G3)&amp;"."&amp;IF(LEN(MONTH(G3))&lt;2,"0"&amp;MONTH(G3),MONTH(G3))&amp;"."&amp;YEAR(G3)&amp;"г"</f>
        <v>Кредит ва лизинг бўйича эҳтимолий йўқотишларга қарши захиралар 29.12.2023г</v>
      </c>
      <c r="L28" s="174"/>
    </row>
    <row r="29" spans="1:15" s="233" customFormat="1" ht="28.5" customHeight="1">
      <c r="A29" s="781"/>
      <c r="B29" s="772"/>
      <c r="C29" s="772"/>
      <c r="D29" s="756" t="s">
        <v>481</v>
      </c>
      <c r="E29" s="757"/>
      <c r="F29" s="756" t="s">
        <v>482</v>
      </c>
      <c r="G29" s="757"/>
      <c r="H29" s="772"/>
      <c r="I29" s="772"/>
      <c r="L29" s="174"/>
    </row>
    <row r="30" spans="1:15" s="233" customFormat="1" ht="37.5" customHeight="1">
      <c r="A30" s="782"/>
      <c r="B30" s="773"/>
      <c r="C30" s="773"/>
      <c r="D30" s="284" t="s">
        <v>234</v>
      </c>
      <c r="E30" s="284" t="s">
        <v>466</v>
      </c>
      <c r="F30" s="284" t="s">
        <v>234</v>
      </c>
      <c r="G30" s="284" t="s">
        <v>466</v>
      </c>
      <c r="H30" s="773"/>
      <c r="I30" s="773"/>
      <c r="L30" s="174"/>
    </row>
    <row r="31" spans="1:15" ht="19.5" customHeight="1">
      <c r="A31" s="284"/>
      <c r="B31" s="284" t="s">
        <v>78</v>
      </c>
      <c r="C31" s="284" t="s">
        <v>79</v>
      </c>
      <c r="D31" s="284" t="s">
        <v>89</v>
      </c>
      <c r="E31" s="284" t="s">
        <v>80</v>
      </c>
      <c r="F31" s="284" t="s">
        <v>81</v>
      </c>
      <c r="G31" s="284" t="s">
        <v>90</v>
      </c>
      <c r="H31" s="284" t="s">
        <v>82</v>
      </c>
      <c r="I31" s="284" t="s">
        <v>83</v>
      </c>
    </row>
    <row r="32" spans="1:15" ht="19.5" customHeight="1">
      <c r="A32" s="284">
        <v>1</v>
      </c>
      <c r="B32" s="284" t="s">
        <v>467</v>
      </c>
      <c r="C32" s="284">
        <f>SUM(C34:C41)</f>
        <v>262177672</v>
      </c>
      <c r="D32" s="284">
        <f t="shared" ref="D32:H32" si="8">SUM(D34:D41)</f>
        <v>73173711</v>
      </c>
      <c r="E32" s="284">
        <f t="shared" si="8"/>
        <v>0</v>
      </c>
      <c r="F32" s="284">
        <f t="shared" si="8"/>
        <v>0</v>
      </c>
      <c r="G32" s="284">
        <f t="shared" si="8"/>
        <v>0</v>
      </c>
      <c r="H32" s="284">
        <f t="shared" si="8"/>
        <v>-21457045</v>
      </c>
      <c r="I32" s="284">
        <f>SUM(I34:I41)</f>
        <v>167546916</v>
      </c>
      <c r="L32" s="274">
        <f>+'Asset Classification'!Y31-'Asset Classification'!Y13</f>
        <v>167546916</v>
      </c>
    </row>
    <row r="33" spans="1:12" ht="19.5" customHeight="1">
      <c r="A33" s="420"/>
      <c r="B33" s="418" t="s">
        <v>334</v>
      </c>
      <c r="C33" s="272"/>
      <c r="D33" s="273"/>
      <c r="E33" s="273"/>
      <c r="F33" s="273"/>
      <c r="G33" s="273"/>
      <c r="H33" s="273"/>
      <c r="I33" s="273"/>
    </row>
    <row r="34" spans="1:12" ht="28.5" customHeight="1">
      <c r="A34" s="419" t="s">
        <v>110</v>
      </c>
      <c r="B34" s="272" t="s">
        <v>468</v>
      </c>
      <c r="C34" s="285">
        <v>112600374</v>
      </c>
      <c r="D34" s="285">
        <v>48359741</v>
      </c>
      <c r="E34" s="285"/>
      <c r="F34" s="285"/>
      <c r="G34" s="285"/>
      <c r="H34" s="285">
        <f>+I34-(C34-D34+F34)</f>
        <v>-16124017</v>
      </c>
      <c r="I34" s="598">
        <v>48116616</v>
      </c>
    </row>
    <row r="35" spans="1:12" ht="28.5" customHeight="1">
      <c r="A35" s="419" t="s">
        <v>111</v>
      </c>
      <c r="B35" s="272" t="s">
        <v>469</v>
      </c>
      <c r="C35" s="285">
        <v>65782316</v>
      </c>
      <c r="D35" s="285">
        <v>16505269</v>
      </c>
      <c r="E35" s="285"/>
      <c r="F35" s="285"/>
      <c r="G35" s="285"/>
      <c r="H35" s="285">
        <f t="shared" ref="H35:H40" si="9">+I35-(C35-D35+F35)</f>
        <v>14217211</v>
      </c>
      <c r="I35" s="598">
        <v>63494258</v>
      </c>
    </row>
    <row r="36" spans="1:12" ht="28.5" customHeight="1">
      <c r="A36" s="419" t="s">
        <v>112</v>
      </c>
      <c r="B36" s="272" t="s">
        <v>470</v>
      </c>
      <c r="C36" s="285">
        <v>7583797</v>
      </c>
      <c r="D36" s="285">
        <v>219370</v>
      </c>
      <c r="E36" s="285"/>
      <c r="F36" s="285"/>
      <c r="G36" s="285"/>
      <c r="H36" s="285">
        <f t="shared" si="9"/>
        <v>-6056026</v>
      </c>
      <c r="I36" s="598">
        <v>1308401</v>
      </c>
    </row>
    <row r="37" spans="1:12" ht="28.5" customHeight="1">
      <c r="A37" s="419" t="s">
        <v>116</v>
      </c>
      <c r="B37" s="272" t="s">
        <v>471</v>
      </c>
      <c r="C37" s="285">
        <v>5702701</v>
      </c>
      <c r="D37" s="285">
        <v>124041</v>
      </c>
      <c r="E37" s="285"/>
      <c r="F37" s="285"/>
      <c r="G37" s="285"/>
      <c r="H37" s="285">
        <f t="shared" si="9"/>
        <v>11748758</v>
      </c>
      <c r="I37" s="598">
        <v>17327418</v>
      </c>
    </row>
    <row r="38" spans="1:12" ht="28.5" customHeight="1">
      <c r="A38" s="419" t="s">
        <v>117</v>
      </c>
      <c r="B38" s="272" t="s">
        <v>472</v>
      </c>
      <c r="C38" s="285">
        <v>28874038</v>
      </c>
      <c r="D38" s="285">
        <v>3179943</v>
      </c>
      <c r="E38" s="285"/>
      <c r="F38" s="285"/>
      <c r="G38" s="285"/>
      <c r="H38" s="285">
        <f t="shared" si="9"/>
        <v>1357482</v>
      </c>
      <c r="I38" s="598">
        <v>27051577</v>
      </c>
    </row>
    <row r="39" spans="1:12" ht="28.5" customHeight="1">
      <c r="A39" s="419" t="s">
        <v>146</v>
      </c>
      <c r="B39" s="272" t="s">
        <v>473</v>
      </c>
      <c r="C39" s="285">
        <v>34743772</v>
      </c>
      <c r="D39" s="285">
        <v>4604243</v>
      </c>
      <c r="E39" s="285"/>
      <c r="F39" s="285"/>
      <c r="G39" s="285"/>
      <c r="H39" s="285">
        <f>+I39-(C39-D39+F39)</f>
        <v>-28271923</v>
      </c>
      <c r="I39" s="598">
        <v>1867606</v>
      </c>
    </row>
    <row r="40" spans="1:12" ht="28.5" customHeight="1">
      <c r="A40" s="419" t="s">
        <v>219</v>
      </c>
      <c r="B40" s="272" t="s">
        <v>474</v>
      </c>
      <c r="C40" s="285">
        <v>0</v>
      </c>
      <c r="D40" s="285">
        <v>0</v>
      </c>
      <c r="E40" s="285"/>
      <c r="F40" s="285"/>
      <c r="G40" s="285"/>
      <c r="H40" s="285">
        <f t="shared" si="9"/>
        <v>8381040</v>
      </c>
      <c r="I40" s="598">
        <v>8381040</v>
      </c>
    </row>
    <row r="41" spans="1:12" ht="28.5" customHeight="1">
      <c r="A41" s="419" t="s">
        <v>220</v>
      </c>
      <c r="B41" s="272" t="s">
        <v>475</v>
      </c>
      <c r="C41" s="285">
        <v>6890674</v>
      </c>
      <c r="D41" s="285">
        <v>181104</v>
      </c>
      <c r="E41" s="285"/>
      <c r="F41" s="285"/>
      <c r="G41" s="285"/>
      <c r="H41" s="285">
        <f>+I41-(C41-D41+F41)</f>
        <v>-6709570</v>
      </c>
      <c r="I41" s="598">
        <v>0</v>
      </c>
    </row>
    <row r="42" spans="1:12" ht="19.5" customHeight="1">
      <c r="A42" s="284">
        <v>2</v>
      </c>
      <c r="B42" s="284" t="s">
        <v>398</v>
      </c>
      <c r="C42" s="284">
        <f>SUM(C44:C48)</f>
        <v>92033635</v>
      </c>
      <c r="D42" s="284">
        <f t="shared" ref="D42:H42" si="10">SUM(D44:D48)</f>
        <v>40219366.936228938</v>
      </c>
      <c r="E42" s="284">
        <f t="shared" si="10"/>
        <v>0</v>
      </c>
      <c r="F42" s="284">
        <f t="shared" si="10"/>
        <v>0</v>
      </c>
      <c r="G42" s="284">
        <f t="shared" si="10"/>
        <v>0</v>
      </c>
      <c r="H42" s="284">
        <f t="shared" si="10"/>
        <v>6622602.9362289384</v>
      </c>
      <c r="I42" s="284">
        <f>SUM(I44:I48)</f>
        <v>58436871</v>
      </c>
      <c r="L42" s="274">
        <f>+'Asset Classification'!Y13</f>
        <v>58436871</v>
      </c>
    </row>
    <row r="43" spans="1:12" ht="19.5" customHeight="1">
      <c r="A43" s="420"/>
      <c r="B43" s="418" t="s">
        <v>334</v>
      </c>
      <c r="C43" s="278"/>
      <c r="D43" s="104"/>
      <c r="E43" s="104"/>
      <c r="F43" s="104"/>
      <c r="G43" s="104"/>
      <c r="H43" s="104"/>
      <c r="I43" s="104"/>
    </row>
    <row r="44" spans="1:12" ht="28.5" customHeight="1">
      <c r="A44" s="419" t="s">
        <v>123</v>
      </c>
      <c r="B44" s="272" t="s">
        <v>476</v>
      </c>
      <c r="C44" s="285">
        <v>7959571</v>
      </c>
      <c r="D44" s="285">
        <v>688387</v>
      </c>
      <c r="E44" s="285"/>
      <c r="F44" s="285"/>
      <c r="G44" s="285"/>
      <c r="H44" s="285">
        <f>+I44-(C44-D44+F44)</f>
        <v>-5255150</v>
      </c>
      <c r="I44" s="285">
        <v>2016034</v>
      </c>
    </row>
    <row r="45" spans="1:12" ht="28.5" customHeight="1">
      <c r="A45" s="419" t="s">
        <v>124</v>
      </c>
      <c r="B45" s="272" t="s">
        <v>174</v>
      </c>
      <c r="C45" s="285">
        <v>292527</v>
      </c>
      <c r="D45" s="285">
        <v>930</v>
      </c>
      <c r="E45" s="285"/>
      <c r="F45" s="285"/>
      <c r="G45" s="285"/>
      <c r="H45" s="285">
        <f t="shared" ref="H45:H48" si="11">+I45-(C45-D45+F45)</f>
        <v>-99963</v>
      </c>
      <c r="I45" s="285">
        <v>191634</v>
      </c>
    </row>
    <row r="46" spans="1:12" ht="28.5" customHeight="1">
      <c r="A46" s="419" t="s">
        <v>126</v>
      </c>
      <c r="B46" s="272" t="s">
        <v>477</v>
      </c>
      <c r="C46" s="285">
        <v>13408953</v>
      </c>
      <c r="D46" s="285">
        <v>1953633.8198363378</v>
      </c>
      <c r="E46" s="285"/>
      <c r="F46" s="285"/>
      <c r="G46" s="285"/>
      <c r="H46" s="285">
        <f t="shared" si="11"/>
        <v>-2674933.1801636629</v>
      </c>
      <c r="I46" s="285">
        <v>8780386</v>
      </c>
    </row>
    <row r="47" spans="1:12" ht="28.5" customHeight="1">
      <c r="A47" s="419" t="s">
        <v>128</v>
      </c>
      <c r="B47" s="272" t="s">
        <v>478</v>
      </c>
      <c r="C47" s="285">
        <v>13026149</v>
      </c>
      <c r="D47" s="285">
        <v>1843679.7489489806</v>
      </c>
      <c r="E47" s="285"/>
      <c r="F47" s="285"/>
      <c r="G47" s="285"/>
      <c r="H47" s="285">
        <f t="shared" si="11"/>
        <v>-2492006.2510510199</v>
      </c>
      <c r="I47" s="285">
        <v>8690463</v>
      </c>
    </row>
    <row r="48" spans="1:12" ht="28.5" customHeight="1">
      <c r="A48" s="419" t="s">
        <v>175</v>
      </c>
      <c r="B48" s="272" t="s">
        <v>479</v>
      </c>
      <c r="C48" s="285">
        <v>57346435</v>
      </c>
      <c r="D48" s="285">
        <v>35732736.367443621</v>
      </c>
      <c r="E48" s="285"/>
      <c r="F48" s="285"/>
      <c r="G48" s="285"/>
      <c r="H48" s="285">
        <f t="shared" si="11"/>
        <v>17144655.367443621</v>
      </c>
      <c r="I48" s="285">
        <v>38758354</v>
      </c>
    </row>
    <row r="49" spans="1:30" ht="19.5" customHeight="1">
      <c r="A49" s="284">
        <v>3</v>
      </c>
      <c r="B49" s="284" t="s">
        <v>234</v>
      </c>
      <c r="C49" s="284">
        <f>+C42+C32</f>
        <v>354211307</v>
      </c>
      <c r="D49" s="284">
        <f t="shared" ref="D49:H49" si="12">+D42+D32</f>
        <v>113393077.93622893</v>
      </c>
      <c r="E49" s="284">
        <f t="shared" si="12"/>
        <v>0</v>
      </c>
      <c r="F49" s="284">
        <f t="shared" si="12"/>
        <v>0</v>
      </c>
      <c r="G49" s="284">
        <f t="shared" si="12"/>
        <v>0</v>
      </c>
      <c r="H49" s="284">
        <f t="shared" si="12"/>
        <v>-14834442.063771062</v>
      </c>
      <c r="I49" s="284">
        <f>+I42+I32</f>
        <v>225983787</v>
      </c>
      <c r="L49" s="274">
        <f>+'Asset Classification'!Y31</f>
        <v>225983787</v>
      </c>
      <c r="M49" s="274">
        <f>+[8]Balance!$C$26</f>
        <v>225983787</v>
      </c>
    </row>
    <row r="51" spans="1:30" s="258" customFormat="1" ht="18.75" customHeight="1">
      <c r="A51" s="34"/>
      <c r="B51" s="232" t="s">
        <v>778</v>
      </c>
      <c r="C51" s="34"/>
      <c r="D51" s="34"/>
      <c r="E51" s="34"/>
      <c r="F51" s="338"/>
      <c r="G51" s="338"/>
      <c r="H51" s="338"/>
      <c r="I51" s="338"/>
      <c r="J51" s="338"/>
      <c r="K51" s="338"/>
      <c r="L51" s="338"/>
      <c r="M51" s="338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spans="1:30" s="258" customFormat="1" ht="11.25" customHeight="1">
      <c r="A52" s="34"/>
      <c r="B52" s="232"/>
      <c r="C52" s="34"/>
      <c r="D52" s="34"/>
      <c r="E52" s="34"/>
      <c r="F52" s="338"/>
      <c r="G52" s="338"/>
      <c r="H52" s="338"/>
      <c r="I52" s="338"/>
      <c r="J52" s="338"/>
      <c r="K52" s="338"/>
      <c r="L52" s="338"/>
      <c r="M52" s="338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</row>
    <row r="53" spans="1:30" s="258" customFormat="1" ht="18.75" customHeight="1">
      <c r="A53" s="34"/>
      <c r="B53" s="232" t="s">
        <v>779</v>
      </c>
      <c r="C53" s="34"/>
      <c r="D53" s="34"/>
      <c r="E53" s="34"/>
      <c r="F53" s="338"/>
      <c r="G53" s="338"/>
      <c r="H53" s="338"/>
      <c r="I53" s="338"/>
      <c r="J53" s="338"/>
      <c r="K53" s="338"/>
      <c r="L53" s="338"/>
      <c r="M53" s="338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</row>
  </sheetData>
  <sheetProtection password="CACA" sheet="1" objects="1" scenarios="1"/>
  <mergeCells count="18">
    <mergeCell ref="A1:I1"/>
    <mergeCell ref="A4:A6"/>
    <mergeCell ref="B4:B6"/>
    <mergeCell ref="C4:C6"/>
    <mergeCell ref="D4:I4"/>
    <mergeCell ref="J4:J6"/>
    <mergeCell ref="D5:E5"/>
    <mergeCell ref="F5:G5"/>
    <mergeCell ref="H5:I5"/>
    <mergeCell ref="G3:H3"/>
    <mergeCell ref="I28:I30"/>
    <mergeCell ref="D29:E29"/>
    <mergeCell ref="F29:G29"/>
    <mergeCell ref="A28:A30"/>
    <mergeCell ref="B28:B30"/>
    <mergeCell ref="C28:C30"/>
    <mergeCell ref="D28:G28"/>
    <mergeCell ref="H28:H30"/>
  </mergeCells>
  <phoneticPr fontId="15" type="noConversion"/>
  <conditionalFormatting sqref="J25">
    <cfRule type="cellIs" dxfId="211" priority="7" operator="notEqual">
      <formula>$L$25</formula>
    </cfRule>
  </conditionalFormatting>
  <conditionalFormatting sqref="J18">
    <cfRule type="cellIs" dxfId="210" priority="6" operator="notEqual">
      <formula>$L$18</formula>
    </cfRule>
  </conditionalFormatting>
  <conditionalFormatting sqref="J8">
    <cfRule type="cellIs" dxfId="209" priority="5" operator="notEqual">
      <formula>$L$8</formula>
    </cfRule>
  </conditionalFormatting>
  <conditionalFormatting sqref="I49">
    <cfRule type="cellIs" dxfId="208" priority="1" operator="notEqual">
      <formula>$M$49</formula>
    </cfRule>
    <cfRule type="cellIs" dxfId="207" priority="4" operator="notEqual">
      <formula>$L$49</formula>
    </cfRule>
  </conditionalFormatting>
  <conditionalFormatting sqref="I42">
    <cfRule type="cellIs" dxfId="206" priority="3" operator="notEqual">
      <formula>$L$42</formula>
    </cfRule>
  </conditionalFormatting>
  <conditionalFormatting sqref="I32">
    <cfRule type="cellIs" dxfId="205" priority="2" operator="notEqual">
      <formula>$L$32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  <ignoredErrors>
    <ignoredError sqref="H42:H43 J18:J19 H18:I19 H49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AD63"/>
  <sheetViews>
    <sheetView view="pageBreakPreview" topLeftCell="A4" zoomScale="75" zoomScaleNormal="75" zoomScaleSheetLayoutView="75" workbookViewId="0">
      <pane xSplit="2" ySplit="3" topLeftCell="C7" activePane="bottomRight" state="frozen"/>
      <selection activeCell="J47" sqref="J47"/>
      <selection pane="topRight" activeCell="J47" sqref="J47"/>
      <selection pane="bottomLeft" activeCell="J47" sqref="J47"/>
      <selection pane="bottomRight" activeCell="C7" sqref="C7"/>
    </sheetView>
  </sheetViews>
  <sheetFormatPr defaultRowHeight="15.75"/>
  <cols>
    <col min="1" max="1" width="10.140625" style="78" customWidth="1"/>
    <col min="2" max="2" width="49.140625" style="78" customWidth="1"/>
    <col min="3" max="3" width="19.140625" style="78" customWidth="1"/>
    <col min="4" max="4" width="13.85546875" style="113" customWidth="1"/>
    <col min="5" max="5" width="19.140625" style="78" customWidth="1"/>
    <col min="6" max="6" width="13.85546875" style="78" customWidth="1"/>
    <col min="7" max="7" width="19.140625" style="78" customWidth="1"/>
    <col min="8" max="8" width="13.85546875" style="78" customWidth="1"/>
    <col min="9" max="9" width="9.140625" style="78"/>
    <col min="10" max="12" width="16.85546875" style="78" customWidth="1"/>
    <col min="13" max="16384" width="9.140625" style="78"/>
  </cols>
  <sheetData>
    <row r="1" spans="1:12" s="80" customFormat="1" ht="37.5" customHeight="1">
      <c r="A1" s="791" t="s">
        <v>486</v>
      </c>
      <c r="B1" s="791"/>
      <c r="C1" s="791"/>
      <c r="D1" s="791"/>
      <c r="E1" s="791"/>
      <c r="F1" s="791"/>
      <c r="G1" s="791"/>
      <c r="H1" s="191" t="s">
        <v>485</v>
      </c>
    </row>
    <row r="2" spans="1:12" ht="19.5" customHeight="1">
      <c r="B2" s="792"/>
      <c r="C2" s="792"/>
      <c r="D2" s="792"/>
      <c r="E2" s="792"/>
      <c r="F2" s="792"/>
      <c r="G2" s="792"/>
      <c r="H2" s="792"/>
    </row>
    <row r="3" spans="1:12" ht="19.5" customHeight="1">
      <c r="B3" s="97" t="str">
        <f>+'Asset quality'!B3</f>
        <v>"MKBANK"</v>
      </c>
      <c r="C3" s="421"/>
      <c r="D3" s="422"/>
      <c r="F3" s="800">
        <f>+'Asset quality'!Q3</f>
        <v>45289</v>
      </c>
      <c r="G3" s="800"/>
      <c r="H3" s="423" t="str">
        <f>+'Asset quality'!T3</f>
        <v>минг. сўмда</v>
      </c>
    </row>
    <row r="4" spans="1:12" s="79" customFormat="1" ht="29.25" customHeight="1">
      <c r="A4" s="780" t="s">
        <v>61</v>
      </c>
      <c r="B4" s="780" t="s">
        <v>487</v>
      </c>
      <c r="C4" s="793" t="s">
        <v>488</v>
      </c>
      <c r="D4" s="794"/>
      <c r="E4" s="797" t="s">
        <v>489</v>
      </c>
      <c r="F4" s="798"/>
      <c r="G4" s="798"/>
      <c r="H4" s="799"/>
    </row>
    <row r="5" spans="1:12" s="79" customFormat="1" ht="30" customHeight="1">
      <c r="A5" s="781"/>
      <c r="B5" s="781"/>
      <c r="C5" s="795"/>
      <c r="D5" s="796"/>
      <c r="E5" s="797" t="s">
        <v>285</v>
      </c>
      <c r="F5" s="799"/>
      <c r="G5" s="797" t="s">
        <v>490</v>
      </c>
      <c r="H5" s="799"/>
    </row>
    <row r="6" spans="1:12" s="79" customFormat="1" ht="72.75" customHeight="1">
      <c r="A6" s="781"/>
      <c r="B6" s="782"/>
      <c r="C6" s="424" t="s">
        <v>491</v>
      </c>
      <c r="D6" s="424" t="s">
        <v>492</v>
      </c>
      <c r="E6" s="424" t="s">
        <v>491</v>
      </c>
      <c r="F6" s="424" t="s">
        <v>492</v>
      </c>
      <c r="G6" s="424" t="s">
        <v>491</v>
      </c>
      <c r="H6" s="424" t="s">
        <v>492</v>
      </c>
    </row>
    <row r="7" spans="1:12" s="79" customFormat="1">
      <c r="A7" s="782"/>
      <c r="B7" s="424" t="s">
        <v>78</v>
      </c>
      <c r="C7" s="424" t="s">
        <v>79</v>
      </c>
      <c r="D7" s="424" t="s">
        <v>89</v>
      </c>
      <c r="E7" s="424" t="s">
        <v>80</v>
      </c>
      <c r="F7" s="424" t="s">
        <v>81</v>
      </c>
      <c r="G7" s="424" t="s">
        <v>90</v>
      </c>
      <c r="H7" s="424" t="s">
        <v>82</v>
      </c>
    </row>
    <row r="8" spans="1:12" s="79" customFormat="1" ht="24" customHeight="1">
      <c r="A8" s="425">
        <v>1</v>
      </c>
      <c r="B8" s="426" t="s">
        <v>493</v>
      </c>
      <c r="C8" s="168">
        <f>SUM(C10:C16)</f>
        <v>3444630734</v>
      </c>
      <c r="D8" s="427">
        <f>IFERROR(((C10*D10)/C8)+((C11*D11)/C8)+((C12*D12)/C8)+((C13*D13)/C8)+((C14*D14)/C8)+((C15*D15)/C8)+((C16*D16)/C8),0)</f>
        <v>0.13927938414890328</v>
      </c>
      <c r="E8" s="168">
        <f>SUM(E10:E16)</f>
        <v>3444630734</v>
      </c>
      <c r="F8" s="427">
        <f>IFERROR(((E10*F10)/E8)+((E11*F11)/E8)+((E12*F12)/E8)+((E13*F13)/E8)+((E14*F14)/E8)+((E15*F15)/E8)+((E16*F16)/E8),0)</f>
        <v>0.13927938414890328</v>
      </c>
      <c r="G8" s="168">
        <f>SUM(G10:G16)</f>
        <v>0</v>
      </c>
      <c r="H8" s="427">
        <f>IFERROR(((G10*H10)/G8)+((G11*H11)/G8)+((G12*H12)/G8)+((G13*H13)/G8)+((G14*H14)/G8)+((G15*H15)/G8)+((G16*H16)/G8),0)</f>
        <v>0</v>
      </c>
      <c r="J8" s="539">
        <f>+C8+C18+C28+C37</f>
        <v>14437080535</v>
      </c>
      <c r="K8" s="539">
        <f>+E8+E18+E28+E37</f>
        <v>10746116442</v>
      </c>
      <c r="L8" s="539">
        <f>+G8+G18+G28+G37</f>
        <v>3690964093</v>
      </c>
    </row>
    <row r="9" spans="1:12" s="79" customFormat="1" ht="17.25" customHeight="1">
      <c r="A9" s="425"/>
      <c r="B9" s="428" t="s">
        <v>494</v>
      </c>
      <c r="C9" s="166"/>
      <c r="D9" s="105"/>
      <c r="E9" s="166"/>
      <c r="F9" s="105"/>
      <c r="G9" s="166"/>
      <c r="H9" s="105"/>
      <c r="J9" s="539">
        <f>+'loans type'!C8</f>
        <v>14437080535</v>
      </c>
      <c r="K9" s="539">
        <f>+'loans type'!E8</f>
        <v>10746116442</v>
      </c>
      <c r="L9" s="539">
        <f>+'loans type'!G8</f>
        <v>3690964093</v>
      </c>
    </row>
    <row r="10" spans="1:12" s="79" customFormat="1" ht="24" customHeight="1">
      <c r="A10" s="419" t="s">
        <v>110</v>
      </c>
      <c r="B10" s="429" t="s">
        <v>476</v>
      </c>
      <c r="C10" s="166">
        <f>+E10+G10</f>
        <v>25319775</v>
      </c>
      <c r="D10" s="595">
        <f>IFERROR((((E10*F10)+(G10*H10))/C10),0)</f>
        <v>9.4756338952698971E-2</v>
      </c>
      <c r="E10" s="167">
        <v>25319775</v>
      </c>
      <c r="F10" s="430">
        <v>9.4756338952698971E-2</v>
      </c>
      <c r="G10" s="167">
        <v>0</v>
      </c>
      <c r="H10" s="430">
        <v>0</v>
      </c>
      <c r="J10" s="539">
        <f>+J8-J9</f>
        <v>0</v>
      </c>
      <c r="K10" s="539">
        <f t="shared" ref="K10:L10" si="0">+K8-K9</f>
        <v>0</v>
      </c>
      <c r="L10" s="539">
        <f t="shared" si="0"/>
        <v>0</v>
      </c>
    </row>
    <row r="11" spans="1:12" s="79" customFormat="1" ht="24" customHeight="1">
      <c r="A11" s="419" t="s">
        <v>111</v>
      </c>
      <c r="B11" s="429" t="s">
        <v>174</v>
      </c>
      <c r="C11" s="166">
        <f t="shared" ref="C11:C16" si="1">+E11+G11</f>
        <v>269623</v>
      </c>
      <c r="D11" s="595">
        <f t="shared" ref="D11:D16" si="2">IFERROR((((E11*F11)+(G11*H11))/C11),0)</f>
        <v>0.11151903918359043</v>
      </c>
      <c r="E11" s="167">
        <v>269623</v>
      </c>
      <c r="F11" s="430">
        <v>0.11151903918359043</v>
      </c>
      <c r="G11" s="167">
        <v>0</v>
      </c>
      <c r="H11" s="430">
        <v>0</v>
      </c>
    </row>
    <row r="12" spans="1:12" s="79" customFormat="1" ht="24" customHeight="1">
      <c r="A12" s="419" t="s">
        <v>112</v>
      </c>
      <c r="B12" s="429" t="s">
        <v>495</v>
      </c>
      <c r="C12" s="166">
        <f t="shared" si="1"/>
        <v>96349796</v>
      </c>
      <c r="D12" s="595">
        <f t="shared" si="2"/>
        <v>0.13958442768780813</v>
      </c>
      <c r="E12" s="167">
        <v>96349796</v>
      </c>
      <c r="F12" s="430">
        <v>0.13958442768780813</v>
      </c>
      <c r="G12" s="167">
        <v>0</v>
      </c>
      <c r="H12" s="430">
        <v>0</v>
      </c>
    </row>
    <row r="13" spans="1:12" s="79" customFormat="1" ht="24" customHeight="1">
      <c r="A13" s="419" t="s">
        <v>116</v>
      </c>
      <c r="B13" s="429" t="s">
        <v>478</v>
      </c>
      <c r="C13" s="166">
        <f t="shared" si="1"/>
        <v>352459</v>
      </c>
      <c r="D13" s="595">
        <f t="shared" si="2"/>
        <v>6.6176881347611655E-2</v>
      </c>
      <c r="E13" s="167">
        <v>352459</v>
      </c>
      <c r="F13" s="430">
        <v>6.6176881347611655E-2</v>
      </c>
      <c r="G13" s="167">
        <v>0</v>
      </c>
      <c r="H13" s="430">
        <v>0</v>
      </c>
    </row>
    <row r="14" spans="1:12" s="79" customFormat="1" ht="24" customHeight="1">
      <c r="A14" s="419" t="s">
        <v>117</v>
      </c>
      <c r="B14" s="429" t="s">
        <v>522</v>
      </c>
      <c r="C14" s="166">
        <f t="shared" si="1"/>
        <v>240517163</v>
      </c>
      <c r="D14" s="595">
        <f t="shared" si="2"/>
        <v>0.13999461693300985</v>
      </c>
      <c r="E14" s="167">
        <v>240517163</v>
      </c>
      <c r="F14" s="430">
        <v>0.13999461693300985</v>
      </c>
      <c r="G14" s="167">
        <v>0</v>
      </c>
      <c r="H14" s="430">
        <v>0</v>
      </c>
    </row>
    <row r="15" spans="1:12" s="79" customFormat="1" ht="33.75" customHeight="1">
      <c r="A15" s="419" t="s">
        <v>146</v>
      </c>
      <c r="B15" s="429" t="s">
        <v>523</v>
      </c>
      <c r="C15" s="166">
        <f t="shared" si="1"/>
        <v>3081821918</v>
      </c>
      <c r="D15" s="595">
        <f t="shared" si="2"/>
        <v>0.13959061151111507</v>
      </c>
      <c r="E15" s="167">
        <v>3081821918</v>
      </c>
      <c r="F15" s="430">
        <v>0.13959061151111507</v>
      </c>
      <c r="G15" s="167">
        <v>0</v>
      </c>
      <c r="H15" s="430">
        <v>0</v>
      </c>
    </row>
    <row r="16" spans="1:12" s="79" customFormat="1" ht="24" customHeight="1">
      <c r="A16" s="419" t="s">
        <v>219</v>
      </c>
      <c r="B16" s="429" t="s">
        <v>479</v>
      </c>
      <c r="C16" s="166">
        <f t="shared" si="1"/>
        <v>0</v>
      </c>
      <c r="D16" s="595">
        <f t="shared" si="2"/>
        <v>0</v>
      </c>
      <c r="E16" s="167">
        <v>0</v>
      </c>
      <c r="F16" s="430">
        <v>0</v>
      </c>
      <c r="G16" s="167">
        <v>0</v>
      </c>
      <c r="H16" s="430">
        <v>0</v>
      </c>
    </row>
    <row r="17" spans="1:8" s="79" customFormat="1">
      <c r="A17" s="431"/>
      <c r="B17" s="432"/>
      <c r="C17" s="166"/>
      <c r="D17" s="114"/>
      <c r="E17" s="166"/>
      <c r="F17" s="114"/>
      <c r="G17" s="166"/>
      <c r="H17" s="114"/>
    </row>
    <row r="18" spans="1:8" s="79" customFormat="1" ht="24" customHeight="1">
      <c r="A18" s="431">
        <v>2</v>
      </c>
      <c r="B18" s="426" t="s">
        <v>496</v>
      </c>
      <c r="C18" s="168">
        <f>SUM(C20:C26)</f>
        <v>1897074212</v>
      </c>
      <c r="D18" s="427">
        <f>IFERROR(((C20*D20)/C18)+((C21*D21)/C18)+((C22*D22)/C18)+((C23*D23)/C18)+((C24*D24)/C18)+((C25*D25)/C18)+((C26*D26)/C18),0)</f>
        <v>0.21406780766706351</v>
      </c>
      <c r="E18" s="168">
        <f>SUM(E20:E26)</f>
        <v>1897074212</v>
      </c>
      <c r="F18" s="427">
        <f>IFERROR(((E20*F20)/E18)+((E21*F21)/E18)+((E22*F22)/E18)+((E23*F23)/E18)+((E24*F24)/E18)+((E25*F25)/E18)+((E26*F26)/E18),0)</f>
        <v>0.21406780766706351</v>
      </c>
      <c r="G18" s="168">
        <f>SUM(G20:G26)</f>
        <v>0</v>
      </c>
      <c r="H18" s="427">
        <f>IFERROR(((G20*H20)/G18)+((G21*H21)/G18)+((G22*H22)/G18)+((G23*H23)/G18)+((G24*H24)/G18)+((G25*H25)/G18)+((G26*H26)/G18),0)</f>
        <v>0</v>
      </c>
    </row>
    <row r="19" spans="1:8" s="79" customFormat="1" ht="17.25" customHeight="1">
      <c r="A19" s="431"/>
      <c r="B19" s="428" t="s">
        <v>494</v>
      </c>
      <c r="C19" s="166"/>
      <c r="D19" s="105"/>
      <c r="E19" s="166"/>
      <c r="F19" s="105"/>
      <c r="G19" s="166"/>
      <c r="H19" s="105"/>
    </row>
    <row r="20" spans="1:8" s="79" customFormat="1" ht="24" customHeight="1">
      <c r="A20" s="419" t="s">
        <v>123</v>
      </c>
      <c r="B20" s="429" t="s">
        <v>476</v>
      </c>
      <c r="C20" s="166">
        <f t="shared" ref="C20:C26" si="3">+E20+G20</f>
        <v>858409155</v>
      </c>
      <c r="D20" s="595">
        <f>IFERROR((((E20*F20)+(G20*H20))/C20),0)</f>
        <v>0.17282596844105302</v>
      </c>
      <c r="E20" s="167">
        <v>858409155</v>
      </c>
      <c r="F20" s="430">
        <v>0.17282596844105302</v>
      </c>
      <c r="G20" s="167">
        <v>0</v>
      </c>
      <c r="H20" s="430">
        <v>0</v>
      </c>
    </row>
    <row r="21" spans="1:8" s="79" customFormat="1" ht="24" customHeight="1">
      <c r="A21" s="419" t="s">
        <v>124</v>
      </c>
      <c r="B21" s="429" t="s">
        <v>174</v>
      </c>
      <c r="C21" s="166">
        <f t="shared" si="3"/>
        <v>204222962</v>
      </c>
      <c r="D21" s="595">
        <f t="shared" ref="D21:D26" si="4">IFERROR((((E21*F21)+(G21*H21))/C21),0)</f>
        <v>0.24958640699004034</v>
      </c>
      <c r="E21" s="167">
        <v>204222962</v>
      </c>
      <c r="F21" s="430">
        <v>0.24958640699004034</v>
      </c>
      <c r="G21" s="167">
        <v>0</v>
      </c>
      <c r="H21" s="430">
        <v>0</v>
      </c>
    </row>
    <row r="22" spans="1:8" s="79" customFormat="1" ht="24" customHeight="1">
      <c r="A22" s="419" t="s">
        <v>126</v>
      </c>
      <c r="B22" s="429" t="s">
        <v>495</v>
      </c>
      <c r="C22" s="166">
        <f t="shared" si="3"/>
        <v>565329203</v>
      </c>
      <c r="D22" s="595">
        <f t="shared" si="4"/>
        <v>0.2784925971876544</v>
      </c>
      <c r="E22" s="167">
        <v>565329203</v>
      </c>
      <c r="F22" s="430">
        <v>0.2784925971876544</v>
      </c>
      <c r="G22" s="167">
        <v>0</v>
      </c>
      <c r="H22" s="430">
        <v>0</v>
      </c>
    </row>
    <row r="23" spans="1:8" s="79" customFormat="1" ht="24" customHeight="1">
      <c r="A23" s="419" t="s">
        <v>128</v>
      </c>
      <c r="B23" s="429" t="s">
        <v>478</v>
      </c>
      <c r="C23" s="166">
        <f t="shared" si="3"/>
        <v>135067460</v>
      </c>
      <c r="D23" s="595">
        <f t="shared" si="4"/>
        <v>0.21114495454351617</v>
      </c>
      <c r="E23" s="167">
        <v>135067460</v>
      </c>
      <c r="F23" s="430">
        <v>0.21114495454351617</v>
      </c>
      <c r="G23" s="167">
        <v>0</v>
      </c>
      <c r="H23" s="430">
        <v>0</v>
      </c>
    </row>
    <row r="24" spans="1:8" s="79" customFormat="1" ht="24" customHeight="1">
      <c r="A24" s="419" t="s">
        <v>175</v>
      </c>
      <c r="B24" s="429" t="s">
        <v>522</v>
      </c>
      <c r="C24" s="166">
        <f t="shared" si="3"/>
        <v>10040140</v>
      </c>
      <c r="D24" s="595">
        <f t="shared" si="4"/>
        <v>0.15290378543400193</v>
      </c>
      <c r="E24" s="167">
        <v>10040140</v>
      </c>
      <c r="F24" s="430">
        <v>0.15290378543400193</v>
      </c>
      <c r="G24" s="167"/>
      <c r="H24" s="430"/>
    </row>
    <row r="25" spans="1:8" s="79" customFormat="1" ht="33.75" customHeight="1">
      <c r="A25" s="419" t="s">
        <v>781</v>
      </c>
      <c r="B25" s="429" t="s">
        <v>523</v>
      </c>
      <c r="C25" s="166">
        <f t="shared" si="3"/>
        <v>124005292</v>
      </c>
      <c r="D25" s="595">
        <f t="shared" si="4"/>
        <v>0.15549225575619238</v>
      </c>
      <c r="E25" s="167">
        <v>124005292</v>
      </c>
      <c r="F25" s="430">
        <v>0.15549225575619238</v>
      </c>
      <c r="G25" s="167"/>
      <c r="H25" s="430"/>
    </row>
    <row r="26" spans="1:8" s="79" customFormat="1" ht="24" customHeight="1">
      <c r="A26" s="419" t="s">
        <v>782</v>
      </c>
      <c r="B26" s="429" t="s">
        <v>479</v>
      </c>
      <c r="C26" s="166">
        <f t="shared" si="3"/>
        <v>0</v>
      </c>
      <c r="D26" s="595">
        <f t="shared" si="4"/>
        <v>0</v>
      </c>
      <c r="E26" s="167">
        <v>0</v>
      </c>
      <c r="F26" s="430">
        <v>0</v>
      </c>
      <c r="G26" s="167">
        <v>0</v>
      </c>
      <c r="H26" s="430">
        <v>0</v>
      </c>
    </row>
    <row r="27" spans="1:8" s="79" customFormat="1">
      <c r="A27" s="431"/>
      <c r="B27" s="432"/>
      <c r="C27" s="166"/>
      <c r="D27" s="114"/>
      <c r="E27" s="166"/>
      <c r="F27" s="114"/>
      <c r="G27" s="166"/>
      <c r="H27" s="114"/>
    </row>
    <row r="28" spans="1:8" s="79" customFormat="1" ht="36.75" customHeight="1">
      <c r="A28" s="431">
        <v>3</v>
      </c>
      <c r="B28" s="426" t="s">
        <v>497</v>
      </c>
      <c r="C28" s="168">
        <f>SUM(C30:C35)</f>
        <v>2055789400</v>
      </c>
      <c r="D28" s="427">
        <f>IFERROR(((C30*D30)/C28)+((C31*D31)/C28)+((C32*D32)/C28)+((C33*D33)/C28)+((C34*D34)/C28)+((C35*D35)/C28),0)</f>
        <v>0.11593735373843177</v>
      </c>
      <c r="E28" s="168">
        <f>SUM(E30:E35)</f>
        <v>2013347456</v>
      </c>
      <c r="F28" s="427">
        <f>IFERROR(((E30*F30)/E28)+((E31*F31)/E28)+((E32*F32)/E28)+((E33*F33)/E28)+((E34*F34)/E28)+((E35*F35)/E28),0)</f>
        <v>0.11774893789595271</v>
      </c>
      <c r="G28" s="168">
        <f>SUM(G30:G35)</f>
        <v>42441944</v>
      </c>
      <c r="H28" s="427">
        <f>IFERROR(((G30*H30)/G28)+((G31*H31)/G28)+((G32*H32)/G28)+((G33*H33)/G28)+((G34*H34)/G28)+((G35*H35)/G28),0)</f>
        <v>3.0000000000000006E-2</v>
      </c>
    </row>
    <row r="29" spans="1:8" s="79" customFormat="1">
      <c r="A29" s="431"/>
      <c r="B29" s="428" t="s">
        <v>494</v>
      </c>
      <c r="C29" s="166"/>
      <c r="D29" s="114"/>
      <c r="E29" s="166"/>
      <c r="F29" s="114"/>
      <c r="G29" s="166"/>
      <c r="H29" s="114"/>
    </row>
    <row r="30" spans="1:8" s="79" customFormat="1" ht="24" customHeight="1">
      <c r="A30" s="419" t="s">
        <v>131</v>
      </c>
      <c r="B30" s="432" t="s">
        <v>176</v>
      </c>
      <c r="C30" s="166">
        <f t="shared" ref="C30:C35" si="5">+E30+G30</f>
        <v>0</v>
      </c>
      <c r="D30" s="595">
        <f t="shared" ref="D30:D35" si="6">IFERROR((((E30*F30)+(G30*H30))/C30),0)</f>
        <v>0</v>
      </c>
      <c r="E30" s="167">
        <v>0</v>
      </c>
      <c r="F30" s="430">
        <v>0</v>
      </c>
      <c r="G30" s="167">
        <v>0</v>
      </c>
      <c r="H30" s="430">
        <v>0</v>
      </c>
    </row>
    <row r="31" spans="1:8" s="79" customFormat="1" ht="24" customHeight="1">
      <c r="A31" s="419" t="s">
        <v>132</v>
      </c>
      <c r="B31" s="432" t="s">
        <v>498</v>
      </c>
      <c r="C31" s="166">
        <f t="shared" si="5"/>
        <v>0</v>
      </c>
      <c r="D31" s="595">
        <f t="shared" si="6"/>
        <v>0</v>
      </c>
      <c r="E31" s="167">
        <v>0</v>
      </c>
      <c r="F31" s="430">
        <v>0</v>
      </c>
      <c r="G31" s="167">
        <v>0</v>
      </c>
      <c r="H31" s="430">
        <v>0</v>
      </c>
    </row>
    <row r="32" spans="1:8" s="79" customFormat="1" ht="24" customHeight="1">
      <c r="A32" s="419" t="s">
        <v>133</v>
      </c>
      <c r="B32" s="432" t="s">
        <v>177</v>
      </c>
      <c r="C32" s="166">
        <f t="shared" si="5"/>
        <v>0</v>
      </c>
      <c r="D32" s="595">
        <f t="shared" si="6"/>
        <v>0</v>
      </c>
      <c r="E32" s="167">
        <v>0</v>
      </c>
      <c r="F32" s="430">
        <v>0</v>
      </c>
      <c r="G32" s="167">
        <v>0</v>
      </c>
      <c r="H32" s="430">
        <v>0</v>
      </c>
    </row>
    <row r="33" spans="1:30" s="79" customFormat="1" ht="32.25" customHeight="1">
      <c r="A33" s="419" t="s">
        <v>134</v>
      </c>
      <c r="B33" s="432" t="s">
        <v>178</v>
      </c>
      <c r="C33" s="166">
        <f t="shared" si="5"/>
        <v>0</v>
      </c>
      <c r="D33" s="595">
        <f t="shared" si="6"/>
        <v>0</v>
      </c>
      <c r="E33" s="167">
        <v>0</v>
      </c>
      <c r="F33" s="430">
        <v>0</v>
      </c>
      <c r="G33" s="167">
        <v>0</v>
      </c>
      <c r="H33" s="430">
        <v>0</v>
      </c>
    </row>
    <row r="34" spans="1:30" s="79" customFormat="1" ht="32.25" customHeight="1">
      <c r="A34" s="419" t="s">
        <v>136</v>
      </c>
      <c r="B34" s="432" t="s">
        <v>499</v>
      </c>
      <c r="C34" s="166">
        <f t="shared" si="5"/>
        <v>0</v>
      </c>
      <c r="D34" s="595">
        <f t="shared" si="6"/>
        <v>0</v>
      </c>
      <c r="E34" s="167">
        <v>0</v>
      </c>
      <c r="F34" s="430">
        <v>0</v>
      </c>
      <c r="G34" s="167">
        <v>0</v>
      </c>
      <c r="H34" s="430">
        <v>0</v>
      </c>
    </row>
    <row r="35" spans="1:30" s="79" customFormat="1" ht="32.25" customHeight="1">
      <c r="A35" s="419" t="s">
        <v>137</v>
      </c>
      <c r="B35" s="429" t="s">
        <v>500</v>
      </c>
      <c r="C35" s="166">
        <f t="shared" si="5"/>
        <v>2055789400</v>
      </c>
      <c r="D35" s="595">
        <f t="shared" si="6"/>
        <v>0.11593735373843177</v>
      </c>
      <c r="E35" s="167">
        <v>2013347456</v>
      </c>
      <c r="F35" s="430">
        <v>0.11774893789595271</v>
      </c>
      <c r="G35" s="167">
        <v>42441944</v>
      </c>
      <c r="H35" s="430">
        <v>3.0000000000000006E-2</v>
      </c>
    </row>
    <row r="36" spans="1:30" s="79" customFormat="1">
      <c r="A36" s="431"/>
      <c r="B36" s="432"/>
      <c r="C36" s="166"/>
      <c r="D36" s="595"/>
      <c r="E36" s="167"/>
      <c r="F36" s="430"/>
      <c r="G36" s="167"/>
      <c r="H36" s="430"/>
    </row>
    <row r="37" spans="1:30" s="79" customFormat="1" ht="36.75" customHeight="1">
      <c r="A37" s="431">
        <v>4</v>
      </c>
      <c r="B37" s="426" t="s">
        <v>501</v>
      </c>
      <c r="C37" s="168">
        <f>SUM(C39:C44)</f>
        <v>7039586189</v>
      </c>
      <c r="D37" s="427">
        <f>IFERROR(((C39*D39)/C37)+((C40*D40)/C37)+((C41*D41)/C37)+((C42*D42)/C37)+((C43*D43)/C37)+((C44*D44)/C37),0)</f>
        <v>0.14542549095723006</v>
      </c>
      <c r="E37" s="168">
        <f>SUM(E39:E44)</f>
        <v>3391064040</v>
      </c>
      <c r="F37" s="427">
        <f>IFERROR(((E39*F39)/E37)+((E40*F40)/E37)+((E41*F41)/E37)+((E42*F42)/E37)+((E43*F43)/E37)+((E44*F44)/E37),0)</f>
        <v>0.20844382310216861</v>
      </c>
      <c r="G37" s="168">
        <f>SUM(G39:G44)</f>
        <v>3648522149</v>
      </c>
      <c r="H37" s="427">
        <f>IFERROR(((G39*H39)/G37)+((G40*H40)/G37)+((G41*H41)/G37)+((G42*H42)/G37)+((G43*H43)/G37)+((G44*H44)/G37),0)</f>
        <v>8.685404989963677E-2</v>
      </c>
    </row>
    <row r="38" spans="1:30" s="79" customFormat="1">
      <c r="A38" s="431"/>
      <c r="B38" s="428" t="s">
        <v>494</v>
      </c>
      <c r="C38" s="166"/>
      <c r="D38" s="114"/>
      <c r="E38" s="166"/>
      <c r="F38" s="114"/>
      <c r="G38" s="166"/>
      <c r="H38" s="114"/>
    </row>
    <row r="39" spans="1:30" s="79" customFormat="1" ht="24" customHeight="1">
      <c r="A39" s="419" t="s">
        <v>161</v>
      </c>
      <c r="B39" s="432" t="s">
        <v>176</v>
      </c>
      <c r="C39" s="166">
        <f t="shared" ref="C39:C44" si="7">+E39+G39</f>
        <v>0</v>
      </c>
      <c r="D39" s="595">
        <f t="shared" ref="D39:D44" si="8">IFERROR((((E39*F39)+(G39*H39))/C39),0)</f>
        <v>0</v>
      </c>
      <c r="E39" s="167">
        <v>0</v>
      </c>
      <c r="F39" s="430">
        <v>0</v>
      </c>
      <c r="G39" s="167">
        <v>0</v>
      </c>
      <c r="H39" s="430">
        <v>0</v>
      </c>
    </row>
    <row r="40" spans="1:30" s="79" customFormat="1" ht="24" customHeight="1">
      <c r="A40" s="419" t="s">
        <v>162</v>
      </c>
      <c r="B40" s="432" t="s">
        <v>498</v>
      </c>
      <c r="C40" s="166">
        <f t="shared" si="7"/>
        <v>0</v>
      </c>
      <c r="D40" s="595">
        <f t="shared" si="8"/>
        <v>0</v>
      </c>
      <c r="E40" s="167">
        <v>0</v>
      </c>
      <c r="F40" s="430">
        <v>0</v>
      </c>
      <c r="G40" s="167">
        <v>0</v>
      </c>
      <c r="H40" s="430">
        <v>0</v>
      </c>
    </row>
    <row r="41" spans="1:30" s="79" customFormat="1" ht="24" customHeight="1">
      <c r="A41" s="419" t="s">
        <v>183</v>
      </c>
      <c r="B41" s="432" t="s">
        <v>177</v>
      </c>
      <c r="C41" s="166">
        <f t="shared" si="7"/>
        <v>25000000</v>
      </c>
      <c r="D41" s="595">
        <f t="shared" si="8"/>
        <v>0.2</v>
      </c>
      <c r="E41" s="167">
        <v>25000000</v>
      </c>
      <c r="F41" s="430">
        <v>0.2</v>
      </c>
      <c r="G41" s="167">
        <v>0</v>
      </c>
      <c r="H41" s="430">
        <v>0</v>
      </c>
    </row>
    <row r="42" spans="1:30" s="79" customFormat="1" ht="32.25" customHeight="1">
      <c r="A42" s="419" t="s">
        <v>184</v>
      </c>
      <c r="B42" s="432" t="s">
        <v>178</v>
      </c>
      <c r="C42" s="166">
        <f t="shared" si="7"/>
        <v>0</v>
      </c>
      <c r="D42" s="595">
        <f t="shared" si="8"/>
        <v>0</v>
      </c>
      <c r="E42" s="167">
        <v>0</v>
      </c>
      <c r="F42" s="430">
        <v>0</v>
      </c>
      <c r="G42" s="167">
        <v>0</v>
      </c>
      <c r="H42" s="430">
        <v>0</v>
      </c>
    </row>
    <row r="43" spans="1:30" s="79" customFormat="1" ht="32.25" customHeight="1">
      <c r="A43" s="419" t="s">
        <v>185</v>
      </c>
      <c r="B43" s="432" t="s">
        <v>499</v>
      </c>
      <c r="C43" s="166">
        <f t="shared" si="7"/>
        <v>0</v>
      </c>
      <c r="D43" s="595">
        <f t="shared" si="8"/>
        <v>0</v>
      </c>
      <c r="E43" s="167">
        <v>0</v>
      </c>
      <c r="F43" s="430">
        <v>0</v>
      </c>
      <c r="G43" s="167">
        <v>0</v>
      </c>
      <c r="H43" s="430">
        <v>0</v>
      </c>
    </row>
    <row r="44" spans="1:30" s="79" customFormat="1" ht="32.25" customHeight="1">
      <c r="A44" s="419" t="s">
        <v>186</v>
      </c>
      <c r="B44" s="429" t="s">
        <v>500</v>
      </c>
      <c r="C44" s="166">
        <f t="shared" si="7"/>
        <v>7014586189</v>
      </c>
      <c r="D44" s="595">
        <f t="shared" si="8"/>
        <v>0.14523098729168116</v>
      </c>
      <c r="E44" s="167">
        <v>3366064040</v>
      </c>
      <c r="F44" s="430">
        <v>0.20850653598434959</v>
      </c>
      <c r="G44" s="167">
        <v>3648522149</v>
      </c>
      <c r="H44" s="430">
        <v>8.685404989963677E-2</v>
      </c>
    </row>
    <row r="45" spans="1:30" s="16" customFormat="1" ht="22.5" customHeight="1">
      <c r="B45" s="433"/>
      <c r="C45" s="265"/>
    </row>
    <row r="46" spans="1:30" s="258" customFormat="1" ht="20.25" customHeight="1">
      <c r="A46" s="34"/>
      <c r="B46" s="196" t="s">
        <v>778</v>
      </c>
      <c r="C46" s="34"/>
      <c r="D46" s="34"/>
      <c r="E46" s="34"/>
      <c r="F46" s="338"/>
      <c r="G46" s="338"/>
      <c r="H46" s="338"/>
      <c r="I46" s="338"/>
      <c r="J46" s="338"/>
      <c r="K46" s="338"/>
      <c r="L46" s="338"/>
      <c r="M46" s="338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258" customFormat="1" ht="11.25" customHeight="1">
      <c r="A47" s="34"/>
      <c r="B47" s="196"/>
      <c r="C47" s="34"/>
      <c r="D47" s="34"/>
      <c r="E47" s="34"/>
      <c r="F47" s="338"/>
      <c r="G47" s="338"/>
      <c r="H47" s="338"/>
      <c r="I47" s="338"/>
      <c r="J47" s="338"/>
      <c r="K47" s="338"/>
      <c r="L47" s="338"/>
      <c r="M47" s="338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s="258" customFormat="1" ht="20.25" customHeight="1">
      <c r="A48" s="34"/>
      <c r="B48" s="196" t="s">
        <v>779</v>
      </c>
      <c r="C48" s="34"/>
      <c r="D48" s="34"/>
      <c r="E48" s="34"/>
      <c r="F48" s="338"/>
      <c r="G48" s="338"/>
      <c r="H48" s="338"/>
      <c r="I48" s="338"/>
      <c r="J48" s="338"/>
      <c r="K48" s="338"/>
      <c r="L48" s="338"/>
      <c r="M48" s="338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10" s="6" customFormat="1">
      <c r="A49" s="25"/>
      <c r="B49" s="31"/>
      <c r="C49" s="174"/>
      <c r="J49" s="25"/>
    </row>
    <row r="50" spans="1:10" s="6" customFormat="1">
      <c r="A50" s="25"/>
      <c r="B50" s="531"/>
      <c r="C50" s="532"/>
      <c r="D50" s="532"/>
      <c r="E50" s="532"/>
      <c r="F50" s="532"/>
      <c r="G50" s="532"/>
      <c r="J50" s="25"/>
    </row>
    <row r="51" spans="1:10">
      <c r="A51" s="90"/>
      <c r="B51" s="533" t="s">
        <v>77</v>
      </c>
      <c r="C51" s="534">
        <f>+C8+C18+C28+C37</f>
        <v>14437080535</v>
      </c>
      <c r="D51" s="534"/>
      <c r="E51" s="534">
        <f>+E8+E18+E28+E37</f>
        <v>10746116442</v>
      </c>
      <c r="F51" s="534"/>
      <c r="G51" s="534">
        <f>+G8+G18+G28+G37</f>
        <v>3690964093</v>
      </c>
    </row>
    <row r="52" spans="1:10">
      <c r="A52" s="90"/>
      <c r="B52" s="535"/>
      <c r="C52" s="534">
        <f>+C54+C58</f>
        <v>14437080535</v>
      </c>
      <c r="D52" s="534"/>
      <c r="E52" s="534">
        <f>+E9+E19+E29+E38</f>
        <v>0</v>
      </c>
      <c r="F52" s="534"/>
      <c r="G52" s="534">
        <f>+G54+G58</f>
        <v>3690964093</v>
      </c>
    </row>
    <row r="53" spans="1:10">
      <c r="A53" s="90"/>
      <c r="B53" s="533"/>
      <c r="C53" s="534"/>
      <c r="D53" s="534"/>
      <c r="E53" s="534"/>
      <c r="F53" s="534"/>
      <c r="G53" s="534"/>
    </row>
    <row r="54" spans="1:10">
      <c r="B54" s="533" t="s">
        <v>189</v>
      </c>
      <c r="C54" s="534">
        <f>+'Asset Classification'!C13</f>
        <v>5341704946</v>
      </c>
      <c r="D54" s="534"/>
      <c r="E54" s="534"/>
      <c r="F54" s="534"/>
      <c r="G54" s="534">
        <f>+'Asset Classification'!D13</f>
        <v>0</v>
      </c>
      <c r="H54" s="434"/>
    </row>
    <row r="55" spans="1:10">
      <c r="B55" s="533"/>
      <c r="C55" s="534">
        <f>C8+C18</f>
        <v>5341704946</v>
      </c>
      <c r="D55" s="534"/>
      <c r="E55" s="534"/>
      <c r="F55" s="534"/>
      <c r="G55" s="534">
        <f>G8+G18</f>
        <v>0</v>
      </c>
      <c r="H55" s="434"/>
    </row>
    <row r="56" spans="1:10">
      <c r="B56" s="533"/>
      <c r="C56" s="534">
        <f>+C54-C55</f>
        <v>0</v>
      </c>
      <c r="D56" s="534"/>
      <c r="E56" s="534"/>
      <c r="F56" s="534"/>
      <c r="G56" s="534">
        <f>+G54-G55</f>
        <v>0</v>
      </c>
      <c r="H56" s="434"/>
    </row>
    <row r="57" spans="1:10">
      <c r="B57" s="533"/>
      <c r="C57" s="536"/>
      <c r="D57" s="536"/>
      <c r="E57" s="536"/>
      <c r="F57" s="536"/>
      <c r="G57" s="536"/>
      <c r="H57" s="434"/>
    </row>
    <row r="58" spans="1:10">
      <c r="B58" s="533" t="s">
        <v>190</v>
      </c>
      <c r="C58" s="534">
        <f>+'Asset Classification'!C31-'Asset Classification'!C13</f>
        <v>9095375589</v>
      </c>
      <c r="D58" s="534"/>
      <c r="E58" s="534"/>
      <c r="F58" s="534"/>
      <c r="G58" s="534">
        <f>+'Asset Classification'!D31-'Asset Classification'!D13</f>
        <v>3690964093</v>
      </c>
      <c r="H58" s="434"/>
    </row>
    <row r="59" spans="1:10">
      <c r="B59" s="533"/>
      <c r="C59" s="534">
        <f>C28+C37</f>
        <v>9095375589</v>
      </c>
      <c r="D59" s="534"/>
      <c r="E59" s="534"/>
      <c r="F59" s="534"/>
      <c r="G59" s="534">
        <f>G28+G37</f>
        <v>3690964093</v>
      </c>
      <c r="H59" s="434"/>
    </row>
    <row r="60" spans="1:10">
      <c r="B60" s="533"/>
      <c r="C60" s="534">
        <f>+C58-C59</f>
        <v>0</v>
      </c>
      <c r="D60" s="534"/>
      <c r="E60" s="534"/>
      <c r="F60" s="534"/>
      <c r="G60" s="534">
        <f>+G58-G59</f>
        <v>0</v>
      </c>
      <c r="H60" s="434"/>
    </row>
    <row r="61" spans="1:10">
      <c r="B61" s="533"/>
      <c r="C61" s="537"/>
      <c r="D61" s="537"/>
      <c r="E61" s="537"/>
      <c r="F61" s="537"/>
      <c r="G61" s="537"/>
      <c r="H61" s="434"/>
    </row>
    <row r="62" spans="1:10">
      <c r="B62" s="533"/>
      <c r="C62" s="537"/>
      <c r="D62" s="537"/>
      <c r="E62" s="537"/>
      <c r="F62" s="537"/>
      <c r="G62" s="537"/>
      <c r="H62" s="434"/>
    </row>
    <row r="63" spans="1:10">
      <c r="B63" s="533"/>
      <c r="C63" s="535"/>
      <c r="D63" s="538"/>
      <c r="E63" s="535"/>
      <c r="F63" s="535"/>
      <c r="G63" s="535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7">
    <cfRule type="cellIs" dxfId="204" priority="38" operator="notEqual">
      <formula>$C$58-$C$28</formula>
    </cfRule>
  </conditionalFormatting>
  <conditionalFormatting sqref="C18">
    <cfRule type="cellIs" dxfId="203" priority="39" operator="notEqual">
      <formula>$C$54-$C$8</formula>
    </cfRule>
  </conditionalFormatting>
  <printOptions horizontalCentered="1"/>
  <pageMargins left="0.23622047244094491" right="0.19685039370078741" top="0.62992125984251968" bottom="0.15748031496062992" header="0" footer="0"/>
  <pageSetup paperSize="9" scale="63" orientation="portrait" r:id="rId1"/>
  <ignoredErrors>
    <ignoredError sqref="F3" unlockedFormula="1"/>
    <ignoredError sqref="D9 E28:H29 E9:J9 E17:J17 I10:J10 D17 I11:J16 I20:J22 D27 E38:H38 D37:D38 E45:H46 D45:D57 E8 G8 I8:J8 D19 E19:J19 E18 G18 I18:J18 D29 E37:G3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36" customWidth="1"/>
    <col min="2" max="2" width="105.140625" style="36" customWidth="1"/>
    <col min="3" max="3" width="19.7109375" style="69" customWidth="1"/>
    <col min="4" max="4" width="10.28515625" style="123" bestFit="1" customWidth="1"/>
    <col min="5" max="5" width="19.42578125" style="124" bestFit="1" customWidth="1"/>
    <col min="6" max="6" width="9.28515625" style="123" bestFit="1" customWidth="1"/>
    <col min="7" max="7" width="9.140625" style="123"/>
    <col min="8" max="8" width="17.42578125" style="123" bestFit="1" customWidth="1"/>
    <col min="9" max="16384" width="9.140625" style="36"/>
  </cols>
  <sheetData>
    <row r="1" spans="1:8" ht="23.25" customHeight="1">
      <c r="A1" s="801" t="s">
        <v>180</v>
      </c>
      <c r="B1" s="802"/>
      <c r="C1" s="35" t="s">
        <v>173</v>
      </c>
    </row>
    <row r="2" spans="1:8">
      <c r="A2" s="71"/>
      <c r="B2" s="71"/>
      <c r="C2" s="71"/>
    </row>
    <row r="3" spans="1:8" ht="15.75">
      <c r="A3" s="37"/>
      <c r="B3" s="94" t="e">
        <f>#REF!</f>
        <v>#REF!</v>
      </c>
      <c r="C3" s="93" t="e">
        <f>+#REF!</f>
        <v>#REF!</v>
      </c>
    </row>
    <row r="4" spans="1:8" s="38" customFormat="1" ht="43.5" customHeight="1">
      <c r="A4" s="116" t="s">
        <v>61</v>
      </c>
      <c r="B4" s="116" t="s">
        <v>35</v>
      </c>
      <c r="C4" s="116" t="s">
        <v>10</v>
      </c>
      <c r="D4" s="125"/>
      <c r="E4" s="126"/>
      <c r="F4" s="125"/>
      <c r="G4" s="125"/>
      <c r="H4" s="125"/>
    </row>
    <row r="5" spans="1:8" ht="12.75" customHeight="1">
      <c r="A5" s="102" t="s">
        <v>39</v>
      </c>
      <c r="B5" s="40" t="s">
        <v>106</v>
      </c>
      <c r="C5" s="41"/>
    </row>
    <row r="6" spans="1:8" ht="12.75" customHeight="1">
      <c r="A6" s="39">
        <v>1</v>
      </c>
      <c r="B6" s="40" t="s">
        <v>107</v>
      </c>
      <c r="C6" s="42"/>
    </row>
    <row r="7" spans="1:8" s="49" customFormat="1" ht="18" customHeight="1">
      <c r="A7" s="46" t="s">
        <v>110</v>
      </c>
      <c r="B7" s="47" t="s">
        <v>108</v>
      </c>
      <c r="C7" s="77" t="s">
        <v>96</v>
      </c>
      <c r="D7" s="127"/>
      <c r="E7" s="85"/>
      <c r="F7" s="127"/>
      <c r="G7" s="127"/>
      <c r="H7" s="127"/>
    </row>
    <row r="8" spans="1:8" s="38" customFormat="1" ht="18" customHeight="1">
      <c r="A8" s="56" t="s">
        <v>40</v>
      </c>
      <c r="B8" s="111" t="s">
        <v>41</v>
      </c>
      <c r="C8" s="72"/>
      <c r="D8" s="125"/>
      <c r="E8" s="126"/>
      <c r="F8" s="125"/>
      <c r="G8" s="125"/>
      <c r="H8" s="125"/>
    </row>
    <row r="9" spans="1:8" s="38" customFormat="1" ht="18" customHeight="1">
      <c r="A9" s="56" t="s">
        <v>42</v>
      </c>
      <c r="B9" s="111" t="s">
        <v>43</v>
      </c>
      <c r="C9" s="73"/>
      <c r="D9" s="125"/>
      <c r="E9" s="126"/>
      <c r="F9" s="125"/>
      <c r="G9" s="125"/>
      <c r="H9" s="125"/>
    </row>
    <row r="10" spans="1:8" s="49" customFormat="1" ht="18" customHeight="1">
      <c r="A10" s="46" t="s">
        <v>111</v>
      </c>
      <c r="B10" s="47" t="s">
        <v>109</v>
      </c>
      <c r="C10" s="82">
        <v>0</v>
      </c>
      <c r="D10" s="127"/>
      <c r="E10" s="85"/>
      <c r="F10" s="127"/>
      <c r="G10" s="127"/>
      <c r="H10" s="127"/>
    </row>
    <row r="11" spans="1:8" s="38" customFormat="1" ht="18" customHeight="1">
      <c r="A11" s="56" t="s">
        <v>112</v>
      </c>
      <c r="B11" s="111" t="s">
        <v>113</v>
      </c>
      <c r="C11" s="77" t="s">
        <v>96</v>
      </c>
      <c r="D11" s="125"/>
      <c r="E11" s="126"/>
      <c r="F11" s="125"/>
      <c r="G11" s="125"/>
      <c r="H11" s="125"/>
    </row>
    <row r="12" spans="1:8" s="38" customFormat="1" ht="18" customHeight="1">
      <c r="A12" s="56" t="s">
        <v>46</v>
      </c>
      <c r="B12" s="111" t="s">
        <v>49</v>
      </c>
      <c r="C12" s="84"/>
      <c r="D12" s="125"/>
      <c r="E12" s="126"/>
      <c r="F12" s="125"/>
      <c r="G12" s="125"/>
      <c r="H12" s="125"/>
    </row>
    <row r="13" spans="1:8" s="38" customFormat="1" ht="18" customHeight="1">
      <c r="A13" s="51" t="s">
        <v>42</v>
      </c>
      <c r="B13" s="112" t="s">
        <v>50</v>
      </c>
      <c r="C13" s="84"/>
      <c r="D13" s="125"/>
      <c r="E13" s="126"/>
      <c r="F13" s="125"/>
      <c r="G13" s="125"/>
      <c r="H13" s="125"/>
    </row>
    <row r="14" spans="1:8" s="49" customFormat="1" ht="18" customHeight="1">
      <c r="A14" s="61" t="s">
        <v>44</v>
      </c>
      <c r="B14" s="109" t="s">
        <v>114</v>
      </c>
      <c r="C14" s="81"/>
      <c r="D14" s="127"/>
      <c r="E14" s="85"/>
      <c r="F14" s="127"/>
      <c r="G14" s="127"/>
      <c r="H14" s="127"/>
    </row>
    <row r="15" spans="1:8" s="49" customFormat="1" ht="18" customHeight="1">
      <c r="A15" s="61" t="s">
        <v>51</v>
      </c>
      <c r="B15" s="109" t="s">
        <v>115</v>
      </c>
      <c r="C15" s="81"/>
      <c r="D15" s="127"/>
      <c r="E15" s="85"/>
      <c r="F15" s="127"/>
      <c r="G15" s="127"/>
      <c r="H15" s="127"/>
    </row>
    <row r="16" spans="1:8" s="38" customFormat="1" ht="18" customHeight="1">
      <c r="A16" s="51" t="s">
        <v>116</v>
      </c>
      <c r="B16" s="112" t="s">
        <v>52</v>
      </c>
      <c r="C16" s="82"/>
      <c r="D16" s="125"/>
      <c r="E16" s="126"/>
      <c r="F16" s="125"/>
      <c r="G16" s="125"/>
      <c r="H16" s="125"/>
    </row>
    <row r="17" spans="1:8" s="38" customFormat="1" ht="18" customHeight="1">
      <c r="A17" s="51" t="s">
        <v>117</v>
      </c>
      <c r="B17" s="112" t="s">
        <v>11</v>
      </c>
      <c r="C17" s="82"/>
      <c r="D17" s="125"/>
      <c r="E17" s="126"/>
      <c r="F17" s="125"/>
      <c r="G17" s="125"/>
      <c r="H17" s="125"/>
    </row>
    <row r="18" spans="1:8" s="38" customFormat="1" ht="18" customHeight="1">
      <c r="A18" s="51"/>
      <c r="B18" s="112" t="s">
        <v>118</v>
      </c>
      <c r="C18" s="77" t="s">
        <v>96</v>
      </c>
      <c r="D18" s="125"/>
      <c r="E18" s="126"/>
      <c r="F18" s="125"/>
      <c r="G18" s="125"/>
      <c r="H18" s="125"/>
    </row>
    <row r="19" spans="1:8" s="38" customFormat="1" ht="18" customHeight="1">
      <c r="A19" s="51" t="s">
        <v>146</v>
      </c>
      <c r="B19" s="112" t="s">
        <v>119</v>
      </c>
      <c r="C19" s="77" t="s">
        <v>96</v>
      </c>
      <c r="D19" s="125"/>
      <c r="E19" s="126"/>
      <c r="F19" s="125"/>
      <c r="G19" s="125"/>
      <c r="H19" s="125"/>
    </row>
    <row r="20" spans="1:8" s="49" customFormat="1" ht="18" customHeight="1">
      <c r="A20" s="101" t="s">
        <v>46</v>
      </c>
      <c r="B20" s="186" t="s">
        <v>54</v>
      </c>
      <c r="C20" s="81"/>
      <c r="D20" s="127"/>
      <c r="E20" s="85"/>
      <c r="F20" s="127"/>
      <c r="G20" s="127"/>
      <c r="H20" s="127"/>
    </row>
    <row r="21" spans="1:8" s="48" customFormat="1" ht="25.5">
      <c r="A21" s="101" t="s">
        <v>42</v>
      </c>
      <c r="B21" s="109" t="s">
        <v>20</v>
      </c>
      <c r="C21" s="81"/>
      <c r="D21" s="127"/>
      <c r="E21" s="85"/>
      <c r="F21" s="127"/>
      <c r="G21" s="127"/>
      <c r="H21" s="127"/>
    </row>
    <row r="22" spans="1:8" s="49" customFormat="1" ht="18" customHeight="1">
      <c r="A22" s="101" t="s">
        <v>44</v>
      </c>
      <c r="B22" s="109" t="s">
        <v>12</v>
      </c>
      <c r="C22" s="81"/>
      <c r="D22" s="127"/>
      <c r="E22" s="85"/>
      <c r="F22" s="127"/>
      <c r="G22" s="127"/>
      <c r="H22" s="127"/>
    </row>
    <row r="23" spans="1:8" s="49" customFormat="1" ht="15" customHeight="1">
      <c r="A23" s="46" t="s">
        <v>120</v>
      </c>
      <c r="B23" s="47" t="s">
        <v>121</v>
      </c>
      <c r="C23" s="77" t="s">
        <v>96</v>
      </c>
      <c r="D23" s="127"/>
      <c r="E23" s="85"/>
      <c r="F23" s="127"/>
      <c r="G23" s="127"/>
      <c r="H23" s="127"/>
    </row>
    <row r="24" spans="1:8" ht="16.5" customHeight="1">
      <c r="A24" s="43">
        <v>2</v>
      </c>
      <c r="B24" s="50" t="s">
        <v>122</v>
      </c>
      <c r="C24" s="44"/>
    </row>
    <row r="25" spans="1:8" s="49" customFormat="1" ht="18" customHeight="1">
      <c r="A25" s="61" t="s">
        <v>123</v>
      </c>
      <c r="B25" s="109" t="s">
        <v>45</v>
      </c>
      <c r="C25" s="108">
        <f>+C26+C27</f>
        <v>0</v>
      </c>
      <c r="D25" s="127"/>
      <c r="E25" s="85"/>
      <c r="F25" s="127"/>
      <c r="G25" s="127"/>
      <c r="H25" s="127"/>
    </row>
    <row r="26" spans="1:8" s="49" customFormat="1" ht="18" customHeight="1">
      <c r="A26" s="61" t="s">
        <v>46</v>
      </c>
      <c r="B26" s="109" t="s">
        <v>47</v>
      </c>
      <c r="C26" s="81"/>
      <c r="D26" s="127"/>
      <c r="E26" s="85"/>
      <c r="F26" s="127"/>
      <c r="G26" s="127"/>
      <c r="H26" s="127"/>
    </row>
    <row r="27" spans="1:8" s="49" customFormat="1" ht="18" customHeight="1">
      <c r="A27" s="61" t="s">
        <v>42</v>
      </c>
      <c r="B27" s="109" t="s">
        <v>48</v>
      </c>
      <c r="C27" s="81"/>
      <c r="D27" s="127"/>
      <c r="E27" s="85"/>
      <c r="F27" s="127"/>
      <c r="G27" s="127"/>
      <c r="H27" s="127"/>
    </row>
    <row r="28" spans="1:8" s="49" customFormat="1" ht="18" customHeight="1">
      <c r="A28" s="61" t="s">
        <v>124</v>
      </c>
      <c r="B28" s="109" t="s">
        <v>125</v>
      </c>
      <c r="C28" s="81">
        <v>0</v>
      </c>
      <c r="D28" s="127"/>
      <c r="E28" s="85"/>
      <c r="F28" s="127"/>
      <c r="G28" s="127"/>
      <c r="H28" s="127"/>
    </row>
    <row r="29" spans="1:8">
      <c r="A29" s="51" t="s">
        <v>126</v>
      </c>
      <c r="B29" s="110" t="s">
        <v>127</v>
      </c>
      <c r="C29" s="74">
        <v>0</v>
      </c>
    </row>
    <row r="30" spans="1:8" s="49" customFormat="1" ht="29.25" customHeight="1">
      <c r="A30" s="61" t="s">
        <v>128</v>
      </c>
      <c r="B30" s="109" t="s">
        <v>19</v>
      </c>
      <c r="C30" s="81">
        <v>0</v>
      </c>
      <c r="D30" s="127"/>
      <c r="E30" s="85"/>
      <c r="F30" s="127"/>
      <c r="G30" s="127"/>
      <c r="H30" s="127"/>
    </row>
    <row r="31" spans="1:8" s="53" customFormat="1">
      <c r="A31" s="52" t="s">
        <v>53</v>
      </c>
      <c r="B31" s="87" t="s">
        <v>129</v>
      </c>
      <c r="C31" s="83">
        <f>+C25+C28+C29+C30</f>
        <v>0</v>
      </c>
      <c r="D31" s="128"/>
      <c r="E31" s="129"/>
      <c r="F31" s="130"/>
      <c r="G31" s="130"/>
      <c r="H31" s="130"/>
    </row>
    <row r="32" spans="1:8" s="53" customFormat="1" ht="16.5" customHeight="1">
      <c r="A32" s="52" t="s">
        <v>55</v>
      </c>
      <c r="B32" s="120" t="s">
        <v>130</v>
      </c>
      <c r="C32" s="77" t="s">
        <v>96</v>
      </c>
      <c r="D32" s="130"/>
      <c r="E32" s="129"/>
      <c r="F32" s="130"/>
      <c r="G32" s="130"/>
      <c r="H32" s="130"/>
    </row>
    <row r="33" spans="1:8" s="55" customFormat="1" ht="13.5" customHeight="1">
      <c r="A33" s="54"/>
      <c r="B33" s="54" t="s">
        <v>57</v>
      </c>
      <c r="C33" s="45"/>
      <c r="D33" s="131"/>
      <c r="E33" s="132"/>
      <c r="F33" s="131"/>
      <c r="G33" s="131"/>
      <c r="H33" s="133"/>
    </row>
    <row r="34" spans="1:8" s="49" customFormat="1" ht="18" customHeight="1">
      <c r="A34" s="61" t="s">
        <v>131</v>
      </c>
      <c r="B34" s="179" t="s">
        <v>192</v>
      </c>
      <c r="C34" s="81"/>
      <c r="D34" s="127"/>
      <c r="E34" s="85"/>
      <c r="F34" s="127"/>
      <c r="G34" s="127"/>
      <c r="H34" s="127"/>
    </row>
    <row r="35" spans="1:8" s="49" customFormat="1" ht="25.5">
      <c r="A35" s="61" t="s">
        <v>132</v>
      </c>
      <c r="B35" s="109" t="s">
        <v>21</v>
      </c>
      <c r="C35" s="176" t="e">
        <f>IF(#REF!&lt;(C43*1.25%),#REF!,(C43*1.25%))</f>
        <v>#REF!</v>
      </c>
      <c r="D35" s="127"/>
      <c r="E35" s="85"/>
      <c r="F35" s="127"/>
      <c r="G35" s="127"/>
      <c r="H35" s="127"/>
    </row>
    <row r="36" spans="1:8" s="49" customFormat="1" ht="18" customHeight="1">
      <c r="A36" s="61" t="s">
        <v>133</v>
      </c>
      <c r="B36" s="109" t="s">
        <v>13</v>
      </c>
      <c r="C36" s="81"/>
      <c r="D36" s="127"/>
      <c r="E36" s="85"/>
      <c r="F36" s="127"/>
      <c r="G36" s="127"/>
      <c r="H36" s="127"/>
    </row>
    <row r="37" spans="1:8" s="49" customFormat="1" ht="18" customHeight="1">
      <c r="A37" s="61" t="s">
        <v>134</v>
      </c>
      <c r="B37" s="109" t="s">
        <v>135</v>
      </c>
      <c r="C37" s="81"/>
      <c r="D37" s="127"/>
      <c r="E37" s="85"/>
      <c r="F37" s="127"/>
      <c r="G37" s="127"/>
      <c r="H37" s="127"/>
    </row>
    <row r="38" spans="1:8" s="49" customFormat="1" ht="18" customHeight="1">
      <c r="A38" s="61" t="s">
        <v>136</v>
      </c>
      <c r="B38" s="109" t="s">
        <v>14</v>
      </c>
      <c r="C38" s="81"/>
      <c r="D38" s="127"/>
      <c r="E38" s="85"/>
      <c r="F38" s="127"/>
      <c r="G38" s="127"/>
      <c r="H38" s="127"/>
    </row>
    <row r="39" spans="1:8" s="49" customFormat="1" ht="18" customHeight="1">
      <c r="A39" s="61" t="s">
        <v>137</v>
      </c>
      <c r="B39" s="109" t="s">
        <v>58</v>
      </c>
      <c r="C39" s="77" t="s">
        <v>96</v>
      </c>
      <c r="D39" s="127"/>
      <c r="E39" s="85"/>
      <c r="F39" s="127"/>
      <c r="G39" s="127"/>
      <c r="H39" s="127"/>
    </row>
    <row r="40" spans="1:8" ht="18.75" customHeight="1">
      <c r="A40" s="56"/>
      <c r="B40" s="57" t="s">
        <v>26</v>
      </c>
      <c r="C40" s="45" t="e">
        <f>SUM(C34:C38)</f>
        <v>#REF!</v>
      </c>
      <c r="D40" s="128"/>
    </row>
    <row r="41" spans="1:8" s="38" customFormat="1" ht="22.5" customHeight="1">
      <c r="A41" s="75" t="s">
        <v>56</v>
      </c>
      <c r="B41" s="58" t="s">
        <v>27</v>
      </c>
      <c r="C41" s="77" t="s">
        <v>96</v>
      </c>
      <c r="D41" s="134"/>
      <c r="E41" s="126"/>
      <c r="F41" s="125"/>
      <c r="G41" s="125"/>
      <c r="H41" s="125"/>
    </row>
    <row r="42" spans="1:8" s="38" customFormat="1" ht="15.75" customHeight="1">
      <c r="A42" s="54" t="s">
        <v>59</v>
      </c>
      <c r="B42" s="58" t="s">
        <v>138</v>
      </c>
      <c r="C42" s="77" t="s">
        <v>96</v>
      </c>
      <c r="D42" s="134"/>
      <c r="E42" s="126"/>
      <c r="F42" s="125"/>
      <c r="G42" s="125"/>
      <c r="H42" s="125"/>
    </row>
    <row r="43" spans="1:8" s="38" customFormat="1" ht="21.75" customHeight="1">
      <c r="A43" s="54" t="s">
        <v>17</v>
      </c>
      <c r="B43" s="47" t="s">
        <v>139</v>
      </c>
      <c r="C43" s="59" t="e">
        <f>+C44+C45+C46</f>
        <v>#REF!</v>
      </c>
      <c r="D43" s="125"/>
      <c r="E43" s="126"/>
      <c r="F43" s="125"/>
      <c r="G43" s="125"/>
      <c r="H43" s="125"/>
    </row>
    <row r="44" spans="1:8" s="49" customFormat="1" ht="18" customHeight="1">
      <c r="A44" s="61" t="s">
        <v>46</v>
      </c>
      <c r="B44" s="109" t="s">
        <v>22</v>
      </c>
      <c r="C44" s="108" t="e">
        <f>+#REF!</f>
        <v>#REF!</v>
      </c>
      <c r="D44" s="127"/>
      <c r="E44" s="85"/>
      <c r="F44" s="127"/>
      <c r="G44" s="127"/>
      <c r="H44" s="127"/>
    </row>
    <row r="45" spans="1:8" s="49" customFormat="1" ht="18" customHeight="1">
      <c r="A45" s="61" t="s">
        <v>42</v>
      </c>
      <c r="B45" s="109" t="s">
        <v>15</v>
      </c>
      <c r="C45" s="108" t="e">
        <f>+#REF!</f>
        <v>#REF!</v>
      </c>
      <c r="D45" s="127"/>
      <c r="E45" s="85"/>
      <c r="F45" s="127"/>
      <c r="G45" s="127"/>
      <c r="H45" s="127"/>
    </row>
    <row r="46" spans="1:8" s="49" customFormat="1" ht="18" customHeight="1">
      <c r="A46" s="61" t="s">
        <v>44</v>
      </c>
      <c r="B46" s="109" t="s">
        <v>16</v>
      </c>
      <c r="C46" s="108" t="e">
        <f>+#REF!</f>
        <v>#REF!</v>
      </c>
      <c r="D46" s="127"/>
      <c r="E46" s="85" t="e">
        <f>+#REF!</f>
        <v>#REF!</v>
      </c>
      <c r="F46" s="127"/>
      <c r="G46" s="127"/>
      <c r="H46" s="127"/>
    </row>
    <row r="47" spans="1:8" s="55" customFormat="1" ht="21.75" customHeight="1">
      <c r="A47" s="75" t="s">
        <v>18</v>
      </c>
      <c r="B47" s="76" t="s">
        <v>140</v>
      </c>
      <c r="C47" s="77" t="s">
        <v>96</v>
      </c>
      <c r="D47" s="131"/>
      <c r="E47" s="132"/>
      <c r="F47" s="131"/>
      <c r="G47" s="131"/>
      <c r="H47" s="131"/>
    </row>
    <row r="48" spans="1:8" s="55" customFormat="1" ht="21.75" customHeight="1">
      <c r="A48" s="75" t="s">
        <v>60</v>
      </c>
      <c r="B48" s="76" t="s">
        <v>141</v>
      </c>
      <c r="C48" s="77" t="s">
        <v>96</v>
      </c>
      <c r="D48" s="131"/>
      <c r="E48" s="132"/>
      <c r="F48" s="131"/>
      <c r="G48" s="131"/>
      <c r="H48" s="131"/>
    </row>
    <row r="49" spans="1:8" s="55" customFormat="1" ht="21.75" customHeight="1">
      <c r="A49" s="75" t="s">
        <v>28</v>
      </c>
      <c r="B49" s="76" t="s">
        <v>142</v>
      </c>
      <c r="C49" s="77" t="s">
        <v>96</v>
      </c>
      <c r="D49" s="131"/>
      <c r="E49" s="132"/>
      <c r="F49" s="131"/>
      <c r="G49" s="131"/>
      <c r="H49" s="131"/>
    </row>
    <row r="50" spans="1:8" s="60" customFormat="1" ht="21.75" customHeight="1">
      <c r="A50" s="54" t="s">
        <v>29</v>
      </c>
      <c r="B50" s="47" t="s">
        <v>24</v>
      </c>
      <c r="C50" s="77" t="s">
        <v>96</v>
      </c>
      <c r="D50" s="135"/>
      <c r="E50" s="136"/>
      <c r="F50" s="137"/>
      <c r="G50" s="135"/>
      <c r="H50" s="135"/>
    </row>
    <row r="51" spans="1:8" s="64" customFormat="1" ht="21.75" customHeight="1">
      <c r="A51" s="61" t="s">
        <v>46</v>
      </c>
      <c r="B51" s="62" t="s">
        <v>32</v>
      </c>
      <c r="C51" s="63" t="e">
        <f>+#REF!</f>
        <v>#REF!</v>
      </c>
      <c r="D51" s="138"/>
      <c r="E51" s="139"/>
      <c r="F51" s="140"/>
      <c r="G51" s="138"/>
      <c r="H51" s="138"/>
    </row>
    <row r="52" spans="1:8" s="64" customFormat="1" ht="21.75" customHeight="1">
      <c r="A52" s="61" t="s">
        <v>42</v>
      </c>
      <c r="B52" s="62" t="s">
        <v>143</v>
      </c>
      <c r="C52" s="147" t="e">
        <f>SUM(#REF!)</f>
        <v>#REF!</v>
      </c>
      <c r="D52" s="140" t="e">
        <f>+#REF!</f>
        <v>#REF!</v>
      </c>
      <c r="E52" s="139"/>
      <c r="F52" s="140"/>
      <c r="G52" s="138"/>
      <c r="H52" s="138"/>
    </row>
    <row r="53" spans="1:8" s="67" customFormat="1" ht="21.75" customHeight="1">
      <c r="A53" s="65" t="s">
        <v>44</v>
      </c>
      <c r="B53" s="66" t="s">
        <v>144</v>
      </c>
      <c r="C53" s="149" t="e">
        <f>SUM(#REF!)</f>
        <v>#REF!</v>
      </c>
      <c r="D53" s="146"/>
      <c r="E53" s="148"/>
      <c r="F53" s="141"/>
      <c r="G53" s="141"/>
      <c r="H53" s="141"/>
    </row>
    <row r="54" spans="1:8" s="67" customFormat="1" ht="21.75" customHeight="1">
      <c r="A54" s="65" t="s">
        <v>51</v>
      </c>
      <c r="B54" s="66" t="s">
        <v>145</v>
      </c>
      <c r="C54" s="89" t="str">
        <f>+C19</f>
        <v>Формула</v>
      </c>
      <c r="D54" s="141"/>
      <c r="E54" s="142"/>
      <c r="F54" s="141"/>
      <c r="G54" s="141"/>
      <c r="H54" s="141"/>
    </row>
    <row r="55" spans="1:8" s="55" customFormat="1" ht="21.75" customHeight="1">
      <c r="A55" s="75" t="s">
        <v>30</v>
      </c>
      <c r="B55" s="76" t="s">
        <v>33</v>
      </c>
      <c r="C55" s="77" t="s">
        <v>96</v>
      </c>
      <c r="D55" s="131"/>
      <c r="E55" s="132"/>
      <c r="F55" s="131"/>
      <c r="G55" s="131"/>
      <c r="H55" s="131"/>
    </row>
    <row r="56" spans="1:8">
      <c r="B56" s="68"/>
    </row>
    <row r="57" spans="1:8" s="1" customFormat="1">
      <c r="A57" s="14"/>
      <c r="B57" s="2" t="s">
        <v>0</v>
      </c>
      <c r="D57" s="32"/>
      <c r="E57" s="32"/>
      <c r="F57" s="32"/>
      <c r="G57" s="32"/>
      <c r="H57" s="32"/>
    </row>
    <row r="58" spans="1:8" s="1" customFormat="1">
      <c r="A58" s="14"/>
      <c r="B58" s="2"/>
      <c r="D58" s="32"/>
      <c r="E58" s="32"/>
      <c r="F58" s="32"/>
      <c r="G58" s="32"/>
      <c r="H58" s="32"/>
    </row>
    <row r="59" spans="1:8" s="1" customFormat="1">
      <c r="A59" s="14"/>
      <c r="B59" s="2" t="s">
        <v>1</v>
      </c>
      <c r="D59" s="32"/>
      <c r="E59" s="32"/>
      <c r="F59" s="32"/>
      <c r="G59" s="32"/>
      <c r="H59" s="32"/>
    </row>
    <row r="60" spans="1:8">
      <c r="B60" s="70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AI51"/>
  <sheetViews>
    <sheetView view="pageBreakPreview" topLeftCell="A4" zoomScale="55" zoomScaleNormal="50" zoomScaleSheetLayoutView="55" workbookViewId="0">
      <pane xSplit="2" ySplit="3" topLeftCell="C7" activePane="bottomRight" state="frozen"/>
      <selection activeCell="J47" sqref="J47"/>
      <selection pane="topRight" activeCell="J47" sqref="J47"/>
      <selection pane="bottomLeft" activeCell="J47" sqref="J47"/>
      <selection pane="bottomRight" activeCell="C7" sqref="C7"/>
    </sheetView>
  </sheetViews>
  <sheetFormatPr defaultRowHeight="18.75"/>
  <cols>
    <col min="1" max="1" width="9.5703125" style="180" customWidth="1"/>
    <col min="2" max="2" width="61.7109375" style="180" customWidth="1"/>
    <col min="3" max="3" width="19.140625" style="180" customWidth="1"/>
    <col min="4" max="4" width="19.140625" style="181" customWidth="1"/>
    <col min="5" max="8" width="19.140625" style="180" customWidth="1"/>
    <col min="9" max="25" width="18.85546875" style="180" customWidth="1"/>
    <col min="26" max="26" width="21.7109375" style="180" customWidth="1"/>
    <col min="27" max="29" width="27.42578125" style="180" customWidth="1"/>
    <col min="30" max="34" width="22.140625" style="180" customWidth="1"/>
    <col min="35" max="16384" width="9.140625" style="180"/>
  </cols>
  <sheetData>
    <row r="1" spans="1:35">
      <c r="Z1" s="191" t="s">
        <v>503</v>
      </c>
    </row>
    <row r="2" spans="1:35" s="182" customFormat="1" ht="50.25" customHeight="1">
      <c r="A2" s="804" t="s">
        <v>502</v>
      </c>
      <c r="B2" s="804"/>
      <c r="C2" s="804"/>
      <c r="D2" s="804"/>
      <c r="E2" s="804"/>
      <c r="F2" s="804"/>
      <c r="G2" s="804"/>
      <c r="H2" s="804"/>
      <c r="I2" s="804"/>
      <c r="J2" s="804"/>
      <c r="K2" s="804"/>
      <c r="L2" s="804"/>
      <c r="M2" s="804"/>
      <c r="N2" s="804"/>
      <c r="O2" s="804"/>
      <c r="P2" s="804"/>
      <c r="Q2" s="804"/>
      <c r="R2" s="804"/>
      <c r="S2" s="804"/>
      <c r="T2" s="804"/>
      <c r="U2" s="804"/>
      <c r="V2" s="804"/>
      <c r="W2" s="804"/>
      <c r="X2" s="804"/>
      <c r="Y2" s="804"/>
      <c r="Z2" s="804"/>
    </row>
    <row r="3" spans="1:35" ht="19.5" customHeight="1">
      <c r="B3" s="435" t="str">
        <f>+'Asset quality'!B3</f>
        <v>"MKBANK"</v>
      </c>
      <c r="C3" s="435"/>
      <c r="D3" s="435"/>
      <c r="E3" s="435"/>
      <c r="F3" s="435"/>
      <c r="G3" s="435"/>
      <c r="H3" s="435"/>
      <c r="I3" s="435"/>
      <c r="J3" s="435"/>
      <c r="K3" s="435"/>
      <c r="L3" s="435"/>
      <c r="M3" s="435"/>
      <c r="V3" s="817">
        <f>+'Asset quality'!Q3</f>
        <v>45289</v>
      </c>
      <c r="W3" s="817"/>
      <c r="Z3" s="91" t="str">
        <f>+'Asset quality'!T3</f>
        <v>минг. сўмда</v>
      </c>
    </row>
    <row r="4" spans="1:35" s="183" customFormat="1" ht="29.25" customHeight="1">
      <c r="A4" s="805" t="s">
        <v>61</v>
      </c>
      <c r="B4" s="805" t="s">
        <v>487</v>
      </c>
      <c r="C4" s="808" t="s">
        <v>234</v>
      </c>
      <c r="D4" s="809"/>
      <c r="E4" s="809"/>
      <c r="F4" s="809"/>
      <c r="G4" s="809"/>
      <c r="H4" s="810"/>
      <c r="I4" s="814" t="s">
        <v>504</v>
      </c>
      <c r="J4" s="815"/>
      <c r="K4" s="815"/>
      <c r="L4" s="815"/>
      <c r="M4" s="816"/>
      <c r="N4" s="808" t="s">
        <v>505</v>
      </c>
      <c r="O4" s="809"/>
      <c r="P4" s="809"/>
      <c r="Q4" s="809"/>
      <c r="R4" s="810"/>
      <c r="S4" s="803" t="s">
        <v>233</v>
      </c>
      <c r="T4" s="803"/>
      <c r="U4" s="803"/>
      <c r="V4" s="803"/>
      <c r="W4" s="803"/>
      <c r="X4" s="803"/>
      <c r="Y4" s="805" t="s">
        <v>506</v>
      </c>
      <c r="Z4" s="805" t="s">
        <v>507</v>
      </c>
    </row>
    <row r="5" spans="1:35" s="183" customFormat="1" ht="29.25" customHeight="1">
      <c r="A5" s="806"/>
      <c r="B5" s="806"/>
      <c r="C5" s="811"/>
      <c r="D5" s="812"/>
      <c r="E5" s="812"/>
      <c r="F5" s="812"/>
      <c r="G5" s="812"/>
      <c r="H5" s="813"/>
      <c r="I5" s="803" t="s">
        <v>508</v>
      </c>
      <c r="J5" s="803" t="s">
        <v>509</v>
      </c>
      <c r="K5" s="803" t="s">
        <v>510</v>
      </c>
      <c r="L5" s="803" t="s">
        <v>511</v>
      </c>
      <c r="M5" s="803" t="s">
        <v>512</v>
      </c>
      <c r="N5" s="811"/>
      <c r="O5" s="812"/>
      <c r="P5" s="812"/>
      <c r="Q5" s="812"/>
      <c r="R5" s="813"/>
      <c r="S5" s="803" t="s">
        <v>234</v>
      </c>
      <c r="T5" s="814" t="s">
        <v>513</v>
      </c>
      <c r="U5" s="815"/>
      <c r="V5" s="815"/>
      <c r="W5" s="815"/>
      <c r="X5" s="816"/>
      <c r="Y5" s="806"/>
      <c r="Z5" s="806"/>
    </row>
    <row r="6" spans="1:35" s="183" customFormat="1" ht="90" customHeight="1">
      <c r="A6" s="806"/>
      <c r="B6" s="807"/>
      <c r="C6" s="308" t="s">
        <v>491</v>
      </c>
      <c r="D6" s="308" t="s">
        <v>492</v>
      </c>
      <c r="E6" s="308" t="s">
        <v>285</v>
      </c>
      <c r="F6" s="308" t="s">
        <v>492</v>
      </c>
      <c r="G6" s="308" t="s">
        <v>286</v>
      </c>
      <c r="H6" s="308" t="s">
        <v>492</v>
      </c>
      <c r="I6" s="803"/>
      <c r="J6" s="803"/>
      <c r="K6" s="803"/>
      <c r="L6" s="803"/>
      <c r="M6" s="803"/>
      <c r="N6" s="436" t="s">
        <v>120</v>
      </c>
      <c r="O6" s="436" t="s">
        <v>53</v>
      </c>
      <c r="P6" s="436" t="s">
        <v>55</v>
      </c>
      <c r="Q6" s="436" t="s">
        <v>56</v>
      </c>
      <c r="R6" s="436" t="s">
        <v>59</v>
      </c>
      <c r="S6" s="803"/>
      <c r="T6" s="436" t="s">
        <v>120</v>
      </c>
      <c r="U6" s="436" t="s">
        <v>53</v>
      </c>
      <c r="V6" s="436" t="s">
        <v>55</v>
      </c>
      <c r="W6" s="436" t="s">
        <v>56</v>
      </c>
      <c r="X6" s="436" t="s">
        <v>59</v>
      </c>
      <c r="Y6" s="807"/>
      <c r="Z6" s="807"/>
      <c r="AA6" s="437"/>
      <c r="AB6" s="437"/>
      <c r="AC6" s="437"/>
      <c r="AD6" s="436" t="s">
        <v>120</v>
      </c>
      <c r="AE6" s="436" t="s">
        <v>53</v>
      </c>
      <c r="AF6" s="436" t="s">
        <v>55</v>
      </c>
      <c r="AG6" s="436" t="s">
        <v>56</v>
      </c>
      <c r="AH6" s="436" t="s">
        <v>59</v>
      </c>
    </row>
    <row r="7" spans="1:35" s="183" customFormat="1">
      <c r="A7" s="807"/>
      <c r="B7" s="308" t="s">
        <v>78</v>
      </c>
      <c r="C7" s="308" t="s">
        <v>79</v>
      </c>
      <c r="D7" s="308" t="s">
        <v>89</v>
      </c>
      <c r="E7" s="308" t="s">
        <v>80</v>
      </c>
      <c r="F7" s="308" t="s">
        <v>81</v>
      </c>
      <c r="G7" s="308" t="s">
        <v>90</v>
      </c>
      <c r="H7" s="308" t="s">
        <v>82</v>
      </c>
      <c r="I7" s="308" t="s">
        <v>83</v>
      </c>
      <c r="J7" s="308" t="s">
        <v>84</v>
      </c>
      <c r="K7" s="308" t="s">
        <v>85</v>
      </c>
      <c r="L7" s="308" t="s">
        <v>86</v>
      </c>
      <c r="M7" s="308" t="s">
        <v>87</v>
      </c>
      <c r="N7" s="308" t="s">
        <v>88</v>
      </c>
      <c r="O7" s="308" t="s">
        <v>154</v>
      </c>
      <c r="P7" s="308" t="s">
        <v>155</v>
      </c>
      <c r="Q7" s="308" t="s">
        <v>156</v>
      </c>
      <c r="R7" s="308" t="s">
        <v>157</v>
      </c>
      <c r="S7" s="308" t="s">
        <v>179</v>
      </c>
      <c r="T7" s="308" t="s">
        <v>188</v>
      </c>
      <c r="U7" s="308" t="s">
        <v>193</v>
      </c>
      <c r="V7" s="308" t="s">
        <v>194</v>
      </c>
      <c r="W7" s="308" t="s">
        <v>195</v>
      </c>
      <c r="X7" s="308" t="s">
        <v>196</v>
      </c>
      <c r="Y7" s="308" t="s">
        <v>197</v>
      </c>
      <c r="Z7" s="308" t="s">
        <v>514</v>
      </c>
      <c r="AA7" s="437"/>
      <c r="AB7" s="437"/>
      <c r="AC7" s="437"/>
    </row>
    <row r="8" spans="1:35" s="183" customFormat="1" ht="49.5" customHeight="1">
      <c r="A8" s="438"/>
      <c r="B8" s="439" t="s">
        <v>515</v>
      </c>
      <c r="C8" s="184">
        <f>+C9+C27</f>
        <v>14437080535</v>
      </c>
      <c r="D8" s="440">
        <f>IFERROR(((C9*D9)/C8)+((C27*D27)/C8),0)</f>
        <v>0.14823258048951346</v>
      </c>
      <c r="E8" s="184">
        <f t="shared" ref="E8:G8" si="0">+E9+E27</f>
        <v>10746116442</v>
      </c>
      <c r="F8" s="440">
        <f>IFERROR(((E9*F9)/E8)+((E27*F27)/E8),0)</f>
        <v>8.1700923914075033E-2</v>
      </c>
      <c r="G8" s="184">
        <f t="shared" si="0"/>
        <v>3690964093</v>
      </c>
      <c r="H8" s="440">
        <f>IFERROR(((G9*H9)/G8)+((G27*H27)/G8),0)</f>
        <v>8.620029214866963E-2</v>
      </c>
      <c r="I8" s="184">
        <f t="shared" ref="I8:Z8" si="1">+I9+I27</f>
        <v>145087213</v>
      </c>
      <c r="J8" s="184">
        <f t="shared" si="1"/>
        <v>8285298168</v>
      </c>
      <c r="K8" s="184">
        <f t="shared" si="1"/>
        <v>4572452011</v>
      </c>
      <c r="L8" s="184">
        <f t="shared" si="1"/>
        <v>712358123</v>
      </c>
      <c r="M8" s="184">
        <f t="shared" si="1"/>
        <v>721885020</v>
      </c>
      <c r="N8" s="184">
        <f t="shared" si="1"/>
        <v>10039054997</v>
      </c>
      <c r="O8" s="184">
        <f t="shared" si="1"/>
        <v>3532847141</v>
      </c>
      <c r="P8" s="184">
        <f t="shared" si="1"/>
        <v>102373443</v>
      </c>
      <c r="Q8" s="184">
        <f t="shared" si="1"/>
        <v>237587084</v>
      </c>
      <c r="R8" s="184">
        <f t="shared" si="1"/>
        <v>525217870</v>
      </c>
      <c r="S8" s="184">
        <f t="shared" si="1"/>
        <v>225983787</v>
      </c>
      <c r="T8" s="184">
        <f t="shared" si="1"/>
        <v>0</v>
      </c>
      <c r="U8" s="184">
        <f t="shared" si="1"/>
        <v>108709846</v>
      </c>
      <c r="V8" s="184">
        <f t="shared" si="1"/>
        <v>1716703</v>
      </c>
      <c r="W8" s="184">
        <f t="shared" si="1"/>
        <v>12546992</v>
      </c>
      <c r="X8" s="184">
        <f t="shared" si="1"/>
        <v>103010246</v>
      </c>
      <c r="Y8" s="184">
        <f t="shared" si="1"/>
        <v>356983674</v>
      </c>
      <c r="Z8" s="184">
        <f t="shared" si="1"/>
        <v>0</v>
      </c>
      <c r="AA8" s="437">
        <f>+'Loans Receivable'!C85</f>
        <v>14437080535</v>
      </c>
      <c r="AB8" s="437">
        <f>+AA8-AC8</f>
        <v>10746116442</v>
      </c>
      <c r="AC8" s="437">
        <f>+'Asset Classification'!D31</f>
        <v>3690964093</v>
      </c>
      <c r="AD8" s="441">
        <f>+'Asset Classification'!E31</f>
        <v>10039054997</v>
      </c>
      <c r="AE8" s="441">
        <f>+'Asset Classification'!I31</f>
        <v>3532847141</v>
      </c>
      <c r="AF8" s="441">
        <f>+'Asset Classification'!M31</f>
        <v>102373443</v>
      </c>
      <c r="AG8" s="441">
        <f>+'Asset Classification'!Q31</f>
        <v>237587084</v>
      </c>
      <c r="AH8" s="441">
        <f>+'Asset Classification'!U31</f>
        <v>525217870</v>
      </c>
    </row>
    <row r="9" spans="1:35" s="187" customFormat="1" ht="49.5" customHeight="1">
      <c r="A9" s="439" t="s">
        <v>120</v>
      </c>
      <c r="B9" s="439" t="s">
        <v>516</v>
      </c>
      <c r="C9" s="184">
        <f>+C11+C16+C21+C22+C24+C25+C26</f>
        <v>5341704946</v>
      </c>
      <c r="D9" s="440">
        <f>IFERROR(((C11*D11)/C9)+((C16*D16)/C9)+((C21*D21)/C9)+((C22*D22)/C9)+((C24*D24)/C9)+((C25*D25)/C9)+((C26*D26)/C9),0)</f>
        <v>0.16436093918985106</v>
      </c>
      <c r="E9" s="184">
        <f>+E11+E16+E21+E22+E24+E25+E26</f>
        <v>5341704946</v>
      </c>
      <c r="F9" s="440">
        <f>IFERROR(((E11*F11)/E9)+((E16*F16)/E9)+((E21*F21)/E9)+((E22*F22)/E9)+((E24*F24)/E9)+((E25*F25)/E9)+((E26*F26)/E9),0)</f>
        <v>0.16436093918985106</v>
      </c>
      <c r="G9" s="184">
        <f>+G11+G16+G21+G22+G24+G25+G26</f>
        <v>0</v>
      </c>
      <c r="H9" s="440">
        <f>IFERROR(((G11*H11)/G9)+((G16*H16)/G9)+((G21*H21)/G9)+((G22*H22)/G9)+((G24*H24)/G9)+((G25*H25)/G9)+((G26*H26)/G9),0)</f>
        <v>0</v>
      </c>
      <c r="I9" s="184">
        <f>+I11+I16+I21+I22+I24+I25+I26</f>
        <v>31217361</v>
      </c>
      <c r="J9" s="184">
        <f t="shared" ref="J9:Z9" si="2">+J11+J16+J21+J22+J24+J25+J26</f>
        <v>3466915137</v>
      </c>
      <c r="K9" s="184">
        <f t="shared" si="2"/>
        <v>768532732</v>
      </c>
      <c r="L9" s="184">
        <f t="shared" si="2"/>
        <v>353154696</v>
      </c>
      <c r="M9" s="184">
        <f t="shared" si="2"/>
        <v>721885020</v>
      </c>
      <c r="N9" s="184">
        <f t="shared" si="2"/>
        <v>4070042033</v>
      </c>
      <c r="O9" s="184">
        <f t="shared" si="2"/>
        <v>863151778</v>
      </c>
      <c r="P9" s="184">
        <f t="shared" si="2"/>
        <v>88775127</v>
      </c>
      <c r="Q9" s="184">
        <f t="shared" si="2"/>
        <v>195192536</v>
      </c>
      <c r="R9" s="184">
        <f t="shared" si="2"/>
        <v>124543472</v>
      </c>
      <c r="S9" s="184">
        <f t="shared" si="2"/>
        <v>58436871</v>
      </c>
      <c r="T9" s="184">
        <f t="shared" si="2"/>
        <v>0</v>
      </c>
      <c r="U9" s="184">
        <f t="shared" si="2"/>
        <v>28934162</v>
      </c>
      <c r="V9" s="184">
        <f t="shared" si="2"/>
        <v>1489803</v>
      </c>
      <c r="W9" s="184">
        <f t="shared" si="2"/>
        <v>10685170</v>
      </c>
      <c r="X9" s="184">
        <f t="shared" si="2"/>
        <v>17327736</v>
      </c>
      <c r="Y9" s="184">
        <f t="shared" si="2"/>
        <v>142975639</v>
      </c>
      <c r="Z9" s="184">
        <f t="shared" si="2"/>
        <v>0</v>
      </c>
      <c r="AA9" s="437">
        <f>+'Loans Receivable'!C73</f>
        <v>5341704946</v>
      </c>
      <c r="AB9" s="437">
        <f>+'Loans Receivable'!D71</f>
        <v>5341704946</v>
      </c>
      <c r="AC9" s="437">
        <f>+'Loans Receivable'!E71</f>
        <v>0</v>
      </c>
      <c r="AD9" s="551">
        <f>+N8-AD8</f>
        <v>0</v>
      </c>
      <c r="AE9" s="551">
        <f>+O8-AE8</f>
        <v>0</v>
      </c>
      <c r="AF9" s="551">
        <f>+P8-AF8</f>
        <v>0</v>
      </c>
      <c r="AG9" s="551">
        <f>+Q8-AG8</f>
        <v>0</v>
      </c>
      <c r="AH9" s="551">
        <f>+R8-AH8</f>
        <v>0</v>
      </c>
      <c r="AI9" s="183"/>
    </row>
    <row r="10" spans="1:35" s="183" customFormat="1" ht="33.75" customHeight="1">
      <c r="A10" s="438"/>
      <c r="B10" s="439" t="s">
        <v>494</v>
      </c>
      <c r="C10" s="184"/>
      <c r="D10" s="184"/>
      <c r="E10" s="550"/>
      <c r="F10" s="550"/>
      <c r="G10" s="550"/>
      <c r="H10" s="550"/>
      <c r="I10" s="550"/>
      <c r="J10" s="550"/>
      <c r="K10" s="550"/>
      <c r="L10" s="550"/>
      <c r="M10" s="184"/>
      <c r="N10" s="184"/>
      <c r="O10" s="184"/>
      <c r="P10" s="184"/>
      <c r="Q10" s="184"/>
      <c r="R10" s="184"/>
      <c r="S10" s="184"/>
      <c r="T10" s="184"/>
      <c r="U10" s="184"/>
      <c r="V10" s="184"/>
      <c r="W10" s="184"/>
      <c r="X10" s="184"/>
      <c r="Y10" s="184"/>
      <c r="Z10" s="184"/>
      <c r="AA10" s="437"/>
      <c r="AB10" s="437"/>
      <c r="AC10" s="437"/>
      <c r="AD10" s="437">
        <f>+'Asset Classification'!G31</f>
        <v>0</v>
      </c>
      <c r="AE10" s="437">
        <f>+'Asset Classification'!K31</f>
        <v>108709846</v>
      </c>
      <c r="AF10" s="437">
        <f>+'Asset Classification'!O53</f>
        <v>1716703</v>
      </c>
      <c r="AG10" s="437">
        <f>+'Asset Classification'!S53</f>
        <v>12546992</v>
      </c>
      <c r="AH10" s="437">
        <f>+'Asset Classification'!W53</f>
        <v>103010246</v>
      </c>
      <c r="AI10" s="187"/>
    </row>
    <row r="11" spans="1:35" s="183" customFormat="1" ht="49.5" customHeight="1">
      <c r="A11" s="442">
        <v>1</v>
      </c>
      <c r="B11" s="443" t="s">
        <v>745</v>
      </c>
      <c r="C11" s="194">
        <f>SUM(C12:C15)</f>
        <v>25319775</v>
      </c>
      <c r="D11" s="444">
        <f>IFERROR(((C12*D12)/C11)+((C13*D13)/C11)+((C14*D14)/C11)+((C15*D15)/C11),0)</f>
        <v>9.4756339003421175E-2</v>
      </c>
      <c r="E11" s="194">
        <f t="shared" ref="E11:Z11" si="3">SUM(E12:E15)</f>
        <v>25319775</v>
      </c>
      <c r="F11" s="444">
        <f>IFERROR(((E12*F12)/E11)+((E13*F13)/E11)+((E14*F14)/E11)+((E15*F15)/E11),0)</f>
        <v>9.4756339003421175E-2</v>
      </c>
      <c r="G11" s="194">
        <f t="shared" si="3"/>
        <v>0</v>
      </c>
      <c r="H11" s="444">
        <f>IFERROR(((G12*H12)/G11)+((G13*H13)/G11)+((G14*H14)/G11)+((G15*H15)/G11),0)</f>
        <v>0</v>
      </c>
      <c r="I11" s="194">
        <f t="shared" si="3"/>
        <v>0</v>
      </c>
      <c r="J11" s="194">
        <f t="shared" si="3"/>
        <v>1047241</v>
      </c>
      <c r="K11" s="194">
        <f t="shared" si="3"/>
        <v>3019260</v>
      </c>
      <c r="L11" s="194">
        <f t="shared" si="3"/>
        <v>2325145</v>
      </c>
      <c r="M11" s="194">
        <f t="shared" si="3"/>
        <v>18928129</v>
      </c>
      <c r="N11" s="194">
        <f t="shared" si="3"/>
        <v>22041595</v>
      </c>
      <c r="O11" s="194">
        <f t="shared" si="3"/>
        <v>2407676</v>
      </c>
      <c r="P11" s="194">
        <f t="shared" si="3"/>
        <v>40773</v>
      </c>
      <c r="Q11" s="194">
        <f t="shared" si="3"/>
        <v>229362</v>
      </c>
      <c r="R11" s="194">
        <f t="shared" si="3"/>
        <v>600369</v>
      </c>
      <c r="S11" s="194">
        <f t="shared" si="3"/>
        <v>186862</v>
      </c>
      <c r="T11" s="194">
        <f t="shared" si="3"/>
        <v>0</v>
      </c>
      <c r="U11" s="194">
        <f t="shared" si="3"/>
        <v>100997</v>
      </c>
      <c r="V11" s="194">
        <f t="shared" si="3"/>
        <v>0</v>
      </c>
      <c r="W11" s="194">
        <f t="shared" si="3"/>
        <v>21223</v>
      </c>
      <c r="X11" s="194">
        <f t="shared" si="3"/>
        <v>64642</v>
      </c>
      <c r="Y11" s="194">
        <f t="shared" si="3"/>
        <v>41819996</v>
      </c>
      <c r="Z11" s="194">
        <f t="shared" si="3"/>
        <v>0</v>
      </c>
      <c r="AA11" s="437">
        <f>+'loans_av rate'!C10</f>
        <v>25319775</v>
      </c>
      <c r="AB11" s="183">
        <f>+'loans_av rate'!E10</f>
        <v>25319775</v>
      </c>
      <c r="AC11" s="183">
        <f>+'loans_av rate'!G10</f>
        <v>0</v>
      </c>
      <c r="AD11" s="571">
        <f>+T8-AD10</f>
        <v>0</v>
      </c>
      <c r="AE11" s="571">
        <f t="shared" ref="AE11:AH11" si="4">+U8-AE10</f>
        <v>0</v>
      </c>
      <c r="AF11" s="571">
        <f t="shared" si="4"/>
        <v>0</v>
      </c>
      <c r="AG11" s="571">
        <f t="shared" si="4"/>
        <v>0</v>
      </c>
      <c r="AH11" s="571">
        <f t="shared" si="4"/>
        <v>0</v>
      </c>
    </row>
    <row r="12" spans="1:35" s="183" customFormat="1" ht="49.5" customHeight="1">
      <c r="A12" s="445" t="s">
        <v>110</v>
      </c>
      <c r="B12" s="446" t="s">
        <v>517</v>
      </c>
      <c r="C12" s="192">
        <f>+E12+G12</f>
        <v>19052967</v>
      </c>
      <c r="D12" s="596">
        <f>IFERROR((((E12*F12)+(G12*H12))/C12),0)</f>
        <v>9.3031619872660676E-2</v>
      </c>
      <c r="E12" s="193">
        <v>19052967</v>
      </c>
      <c r="F12" s="447">
        <v>9.3031619872660676E-2</v>
      </c>
      <c r="G12" s="193"/>
      <c r="H12" s="447"/>
      <c r="I12" s="193">
        <v>0</v>
      </c>
      <c r="J12" s="193">
        <v>1047241</v>
      </c>
      <c r="K12" s="193">
        <v>3019260</v>
      </c>
      <c r="L12" s="193">
        <v>2325145</v>
      </c>
      <c r="M12" s="193">
        <v>12661321</v>
      </c>
      <c r="N12" s="193">
        <v>16955659</v>
      </c>
      <c r="O12" s="193">
        <v>1226804</v>
      </c>
      <c r="P12" s="193">
        <v>40773</v>
      </c>
      <c r="Q12" s="193">
        <v>229362</v>
      </c>
      <c r="R12" s="193">
        <v>600369</v>
      </c>
      <c r="S12" s="192">
        <f>SUM(T12:X12)</f>
        <v>186862</v>
      </c>
      <c r="T12" s="193">
        <v>0</v>
      </c>
      <c r="U12" s="193">
        <v>100997</v>
      </c>
      <c r="V12" s="193">
        <v>0</v>
      </c>
      <c r="W12" s="193">
        <v>21223</v>
      </c>
      <c r="X12" s="193">
        <v>64642</v>
      </c>
      <c r="Y12" s="193">
        <v>41819996</v>
      </c>
      <c r="Z12" s="193"/>
      <c r="AA12" s="576">
        <f>+'loans_av rate'!D10</f>
        <v>9.4756338952698971E-2</v>
      </c>
      <c r="AB12" s="576">
        <f>+'loans_av rate'!F10</f>
        <v>9.4756338952698971E-2</v>
      </c>
      <c r="AC12" s="576">
        <f>+'loans_av rate'!H10</f>
        <v>0</v>
      </c>
    </row>
    <row r="13" spans="1:35" s="183" customFormat="1" ht="49.5" customHeight="1">
      <c r="A13" s="445" t="s">
        <v>111</v>
      </c>
      <c r="B13" s="446" t="s">
        <v>518</v>
      </c>
      <c r="C13" s="192">
        <f>+E13+G13</f>
        <v>0</v>
      </c>
      <c r="D13" s="596">
        <f>IFERROR((((E13*F13)+(G13*H13))/C13),0)</f>
        <v>0</v>
      </c>
      <c r="E13" s="193"/>
      <c r="F13" s="447"/>
      <c r="G13" s="193"/>
      <c r="H13" s="447"/>
      <c r="I13" s="193"/>
      <c r="J13" s="193"/>
      <c r="K13" s="193">
        <v>0</v>
      </c>
      <c r="L13" s="193"/>
      <c r="M13" s="193"/>
      <c r="N13" s="193"/>
      <c r="O13" s="193"/>
      <c r="P13" s="193"/>
      <c r="Q13" s="193"/>
      <c r="R13" s="193"/>
      <c r="S13" s="192">
        <f t="shared" ref="S13:S26" si="5">SUM(T13:X13)</f>
        <v>0</v>
      </c>
      <c r="T13" s="193"/>
      <c r="U13" s="193"/>
      <c r="V13" s="193"/>
      <c r="W13" s="193"/>
      <c r="X13" s="193"/>
      <c r="Y13" s="193"/>
      <c r="Z13" s="193"/>
      <c r="AA13" s="437"/>
      <c r="AD13" s="437">
        <f>+'Asset Classification'!E13</f>
        <v>4070042033</v>
      </c>
      <c r="AE13" s="437">
        <f>+'Asset Classification'!I13</f>
        <v>863151778</v>
      </c>
      <c r="AF13" s="437">
        <f>+'Asset Classification'!M13</f>
        <v>88775127</v>
      </c>
      <c r="AG13" s="437">
        <f>+'Asset Classification'!Q13</f>
        <v>195192536</v>
      </c>
      <c r="AH13" s="437">
        <f>+'Asset Classification'!U13</f>
        <v>124543472</v>
      </c>
    </row>
    <row r="14" spans="1:35" s="183" customFormat="1" ht="49.5" customHeight="1">
      <c r="A14" s="445" t="s">
        <v>112</v>
      </c>
      <c r="B14" s="446" t="s">
        <v>519</v>
      </c>
      <c r="C14" s="192">
        <f>+E14+G14</f>
        <v>0</v>
      </c>
      <c r="D14" s="596">
        <f>IFERROR((((E14*F14)+(G14*H14))/C14),0)</f>
        <v>0</v>
      </c>
      <c r="E14" s="193"/>
      <c r="F14" s="447"/>
      <c r="G14" s="193"/>
      <c r="H14" s="447"/>
      <c r="I14" s="193"/>
      <c r="J14" s="193"/>
      <c r="K14" s="193"/>
      <c r="L14" s="193"/>
      <c r="M14" s="193"/>
      <c r="N14" s="193"/>
      <c r="O14" s="193"/>
      <c r="P14" s="193"/>
      <c r="Q14" s="193"/>
      <c r="R14" s="193"/>
      <c r="S14" s="192">
        <f t="shared" si="5"/>
        <v>0</v>
      </c>
      <c r="T14" s="193"/>
      <c r="U14" s="193"/>
      <c r="V14" s="193"/>
      <c r="W14" s="193"/>
      <c r="X14" s="193"/>
      <c r="Y14" s="193"/>
      <c r="Z14" s="193"/>
      <c r="AA14" s="437"/>
      <c r="AD14" s="571">
        <f>+N9-AD13</f>
        <v>0</v>
      </c>
      <c r="AE14" s="571">
        <f t="shared" ref="AE14:AH14" si="6">+O9-AE13</f>
        <v>0</v>
      </c>
      <c r="AF14" s="571">
        <f t="shared" si="6"/>
        <v>0</v>
      </c>
      <c r="AG14" s="571">
        <f t="shared" si="6"/>
        <v>0</v>
      </c>
      <c r="AH14" s="571">
        <f t="shared" si="6"/>
        <v>0</v>
      </c>
    </row>
    <row r="15" spans="1:35" s="183" customFormat="1" ht="49.5" customHeight="1">
      <c r="A15" s="445" t="s">
        <v>116</v>
      </c>
      <c r="B15" s="446" t="s">
        <v>520</v>
      </c>
      <c r="C15" s="192">
        <f>+E15+G15</f>
        <v>6266808</v>
      </c>
      <c r="D15" s="596">
        <f>IFERROR((((E15*F15)+(G15*H15))/C15),0)</f>
        <v>9.9999999999999992E-2</v>
      </c>
      <c r="E15" s="193">
        <v>6266808</v>
      </c>
      <c r="F15" s="447">
        <v>9.9999999999999992E-2</v>
      </c>
      <c r="G15" s="193"/>
      <c r="H15" s="447"/>
      <c r="I15" s="193">
        <v>0</v>
      </c>
      <c r="J15" s="193">
        <v>0</v>
      </c>
      <c r="K15" s="193">
        <v>0</v>
      </c>
      <c r="L15" s="193">
        <v>0</v>
      </c>
      <c r="M15" s="193">
        <v>6266808</v>
      </c>
      <c r="N15" s="193">
        <v>5085936</v>
      </c>
      <c r="O15" s="193">
        <v>1180872</v>
      </c>
      <c r="P15" s="193">
        <v>0</v>
      </c>
      <c r="Q15" s="193">
        <v>0</v>
      </c>
      <c r="R15" s="193">
        <v>0</v>
      </c>
      <c r="S15" s="192">
        <f t="shared" si="5"/>
        <v>0</v>
      </c>
      <c r="T15" s="193">
        <v>0</v>
      </c>
      <c r="U15" s="193">
        <v>0</v>
      </c>
      <c r="V15" s="193">
        <v>0</v>
      </c>
      <c r="W15" s="193">
        <v>0</v>
      </c>
      <c r="X15" s="193">
        <v>0</v>
      </c>
      <c r="Y15" s="193"/>
      <c r="Z15" s="193"/>
      <c r="AA15" s="437"/>
      <c r="AD15" s="437">
        <f>+'Asset Classification'!G13</f>
        <v>0</v>
      </c>
      <c r="AE15" s="437">
        <f>+'Asset Classification'!K13</f>
        <v>28934162</v>
      </c>
      <c r="AF15" s="437">
        <f>+'Asset Classification'!O13</f>
        <v>1489803</v>
      </c>
      <c r="AG15" s="437">
        <f>+'Asset Classification'!S13</f>
        <v>10685170</v>
      </c>
      <c r="AH15" s="437">
        <f>+'Asset Classification'!W13</f>
        <v>17327736</v>
      </c>
    </row>
    <row r="16" spans="1:35" s="183" customFormat="1" ht="49.5" customHeight="1">
      <c r="A16" s="442">
        <v>2</v>
      </c>
      <c r="B16" s="443" t="s">
        <v>746</v>
      </c>
      <c r="C16" s="194">
        <f>SUM(C17:C20)</f>
        <v>858409155</v>
      </c>
      <c r="D16" s="444">
        <f>IFERROR(((C17*D17)/C16)+((C18*D18)/C16)+((C19*D19)/C16)+((C20*D20)/C16),0)</f>
        <v>0.17282596844061907</v>
      </c>
      <c r="E16" s="194">
        <f t="shared" ref="E16:Z16" si="7">SUM(E17:E20)</f>
        <v>858409155</v>
      </c>
      <c r="F16" s="444">
        <f>IFERROR(((E17*F17)/E16)+((E18*F18)/E16)+((E19*F19)/E16)+((E20*F20)/E16),0)</f>
        <v>0.17282596844061907</v>
      </c>
      <c r="G16" s="194">
        <f t="shared" si="7"/>
        <v>0</v>
      </c>
      <c r="H16" s="444">
        <f>IFERROR(((G17*H17)/G16)+((G18*H18)/G16)+((G19*H19)/G16)+((G20*H20)/G16),0)</f>
        <v>0</v>
      </c>
      <c r="I16" s="194">
        <f t="shared" si="7"/>
        <v>0</v>
      </c>
      <c r="J16" s="194">
        <f t="shared" si="7"/>
        <v>1112004</v>
      </c>
      <c r="K16" s="194">
        <f t="shared" si="7"/>
        <v>30568593</v>
      </c>
      <c r="L16" s="194">
        <f t="shared" si="7"/>
        <v>127098531</v>
      </c>
      <c r="M16" s="194">
        <f t="shared" si="7"/>
        <v>699630027</v>
      </c>
      <c r="N16" s="194">
        <f t="shared" si="7"/>
        <v>735499885</v>
      </c>
      <c r="O16" s="194">
        <f t="shared" si="7"/>
        <v>104835037</v>
      </c>
      <c r="P16" s="194">
        <f t="shared" si="7"/>
        <v>0</v>
      </c>
      <c r="Q16" s="194">
        <f t="shared" si="7"/>
        <v>245341</v>
      </c>
      <c r="R16" s="194">
        <f t="shared" si="7"/>
        <v>17828892</v>
      </c>
      <c r="S16" s="194">
        <f>SUM(S17:S20)</f>
        <v>1829173</v>
      </c>
      <c r="T16" s="194">
        <f t="shared" si="7"/>
        <v>0</v>
      </c>
      <c r="U16" s="194">
        <f t="shared" si="7"/>
        <v>1535101</v>
      </c>
      <c r="V16" s="194">
        <f t="shared" si="7"/>
        <v>0</v>
      </c>
      <c r="W16" s="194">
        <f t="shared" si="7"/>
        <v>0</v>
      </c>
      <c r="X16" s="194">
        <f t="shared" si="7"/>
        <v>294072</v>
      </c>
      <c r="Y16" s="194">
        <f t="shared" si="7"/>
        <v>0</v>
      </c>
      <c r="Z16" s="194">
        <f t="shared" si="7"/>
        <v>0</v>
      </c>
      <c r="AA16" s="437">
        <f>+'loans_av rate'!C20</f>
        <v>858409155</v>
      </c>
      <c r="AB16" s="183">
        <f>+'loans_av rate'!E20</f>
        <v>858409155</v>
      </c>
      <c r="AC16" s="183">
        <f>+'loans_av rate'!G20</f>
        <v>0</v>
      </c>
      <c r="AD16" s="571">
        <f>+AD15-T9</f>
        <v>0</v>
      </c>
      <c r="AE16" s="571">
        <f t="shared" ref="AE16:AH16" si="8">+AE15-U9</f>
        <v>0</v>
      </c>
      <c r="AF16" s="571">
        <f t="shared" si="8"/>
        <v>0</v>
      </c>
      <c r="AG16" s="571">
        <f t="shared" si="8"/>
        <v>0</v>
      </c>
      <c r="AH16" s="571">
        <f t="shared" si="8"/>
        <v>0</v>
      </c>
    </row>
    <row r="17" spans="1:29" s="185" customFormat="1" ht="49.5" customHeight="1">
      <c r="A17" s="448" t="s">
        <v>123</v>
      </c>
      <c r="B17" s="449" t="s">
        <v>517</v>
      </c>
      <c r="C17" s="192">
        <f t="shared" ref="C17:C26" si="9">+E17+G17</f>
        <v>783605446</v>
      </c>
      <c r="D17" s="596">
        <f t="shared" ref="D17:D26" si="10">IFERROR((((E17*F17)+(G17*H17))/C17),0)</f>
        <v>0.17301694664788758</v>
      </c>
      <c r="E17" s="193">
        <v>783605446</v>
      </c>
      <c r="F17" s="447">
        <v>0.17301694664788755</v>
      </c>
      <c r="G17" s="193"/>
      <c r="H17" s="447"/>
      <c r="I17" s="193">
        <v>0</v>
      </c>
      <c r="J17" s="193">
        <v>1112004</v>
      </c>
      <c r="K17" s="193">
        <v>30506897</v>
      </c>
      <c r="L17" s="193">
        <v>127098531</v>
      </c>
      <c r="M17" s="193">
        <v>624888014</v>
      </c>
      <c r="N17" s="193">
        <v>677010582</v>
      </c>
      <c r="O17" s="193">
        <v>88996161</v>
      </c>
      <c r="P17" s="193">
        <v>0</v>
      </c>
      <c r="Q17" s="193">
        <v>245341</v>
      </c>
      <c r="R17" s="193">
        <v>17353362</v>
      </c>
      <c r="S17" s="192">
        <f t="shared" si="5"/>
        <v>1807657</v>
      </c>
      <c r="T17" s="193">
        <v>0</v>
      </c>
      <c r="U17" s="193">
        <v>1513585</v>
      </c>
      <c r="V17" s="193">
        <v>0</v>
      </c>
      <c r="W17" s="193">
        <v>0</v>
      </c>
      <c r="X17" s="193">
        <v>294072</v>
      </c>
      <c r="Y17" s="193"/>
      <c r="Z17" s="193"/>
      <c r="AA17" s="576">
        <f>+'loans_av rate'!D20</f>
        <v>0.17282596844105302</v>
      </c>
      <c r="AB17" s="576">
        <f>+'loans_av rate'!F20</f>
        <v>0.17282596844105302</v>
      </c>
      <c r="AC17" s="576">
        <f>+'loans_av rate'!H20</f>
        <v>0</v>
      </c>
    </row>
    <row r="18" spans="1:29" s="185" customFormat="1" ht="49.5" customHeight="1">
      <c r="A18" s="448" t="s">
        <v>124</v>
      </c>
      <c r="B18" s="449" t="s">
        <v>518</v>
      </c>
      <c r="C18" s="192">
        <f t="shared" si="9"/>
        <v>0</v>
      </c>
      <c r="D18" s="596">
        <f t="shared" si="10"/>
        <v>0</v>
      </c>
      <c r="E18" s="193"/>
      <c r="F18" s="447"/>
      <c r="G18" s="193"/>
      <c r="H18" s="447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2">
        <f t="shared" si="5"/>
        <v>0</v>
      </c>
      <c r="T18" s="193"/>
      <c r="U18" s="193"/>
      <c r="V18" s="193"/>
      <c r="W18" s="193"/>
      <c r="X18" s="193"/>
      <c r="Y18" s="193"/>
      <c r="Z18" s="193"/>
      <c r="AA18" s="437"/>
    </row>
    <row r="19" spans="1:29" s="185" customFormat="1" ht="49.5" customHeight="1">
      <c r="A19" s="448" t="s">
        <v>126</v>
      </c>
      <c r="B19" s="449" t="s">
        <v>519</v>
      </c>
      <c r="C19" s="192">
        <f t="shared" si="9"/>
        <v>0</v>
      </c>
      <c r="D19" s="596">
        <f t="shared" si="10"/>
        <v>0</v>
      </c>
      <c r="E19" s="193"/>
      <c r="F19" s="447"/>
      <c r="G19" s="193"/>
      <c r="H19" s="447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2">
        <f t="shared" si="5"/>
        <v>0</v>
      </c>
      <c r="T19" s="193"/>
      <c r="U19" s="193"/>
      <c r="V19" s="193"/>
      <c r="W19" s="193"/>
      <c r="X19" s="193"/>
      <c r="Y19" s="193"/>
      <c r="Z19" s="193"/>
      <c r="AA19" s="437"/>
    </row>
    <row r="20" spans="1:29" s="185" customFormat="1" ht="49.5" customHeight="1">
      <c r="A20" s="448" t="s">
        <v>128</v>
      </c>
      <c r="B20" s="449" t="s">
        <v>520</v>
      </c>
      <c r="C20" s="192">
        <f t="shared" si="9"/>
        <v>74803709</v>
      </c>
      <c r="D20" s="596">
        <f t="shared" si="10"/>
        <v>0.17082537829230277</v>
      </c>
      <c r="E20" s="193">
        <v>74803709</v>
      </c>
      <c r="F20" s="447">
        <v>0.17082537829230277</v>
      </c>
      <c r="G20" s="193"/>
      <c r="H20" s="447"/>
      <c r="I20" s="193">
        <v>0</v>
      </c>
      <c r="J20" s="193">
        <v>0</v>
      </c>
      <c r="K20" s="193">
        <v>61696</v>
      </c>
      <c r="L20" s="193">
        <v>0</v>
      </c>
      <c r="M20" s="193">
        <v>74742013</v>
      </c>
      <c r="N20" s="193">
        <v>58489303</v>
      </c>
      <c r="O20" s="193">
        <v>15838876</v>
      </c>
      <c r="P20" s="193">
        <v>0</v>
      </c>
      <c r="Q20" s="193">
        <v>0</v>
      </c>
      <c r="R20" s="193">
        <v>475530</v>
      </c>
      <c r="S20" s="192">
        <f t="shared" si="5"/>
        <v>21516</v>
      </c>
      <c r="T20" s="193">
        <v>0</v>
      </c>
      <c r="U20" s="193">
        <v>21516</v>
      </c>
      <c r="V20" s="193">
        <v>0</v>
      </c>
      <c r="W20" s="193">
        <v>0</v>
      </c>
      <c r="X20" s="193">
        <v>0</v>
      </c>
      <c r="Y20" s="193"/>
      <c r="Z20" s="193"/>
      <c r="AA20" s="437"/>
    </row>
    <row r="21" spans="1:29" s="183" customFormat="1" ht="49.5" customHeight="1">
      <c r="A21" s="445">
        <v>3</v>
      </c>
      <c r="B21" s="450" t="s">
        <v>495</v>
      </c>
      <c r="C21" s="192">
        <f t="shared" si="9"/>
        <v>661678999</v>
      </c>
      <c r="D21" s="596">
        <f t="shared" si="10"/>
        <v>0.25826560828175993</v>
      </c>
      <c r="E21" s="193">
        <v>661678999</v>
      </c>
      <c r="F21" s="447">
        <v>0.25826560828175993</v>
      </c>
      <c r="G21" s="193"/>
      <c r="H21" s="447"/>
      <c r="I21" s="193">
        <v>13401904</v>
      </c>
      <c r="J21" s="193">
        <v>631979699</v>
      </c>
      <c r="K21" s="193">
        <v>16297396</v>
      </c>
      <c r="L21" s="193">
        <v>0</v>
      </c>
      <c r="M21" s="193">
        <v>0</v>
      </c>
      <c r="N21" s="193">
        <v>598731674</v>
      </c>
      <c r="O21" s="193">
        <v>43662380</v>
      </c>
      <c r="P21" s="193">
        <v>1079791</v>
      </c>
      <c r="Q21" s="193">
        <v>1474863</v>
      </c>
      <c r="R21" s="193">
        <v>16730291</v>
      </c>
      <c r="S21" s="192">
        <f t="shared" si="5"/>
        <v>9341324</v>
      </c>
      <c r="T21" s="193">
        <v>0</v>
      </c>
      <c r="U21" s="193">
        <v>1291993</v>
      </c>
      <c r="V21" s="193">
        <v>79941</v>
      </c>
      <c r="W21" s="193">
        <v>124746</v>
      </c>
      <c r="X21" s="193">
        <v>7844644</v>
      </c>
      <c r="Y21" s="193">
        <v>5735145</v>
      </c>
      <c r="Z21" s="193"/>
      <c r="AA21" s="437">
        <f>+'loans_av rate'!C12+'loans_av rate'!C22</f>
        <v>661678999</v>
      </c>
      <c r="AB21" s="437">
        <f>+'loans_av rate'!E12+'loans_av rate'!E22</f>
        <v>661678999</v>
      </c>
      <c r="AC21" s="437">
        <f>+'loans_av rate'!G12+'loans_av rate'!G22</f>
        <v>0</v>
      </c>
    </row>
    <row r="22" spans="1:29" s="183" customFormat="1" ht="49.5" customHeight="1">
      <c r="A22" s="445">
        <v>4</v>
      </c>
      <c r="B22" s="450" t="s">
        <v>478</v>
      </c>
      <c r="C22" s="192">
        <f t="shared" si="9"/>
        <v>339912504</v>
      </c>
      <c r="D22" s="596">
        <f t="shared" si="10"/>
        <v>0.21076764424780392</v>
      </c>
      <c r="E22" s="193">
        <v>339912504</v>
      </c>
      <c r="F22" s="447">
        <v>0.21076764424780392</v>
      </c>
      <c r="G22" s="193"/>
      <c r="H22" s="447"/>
      <c r="I22" s="193">
        <v>3870714</v>
      </c>
      <c r="J22" s="193">
        <v>88143770</v>
      </c>
      <c r="K22" s="193">
        <v>247898020</v>
      </c>
      <c r="L22" s="193">
        <v>0</v>
      </c>
      <c r="M22" s="193">
        <v>0</v>
      </c>
      <c r="N22" s="193">
        <v>304565138</v>
      </c>
      <c r="O22" s="193">
        <v>21010324</v>
      </c>
      <c r="P22" s="193">
        <v>226707</v>
      </c>
      <c r="Q22" s="193">
        <v>146022</v>
      </c>
      <c r="R22" s="193">
        <v>13964313</v>
      </c>
      <c r="S22" s="192">
        <f t="shared" si="5"/>
        <v>8882098</v>
      </c>
      <c r="T22" s="193">
        <v>0</v>
      </c>
      <c r="U22" s="193">
        <v>299799</v>
      </c>
      <c r="V22" s="193">
        <v>38530</v>
      </c>
      <c r="W22" s="193">
        <v>12938</v>
      </c>
      <c r="X22" s="193">
        <v>8530831</v>
      </c>
      <c r="Y22" s="193">
        <v>24500136</v>
      </c>
      <c r="Z22" s="193"/>
      <c r="AA22" s="437">
        <f>+'loans_av rate'!C11+'loans_av rate'!C13+'loans_av rate'!C21+'loans_av rate'!C23</f>
        <v>339912504</v>
      </c>
      <c r="AB22" s="437">
        <f>+'loans_av rate'!E11+'loans_av rate'!E13+'loans_av rate'!E21+'loans_av rate'!E23</f>
        <v>339912504</v>
      </c>
      <c r="AC22" s="437">
        <f>+'loans_av rate'!G11+'loans_av rate'!G13+'loans_av rate'!G21+'loans_av rate'!G23</f>
        <v>0</v>
      </c>
    </row>
    <row r="23" spans="1:29" s="183" customFormat="1" ht="49.5" customHeight="1">
      <c r="A23" s="445" t="s">
        <v>161</v>
      </c>
      <c r="B23" s="450" t="s">
        <v>521</v>
      </c>
      <c r="C23" s="192">
        <f t="shared" si="9"/>
        <v>204492585</v>
      </c>
      <c r="D23" s="596">
        <f t="shared" si="10"/>
        <v>0.24940436530064372</v>
      </c>
      <c r="E23" s="193">
        <v>204492585</v>
      </c>
      <c r="F23" s="447">
        <v>0.24940436530064369</v>
      </c>
      <c r="G23" s="193"/>
      <c r="H23" s="447"/>
      <c r="I23" s="193">
        <v>185840</v>
      </c>
      <c r="J23" s="193">
        <v>32599436</v>
      </c>
      <c r="K23" s="193">
        <v>171707309</v>
      </c>
      <c r="L23" s="193">
        <v>0</v>
      </c>
      <c r="M23" s="193">
        <v>0</v>
      </c>
      <c r="N23" s="193">
        <v>190547328</v>
      </c>
      <c r="O23" s="193">
        <v>13604666</v>
      </c>
      <c r="P23" s="193">
        <v>0</v>
      </c>
      <c r="Q23" s="193">
        <v>6705</v>
      </c>
      <c r="R23" s="193">
        <v>333886</v>
      </c>
      <c r="S23" s="192">
        <f t="shared" si="5"/>
        <v>191635</v>
      </c>
      <c r="T23" s="193">
        <v>0</v>
      </c>
      <c r="U23" s="193">
        <v>160438</v>
      </c>
      <c r="V23" s="193">
        <v>0</v>
      </c>
      <c r="W23" s="193">
        <v>0</v>
      </c>
      <c r="X23" s="193">
        <v>31197</v>
      </c>
      <c r="Y23" s="193">
        <v>11020695</v>
      </c>
      <c r="Z23" s="193"/>
      <c r="AA23" s="437">
        <f>+'loans_av rate'!C11+'loans_av rate'!C21</f>
        <v>204492585</v>
      </c>
      <c r="AB23" s="437">
        <f>+'loans_av rate'!E11+'loans_av rate'!E21</f>
        <v>204492585</v>
      </c>
      <c r="AC23" s="437">
        <f>+'loans_av rate'!G11+'loans_av rate'!G21</f>
        <v>0</v>
      </c>
    </row>
    <row r="24" spans="1:29" s="183" customFormat="1" ht="49.5" customHeight="1">
      <c r="A24" s="445">
        <v>5</v>
      </c>
      <c r="B24" s="450" t="s">
        <v>522</v>
      </c>
      <c r="C24" s="192">
        <f t="shared" si="9"/>
        <v>250557303</v>
      </c>
      <c r="D24" s="596">
        <f t="shared" si="10"/>
        <v>0.14051190324509114</v>
      </c>
      <c r="E24" s="193">
        <v>250557303</v>
      </c>
      <c r="F24" s="447">
        <v>0.14051190324509114</v>
      </c>
      <c r="G24" s="193"/>
      <c r="H24" s="447"/>
      <c r="I24" s="193">
        <v>67397</v>
      </c>
      <c r="J24" s="193">
        <v>343348</v>
      </c>
      <c r="K24" s="193">
        <v>23088674</v>
      </c>
      <c r="L24" s="193">
        <v>223731020</v>
      </c>
      <c r="M24" s="193">
        <v>3326864</v>
      </c>
      <c r="N24" s="193">
        <v>246458884</v>
      </c>
      <c r="O24" s="193">
        <v>3908766</v>
      </c>
      <c r="P24" s="193">
        <v>13105</v>
      </c>
      <c r="Q24" s="193">
        <v>16293</v>
      </c>
      <c r="R24" s="193">
        <v>160255</v>
      </c>
      <c r="S24" s="192">
        <f t="shared" si="5"/>
        <v>0</v>
      </c>
      <c r="T24" s="193">
        <v>0</v>
      </c>
      <c r="U24" s="193">
        <v>0</v>
      </c>
      <c r="V24" s="193">
        <v>0</v>
      </c>
      <c r="W24" s="193">
        <v>0</v>
      </c>
      <c r="X24" s="193">
        <v>0</v>
      </c>
      <c r="Y24" s="193"/>
      <c r="Z24" s="193"/>
      <c r="AA24" s="437">
        <f>+'loans_av rate'!C14+'loans_av rate'!C24</f>
        <v>250557303</v>
      </c>
      <c r="AB24" s="437">
        <f>+'loans_av rate'!E14+'loans_av rate'!E24</f>
        <v>250557303</v>
      </c>
      <c r="AC24" s="437">
        <f>+'loans_av rate'!G14+'loans_av rate'!G24</f>
        <v>0</v>
      </c>
    </row>
    <row r="25" spans="1:29" s="183" customFormat="1" ht="49.5" customHeight="1">
      <c r="A25" s="445">
        <v>6</v>
      </c>
      <c r="B25" s="450" t="s">
        <v>523</v>
      </c>
      <c r="C25" s="192">
        <f t="shared" si="9"/>
        <v>3205827210</v>
      </c>
      <c r="D25" s="596">
        <f t="shared" si="10"/>
        <v>0.14020570643485608</v>
      </c>
      <c r="E25" s="193">
        <v>3205827210</v>
      </c>
      <c r="F25" s="193">
        <v>0.14020570643485608</v>
      </c>
      <c r="G25" s="193"/>
      <c r="H25" s="447"/>
      <c r="I25" s="193">
        <v>13877346</v>
      </c>
      <c r="J25" s="193">
        <v>2744289075</v>
      </c>
      <c r="K25" s="193">
        <v>447660789</v>
      </c>
      <c r="L25" s="193">
        <v>0</v>
      </c>
      <c r="M25" s="193">
        <v>0</v>
      </c>
      <c r="N25" s="193">
        <v>2162744857</v>
      </c>
      <c r="O25" s="193">
        <v>687327595</v>
      </c>
      <c r="P25" s="193">
        <v>87414751</v>
      </c>
      <c r="Q25" s="193">
        <v>193080655</v>
      </c>
      <c r="R25" s="193">
        <v>75259352</v>
      </c>
      <c r="S25" s="192">
        <f t="shared" si="5"/>
        <v>38197414</v>
      </c>
      <c r="T25" s="193">
        <v>0</v>
      </c>
      <c r="U25" s="193">
        <v>25706272</v>
      </c>
      <c r="V25" s="193">
        <v>1371332</v>
      </c>
      <c r="W25" s="193">
        <v>10526263</v>
      </c>
      <c r="X25" s="193">
        <v>593547</v>
      </c>
      <c r="Y25" s="193">
        <v>70920362</v>
      </c>
      <c r="Z25" s="193"/>
      <c r="AA25" s="437">
        <f>+'loans_av rate'!C15+'loans_av rate'!C25</f>
        <v>3205827210</v>
      </c>
      <c r="AB25" s="437">
        <f>+'loans_av rate'!E15+'loans_av rate'!E25</f>
        <v>3205827210</v>
      </c>
      <c r="AC25" s="437">
        <f>+'loans_av rate'!G15+'loans_av rate'!G25</f>
        <v>0</v>
      </c>
    </row>
    <row r="26" spans="1:29" s="183" customFormat="1" ht="49.5" customHeight="1">
      <c r="A26" s="445">
        <v>7</v>
      </c>
      <c r="B26" s="450" t="s">
        <v>479</v>
      </c>
      <c r="C26" s="192">
        <f t="shared" si="9"/>
        <v>0</v>
      </c>
      <c r="D26" s="596">
        <f t="shared" si="10"/>
        <v>0</v>
      </c>
      <c r="E26" s="193">
        <v>0</v>
      </c>
      <c r="F26" s="193">
        <v>0</v>
      </c>
      <c r="G26" s="193">
        <v>0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0</v>
      </c>
      <c r="S26" s="192">
        <f t="shared" si="5"/>
        <v>0</v>
      </c>
      <c r="T26" s="193">
        <v>0</v>
      </c>
      <c r="U26" s="193">
        <v>0</v>
      </c>
      <c r="V26" s="193">
        <v>0</v>
      </c>
      <c r="W26" s="193">
        <v>0</v>
      </c>
      <c r="X26" s="193">
        <v>0</v>
      </c>
      <c r="Y26" s="193"/>
      <c r="Z26" s="193"/>
      <c r="AA26" s="437">
        <f>+'loans_av rate'!C16+'loans_av rate'!C26</f>
        <v>0</v>
      </c>
      <c r="AB26" s="437">
        <f>+'loans_av rate'!E16+'loans_av rate'!E26</f>
        <v>0</v>
      </c>
      <c r="AC26" s="437">
        <f>+'loans_av rate'!G16+'loans_av rate'!G26</f>
        <v>0</v>
      </c>
    </row>
    <row r="27" spans="1:29" s="187" customFormat="1" ht="49.5" customHeight="1">
      <c r="A27" s="439" t="s">
        <v>53</v>
      </c>
      <c r="B27" s="439" t="s">
        <v>524</v>
      </c>
      <c r="C27" s="184">
        <f>+C28</f>
        <v>9095375589</v>
      </c>
      <c r="D27" s="440">
        <f>IFERROR(((C29*D29)/C27)+((C30*D30)/C27)+((C31*D31)/C27)+((C32*D32)/C27)+((C33*D33)/C27)+((C34*D34)/C27)+((C35*D35)/C27),0)</f>
        <v>0.13876041162771852</v>
      </c>
      <c r="E27" s="184">
        <f t="shared" ref="E27:Z27" si="11">+E28</f>
        <v>5404411496</v>
      </c>
      <c r="F27" s="440">
        <f>IFERROR(((E29*F29)/E27)+((E30*F30)/E27)+((E31*F31)/E27)+((E32*F32)/E27)+((E33*F33)/E27)+((E34*F34)/E27)+((E35*F35)/E27),0)</f>
        <v>0</v>
      </c>
      <c r="G27" s="184">
        <f t="shared" si="11"/>
        <v>3690964093</v>
      </c>
      <c r="H27" s="440">
        <f>IFERROR(((G29*H29)/G27)+((G30*H30)/G27)+((G31*H31)/G27)+((G32*H32)/G27)+((G33*H33)/G27)+((G34*H34)/G27)+((G35*H35)/G27),0)</f>
        <v>8.620029214866963E-2</v>
      </c>
      <c r="I27" s="184">
        <f t="shared" si="11"/>
        <v>113869852</v>
      </c>
      <c r="J27" s="184">
        <f t="shared" si="11"/>
        <v>4818383031</v>
      </c>
      <c r="K27" s="184">
        <f t="shared" si="11"/>
        <v>3803919279</v>
      </c>
      <c r="L27" s="184">
        <f t="shared" si="11"/>
        <v>359203427</v>
      </c>
      <c r="M27" s="184">
        <f t="shared" si="11"/>
        <v>0</v>
      </c>
      <c r="N27" s="184">
        <f t="shared" si="11"/>
        <v>5969012964</v>
      </c>
      <c r="O27" s="184">
        <f t="shared" si="11"/>
        <v>2669695363</v>
      </c>
      <c r="P27" s="184">
        <f t="shared" si="11"/>
        <v>13598316</v>
      </c>
      <c r="Q27" s="184">
        <f t="shared" si="11"/>
        <v>42394548</v>
      </c>
      <c r="R27" s="184">
        <f t="shared" si="11"/>
        <v>400674398</v>
      </c>
      <c r="S27" s="184">
        <f t="shared" si="11"/>
        <v>167546916</v>
      </c>
      <c r="T27" s="184">
        <f t="shared" si="11"/>
        <v>0</v>
      </c>
      <c r="U27" s="184">
        <f t="shared" si="11"/>
        <v>79775684</v>
      </c>
      <c r="V27" s="184">
        <f t="shared" si="11"/>
        <v>226900</v>
      </c>
      <c r="W27" s="184">
        <f t="shared" si="11"/>
        <v>1861822</v>
      </c>
      <c r="X27" s="184">
        <f t="shared" si="11"/>
        <v>85682510</v>
      </c>
      <c r="Y27" s="184">
        <f t="shared" si="11"/>
        <v>214008035</v>
      </c>
      <c r="Z27" s="184">
        <f t="shared" si="11"/>
        <v>0</v>
      </c>
      <c r="AA27" s="437">
        <f>+'loans_av rate'!C28+'loans_av rate'!C37</f>
        <v>9095375589</v>
      </c>
      <c r="AB27" s="437">
        <f>+'loans_av rate'!E28+'loans_av rate'!E37</f>
        <v>5404411496</v>
      </c>
      <c r="AC27" s="437">
        <f>+'loans_av rate'!G28+'loans_av rate'!G37</f>
        <v>3690964093</v>
      </c>
    </row>
    <row r="28" spans="1:29" s="187" customFormat="1" ht="33.75" customHeight="1">
      <c r="A28" s="439"/>
      <c r="B28" s="439" t="s">
        <v>525</v>
      </c>
      <c r="C28" s="184">
        <f>SUM(C29:C35)</f>
        <v>9095375589</v>
      </c>
      <c r="D28" s="440">
        <f>IFERROR(((C29*D29)/C28)+((C30*D30)/C28)+((C31*D31)/C28)+((C32*D32)/C28)+((C33*D33)/C28)+((C34*D34)/C28)+((C35*D35)/C28),0)</f>
        <v>0.13876041162771852</v>
      </c>
      <c r="E28" s="184">
        <f>SUM(E29:E35)</f>
        <v>5404411496</v>
      </c>
      <c r="F28" s="440">
        <f>IFERROR(((E29*F29)/E28)+((E30*F30)/E28)+((E31*F31)/E28)+((E32*F32)/E28)+((E33*F33)/E28)+((E34*F34)/E28)+((E35*F35)/E28),0)</f>
        <v>0</v>
      </c>
      <c r="G28" s="184">
        <f>SUM(G29:G35)</f>
        <v>3690964093</v>
      </c>
      <c r="H28" s="440">
        <f>IFERROR(+((G29*H29)/G28)+((G30*H30)/G28)+((G31*H31)/G28)+((G32*H32)/G28)+((G33*H33)/G28)+((G34*H34)/G28)+((G35*H35)/G28),0)</f>
        <v>8.620029214866963E-2</v>
      </c>
      <c r="I28" s="184">
        <f>SUM(I29:I35)</f>
        <v>113869852</v>
      </c>
      <c r="J28" s="184">
        <f t="shared" ref="J28:R28" si="12">SUM(J29:J35)</f>
        <v>4818383031</v>
      </c>
      <c r="K28" s="184">
        <f t="shared" si="12"/>
        <v>3803919279</v>
      </c>
      <c r="L28" s="184">
        <f t="shared" si="12"/>
        <v>359203427</v>
      </c>
      <c r="M28" s="184">
        <f t="shared" si="12"/>
        <v>0</v>
      </c>
      <c r="N28" s="184">
        <f t="shared" si="12"/>
        <v>5969012964</v>
      </c>
      <c r="O28" s="184">
        <f t="shared" si="12"/>
        <v>2669695363</v>
      </c>
      <c r="P28" s="184">
        <f t="shared" si="12"/>
        <v>13598316</v>
      </c>
      <c r="Q28" s="184">
        <f t="shared" si="12"/>
        <v>42394548</v>
      </c>
      <c r="R28" s="184">
        <f t="shared" si="12"/>
        <v>400674398</v>
      </c>
      <c r="S28" s="184">
        <f t="shared" ref="S28" si="13">SUM(S29:S35)</f>
        <v>167546916</v>
      </c>
      <c r="T28" s="184">
        <f t="shared" ref="T28" si="14">SUM(T29:T35)</f>
        <v>0</v>
      </c>
      <c r="U28" s="184">
        <f t="shared" ref="U28" si="15">SUM(U29:U35)</f>
        <v>79775684</v>
      </c>
      <c r="V28" s="184">
        <f t="shared" ref="V28" si="16">SUM(V29:V35)</f>
        <v>226900</v>
      </c>
      <c r="W28" s="184">
        <f t="shared" ref="W28" si="17">SUM(W29:W35)</f>
        <v>1861822</v>
      </c>
      <c r="X28" s="184">
        <f t="shared" ref="X28" si="18">SUM(X29:X35)</f>
        <v>85682510</v>
      </c>
      <c r="Y28" s="184">
        <f t="shared" ref="Y28" si="19">SUM(Y29:Y35)</f>
        <v>214008035</v>
      </c>
      <c r="Z28" s="184">
        <f t="shared" ref="Z28" si="20">SUM(Z29:Z35)</f>
        <v>0</v>
      </c>
      <c r="AA28" s="437">
        <f>+'loans_av rate'!C28+'loans_av rate'!C37</f>
        <v>9095375589</v>
      </c>
      <c r="AB28" s="437">
        <f>+'loans_av rate'!E28+'loans_av rate'!E37</f>
        <v>5404411496</v>
      </c>
      <c r="AC28" s="437">
        <f>+'loans_av rate'!G28+'loans_av rate'!G37</f>
        <v>3690964093</v>
      </c>
    </row>
    <row r="29" spans="1:29" s="183" customFormat="1" ht="49.5" customHeight="1">
      <c r="A29" s="445">
        <v>1</v>
      </c>
      <c r="B29" s="450" t="s">
        <v>176</v>
      </c>
      <c r="C29" s="192">
        <f t="shared" ref="C29:C34" si="21">+E29+G29</f>
        <v>0</v>
      </c>
      <c r="D29" s="596">
        <f t="shared" ref="D29:D35" si="22">IFERROR((((E29*F29)+(G29*H29))/C29),0)</f>
        <v>0</v>
      </c>
      <c r="E29" s="193">
        <v>0</v>
      </c>
      <c r="F29" s="447">
        <v>0</v>
      </c>
      <c r="G29" s="193">
        <v>0</v>
      </c>
      <c r="H29" s="447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2">
        <f t="shared" ref="S29:S35" si="23">SUM(T29:X29)</f>
        <v>0</v>
      </c>
      <c r="T29" s="193">
        <v>0</v>
      </c>
      <c r="U29" s="193">
        <v>0</v>
      </c>
      <c r="V29" s="193">
        <v>0</v>
      </c>
      <c r="W29" s="193">
        <v>0</v>
      </c>
      <c r="X29" s="193">
        <v>0</v>
      </c>
      <c r="Y29" s="193">
        <v>8314003</v>
      </c>
      <c r="Z29" s="193"/>
      <c r="AA29" s="437">
        <f>+'loans_av rate'!C30+'loans_av rate'!C39</f>
        <v>0</v>
      </c>
      <c r="AB29" s="437">
        <f>+'loans_av rate'!E30+'loans_av rate'!E39</f>
        <v>0</v>
      </c>
      <c r="AC29" s="437">
        <f>+'loans_av rate'!G30+'loans_av rate'!G39</f>
        <v>0</v>
      </c>
    </row>
    <row r="30" spans="1:29" s="183" customFormat="1" ht="49.5" customHeight="1">
      <c r="A30" s="445">
        <v>2</v>
      </c>
      <c r="B30" s="450" t="s">
        <v>498</v>
      </c>
      <c r="C30" s="192">
        <f t="shared" si="21"/>
        <v>0</v>
      </c>
      <c r="D30" s="596">
        <f t="shared" si="22"/>
        <v>0</v>
      </c>
      <c r="E30" s="193"/>
      <c r="F30" s="447"/>
      <c r="G30" s="193"/>
      <c r="H30" s="447"/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2">
        <f t="shared" si="23"/>
        <v>0</v>
      </c>
      <c r="T30" s="193"/>
      <c r="U30" s="193"/>
      <c r="V30" s="193"/>
      <c r="W30" s="193"/>
      <c r="X30" s="193"/>
      <c r="Y30" s="193"/>
      <c r="Z30" s="193"/>
      <c r="AA30" s="437">
        <f>+'loans_av rate'!C31+'loans_av rate'!C40</f>
        <v>0</v>
      </c>
      <c r="AB30" s="437">
        <f>+'loans_av rate'!E31+'loans_av rate'!E40</f>
        <v>0</v>
      </c>
      <c r="AC30" s="437">
        <f>+'loans_av rate'!G31+'loans_av rate'!G40</f>
        <v>0</v>
      </c>
    </row>
    <row r="31" spans="1:29" s="183" customFormat="1" ht="49.5" customHeight="1">
      <c r="A31" s="445">
        <v>3</v>
      </c>
      <c r="B31" s="450" t="s">
        <v>177</v>
      </c>
      <c r="C31" s="192">
        <f t="shared" si="21"/>
        <v>25000000</v>
      </c>
      <c r="D31" s="596">
        <f t="shared" si="22"/>
        <v>0.2</v>
      </c>
      <c r="E31" s="193">
        <v>25000000</v>
      </c>
      <c r="F31" s="447">
        <v>0.2</v>
      </c>
      <c r="G31" s="193">
        <v>0</v>
      </c>
      <c r="H31" s="447">
        <v>0</v>
      </c>
      <c r="I31" s="193">
        <v>0</v>
      </c>
      <c r="J31" s="193">
        <v>25000000</v>
      </c>
      <c r="K31" s="193">
        <v>0</v>
      </c>
      <c r="L31" s="193">
        <v>0</v>
      </c>
      <c r="M31" s="193">
        <v>0</v>
      </c>
      <c r="N31" s="193">
        <v>25000000</v>
      </c>
      <c r="O31" s="193">
        <v>0</v>
      </c>
      <c r="P31" s="193">
        <v>0</v>
      </c>
      <c r="Q31" s="193">
        <v>0</v>
      </c>
      <c r="R31" s="193">
        <v>0</v>
      </c>
      <c r="S31" s="192">
        <f t="shared" si="23"/>
        <v>0</v>
      </c>
      <c r="T31" s="193">
        <v>0</v>
      </c>
      <c r="U31" s="193">
        <v>0</v>
      </c>
      <c r="V31" s="193">
        <v>0</v>
      </c>
      <c r="W31" s="193">
        <v>0</v>
      </c>
      <c r="X31" s="193">
        <v>0</v>
      </c>
      <c r="Y31" s="193"/>
      <c r="Z31" s="193"/>
      <c r="AA31" s="437">
        <f>+'loans_av rate'!C32+'loans_av rate'!C41</f>
        <v>25000000</v>
      </c>
      <c r="AB31" s="437">
        <f>+'loans_av rate'!E32+'loans_av rate'!E41</f>
        <v>25000000</v>
      </c>
      <c r="AC31" s="437">
        <f>+'loans_av rate'!G32+'loans_av rate'!G41</f>
        <v>0</v>
      </c>
    </row>
    <row r="32" spans="1:29" s="183" customFormat="1" ht="49.5" customHeight="1">
      <c r="A32" s="445">
        <v>4</v>
      </c>
      <c r="B32" s="450" t="s">
        <v>178</v>
      </c>
      <c r="C32" s="192">
        <f t="shared" si="21"/>
        <v>0</v>
      </c>
      <c r="D32" s="596">
        <f t="shared" si="22"/>
        <v>0</v>
      </c>
      <c r="E32" s="193">
        <v>0</v>
      </c>
      <c r="F32" s="447" t="e">
        <v>#DIV/0!</v>
      </c>
      <c r="G32" s="193">
        <v>0</v>
      </c>
      <c r="H32" s="447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2">
        <f t="shared" si="23"/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/>
      <c r="Z32" s="193"/>
      <c r="AA32" s="437">
        <f>+'loans_av rate'!C33+'loans_av rate'!C42</f>
        <v>0</v>
      </c>
      <c r="AB32" s="437">
        <f>+'loans_av rate'!E33+'loans_av rate'!E42</f>
        <v>0</v>
      </c>
      <c r="AC32" s="437">
        <f>+'loans_av rate'!G33+'loans_av rate'!G42</f>
        <v>0</v>
      </c>
    </row>
    <row r="33" spans="1:30" s="183" customFormat="1" ht="49.5" customHeight="1">
      <c r="A33" s="445">
        <v>5</v>
      </c>
      <c r="B33" s="450" t="s">
        <v>499</v>
      </c>
      <c r="C33" s="192">
        <f t="shared" si="21"/>
        <v>0</v>
      </c>
      <c r="D33" s="596">
        <f t="shared" si="22"/>
        <v>0</v>
      </c>
      <c r="E33" s="193"/>
      <c r="F33" s="447"/>
      <c r="G33" s="193"/>
      <c r="H33" s="447"/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/>
      <c r="O33" s="193"/>
      <c r="P33" s="193"/>
      <c r="Q33" s="193"/>
      <c r="R33" s="193"/>
      <c r="S33" s="192">
        <f t="shared" si="23"/>
        <v>0</v>
      </c>
      <c r="T33" s="193"/>
      <c r="U33" s="193"/>
      <c r="V33" s="193"/>
      <c r="W33" s="193"/>
      <c r="X33" s="193"/>
      <c r="Y33" s="193"/>
      <c r="Z33" s="193"/>
      <c r="AA33" s="437">
        <f>+'loans_av rate'!C34+'loans_av rate'!C43</f>
        <v>0</v>
      </c>
      <c r="AB33" s="437">
        <f>+'loans_av rate'!E34+'loans_av rate'!E43</f>
        <v>0</v>
      </c>
      <c r="AC33" s="437">
        <f>+'loans_av rate'!G34+'loans_av rate'!G43</f>
        <v>0</v>
      </c>
    </row>
    <row r="34" spans="1:30" s="183" customFormat="1" ht="49.5" customHeight="1">
      <c r="A34" s="445">
        <v>6</v>
      </c>
      <c r="B34" s="450" t="s">
        <v>526</v>
      </c>
      <c r="C34" s="192">
        <f t="shared" si="21"/>
        <v>9070375589</v>
      </c>
      <c r="D34" s="596">
        <f t="shared" si="22"/>
        <v>0.13859162151596574</v>
      </c>
      <c r="E34" s="193">
        <v>5379411496</v>
      </c>
      <c r="F34" s="447">
        <v>0.17453877217045927</v>
      </c>
      <c r="G34" s="193">
        <v>3690964093</v>
      </c>
      <c r="H34" s="447">
        <v>8.620029214866963E-2</v>
      </c>
      <c r="I34" s="193">
        <v>113869852</v>
      </c>
      <c r="J34" s="193">
        <v>4793383031</v>
      </c>
      <c r="K34" s="193">
        <v>3803919279</v>
      </c>
      <c r="L34" s="193">
        <v>359203427</v>
      </c>
      <c r="M34" s="193">
        <v>0</v>
      </c>
      <c r="N34" s="193">
        <v>5944012964</v>
      </c>
      <c r="O34" s="193">
        <v>2669695363</v>
      </c>
      <c r="P34" s="193">
        <v>13598316</v>
      </c>
      <c r="Q34" s="193">
        <v>42394548</v>
      </c>
      <c r="R34" s="193">
        <v>400674398</v>
      </c>
      <c r="S34" s="192">
        <f t="shared" si="23"/>
        <v>167546916</v>
      </c>
      <c r="T34" s="193">
        <v>0</v>
      </c>
      <c r="U34" s="193">
        <v>79775684</v>
      </c>
      <c r="V34" s="193">
        <v>226900</v>
      </c>
      <c r="W34" s="193">
        <v>1861822</v>
      </c>
      <c r="X34" s="193">
        <v>85682510</v>
      </c>
      <c r="Y34" s="193">
        <v>205694032</v>
      </c>
      <c r="Z34" s="193"/>
      <c r="AA34" s="437"/>
      <c r="AB34" s="437"/>
      <c r="AC34" s="437"/>
    </row>
    <row r="35" spans="1:30" s="183" customFormat="1" ht="49.5" customHeight="1">
      <c r="A35" s="445">
        <v>7</v>
      </c>
      <c r="B35" s="450" t="s">
        <v>527</v>
      </c>
      <c r="C35" s="192">
        <f t="shared" ref="C35" si="24">+E35+G35</f>
        <v>0</v>
      </c>
      <c r="D35" s="596">
        <f t="shared" si="22"/>
        <v>0</v>
      </c>
      <c r="E35" s="193"/>
      <c r="F35" s="447"/>
      <c r="G35" s="193"/>
      <c r="H35" s="447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2">
        <f t="shared" si="23"/>
        <v>0</v>
      </c>
      <c r="T35" s="193"/>
      <c r="U35" s="193"/>
      <c r="V35" s="193"/>
      <c r="W35" s="193"/>
      <c r="X35" s="193"/>
      <c r="Y35" s="193"/>
      <c r="Z35" s="193"/>
      <c r="AA35" s="437">
        <f>+'loans_av rate'!C35+'loans_av rate'!C44</f>
        <v>9070375589</v>
      </c>
      <c r="AB35" s="437">
        <f>+'loans_av rate'!E35+'loans_av rate'!E44</f>
        <v>5379411496</v>
      </c>
      <c r="AC35" s="437">
        <f>+'loans_av rate'!G35+'loans_av rate'!G44</f>
        <v>3690964093</v>
      </c>
    </row>
    <row r="36" spans="1:30" s="187" customFormat="1" ht="33.75" customHeight="1">
      <c r="A36" s="439"/>
      <c r="B36" s="439" t="s">
        <v>528</v>
      </c>
      <c r="C36" s="184">
        <f>SUM(C37:C42)</f>
        <v>9095375589</v>
      </c>
      <c r="D36" s="440">
        <f>IFERROR(((C37*D37)/C36)+((C38*D38)/C36)+((C39*D39)/C36)+((C40*D40)/C36)+((C41*D41)/C36)+((C42*D42)/C36),0)</f>
        <v>0.13640872021737738</v>
      </c>
      <c r="E36" s="184">
        <f>SUM(E37:E42)</f>
        <v>5404411496</v>
      </c>
      <c r="F36" s="440">
        <f>IFERROR(((E37*F37)/E36)+((E38*F38)/E36)+((E39*F39)/E36)+((E40*F40)/E36)+((E41*F41)/E36)+((E42*F42)/E36),0)</f>
        <v>0.17465655200081598</v>
      </c>
      <c r="G36" s="184">
        <f>SUM(G37:G42)</f>
        <v>3690964093</v>
      </c>
      <c r="H36" s="440">
        <f>IFERROR(((G37*H37)/G36)+((G38*H38)/G36)+((G39*H39)/G36)+((G40*H40)/G36)+((G41*H41)/G36)+((G42*H42)/G36),0)</f>
        <v>8.0405189275552541E-2</v>
      </c>
      <c r="I36" s="184">
        <f t="shared" ref="I36:Z36" si="25">SUM(I37:I42)</f>
        <v>113869852</v>
      </c>
      <c r="J36" s="184">
        <f t="shared" si="25"/>
        <v>4818383031</v>
      </c>
      <c r="K36" s="184">
        <f t="shared" si="25"/>
        <v>3803919279</v>
      </c>
      <c r="L36" s="184">
        <f t="shared" si="25"/>
        <v>359203427</v>
      </c>
      <c r="M36" s="184">
        <f t="shared" si="25"/>
        <v>0</v>
      </c>
      <c r="N36" s="184">
        <f t="shared" si="25"/>
        <v>5969012964</v>
      </c>
      <c r="O36" s="184">
        <f t="shared" si="25"/>
        <v>2669695363</v>
      </c>
      <c r="P36" s="184">
        <f t="shared" si="25"/>
        <v>13598316</v>
      </c>
      <c r="Q36" s="184">
        <f t="shared" si="25"/>
        <v>42394548</v>
      </c>
      <c r="R36" s="184">
        <f t="shared" si="25"/>
        <v>400674398</v>
      </c>
      <c r="S36" s="184">
        <f t="shared" si="25"/>
        <v>167546916</v>
      </c>
      <c r="T36" s="184">
        <f t="shared" si="25"/>
        <v>0</v>
      </c>
      <c r="U36" s="184">
        <f t="shared" si="25"/>
        <v>79775684</v>
      </c>
      <c r="V36" s="184">
        <f t="shared" si="25"/>
        <v>226900</v>
      </c>
      <c r="W36" s="184">
        <f t="shared" si="25"/>
        <v>1861822</v>
      </c>
      <c r="X36" s="184">
        <f t="shared" si="25"/>
        <v>85682510</v>
      </c>
      <c r="Y36" s="184">
        <f t="shared" si="25"/>
        <v>214008035</v>
      </c>
      <c r="Z36" s="184">
        <f t="shared" si="25"/>
        <v>0</v>
      </c>
      <c r="AA36" s="437">
        <f>+'loans_av rate'!C28+'loans_av rate'!C37</f>
        <v>9095375589</v>
      </c>
      <c r="AB36" s="437">
        <f>+'loans_av rate'!E28+'loans_av rate'!E37</f>
        <v>5404411496</v>
      </c>
      <c r="AC36" s="437">
        <f>+'loans_av rate'!G28+'loans_av rate'!G37</f>
        <v>3690964093</v>
      </c>
    </row>
    <row r="37" spans="1:30" s="183" customFormat="1" ht="49.5" customHeight="1">
      <c r="A37" s="445">
        <v>1</v>
      </c>
      <c r="B37" s="450" t="s">
        <v>529</v>
      </c>
      <c r="C37" s="192">
        <f t="shared" ref="C37:C42" si="26">+E37+G37</f>
        <v>1011244230</v>
      </c>
      <c r="D37" s="596">
        <f t="shared" ref="D37:D42" si="27">IFERROR((((E37*F37)+(G37*H37))/C37),0)</f>
        <v>0.1288218933158784</v>
      </c>
      <c r="E37" s="193">
        <v>379709265</v>
      </c>
      <c r="F37" s="447">
        <v>0.19186479256471486</v>
      </c>
      <c r="G37" s="193">
        <v>631534965</v>
      </c>
      <c r="H37" s="447">
        <v>9.0917463214775854E-2</v>
      </c>
      <c r="I37" s="193">
        <v>7728177</v>
      </c>
      <c r="J37" s="193">
        <v>520685015</v>
      </c>
      <c r="K37" s="193">
        <v>476072134</v>
      </c>
      <c r="L37" s="193">
        <v>6758904</v>
      </c>
      <c r="M37" s="193">
        <v>0</v>
      </c>
      <c r="N37" s="193">
        <v>537107975</v>
      </c>
      <c r="O37" s="193">
        <v>446841893</v>
      </c>
      <c r="P37" s="193">
        <v>0</v>
      </c>
      <c r="Q37" s="193">
        <v>277022</v>
      </c>
      <c r="R37" s="193">
        <v>27017340</v>
      </c>
      <c r="S37" s="192">
        <f t="shared" ref="S37:S42" si="28">SUM(T37:X37)</f>
        <v>22843981</v>
      </c>
      <c r="T37" s="193">
        <v>0</v>
      </c>
      <c r="U37" s="193">
        <v>11766149</v>
      </c>
      <c r="V37" s="193">
        <v>0</v>
      </c>
      <c r="W37" s="193">
        <v>0</v>
      </c>
      <c r="X37" s="193">
        <v>11077832</v>
      </c>
      <c r="Y37" s="193">
        <v>27300901</v>
      </c>
      <c r="Z37" s="193"/>
    </row>
    <row r="38" spans="1:30" s="183" customFormat="1" ht="49.5" customHeight="1">
      <c r="A38" s="445">
        <v>2</v>
      </c>
      <c r="B38" s="450" t="s">
        <v>530</v>
      </c>
      <c r="C38" s="192">
        <f t="shared" si="26"/>
        <v>659448105</v>
      </c>
      <c r="D38" s="596">
        <f t="shared" si="27"/>
        <v>0.16161812343001947</v>
      </c>
      <c r="E38" s="193">
        <v>461966792</v>
      </c>
      <c r="F38" s="447">
        <v>0.23070655093663625</v>
      </c>
      <c r="G38" s="193">
        <v>197481313</v>
      </c>
      <c r="H38" s="447">
        <v>0</v>
      </c>
      <c r="I38" s="193">
        <v>44678434</v>
      </c>
      <c r="J38" s="193">
        <v>567807146</v>
      </c>
      <c r="K38" s="193">
        <v>45369554</v>
      </c>
      <c r="L38" s="193">
        <v>1592971</v>
      </c>
      <c r="M38" s="193">
        <v>0</v>
      </c>
      <c r="N38" s="193">
        <v>366588635</v>
      </c>
      <c r="O38" s="193">
        <v>245761445</v>
      </c>
      <c r="P38" s="193">
        <v>191367</v>
      </c>
      <c r="Q38" s="193">
        <v>512755</v>
      </c>
      <c r="R38" s="193">
        <v>46393903</v>
      </c>
      <c r="S38" s="192">
        <f t="shared" si="28"/>
        <v>45372806</v>
      </c>
      <c r="T38" s="193">
        <v>0</v>
      </c>
      <c r="U38" s="193">
        <v>13485844</v>
      </c>
      <c r="V38" s="193">
        <v>650</v>
      </c>
      <c r="W38" s="193">
        <v>31519</v>
      </c>
      <c r="X38" s="193">
        <v>31854793</v>
      </c>
      <c r="Y38" s="193">
        <v>766359</v>
      </c>
      <c r="Z38" s="193"/>
    </row>
    <row r="39" spans="1:30" s="183" customFormat="1" ht="58.5" customHeight="1">
      <c r="A39" s="445">
        <v>3</v>
      </c>
      <c r="B39" s="450" t="s">
        <v>531</v>
      </c>
      <c r="C39" s="192">
        <f t="shared" si="26"/>
        <v>36050169</v>
      </c>
      <c r="D39" s="596">
        <f t="shared" si="27"/>
        <v>0.14866893620795071</v>
      </c>
      <c r="E39" s="193">
        <v>29436588</v>
      </c>
      <c r="F39" s="447">
        <v>0.16869935794470009</v>
      </c>
      <c r="G39" s="193">
        <v>6613581</v>
      </c>
      <c r="H39" s="447">
        <v>5.9514925373134325E-2</v>
      </c>
      <c r="I39" s="193">
        <v>0</v>
      </c>
      <c r="J39" s="193">
        <v>17643225</v>
      </c>
      <c r="K39" s="193">
        <v>18406944</v>
      </c>
      <c r="L39" s="193">
        <v>0</v>
      </c>
      <c r="M39" s="193">
        <v>0</v>
      </c>
      <c r="N39" s="193">
        <v>35680494</v>
      </c>
      <c r="O39" s="193">
        <v>369675</v>
      </c>
      <c r="P39" s="193">
        <v>0</v>
      </c>
      <c r="Q39" s="193">
        <v>0</v>
      </c>
      <c r="R39" s="193">
        <v>0</v>
      </c>
      <c r="S39" s="192">
        <f t="shared" si="28"/>
        <v>281</v>
      </c>
      <c r="T39" s="193">
        <v>0</v>
      </c>
      <c r="U39" s="193">
        <v>281</v>
      </c>
      <c r="V39" s="193">
        <v>0</v>
      </c>
      <c r="W39" s="193">
        <v>0</v>
      </c>
      <c r="X39" s="193">
        <v>0</v>
      </c>
      <c r="Y39" s="193">
        <v>8314003</v>
      </c>
      <c r="Z39" s="193"/>
    </row>
    <row r="40" spans="1:30" s="183" customFormat="1" ht="49.5" customHeight="1">
      <c r="A40" s="445">
        <v>4</v>
      </c>
      <c r="B40" s="450" t="s">
        <v>532</v>
      </c>
      <c r="C40" s="192">
        <f t="shared" si="26"/>
        <v>0</v>
      </c>
      <c r="D40" s="596">
        <f t="shared" si="27"/>
        <v>0</v>
      </c>
      <c r="E40" s="193">
        <v>0</v>
      </c>
      <c r="F40" s="447">
        <v>0</v>
      </c>
      <c r="G40" s="193">
        <v>0</v>
      </c>
      <c r="H40" s="447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2">
        <f t="shared" si="28"/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3573569</v>
      </c>
      <c r="Z40" s="193"/>
    </row>
    <row r="41" spans="1:30" s="183" customFormat="1" ht="49.5" customHeight="1">
      <c r="A41" s="445">
        <v>5</v>
      </c>
      <c r="B41" s="450" t="s">
        <v>533</v>
      </c>
      <c r="C41" s="192">
        <f t="shared" si="26"/>
        <v>1215300240</v>
      </c>
      <c r="D41" s="596">
        <f t="shared" si="27"/>
        <v>0.14546885858822933</v>
      </c>
      <c r="E41" s="193">
        <v>1215300240</v>
      </c>
      <c r="F41" s="447">
        <v>0.14546885858822933</v>
      </c>
      <c r="G41" s="193">
        <v>0</v>
      </c>
      <c r="H41" s="447">
        <v>0</v>
      </c>
      <c r="I41" s="193">
        <v>25683662</v>
      </c>
      <c r="J41" s="193">
        <v>563661668</v>
      </c>
      <c r="K41" s="193">
        <v>625954910</v>
      </c>
      <c r="L41" s="193">
        <v>0</v>
      </c>
      <c r="M41" s="193">
        <v>0</v>
      </c>
      <c r="N41" s="193">
        <v>786137162</v>
      </c>
      <c r="O41" s="193">
        <v>343757995</v>
      </c>
      <c r="P41" s="193">
        <v>11137229</v>
      </c>
      <c r="Q41" s="193">
        <v>31768668</v>
      </c>
      <c r="R41" s="193">
        <v>42499186</v>
      </c>
      <c r="S41" s="192">
        <f t="shared" si="28"/>
        <v>18280789</v>
      </c>
      <c r="T41" s="193">
        <v>0</v>
      </c>
      <c r="U41" s="193">
        <v>15449091</v>
      </c>
      <c r="V41" s="193">
        <v>102347</v>
      </c>
      <c r="W41" s="193">
        <v>1590562</v>
      </c>
      <c r="X41" s="193">
        <v>1138789</v>
      </c>
      <c r="Y41" s="193">
        <v>39257697</v>
      </c>
      <c r="Z41" s="193"/>
    </row>
    <row r="42" spans="1:30" s="183" customFormat="1" ht="49.5" customHeight="1">
      <c r="A42" s="445">
        <v>6</v>
      </c>
      <c r="B42" s="450" t="s">
        <v>534</v>
      </c>
      <c r="C42" s="192">
        <f t="shared" si="26"/>
        <v>6173332845</v>
      </c>
      <c r="D42" s="596">
        <f t="shared" si="27"/>
        <v>0.13310338581278569</v>
      </c>
      <c r="E42" s="193">
        <v>3317998611</v>
      </c>
      <c r="F42" s="447">
        <v>0.17562695737992284</v>
      </c>
      <c r="G42" s="193">
        <v>2855334234</v>
      </c>
      <c r="H42" s="447">
        <v>8.3689502942455418E-2</v>
      </c>
      <c r="I42" s="193">
        <v>35779579</v>
      </c>
      <c r="J42" s="193">
        <v>3148585977</v>
      </c>
      <c r="K42" s="193">
        <v>2638115737</v>
      </c>
      <c r="L42" s="193">
        <v>350851552</v>
      </c>
      <c r="M42" s="193">
        <v>0</v>
      </c>
      <c r="N42" s="193">
        <v>4243498698</v>
      </c>
      <c r="O42" s="193">
        <v>1632964355</v>
      </c>
      <c r="P42" s="193">
        <v>2269720</v>
      </c>
      <c r="Q42" s="193">
        <v>9836103</v>
      </c>
      <c r="R42" s="193">
        <v>284763969</v>
      </c>
      <c r="S42" s="192">
        <f t="shared" si="28"/>
        <v>81049059</v>
      </c>
      <c r="T42" s="193">
        <v>0</v>
      </c>
      <c r="U42" s="193">
        <v>39074319</v>
      </c>
      <c r="V42" s="193">
        <v>123903</v>
      </c>
      <c r="W42" s="193">
        <v>239741</v>
      </c>
      <c r="X42" s="193">
        <v>41611096</v>
      </c>
      <c r="Y42" s="193">
        <v>134795506</v>
      </c>
      <c r="Z42" s="193"/>
    </row>
    <row r="43" spans="1:30" s="183" customFormat="1" ht="37.5" customHeight="1">
      <c r="A43" s="451"/>
      <c r="B43" s="452"/>
      <c r="C43" s="188"/>
      <c r="D43" s="453"/>
      <c r="E43" s="188"/>
      <c r="F43" s="188"/>
      <c r="G43" s="188"/>
      <c r="H43" s="188"/>
      <c r="I43" s="452"/>
      <c r="J43" s="452"/>
      <c r="K43" s="452"/>
      <c r="L43" s="452"/>
      <c r="M43" s="452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Y43" s="453"/>
      <c r="Z43" s="453"/>
    </row>
    <row r="44" spans="1:30" s="258" customFormat="1" ht="21" customHeight="1">
      <c r="A44" s="34"/>
      <c r="B44" s="555" t="s">
        <v>778</v>
      </c>
      <c r="C44" s="34"/>
      <c r="D44" s="34"/>
      <c r="E44" s="34"/>
      <c r="F44" s="338"/>
      <c r="G44" s="338"/>
      <c r="H44" s="338"/>
      <c r="I44" s="338"/>
      <c r="J44" s="338"/>
      <c r="K44" s="338"/>
      <c r="L44" s="338"/>
      <c r="M44" s="338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</row>
    <row r="45" spans="1:30" s="258" customFormat="1" ht="21" customHeight="1">
      <c r="A45" s="34"/>
      <c r="B45" s="555"/>
      <c r="C45" s="34"/>
      <c r="D45" s="34"/>
      <c r="E45" s="34"/>
      <c r="F45" s="338"/>
      <c r="G45" s="338"/>
      <c r="H45" s="338"/>
      <c r="I45" s="338"/>
      <c r="J45" s="338"/>
      <c r="K45" s="338"/>
      <c r="L45" s="338"/>
      <c r="M45" s="338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</row>
    <row r="46" spans="1:30" s="258" customFormat="1" ht="21" customHeight="1">
      <c r="A46" s="34"/>
      <c r="B46" s="555" t="s">
        <v>779</v>
      </c>
      <c r="C46" s="34"/>
      <c r="D46" s="34"/>
      <c r="E46" s="34"/>
      <c r="F46" s="338"/>
      <c r="G46" s="338"/>
      <c r="H46" s="338"/>
      <c r="I46" s="338"/>
      <c r="J46" s="338"/>
      <c r="K46" s="338"/>
      <c r="L46" s="338"/>
      <c r="M46" s="338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</row>
    <row r="47" spans="1:30" s="78" customFormat="1" ht="15.75">
      <c r="A47" s="90"/>
    </row>
    <row r="48" spans="1:30" s="174" customFormat="1" ht="15.75">
      <c r="A48" s="195"/>
      <c r="B48" s="196"/>
      <c r="J48" s="195"/>
    </row>
    <row r="49" spans="1:10" s="174" customFormat="1" ht="15.75">
      <c r="A49" s="195"/>
      <c r="B49" s="196"/>
      <c r="J49" s="195"/>
    </row>
    <row r="50" spans="1:10" s="174" customFormat="1" ht="15.75">
      <c r="A50" s="195"/>
      <c r="B50" s="196"/>
      <c r="J50" s="195"/>
    </row>
    <row r="51" spans="1:10" s="190" customFormat="1" ht="15.75">
      <c r="A51" s="189"/>
    </row>
  </sheetData>
  <sheetProtection password="CAFC" sheet="1" objects="1" scenarios="1"/>
  <mergeCells count="17"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</mergeCells>
  <conditionalFormatting sqref="C12">
    <cfRule type="cellIs" dxfId="202" priority="419" operator="notEqual">
      <formula>N12+O12+P12+Q12+R12</formula>
    </cfRule>
    <cfRule type="cellIs" dxfId="201" priority="420" operator="notEqual">
      <formula>I12+J12+K12+L12+M12</formula>
    </cfRule>
  </conditionalFormatting>
  <conditionalFormatting sqref="C13">
    <cfRule type="cellIs" dxfId="200" priority="417" operator="notEqual">
      <formula>N13+O13+P13+Q13+R13</formula>
    </cfRule>
    <cfRule type="cellIs" dxfId="199" priority="418" operator="notEqual">
      <formula>I13+J13+K13+L13+M13</formula>
    </cfRule>
  </conditionalFormatting>
  <conditionalFormatting sqref="C15">
    <cfRule type="cellIs" dxfId="198" priority="413" operator="notEqual">
      <formula>N15+O15+P15+Q15+R15</formula>
    </cfRule>
    <cfRule type="cellIs" dxfId="197" priority="414" operator="notEqual">
      <formula>I15+J15+K15+L15+M15</formula>
    </cfRule>
  </conditionalFormatting>
  <conditionalFormatting sqref="C17">
    <cfRule type="cellIs" dxfId="196" priority="411" operator="notEqual">
      <formula>N17+O17+P17+Q17+R17</formula>
    </cfRule>
    <cfRule type="cellIs" dxfId="195" priority="412" operator="notEqual">
      <formula>I17+J17+K17+L17+M17</formula>
    </cfRule>
  </conditionalFormatting>
  <conditionalFormatting sqref="C18">
    <cfRule type="cellIs" dxfId="194" priority="409" operator="notEqual">
      <formula>N18+O18+P18+Q18+R18</formula>
    </cfRule>
    <cfRule type="cellIs" dxfId="193" priority="410" operator="notEqual">
      <formula>I18+J18+K18+L18+M18</formula>
    </cfRule>
  </conditionalFormatting>
  <conditionalFormatting sqref="C19">
    <cfRule type="cellIs" dxfId="192" priority="407" operator="notEqual">
      <formula>N19+O19+P19+Q19+R19</formula>
    </cfRule>
    <cfRule type="cellIs" dxfId="191" priority="408" operator="notEqual">
      <formula>I19+J19+K19+L19+M19</formula>
    </cfRule>
  </conditionalFormatting>
  <conditionalFormatting sqref="C20">
    <cfRule type="cellIs" dxfId="190" priority="405" operator="notEqual">
      <formula>N20+O20+P20+Q20+R20</formula>
    </cfRule>
    <cfRule type="cellIs" dxfId="189" priority="406" operator="notEqual">
      <formula>I20+J20+K20+L20+M20</formula>
    </cfRule>
  </conditionalFormatting>
  <conditionalFormatting sqref="C37">
    <cfRule type="cellIs" dxfId="188" priority="383" operator="notEqual">
      <formula>N37+O37+P37+Q37+R37</formula>
    </cfRule>
    <cfRule type="cellIs" dxfId="187" priority="384" operator="notEqual">
      <formula>I37+J37+K37+L37+M37</formula>
    </cfRule>
  </conditionalFormatting>
  <conditionalFormatting sqref="C38">
    <cfRule type="cellIs" dxfId="186" priority="381" operator="notEqual">
      <formula>N38+O38+P38+Q38+R38</formula>
    </cfRule>
    <cfRule type="cellIs" dxfId="185" priority="382" operator="notEqual">
      <formula>I38+J38+K38+L38+M38</formula>
    </cfRule>
  </conditionalFormatting>
  <conditionalFormatting sqref="C39">
    <cfRule type="cellIs" dxfId="184" priority="379" operator="notEqual">
      <formula>N39+O39+P39+Q39+R39</formula>
    </cfRule>
    <cfRule type="cellIs" dxfId="183" priority="380" operator="notEqual">
      <formula>I39+J39+K39+L39+M39</formula>
    </cfRule>
  </conditionalFormatting>
  <conditionalFormatting sqref="C41">
    <cfRule type="cellIs" dxfId="182" priority="375" operator="notEqual">
      <formula>N41+O41+P41+Q41+R41</formula>
    </cfRule>
    <cfRule type="cellIs" dxfId="181" priority="376" operator="notEqual">
      <formula>I41+J41+K41+L41+M41</formula>
    </cfRule>
  </conditionalFormatting>
  <conditionalFormatting sqref="C42">
    <cfRule type="cellIs" dxfId="180" priority="373" operator="notEqual">
      <formula>N42+O42+P42+Q42+R42</formula>
    </cfRule>
    <cfRule type="cellIs" dxfId="179" priority="374" operator="notEqual">
      <formula>I42+J42+K42+L42+M42</formula>
    </cfRule>
  </conditionalFormatting>
  <conditionalFormatting sqref="T8">
    <cfRule type="cellIs" dxfId="178" priority="372" operator="notEqual">
      <formula>$AD$10</formula>
    </cfRule>
  </conditionalFormatting>
  <conditionalFormatting sqref="U8">
    <cfRule type="cellIs" dxfId="177" priority="371" operator="notEqual">
      <formula>$AE$10</formula>
    </cfRule>
  </conditionalFormatting>
  <conditionalFormatting sqref="V8">
    <cfRule type="cellIs" dxfId="176" priority="370" operator="notEqual">
      <formula>$AF$10</formula>
    </cfRule>
  </conditionalFormatting>
  <conditionalFormatting sqref="W8">
    <cfRule type="cellIs" dxfId="175" priority="369" operator="notEqual">
      <formula>$AG$10</formula>
    </cfRule>
  </conditionalFormatting>
  <conditionalFormatting sqref="X8">
    <cfRule type="cellIs" dxfId="174" priority="368" operator="notEqual">
      <formula>$AH$10</formula>
    </cfRule>
  </conditionalFormatting>
  <conditionalFormatting sqref="E36">
    <cfRule type="cellIs" dxfId="173" priority="93" operator="notEqual">
      <formula>E27</formula>
    </cfRule>
    <cfRule type="cellIs" dxfId="172" priority="361" operator="notEqual">
      <formula>$AB$36</formula>
    </cfRule>
  </conditionalFormatting>
  <conditionalFormatting sqref="G36">
    <cfRule type="cellIs" dxfId="171" priority="92" operator="notEqual">
      <formula>G27</formula>
    </cfRule>
    <cfRule type="cellIs" dxfId="170" priority="360" operator="notEqual">
      <formula>$AC$36</formula>
    </cfRule>
  </conditionalFormatting>
  <conditionalFormatting sqref="C14">
    <cfRule type="cellIs" dxfId="169" priority="309" operator="notEqual">
      <formula>N14+O14+P14+Q14+R14</formula>
    </cfRule>
    <cfRule type="cellIs" dxfId="168" priority="310" operator="notEqual">
      <formula>I14+J14+K14+L14+M14</formula>
    </cfRule>
  </conditionalFormatting>
  <conditionalFormatting sqref="C11 C16">
    <cfRule type="cellIs" dxfId="167" priority="829" operator="notEqual">
      <formula>AA11</formula>
    </cfRule>
    <cfRule type="cellIs" dxfId="166" priority="830" operator="notEqual">
      <formula>N11+O11+P11+Q11+R11</formula>
    </cfRule>
    <cfRule type="cellIs" dxfId="165" priority="831" operator="notEqual">
      <formula>I11+J11+K11+L11+M11</formula>
    </cfRule>
  </conditionalFormatting>
  <conditionalFormatting sqref="N8">
    <cfRule type="cellIs" dxfId="164" priority="832" operator="notEqual">
      <formula>AD8</formula>
    </cfRule>
  </conditionalFormatting>
  <conditionalFormatting sqref="O8">
    <cfRule type="cellIs" dxfId="163" priority="833" operator="notEqual">
      <formula>$AE$8</formula>
    </cfRule>
  </conditionalFormatting>
  <conditionalFormatting sqref="P8">
    <cfRule type="cellIs" dxfId="162" priority="834" operator="notEqual">
      <formula>$AF$8</formula>
    </cfRule>
  </conditionalFormatting>
  <conditionalFormatting sqref="Q8">
    <cfRule type="cellIs" dxfId="161" priority="835" operator="notEqual">
      <formula>$AG$8</formula>
    </cfRule>
  </conditionalFormatting>
  <conditionalFormatting sqref="R8">
    <cfRule type="cellIs" dxfId="160" priority="836" operator="notEqual">
      <formula>$AH$8</formula>
    </cfRule>
  </conditionalFormatting>
  <conditionalFormatting sqref="N9">
    <cfRule type="cellIs" dxfId="159" priority="235" operator="notEqual">
      <formula>$AD$13</formula>
    </cfRule>
  </conditionalFormatting>
  <conditionalFormatting sqref="O9">
    <cfRule type="cellIs" dxfId="158" priority="234" operator="notEqual">
      <formula>$AE$13</formula>
    </cfRule>
  </conditionalFormatting>
  <conditionalFormatting sqref="P9">
    <cfRule type="cellIs" dxfId="157" priority="233" operator="notEqual">
      <formula>$AF$13</formula>
    </cfRule>
  </conditionalFormatting>
  <conditionalFormatting sqref="Q9">
    <cfRule type="cellIs" dxfId="156" priority="232" operator="notEqual">
      <formula>$AG$13</formula>
    </cfRule>
  </conditionalFormatting>
  <conditionalFormatting sqref="R9">
    <cfRule type="cellIs" dxfId="155" priority="231" operator="notEqual">
      <formula>$AH$13</formula>
    </cfRule>
  </conditionalFormatting>
  <conditionalFormatting sqref="T9">
    <cfRule type="cellIs" dxfId="154" priority="230" operator="notEqual">
      <formula>$AD$15</formula>
    </cfRule>
  </conditionalFormatting>
  <conditionalFormatting sqref="U9">
    <cfRule type="cellIs" dxfId="153" priority="229" operator="notEqual">
      <formula>$AE$15</formula>
    </cfRule>
  </conditionalFormatting>
  <conditionalFormatting sqref="V9">
    <cfRule type="cellIs" dxfId="152" priority="228" operator="notEqual">
      <formula>$AF$15</formula>
    </cfRule>
  </conditionalFormatting>
  <conditionalFormatting sqref="W9">
    <cfRule type="cellIs" dxfId="151" priority="227" operator="notEqual">
      <formula>$AG$15</formula>
    </cfRule>
  </conditionalFormatting>
  <conditionalFormatting sqref="X9">
    <cfRule type="cellIs" dxfId="150" priority="226" operator="notEqual">
      <formula>$AH$15</formula>
    </cfRule>
  </conditionalFormatting>
  <conditionalFormatting sqref="C21">
    <cfRule type="cellIs" dxfId="149" priority="200" operator="notEqual">
      <formula>AA21</formula>
    </cfRule>
    <cfRule type="cellIs" dxfId="148" priority="201" operator="notEqual">
      <formula>N21+O21+P21+Q21+R21</formula>
    </cfRule>
    <cfRule type="cellIs" dxfId="147" priority="202" operator="notEqual">
      <formula>I21+J21+K21+L21+M21</formula>
    </cfRule>
  </conditionalFormatting>
  <conditionalFormatting sqref="C22">
    <cfRule type="cellIs" dxfId="146" priority="195" operator="notEqual">
      <formula>AA22</formula>
    </cfRule>
    <cfRule type="cellIs" dxfId="145" priority="196" operator="notEqual">
      <formula>N22+O22+P22+Q22+R22</formula>
    </cfRule>
    <cfRule type="cellIs" dxfId="144" priority="197" operator="notEqual">
      <formula>I22+J22+K22+L22+M22</formula>
    </cfRule>
  </conditionalFormatting>
  <conditionalFormatting sqref="C23">
    <cfRule type="cellIs" dxfId="143" priority="192" operator="notEqual">
      <formula>AA23</formula>
    </cfRule>
    <cfRule type="cellIs" dxfId="142" priority="193" operator="notEqual">
      <formula>N23+O23+P23+Q23+R23</formula>
    </cfRule>
    <cfRule type="cellIs" dxfId="141" priority="194" operator="notEqual">
      <formula>I23+J23+K23+L23+M23</formula>
    </cfRule>
  </conditionalFormatting>
  <conditionalFormatting sqref="C8">
    <cfRule type="cellIs" dxfId="140" priority="189" operator="notEqual">
      <formula>AA8</formula>
    </cfRule>
    <cfRule type="cellIs" dxfId="139" priority="190" operator="notEqual">
      <formula>N8+O8+P8+Q8+R8</formula>
    </cfRule>
    <cfRule type="cellIs" dxfId="138" priority="191" operator="notEqual">
      <formula>I8+J8+K8+L8+M8</formula>
    </cfRule>
  </conditionalFormatting>
  <conditionalFormatting sqref="C9">
    <cfRule type="cellIs" dxfId="137" priority="186" operator="notEqual">
      <formula>AA9</formula>
    </cfRule>
    <cfRule type="cellIs" dxfId="136" priority="187" operator="notEqual">
      <formula>N9+O9+P9+Q9+R9</formula>
    </cfRule>
    <cfRule type="cellIs" dxfId="135" priority="188" operator="notEqual">
      <formula>I9+J9+K9+L9+M9</formula>
    </cfRule>
  </conditionalFormatting>
  <conditionalFormatting sqref="E8">
    <cfRule type="cellIs" dxfId="134" priority="185" operator="notEqual">
      <formula>$AB$8</formula>
    </cfRule>
  </conditionalFormatting>
  <conditionalFormatting sqref="G8">
    <cfRule type="cellIs" dxfId="133" priority="184" operator="notEqual">
      <formula>$AC$8</formula>
    </cfRule>
  </conditionalFormatting>
  <conditionalFormatting sqref="E9">
    <cfRule type="cellIs" dxfId="132" priority="183" operator="notEqual">
      <formula>$AB$9</formula>
    </cfRule>
  </conditionalFormatting>
  <conditionalFormatting sqref="G9">
    <cfRule type="cellIs" dxfId="131" priority="182" operator="notEqual">
      <formula>$AC$9</formula>
    </cfRule>
  </conditionalFormatting>
  <conditionalFormatting sqref="E11">
    <cfRule type="cellIs" dxfId="130" priority="181" operator="notEqual">
      <formula>$AB$11</formula>
    </cfRule>
  </conditionalFormatting>
  <conditionalFormatting sqref="G11">
    <cfRule type="cellIs" dxfId="129" priority="180" operator="notEqual">
      <formula>$AC$11</formula>
    </cfRule>
  </conditionalFormatting>
  <conditionalFormatting sqref="E16">
    <cfRule type="cellIs" dxfId="128" priority="179" operator="notEqual">
      <formula>$AB$16</formula>
    </cfRule>
  </conditionalFormatting>
  <conditionalFormatting sqref="G16">
    <cfRule type="cellIs" dxfId="127" priority="178" operator="notEqual">
      <formula>$AC$16</formula>
    </cfRule>
  </conditionalFormatting>
  <conditionalFormatting sqref="C27">
    <cfRule type="cellIs" dxfId="126" priority="80" operator="notEqual">
      <formula>C36</formula>
    </cfRule>
    <cfRule type="cellIs" dxfId="125" priority="172" operator="notEqual">
      <formula>AA27</formula>
    </cfRule>
    <cfRule type="cellIs" dxfId="124" priority="173" operator="notEqual">
      <formula>N27+O27+P27+Q27+R27</formula>
    </cfRule>
    <cfRule type="cellIs" dxfId="123" priority="174" operator="notEqual">
      <formula>I27+J27+K27+L27+M27</formula>
    </cfRule>
  </conditionalFormatting>
  <conditionalFormatting sqref="E27">
    <cfRule type="cellIs" dxfId="122" priority="79" operator="notEqual">
      <formula>E36</formula>
    </cfRule>
    <cfRule type="cellIs" dxfId="121" priority="171" operator="notEqual">
      <formula>AB27</formula>
    </cfRule>
  </conditionalFormatting>
  <conditionalFormatting sqref="G27">
    <cfRule type="cellIs" dxfId="120" priority="78" operator="notEqual">
      <formula>$G$36</formula>
    </cfRule>
    <cfRule type="cellIs" dxfId="119" priority="170" operator="notEqual">
      <formula>$AC$27</formula>
    </cfRule>
  </conditionalFormatting>
  <conditionalFormatting sqref="C28">
    <cfRule type="cellIs" dxfId="118" priority="167" operator="notEqual">
      <formula>AA28</formula>
    </cfRule>
    <cfRule type="cellIs" dxfId="117" priority="168" operator="notEqual">
      <formula>N28+O28+P28+Q28+R28</formula>
    </cfRule>
    <cfRule type="cellIs" dxfId="116" priority="169" operator="notEqual">
      <formula>I28+J28+K28+L28+M28</formula>
    </cfRule>
  </conditionalFormatting>
  <conditionalFormatting sqref="E28">
    <cfRule type="cellIs" dxfId="115" priority="166" operator="notEqual">
      <formula>AB28</formula>
    </cfRule>
  </conditionalFormatting>
  <conditionalFormatting sqref="G28">
    <cfRule type="cellIs" dxfId="114" priority="165" operator="notEqual">
      <formula>$AC$28</formula>
    </cfRule>
  </conditionalFormatting>
  <conditionalFormatting sqref="C29">
    <cfRule type="cellIs" dxfId="113" priority="162" operator="notEqual">
      <formula>AA29</formula>
    </cfRule>
    <cfRule type="cellIs" dxfId="112" priority="163" operator="notEqual">
      <formula>N29+O29+P29+Q29+R29</formula>
    </cfRule>
    <cfRule type="cellIs" dxfId="111" priority="164" operator="notEqual">
      <formula>I29+J29+K29+L29+M29</formula>
    </cfRule>
  </conditionalFormatting>
  <conditionalFormatting sqref="C31">
    <cfRule type="cellIs" dxfId="110" priority="152" operator="notEqual">
      <formula>AA31</formula>
    </cfRule>
    <cfRule type="cellIs" dxfId="109" priority="153" operator="notEqual">
      <formula>N31+O31+P31+Q31+R31</formula>
    </cfRule>
    <cfRule type="cellIs" dxfId="108" priority="154" operator="notEqual">
      <formula>I31+J31+K31+L31+M31</formula>
    </cfRule>
  </conditionalFormatting>
  <conditionalFormatting sqref="C40">
    <cfRule type="cellIs" dxfId="107" priority="138" operator="notEqual">
      <formula>N40+O40+P40+Q40+R40</formula>
    </cfRule>
    <cfRule type="cellIs" dxfId="106" priority="139" operator="notEqual">
      <formula>I40+J40+K40+L40+M40</formula>
    </cfRule>
  </conditionalFormatting>
  <conditionalFormatting sqref="C32">
    <cfRule type="cellIs" dxfId="105" priority="128" operator="notEqual">
      <formula>AA32</formula>
    </cfRule>
    <cfRule type="cellIs" dxfId="104" priority="129" operator="notEqual">
      <formula>N32+O32+P32+Q32+R32</formula>
    </cfRule>
    <cfRule type="cellIs" dxfId="103" priority="130" operator="notEqual">
      <formula>I32+J32+K32+L32+M32</formula>
    </cfRule>
  </conditionalFormatting>
  <conditionalFormatting sqref="C33">
    <cfRule type="cellIs" dxfId="102" priority="125" operator="notEqual">
      <formula>AA33</formula>
    </cfRule>
    <cfRule type="cellIs" dxfId="101" priority="126" operator="notEqual">
      <formula>N33+O33+P33+Q33+R33</formula>
    </cfRule>
    <cfRule type="cellIs" dxfId="100" priority="127" operator="notEqual">
      <formula>I33+J33+K33+L33+M33</formula>
    </cfRule>
  </conditionalFormatting>
  <conditionalFormatting sqref="C30">
    <cfRule type="cellIs" dxfId="99" priority="122" operator="notEqual">
      <formula>AA30</formula>
    </cfRule>
    <cfRule type="cellIs" dxfId="98" priority="123" operator="notEqual">
      <formula>N30+O30+P30+Q30+R30</formula>
    </cfRule>
    <cfRule type="cellIs" dxfId="97" priority="124" operator="notEqual">
      <formula>I30+J30+K30+L30+M30</formula>
    </cfRule>
  </conditionalFormatting>
  <conditionalFormatting sqref="C35">
    <cfRule type="cellIs" dxfId="96" priority="120" operator="notEqual">
      <formula>N35+O35+P35+Q35+R35</formula>
    </cfRule>
    <cfRule type="cellIs" dxfId="95" priority="121" operator="notEqual">
      <formula>I35+J35+K35+L35+M35</formula>
    </cfRule>
  </conditionalFormatting>
  <conditionalFormatting sqref="C24">
    <cfRule type="cellIs" dxfId="94" priority="116" operator="notEqual">
      <formula>AA24</formula>
    </cfRule>
    <cfRule type="cellIs" dxfId="93" priority="117" operator="notEqual">
      <formula>N24+O24+P24+Q24+R24</formula>
    </cfRule>
    <cfRule type="cellIs" dxfId="92" priority="118" operator="notEqual">
      <formula>I24+J24+K24+L24+M24</formula>
    </cfRule>
  </conditionalFormatting>
  <conditionalFormatting sqref="C25">
    <cfRule type="cellIs" dxfId="91" priority="106" operator="notEqual">
      <formula>AA25</formula>
    </cfRule>
    <cfRule type="cellIs" dxfId="90" priority="107" operator="notEqual">
      <formula>N25+O25+P25+Q25+R25</formula>
    </cfRule>
    <cfRule type="cellIs" dxfId="89" priority="108" operator="notEqual">
      <formula>I25+J25+K25+L25+M25</formula>
    </cfRule>
  </conditionalFormatting>
  <conditionalFormatting sqref="C36">
    <cfRule type="cellIs" dxfId="88" priority="94" operator="notEqual">
      <formula>C27</formula>
    </cfRule>
    <cfRule type="cellIs" dxfId="87" priority="95" operator="notEqual">
      <formula>AA36</formula>
    </cfRule>
    <cfRule type="cellIs" dxfId="86" priority="96" operator="notEqual">
      <formula>N36+O36+P36+Q36+R36</formula>
    </cfRule>
    <cfRule type="cellIs" dxfId="85" priority="97" operator="notEqual">
      <formula>I36+J36+K36+L36+M36</formula>
    </cfRule>
  </conditionalFormatting>
  <conditionalFormatting sqref="I27">
    <cfRule type="cellIs" dxfId="84" priority="75" operator="notEqual">
      <formula>I36</formula>
    </cfRule>
    <cfRule type="cellIs" dxfId="83" priority="77" operator="notEqual">
      <formula>I28</formula>
    </cfRule>
  </conditionalFormatting>
  <conditionalFormatting sqref="I28">
    <cfRule type="cellIs" dxfId="82" priority="76" operator="notEqual">
      <formula>I27</formula>
    </cfRule>
  </conditionalFormatting>
  <conditionalFormatting sqref="J27">
    <cfRule type="cellIs" dxfId="81" priority="72" operator="notEqual">
      <formula>J36</formula>
    </cfRule>
    <cfRule type="cellIs" dxfId="80" priority="74" operator="notEqual">
      <formula>J28</formula>
    </cfRule>
  </conditionalFormatting>
  <conditionalFormatting sqref="J28">
    <cfRule type="cellIs" dxfId="79" priority="73" operator="notEqual">
      <formula>J27</formula>
    </cfRule>
  </conditionalFormatting>
  <conditionalFormatting sqref="K27">
    <cfRule type="cellIs" dxfId="78" priority="69" operator="notEqual">
      <formula>K36</formula>
    </cfRule>
    <cfRule type="cellIs" dxfId="77" priority="71" operator="notEqual">
      <formula>K28</formula>
    </cfRule>
  </conditionalFormatting>
  <conditionalFormatting sqref="K28">
    <cfRule type="cellIs" dxfId="76" priority="70" operator="notEqual">
      <formula>K27</formula>
    </cfRule>
  </conditionalFormatting>
  <conditionalFormatting sqref="L27">
    <cfRule type="cellIs" dxfId="75" priority="66" operator="notEqual">
      <formula>L36</formula>
    </cfRule>
    <cfRule type="cellIs" dxfId="74" priority="68" operator="notEqual">
      <formula>L28</formula>
    </cfRule>
  </conditionalFormatting>
  <conditionalFormatting sqref="L28">
    <cfRule type="cellIs" dxfId="73" priority="67" operator="notEqual">
      <formula>L27</formula>
    </cfRule>
  </conditionalFormatting>
  <conditionalFormatting sqref="M27">
    <cfRule type="cellIs" dxfId="72" priority="63" operator="notEqual">
      <formula>M36</formula>
    </cfRule>
    <cfRule type="cellIs" dxfId="71" priority="65" operator="notEqual">
      <formula>M28</formula>
    </cfRule>
  </conditionalFormatting>
  <conditionalFormatting sqref="M28">
    <cfRule type="cellIs" dxfId="70" priority="64" operator="notEqual">
      <formula>M27</formula>
    </cfRule>
  </conditionalFormatting>
  <conditionalFormatting sqref="N27">
    <cfRule type="cellIs" dxfId="69" priority="60" operator="notEqual">
      <formula>N36</formula>
    </cfRule>
    <cfRule type="cellIs" dxfId="68" priority="62" operator="notEqual">
      <formula>N28</formula>
    </cfRule>
  </conditionalFormatting>
  <conditionalFormatting sqref="N28">
    <cfRule type="cellIs" dxfId="67" priority="61" operator="notEqual">
      <formula>N27</formula>
    </cfRule>
  </conditionalFormatting>
  <conditionalFormatting sqref="O27">
    <cfRule type="cellIs" dxfId="66" priority="57" operator="notEqual">
      <formula>O36</formula>
    </cfRule>
    <cfRule type="cellIs" dxfId="65" priority="59" operator="notEqual">
      <formula>O28</formula>
    </cfRule>
  </conditionalFormatting>
  <conditionalFormatting sqref="O28">
    <cfRule type="cellIs" dxfId="64" priority="58" operator="notEqual">
      <formula>O27</formula>
    </cfRule>
  </conditionalFormatting>
  <conditionalFormatting sqref="P27">
    <cfRule type="cellIs" dxfId="63" priority="54" operator="notEqual">
      <formula>P36</formula>
    </cfRule>
    <cfRule type="cellIs" dxfId="62" priority="56" operator="notEqual">
      <formula>P28</formula>
    </cfRule>
  </conditionalFormatting>
  <conditionalFormatting sqref="P28">
    <cfRule type="cellIs" dxfId="61" priority="55" operator="notEqual">
      <formula>P27</formula>
    </cfRule>
  </conditionalFormatting>
  <conditionalFormatting sqref="Q27">
    <cfRule type="cellIs" dxfId="60" priority="51" operator="notEqual">
      <formula>Q36</formula>
    </cfRule>
    <cfRule type="cellIs" dxfId="59" priority="53" operator="notEqual">
      <formula>Q28</formula>
    </cfRule>
  </conditionalFormatting>
  <conditionalFormatting sqref="Q28">
    <cfRule type="cellIs" dxfId="58" priority="52" operator="notEqual">
      <formula>Q27</formula>
    </cfRule>
  </conditionalFormatting>
  <conditionalFormatting sqref="R27">
    <cfRule type="cellIs" dxfId="57" priority="48" operator="notEqual">
      <formula>R36</formula>
    </cfRule>
    <cfRule type="cellIs" dxfId="56" priority="50" operator="notEqual">
      <formula>R28</formula>
    </cfRule>
  </conditionalFormatting>
  <conditionalFormatting sqref="R28">
    <cfRule type="cellIs" dxfId="55" priority="49" operator="notEqual">
      <formula>R27</formula>
    </cfRule>
  </conditionalFormatting>
  <conditionalFormatting sqref="S27">
    <cfRule type="cellIs" dxfId="54" priority="45" operator="notEqual">
      <formula>S36</formula>
    </cfRule>
    <cfRule type="cellIs" dxfId="53" priority="47" operator="notEqual">
      <formula>S28</formula>
    </cfRule>
  </conditionalFormatting>
  <conditionalFormatting sqref="S28">
    <cfRule type="cellIs" dxfId="52" priority="46" operator="notEqual">
      <formula>S27</formula>
    </cfRule>
  </conditionalFormatting>
  <conditionalFormatting sqref="T27">
    <cfRule type="cellIs" dxfId="51" priority="42" operator="notEqual">
      <formula>T36</formula>
    </cfRule>
    <cfRule type="cellIs" dxfId="50" priority="44" operator="notEqual">
      <formula>T28</formula>
    </cfRule>
  </conditionalFormatting>
  <conditionalFormatting sqref="T28">
    <cfRule type="cellIs" dxfId="49" priority="43" operator="notEqual">
      <formula>T27</formula>
    </cfRule>
  </conditionalFormatting>
  <conditionalFormatting sqref="U27">
    <cfRule type="cellIs" dxfId="48" priority="39" operator="notEqual">
      <formula>U36</formula>
    </cfRule>
    <cfRule type="cellIs" dxfId="47" priority="41" operator="notEqual">
      <formula>U28</formula>
    </cfRule>
  </conditionalFormatting>
  <conditionalFormatting sqref="U28">
    <cfRule type="cellIs" dxfId="46" priority="40" operator="notEqual">
      <formula>U27</formula>
    </cfRule>
  </conditionalFormatting>
  <conditionalFormatting sqref="V27">
    <cfRule type="cellIs" dxfId="45" priority="36" operator="notEqual">
      <formula>V36</formula>
    </cfRule>
    <cfRule type="cellIs" dxfId="44" priority="38" operator="notEqual">
      <formula>V28</formula>
    </cfRule>
  </conditionalFormatting>
  <conditionalFormatting sqref="V28">
    <cfRule type="cellIs" dxfId="43" priority="37" operator="notEqual">
      <formula>V27</formula>
    </cfRule>
  </conditionalFormatting>
  <conditionalFormatting sqref="W27">
    <cfRule type="cellIs" dxfId="42" priority="33" operator="notEqual">
      <formula>W36</formula>
    </cfRule>
    <cfRule type="cellIs" dxfId="41" priority="35" operator="notEqual">
      <formula>W28</formula>
    </cfRule>
  </conditionalFormatting>
  <conditionalFormatting sqref="W28">
    <cfRule type="cellIs" dxfId="40" priority="34" operator="notEqual">
      <formula>W27</formula>
    </cfRule>
  </conditionalFormatting>
  <conditionalFormatting sqref="X27">
    <cfRule type="cellIs" dxfId="39" priority="30" operator="notEqual">
      <formula>X36</formula>
    </cfRule>
    <cfRule type="cellIs" dxfId="38" priority="32" operator="notEqual">
      <formula>X28</formula>
    </cfRule>
  </conditionalFormatting>
  <conditionalFormatting sqref="X28">
    <cfRule type="cellIs" dxfId="37" priority="31" operator="notEqual">
      <formula>X27</formula>
    </cfRule>
  </conditionalFormatting>
  <conditionalFormatting sqref="Y27">
    <cfRule type="cellIs" dxfId="36" priority="27" operator="notEqual">
      <formula>Y36</formula>
    </cfRule>
    <cfRule type="cellIs" dxfId="35" priority="29" operator="notEqual">
      <formula>Y28</formula>
    </cfRule>
  </conditionalFormatting>
  <conditionalFormatting sqref="Y28">
    <cfRule type="cellIs" dxfId="34" priority="28" operator="notEqual">
      <formula>Y27</formula>
    </cfRule>
  </conditionalFormatting>
  <conditionalFormatting sqref="Z27">
    <cfRule type="cellIs" dxfId="33" priority="24" operator="notEqual">
      <formula>Z36</formula>
    </cfRule>
    <cfRule type="cellIs" dxfId="32" priority="26" operator="notEqual">
      <formula>Z28</formula>
    </cfRule>
  </conditionalFormatting>
  <conditionalFormatting sqref="Z28">
    <cfRule type="cellIs" dxfId="31" priority="25" operator="notEqual">
      <formula>Z27</formula>
    </cfRule>
  </conditionalFormatting>
  <conditionalFormatting sqref="I36">
    <cfRule type="cellIs" dxfId="30" priority="23" operator="notEqual">
      <formula>I27</formula>
    </cfRule>
  </conditionalFormatting>
  <conditionalFormatting sqref="J36">
    <cfRule type="cellIs" dxfId="29" priority="22" operator="notEqual">
      <formula>J27</formula>
    </cfRule>
  </conditionalFormatting>
  <conditionalFormatting sqref="K36">
    <cfRule type="cellIs" dxfId="28" priority="21" operator="notEqual">
      <formula>K27</formula>
    </cfRule>
  </conditionalFormatting>
  <conditionalFormatting sqref="L36">
    <cfRule type="cellIs" dxfId="27" priority="20" operator="notEqual">
      <formula>L27</formula>
    </cfRule>
  </conditionalFormatting>
  <conditionalFormatting sqref="M36">
    <cfRule type="cellIs" dxfId="26" priority="19" operator="notEqual">
      <formula>M27</formula>
    </cfRule>
  </conditionalFormatting>
  <conditionalFormatting sqref="N36">
    <cfRule type="cellIs" dxfId="25" priority="18" operator="notEqual">
      <formula>N27</formula>
    </cfRule>
  </conditionalFormatting>
  <conditionalFormatting sqref="O36">
    <cfRule type="cellIs" dxfId="24" priority="17" operator="notEqual">
      <formula>O27</formula>
    </cfRule>
  </conditionalFormatting>
  <conditionalFormatting sqref="P36">
    <cfRule type="cellIs" dxfId="23" priority="16" operator="notEqual">
      <formula>P27</formula>
    </cfRule>
  </conditionalFormatting>
  <conditionalFormatting sqref="Q36">
    <cfRule type="cellIs" dxfId="22" priority="15" operator="notEqual">
      <formula>Q27</formula>
    </cfRule>
  </conditionalFormatting>
  <conditionalFormatting sqref="R36">
    <cfRule type="cellIs" dxfId="21" priority="14" operator="notEqual">
      <formula>R27</formula>
    </cfRule>
  </conditionalFormatting>
  <conditionalFormatting sqref="S36">
    <cfRule type="cellIs" dxfId="20" priority="13" operator="notEqual">
      <formula>S27</formula>
    </cfRule>
  </conditionalFormatting>
  <conditionalFormatting sqref="T36">
    <cfRule type="cellIs" dxfId="19" priority="12" operator="notEqual">
      <formula>T27</formula>
    </cfRule>
  </conditionalFormatting>
  <conditionalFormatting sqref="U36">
    <cfRule type="cellIs" dxfId="18" priority="11" operator="notEqual">
      <formula>U27</formula>
    </cfRule>
  </conditionalFormatting>
  <conditionalFormatting sqref="V36">
    <cfRule type="cellIs" dxfId="17" priority="10" operator="notEqual">
      <formula>V27</formula>
    </cfRule>
  </conditionalFormatting>
  <conditionalFormatting sqref="W36">
    <cfRule type="cellIs" dxfId="16" priority="9" operator="notEqual">
      <formula>W27</formula>
    </cfRule>
  </conditionalFormatting>
  <conditionalFormatting sqref="X36">
    <cfRule type="cellIs" dxfId="15" priority="8" operator="notEqual">
      <formula>X27</formula>
    </cfRule>
  </conditionalFormatting>
  <conditionalFormatting sqref="Y36">
    <cfRule type="cellIs" dxfId="14" priority="7" operator="notEqual">
      <formula>Y27</formula>
    </cfRule>
  </conditionalFormatting>
  <conditionalFormatting sqref="Z36">
    <cfRule type="cellIs" dxfId="13" priority="6" operator="notEqual">
      <formula>Z27</formula>
    </cfRule>
  </conditionalFormatting>
  <conditionalFormatting sqref="C26">
    <cfRule type="cellIs" dxfId="12" priority="3" operator="notEqual">
      <formula>AA26</formula>
    </cfRule>
    <cfRule type="cellIs" dxfId="11" priority="4" operator="notEqual">
      <formula>N26+O26+P26+Q26+R26</formula>
    </cfRule>
    <cfRule type="cellIs" dxfId="10" priority="5" operator="notEqual">
      <formula>I26+J26+K26+L26+M26</formula>
    </cfRule>
  </conditionalFormatting>
  <printOptions horizontalCentered="1"/>
  <pageMargins left="0.16" right="0.24" top="0.32" bottom="0.15748031496062992" header="0.31" footer="0.28000000000000003"/>
  <pageSetup paperSize="9" scale="27" orientation="landscape" r:id="rId1"/>
  <ignoredErrors>
    <ignoredError sqref="C17 C16 D8:I8 C36:C37 AA29:AA33 I36:R36 I28:Z28 S29:S33 I27:Z27 AA37:AA42 AA35 S17 D10:E11 D9:E9 I9 I10:I11 G9 F10:H11 F9 H9 T36:Z36" formula="1"/>
    <ignoredError sqref="I16:Z16 S35 S37:S42 S36" formula="1" formulaRange="1"/>
    <ignoredError sqref="D27:H27 D16 E28 G28 E36 G36 H36 F36 D36 D37:D39 H28 F28 D28 D29:D35" formula="1" unlockedFormula="1"/>
    <ignoredError sqref="E16:H16" formula="1" formulaRange="1" unlockedFormula="1"/>
    <ignoredError sqref="D12:D15 D17:D26 D40:D42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AD29"/>
  <sheetViews>
    <sheetView view="pageBreakPreview" zoomScale="75" zoomScaleNormal="65" zoomScaleSheetLayoutView="75" workbookViewId="0">
      <selection sqref="A1:M1"/>
    </sheetView>
  </sheetViews>
  <sheetFormatPr defaultRowHeight="15.75"/>
  <cols>
    <col min="1" max="1" width="9.7109375" style="90" customWidth="1"/>
    <col min="2" max="2" width="31.7109375" style="78" customWidth="1"/>
    <col min="3" max="3" width="17.140625" style="78" customWidth="1"/>
    <col min="4" max="4" width="16.5703125" style="78" customWidth="1"/>
    <col min="5" max="5" width="17.140625" style="78" customWidth="1"/>
    <col min="6" max="6" width="16.5703125" style="78" customWidth="1"/>
    <col min="7" max="7" width="17.140625" style="78" customWidth="1"/>
    <col min="8" max="8" width="16.5703125" style="78" customWidth="1"/>
    <col min="9" max="9" width="19" style="78" customWidth="1"/>
    <col min="10" max="10" width="16.5703125" style="78" customWidth="1"/>
    <col min="11" max="11" width="17.140625" style="78" customWidth="1"/>
    <col min="12" max="12" width="16.5703125" style="78" customWidth="1"/>
    <col min="13" max="13" width="19" style="78" customWidth="1"/>
    <col min="14" max="14" width="16.5703125" style="78" customWidth="1"/>
    <col min="15" max="15" width="9.140625" style="78"/>
    <col min="16" max="17" width="26.7109375" style="78" customWidth="1"/>
    <col min="18" max="16384" width="9.140625" style="78"/>
  </cols>
  <sheetData>
    <row r="1" spans="1:26" s="80" customFormat="1" ht="48.75" customHeight="1">
      <c r="A1" s="791" t="s">
        <v>535</v>
      </c>
      <c r="B1" s="791"/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191" t="s">
        <v>536</v>
      </c>
    </row>
    <row r="2" spans="1:26" ht="18.75">
      <c r="B2" s="97" t="str">
        <f>+'Asset quality'!B3</f>
        <v>"MKBANK"</v>
      </c>
      <c r="K2" s="718">
        <f>+'loans_av rate'!F3</f>
        <v>45289</v>
      </c>
      <c r="L2" s="718"/>
      <c r="N2" s="91" t="str">
        <f>+'Asset quality'!T3</f>
        <v>минг. сўмда</v>
      </c>
    </row>
    <row r="3" spans="1:26" s="79" customFormat="1" ht="38.25" customHeight="1">
      <c r="A3" s="818" t="s">
        <v>61</v>
      </c>
      <c r="B3" s="818" t="s">
        <v>537</v>
      </c>
      <c r="C3" s="818" t="s">
        <v>538</v>
      </c>
      <c r="D3" s="818"/>
      <c r="E3" s="818"/>
      <c r="F3" s="818"/>
      <c r="G3" s="818"/>
      <c r="H3" s="818"/>
      <c r="I3" s="818" t="s">
        <v>539</v>
      </c>
      <c r="J3" s="818"/>
      <c r="K3" s="818"/>
      <c r="L3" s="818"/>
      <c r="M3" s="818"/>
      <c r="N3" s="818"/>
    </row>
    <row r="4" spans="1:26" s="79" customFormat="1" ht="24" customHeight="1">
      <c r="A4" s="818"/>
      <c r="B4" s="818"/>
      <c r="C4" s="818" t="s">
        <v>540</v>
      </c>
      <c r="D4" s="818" t="s">
        <v>492</v>
      </c>
      <c r="E4" s="818" t="s">
        <v>489</v>
      </c>
      <c r="F4" s="818"/>
      <c r="G4" s="818"/>
      <c r="H4" s="818"/>
      <c r="I4" s="818" t="s">
        <v>540</v>
      </c>
      <c r="J4" s="818" t="s">
        <v>492</v>
      </c>
      <c r="K4" s="818" t="s">
        <v>489</v>
      </c>
      <c r="L4" s="818"/>
      <c r="M4" s="818"/>
      <c r="N4" s="818"/>
    </row>
    <row r="5" spans="1:26" s="79" customFormat="1" ht="54.75" customHeight="1">
      <c r="A5" s="818"/>
      <c r="B5" s="818"/>
      <c r="C5" s="818"/>
      <c r="D5" s="818"/>
      <c r="E5" s="818" t="s">
        <v>285</v>
      </c>
      <c r="F5" s="818"/>
      <c r="G5" s="818" t="s">
        <v>490</v>
      </c>
      <c r="H5" s="818"/>
      <c r="I5" s="818"/>
      <c r="J5" s="818"/>
      <c r="K5" s="818" t="s">
        <v>285</v>
      </c>
      <c r="L5" s="818"/>
      <c r="M5" s="818" t="s">
        <v>490</v>
      </c>
      <c r="N5" s="818"/>
    </row>
    <row r="6" spans="1:26" s="79" customFormat="1" ht="63" customHeight="1">
      <c r="A6" s="818"/>
      <c r="B6" s="818"/>
      <c r="C6" s="818"/>
      <c r="D6" s="818"/>
      <c r="E6" s="454" t="s">
        <v>491</v>
      </c>
      <c r="F6" s="454" t="s">
        <v>492</v>
      </c>
      <c r="G6" s="454" t="s">
        <v>491</v>
      </c>
      <c r="H6" s="454" t="s">
        <v>492</v>
      </c>
      <c r="I6" s="818"/>
      <c r="J6" s="818"/>
      <c r="K6" s="454" t="s">
        <v>491</v>
      </c>
      <c r="L6" s="454" t="s">
        <v>492</v>
      </c>
      <c r="M6" s="454" t="s">
        <v>491</v>
      </c>
      <c r="N6" s="454" t="s">
        <v>492</v>
      </c>
    </row>
    <row r="7" spans="1:26" s="79" customFormat="1" ht="22.5" customHeight="1">
      <c r="A7" s="818"/>
      <c r="B7" s="454" t="s">
        <v>78</v>
      </c>
      <c r="C7" s="454" t="s">
        <v>79</v>
      </c>
      <c r="D7" s="454" t="s">
        <v>89</v>
      </c>
      <c r="E7" s="454" t="s">
        <v>80</v>
      </c>
      <c r="F7" s="454" t="s">
        <v>81</v>
      </c>
      <c r="G7" s="454" t="s">
        <v>90</v>
      </c>
      <c r="H7" s="454" t="s">
        <v>82</v>
      </c>
      <c r="I7" s="454" t="s">
        <v>83</v>
      </c>
      <c r="J7" s="454" t="s">
        <v>84</v>
      </c>
      <c r="K7" s="454" t="s">
        <v>85</v>
      </c>
      <c r="L7" s="454" t="s">
        <v>86</v>
      </c>
      <c r="M7" s="454" t="s">
        <v>87</v>
      </c>
      <c r="N7" s="454" t="s">
        <v>88</v>
      </c>
      <c r="P7" s="320"/>
    </row>
    <row r="8" spans="1:26" s="165" customFormat="1" ht="41.25" customHeight="1">
      <c r="A8" s="455">
        <v>1</v>
      </c>
      <c r="B8" s="456" t="s">
        <v>541</v>
      </c>
      <c r="C8" s="175">
        <f>+E8+G8</f>
        <v>301048156</v>
      </c>
      <c r="D8" s="597">
        <f t="shared" ref="D8:D15" si="0">IFERROR((((E8*F8)+(G8*H8))/C8),0)</f>
        <v>0</v>
      </c>
      <c r="E8" s="171">
        <v>289606233</v>
      </c>
      <c r="F8" s="163">
        <v>0</v>
      </c>
      <c r="G8" s="171">
        <v>11441923</v>
      </c>
      <c r="H8" s="163">
        <v>0</v>
      </c>
      <c r="I8" s="175">
        <f>+K8+M8</f>
        <v>576191037</v>
      </c>
      <c r="J8" s="597">
        <f t="shared" ref="J8:J15" si="1">IFERROR((((K8*L8)+(M8*N8))/I8),0)</f>
        <v>0.01</v>
      </c>
      <c r="K8" s="171">
        <v>549308726</v>
      </c>
      <c r="L8" s="163">
        <v>0.01</v>
      </c>
      <c r="M8" s="171">
        <v>26882311</v>
      </c>
      <c r="N8" s="163">
        <v>0.01</v>
      </c>
      <c r="O8" s="164"/>
      <c r="P8" s="457">
        <f>+'[8]Bank Liabilities Analysis'!$C$20</f>
        <v>877239193</v>
      </c>
      <c r="Q8" s="572">
        <f t="shared" ref="Q8:Q15" si="2">+P8-C8-I8</f>
        <v>0</v>
      </c>
      <c r="R8" s="164"/>
      <c r="S8" s="164"/>
      <c r="T8" s="164"/>
      <c r="U8" s="164"/>
      <c r="V8" s="164"/>
      <c r="W8" s="164"/>
      <c r="X8" s="164"/>
      <c r="Y8" s="164"/>
      <c r="Z8" s="164"/>
    </row>
    <row r="9" spans="1:26" s="165" customFormat="1" ht="41.25" customHeight="1">
      <c r="A9" s="455">
        <v>2</v>
      </c>
      <c r="B9" s="456" t="s">
        <v>542</v>
      </c>
      <c r="C9" s="175">
        <f t="shared" ref="C9" si="3">+E9+G9</f>
        <v>3105381</v>
      </c>
      <c r="D9" s="597">
        <f t="shared" si="0"/>
        <v>0.14765674663017303</v>
      </c>
      <c r="E9" s="171">
        <v>3105375</v>
      </c>
      <c r="F9" s="163">
        <v>0.14765693531607402</v>
      </c>
      <c r="G9" s="171">
        <v>6</v>
      </c>
      <c r="H9" s="163">
        <v>0.05</v>
      </c>
      <c r="I9" s="175">
        <f t="shared" ref="I9" si="4">+K9+M9</f>
        <v>5023730</v>
      </c>
      <c r="J9" s="597">
        <f t="shared" si="1"/>
        <v>0.1451909238752879</v>
      </c>
      <c r="K9" s="171">
        <v>4160000</v>
      </c>
      <c r="L9" s="163">
        <v>0.17533653846153846</v>
      </c>
      <c r="M9" s="171">
        <v>863730</v>
      </c>
      <c r="N9" s="163">
        <v>0</v>
      </c>
      <c r="O9" s="164"/>
      <c r="P9" s="457">
        <f>+'[8]Bank Liabilities Analysis'!$E$20</f>
        <v>8129111</v>
      </c>
      <c r="Q9" s="572">
        <f t="shared" si="2"/>
        <v>0</v>
      </c>
      <c r="R9" s="164"/>
      <c r="S9" s="164"/>
      <c r="T9" s="164"/>
      <c r="U9" s="164"/>
      <c r="V9" s="164"/>
      <c r="W9" s="164"/>
      <c r="X9" s="164"/>
      <c r="Y9" s="164"/>
      <c r="Z9" s="164"/>
    </row>
    <row r="10" spans="1:26" s="165" customFormat="1" ht="41.25" customHeight="1">
      <c r="A10" s="455">
        <v>3</v>
      </c>
      <c r="B10" s="456" t="s">
        <v>543</v>
      </c>
      <c r="C10" s="175">
        <f t="shared" ref="C10:C15" si="5">+E10+G10</f>
        <v>6289299</v>
      </c>
      <c r="D10" s="597">
        <f t="shared" si="0"/>
        <v>0.16085147175855732</v>
      </c>
      <c r="E10" s="171">
        <v>6275349</v>
      </c>
      <c r="F10" s="163">
        <v>0.16109789279920891</v>
      </c>
      <c r="G10" s="171">
        <v>13950</v>
      </c>
      <c r="H10" s="163">
        <v>0.05</v>
      </c>
      <c r="I10" s="175">
        <f t="shared" ref="I10:I15" si="6">+K10+M10</f>
        <v>518192728</v>
      </c>
      <c r="J10" s="597">
        <f t="shared" si="1"/>
        <v>0.13291728709946332</v>
      </c>
      <c r="K10" s="171">
        <v>512455200</v>
      </c>
      <c r="L10" s="163">
        <v>0.13382999138266136</v>
      </c>
      <c r="M10" s="171">
        <v>5737528</v>
      </c>
      <c r="N10" s="163">
        <v>5.1397849462365593E-2</v>
      </c>
      <c r="O10" s="164"/>
      <c r="P10" s="457">
        <f>+'[8]Bank Liabilities Analysis'!$G$20</f>
        <v>524482027</v>
      </c>
      <c r="Q10" s="572">
        <f t="shared" si="2"/>
        <v>0</v>
      </c>
      <c r="R10" s="164"/>
      <c r="S10" s="164"/>
      <c r="T10" s="164"/>
      <c r="U10" s="164"/>
      <c r="V10" s="164"/>
      <c r="W10" s="164"/>
      <c r="X10" s="164"/>
      <c r="Y10" s="164"/>
      <c r="Z10" s="164"/>
    </row>
    <row r="11" spans="1:26" s="165" customFormat="1" ht="41.25" customHeight="1">
      <c r="A11" s="455">
        <v>4</v>
      </c>
      <c r="B11" s="456" t="s">
        <v>544</v>
      </c>
      <c r="C11" s="175">
        <f t="shared" si="5"/>
        <v>63076513</v>
      </c>
      <c r="D11" s="597">
        <f t="shared" si="0"/>
        <v>0.20464422967643048</v>
      </c>
      <c r="E11" s="171">
        <v>62600323</v>
      </c>
      <c r="F11" s="163">
        <v>0.20582170324259591</v>
      </c>
      <c r="G11" s="171">
        <v>476190</v>
      </c>
      <c r="H11" s="163">
        <v>4.9852601196372429E-2</v>
      </c>
      <c r="I11" s="175">
        <f t="shared" si="6"/>
        <v>304743154</v>
      </c>
      <c r="J11" s="597">
        <f t="shared" si="1"/>
        <v>8.1049957466804989E-2</v>
      </c>
      <c r="K11" s="171">
        <v>55500000</v>
      </c>
      <c r="L11" s="163">
        <v>0.18469765765765767</v>
      </c>
      <c r="M11" s="171">
        <v>249243154</v>
      </c>
      <c r="N11" s="163">
        <v>5.7970297029702973E-2</v>
      </c>
      <c r="O11" s="164"/>
      <c r="P11" s="457">
        <f>+'[8]Bank Liabilities Analysis'!$I$20</f>
        <v>367819667</v>
      </c>
      <c r="Q11" s="572">
        <f t="shared" si="2"/>
        <v>0</v>
      </c>
      <c r="R11" s="164"/>
      <c r="S11" s="164"/>
      <c r="T11" s="164"/>
      <c r="U11" s="164"/>
      <c r="V11" s="164"/>
      <c r="W11" s="164"/>
      <c r="X11" s="164"/>
      <c r="Y11" s="164"/>
      <c r="Z11" s="164"/>
    </row>
    <row r="12" spans="1:26" s="165" customFormat="1" ht="41.25" customHeight="1">
      <c r="A12" s="455">
        <v>5</v>
      </c>
      <c r="B12" s="456" t="s">
        <v>545</v>
      </c>
      <c r="C12" s="175">
        <f t="shared" si="5"/>
        <v>229487627</v>
      </c>
      <c r="D12" s="597">
        <f t="shared" si="0"/>
        <v>0.21835749832349977</v>
      </c>
      <c r="E12" s="171">
        <v>227230929</v>
      </c>
      <c r="F12" s="163">
        <v>0.22004054911643323</v>
      </c>
      <c r="G12" s="171">
        <v>2256698</v>
      </c>
      <c r="H12" s="163">
        <v>4.8888125269392922E-2</v>
      </c>
      <c r="I12" s="175">
        <f t="shared" si="6"/>
        <v>741550775</v>
      </c>
      <c r="J12" s="597">
        <f t="shared" si="1"/>
        <v>0.16466485909471318</v>
      </c>
      <c r="K12" s="171">
        <v>549716454</v>
      </c>
      <c r="L12" s="163">
        <v>0.20339652543265352</v>
      </c>
      <c r="M12" s="171">
        <v>191834321</v>
      </c>
      <c r="N12" s="163">
        <v>5.3676198849689861E-2</v>
      </c>
      <c r="O12" s="164"/>
      <c r="P12" s="457">
        <f>+'[8]Bank Liabilities Analysis'!$K$20</f>
        <v>971038402</v>
      </c>
      <c r="Q12" s="572">
        <f t="shared" si="2"/>
        <v>0</v>
      </c>
      <c r="R12" s="164"/>
      <c r="S12" s="164"/>
      <c r="T12" s="164"/>
      <c r="U12" s="164"/>
      <c r="V12" s="164"/>
      <c r="W12" s="164"/>
      <c r="X12" s="164"/>
      <c r="Y12" s="164"/>
      <c r="Z12" s="164"/>
    </row>
    <row r="13" spans="1:26" s="165" customFormat="1" ht="41.25" customHeight="1">
      <c r="A13" s="455">
        <v>6</v>
      </c>
      <c r="B13" s="456" t="s">
        <v>546</v>
      </c>
      <c r="C13" s="175">
        <f t="shared" si="5"/>
        <v>398058185</v>
      </c>
      <c r="D13" s="597">
        <f t="shared" si="0"/>
        <v>0.21454942160341239</v>
      </c>
      <c r="E13" s="171">
        <v>381587404</v>
      </c>
      <c r="F13" s="163">
        <v>0.22173284231148507</v>
      </c>
      <c r="G13" s="171">
        <v>16470781</v>
      </c>
      <c r="H13" s="163">
        <v>4.8127267132820631E-2</v>
      </c>
      <c r="I13" s="175">
        <f t="shared" si="6"/>
        <v>745971614</v>
      </c>
      <c r="J13" s="597">
        <f t="shared" si="1"/>
        <v>0.20152265802533703</v>
      </c>
      <c r="K13" s="171">
        <v>725674337</v>
      </c>
      <c r="L13" s="163">
        <v>0.20535440542476507</v>
      </c>
      <c r="M13" s="171">
        <v>20297277</v>
      </c>
      <c r="N13" s="163">
        <v>6.4528875379939205E-2</v>
      </c>
      <c r="O13" s="164"/>
      <c r="P13" s="457">
        <f>+'[8]Bank Liabilities Analysis'!$M$20</f>
        <v>1144029799</v>
      </c>
      <c r="Q13" s="572">
        <f t="shared" si="2"/>
        <v>0</v>
      </c>
      <c r="R13" s="164"/>
      <c r="S13" s="164"/>
      <c r="T13" s="164"/>
      <c r="U13" s="164"/>
      <c r="V13" s="164"/>
      <c r="W13" s="164"/>
      <c r="X13" s="164"/>
      <c r="Y13" s="164"/>
      <c r="Z13" s="164"/>
    </row>
    <row r="14" spans="1:26" s="165" customFormat="1" ht="41.25" customHeight="1">
      <c r="A14" s="455">
        <v>7</v>
      </c>
      <c r="B14" s="456" t="s">
        <v>547</v>
      </c>
      <c r="C14" s="175">
        <f t="shared" si="5"/>
        <v>646584043</v>
      </c>
      <c r="D14" s="597">
        <f t="shared" si="0"/>
        <v>0.2166944928260649</v>
      </c>
      <c r="E14" s="171">
        <v>624196308</v>
      </c>
      <c r="F14" s="163">
        <v>0.2224079718851906</v>
      </c>
      <c r="G14" s="171">
        <v>22387735</v>
      </c>
      <c r="H14" s="163">
        <v>5.7395995924008111E-2</v>
      </c>
      <c r="I14" s="175">
        <f t="shared" si="6"/>
        <v>474186344</v>
      </c>
      <c r="J14" s="597">
        <f t="shared" si="1"/>
        <v>0.1473280523955556</v>
      </c>
      <c r="K14" s="171">
        <v>379177815</v>
      </c>
      <c r="L14" s="163">
        <v>0.16442586337517914</v>
      </c>
      <c r="M14" s="171">
        <v>95008529</v>
      </c>
      <c r="N14" s="163">
        <v>7.9090909090909087E-2</v>
      </c>
      <c r="O14" s="164"/>
      <c r="P14" s="457">
        <f>+'[8]Bank Liabilities Analysis'!$O$20</f>
        <v>1120770387</v>
      </c>
      <c r="Q14" s="572">
        <f t="shared" si="2"/>
        <v>0</v>
      </c>
      <c r="R14" s="164"/>
      <c r="S14" s="164"/>
      <c r="T14" s="164"/>
      <c r="U14" s="164"/>
      <c r="V14" s="164"/>
      <c r="W14" s="164"/>
      <c r="X14" s="164"/>
      <c r="Y14" s="164"/>
      <c r="Z14" s="164"/>
    </row>
    <row r="15" spans="1:26" s="165" customFormat="1" ht="41.25" customHeight="1">
      <c r="A15" s="455">
        <v>8</v>
      </c>
      <c r="B15" s="456" t="s">
        <v>548</v>
      </c>
      <c r="C15" s="175">
        <f t="shared" si="5"/>
        <v>34783466</v>
      </c>
      <c r="D15" s="597">
        <f t="shared" si="0"/>
        <v>0.1329358969702385</v>
      </c>
      <c r="E15" s="171">
        <v>15092834</v>
      </c>
      <c r="F15" s="163">
        <v>0.20970666201030189</v>
      </c>
      <c r="G15" s="171">
        <v>19690632</v>
      </c>
      <c r="H15" s="163">
        <v>7.4091243695387818E-2</v>
      </c>
      <c r="I15" s="175">
        <f t="shared" si="6"/>
        <v>1312886302</v>
      </c>
      <c r="J15" s="597">
        <f t="shared" si="1"/>
        <v>9.503925578414632E-2</v>
      </c>
      <c r="K15" s="171">
        <v>869203891</v>
      </c>
      <c r="L15" s="163">
        <v>0.12298149765062005</v>
      </c>
      <c r="M15" s="171">
        <v>443682411</v>
      </c>
      <c r="N15" s="163">
        <v>4.0298511613419956E-2</v>
      </c>
      <c r="O15" s="164"/>
      <c r="P15" s="457">
        <f>+'[8]Bank Liabilities Analysis'!$Q$20</f>
        <v>1347669768</v>
      </c>
      <c r="Q15" s="572">
        <f t="shared" si="2"/>
        <v>0</v>
      </c>
      <c r="R15" s="164"/>
      <c r="S15" s="164"/>
      <c r="T15" s="164"/>
      <c r="U15" s="164"/>
      <c r="V15" s="164"/>
      <c r="W15" s="164"/>
      <c r="X15" s="164"/>
      <c r="Y15" s="164"/>
      <c r="Z15" s="164"/>
    </row>
    <row r="16" spans="1:26" s="165" customFormat="1" ht="41.25" customHeight="1">
      <c r="A16" s="455">
        <v>9</v>
      </c>
      <c r="B16" s="458" t="s">
        <v>549</v>
      </c>
      <c r="C16" s="172">
        <f>SUM(C8:C15)</f>
        <v>1682432670</v>
      </c>
      <c r="D16" s="173">
        <f>IFERROR(((C8*D8)/C16)+((C9*D9)/C16)+((C10*D10)/C16)+((C11*D11)/C16)+((C12*D12)/C16)+((C13*D13)/C16)+((C14*D14)/C16)+((C15*D15)/C16),0)</f>
        <v>0.17511969015287432</v>
      </c>
      <c r="E16" s="172">
        <f t="shared" ref="E16:M16" si="7">SUM(E8:E15)</f>
        <v>1609694755</v>
      </c>
      <c r="F16" s="173">
        <f>IFERROR(((E8*F8)/E16)+((E9*F9)/E16)+((E10*F10)/E16)+((E11*F11)/E16)+((E12*F12)/E16)+((E13*F13)/E16)+((E14*F14)/E16)+((E15*F15)/E16),0)</f>
        <v>0.18075213371176138</v>
      </c>
      <c r="G16" s="172">
        <f t="shared" si="7"/>
        <v>72737915</v>
      </c>
      <c r="H16" s="173">
        <f>IFERROR(((G8*H8)/G16)+((G9*H9)/G16)+((G10*H10)/G16)+((G11*H11)/G16)+((G12*H12)/G16)+((G13*H13)/G16)+((G14*H14)/G16)+((G15*H15)/G16),0)</f>
        <v>5.0473350557161983E-2</v>
      </c>
      <c r="I16" s="172">
        <f t="shared" si="7"/>
        <v>4678745684</v>
      </c>
      <c r="J16" s="173">
        <f>IFERROR(((I8*J8)/I16)+((I9*J9)/I16)+((I10*J10)/I16)+((I11*J11)/I16)+((I12*J12)/I16)+((I13*J13)/I16)+((I14*J14)/I16)+((I15*J15)/I16),0)</f>
        <v>0.12121661742097803</v>
      </c>
      <c r="K16" s="172">
        <f t="shared" si="7"/>
        <v>3645196423</v>
      </c>
      <c r="L16" s="173">
        <f>IFERROR(((K8*L8)/K16)+((K9*L9)/K16)+((K10*L10)/K16)+((K11*L11)/K16)+((K12*L12)/K16)+((K13*L13)/K16)+((K14*L14)/K16)+((K15*L15)/K16),0)</f>
        <v>0.14131709161572936</v>
      </c>
      <c r="M16" s="172">
        <f t="shared" si="7"/>
        <v>1033549261</v>
      </c>
      <c r="N16" s="173">
        <f>IFERROR(((M8*N8)/M16)+((M9*N9)/M16)+((M10*N10)/M16)+((M11*N11)/M16)+((M12*N12)/M16)+((M13*N13)/M16)+((M14*N14)/M16)+((M15*N15)/M16),0)</f>
        <v>5.0324808583129654E-2</v>
      </c>
      <c r="O16" s="164"/>
      <c r="P16" s="459">
        <f>+'[8]Bank Liabilities Analysis'!$S$20</f>
        <v>6361178354</v>
      </c>
      <c r="Q16" s="572">
        <f>+P16-C16-I16</f>
        <v>0</v>
      </c>
      <c r="R16" s="164"/>
      <c r="S16" s="164"/>
      <c r="T16" s="164"/>
      <c r="U16" s="164"/>
      <c r="V16" s="164"/>
      <c r="W16" s="164"/>
      <c r="X16" s="164"/>
      <c r="Y16" s="164"/>
      <c r="Z16" s="164"/>
    </row>
    <row r="17" spans="1:30" s="16" customFormat="1" ht="15.75" customHeight="1">
      <c r="B17" s="433"/>
      <c r="C17" s="265"/>
      <c r="I17" s="265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spans="1:30" s="258" customFormat="1" ht="15" customHeight="1">
      <c r="A18" s="34"/>
      <c r="B18" s="552" t="s">
        <v>778</v>
      </c>
      <c r="C18" s="34"/>
      <c r="D18" s="34"/>
      <c r="E18" s="34"/>
      <c r="F18" s="338"/>
      <c r="G18" s="338"/>
      <c r="H18" s="338"/>
      <c r="I18" s="338"/>
      <c r="J18" s="338"/>
      <c r="K18" s="338"/>
      <c r="L18" s="338"/>
      <c r="M18" s="338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</row>
    <row r="19" spans="1:30" s="258" customFormat="1" ht="11.25" customHeight="1">
      <c r="A19" s="34"/>
      <c r="B19" s="552"/>
      <c r="C19" s="34"/>
      <c r="D19" s="34"/>
      <c r="E19" s="34"/>
      <c r="F19" s="338"/>
      <c r="G19" s="338"/>
      <c r="H19" s="338"/>
      <c r="I19" s="338"/>
      <c r="J19" s="338"/>
      <c r="K19" s="338"/>
      <c r="L19" s="338"/>
      <c r="M19" s="338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</row>
    <row r="20" spans="1:30" s="258" customFormat="1" ht="15" customHeight="1">
      <c r="A20" s="34"/>
      <c r="B20" s="552" t="s">
        <v>779</v>
      </c>
      <c r="C20" s="34"/>
      <c r="D20" s="34"/>
      <c r="E20" s="34"/>
      <c r="F20" s="338"/>
      <c r="G20" s="338"/>
      <c r="H20" s="338"/>
      <c r="I20" s="338"/>
      <c r="J20" s="338"/>
      <c r="K20" s="338"/>
      <c r="L20" s="338"/>
      <c r="M20" s="338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</row>
    <row r="21" spans="1:30" s="6" customFormat="1">
      <c r="A21" s="25"/>
      <c r="B21" s="31"/>
      <c r="J21" s="25"/>
    </row>
    <row r="24" spans="1:30">
      <c r="B24" s="78" t="s">
        <v>189</v>
      </c>
      <c r="C24" s="573">
        <f>+'[8]Deposits by Client'!$C$6+'[8]Deposits by Client'!$C$15</f>
        <v>1682432670</v>
      </c>
      <c r="D24" s="573"/>
      <c r="E24" s="573">
        <f>+C24-G24</f>
        <v>1609694755</v>
      </c>
      <c r="F24" s="573"/>
      <c r="G24" s="573">
        <f>+'[8]Deposits by Client'!$D$6+'[8]Deposits by Client'!$D$15</f>
        <v>72737915</v>
      </c>
      <c r="H24" s="520"/>
      <c r="I24" s="520"/>
      <c r="J24" s="520"/>
      <c r="K24" s="520"/>
      <c r="L24" s="520"/>
      <c r="M24" s="520"/>
      <c r="N24" s="521"/>
    </row>
    <row r="25" spans="1:30">
      <c r="C25" s="573">
        <f>+C16</f>
        <v>1682432670</v>
      </c>
      <c r="D25" s="573"/>
      <c r="E25" s="573">
        <f>+C16-G16</f>
        <v>1609694755</v>
      </c>
      <c r="F25" s="573"/>
      <c r="G25" s="573">
        <f>+G16</f>
        <v>72737915</v>
      </c>
      <c r="H25" s="520"/>
      <c r="I25" s="522"/>
      <c r="J25" s="522"/>
      <c r="K25" s="522"/>
      <c r="L25" s="522"/>
      <c r="M25" s="522"/>
      <c r="N25" s="521"/>
    </row>
    <row r="26" spans="1:30">
      <c r="C26" s="520">
        <f>+C24-C25</f>
        <v>0</v>
      </c>
      <c r="D26" s="520"/>
      <c r="E26" s="520">
        <f>+E24-E25</f>
        <v>0</v>
      </c>
      <c r="F26" s="520"/>
      <c r="G26" s="520">
        <f>+G24-G25</f>
        <v>0</v>
      </c>
      <c r="H26" s="520"/>
      <c r="I26" s="522"/>
      <c r="J26" s="522"/>
      <c r="K26" s="522"/>
      <c r="L26" s="522"/>
      <c r="M26" s="522"/>
      <c r="N26" s="521"/>
    </row>
    <row r="27" spans="1:30">
      <c r="B27" s="78" t="s">
        <v>190</v>
      </c>
      <c r="C27" s="522"/>
      <c r="D27" s="522"/>
      <c r="E27" s="522"/>
      <c r="F27" s="522"/>
      <c r="G27" s="522"/>
      <c r="H27" s="522"/>
      <c r="I27" s="573">
        <f>+'[8]Deposits by Client'!$C$22-'[8]Deposits by Client'!$C$6-'[8]Deposits by Client'!$C$15</f>
        <v>4678745684</v>
      </c>
      <c r="J27" s="573"/>
      <c r="K27" s="573">
        <f>+I27-M27</f>
        <v>3645196423</v>
      </c>
      <c r="L27" s="573"/>
      <c r="M27" s="573">
        <f>+'[8]Deposits by Client'!$D$22-'[8]Deposits by Client'!$D$6-'[8]Deposits by Client'!$D$15</f>
        <v>1033549261</v>
      </c>
      <c r="N27" s="523"/>
    </row>
    <row r="28" spans="1:30">
      <c r="C28" s="522"/>
      <c r="D28" s="522"/>
      <c r="E28" s="522"/>
      <c r="F28" s="522"/>
      <c r="G28" s="522"/>
      <c r="H28" s="522"/>
      <c r="I28" s="573">
        <f>+I16</f>
        <v>4678745684</v>
      </c>
      <c r="J28" s="573"/>
      <c r="K28" s="573">
        <f>+I16-M16</f>
        <v>3645196423</v>
      </c>
      <c r="L28" s="573"/>
      <c r="M28" s="573">
        <f>+M16</f>
        <v>1033549261</v>
      </c>
      <c r="N28" s="523"/>
    </row>
    <row r="29" spans="1:30">
      <c r="C29" s="522"/>
      <c r="D29" s="522"/>
      <c r="E29" s="522"/>
      <c r="F29" s="522"/>
      <c r="G29" s="522"/>
      <c r="H29" s="522"/>
      <c r="I29" s="520">
        <f>+I27-I28</f>
        <v>0</v>
      </c>
      <c r="J29" s="522"/>
      <c r="K29" s="520">
        <f>+K27-K28</f>
        <v>0</v>
      </c>
      <c r="L29" s="522"/>
      <c r="M29" s="520">
        <f>+M27-M28</f>
        <v>0</v>
      </c>
      <c r="N29" s="523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conditionalFormatting sqref="C16">
    <cfRule type="cellIs" dxfId="9" priority="9" operator="notEqual">
      <formula>C24</formula>
    </cfRule>
  </conditionalFormatting>
  <conditionalFormatting sqref="E16">
    <cfRule type="cellIs" dxfId="8" priority="8" operator="notEqual">
      <formula>E24</formula>
    </cfRule>
  </conditionalFormatting>
  <conditionalFormatting sqref="G16">
    <cfRule type="cellIs" dxfId="7" priority="7" operator="notEqual">
      <formula>G24</formula>
    </cfRule>
  </conditionalFormatting>
  <conditionalFormatting sqref="I16">
    <cfRule type="cellIs" dxfId="6" priority="6" operator="notEqual">
      <formula>I27</formula>
    </cfRule>
  </conditionalFormatting>
  <conditionalFormatting sqref="K16">
    <cfRule type="cellIs" dxfId="5" priority="5" operator="notEqual">
      <formula>K27</formula>
    </cfRule>
  </conditionalFormatting>
  <conditionalFormatting sqref="M16">
    <cfRule type="cellIs" dxfId="4" priority="4" operator="notEqual">
      <formula>M27</formula>
    </cfRule>
  </conditionalFormatting>
  <conditionalFormatting sqref="P8">
    <cfRule type="cellIs" dxfId="3" priority="2" operator="notEqual">
      <formula>+(C8+I8)</formula>
    </cfRule>
  </conditionalFormatting>
  <conditionalFormatting sqref="P9:P16">
    <cfRule type="cellIs" dxfId="2" priority="1" operator="notEqual">
      <formula>+(C9+I9)</formula>
    </cfRule>
  </conditionalFormatting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  <ignoredErrors>
    <ignoredError sqref="D16:N16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AD52"/>
  <sheetViews>
    <sheetView view="pageBreakPreview" zoomScaleSheetLayoutView="100" workbookViewId="0">
      <pane xSplit="1" ySplit="5" topLeftCell="B15" activePane="bottomRight" state="frozen"/>
      <selection activeCell="J47" sqref="J47"/>
      <selection pane="topRight" activeCell="J47" sqref="J47"/>
      <selection pane="bottomLeft" activeCell="J47" sqref="J47"/>
      <selection pane="bottomRight" activeCell="I31" sqref="I31:I32"/>
    </sheetView>
  </sheetViews>
  <sheetFormatPr defaultColWidth="9" defaultRowHeight="12.75"/>
  <cols>
    <col min="1" max="1" width="5" style="265" customWidth="1"/>
    <col min="2" max="3" width="9" style="258" customWidth="1"/>
    <col min="4" max="4" width="25.42578125" style="258" customWidth="1"/>
    <col min="5" max="5" width="46.85546875" style="258" customWidth="1"/>
    <col min="6" max="6" width="15.42578125" style="258" bestFit="1" customWidth="1"/>
    <col min="7" max="7" width="9" style="258" customWidth="1"/>
    <col min="8" max="8" width="41.42578125" style="258" customWidth="1"/>
    <col min="9" max="9" width="20" style="258" customWidth="1"/>
    <col min="10" max="10" width="15" style="265" customWidth="1"/>
    <col min="11" max="11" width="15.5703125" style="258" customWidth="1"/>
    <col min="12" max="12" width="9" style="258"/>
    <col min="13" max="13" width="9" style="546"/>
    <col min="14" max="16384" width="9" style="258"/>
  </cols>
  <sheetData>
    <row r="1" spans="1:13" s="33" customFormat="1" ht="27" customHeight="1">
      <c r="A1" s="901" t="s">
        <v>785</v>
      </c>
      <c r="B1" s="901"/>
      <c r="C1" s="901"/>
      <c r="D1" s="901"/>
      <c r="E1" s="901"/>
      <c r="F1" s="901"/>
      <c r="G1" s="901"/>
      <c r="H1" s="901"/>
      <c r="I1" s="902" t="s">
        <v>550</v>
      </c>
      <c r="J1" s="902"/>
      <c r="K1" s="902"/>
      <c r="M1" s="545"/>
    </row>
    <row r="2" spans="1:13" ht="21" customHeight="1">
      <c r="A2" s="460"/>
      <c r="B2" s="909" t="str">
        <f>+'Asset quality'!B3</f>
        <v>"MKBANK"</v>
      </c>
      <c r="C2" s="909"/>
      <c r="D2" s="909"/>
      <c r="E2" s="461"/>
      <c r="F2" s="461"/>
      <c r="G2" s="461"/>
      <c r="H2" s="461"/>
      <c r="I2" s="315">
        <f>+'Asset quality'!Q3</f>
        <v>45289</v>
      </c>
      <c r="J2" s="103"/>
      <c r="K2" s="8"/>
    </row>
    <row r="3" spans="1:13" ht="6.75" customHeight="1">
      <c r="A3" s="903"/>
      <c r="B3" s="904"/>
      <c r="C3" s="904"/>
      <c r="D3" s="904"/>
      <c r="E3" s="904"/>
      <c r="F3" s="904"/>
      <c r="G3" s="904"/>
      <c r="H3" s="904"/>
      <c r="I3" s="904"/>
      <c r="J3" s="904"/>
      <c r="K3" s="905"/>
    </row>
    <row r="4" spans="1:13" s="233" customFormat="1" ht="48.75" customHeight="1">
      <c r="A4" s="908" t="s">
        <v>61</v>
      </c>
      <c r="B4" s="908" t="s">
        <v>551</v>
      </c>
      <c r="C4" s="908"/>
      <c r="D4" s="908"/>
      <c r="E4" s="908"/>
      <c r="F4" s="908" t="s">
        <v>552</v>
      </c>
      <c r="G4" s="908"/>
      <c r="H4" s="908"/>
      <c r="I4" s="319" t="s">
        <v>553</v>
      </c>
      <c r="J4" s="319" t="s">
        <v>554</v>
      </c>
      <c r="K4" s="319" t="s">
        <v>465</v>
      </c>
      <c r="M4" s="547"/>
    </row>
    <row r="5" spans="1:13" s="233" customFormat="1" ht="14.25" customHeight="1">
      <c r="A5" s="908"/>
      <c r="B5" s="908" t="s">
        <v>97</v>
      </c>
      <c r="C5" s="908"/>
      <c r="D5" s="908"/>
      <c r="E5" s="908"/>
      <c r="F5" s="908" t="s">
        <v>79</v>
      </c>
      <c r="G5" s="908"/>
      <c r="H5" s="908"/>
      <c r="I5" s="319" t="s">
        <v>89</v>
      </c>
      <c r="J5" s="319" t="s">
        <v>80</v>
      </c>
      <c r="K5" s="319" t="s">
        <v>81</v>
      </c>
      <c r="M5" s="547"/>
    </row>
    <row r="6" spans="1:13" s="463" customFormat="1">
      <c r="A6" s="462">
        <v>1</v>
      </c>
      <c r="B6" s="894" t="s">
        <v>555</v>
      </c>
      <c r="C6" s="895"/>
      <c r="D6" s="895"/>
      <c r="E6" s="895"/>
      <c r="F6" s="864"/>
      <c r="G6" s="864"/>
      <c r="H6" s="864"/>
      <c r="I6" s="864"/>
      <c r="J6" s="864"/>
      <c r="K6" s="864"/>
      <c r="M6" s="548"/>
    </row>
    <row r="7" spans="1:13" ht="24" customHeight="1">
      <c r="A7" s="854" t="s">
        <v>92</v>
      </c>
      <c r="B7" s="888" t="s">
        <v>556</v>
      </c>
      <c r="C7" s="889"/>
      <c r="D7" s="889"/>
      <c r="E7" s="890"/>
      <c r="F7" s="885" t="s">
        <v>559</v>
      </c>
      <c r="G7" s="886"/>
      <c r="H7" s="887"/>
      <c r="I7" s="896">
        <f>+'[9]Bank Capital Calc'!$C$51</f>
        <v>0.18605105841889255</v>
      </c>
      <c r="J7" s="464" t="s">
        <v>98</v>
      </c>
      <c r="K7" s="819" t="str">
        <f>IF(I7="",0-J8,(IF((I7-J8)&gt;0,"",I7-J8)))</f>
        <v/>
      </c>
    </row>
    <row r="8" spans="1:13">
      <c r="A8" s="855"/>
      <c r="B8" s="879"/>
      <c r="C8" s="880"/>
      <c r="D8" s="880"/>
      <c r="E8" s="881"/>
      <c r="F8" s="888" t="s">
        <v>560</v>
      </c>
      <c r="G8" s="906"/>
      <c r="H8" s="907"/>
      <c r="I8" s="897"/>
      <c r="J8" s="465">
        <v>0.13</v>
      </c>
      <c r="K8" s="820"/>
    </row>
    <row r="9" spans="1:13">
      <c r="A9" s="854" t="s">
        <v>93</v>
      </c>
      <c r="B9" s="888" t="s">
        <v>557</v>
      </c>
      <c r="C9" s="889"/>
      <c r="D9" s="889"/>
      <c r="E9" s="890"/>
      <c r="F9" s="882" t="s">
        <v>561</v>
      </c>
      <c r="G9" s="883"/>
      <c r="H9" s="884"/>
      <c r="I9" s="896">
        <f>+'[9]Bank Capital Calc'!$C$50</f>
        <v>0.17602353486595448</v>
      </c>
      <c r="J9" s="464" t="s">
        <v>98</v>
      </c>
      <c r="K9" s="819" t="str">
        <f>IF(I9="",0-J10,(IF((I9-J10)&gt;0,"",I9-J10)))</f>
        <v/>
      </c>
    </row>
    <row r="10" spans="1:13">
      <c r="A10" s="855"/>
      <c r="B10" s="891"/>
      <c r="C10" s="892"/>
      <c r="D10" s="892"/>
      <c r="E10" s="893"/>
      <c r="F10" s="898" t="s">
        <v>560</v>
      </c>
      <c r="G10" s="899"/>
      <c r="H10" s="900"/>
      <c r="I10" s="897"/>
      <c r="J10" s="465">
        <v>0.1</v>
      </c>
      <c r="K10" s="820"/>
    </row>
    <row r="11" spans="1:13" ht="12.75" customHeight="1">
      <c r="A11" s="854" t="s">
        <v>94</v>
      </c>
      <c r="B11" s="876" t="s">
        <v>558</v>
      </c>
      <c r="C11" s="877"/>
      <c r="D11" s="877"/>
      <c r="E11" s="878"/>
      <c r="F11" s="882" t="s">
        <v>562</v>
      </c>
      <c r="G11" s="883"/>
      <c r="H11" s="884"/>
      <c r="I11" s="896">
        <f>+'[9]Bank Capital Calc'!$C$49</f>
        <v>0.1760169649408081</v>
      </c>
      <c r="J11" s="464" t="s">
        <v>98</v>
      </c>
      <c r="K11" s="819" t="str">
        <f>IF(I11="",0-J12,(IF((I11-J12)&gt;0,"",I11-J12)))</f>
        <v/>
      </c>
    </row>
    <row r="12" spans="1:13" ht="24.75" customHeight="1">
      <c r="A12" s="855"/>
      <c r="B12" s="879"/>
      <c r="C12" s="880"/>
      <c r="D12" s="880"/>
      <c r="E12" s="881"/>
      <c r="F12" s="885" t="s">
        <v>560</v>
      </c>
      <c r="G12" s="886"/>
      <c r="H12" s="887"/>
      <c r="I12" s="897"/>
      <c r="J12" s="465">
        <v>0.08</v>
      </c>
      <c r="K12" s="820"/>
    </row>
    <row r="13" spans="1:13">
      <c r="A13" s="854" t="s">
        <v>95</v>
      </c>
      <c r="B13" s="876" t="s">
        <v>99</v>
      </c>
      <c r="C13" s="877"/>
      <c r="D13" s="877"/>
      <c r="E13" s="878"/>
      <c r="F13" s="831" t="s">
        <v>561</v>
      </c>
      <c r="G13" s="832"/>
      <c r="H13" s="833"/>
      <c r="I13" s="896">
        <f>+'[9]Bank Capital Calc'!$C$57</f>
        <v>0.1943580524966497</v>
      </c>
      <c r="J13" s="464" t="s">
        <v>98</v>
      </c>
      <c r="K13" s="819" t="str">
        <f>IF(I13="",0-J14,(IF((I13-J14)&gt;0,"",I13-J14)))</f>
        <v/>
      </c>
    </row>
    <row r="14" spans="1:13" ht="24.75" customHeight="1">
      <c r="A14" s="855"/>
      <c r="B14" s="879"/>
      <c r="C14" s="880"/>
      <c r="D14" s="880"/>
      <c r="E14" s="881"/>
      <c r="F14" s="885" t="s">
        <v>563</v>
      </c>
      <c r="G14" s="886"/>
      <c r="H14" s="887"/>
      <c r="I14" s="897"/>
      <c r="J14" s="465">
        <v>0.06</v>
      </c>
      <c r="K14" s="820"/>
    </row>
    <row r="15" spans="1:13" s="463" customFormat="1">
      <c r="A15" s="219">
        <v>2</v>
      </c>
      <c r="B15" s="894" t="s">
        <v>564</v>
      </c>
      <c r="C15" s="895"/>
      <c r="D15" s="895"/>
      <c r="E15" s="895"/>
      <c r="F15" s="864"/>
      <c r="G15" s="864"/>
      <c r="H15" s="864"/>
      <c r="I15" s="864"/>
      <c r="J15" s="864"/>
      <c r="K15" s="864"/>
      <c r="M15" s="548"/>
    </row>
    <row r="16" spans="1:13" s="463" customFormat="1" ht="12.75" customHeight="1">
      <c r="A16" s="854" t="s">
        <v>100</v>
      </c>
      <c r="B16" s="876" t="s">
        <v>565</v>
      </c>
      <c r="C16" s="877"/>
      <c r="D16" s="877"/>
      <c r="E16" s="878"/>
      <c r="F16" s="882" t="s">
        <v>569</v>
      </c>
      <c r="G16" s="883"/>
      <c r="H16" s="884"/>
      <c r="I16" s="829">
        <f>+'[8]Liquidity Analysis'!$C$18</f>
        <v>8.1311246978419557E-2</v>
      </c>
      <c r="J16" s="464" t="s">
        <v>98</v>
      </c>
      <c r="K16" s="819">
        <f>IF(I16="",0-J17,(IF((I16-J17)&gt;0,"",I16-J17)))</f>
        <v>-1.8688753021580448E-2</v>
      </c>
      <c r="M16" s="548"/>
    </row>
    <row r="17" spans="1:13" s="463" customFormat="1">
      <c r="A17" s="855"/>
      <c r="B17" s="879"/>
      <c r="C17" s="880"/>
      <c r="D17" s="880"/>
      <c r="E17" s="881"/>
      <c r="F17" s="885" t="s">
        <v>281</v>
      </c>
      <c r="G17" s="886"/>
      <c r="H17" s="887"/>
      <c r="I17" s="846"/>
      <c r="J17" s="465">
        <v>0.1</v>
      </c>
      <c r="K17" s="820"/>
      <c r="M17" s="548"/>
    </row>
    <row r="18" spans="1:13" s="33" customFormat="1" ht="15.75" customHeight="1">
      <c r="A18" s="834" t="s">
        <v>34</v>
      </c>
      <c r="B18" s="871" t="s">
        <v>566</v>
      </c>
      <c r="C18" s="869"/>
      <c r="D18" s="869"/>
      <c r="E18" s="466" t="s">
        <v>234</v>
      </c>
      <c r="F18" s="868" t="s">
        <v>569</v>
      </c>
      <c r="G18" s="822"/>
      <c r="H18" s="823"/>
      <c r="I18" s="527">
        <f>+'[8]Liquidity Analysis'!$C$24</f>
        <v>1.3165602389449131</v>
      </c>
      <c r="J18" s="836" t="s">
        <v>98</v>
      </c>
      <c r="K18" s="318" t="str">
        <f>IF(I18="",0-$J$20,(IF((I18-$J$20)&gt;0,"",I18-$J$20)))</f>
        <v/>
      </c>
      <c r="M18" s="545"/>
    </row>
    <row r="19" spans="1:13" s="33" customFormat="1" ht="15.75" customHeight="1">
      <c r="A19" s="853"/>
      <c r="B19" s="874"/>
      <c r="C19" s="841"/>
      <c r="D19" s="841"/>
      <c r="E19" s="467" t="s">
        <v>285</v>
      </c>
      <c r="F19" s="843"/>
      <c r="G19" s="844"/>
      <c r="H19" s="845"/>
      <c r="I19" s="527">
        <f>+'[8]Liquidity Analysis'!$D$24</f>
        <v>1.0154409112305951</v>
      </c>
      <c r="J19" s="837"/>
      <c r="K19" s="318" t="str">
        <f>IF(I19="",0-$J$20,(IF((I19-$J$20)&gt;0,"",I19-$J$20)))</f>
        <v/>
      </c>
      <c r="M19" s="545"/>
    </row>
    <row r="20" spans="1:13" s="33" customFormat="1" ht="15.75" customHeight="1">
      <c r="A20" s="835"/>
      <c r="B20" s="859"/>
      <c r="C20" s="875"/>
      <c r="D20" s="875"/>
      <c r="E20" s="467" t="s">
        <v>490</v>
      </c>
      <c r="F20" s="858" t="s">
        <v>570</v>
      </c>
      <c r="G20" s="858"/>
      <c r="H20" s="858"/>
      <c r="I20" s="527">
        <f>+'[8]Liquidity Analysis'!$E$24</f>
        <v>1.9773468714170854</v>
      </c>
      <c r="J20" s="226">
        <v>1</v>
      </c>
      <c r="K20" s="318" t="str">
        <f>IF(I20="",0-$J$20,(IF((I20-$J$20)&gt;0,"",I20-$J$20)))</f>
        <v/>
      </c>
      <c r="M20" s="545"/>
    </row>
    <row r="21" spans="1:13" s="33" customFormat="1" ht="15" customHeight="1">
      <c r="A21" s="834" t="s">
        <v>567</v>
      </c>
      <c r="B21" s="871" t="s">
        <v>568</v>
      </c>
      <c r="C21" s="869"/>
      <c r="D21" s="869"/>
      <c r="E21" s="466" t="s">
        <v>234</v>
      </c>
      <c r="F21" s="868" t="s">
        <v>571</v>
      </c>
      <c r="G21" s="822"/>
      <c r="H21" s="823"/>
      <c r="I21" s="527">
        <f>+'[8]Liquidity Analysis'!$C$29</f>
        <v>1.0834579430265152</v>
      </c>
      <c r="J21" s="836" t="s">
        <v>98</v>
      </c>
      <c r="K21" s="318" t="str">
        <f>IF(I21="",0-$J$23,(IF((I21-$J$23)&gt;0,"",I21-$J$23)))</f>
        <v/>
      </c>
      <c r="M21" s="545"/>
    </row>
    <row r="22" spans="1:13" s="33" customFormat="1" ht="15" customHeight="1">
      <c r="A22" s="853"/>
      <c r="B22" s="874"/>
      <c r="C22" s="841"/>
      <c r="D22" s="841"/>
      <c r="E22" s="467" t="s">
        <v>285</v>
      </c>
      <c r="F22" s="843"/>
      <c r="G22" s="844"/>
      <c r="H22" s="845"/>
      <c r="I22" s="527">
        <f>+'[8]Liquidity Analysis'!$D$29</f>
        <v>1.1187238616732407</v>
      </c>
      <c r="J22" s="837"/>
      <c r="K22" s="318" t="str">
        <f>IF(I22="",0-$J$23,(IF((I22-$J$23)&gt;0,"",I22-$J$23)))</f>
        <v/>
      </c>
      <c r="M22" s="545"/>
    </row>
    <row r="23" spans="1:13" s="33" customFormat="1" ht="15" customHeight="1">
      <c r="A23" s="835"/>
      <c r="B23" s="859"/>
      <c r="C23" s="875"/>
      <c r="D23" s="875"/>
      <c r="E23" s="467" t="s">
        <v>490</v>
      </c>
      <c r="F23" s="858" t="s">
        <v>572</v>
      </c>
      <c r="G23" s="858"/>
      <c r="H23" s="858"/>
      <c r="I23" s="527">
        <f>+'[8]Liquidity Analysis'!$E$29</f>
        <v>0.9719413157360105</v>
      </c>
      <c r="J23" s="225">
        <v>1</v>
      </c>
      <c r="K23" s="318">
        <f>IF(I23="",0-$J$23,(IF((I23-$J$23)&gt;0,"",I23-$J$23)))</f>
        <v>-2.8058684263989497E-2</v>
      </c>
      <c r="M23" s="545"/>
    </row>
    <row r="24" spans="1:13" s="463" customFormat="1">
      <c r="A24" s="219">
        <v>3</v>
      </c>
      <c r="B24" s="867" t="s">
        <v>573</v>
      </c>
      <c r="C24" s="863"/>
      <c r="D24" s="863"/>
      <c r="E24" s="863"/>
      <c r="F24" s="864"/>
      <c r="G24" s="864"/>
      <c r="H24" s="864"/>
      <c r="I24" s="864"/>
      <c r="J24" s="864"/>
      <c r="K24" s="864"/>
      <c r="M24" s="548"/>
    </row>
    <row r="25" spans="1:13" ht="24" customHeight="1">
      <c r="A25" s="854" t="s">
        <v>101</v>
      </c>
      <c r="B25" s="871" t="s">
        <v>574</v>
      </c>
      <c r="C25" s="869"/>
      <c r="D25" s="869"/>
      <c r="E25" s="870"/>
      <c r="F25" s="847" t="s">
        <v>578</v>
      </c>
      <c r="G25" s="848"/>
      <c r="H25" s="849"/>
      <c r="I25" s="829">
        <f>IFERROR((+' Largest risk'!Z90/'[9]Bank Capital Calc'!$C$34),0)</f>
        <v>0.20643216539156845</v>
      </c>
      <c r="J25" s="227" t="s">
        <v>102</v>
      </c>
      <c r="K25" s="829" t="str">
        <f>IF(I25="","",IF(I25&lt;0,"ОТР",IF((I25-J26)&lt;0,"",I25-J26)))</f>
        <v/>
      </c>
    </row>
    <row r="26" spans="1:13">
      <c r="A26" s="855"/>
      <c r="B26" s="872"/>
      <c r="C26" s="824"/>
      <c r="D26" s="824"/>
      <c r="E26" s="825"/>
      <c r="F26" s="831" t="s">
        <v>561</v>
      </c>
      <c r="G26" s="832"/>
      <c r="H26" s="833"/>
      <c r="I26" s="846"/>
      <c r="J26" s="226">
        <v>0.25</v>
      </c>
      <c r="K26" s="873"/>
    </row>
    <row r="27" spans="1:13" s="33" customFormat="1" ht="28.5" customHeight="1">
      <c r="A27" s="834" t="s">
        <v>103</v>
      </c>
      <c r="B27" s="856" t="s">
        <v>575</v>
      </c>
      <c r="C27" s="869"/>
      <c r="D27" s="869"/>
      <c r="E27" s="870"/>
      <c r="F27" s="826" t="s">
        <v>579</v>
      </c>
      <c r="G27" s="827"/>
      <c r="H27" s="828"/>
      <c r="I27" s="838"/>
      <c r="J27" s="227" t="s">
        <v>102</v>
      </c>
      <c r="K27" s="819" t="str">
        <f>IF(I27&lt;0,"ОТР",IF((I27-J28)&lt;0,"",I27-J28))</f>
        <v/>
      </c>
      <c r="M27" s="545" t="s">
        <v>774</v>
      </c>
    </row>
    <row r="28" spans="1:13" s="33" customFormat="1">
      <c r="A28" s="835"/>
      <c r="B28" s="843"/>
      <c r="C28" s="844"/>
      <c r="D28" s="844"/>
      <c r="E28" s="845"/>
      <c r="F28" s="831" t="s">
        <v>561</v>
      </c>
      <c r="G28" s="832"/>
      <c r="H28" s="833"/>
      <c r="I28" s="839"/>
      <c r="J28" s="226">
        <v>0.25</v>
      </c>
      <c r="K28" s="820"/>
      <c r="M28" s="545"/>
    </row>
    <row r="29" spans="1:13" s="33" customFormat="1" ht="36" customHeight="1">
      <c r="A29" s="834" t="s">
        <v>23</v>
      </c>
      <c r="B29" s="871" t="s">
        <v>576</v>
      </c>
      <c r="C29" s="869"/>
      <c r="D29" s="869"/>
      <c r="E29" s="870"/>
      <c r="F29" s="847" t="s">
        <v>580</v>
      </c>
      <c r="G29" s="848"/>
      <c r="H29" s="849"/>
      <c r="I29" s="838"/>
      <c r="J29" s="227" t="s">
        <v>102</v>
      </c>
      <c r="K29" s="819" t="str">
        <f>IF(I29&lt;0,"ОТР",IF((I29-J30)&lt;0,"",I29-J30))</f>
        <v/>
      </c>
      <c r="M29" s="545" t="s">
        <v>774</v>
      </c>
    </row>
    <row r="30" spans="1:13" s="33" customFormat="1">
      <c r="A30" s="835"/>
      <c r="B30" s="843"/>
      <c r="C30" s="844"/>
      <c r="D30" s="844"/>
      <c r="E30" s="845"/>
      <c r="F30" s="831" t="s">
        <v>561</v>
      </c>
      <c r="G30" s="832"/>
      <c r="H30" s="833"/>
      <c r="I30" s="839"/>
      <c r="J30" s="226">
        <v>0.05</v>
      </c>
      <c r="K30" s="820"/>
      <c r="M30" s="545"/>
    </row>
    <row r="31" spans="1:13" s="33" customFormat="1" ht="14.25" customHeight="1">
      <c r="A31" s="834" t="s">
        <v>164</v>
      </c>
      <c r="B31" s="840" t="s">
        <v>577</v>
      </c>
      <c r="C31" s="841"/>
      <c r="D31" s="841"/>
      <c r="E31" s="842"/>
      <c r="F31" s="850" t="s">
        <v>581</v>
      </c>
      <c r="G31" s="851"/>
      <c r="H31" s="852"/>
      <c r="I31" s="829">
        <f>IFERROR((+' Largest risk'!Z89/'[9]Bank Capital Calc'!$C$34),0)</f>
        <v>0.20643216539156845</v>
      </c>
      <c r="J31" s="225" t="s">
        <v>102</v>
      </c>
      <c r="K31" s="819" t="str">
        <f>IF(I31="","",IF(I31&lt;0,"ОТР",IF((I31-J32)&lt;0,"",I31-J32)))</f>
        <v/>
      </c>
      <c r="M31" s="545"/>
    </row>
    <row r="32" spans="1:13" s="33" customFormat="1">
      <c r="A32" s="835"/>
      <c r="B32" s="843"/>
      <c r="C32" s="844"/>
      <c r="D32" s="844"/>
      <c r="E32" s="845"/>
      <c r="F32" s="831" t="s">
        <v>561</v>
      </c>
      <c r="G32" s="832"/>
      <c r="H32" s="833"/>
      <c r="I32" s="846"/>
      <c r="J32" s="225">
        <v>5</v>
      </c>
      <c r="K32" s="820"/>
      <c r="M32" s="545"/>
    </row>
    <row r="33" spans="1:30" s="234" customFormat="1">
      <c r="A33" s="468">
        <v>4</v>
      </c>
      <c r="B33" s="862" t="s">
        <v>582</v>
      </c>
      <c r="C33" s="863"/>
      <c r="D33" s="863"/>
      <c r="E33" s="863"/>
      <c r="F33" s="864"/>
      <c r="G33" s="864"/>
      <c r="H33" s="864"/>
      <c r="I33" s="864"/>
      <c r="J33" s="864"/>
      <c r="K33" s="864"/>
      <c r="M33" s="549"/>
    </row>
    <row r="34" spans="1:30" s="33" customFormat="1" ht="29.25" customHeight="1">
      <c r="A34" s="834" t="s">
        <v>104</v>
      </c>
      <c r="B34" s="821" t="s">
        <v>583</v>
      </c>
      <c r="C34" s="822"/>
      <c r="D34" s="822"/>
      <c r="E34" s="823"/>
      <c r="F34" s="826" t="s">
        <v>583</v>
      </c>
      <c r="G34" s="827"/>
      <c r="H34" s="828"/>
      <c r="I34" s="838"/>
      <c r="J34" s="227" t="s">
        <v>102</v>
      </c>
      <c r="K34" s="819" t="str">
        <f>IF(I34&lt;0,"ОТР",IF((I34-J35)&lt;0,"",I34-J35))</f>
        <v/>
      </c>
      <c r="M34" s="545" t="s">
        <v>774</v>
      </c>
    </row>
    <row r="35" spans="1:30" s="33" customFormat="1">
      <c r="A35" s="835"/>
      <c r="B35" s="824"/>
      <c r="C35" s="824"/>
      <c r="D35" s="824"/>
      <c r="E35" s="825"/>
      <c r="F35" s="831" t="s">
        <v>561</v>
      </c>
      <c r="G35" s="832"/>
      <c r="H35" s="833"/>
      <c r="I35" s="839"/>
      <c r="J35" s="226">
        <v>0.15</v>
      </c>
      <c r="K35" s="820"/>
      <c r="M35" s="545"/>
    </row>
    <row r="36" spans="1:30" s="33" customFormat="1" ht="36" customHeight="1">
      <c r="A36" s="834" t="s">
        <v>25</v>
      </c>
      <c r="B36" s="821" t="s">
        <v>802</v>
      </c>
      <c r="C36" s="822"/>
      <c r="D36" s="822"/>
      <c r="E36" s="823"/>
      <c r="F36" s="826" t="s">
        <v>802</v>
      </c>
      <c r="G36" s="865"/>
      <c r="H36" s="866"/>
      <c r="I36" s="829">
        <f>IFERROR((+(+'[8]Investment Securities'!$B$15-'[8]Investment Securities'!$B$5-'[8]Investment Securities'!$B$6+'[8]Investment Securities'!$B$22+'[8]Investment Securities'!$B$23+'[8]Investment Securities'!$B$24+'[8]Investment Securities'!$B$25-'[8]Investment Securities'!$B$28)/'[9]Bank Capital Calc'!$C$34),0)</f>
        <v>2.7756229199698449E-5</v>
      </c>
      <c r="J36" s="225" t="s">
        <v>102</v>
      </c>
      <c r="K36" s="819" t="str">
        <f>IF(I36="","",IF(I36&lt;0,"ОТР",IF((I36-J37)&lt;0,"",I36-J37)))</f>
        <v/>
      </c>
      <c r="M36" s="545"/>
    </row>
    <row r="37" spans="1:30" s="33" customFormat="1">
      <c r="A37" s="835"/>
      <c r="B37" s="824"/>
      <c r="C37" s="824"/>
      <c r="D37" s="824"/>
      <c r="E37" s="825"/>
      <c r="F37" s="850" t="s">
        <v>561</v>
      </c>
      <c r="G37" s="851"/>
      <c r="H37" s="852"/>
      <c r="I37" s="846"/>
      <c r="J37" s="225">
        <v>0.5</v>
      </c>
      <c r="K37" s="820"/>
      <c r="M37" s="545"/>
    </row>
    <row r="38" spans="1:30" s="234" customFormat="1">
      <c r="A38" s="468">
        <v>5</v>
      </c>
      <c r="B38" s="862" t="s">
        <v>584</v>
      </c>
      <c r="C38" s="863"/>
      <c r="D38" s="863"/>
      <c r="E38" s="863"/>
      <c r="F38" s="864"/>
      <c r="G38" s="864"/>
      <c r="H38" s="864"/>
      <c r="I38" s="864"/>
      <c r="J38" s="864"/>
      <c r="K38" s="864"/>
      <c r="M38" s="549"/>
    </row>
    <row r="39" spans="1:30" s="33" customFormat="1" ht="23.25" customHeight="1">
      <c r="A39" s="834" t="s">
        <v>105</v>
      </c>
      <c r="B39" s="857" t="s">
        <v>585</v>
      </c>
      <c r="C39" s="858"/>
      <c r="D39" s="858"/>
      <c r="E39" s="858"/>
      <c r="F39" s="826" t="s">
        <v>587</v>
      </c>
      <c r="G39" s="827"/>
      <c r="H39" s="828"/>
      <c r="I39" s="829">
        <f>IFERROR(((+'Transactions of related parties'!Z90-'[9]Bank Capital Calc'!$C$24)/'[9]Bank Capital Calc'!$C$34),0)</f>
        <v>3.0210333404260485E-4</v>
      </c>
      <c r="J39" s="227" t="s">
        <v>102</v>
      </c>
      <c r="K39" s="819" t="str">
        <f>IF(I39="","",IF(I39&lt;0,"ОТР",IF((I39-J40)&lt;0,"",I39-J40)))</f>
        <v/>
      </c>
      <c r="M39" s="545"/>
    </row>
    <row r="40" spans="1:30" s="33" customFormat="1">
      <c r="A40" s="835"/>
      <c r="B40" s="858"/>
      <c r="C40" s="858"/>
      <c r="D40" s="858"/>
      <c r="E40" s="858"/>
      <c r="F40" s="831" t="s">
        <v>561</v>
      </c>
      <c r="G40" s="832"/>
      <c r="H40" s="833"/>
      <c r="I40" s="830"/>
      <c r="J40" s="226">
        <v>0.25</v>
      </c>
      <c r="K40" s="820"/>
      <c r="M40" s="545"/>
    </row>
    <row r="41" spans="1:30" s="33" customFormat="1">
      <c r="A41" s="834" t="s">
        <v>217</v>
      </c>
      <c r="B41" s="857" t="s">
        <v>586</v>
      </c>
      <c r="C41" s="858"/>
      <c r="D41" s="858"/>
      <c r="E41" s="858"/>
      <c r="F41" s="859" t="s">
        <v>588</v>
      </c>
      <c r="G41" s="860"/>
      <c r="H41" s="861"/>
      <c r="I41" s="829">
        <f>IFERROR(((+'Transactions of related parties'!Z89-'[9]Bank Capital Calc'!$C$24)/'[9]Bank Capital Calc'!$C$34),0)</f>
        <v>1.8813623632277735E-3</v>
      </c>
      <c r="J41" s="225" t="s">
        <v>102</v>
      </c>
      <c r="K41" s="819" t="str">
        <f>IF(I41="","",IF(I41&lt;0,"ОТР",IF((I41-J42)&lt;0,"",I41-J42)))</f>
        <v/>
      </c>
      <c r="M41" s="545"/>
    </row>
    <row r="42" spans="1:30" s="33" customFormat="1">
      <c r="A42" s="835"/>
      <c r="B42" s="858"/>
      <c r="C42" s="858"/>
      <c r="D42" s="858"/>
      <c r="E42" s="858"/>
      <c r="F42" s="831" t="s">
        <v>561</v>
      </c>
      <c r="G42" s="832"/>
      <c r="H42" s="833"/>
      <c r="I42" s="830"/>
      <c r="J42" s="225">
        <v>0.5</v>
      </c>
      <c r="K42" s="820"/>
      <c r="M42" s="545"/>
    </row>
    <row r="43" spans="1:30" s="234" customFormat="1">
      <c r="A43" s="468">
        <v>6</v>
      </c>
      <c r="B43" s="862" t="s">
        <v>804</v>
      </c>
      <c r="C43" s="863"/>
      <c r="D43" s="863"/>
      <c r="E43" s="863"/>
      <c r="F43" s="864"/>
      <c r="G43" s="864"/>
      <c r="H43" s="864"/>
      <c r="I43" s="864"/>
      <c r="J43" s="864"/>
      <c r="K43" s="864"/>
      <c r="M43" s="549"/>
    </row>
    <row r="44" spans="1:30" s="33" customFormat="1">
      <c r="A44" s="834" t="s">
        <v>199</v>
      </c>
      <c r="B44" s="856" t="s">
        <v>803</v>
      </c>
      <c r="C44" s="822"/>
      <c r="D44" s="822"/>
      <c r="E44" s="823"/>
      <c r="F44" s="826" t="s">
        <v>803</v>
      </c>
      <c r="G44" s="827"/>
      <c r="H44" s="828"/>
      <c r="I44" s="838"/>
      <c r="J44" s="225" t="s">
        <v>102</v>
      </c>
      <c r="K44" s="819" t="str">
        <f>IF(I44="","",IF(I44&lt;0,"ОТР",IF((I44-J45)&lt;0,"",I44-J45)))</f>
        <v/>
      </c>
      <c r="M44" s="545" t="s">
        <v>774</v>
      </c>
    </row>
    <row r="45" spans="1:30" s="33" customFormat="1">
      <c r="A45" s="835"/>
      <c r="B45" s="843"/>
      <c r="C45" s="844"/>
      <c r="D45" s="844"/>
      <c r="E45" s="845"/>
      <c r="F45" s="831" t="s">
        <v>561</v>
      </c>
      <c r="G45" s="832"/>
      <c r="H45" s="833"/>
      <c r="I45" s="839"/>
      <c r="J45" s="226">
        <v>1</v>
      </c>
      <c r="K45" s="820"/>
      <c r="M45" s="545"/>
    </row>
    <row r="46" spans="1:30" s="33" customFormat="1">
      <c r="A46" s="228"/>
      <c r="J46" s="228"/>
      <c r="M46" s="545"/>
    </row>
    <row r="47" spans="1:30" ht="15" customHeight="1">
      <c r="A47" s="34"/>
      <c r="B47" s="232" t="s">
        <v>778</v>
      </c>
      <c r="C47" s="34"/>
      <c r="D47" s="34"/>
      <c r="E47" s="34"/>
      <c r="F47" s="338"/>
      <c r="G47" s="338"/>
      <c r="H47" s="338"/>
      <c r="I47" s="338"/>
      <c r="J47" s="338"/>
      <c r="K47" s="338"/>
      <c r="L47" s="338"/>
      <c r="M47" s="338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</row>
    <row r="48" spans="1:30" ht="11.25" customHeight="1">
      <c r="A48" s="34"/>
      <c r="B48" s="232"/>
      <c r="C48" s="34"/>
      <c r="D48" s="34"/>
      <c r="E48" s="34"/>
      <c r="F48" s="338"/>
      <c r="G48" s="338"/>
      <c r="H48" s="338"/>
      <c r="I48" s="338"/>
      <c r="J48" s="338"/>
      <c r="K48" s="338"/>
      <c r="L48" s="338"/>
      <c r="M48" s="338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</row>
    <row r="49" spans="1:30" ht="15" customHeight="1">
      <c r="A49" s="34"/>
      <c r="B49" s="232" t="s">
        <v>779</v>
      </c>
      <c r="C49" s="34"/>
      <c r="D49" s="34"/>
      <c r="E49" s="34"/>
      <c r="F49" s="338"/>
      <c r="G49" s="338"/>
      <c r="H49" s="338"/>
      <c r="I49" s="338"/>
      <c r="J49" s="338"/>
      <c r="K49" s="338"/>
      <c r="L49" s="338"/>
      <c r="M49" s="338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</row>
    <row r="50" spans="1:30" ht="12.75" customHeight="1"/>
    <row r="51" spans="1:30" ht="16.5" customHeight="1"/>
    <row r="52" spans="1:30" ht="27" customHeight="1"/>
  </sheetData>
  <sheetProtection password="CACA" sheet="1" objects="1" scenarios="1"/>
  <mergeCells count="115"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F9:H9"/>
    <mergeCell ref="I9:I10"/>
    <mergeCell ref="A13:A14"/>
    <mergeCell ref="B13:E14"/>
    <mergeCell ref="A9:A10"/>
    <mergeCell ref="K13:K14"/>
    <mergeCell ref="F14:H14"/>
    <mergeCell ref="A16:A17"/>
    <mergeCell ref="B16:E17"/>
    <mergeCell ref="F16:H16"/>
    <mergeCell ref="F17:H17"/>
    <mergeCell ref="F25:H25"/>
    <mergeCell ref="F27:H27"/>
    <mergeCell ref="B18:D20"/>
    <mergeCell ref="F18:H19"/>
    <mergeCell ref="A18:A20"/>
    <mergeCell ref="F20:H20"/>
    <mergeCell ref="K29:K30"/>
    <mergeCell ref="K27:K28"/>
    <mergeCell ref="F28:H28"/>
    <mergeCell ref="B29:E30"/>
    <mergeCell ref="I29:I30"/>
    <mergeCell ref="B21:D23"/>
    <mergeCell ref="B33:E33"/>
    <mergeCell ref="F33:K33"/>
    <mergeCell ref="I25:I26"/>
    <mergeCell ref="I16:I17"/>
    <mergeCell ref="F26:H26"/>
    <mergeCell ref="B24:E24"/>
    <mergeCell ref="F24:K24"/>
    <mergeCell ref="F23:H23"/>
    <mergeCell ref="F21:H22"/>
    <mergeCell ref="J21:J22"/>
    <mergeCell ref="B27:E28"/>
    <mergeCell ref="K16:K17"/>
    <mergeCell ref="B25:E26"/>
    <mergeCell ref="K25:K26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A39:A40"/>
    <mergeCell ref="B39:E40"/>
    <mergeCell ref="I41:I42"/>
    <mergeCell ref="K41:K42"/>
    <mergeCell ref="F42:H42"/>
    <mergeCell ref="K39:K40"/>
    <mergeCell ref="B38:E38"/>
    <mergeCell ref="A36:A37"/>
    <mergeCell ref="B43:E43"/>
    <mergeCell ref="F43:K43"/>
    <mergeCell ref="F38:K38"/>
    <mergeCell ref="K36:K37"/>
    <mergeCell ref="F37:H37"/>
    <mergeCell ref="F36:H36"/>
    <mergeCell ref="K34:K35"/>
    <mergeCell ref="B36:E37"/>
    <mergeCell ref="F39:H39"/>
    <mergeCell ref="I39:I40"/>
    <mergeCell ref="F40:H40"/>
    <mergeCell ref="A29:A30"/>
    <mergeCell ref="J18:J19"/>
    <mergeCell ref="B34:E35"/>
    <mergeCell ref="I34:I35"/>
    <mergeCell ref="F35:H35"/>
    <mergeCell ref="A34:A35"/>
    <mergeCell ref="B31:E32"/>
    <mergeCell ref="I31:I32"/>
    <mergeCell ref="F32:H32"/>
    <mergeCell ref="F30:H30"/>
    <mergeCell ref="A31:A32"/>
    <mergeCell ref="F29:H29"/>
    <mergeCell ref="F31:H31"/>
    <mergeCell ref="F34:H34"/>
    <mergeCell ref="I27:I28"/>
    <mergeCell ref="A27:A28"/>
    <mergeCell ref="A21:A23"/>
    <mergeCell ref="A25:A26"/>
    <mergeCell ref="K31:K32"/>
  </mergeCells>
  <phoneticPr fontId="15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16:I23 I7:I14 I39:I42 I31:I32 I44:I45 I36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5 I25 I27:I30"/>
  </dataValidations>
  <printOptions horizontalCentered="1" verticalCentered="1"/>
  <pageMargins left="0.16" right="0.18" top="0.22" bottom="0.15" header="0.51181102362204722" footer="0.51181102362204722"/>
  <pageSetup paperSize="9" scale="6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AD30"/>
  <sheetViews>
    <sheetView view="pageBreakPreview" zoomScaleSheetLayoutView="100" workbookViewId="0">
      <pane xSplit="1" ySplit="2" topLeftCell="B3" activePane="bottomRight" state="frozen"/>
      <selection activeCell="J47" sqref="J47"/>
      <selection pane="topRight" activeCell="J47" sqref="J47"/>
      <selection pane="bottomLeft" activeCell="J47" sqref="J47"/>
      <selection pane="bottomRight" activeCell="B3" sqref="B3"/>
    </sheetView>
  </sheetViews>
  <sheetFormatPr defaultRowHeight="12.75"/>
  <cols>
    <col min="1" max="1" width="6" style="262" customWidth="1"/>
    <col min="2" max="2" width="71.85546875" style="485" customWidth="1"/>
    <col min="3" max="3" width="19.28515625" style="262" customWidth="1"/>
    <col min="4" max="16384" width="9.140625" style="262"/>
  </cols>
  <sheetData>
    <row r="1" spans="1:5" s="16" customFormat="1" ht="39.75" customHeight="1">
      <c r="B1" s="469" t="s">
        <v>589</v>
      </c>
      <c r="C1" s="17" t="s">
        <v>590</v>
      </c>
    </row>
    <row r="2" spans="1:5" s="16" customFormat="1" ht="35.25" customHeight="1">
      <c r="A2" s="221"/>
      <c r="B2" s="221" t="str">
        <f>+'Asset quality'!B3</f>
        <v>"MKBANK"</v>
      </c>
      <c r="C2" s="519">
        <f>+'Economic Normatives'!I2</f>
        <v>45289</v>
      </c>
    </row>
    <row r="3" spans="1:5" s="16" customFormat="1" ht="32.25" customHeight="1">
      <c r="A3" s="470">
        <v>1</v>
      </c>
      <c r="B3" s="471" t="s">
        <v>591</v>
      </c>
      <c r="C3" s="19"/>
    </row>
    <row r="4" spans="1:5" s="20" customFormat="1" ht="30" customHeight="1">
      <c r="A4" s="472" t="s">
        <v>46</v>
      </c>
      <c r="B4" s="473" t="s">
        <v>592</v>
      </c>
      <c r="C4" s="19">
        <v>3835</v>
      </c>
    </row>
    <row r="5" spans="1:5" s="20" customFormat="1" ht="30" customHeight="1">
      <c r="A5" s="472" t="s">
        <v>42</v>
      </c>
      <c r="B5" s="473" t="s">
        <v>593</v>
      </c>
      <c r="C5" s="19">
        <v>3718</v>
      </c>
    </row>
    <row r="6" spans="1:5" s="16" customFormat="1" ht="32.25" customHeight="1">
      <c r="A6" s="470">
        <v>2</v>
      </c>
      <c r="B6" s="471" t="s">
        <v>594</v>
      </c>
      <c r="C6" s="19">
        <v>155</v>
      </c>
    </row>
    <row r="7" spans="1:5" s="16" customFormat="1">
      <c r="A7" s="470"/>
      <c r="B7" s="474" t="s">
        <v>595</v>
      </c>
      <c r="C7" s="475"/>
    </row>
    <row r="8" spans="1:5" s="20" customFormat="1" ht="30" customHeight="1">
      <c r="A8" s="472" t="s">
        <v>46</v>
      </c>
      <c r="B8" s="473" t="s">
        <v>596</v>
      </c>
      <c r="C8" s="19">
        <v>1</v>
      </c>
    </row>
    <row r="9" spans="1:5" s="20" customFormat="1" ht="30" customHeight="1">
      <c r="A9" s="472" t="s">
        <v>42</v>
      </c>
      <c r="B9" s="473" t="s">
        <v>597</v>
      </c>
      <c r="C9" s="19">
        <v>0</v>
      </c>
    </row>
    <row r="10" spans="1:5" s="20" customFormat="1" ht="30" customHeight="1">
      <c r="A10" s="472" t="s">
        <v>44</v>
      </c>
      <c r="B10" s="473" t="s">
        <v>598</v>
      </c>
      <c r="C10" s="19">
        <v>18</v>
      </c>
    </row>
    <row r="11" spans="1:5" s="224" customFormat="1" ht="30" customHeight="1">
      <c r="A11" s="476" t="s">
        <v>51</v>
      </c>
      <c r="B11" s="477" t="s">
        <v>599</v>
      </c>
      <c r="C11" s="223">
        <v>136</v>
      </c>
    </row>
    <row r="12" spans="1:5" s="177" customFormat="1" ht="30" customHeight="1">
      <c r="A12" s="478">
        <v>3</v>
      </c>
      <c r="B12" s="479" t="s">
        <v>600</v>
      </c>
      <c r="C12" s="263">
        <f>C14+C15+C16</f>
        <v>2015974</v>
      </c>
    </row>
    <row r="13" spans="1:5" s="177" customFormat="1">
      <c r="A13" s="480"/>
      <c r="B13" s="481" t="s">
        <v>595</v>
      </c>
      <c r="C13" s="293"/>
    </row>
    <row r="14" spans="1:5" s="224" customFormat="1" ht="30" customHeight="1">
      <c r="A14" s="222" t="s">
        <v>46</v>
      </c>
      <c r="B14" s="481" t="s">
        <v>601</v>
      </c>
      <c r="C14" s="223">
        <v>1710907</v>
      </c>
    </row>
    <row r="15" spans="1:5" s="224" customFormat="1" ht="30" customHeight="1">
      <c r="A15" s="222" t="s">
        <v>42</v>
      </c>
      <c r="B15" s="481" t="s">
        <v>602</v>
      </c>
      <c r="C15" s="223">
        <v>141308</v>
      </c>
    </row>
    <row r="16" spans="1:5" s="224" customFormat="1" ht="30" customHeight="1">
      <c r="A16" s="222" t="s">
        <v>44</v>
      </c>
      <c r="B16" s="481" t="s">
        <v>603</v>
      </c>
      <c r="C16" s="264">
        <f>+C18+C19+C20+C21+C22</f>
        <v>163759</v>
      </c>
      <c r="E16" s="224" t="s">
        <v>775</v>
      </c>
    </row>
    <row r="17" spans="1:30" s="224" customFormat="1">
      <c r="A17" s="222"/>
      <c r="B17" s="481" t="s">
        <v>604</v>
      </c>
      <c r="C17" s="223"/>
      <c r="E17" s="224" t="s">
        <v>776</v>
      </c>
    </row>
    <row r="18" spans="1:30" s="224" customFormat="1" ht="30" customHeight="1">
      <c r="A18" s="222" t="s">
        <v>218</v>
      </c>
      <c r="B18" s="482" t="s">
        <v>605</v>
      </c>
      <c r="C18" s="223">
        <v>105268</v>
      </c>
    </row>
    <row r="19" spans="1:30" s="224" customFormat="1" ht="29.25" customHeight="1">
      <c r="A19" s="222" t="s">
        <v>218</v>
      </c>
      <c r="B19" s="482" t="s">
        <v>606</v>
      </c>
      <c r="C19" s="223">
        <v>1135</v>
      </c>
    </row>
    <row r="20" spans="1:30" s="224" customFormat="1" ht="30" customHeight="1">
      <c r="A20" s="222" t="s">
        <v>218</v>
      </c>
      <c r="B20" s="482" t="s">
        <v>607</v>
      </c>
      <c r="C20" s="223">
        <v>26897</v>
      </c>
    </row>
    <row r="21" spans="1:30" s="224" customFormat="1" ht="30" customHeight="1">
      <c r="A21" s="222" t="s">
        <v>218</v>
      </c>
      <c r="B21" s="482" t="s">
        <v>608</v>
      </c>
      <c r="C21" s="223">
        <v>29931</v>
      </c>
    </row>
    <row r="22" spans="1:30" s="224" customFormat="1" ht="30" customHeight="1">
      <c r="A22" s="222" t="s">
        <v>218</v>
      </c>
      <c r="B22" s="482" t="s">
        <v>609</v>
      </c>
      <c r="C22" s="223">
        <v>528</v>
      </c>
    </row>
    <row r="23" spans="1:30" s="16" customFormat="1" ht="32.25" customHeight="1">
      <c r="A23" s="483">
        <v>4</v>
      </c>
      <c r="B23" s="484" t="s">
        <v>610</v>
      </c>
      <c r="C23" s="223">
        <v>46777</v>
      </c>
    </row>
    <row r="24" spans="1:30" s="224" customFormat="1" ht="30" customHeight="1">
      <c r="A24" s="222" t="s">
        <v>46</v>
      </c>
      <c r="B24" s="481" t="s">
        <v>611</v>
      </c>
      <c r="C24" s="19" t="s">
        <v>858</v>
      </c>
    </row>
    <row r="25" spans="1:30" s="224" customFormat="1" ht="30" customHeight="1">
      <c r="A25" s="222" t="s">
        <v>42</v>
      </c>
      <c r="B25" s="481" t="s">
        <v>612</v>
      </c>
      <c r="C25" s="19" t="s">
        <v>857</v>
      </c>
    </row>
    <row r="26" spans="1:30" s="16" customFormat="1" ht="12" customHeight="1">
      <c r="B26" s="433"/>
    </row>
    <row r="27" spans="1:30" s="258" customFormat="1" ht="15" customHeight="1">
      <c r="A27" s="34"/>
      <c r="B27" s="232" t="s">
        <v>778</v>
      </c>
      <c r="C27" s="34"/>
      <c r="D27" s="34"/>
      <c r="E27" s="34"/>
      <c r="F27" s="338"/>
      <c r="G27" s="338"/>
      <c r="H27" s="338"/>
      <c r="I27" s="338"/>
      <c r="J27" s="338"/>
      <c r="K27" s="338"/>
      <c r="L27" s="338"/>
      <c r="M27" s="338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258" customFormat="1" ht="11.25" customHeight="1">
      <c r="A28" s="34"/>
      <c r="B28" s="232"/>
      <c r="C28" s="34"/>
      <c r="D28" s="34"/>
      <c r="E28" s="34"/>
      <c r="F28" s="338"/>
      <c r="G28" s="338"/>
      <c r="H28" s="338"/>
      <c r="I28" s="338"/>
      <c r="J28" s="338"/>
      <c r="K28" s="338"/>
      <c r="L28" s="338"/>
      <c r="M28" s="338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258" customFormat="1" ht="15" customHeight="1">
      <c r="A29" s="34"/>
      <c r="B29" s="232" t="s">
        <v>779</v>
      </c>
      <c r="C29" s="34"/>
      <c r="D29" s="34"/>
      <c r="E29" s="34"/>
      <c r="F29" s="338"/>
      <c r="G29" s="338"/>
      <c r="H29" s="338"/>
      <c r="I29" s="338"/>
      <c r="J29" s="338"/>
      <c r="K29" s="338"/>
      <c r="L29" s="338"/>
      <c r="M29" s="338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>
      <c r="A30" s="16"/>
      <c r="B30" s="366"/>
    </row>
  </sheetData>
  <sheetProtection password="CACA" sheet="1" objects="1" scenarios="1"/>
  <phoneticPr fontId="15" type="noConversion"/>
  <dataValidations count="1">
    <dataValidation type="whole" operator="greaterThanOrEqual" allowBlank="1" showErrorMessage="1" error="Введите как целое положительное число." sqref="C8 C4:C5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AD54"/>
  <sheetViews>
    <sheetView view="pageBreakPreview" zoomScale="70" zoomScaleNormal="40" zoomScaleSheetLayoutView="70" workbookViewId="0">
      <pane xSplit="1" ySplit="3" topLeftCell="B15" activePane="bottomRight" state="frozen"/>
      <selection activeCell="L77" sqref="L77"/>
      <selection pane="topRight" activeCell="L77" sqref="L77"/>
      <selection pane="bottomLeft" activeCell="L77" sqref="L77"/>
      <selection pane="bottomRight" activeCell="B40" sqref="B40"/>
    </sheetView>
  </sheetViews>
  <sheetFormatPr defaultColWidth="97.7109375" defaultRowHeight="18.75"/>
  <cols>
    <col min="1" max="1" width="103.140625" style="203" customWidth="1"/>
    <col min="2" max="2" width="24.85546875" style="204" bestFit="1" customWidth="1"/>
    <col min="3" max="3" width="14.7109375" style="200" customWidth="1"/>
    <col min="4" max="4" width="16.5703125" style="323" customWidth="1"/>
    <col min="5" max="5" width="25.85546875" style="204" bestFit="1" customWidth="1"/>
    <col min="6" max="6" width="9.7109375" style="204" customWidth="1"/>
    <col min="7" max="7" width="10.7109375" style="200" bestFit="1" customWidth="1"/>
    <col min="8" max="9" width="9.7109375" style="200" customWidth="1"/>
    <col min="10" max="10" width="19.140625" style="200" bestFit="1" customWidth="1"/>
    <col min="11" max="11" width="10.140625" style="204" customWidth="1"/>
    <col min="12" max="13" width="19.5703125" style="200" customWidth="1"/>
    <col min="14" max="14" width="3.85546875" style="200" bestFit="1" customWidth="1"/>
    <col min="15" max="16" width="26.140625" style="200" customWidth="1"/>
    <col min="17" max="16384" width="97.7109375" style="200"/>
  </cols>
  <sheetData>
    <row r="1" spans="1:16" s="205" customFormat="1" ht="33.75" customHeight="1">
      <c r="A1" s="910" t="s">
        <v>613</v>
      </c>
      <c r="B1" s="910"/>
      <c r="D1" s="321"/>
    </row>
    <row r="2" spans="1:16" ht="20.25">
      <c r="A2" s="554" t="str">
        <f>+'Asset quality'!B3</f>
        <v>"MKBANK"</v>
      </c>
      <c r="B2" s="339" t="str">
        <f>+'Asset quality'!T3</f>
        <v>минг. сўмда</v>
      </c>
      <c r="C2" s="207" t="s">
        <v>204</v>
      </c>
      <c r="D2" s="322"/>
      <c r="E2" s="230"/>
      <c r="F2" s="230"/>
      <c r="K2" s="200"/>
      <c r="M2" s="201"/>
    </row>
    <row r="3" spans="1:16" s="202" customFormat="1" ht="47.25" customHeight="1">
      <c r="A3" s="221" t="s">
        <v>614</v>
      </c>
      <c r="B3" s="316">
        <f>+'Asset quality'!Q3</f>
        <v>45289</v>
      </c>
      <c r="C3" s="220"/>
      <c r="D3" s="322"/>
      <c r="E3" s="230"/>
      <c r="F3" s="230"/>
      <c r="K3" s="207" t="s">
        <v>747</v>
      </c>
      <c r="L3" s="209" t="s">
        <v>202</v>
      </c>
      <c r="M3" s="207" t="s">
        <v>203</v>
      </c>
      <c r="N3" s="230"/>
      <c r="O3" s="208" t="s">
        <v>200</v>
      </c>
      <c r="P3" s="210" t="s">
        <v>201</v>
      </c>
    </row>
    <row r="4" spans="1:16" ht="37.5">
      <c r="A4" s="343" t="s">
        <v>615</v>
      </c>
      <c r="B4" s="215">
        <f>IFERROR((B5/B6),0)</f>
        <v>0.18605105841889255</v>
      </c>
      <c r="D4" s="322"/>
      <c r="E4" s="230"/>
      <c r="F4" s="230"/>
      <c r="G4" s="202"/>
      <c r="H4" s="202"/>
      <c r="I4" s="202"/>
      <c r="J4" s="344" t="s">
        <v>216</v>
      </c>
      <c r="K4" s="204">
        <v>1</v>
      </c>
      <c r="L4" s="235">
        <v>16782496965</v>
      </c>
      <c r="M4" s="235">
        <v>3643911081</v>
      </c>
      <c r="N4" s="230"/>
      <c r="O4" s="202"/>
      <c r="P4" s="202"/>
    </row>
    <row r="5" spans="1:16" ht="24" customHeight="1">
      <c r="A5" s="345" t="s">
        <v>559</v>
      </c>
      <c r="B5" s="216">
        <f>+'[9]Bank Capital Calc'!$C$44</f>
        <v>4082975225</v>
      </c>
      <c r="D5" s="322"/>
      <c r="E5" s="230"/>
      <c r="F5" s="230"/>
      <c r="G5" s="202"/>
      <c r="H5" s="202"/>
      <c r="I5" s="202"/>
      <c r="J5" s="344" t="s">
        <v>205</v>
      </c>
      <c r="K5" s="204">
        <v>2</v>
      </c>
      <c r="L5" s="235">
        <v>17601228553</v>
      </c>
      <c r="M5" s="235">
        <v>3648496182</v>
      </c>
      <c r="N5" s="200">
        <v>1</v>
      </c>
      <c r="O5" s="486">
        <f>+(L4+L5)/2</f>
        <v>17191862759</v>
      </c>
      <c r="P5" s="486">
        <f>+(M4+M5)/2</f>
        <v>3646203631.5</v>
      </c>
    </row>
    <row r="6" spans="1:16" ht="24" customHeight="1">
      <c r="A6" s="346" t="s">
        <v>616</v>
      </c>
      <c r="B6" s="217">
        <f>+'[9]Bank Capital Calc'!$C$45</f>
        <v>21945455509.353848</v>
      </c>
      <c r="D6" s="322"/>
      <c r="E6" s="230"/>
      <c r="F6" s="230"/>
      <c r="G6" s="202"/>
      <c r="H6" s="202"/>
      <c r="I6" s="202"/>
      <c r="J6" s="344" t="s">
        <v>206</v>
      </c>
      <c r="K6" s="204">
        <v>3</v>
      </c>
      <c r="L6" s="235">
        <v>17338474203</v>
      </c>
      <c r="M6" s="235">
        <v>3651023817</v>
      </c>
      <c r="N6" s="200">
        <v>2</v>
      </c>
      <c r="O6" s="486">
        <f>+(L4+L5+L6)/3</f>
        <v>17240733240.333332</v>
      </c>
      <c r="P6" s="486">
        <f>+(M4+M5+M6)/3</f>
        <v>3647810360</v>
      </c>
    </row>
    <row r="7" spans="1:16" ht="37.5">
      <c r="A7" s="343" t="s">
        <v>617</v>
      </c>
      <c r="B7" s="215">
        <f>IFERROR((B8/B9),0)</f>
        <v>0.17602353486595448</v>
      </c>
      <c r="D7" s="322"/>
      <c r="E7" s="230"/>
      <c r="F7" s="230"/>
      <c r="G7" s="202"/>
      <c r="H7" s="202"/>
      <c r="I7" s="202"/>
      <c r="J7" s="344" t="s">
        <v>207</v>
      </c>
      <c r="K7" s="204">
        <v>4</v>
      </c>
      <c r="L7" s="235">
        <v>17430515476</v>
      </c>
      <c r="M7" s="235">
        <v>3647776654</v>
      </c>
      <c r="N7" s="200">
        <v>3</v>
      </c>
      <c r="O7" s="487">
        <f>+(L4+L7)/2</f>
        <v>17106506220.5</v>
      </c>
      <c r="P7" s="487">
        <f>+(M4+M7)/2</f>
        <v>3645843867.5</v>
      </c>
    </row>
    <row r="8" spans="1:16" ht="24" customHeight="1">
      <c r="A8" s="345" t="s">
        <v>561</v>
      </c>
      <c r="B8" s="216">
        <f>+'[9]Bank Capital Calc'!$C$34</f>
        <v>3862916653</v>
      </c>
      <c r="D8" s="322"/>
      <c r="E8" s="230"/>
      <c r="F8" s="230"/>
      <c r="G8" s="202"/>
      <c r="H8" s="202"/>
      <c r="I8" s="202"/>
      <c r="J8" s="344" t="s">
        <v>208</v>
      </c>
      <c r="K8" s="204">
        <v>5</v>
      </c>
      <c r="L8" s="235">
        <v>17993722406</v>
      </c>
      <c r="M8" s="235">
        <v>3648996699</v>
      </c>
      <c r="N8" s="200">
        <v>4</v>
      </c>
      <c r="O8" s="486">
        <f>+(+L4+L5+L6+L7+L8)/5</f>
        <v>17429287520.599998</v>
      </c>
      <c r="P8" s="486">
        <f>+(+M4+M5+M6+M7+M8)/5</f>
        <v>3648040886.5999999</v>
      </c>
    </row>
    <row r="9" spans="1:16" ht="24" customHeight="1">
      <c r="A9" s="346" t="s">
        <v>616</v>
      </c>
      <c r="B9" s="217">
        <f>+'[9]Bank Capital Calc'!$C$45</f>
        <v>21945455509.353848</v>
      </c>
      <c r="D9" s="322"/>
      <c r="E9" s="230"/>
      <c r="F9" s="230"/>
      <c r="G9" s="202"/>
      <c r="H9" s="202"/>
      <c r="I9" s="202"/>
      <c r="J9" s="344" t="s">
        <v>209</v>
      </c>
      <c r="K9" s="204">
        <v>6</v>
      </c>
      <c r="L9" s="235">
        <v>17991427927</v>
      </c>
      <c r="M9" s="235">
        <v>3652649987</v>
      </c>
      <c r="N9" s="200">
        <v>5</v>
      </c>
      <c r="O9" s="486">
        <f>+(+L4+L5+L6+L7+L8+L9)/6</f>
        <v>17522977588.333332</v>
      </c>
      <c r="P9" s="486">
        <f>+(+M4+M5+M6+M7+M8+M9)/6</f>
        <v>3648809070</v>
      </c>
    </row>
    <row r="10" spans="1:16" ht="24" customHeight="1">
      <c r="A10" s="343" t="s">
        <v>618</v>
      </c>
      <c r="B10" s="215">
        <f>IFERROR((B11/B12),0)</f>
        <v>0.19013192337904755</v>
      </c>
      <c r="D10" s="322"/>
      <c r="E10" s="230"/>
      <c r="F10" s="230"/>
      <c r="G10" s="202"/>
      <c r="H10" s="202"/>
      <c r="I10" s="202"/>
      <c r="J10" s="344" t="s">
        <v>210</v>
      </c>
      <c r="K10" s="204">
        <v>7</v>
      </c>
      <c r="L10" s="235">
        <v>17980381002</v>
      </c>
      <c r="M10" s="235">
        <v>3654252917</v>
      </c>
      <c r="N10" s="200">
        <v>6</v>
      </c>
      <c r="O10" s="487">
        <f>+(L4+L7+L10)/3</f>
        <v>17397797814.333332</v>
      </c>
      <c r="P10" s="487">
        <f>+(M4+M7+M10)/3</f>
        <v>3648646884</v>
      </c>
    </row>
    <row r="11" spans="1:16" ht="24" customHeight="1">
      <c r="A11" s="345" t="s">
        <v>619</v>
      </c>
      <c r="B11" s="216">
        <f>+('Asset Classification'!M31-'Asset Classification'!O31+'Asset Classification'!Q31-'Asset Classification'!S31+'Asset Classification'!U31-'Asset Classification'!W31)</f>
        <v>747904456</v>
      </c>
      <c r="D11" s="322"/>
      <c r="E11" s="230"/>
      <c r="F11" s="230"/>
      <c r="G11" s="202"/>
      <c r="H11" s="202"/>
      <c r="I11" s="202"/>
      <c r="J11" s="344" t="s">
        <v>211</v>
      </c>
      <c r="K11" s="204">
        <v>8</v>
      </c>
      <c r="L11" s="235">
        <v>17477690748</v>
      </c>
      <c r="M11" s="235">
        <v>3656451541</v>
      </c>
      <c r="N11" s="200">
        <v>7</v>
      </c>
      <c r="O11" s="486">
        <f>(L4+L5+L6+L7+L8+L9+L10+L11)/8</f>
        <v>17574492160</v>
      </c>
      <c r="P11" s="486">
        <f>(M4+M5+M6+M7+M8+M9+M10+M11)/8</f>
        <v>3650444859.75</v>
      </c>
    </row>
    <row r="12" spans="1:16" ht="24" customHeight="1">
      <c r="A12" s="346" t="s">
        <v>620</v>
      </c>
      <c r="B12" s="217">
        <f>+B35</f>
        <v>3933608006</v>
      </c>
      <c r="D12" s="322"/>
      <c r="E12" s="230"/>
      <c r="F12" s="230"/>
      <c r="G12" s="202"/>
      <c r="H12" s="202"/>
      <c r="I12" s="202"/>
      <c r="J12" s="344" t="s">
        <v>212</v>
      </c>
      <c r="K12" s="204">
        <v>9</v>
      </c>
      <c r="L12" s="235">
        <v>17840553886</v>
      </c>
      <c r="M12" s="235">
        <v>3657409248</v>
      </c>
      <c r="N12" s="200">
        <v>8</v>
      </c>
      <c r="O12" s="486">
        <f>(L4+L5+L6+L7+L8+L9+L10+L11+L12)/9</f>
        <v>17604054574</v>
      </c>
      <c r="P12" s="486">
        <f>(M4+M5+M6+M7+M8+M9+M10+M11+M12)/9</f>
        <v>3651218680.6666665</v>
      </c>
    </row>
    <row r="13" spans="1:16" ht="24" customHeight="1">
      <c r="A13" s="343" t="s">
        <v>621</v>
      </c>
      <c r="B13" s="215">
        <f>IFERROR((B14/B15),0)</f>
        <v>5.9927517540858545E-2</v>
      </c>
      <c r="D13" s="322"/>
      <c r="E13" s="230"/>
      <c r="F13" s="230"/>
      <c r="G13" s="202"/>
      <c r="H13" s="202"/>
      <c r="I13" s="202"/>
      <c r="J13" s="344" t="s">
        <v>213</v>
      </c>
      <c r="K13" s="204">
        <v>10</v>
      </c>
      <c r="L13" s="235">
        <v>17811194014</v>
      </c>
      <c r="M13" s="235">
        <v>3660510273</v>
      </c>
      <c r="N13" s="200">
        <v>9</v>
      </c>
      <c r="O13" s="487">
        <f>+(L4+L7+L10+L13)/4</f>
        <v>17501146864.25</v>
      </c>
      <c r="P13" s="487">
        <f>+(M4+M7+M10+M13)/4</f>
        <v>3651612731.25</v>
      </c>
    </row>
    <row r="14" spans="1:16" ht="24" customHeight="1">
      <c r="A14" s="345" t="s">
        <v>622</v>
      </c>
      <c r="B14" s="216">
        <f>+('Asset Classification'!M31+'Asset Classification'!Q31+'Asset Classification'!U31)</f>
        <v>865178397</v>
      </c>
      <c r="D14" s="322"/>
      <c r="E14" s="230"/>
      <c r="F14" s="230"/>
      <c r="G14" s="202"/>
      <c r="H14" s="202"/>
      <c r="I14" s="202"/>
      <c r="J14" s="344" t="s">
        <v>214</v>
      </c>
      <c r="K14" s="204">
        <v>11</v>
      </c>
      <c r="L14" s="235">
        <v>18088107623</v>
      </c>
      <c r="M14" s="235">
        <v>3913042372</v>
      </c>
      <c r="N14" s="200">
        <v>10</v>
      </c>
      <c r="O14" s="486">
        <f>(+L4+L5+L6+L7+L8+L9+L10+L11+L12+L13+L14)/11</f>
        <v>17666890254.81818</v>
      </c>
      <c r="P14" s="486">
        <f>(+M4+M5+M6+M7+M8+M9+M10+M11+M12+M13+M14)/11</f>
        <v>3675865524.6363635</v>
      </c>
    </row>
    <row r="15" spans="1:16" ht="24" customHeight="1">
      <c r="A15" s="346" t="s">
        <v>623</v>
      </c>
      <c r="B15" s="217">
        <f>+'Loans Receivable'!C85</f>
        <v>14437080535</v>
      </c>
      <c r="D15" s="322"/>
      <c r="E15" s="230"/>
      <c r="F15" s="230"/>
      <c r="G15" s="202"/>
      <c r="H15" s="202"/>
      <c r="I15" s="202"/>
      <c r="J15" s="344" t="s">
        <v>215</v>
      </c>
      <c r="K15" s="204">
        <v>12</v>
      </c>
      <c r="L15" s="235">
        <v>18869496212</v>
      </c>
      <c r="M15" s="235">
        <v>3923051520</v>
      </c>
      <c r="N15" s="200">
        <v>11</v>
      </c>
      <c r="O15" s="486">
        <f>(+L4+L5+L6+L7+L8+L9+L10+L11+L12+L13+L14+L15)/12</f>
        <v>17767107417.916668</v>
      </c>
      <c r="P15" s="486">
        <f>(+M4+M5+M6+M7+M8+M9+M10+M11+M12+M13+M14+M15)/12</f>
        <v>3696464357.5833335</v>
      </c>
    </row>
    <row r="16" spans="1:16" ht="24" customHeight="1">
      <c r="A16" s="343" t="s">
        <v>624</v>
      </c>
      <c r="B16" s="215">
        <f>IFERROR((B17/B18),0)</f>
        <v>3.4852292480821493E-3</v>
      </c>
      <c r="D16" s="322"/>
      <c r="E16" s="230"/>
      <c r="F16" s="230"/>
      <c r="G16" s="202"/>
      <c r="H16" s="202"/>
      <c r="I16" s="202"/>
      <c r="J16" s="344" t="s">
        <v>216</v>
      </c>
      <c r="K16" s="204">
        <v>13</v>
      </c>
      <c r="L16" s="235">
        <v>19061519219</v>
      </c>
      <c r="M16" s="235">
        <v>3933608006</v>
      </c>
      <c r="N16" s="200">
        <v>12</v>
      </c>
      <c r="O16" s="487">
        <f>+(L4+L7+L10+L13+L16)/5</f>
        <v>17813221335.200001</v>
      </c>
      <c r="P16" s="487">
        <f>+(M4+M7+M10+M13+M16)/5</f>
        <v>3708011786.1999998</v>
      </c>
    </row>
    <row r="17" spans="1:16" ht="24" customHeight="1">
      <c r="A17" s="345" t="s">
        <v>625</v>
      </c>
      <c r="B17" s="216">
        <f>(+'Income '!C70)/MONTH(B3)*12</f>
        <v>62083160</v>
      </c>
      <c r="C17" s="214"/>
      <c r="D17" s="322"/>
      <c r="E17" s="230"/>
      <c r="F17" s="230"/>
      <c r="G17" s="202"/>
      <c r="H17" s="202"/>
      <c r="I17" s="202"/>
      <c r="J17" s="323"/>
      <c r="K17" s="200"/>
      <c r="O17" s="486"/>
      <c r="P17" s="486"/>
    </row>
    <row r="18" spans="1:16" ht="24" customHeight="1">
      <c r="A18" s="346" t="s">
        <v>626</v>
      </c>
      <c r="B18" s="217">
        <f>VLOOKUP(MONTH(B3),$N$4:$P$16,2,0)</f>
        <v>17813221335.200001</v>
      </c>
      <c r="D18" s="322"/>
      <c r="E18" s="230"/>
      <c r="F18" s="230"/>
      <c r="G18" s="202"/>
      <c r="H18" s="202"/>
      <c r="I18" s="202"/>
      <c r="J18" s="323"/>
      <c r="K18" s="200"/>
    </row>
    <row r="19" spans="1:16" ht="24" customHeight="1">
      <c r="A19" s="347" t="s">
        <v>627</v>
      </c>
      <c r="B19" s="215">
        <f>IFERROR((B20/B21),0)</f>
        <v>1.1085427816863717E-2</v>
      </c>
      <c r="D19" s="322"/>
      <c r="E19" s="230"/>
      <c r="F19" s="230"/>
      <c r="G19" s="202"/>
      <c r="H19" s="202"/>
      <c r="I19" s="202"/>
      <c r="K19" s="200"/>
    </row>
    <row r="20" spans="1:16" ht="24" customHeight="1">
      <c r="A20" s="348" t="s">
        <v>628</v>
      </c>
      <c r="B20" s="216">
        <f>(+'Income '!C77)/MONTH(B3)*12</f>
        <v>41104897</v>
      </c>
      <c r="D20" s="322"/>
      <c r="E20" s="230"/>
      <c r="F20" s="230"/>
      <c r="G20" s="202"/>
      <c r="H20" s="202"/>
      <c r="I20" s="202"/>
      <c r="K20" s="200"/>
    </row>
    <row r="21" spans="1:16" ht="24" customHeight="1">
      <c r="A21" s="349" t="s">
        <v>629</v>
      </c>
      <c r="B21" s="217">
        <f>VLOOKUP(MONTH(B3),$N$4:$P$16,3,0)</f>
        <v>3708011786.1999998</v>
      </c>
      <c r="D21" s="322"/>
      <c r="E21" s="230"/>
      <c r="F21" s="230"/>
      <c r="G21" s="202"/>
      <c r="H21" s="202"/>
      <c r="I21" s="202"/>
      <c r="K21" s="200"/>
    </row>
    <row r="22" spans="1:16" ht="24" customHeight="1">
      <c r="A22" s="347" t="s">
        <v>630</v>
      </c>
      <c r="B22" s="215">
        <f>IFERROR((B23/B24),0)</f>
        <v>0.3345689363228308</v>
      </c>
      <c r="D22" s="322"/>
      <c r="E22" s="230"/>
      <c r="F22" s="230"/>
      <c r="G22" s="202"/>
      <c r="H22" s="202"/>
      <c r="I22" s="202"/>
      <c r="K22" s="200"/>
    </row>
    <row r="23" spans="1:16" ht="24" customHeight="1">
      <c r="A23" s="348" t="s">
        <v>631</v>
      </c>
      <c r="B23" s="216">
        <f>+'Income '!C29</f>
        <v>743885622</v>
      </c>
      <c r="D23" s="322"/>
      <c r="E23" s="230"/>
      <c r="F23" s="230"/>
      <c r="G23" s="202"/>
      <c r="H23" s="202"/>
      <c r="I23" s="202"/>
      <c r="K23" s="200"/>
    </row>
    <row r="24" spans="1:16" ht="24" customHeight="1">
      <c r="A24" s="349" t="s">
        <v>632</v>
      </c>
      <c r="B24" s="217">
        <f>+B27</f>
        <v>2223415091</v>
      </c>
      <c r="D24" s="322"/>
      <c r="E24" s="230"/>
      <c r="F24" s="230"/>
      <c r="G24" s="202"/>
      <c r="H24" s="202"/>
      <c r="I24" s="202"/>
      <c r="K24" s="200"/>
    </row>
    <row r="25" spans="1:16" ht="24" customHeight="1">
      <c r="A25" s="347" t="s">
        <v>633</v>
      </c>
      <c r="B25" s="215">
        <f>IFERROR((B26/B27),0)</f>
        <v>0.79114153048626579</v>
      </c>
      <c r="D25" s="322"/>
      <c r="E25" s="230"/>
      <c r="F25" s="230"/>
      <c r="G25" s="202"/>
      <c r="H25" s="202"/>
      <c r="I25" s="202"/>
      <c r="K25" s="200"/>
    </row>
    <row r="26" spans="1:16" ht="24" customHeight="1">
      <c r="A26" s="348" t="s">
        <v>634</v>
      </c>
      <c r="B26" s="216">
        <f>+'Income '!C52+'Income '!C68</f>
        <v>1759036018</v>
      </c>
      <c r="D26" s="322"/>
      <c r="E26" s="230"/>
      <c r="F26" s="230"/>
      <c r="G26" s="202"/>
      <c r="H26" s="202"/>
      <c r="I26" s="202"/>
      <c r="K26" s="200"/>
    </row>
    <row r="27" spans="1:16" ht="24" customHeight="1">
      <c r="A27" s="349" t="s">
        <v>632</v>
      </c>
      <c r="B27" s="217">
        <f>+'Income '!C29+'Income '!C44</f>
        <v>2223415091</v>
      </c>
      <c r="D27" s="322"/>
      <c r="E27" s="230"/>
      <c r="F27" s="230"/>
      <c r="G27" s="202"/>
      <c r="H27" s="202"/>
      <c r="I27" s="202"/>
      <c r="K27" s="200"/>
    </row>
    <row r="28" spans="1:16" ht="24" customHeight="1">
      <c r="A28" s="347" t="s">
        <v>635</v>
      </c>
      <c r="B28" s="215">
        <f>IFERROR((B29/B30),0)</f>
        <v>8.4154637758414447E-2</v>
      </c>
      <c r="D28" s="322"/>
      <c r="E28" s="230"/>
      <c r="F28" s="230"/>
      <c r="G28" s="202"/>
      <c r="H28" s="202"/>
      <c r="I28" s="202"/>
      <c r="K28" s="200"/>
    </row>
    <row r="29" spans="1:16" ht="24" customHeight="1">
      <c r="A29" s="348" t="s">
        <v>636</v>
      </c>
      <c r="B29" s="216">
        <f>+B32</f>
        <v>1604115245</v>
      </c>
      <c r="D29" s="322"/>
      <c r="E29" s="230"/>
      <c r="F29" s="230"/>
      <c r="G29" s="202"/>
      <c r="H29" s="202"/>
      <c r="I29" s="202"/>
      <c r="K29" s="200"/>
    </row>
    <row r="30" spans="1:16" ht="24" customHeight="1">
      <c r="A30" s="349" t="s">
        <v>281</v>
      </c>
      <c r="B30" s="217">
        <f>+B36</f>
        <v>19061519219</v>
      </c>
      <c r="D30" s="322"/>
      <c r="E30" s="230"/>
      <c r="F30" s="230"/>
      <c r="G30" s="202"/>
      <c r="H30" s="202"/>
      <c r="I30" s="202"/>
      <c r="K30" s="200"/>
    </row>
    <row r="31" spans="1:16" ht="24" customHeight="1">
      <c r="A31" s="347" t="s">
        <v>637</v>
      </c>
      <c r="B31" s="215">
        <f>IFERROR((B29/B33),0)</f>
        <v>0.22620534266223147</v>
      </c>
      <c r="D31" s="322"/>
      <c r="E31" s="230"/>
      <c r="F31" s="230"/>
      <c r="G31" s="202"/>
      <c r="H31" s="202"/>
      <c r="I31" s="202"/>
      <c r="K31" s="200"/>
    </row>
    <row r="32" spans="1:16" ht="24" customHeight="1">
      <c r="A32" s="348" t="s">
        <v>636</v>
      </c>
      <c r="B32" s="216">
        <f>+B54</f>
        <v>1604115245</v>
      </c>
      <c r="D32" s="322"/>
      <c r="E32" s="230"/>
      <c r="F32" s="230"/>
      <c r="G32" s="202"/>
      <c r="H32" s="202"/>
      <c r="I32" s="202"/>
      <c r="K32" s="200"/>
    </row>
    <row r="33" spans="1:30" ht="24" customHeight="1">
      <c r="A33" s="349" t="s">
        <v>638</v>
      </c>
      <c r="B33" s="217">
        <f>+('[8]Bank Liabilities Analysis'!$C$40+'[8]Bank Liabilities Analysis'!$E$40+'[8]Bank Liabilities Analysis'!$G$40+'[8]Bank Liabilities Analysis'!$I$40+'[8]Bank Liabilities Analysis'!$K$40+'[8]Bank Liabilities Analysis'!$M$40)</f>
        <v>7091411839</v>
      </c>
      <c r="D33" s="322"/>
      <c r="E33" s="230"/>
      <c r="F33" s="230"/>
      <c r="G33" s="202"/>
      <c r="H33" s="202"/>
      <c r="I33" s="202"/>
      <c r="K33" s="200"/>
    </row>
    <row r="34" spans="1:30" ht="24" customHeight="1">
      <c r="A34" s="347" t="s">
        <v>639</v>
      </c>
      <c r="B34" s="215">
        <f>IFERROR((B35/B36),0)</f>
        <v>0.20636382445734375</v>
      </c>
      <c r="D34" s="322"/>
      <c r="E34" s="230"/>
      <c r="F34" s="230"/>
      <c r="G34" s="202"/>
      <c r="H34" s="202"/>
      <c r="I34" s="202"/>
      <c r="K34" s="200"/>
    </row>
    <row r="35" spans="1:30" ht="24" customHeight="1">
      <c r="A35" s="348" t="s">
        <v>620</v>
      </c>
      <c r="B35" s="216">
        <f>+[8]Balance!$C$77</f>
        <v>3933608006</v>
      </c>
      <c r="D35" s="322"/>
      <c r="E35" s="230"/>
      <c r="F35" s="230"/>
      <c r="G35" s="202"/>
      <c r="H35" s="202"/>
      <c r="I35" s="202"/>
      <c r="K35" s="200"/>
    </row>
    <row r="36" spans="1:30" ht="24" customHeight="1">
      <c r="A36" s="349" t="s">
        <v>281</v>
      </c>
      <c r="B36" s="217">
        <f>+[8]Balance!$C$47</f>
        <v>19061519219</v>
      </c>
      <c r="D36" s="322"/>
      <c r="E36" s="230"/>
      <c r="F36" s="230"/>
      <c r="G36" s="202"/>
      <c r="H36" s="202"/>
      <c r="I36" s="202"/>
      <c r="K36" s="200"/>
    </row>
    <row r="37" spans="1:30" ht="24" customHeight="1">
      <c r="A37" s="347" t="s">
        <v>640</v>
      </c>
      <c r="B37" s="215">
        <f>IFERROR((B38/B39),0)</f>
        <v>5.6644272296612772E-2</v>
      </c>
      <c r="D37" s="322"/>
      <c r="E37" s="230"/>
      <c r="F37" s="230"/>
      <c r="G37" s="202"/>
      <c r="H37" s="202"/>
      <c r="I37" s="202"/>
      <c r="K37" s="200"/>
    </row>
    <row r="38" spans="1:30" ht="24" customHeight="1">
      <c r="A38" s="348" t="s">
        <v>641</v>
      </c>
      <c r="B38" s="216">
        <f>+'[9]Calculation of Risk'!$C$26</f>
        <v>222816363</v>
      </c>
      <c r="D38" s="322"/>
      <c r="E38" s="230"/>
      <c r="F38" s="230"/>
      <c r="G38" s="202"/>
      <c r="H38" s="202"/>
      <c r="I38" s="202"/>
      <c r="K38" s="200"/>
    </row>
    <row r="39" spans="1:30" ht="24" customHeight="1">
      <c r="A39" s="349" t="s">
        <v>620</v>
      </c>
      <c r="B39" s="217">
        <f>+B35</f>
        <v>3933608006</v>
      </c>
      <c r="D39" s="322"/>
      <c r="E39" s="230"/>
      <c r="F39" s="230"/>
      <c r="G39" s="202"/>
      <c r="H39" s="202"/>
      <c r="I39" s="202"/>
      <c r="K39" s="200"/>
    </row>
    <row r="40" spans="1:30">
      <c r="E40" s="200"/>
      <c r="F40" s="200"/>
      <c r="K40" s="200"/>
    </row>
    <row r="41" spans="1:30" s="258" customFormat="1" ht="18">
      <c r="A41" s="553" t="s">
        <v>778</v>
      </c>
      <c r="C41" s="34"/>
      <c r="D41" s="34"/>
      <c r="E41" s="34"/>
      <c r="F41" s="338"/>
      <c r="G41" s="338"/>
      <c r="H41" s="338"/>
      <c r="I41" s="338"/>
      <c r="J41" s="338"/>
      <c r="K41" s="338"/>
      <c r="L41" s="338"/>
      <c r="M41" s="338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</row>
    <row r="42" spans="1:30" s="258" customFormat="1" ht="11.25" customHeight="1">
      <c r="A42" s="553"/>
      <c r="C42" s="34"/>
      <c r="D42" s="34"/>
      <c r="E42" s="34"/>
      <c r="F42" s="338"/>
      <c r="G42" s="338"/>
      <c r="H42" s="338"/>
      <c r="I42" s="338"/>
      <c r="J42" s="338"/>
      <c r="K42" s="338"/>
      <c r="L42" s="338"/>
      <c r="M42" s="338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</row>
    <row r="43" spans="1:30" s="258" customFormat="1" ht="18">
      <c r="A43" s="553" t="s">
        <v>779</v>
      </c>
      <c r="C43" s="34"/>
      <c r="D43" s="34"/>
      <c r="E43" s="34"/>
      <c r="F43" s="338"/>
      <c r="G43" s="338"/>
      <c r="H43" s="338"/>
      <c r="I43" s="338"/>
      <c r="J43" s="338"/>
      <c r="K43" s="338"/>
      <c r="L43" s="338"/>
      <c r="M43" s="338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</row>
    <row r="44" spans="1:30" s="199" customFormat="1" ht="15.75">
      <c r="A44" s="198"/>
      <c r="D44" s="324"/>
      <c r="J44" s="197"/>
    </row>
    <row r="46" spans="1:30">
      <c r="A46" s="115" t="s">
        <v>748</v>
      </c>
      <c r="B46" s="115" t="s">
        <v>234</v>
      </c>
    </row>
    <row r="47" spans="1:30" s="33" customFormat="1" ht="13.5" customHeight="1">
      <c r="A47" s="206" t="s">
        <v>749</v>
      </c>
      <c r="B47" s="540">
        <f>+'[8]Liquidity Analysis'!C51</f>
        <v>722231958</v>
      </c>
      <c r="C47" s="200"/>
      <c r="D47" s="323"/>
      <c r="E47" s="204"/>
      <c r="F47" s="211"/>
      <c r="G47" s="211"/>
      <c r="H47" s="212"/>
      <c r="I47" s="212"/>
      <c r="J47" s="211"/>
      <c r="K47" s="211"/>
      <c r="L47" s="211"/>
    </row>
    <row r="48" spans="1:30" s="33" customFormat="1" ht="13.5" customHeight="1">
      <c r="A48" s="206" t="s">
        <v>750</v>
      </c>
      <c r="B48" s="540">
        <f>+'[8]Liquidity Analysis'!C52</f>
        <v>307687193</v>
      </c>
      <c r="C48" s="200"/>
      <c r="D48" s="323"/>
      <c r="E48" s="204"/>
      <c r="F48" s="211"/>
      <c r="G48" s="211"/>
      <c r="H48" s="212"/>
      <c r="I48" s="212"/>
      <c r="J48" s="211"/>
      <c r="K48" s="211"/>
      <c r="L48" s="211"/>
    </row>
    <row r="49" spans="1:12" s="33" customFormat="1" ht="13.5" customHeight="1">
      <c r="A49" s="206" t="s">
        <v>751</v>
      </c>
      <c r="B49" s="540">
        <f>+'[8]Liquidity Analysis'!C53</f>
        <v>564196094</v>
      </c>
      <c r="C49" s="200"/>
      <c r="D49" s="323"/>
      <c r="E49" s="204"/>
      <c r="F49" s="211"/>
      <c r="G49" s="211"/>
      <c r="H49" s="212"/>
      <c r="I49" s="212"/>
      <c r="J49" s="211"/>
      <c r="K49" s="211"/>
      <c r="L49" s="211"/>
    </row>
    <row r="50" spans="1:12" s="33" customFormat="1" ht="13.5" customHeight="1">
      <c r="A50" s="206" t="s">
        <v>752</v>
      </c>
      <c r="B50" s="540">
        <f>+'[8]Liquidity Analysis'!C54</f>
        <v>0</v>
      </c>
      <c r="C50" s="200"/>
      <c r="D50" s="323"/>
      <c r="E50" s="204"/>
      <c r="F50" s="213"/>
      <c r="G50" s="213"/>
      <c r="H50" s="213"/>
      <c r="I50" s="212"/>
      <c r="J50" s="211"/>
      <c r="K50" s="211"/>
      <c r="L50" s="211"/>
    </row>
    <row r="51" spans="1:12" s="33" customFormat="1" ht="27.75" customHeight="1">
      <c r="A51" s="206" t="s">
        <v>753</v>
      </c>
      <c r="B51" s="540">
        <f>+'[8]Liquidity Analysis'!C55</f>
        <v>10000000</v>
      </c>
      <c r="C51" s="200"/>
      <c r="D51" s="323"/>
      <c r="E51" s="204"/>
      <c r="F51" s="211"/>
      <c r="G51" s="211"/>
      <c r="H51" s="212"/>
      <c r="I51" s="212"/>
      <c r="J51" s="211"/>
      <c r="K51" s="211"/>
      <c r="L51" s="211"/>
    </row>
    <row r="52" spans="1:12" s="33" customFormat="1" ht="13.5" customHeight="1">
      <c r="A52" s="206" t="s">
        <v>754</v>
      </c>
      <c r="B52" s="540">
        <f>+'[8]Liquidity Analysis'!C56</f>
        <v>0</v>
      </c>
      <c r="C52" s="200"/>
      <c r="D52" s="323"/>
      <c r="E52" s="204"/>
      <c r="F52" s="211"/>
      <c r="G52" s="211"/>
      <c r="H52" s="212"/>
      <c r="I52" s="212"/>
      <c r="J52" s="211"/>
      <c r="K52" s="211"/>
      <c r="L52" s="211"/>
    </row>
    <row r="53" spans="1:12" s="33" customFormat="1" ht="13.5" customHeight="1">
      <c r="A53" s="206" t="s">
        <v>755</v>
      </c>
      <c r="B53" s="540">
        <f>+'[8]Liquidity Analysis'!C57</f>
        <v>0</v>
      </c>
      <c r="C53" s="200"/>
      <c r="D53" s="323"/>
      <c r="E53" s="204"/>
      <c r="F53" s="211"/>
      <c r="G53" s="211"/>
      <c r="H53" s="212"/>
      <c r="I53" s="212"/>
      <c r="J53" s="211"/>
      <c r="K53" s="211"/>
      <c r="L53" s="211"/>
    </row>
    <row r="54" spans="1:12" s="33" customFormat="1" ht="13.5" customHeight="1">
      <c r="A54" s="218" t="s">
        <v>756</v>
      </c>
      <c r="B54" s="586">
        <f>+'[8]Liquidity Analysis'!C58</f>
        <v>1604115245</v>
      </c>
      <c r="C54" s="200"/>
      <c r="D54" s="323"/>
      <c r="E54" s="204"/>
      <c r="F54" s="211"/>
      <c r="G54" s="211"/>
      <c r="H54" s="212"/>
      <c r="I54" s="213"/>
      <c r="J54" s="211"/>
      <c r="K54" s="211"/>
      <c r="L54" s="211"/>
    </row>
  </sheetData>
  <sheetProtection password="CACA" sheet="1" objects="1" scenarios="1"/>
  <mergeCells count="1">
    <mergeCell ref="A1:B1"/>
  </mergeCells>
  <conditionalFormatting sqref="B34 B37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"/>
  </dataValidations>
  <printOptions horizontalCentered="1"/>
  <pageMargins left="0" right="0" top="0.31496062992125984" bottom="0.39370078740157483" header="0.23622047244094491" footer="0.15748031496062992"/>
  <pageSetup paperSize="9" scale="77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18</vt:i4>
      </vt:variant>
    </vt:vector>
  </HeadingPairs>
  <TitlesOfParts>
    <vt:vector size="36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Asset Provisioning</vt:lpstr>
      <vt:lpstr>Transactions of related parties</vt:lpstr>
      <vt:lpstr> Largest risk</vt:lpstr>
      <vt:lpstr>Charge-offs and Recoveries</vt:lpstr>
      <vt:lpstr>loans_av rate</vt:lpstr>
      <vt:lpstr>Bank Capital Calc (2)</vt:lpstr>
      <vt:lpstr>loans type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Provisioning'!Область_печати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Suxrob Axmedov</cp:lastModifiedBy>
  <cp:lastPrinted>2024-01-08T10:32:13Z</cp:lastPrinted>
  <dcterms:created xsi:type="dcterms:W3CDTF">2014-01-27T05:06:32Z</dcterms:created>
  <dcterms:modified xsi:type="dcterms:W3CDTF">2024-01-11T12:43:38Z</dcterms:modified>
</cp:coreProperties>
</file>