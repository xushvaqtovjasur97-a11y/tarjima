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CУХРОБ\01.01.2024\Оргинал\"/>
    </mc:Choice>
  </mc:AlternateContent>
  <bookViews>
    <workbookView xWindow="0" yWindow="240" windowWidth="20730" windowHeight="11520" tabRatio="922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Balance!$A$1:$E$78</definedName>
    <definedName name="_xlnm.Print_Area" localSheetId="3">'Bank Assets Analysis'!$A$1:$Z$51</definedName>
    <definedName name="_xlnm.Print_Area" localSheetId="4">'Bank Assets Analysis (нац)'!$A$1:$N$51</definedName>
    <definedName name="_xlnm.Print_Area" localSheetId="1">'Bank Capital Calc (2)'!$A$1:$C$55</definedName>
    <definedName name="_xlnm.Print_Area" localSheetId="5">'Bank Liabilities Analysis'!$A$1:$X$56</definedName>
    <definedName name="_xlnm.Print_Area" localSheetId="6">'Bank Liabilities Analysis (нац)'!$A$1:$M$57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62913"/>
</workbook>
</file>

<file path=xl/calcChain.xml><?xml version="1.0" encoding="utf-8"?>
<calcChain xmlns="http://schemas.openxmlformats.org/spreadsheetml/2006/main">
  <c r="E20" i="15" l="1"/>
  <c r="E36" i="15"/>
  <c r="E10" i="15"/>
  <c r="E55" i="16" l="1"/>
  <c r="D55" i="16"/>
  <c r="E27" i="15" l="1"/>
  <c r="E71" i="1" l="1"/>
  <c r="D71" i="1"/>
  <c r="S47" i="17" l="1"/>
  <c r="F5" i="19" s="1"/>
  <c r="AC49" i="17"/>
  <c r="AB49" i="17"/>
  <c r="AC47" i="17"/>
  <c r="AB47" i="17"/>
  <c r="D46" i="36"/>
  <c r="D43" i="36"/>
  <c r="H45" i="37"/>
  <c r="H35" i="37"/>
  <c r="AB46" i="17"/>
  <c r="AC46" i="17"/>
  <c r="X39" i="18" l="1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E21" i="15" l="1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I17" i="36" s="1"/>
  <c r="N17" i="17"/>
  <c r="M17" i="17"/>
  <c r="L17" i="17"/>
  <c r="K17" i="17"/>
  <c r="J17" i="17"/>
  <c r="I17" i="17"/>
  <c r="H17" i="17"/>
  <c r="G17" i="17"/>
  <c r="F17" i="17"/>
  <c r="E17" i="17"/>
  <c r="D17" i="17"/>
  <c r="C17" i="17"/>
  <c r="E17" i="36" l="1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E22" i="15" l="1"/>
  <c r="E23" i="15"/>
  <c r="E24" i="15"/>
  <c r="E25" i="15"/>
  <c r="E19" i="15"/>
  <c r="AB48" i="17" l="1"/>
  <c r="AC48" i="17"/>
  <c r="C32" i="1" l="1"/>
  <c r="E19" i="1" l="1"/>
  <c r="D19" i="1"/>
  <c r="F54" i="16"/>
  <c r="G54" i="16"/>
  <c r="H54" i="16"/>
  <c r="C19" i="1" l="1"/>
  <c r="J19" i="1" s="1"/>
  <c r="Y32" i="17" l="1"/>
  <c r="Z32" i="17" s="1"/>
  <c r="W32" i="17"/>
  <c r="X32" i="17" s="1"/>
  <c r="Y31" i="17"/>
  <c r="Z31" i="17" s="1"/>
  <c r="W31" i="17"/>
  <c r="X31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49" i="17" s="1"/>
  <c r="C7" i="19"/>
  <c r="C5" i="19"/>
  <c r="AA47" i="17" s="1"/>
  <c r="C4" i="19"/>
  <c r="AA48" i="17" l="1"/>
  <c r="AA46" i="17"/>
  <c r="AC50" i="17"/>
  <c r="E26" i="19"/>
  <c r="B13" i="15"/>
  <c r="C61" i="1" l="1"/>
  <c r="J61" i="1" s="1"/>
  <c r="J23" i="36" l="1"/>
  <c r="I23" i="36"/>
  <c r="H23" i="36"/>
  <c r="G23" i="36"/>
  <c r="F23" i="36"/>
  <c r="E23" i="36"/>
  <c r="D23" i="36"/>
  <c r="C23" i="36"/>
  <c r="U23" i="17"/>
  <c r="Y23" i="17" s="1"/>
  <c r="Z23" i="17" s="1"/>
  <c r="S23" i="17"/>
  <c r="W23" i="17" s="1"/>
  <c r="X23" i="17" s="1"/>
  <c r="M23" i="36" l="1"/>
  <c r="N23" i="36" s="1"/>
  <c r="K23" i="36"/>
  <c r="T23" i="17"/>
  <c r="D13" i="16" s="1"/>
  <c r="C13" i="16"/>
  <c r="E13" i="16"/>
  <c r="C12" i="16"/>
  <c r="E39" i="1"/>
  <c r="D39" i="1"/>
  <c r="D43" i="1" s="1"/>
  <c r="C41" i="1"/>
  <c r="J41" i="1" s="1"/>
  <c r="D18" i="19" l="1"/>
  <c r="C18" i="19" s="1"/>
  <c r="U43" i="17" l="1"/>
  <c r="Z43" i="17" s="1"/>
  <c r="S43" i="17"/>
  <c r="T43" i="17" l="1"/>
  <c r="X43" i="17"/>
  <c r="B36" i="15"/>
  <c r="B35" i="15"/>
  <c r="B34" i="15"/>
  <c r="B28" i="15"/>
  <c r="B27" i="15"/>
  <c r="B25" i="15"/>
  <c r="B24" i="15"/>
  <c r="B23" i="15"/>
  <c r="B22" i="15"/>
  <c r="B21" i="15"/>
  <c r="B20" i="15"/>
  <c r="C55" i="16" s="1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J47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7" i="36"/>
  <c r="K46" i="36"/>
  <c r="J43" i="36" l="1"/>
  <c r="I43" i="36"/>
  <c r="H43" i="36"/>
  <c r="G43" i="36"/>
  <c r="F43" i="36"/>
  <c r="E43" i="36"/>
  <c r="C43" i="36"/>
  <c r="M43" i="36" s="1"/>
  <c r="U51" i="17"/>
  <c r="S51" i="17"/>
  <c r="U50" i="17"/>
  <c r="AF50" i="17" s="1"/>
  <c r="S50" i="17"/>
  <c r="U49" i="17"/>
  <c r="H8" i="19" s="1"/>
  <c r="S49" i="17"/>
  <c r="F8" i="19" s="1"/>
  <c r="U48" i="17"/>
  <c r="S48" i="17"/>
  <c r="U47" i="17"/>
  <c r="H5" i="19" s="1"/>
  <c r="AD48" i="17" l="1"/>
  <c r="F7" i="19"/>
  <c r="AF48" i="17"/>
  <c r="H7" i="19"/>
  <c r="T47" i="17"/>
  <c r="G5" i="19" s="1"/>
  <c r="T51" i="17"/>
  <c r="T50" i="17"/>
  <c r="T48" i="17"/>
  <c r="T49" i="17"/>
  <c r="G8" i="19" s="1"/>
  <c r="K43" i="36"/>
  <c r="N43" i="36" s="1"/>
  <c r="AE48" i="17" l="1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J12" i="1" s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E15" i="16" s="1"/>
  <c r="S18" i="17"/>
  <c r="C15" i="16" s="1"/>
  <c r="AF46" i="17" l="1"/>
  <c r="H4" i="19"/>
  <c r="AD46" i="17"/>
  <c r="F4" i="19"/>
  <c r="M30" i="36"/>
  <c r="N30" i="36" s="1"/>
  <c r="T46" i="17"/>
  <c r="T30" i="17"/>
  <c r="T18" i="17"/>
  <c r="D15" i="16" s="1"/>
  <c r="K30" i="36"/>
  <c r="M18" i="36"/>
  <c r="N18" i="36" s="1"/>
  <c r="K18" i="36"/>
  <c r="AE46" i="17" l="1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W38" i="18"/>
  <c r="X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X24" i="18" s="1"/>
  <c r="W24" i="18" s="1"/>
  <c r="S24" i="18"/>
  <c r="W32" i="18" l="1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C55" i="37" s="1"/>
  <c r="J54" i="37"/>
  <c r="I54" i="37"/>
  <c r="H54" i="37"/>
  <c r="G54" i="37"/>
  <c r="F54" i="37"/>
  <c r="E54" i="37"/>
  <c r="D54" i="37"/>
  <c r="C54" i="37"/>
  <c r="J53" i="37"/>
  <c r="J52" i="37" s="1"/>
  <c r="I53" i="37"/>
  <c r="H53" i="37"/>
  <c r="H52" i="37" s="1"/>
  <c r="G53" i="37"/>
  <c r="F53" i="37"/>
  <c r="E53" i="37"/>
  <c r="E52" i="37" s="1"/>
  <c r="D53" i="37"/>
  <c r="D52" i="37" s="1"/>
  <c r="C53" i="37"/>
  <c r="J51" i="37"/>
  <c r="I51" i="37"/>
  <c r="H51" i="37"/>
  <c r="G51" i="37"/>
  <c r="F51" i="37"/>
  <c r="E51" i="37"/>
  <c r="D51" i="37"/>
  <c r="C51" i="37"/>
  <c r="J50" i="37"/>
  <c r="J49" i="37" s="1"/>
  <c r="I50" i="37"/>
  <c r="I49" i="37" s="1"/>
  <c r="H50" i="37"/>
  <c r="G50" i="37"/>
  <c r="F50" i="37"/>
  <c r="F49" i="37" s="1"/>
  <c r="E50" i="37"/>
  <c r="D50" i="37"/>
  <c r="D49" i="37" s="1"/>
  <c r="C50" i="37"/>
  <c r="C49" i="37" s="1"/>
  <c r="J48" i="37"/>
  <c r="I48" i="37"/>
  <c r="H48" i="37"/>
  <c r="G48" i="37"/>
  <c r="F48" i="37"/>
  <c r="E48" i="37"/>
  <c r="D48" i="37"/>
  <c r="C48" i="37"/>
  <c r="J47" i="37"/>
  <c r="J46" i="37" s="1"/>
  <c r="I47" i="37"/>
  <c r="H47" i="37"/>
  <c r="H46" i="37" s="1"/>
  <c r="G47" i="37"/>
  <c r="F47" i="37"/>
  <c r="F46" i="37" s="1"/>
  <c r="E47" i="37"/>
  <c r="E46" i="37" s="1"/>
  <c r="D47" i="37"/>
  <c r="D46" i="37" s="1"/>
  <c r="C47" i="37"/>
  <c r="C46" i="37" s="1"/>
  <c r="J45" i="37"/>
  <c r="I45" i="37"/>
  <c r="G45" i="37"/>
  <c r="F45" i="37"/>
  <c r="E45" i="37"/>
  <c r="D45" i="37"/>
  <c r="C45" i="37"/>
  <c r="J44" i="37"/>
  <c r="I44" i="37"/>
  <c r="H44" i="37"/>
  <c r="H43" i="37" s="1"/>
  <c r="G44" i="37"/>
  <c r="F44" i="37"/>
  <c r="E44" i="37"/>
  <c r="D44" i="37"/>
  <c r="D43" i="37" s="1"/>
  <c r="C44" i="37"/>
  <c r="C43" i="37" s="1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I24" i="37" s="1"/>
  <c r="H27" i="37"/>
  <c r="H24" i="37" s="1"/>
  <c r="G27" i="37"/>
  <c r="G24" i="37" s="1"/>
  <c r="F27" i="37"/>
  <c r="F24" i="37" s="1"/>
  <c r="E27" i="37"/>
  <c r="D27" i="37"/>
  <c r="D24" i="37" s="1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D33" i="36" s="1"/>
  <c r="C34" i="36"/>
  <c r="C33" i="36" s="1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W19" i="17" s="1"/>
  <c r="D16" i="1"/>
  <c r="J43" i="37" l="1"/>
  <c r="I43" i="37"/>
  <c r="F43" i="37"/>
  <c r="C52" i="37"/>
  <c r="M22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X19" i="17"/>
  <c r="G9" i="36"/>
  <c r="I9" i="36"/>
  <c r="J9" i="36"/>
  <c r="H55" i="37"/>
  <c r="H9" i="36"/>
  <c r="D9" i="36"/>
  <c r="M41" i="36"/>
  <c r="N41" i="36" s="1"/>
  <c r="M39" i="37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39" i="37"/>
  <c r="K44" i="37"/>
  <c r="K45" i="37"/>
  <c r="K56" i="37"/>
  <c r="E43" i="37"/>
  <c r="K57" i="37"/>
  <c r="E55" i="37"/>
  <c r="K28" i="37"/>
  <c r="K50" i="37"/>
  <c r="K29" i="37"/>
  <c r="K31" i="37"/>
  <c r="M31" i="37" s="1"/>
  <c r="K33" i="37"/>
  <c r="K38" i="37"/>
  <c r="M38" i="37" s="1"/>
  <c r="E33" i="36"/>
  <c r="M33" i="36" s="1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N44" i="36" l="1"/>
  <c r="P56" i="36" s="1"/>
  <c r="I21" i="37"/>
  <c r="I41" i="37" s="1"/>
  <c r="N33" i="36"/>
  <c r="K46" i="37"/>
  <c r="E21" i="37"/>
  <c r="E41" i="37" s="1"/>
  <c r="K52" i="37"/>
  <c r="K43" i="37"/>
  <c r="I44" i="36"/>
  <c r="G44" i="36"/>
  <c r="H44" i="36"/>
  <c r="K49" i="37"/>
  <c r="F44" i="36"/>
  <c r="C44" i="36"/>
  <c r="J44" i="36"/>
  <c r="G21" i="37"/>
  <c r="G41" i="37" s="1"/>
  <c r="N19" i="36"/>
  <c r="C21" i="37"/>
  <c r="C41" i="37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F41" i="37" s="1"/>
  <c r="H21" i="37"/>
  <c r="H41" i="37" s="1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E20" i="14" s="1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E37" i="16" s="1"/>
  <c r="S36" i="17"/>
  <c r="C37" i="16" s="1"/>
  <c r="U35" i="17"/>
  <c r="S35" i="17"/>
  <c r="U34" i="17"/>
  <c r="E14" i="16" s="1"/>
  <c r="S34" i="17"/>
  <c r="C14" i="16" s="1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E7" i="16" l="1"/>
  <c r="J41" i="37"/>
  <c r="D32" i="16" s="1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4" i="17"/>
  <c r="Z34" i="17" s="1"/>
  <c r="W22" i="17"/>
  <c r="X22" i="17" s="1"/>
  <c r="W34" i="17"/>
  <c r="X34" i="17" s="1"/>
  <c r="T19" i="17"/>
  <c r="D7" i="16" s="1"/>
  <c r="C11" i="16"/>
  <c r="E11" i="16"/>
  <c r="T52" i="18"/>
  <c r="T47" i="18"/>
  <c r="T49" i="18"/>
  <c r="T55" i="18"/>
  <c r="T43" i="18"/>
  <c r="T46" i="18"/>
  <c r="T41" i="18"/>
  <c r="T44" i="18"/>
  <c r="D33" i="16"/>
  <c r="T42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5" i="17"/>
  <c r="T37" i="17"/>
  <c r="T39" i="17"/>
  <c r="T41" i="17"/>
  <c r="T20" i="17"/>
  <c r="D11" i="16" s="1"/>
  <c r="T24" i="17"/>
  <c r="T28" i="17"/>
  <c r="T16" i="17"/>
  <c r="T19" i="18"/>
  <c r="T11" i="18"/>
  <c r="T13" i="18"/>
  <c r="T39" i="18"/>
  <c r="D34" i="16"/>
  <c r="K21" i="37"/>
  <c r="T53" i="18"/>
  <c r="T22" i="17"/>
  <c r="T26" i="17"/>
  <c r="T27" i="17"/>
  <c r="T12" i="18"/>
  <c r="F20" i="14" s="1"/>
  <c r="T10" i="18"/>
  <c r="T8" i="18"/>
  <c r="T38" i="17"/>
  <c r="T9" i="18"/>
  <c r="T17" i="18"/>
  <c r="T14" i="17"/>
  <c r="T34" i="17"/>
  <c r="D14" i="16" s="1"/>
  <c r="T32" i="18"/>
  <c r="T50" i="18"/>
  <c r="T56" i="18"/>
  <c r="T15" i="17"/>
  <c r="T25" i="17"/>
  <c r="T29" i="17"/>
  <c r="T31" i="17"/>
  <c r="T32" i="17"/>
  <c r="T36" i="17"/>
  <c r="D37" i="16" s="1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E44" i="17" l="1"/>
  <c r="M21" i="37"/>
  <c r="M41" i="37" s="1"/>
  <c r="K41" i="37"/>
  <c r="D27" i="1"/>
  <c r="F20" i="18"/>
  <c r="F40" i="18" s="1"/>
  <c r="E20" i="18"/>
  <c r="E40" i="18" l="1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D45" i="18"/>
  <c r="C45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S51" i="18" l="1"/>
  <c r="U54" i="18"/>
  <c r="U48" i="18"/>
  <c r="U42" i="18"/>
  <c r="S45" i="18"/>
  <c r="S54" i="18"/>
  <c r="S48" i="18"/>
  <c r="S42" i="18"/>
  <c r="U51" i="18"/>
  <c r="U45" i="18"/>
  <c r="C56" i="1"/>
  <c r="T51" i="18" l="1"/>
  <c r="T42" i="18"/>
  <c r="T54" i="18"/>
  <c r="T45" i="18"/>
  <c r="T48" i="18"/>
  <c r="E41" i="16"/>
  <c r="D10" i="19"/>
  <c r="AB50" i="17" l="1"/>
  <c r="AE50" i="17" s="1"/>
  <c r="D41" i="16"/>
  <c r="C10" i="19"/>
  <c r="D26" i="19"/>
  <c r="J33" i="17"/>
  <c r="J44" i="17" s="1"/>
  <c r="H33" i="17"/>
  <c r="C41" i="16" l="1"/>
  <c r="C26" i="19"/>
  <c r="AA50" i="17"/>
  <c r="AD50" i="17" s="1"/>
  <c r="Y33" i="17"/>
  <c r="Z33" i="17" s="1"/>
  <c r="P61" i="36"/>
  <c r="P60" i="36" s="1"/>
  <c r="D27" i="16" s="1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C58" i="1" l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D51" i="1" l="1"/>
  <c r="T6" i="17" l="1"/>
  <c r="D5" i="16" l="1"/>
  <c r="J73" i="1"/>
  <c r="J70" i="1"/>
  <c r="J69" i="1"/>
  <c r="E20" i="1"/>
  <c r="D20" i="1"/>
  <c r="E16" i="1"/>
  <c r="S9" i="17" l="1"/>
  <c r="U9" i="17"/>
  <c r="H44" i="17" s="1"/>
  <c r="E35" i="1"/>
  <c r="E30" i="1"/>
  <c r="E58" i="1"/>
  <c r="E54" i="1"/>
  <c r="D54" i="1"/>
  <c r="E52" i="1"/>
  <c r="D52" i="1"/>
  <c r="E7" i="36" l="1"/>
  <c r="E44" i="36" s="1"/>
  <c r="S7" i="17"/>
  <c r="G44" i="17"/>
  <c r="D7" i="36"/>
  <c r="U7" i="17"/>
  <c r="F44" i="17"/>
  <c r="E7" i="1"/>
  <c r="T9" i="17"/>
  <c r="D7" i="1" s="1"/>
  <c r="J52" i="1"/>
  <c r="C7" i="1"/>
  <c r="J54" i="1"/>
  <c r="J53" i="1"/>
  <c r="D58" i="1"/>
  <c r="J27" i="1"/>
  <c r="D35" i="1"/>
  <c r="J35" i="1" s="1"/>
  <c r="E24" i="1"/>
  <c r="D24" i="1"/>
  <c r="D30" i="1"/>
  <c r="J30" i="1" s="1"/>
  <c r="W7" i="17" l="1"/>
  <c r="X7" i="17" s="1"/>
  <c r="X61" i="17" s="1"/>
  <c r="C52" i="16"/>
  <c r="C6" i="16"/>
  <c r="C16" i="16" s="1"/>
  <c r="E6" i="16"/>
  <c r="E16" i="16" s="1"/>
  <c r="T7" i="17"/>
  <c r="E52" i="16"/>
  <c r="Y7" i="17"/>
  <c r="Z7" i="17" s="1"/>
  <c r="Z61" i="17" s="1"/>
  <c r="E6" i="1"/>
  <c r="K7" i="36"/>
  <c r="M7" i="36" s="1"/>
  <c r="D44" i="36"/>
  <c r="K44" i="36" s="1"/>
  <c r="J24" i="1"/>
  <c r="B38" i="15"/>
  <c r="B14" i="15"/>
  <c r="R44" i="17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C25" i="16" l="1"/>
  <c r="C19" i="16"/>
  <c r="C22" i="16"/>
  <c r="N7" i="36"/>
  <c r="P57" i="36" s="1"/>
  <c r="M44" i="36"/>
  <c r="D52" i="16"/>
  <c r="D6" i="16"/>
  <c r="D16" i="16" s="1"/>
  <c r="D6" i="1"/>
  <c r="E19" i="16"/>
  <c r="E25" i="16"/>
  <c r="E22" i="16"/>
  <c r="J76" i="1"/>
  <c r="S44" i="17"/>
  <c r="Z65" i="17"/>
  <c r="U15" i="18"/>
  <c r="S15" i="18"/>
  <c r="U17" i="17"/>
  <c r="S33" i="17"/>
  <c r="U33" i="17"/>
  <c r="E21" i="1" s="1"/>
  <c r="E36" i="16"/>
  <c r="D25" i="16" l="1"/>
  <c r="D22" i="16"/>
  <c r="D19" i="16"/>
  <c r="X65" i="17"/>
  <c r="T15" i="18"/>
  <c r="T33" i="17"/>
  <c r="U44" i="17"/>
  <c r="H47" i="1" s="1"/>
  <c r="C37" i="15"/>
  <c r="B6" i="15"/>
  <c r="B5" i="15"/>
  <c r="C26" i="15"/>
  <c r="C29" i="15" s="1"/>
  <c r="D10" i="1" s="1"/>
  <c r="D18" i="1" l="1"/>
  <c r="D11" i="1"/>
  <c r="D17" i="1"/>
  <c r="C39" i="15"/>
  <c r="D51" i="16" s="1"/>
  <c r="D15" i="1"/>
  <c r="D58" i="16" l="1"/>
  <c r="D14" i="1"/>
  <c r="D40" i="16" l="1"/>
  <c r="D31" i="16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E18" i="1" l="1"/>
  <c r="D15" i="15"/>
  <c r="B15" i="15" s="1"/>
  <c r="I40" i="18"/>
  <c r="O40" i="18"/>
  <c r="D29" i="15"/>
  <c r="E11" i="1"/>
  <c r="C11" i="1" s="1"/>
  <c r="J11" i="1" s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H40" i="18" s="1"/>
  <c r="G7" i="18"/>
  <c r="D7" i="18"/>
  <c r="AA20" i="18" l="1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G11" i="14" s="1"/>
  <c r="G13" i="14" s="1"/>
  <c r="D20" i="18"/>
  <c r="D40" i="18" s="1"/>
  <c r="B39" i="15"/>
  <c r="C51" i="16" s="1"/>
  <c r="E14" i="1"/>
  <c r="L20" i="18"/>
  <c r="L40" i="18" s="1"/>
  <c r="G20" i="18"/>
  <c r="M20" i="18"/>
  <c r="E23" i="16" l="1"/>
  <c r="E21" i="16" s="1"/>
  <c r="E47" i="1"/>
  <c r="C10" i="1"/>
  <c r="J10" i="1" s="1"/>
  <c r="M40" i="18"/>
  <c r="G40" i="18"/>
  <c r="C58" i="16"/>
  <c r="C17" i="1"/>
  <c r="J17" i="1" s="1"/>
  <c r="E34" i="16"/>
  <c r="U20" i="18"/>
  <c r="X20" i="18" s="1"/>
  <c r="W20" i="18" s="1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C71" i="1" l="1"/>
  <c r="E20" i="16"/>
  <c r="E18" i="16" s="1"/>
  <c r="AC44" i="17"/>
  <c r="AC45" i="17" s="1"/>
  <c r="U40" i="18"/>
  <c r="H63" i="1" s="1"/>
  <c r="G22" i="14"/>
  <c r="G23" i="14" s="1"/>
  <c r="AA21" i="18"/>
  <c r="E78" i="1"/>
  <c r="AA40" i="18"/>
  <c r="J72" i="1"/>
  <c r="C34" i="16"/>
  <c r="X40" i="18"/>
  <c r="Y58" i="17"/>
  <c r="E33" i="16"/>
  <c r="E30" i="16" s="1"/>
  <c r="J43" i="1"/>
  <c r="J45" i="1"/>
  <c r="AA41" i="18" l="1"/>
  <c r="C77" i="1"/>
  <c r="J71" i="1"/>
  <c r="Z64" i="17"/>
  <c r="E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7" i="1" l="1"/>
  <c r="C51" i="1"/>
  <c r="J51" i="1" s="1"/>
  <c r="E21" i="14"/>
  <c r="C50" i="1"/>
  <c r="Z67" i="17"/>
  <c r="C53" i="41"/>
  <c r="S7" i="18"/>
  <c r="J7" i="1"/>
  <c r="J9" i="1"/>
  <c r="C36" i="16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D36" i="16"/>
  <c r="T7" i="18"/>
  <c r="F11" i="14" s="1"/>
  <c r="E11" i="14"/>
  <c r="E13" i="14" s="1"/>
  <c r="O44" i="36"/>
  <c r="R44" i="36" s="1"/>
  <c r="S44" i="36" s="1"/>
  <c r="AB44" i="17"/>
  <c r="Y20" i="18"/>
  <c r="J39" i="1"/>
  <c r="C47" i="1"/>
  <c r="Z62" i="17"/>
  <c r="E26" i="16" s="1"/>
  <c r="E24" i="16" s="1"/>
  <c r="E28" i="16"/>
  <c r="X58" i="17"/>
  <c r="F47" i="1"/>
  <c r="J21" i="1"/>
  <c r="C14" i="1"/>
  <c r="J14" i="1" s="1"/>
  <c r="J15" i="1"/>
  <c r="J26" i="1"/>
  <c r="D50" i="1" l="1"/>
  <c r="D63" i="1" s="1"/>
  <c r="N41" i="37" s="1"/>
  <c r="C20" i="16"/>
  <c r="AA44" i="17"/>
  <c r="AA45" i="17" s="1"/>
  <c r="Z20" i="18"/>
  <c r="C40" i="16"/>
  <c r="E46" i="41"/>
  <c r="C45" i="41"/>
  <c r="C44" i="41"/>
  <c r="D52" i="41"/>
  <c r="C31" i="16"/>
  <c r="T44" i="17"/>
  <c r="G47" i="1" s="1"/>
  <c r="C6" i="1"/>
  <c r="J6" i="1" s="1"/>
  <c r="J50" i="1" l="1"/>
  <c r="AB45" i="17"/>
  <c r="D78" i="1"/>
  <c r="C78" i="1" s="1"/>
  <c r="J78" i="1" s="1"/>
  <c r="Z40" i="18"/>
  <c r="P44" i="36"/>
  <c r="C46" i="41"/>
  <c r="C43" i="41" s="1"/>
  <c r="C35" i="41" s="1"/>
  <c r="C40" i="41" s="1"/>
  <c r="C35" i="16"/>
  <c r="D35" i="16"/>
  <c r="C63" i="1"/>
  <c r="Y40" i="18" s="1"/>
  <c r="C86" i="1" l="1"/>
  <c r="C18" i="16"/>
  <c r="P62" i="36"/>
  <c r="W58" i="17"/>
  <c r="C51" i="41"/>
  <c r="J63" i="1"/>
  <c r="J47" i="1"/>
  <c r="D28" i="16" l="1"/>
  <c r="P58" i="36"/>
  <c r="C20" i="18"/>
  <c r="D26" i="16" l="1"/>
  <c r="C40" i="18"/>
  <c r="S20" i="18"/>
  <c r="C23" i="16" l="1"/>
  <c r="E22" i="14"/>
  <c r="E23" i="14" s="1"/>
  <c r="Y21" i="18"/>
  <c r="S40" i="18"/>
  <c r="W40" i="18"/>
  <c r="T20" i="18"/>
  <c r="C33" i="16"/>
  <c r="T40" i="18" l="1"/>
  <c r="G63" i="1" s="1"/>
  <c r="F22" i="14"/>
  <c r="Z21" i="18"/>
  <c r="F63" i="1"/>
  <c r="Y41" i="18"/>
  <c r="X64" i="17"/>
  <c r="C27" i="16" s="1"/>
  <c r="D23" i="16"/>
  <c r="D21" i="16" s="1"/>
  <c r="C21" i="16"/>
  <c r="C30" i="16"/>
  <c r="D30" i="16"/>
  <c r="Z41" i="18" l="1"/>
  <c r="X67" i="17"/>
  <c r="C28" i="16" s="1"/>
  <c r="C29" i="16"/>
  <c r="D29" i="16"/>
  <c r="D24" i="16"/>
  <c r="X62" i="17" l="1"/>
  <c r="C26" i="16" l="1"/>
  <c r="C24" i="16" l="1"/>
</calcChain>
</file>

<file path=xl/sharedStrings.xml><?xml version="1.0" encoding="utf-8"?>
<sst xmlns="http://schemas.openxmlformats.org/spreadsheetml/2006/main" count="984" uniqueCount="563">
  <si>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</si>
  <si>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</si>
  <si>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</si>
  <si>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</si>
  <si>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</si>
  <si>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</si>
  <si>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</si>
  <si>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</si>
  <si>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</si>
  <si>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</si>
  <si>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</si>
  <si>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</si>
  <si>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</si>
  <si>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</si>
  <si>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</si>
  <si>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</si>
  <si>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</si>
  <si>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</si>
  <si>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</si>
  <si>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</si>
  <si>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</si>
  <si>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</si>
  <si>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</si>
  <si>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</si>
  <si>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</si>
  <si>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</si>
  <si>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</si>
  <si>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</si>
  <si>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</si>
  <si>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</si>
  <si>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</si>
  <si>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</si>
  <si>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</si>
  <si>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</si>
  <si>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</si>
  <si>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</si>
  <si>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</si>
  <si>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</si>
  <si>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</si>
  <si>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</si>
  <si>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</si>
  <si>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</si>
  <si>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</si>
  <si>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</si>
  <si>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</si>
  <si>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</si>
  <si>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</si>
  <si>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</si>
  <si>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</si>
  <si>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</si>
  <si>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</si>
  <si>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</si>
  <si>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</si>
  <si>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</si>
  <si>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</si>
  <si>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</si>
  <si>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</si>
  <si>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</si>
  <si>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</si>
  <si>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</si>
  <si>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</si>
  <si>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</si>
  <si>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</si>
  <si>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</si>
  <si>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</si>
  <si>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</si>
  <si>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</si>
  <si>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</si>
  <si>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</si>
  <si>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</si>
  <si>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</si>
  <si>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</si>
  <si>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</si>
  <si>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</si>
  <si>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</si>
  <si>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</si>
  <si>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</si>
  <si>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</si>
  <si>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</si>
  <si>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</si>
  <si>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</si>
  <si>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</si>
  <si>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</si>
  <si>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</si>
  <si>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</si>
  <si>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</si>
  <si>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</si>
  <si>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</si>
  <si>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</si>
  <si>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</si>
  <si>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</si>
  <si>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</si>
  <si>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</si>
  <si>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</si>
  <si>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</si>
  <si>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</si>
  <si>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</si>
  <si>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</si>
  <si>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</si>
  <si>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</si>
  <si>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</si>
  <si>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</si>
  <si>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</si>
  <si>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</si>
  <si>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</si>
  <si>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</si>
  <si>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</si>
  <si>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</si>
  <si>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</si>
  <si>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</si>
  <si>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</si>
  <si>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</si>
  <si>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</si>
  <si>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</si>
  <si>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</si>
  <si>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</si>
  <si>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</si>
  <si>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</si>
  <si>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</si>
  <si>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</si>
  <si>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</si>
  <si>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</si>
  <si>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</si>
  <si>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</si>
  <si>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</si>
  <si>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</si>
  <si>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</si>
  <si>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</si>
  <si>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</si>
  <si>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</si>
  <si>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</si>
  <si>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</si>
  <si>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</si>
  <si>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</si>
  <si>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</si>
  <si>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</si>
  <si>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</si>
  <si>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</si>
  <si>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</si>
  <si>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</si>
  <si>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</si>
  <si>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</si>
  <si>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</si>
  <si>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</si>
  <si>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</si>
  <si>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</si>
  <si>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</si>
  <si>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</si>
  <si>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</si>
  <si>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</si>
  <si>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</si>
  <si>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</si>
  <si>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</si>
  <si>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</si>
  <si>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</si>
  <si>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</si>
  <si>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</si>
  <si>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</si>
  <si>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</si>
  <si>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</si>
  <si>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</si>
  <si>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</si>
  <si>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</si>
  <si>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</si>
  <si>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</si>
  <si>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</si>
  <si>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</si>
  <si>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</si>
  <si>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</si>
  <si>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</si>
  <si>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</si>
  <si>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</si>
  <si>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</si>
  <si>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</si>
  <si>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</si>
  <si>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</si>
  <si>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</si>
  <si>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</si>
  <si>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</si>
  <si>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</si>
  <si>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</si>
  <si>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</si>
  <si>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</si>
  <si>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</si>
  <si>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</si>
  <si>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</si>
  <si>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</si>
  <si>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</si>
  <si>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</si>
  <si>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</si>
  <si>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</si>
  <si>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</si>
  <si>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</si>
  <si>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</si>
  <si>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</si>
  <si>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</si>
  <si>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</si>
  <si>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</si>
  <si>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</si>
  <si>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</si>
  <si>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</si>
  <si>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</si>
  <si>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</si>
  <si>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</si>
  <si>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</si>
  <si>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</si>
  <si>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</si>
  <si>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</si>
  <si>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</si>
  <si>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</si>
  <si>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</si>
  <si>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</si>
  <si>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</si>
  <si>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</si>
  <si>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</si>
  <si>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</si>
  <si>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</si>
  <si>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</si>
  <si>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</si>
  <si>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</si>
  <si>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</si>
  <si>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</si>
  <si>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</si>
  <si>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</si>
  <si>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</si>
  <si>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</si>
  <si>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</si>
  <si>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</si>
  <si>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</si>
  <si>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</si>
  <si>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</si>
  <si>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</si>
  <si>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</si>
  <si>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</si>
  <si>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</si>
  <si>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</si>
  <si>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</si>
  <si>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</si>
  <si>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</si>
  <si>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</si>
  <si>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</si>
  <si>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</si>
  <si>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</si>
  <si>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</si>
  <si>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</si>
  <si>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</si>
  <si>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</si>
  <si>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</si>
  <si>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</si>
  <si>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</si>
  <si>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</si>
  <si>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</si>
  <si>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</si>
  <si>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</si>
  <si>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</si>
  <si>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</si>
  <si>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</si>
  <si>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</si>
  <si>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</si>
  <si>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</si>
  <si>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</si>
  <si>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</si>
  <si>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</si>
  <si>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</si>
  <si>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</si>
  <si>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</si>
  <si>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</si>
  <si>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</si>
  <si>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</si>
  <si>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</si>
  <si>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</si>
  <si>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</si>
  <si>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</si>
  <si>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</si>
  <si>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</si>
  <si>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</si>
  <si>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</si>
  <si>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</si>
  <si>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</si>
  <si>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</si>
  <si>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</si>
  <si>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</si>
  <si>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</si>
  <si>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</si>
  <si>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</si>
  <si>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</si>
  <si>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</si>
  <si>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</si>
  <si>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</si>
  <si>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</si>
  <si>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</si>
  <si>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</si>
  <si>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</si>
  <si>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</si>
  <si>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</si>
  <si>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</si>
  <si>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</si>
  <si>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</si>
  <si>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</si>
  <si>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</si>
  <si>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</si>
  <si>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</si>
  <si>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</si>
  <si>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</si>
  <si>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</si>
  <si>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</si>
  <si>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</si>
  <si>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</si>
  <si>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</si>
  <si>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</si>
  <si>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</si>
  <si>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</si>
  <si>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</si>
  <si>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</si>
  <si>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</si>
  <si>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</si>
  <si>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</si>
  <si>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</si>
  <si>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</si>
  <si>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</si>
  <si>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</si>
  <si>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</si>
  <si>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</si>
  <si>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</si>
  <si>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</si>
  <si>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</si>
  <si>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</si>
  <si>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</si>
  <si>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</si>
  <si>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</si>
  <si>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</si>
  <si>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</si>
  <si>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</si>
  <si>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</si>
  <si>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</si>
  <si>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</si>
  <si>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</si>
  <si>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</si>
  <si>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</si>
  <si>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</si>
  <si>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</si>
  <si>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</si>
  <si>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</si>
  <si>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</si>
  <si>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</si>
  <si>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</si>
  <si>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</si>
  <si>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</si>
  <si>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</si>
  <si>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</si>
  <si>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</si>
  <si>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</si>
  <si>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</si>
  <si>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</si>
  <si>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</si>
  <si>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</si>
  <si>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</si>
  <si>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</si>
  <si>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</si>
  <si>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</si>
  <si>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</si>
  <si>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</si>
  <si>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</si>
  <si>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</si>
  <si>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</si>
  <si>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</si>
  <si>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</si>
  <si>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</si>
  <si>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</si>
  <si>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</si>
  <si>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</si>
  <si>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</si>
  <si>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</si>
  <si>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</si>
  <si>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</si>
  <si>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</si>
  <si>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</si>
  <si>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</si>
  <si>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</si>
  <si>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</si>
  <si>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</si>
  <si>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</si>
  <si>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</si>
  <si>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</si>
  <si>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</si>
  <si>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</si>
  <si>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</si>
  <si>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</si>
  <si>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</si>
  <si>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</si>
  <si>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</si>
  <si>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</si>
  <si>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</si>
  <si>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</si>
  <si>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</si>
  <si>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</si>
  <si>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</si>
  <si>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</si>
  <si>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</si>
  <si>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</si>
  <si>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</si>
  <si>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</si>
  <si>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</si>
  <si>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</si>
  <si>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</si>
  <si>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</si>
  <si>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</si>
  <si>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</si>
  <si>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</si>
  <si>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</si>
  <si>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</si>
  <si>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</si>
  <si>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</si>
  <si>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</si>
  <si>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</si>
  <si>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</si>
  <si>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</si>
  <si>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</si>
  <si>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</si>
  <si>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</si>
  <si>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</si>
  <si>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</si>
  <si>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</si>
  <si>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</si>
  <si>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</si>
  <si>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</si>
  <si>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</si>
  <si>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</si>
  <si>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</si>
  <si>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</si>
  <si>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</si>
  <si>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</si>
  <si>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</si>
  <si>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</si>
  <si>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</si>
  <si>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</si>
  <si>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</si>
  <si>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</si>
  <si>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</si>
  <si>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</si>
  <si>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</si>
  <si>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</si>
  <si>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</si>
  <si>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</si>
  <si>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</si>
  <si>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</si>
  <si>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</si>
  <si>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</si>
  <si>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</si>
  <si>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</si>
  <si>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</si>
  <si>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</si>
  <si>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</si>
  <si>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</si>
  <si>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</si>
  <si>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</si>
  <si>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</si>
  <si>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</si>
  <si>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</si>
  <si>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</si>
  <si>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</si>
  <si>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</si>
  <si>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</si>
  <si>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</si>
  <si>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</si>
  <si>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</si>
  <si>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</si>
  <si>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</si>
  <si>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</si>
  <si>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</si>
  <si>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</si>
  <si>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</si>
  <si>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</si>
  <si>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</si>
  <si>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</si>
  <si>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</si>
  <si>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</si>
  <si>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</si>
  <si>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</si>
  <si>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</si>
  <si>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</si>
  <si>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</si>
  <si>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</si>
  <si>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</si>
  <si>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</si>
  <si>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</si>
  <si>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</si>
  <si>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</si>
  <si>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</si>
  <si>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</si>
  <si>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</si>
  <si>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</si>
  <si>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</si>
  <si>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</si>
  <si>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</si>
  <si>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</si>
  <si>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</si>
  <si>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</si>
  <si>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</si>
  <si>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</si>
  <si>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</si>
  <si>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</si>
  <si>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</si>
  <si>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</si>
  <si>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</si>
  <si>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</si>
  <si>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</si>
  <si>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</si>
  <si>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</si>
  <si>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</si>
  <si>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</si>
  <si>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</si>
  <si>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</si>
  <si>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</si>
  <si>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</si>
  <si>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</si>
  <si>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</si>
  <si>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</si>
  <si>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</si>
  <si>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</si>
  <si>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</si>
  <si>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</si>
  <si>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</si>
  <si>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</si>
  <si>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</si>
  <si>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</si>
  <si>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</si>
  <si>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</si>
  <si>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</si>
  <si>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</si>
  <si>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</si>
  <si>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</si>
  <si>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</si>
  <si>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</si>
  <si>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</si>
  <si>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</si>
  <si>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</si>
  <si>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</si>
  <si>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</si>
  <si>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</si>
  <si>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</si>
  <si>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</si>
  <si>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</si>
  <si>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</si>
  <si>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</si>
  <si>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</si>
  <si>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</si>
  <si>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</si>
  <si>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</si>
  <si>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</si>
  <si>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</si>
  <si>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</si>
  <si>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</si>
  <si>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</si>
  <si>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</si>
  <si>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</si>
  <si>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</si>
  <si>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</si>
  <si>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</si>
  <si>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</si>
  <si>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</si>
  <si>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№1</t>
  </si>
  <si>
    <t>"MKBANK"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</si>
</sst>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  <font>
      <b/>
      <sz val="16"/>
      <color rgb="FFB6FF5D"/>
      <name val="Times New Roman Cyr"/>
      <charset val="204"/>
    </font>
    <font>
      <sz val="9"/>
      <color theme="0" tint="-0.249977111117893"/>
      <name val="Arial Cyr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552">
    <xf numFmtId="0" fontId="0" fillId="0" borderId="0" xfId="0"/>
    <xf numFmtId="0" fontId="3" fillId="0" borderId="0" xfId="0" applyFont="1"/>
    <xf numFmtId="0" fontId="6" fillId="0" borderId="0" xfId="0" applyFont="1" applyBorder="1"/>
    <xf numFmtId="0" fontId="3" fillId="0" borderId="0" xfId="0" applyFont="1" applyFill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0" fontId="29" fillId="0" borderId="0" xfId="0" applyFont="1" applyFill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3" fontId="42" fillId="0" borderId="0" xfId="0" applyNumberFormat="1" applyFont="1" applyFill="1" applyProtection="1"/>
    <xf numFmtId="3" fontId="42" fillId="0" borderId="0" xfId="0" applyNumberFormat="1" applyFont="1" applyFill="1" applyProtection="1">
      <protection hidden="1"/>
    </xf>
    <xf numFmtId="3" fontId="24" fillId="0" borderId="1" xfId="0" applyNumberFormat="1" applyFont="1" applyFill="1" applyBorder="1" applyProtection="1"/>
    <xf numFmtId="0" fontId="14" fillId="0" borderId="0" xfId="0" applyFont="1" applyBorder="1" applyProtection="1"/>
    <xf numFmtId="3" fontId="14" fillId="0" borderId="0" xfId="0" applyNumberFormat="1" applyFont="1" applyBorder="1" applyProtection="1"/>
    <xf numFmtId="3" fontId="43" fillId="0" borderId="0" xfId="0" applyNumberFormat="1" applyFont="1" applyFill="1" applyAlignment="1" applyProtection="1">
      <alignment horizontal="center"/>
    </xf>
    <xf numFmtId="3" fontId="43" fillId="0" borderId="0" xfId="0" applyNumberFormat="1" applyFont="1" applyFill="1" applyAlignment="1" applyProtection="1">
      <alignment horizontal="center"/>
      <protection hidden="1"/>
    </xf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3" fontId="24" fillId="0" borderId="3" xfId="0" applyNumberFormat="1" applyFont="1" applyFill="1" applyBorder="1" applyAlignment="1" applyProtection="1">
      <alignment vertical="center"/>
      <protection locked="0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64" fillId="0" borderId="0" xfId="0" applyFont="1" applyFill="1" applyAlignment="1" applyProtection="1">
      <alignment horizontal="center" vertical="center"/>
    </xf>
    <xf numFmtId="0" fontId="64" fillId="0" borderId="0" xfId="0" applyFont="1" applyFill="1" applyAlignment="1" applyProtection="1">
      <alignment horizontal="center" vertical="center"/>
      <protection hidden="1"/>
    </xf>
    <xf numFmtId="0" fontId="64" fillId="0" borderId="0" xfId="0" applyFont="1" applyFill="1" applyAlignment="1" applyProtection="1">
      <alignment horizontal="center"/>
    </xf>
    <xf numFmtId="0" fontId="64" fillId="0" borderId="0" xfId="0" applyFont="1" applyFill="1" applyAlignment="1" applyProtection="1">
      <alignment horizontal="center"/>
      <protection hidden="1"/>
    </xf>
    <xf numFmtId="3" fontId="64" fillId="0" borderId="0" xfId="0" applyNumberFormat="1" applyFont="1" applyFill="1" applyAlignment="1" applyProtection="1">
      <alignment horizontal="center"/>
    </xf>
    <xf numFmtId="0" fontId="64" fillId="0" borderId="0" xfId="0" applyFont="1" applyFill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 applyFill="1" applyProtection="1"/>
    <xf numFmtId="0" fontId="65" fillId="0" borderId="0" xfId="0" applyFont="1" applyFill="1" applyAlignment="1" applyProtection="1">
      <alignment wrapText="1"/>
    </xf>
    <xf numFmtId="0" fontId="65" fillId="0" borderId="0" xfId="0" applyFont="1" applyFill="1" applyAlignment="1" applyProtection="1">
      <alignment horizontal="center"/>
    </xf>
    <xf numFmtId="3" fontId="0" fillId="0" borderId="3" xfId="0" applyNumberFormat="1" applyFont="1" applyFill="1" applyBorder="1" applyProtection="1"/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14" fillId="0" borderId="0" xfId="0" applyNumberFormat="1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horizontal="center"/>
    </xf>
    <xf numFmtId="0" fontId="86" fillId="0" borderId="0" xfId="0" applyFont="1" applyFill="1" applyAlignment="1" applyProtection="1">
      <alignment horizontal="center"/>
    </xf>
    <xf numFmtId="3" fontId="86" fillId="0" borderId="0" xfId="0" applyNumberFormat="1" applyFont="1" applyFill="1" applyAlignment="1" applyProtection="1">
      <alignment horizontal="center"/>
      <protection hidden="1"/>
    </xf>
    <xf numFmtId="0" fontId="24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5" fillId="0" borderId="1" xfId="3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3" fontId="0" fillId="0" borderId="3" xfId="0" applyNumberFormat="1" applyFont="1" applyFill="1" applyBorder="1" applyProtection="1">
      <protection locked="0"/>
    </xf>
    <xf numFmtId="0" fontId="29" fillId="0" borderId="0" xfId="0" applyFont="1" applyFill="1" applyAlignment="1">
      <alignment vertical="center"/>
    </xf>
    <xf numFmtId="0" fontId="41" fillId="0" borderId="0" xfId="0" applyFont="1" applyFill="1"/>
    <xf numFmtId="0" fontId="86" fillId="0" borderId="0" xfId="0" applyFont="1" applyFill="1" applyAlignment="1" applyProtection="1">
      <alignment horizontal="center"/>
      <protection hidden="1"/>
    </xf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167" fontId="2" fillId="0" borderId="0" xfId="4" applyFont="1" applyFill="1" applyAlignment="1">
      <alignment vertical="center"/>
    </xf>
    <xf numFmtId="0" fontId="88" fillId="0" borderId="0" xfId="0" applyFont="1" applyFill="1" applyAlignment="1" applyProtection="1">
      <alignment horizontal="center"/>
    </xf>
    <xf numFmtId="0" fontId="88" fillId="0" borderId="0" xfId="0" applyFont="1" applyFill="1" applyAlignment="1" applyProtection="1">
      <alignment horizontal="center"/>
      <protection hidden="1"/>
    </xf>
    <xf numFmtId="0" fontId="88" fillId="0" borderId="0" xfId="0" applyFont="1" applyFill="1" applyProtection="1">
      <protection hidden="1"/>
    </xf>
    <xf numFmtId="0" fontId="88" fillId="0" borderId="0" xfId="0" applyFont="1" applyFill="1"/>
    <xf numFmtId="0" fontId="0" fillId="0" borderId="0" xfId="0" applyFont="1" applyFill="1"/>
    <xf numFmtId="0" fontId="14" fillId="0" borderId="0" xfId="0" applyFont="1" applyProtection="1"/>
    <xf numFmtId="3" fontId="87" fillId="0" borderId="0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 applyProtection="1"/>
    <xf numFmtId="0" fontId="2" fillId="0" borderId="0" xfId="0" applyFont="1" applyAlignment="1" applyProtection="1">
      <alignment vertical="center"/>
    </xf>
    <xf numFmtId="0" fontId="89" fillId="0" borderId="0" xfId="0" applyFont="1" applyAlignment="1" applyProtection="1">
      <alignment vertical="center"/>
    </xf>
    <xf numFmtId="0" fontId="89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9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9" fillId="0" borderId="0" xfId="0" applyFont="1" applyBorder="1" applyProtection="1"/>
    <xf numFmtId="0" fontId="89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85" fillId="0" borderId="0" xfId="0" applyFont="1" applyFill="1" applyAlignment="1" applyProtection="1">
      <alignment horizontal="center"/>
    </xf>
    <xf numFmtId="0" fontId="24" fillId="0" borderId="0" xfId="0" applyFont="1" applyFill="1" applyAlignment="1" applyProtection="1">
      <alignment horizontal="center"/>
    </xf>
    <xf numFmtId="0" fontId="43" fillId="0" borderId="0" xfId="0" applyFont="1" applyFill="1" applyAlignment="1" applyProtection="1">
      <alignment horizontal="center"/>
    </xf>
    <xf numFmtId="0" fontId="30" fillId="0" borderId="0" xfId="0" applyFont="1" applyAlignment="1"/>
    <xf numFmtId="0" fontId="90" fillId="0" borderId="0" xfId="0" applyFont="1" applyAlignment="1">
      <alignment vertical="center"/>
    </xf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4" fillId="0" borderId="1" xfId="3" applyNumberFormat="1" applyFont="1" applyFill="1" applyBorder="1" applyProtection="1"/>
    <xf numFmtId="0" fontId="0" fillId="0" borderId="1" xfId="0" applyFont="1" applyFill="1" applyBorder="1" applyAlignment="1" applyProtection="1">
      <alignment vertical="center" wrapText="1"/>
    </xf>
    <xf numFmtId="3" fontId="2" fillId="0" borderId="3" xfId="0" applyNumberFormat="1" applyFont="1" applyBorder="1" applyProtection="1"/>
    <xf numFmtId="3" fontId="0" fillId="0" borderId="3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91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92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5" fillId="0" borderId="1" xfId="0" applyFont="1" applyBorder="1" applyProtection="1"/>
    <xf numFmtId="0" fontId="30" fillId="0" borderId="0" xfId="0" applyFont="1" applyAlignment="1" applyProtection="1">
      <alignment horizontal="center"/>
    </xf>
    <xf numFmtId="0" fontId="93" fillId="0" borderId="0" xfId="0" applyFont="1" applyProtection="1"/>
    <xf numFmtId="0" fontId="91" fillId="0" borderId="0" xfId="0" quotePrefix="1" applyFont="1" applyAlignment="1" applyProtection="1">
      <alignment horizontal="left" indent="6"/>
    </xf>
    <xf numFmtId="0" fontId="93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94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96" fillId="0" borderId="1" xfId="0" applyFont="1" applyFill="1" applyBorder="1" applyAlignment="1" applyProtection="1">
      <alignment horizontal="center" vertical="center" wrapText="1"/>
    </xf>
    <xf numFmtId="0" fontId="65" fillId="0" borderId="0" xfId="0" applyFont="1" applyFill="1" applyAlignment="1" applyProtection="1">
      <alignment horizontal="left"/>
    </xf>
    <xf numFmtId="0" fontId="64" fillId="0" borderId="0" xfId="0" applyFont="1" applyFill="1" applyAlignment="1" applyProtection="1">
      <alignment horizontal="left"/>
      <protection hidden="1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0" fontId="24" fillId="0" borderId="4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3" fontId="14" fillId="0" borderId="0" xfId="0" applyNumberFormat="1" applyFont="1" applyBorder="1" applyAlignment="1" applyProtection="1">
      <alignment horizontal="center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Fill="1" applyBorder="1" applyAlignment="1">
      <alignment horizontal="center" wrapText="1"/>
    </xf>
    <xf numFmtId="0" fontId="97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3" fontId="14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wrapText="1"/>
    </xf>
    <xf numFmtId="3" fontId="98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 applyProtection="1">
      <alignment vertical="center"/>
    </xf>
    <xf numFmtId="0" fontId="100" fillId="0" borderId="0" xfId="0" applyFont="1" applyAlignment="1" applyProtection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NumberFormat="1" applyFont="1" applyFill="1" applyBorder="1" applyAlignment="1" applyProtection="1">
      <alignment horizontal="left"/>
    </xf>
    <xf numFmtId="49" fontId="103" fillId="0" borderId="1" xfId="0" applyNumberFormat="1" applyFont="1" applyFill="1" applyBorder="1" applyAlignment="1" applyProtection="1">
      <alignment horizontal="center" vertical="center"/>
    </xf>
    <xf numFmtId="49" fontId="104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35" fillId="0" borderId="1" xfId="0" applyNumberFormat="1" applyFont="1" applyFill="1" applyBorder="1" applyAlignment="1" applyProtection="1">
      <alignment vertical="center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106" fillId="0" borderId="0" xfId="0" applyNumberFormat="1" applyFont="1" applyFill="1" applyAlignment="1" applyProtection="1">
      <alignment vertical="center"/>
    </xf>
    <xf numFmtId="0" fontId="106" fillId="0" borderId="0" xfId="0" applyFont="1" applyFill="1" applyAlignment="1" applyProtection="1">
      <alignment vertical="center"/>
    </xf>
    <xf numFmtId="3" fontId="107" fillId="0" borderId="0" xfId="0" applyNumberFormat="1" applyFont="1" applyBorder="1" applyAlignment="1">
      <alignment vertical="center"/>
    </xf>
    <xf numFmtId="167" fontId="108" fillId="0" borderId="0" xfId="4" applyFont="1" applyBorder="1" applyAlignment="1">
      <alignment vertical="center"/>
    </xf>
    <xf numFmtId="0" fontId="109" fillId="0" borderId="0" xfId="0" applyFont="1" applyFill="1" applyAlignment="1" applyProtection="1">
      <alignment vertical="center"/>
    </xf>
    <xf numFmtId="168" fontId="109" fillId="0" borderId="0" xfId="4" applyNumberFormat="1" applyFont="1" applyFill="1" applyAlignment="1">
      <alignment vertical="center"/>
    </xf>
    <xf numFmtId="0" fontId="109" fillId="0" borderId="0" xfId="0" applyFont="1" applyFill="1" applyAlignment="1">
      <alignment vertical="center"/>
    </xf>
    <xf numFmtId="3" fontId="27" fillId="0" borderId="1" xfId="3" applyNumberFormat="1" applyFont="1" applyFill="1" applyBorder="1" applyProtection="1"/>
    <xf numFmtId="3" fontId="0" fillId="0" borderId="1" xfId="0" quotePrefix="1" applyNumberFormat="1" applyFont="1" applyFill="1" applyBorder="1" applyAlignment="1">
      <alignment vertical="center" wrapText="1"/>
    </xf>
    <xf numFmtId="0" fontId="110" fillId="0" borderId="0" xfId="0" applyFont="1" applyAlignment="1" applyProtection="1">
      <alignment horizontal="center"/>
    </xf>
    <xf numFmtId="192" fontId="15" fillId="0" borderId="9" xfId="5" applyNumberFormat="1" applyFont="1" applyFill="1" applyBorder="1" applyAlignment="1" applyProtection="1">
      <alignment horizontal="center" wrapText="1"/>
      <protection locked="0"/>
    </xf>
    <xf numFmtId="168" fontId="111" fillId="0" borderId="0" xfId="4" applyNumberFormat="1" applyFont="1" applyBorder="1" applyProtection="1"/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Border="1" applyAlignment="1">
      <alignment horizontal="center" vertical="center" shrinkToFi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3" fontId="91" fillId="3" borderId="6" xfId="0" applyNumberFormat="1" applyFont="1" applyFill="1" applyBorder="1" applyAlignment="1" applyProtection="1">
      <alignment horizontal="center" vertical="center" wrapText="1"/>
    </xf>
    <xf numFmtId="3" fontId="91" fillId="3" borderId="8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5" fillId="3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1" fillId="3" borderId="11" xfId="0" applyNumberFormat="1" applyFont="1" applyFill="1" applyBorder="1" applyAlignment="1" applyProtection="1">
      <alignment horizontal="center" vertical="center" wrapText="1"/>
    </xf>
    <xf numFmtId="3" fontId="91" fillId="3" borderId="7" xfId="0" applyNumberFormat="1" applyFont="1" applyFill="1" applyBorder="1" applyAlignment="1" applyProtection="1">
      <alignment horizontal="center" vertical="center" wrapText="1"/>
    </xf>
    <xf numFmtId="3" fontId="91" fillId="3" borderId="13" xfId="0" applyNumberFormat="1" applyFont="1" applyFill="1" applyBorder="1" applyAlignment="1" applyProtection="1">
      <alignment horizontal="center" vertical="center" wrapText="1"/>
    </xf>
    <xf numFmtId="3" fontId="91" fillId="3" borderId="2" xfId="0" applyNumberFormat="1" applyFont="1" applyFill="1" applyBorder="1" applyAlignment="1" applyProtection="1">
      <alignment horizontal="center" vertical="center" wrapText="1"/>
    </xf>
    <xf numFmtId="3" fontId="91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91" fillId="3" borderId="10" xfId="0" applyNumberFormat="1" applyFont="1" applyFill="1" applyBorder="1" applyAlignment="1" applyProtection="1">
      <alignment horizontal="center" vertical="center" wrapText="1"/>
    </xf>
    <xf numFmtId="3" fontId="91" fillId="3" borderId="9" xfId="0" applyNumberFormat="1" applyFont="1" applyFill="1" applyBorder="1" applyAlignment="1" applyProtection="1">
      <alignment horizontal="center" vertical="center" wrapText="1"/>
    </xf>
    <xf numFmtId="3" fontId="91" fillId="3" borderId="3" xfId="0" applyNumberFormat="1" applyFont="1" applyFill="1" applyBorder="1" applyAlignment="1" applyProtection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 applyProtection="1">
      <alignment horizontal="center" vertical="center" wrapText="1"/>
    </xf>
    <xf numFmtId="3" fontId="95" fillId="3" borderId="10" xfId="0" applyNumberFormat="1" applyFont="1" applyFill="1" applyBorder="1" applyAlignment="1" applyProtection="1">
      <alignment horizontal="center" vertical="center" wrapText="1"/>
    </xf>
    <xf numFmtId="3" fontId="95" fillId="3" borderId="13" xfId="0" applyNumberFormat="1" applyFont="1" applyFill="1" applyBorder="1" applyAlignment="1" applyProtection="1">
      <alignment horizontal="center" vertical="center" wrapText="1"/>
    </xf>
    <xf numFmtId="3" fontId="95" fillId="3" borderId="2" xfId="0" applyNumberFormat="1" applyFont="1" applyFill="1" applyBorder="1" applyAlignment="1" applyProtection="1">
      <alignment horizontal="center" vertical="center" wrapText="1"/>
    </xf>
    <xf numFmtId="3" fontId="95" fillId="3" borderId="9" xfId="0" applyNumberFormat="1" applyFont="1" applyFill="1" applyBorder="1" applyAlignment="1" applyProtection="1">
      <alignment horizontal="center" vertical="center" wrapText="1"/>
    </xf>
    <xf numFmtId="3" fontId="95" fillId="3" borderId="12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Денежный [0]" xfId="1" builtinId="7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2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490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XEV92"/>
  <sheetViews>
    <sheetView tabSelected="1" view="pageBreakPreview" zoomScaleNormal="75" zoomScaleSheetLayoutView="100" workbookViewId="0">
      <pane xSplit="2" ySplit="4" topLeftCell="C5" activePane="bottomRight" state="frozen"/>
      <selection activeCell="G38" sqref="G38"/>
      <selection pane="topRight" activeCell="G38" sqref="G38"/>
      <selection pane="bottomLeft" activeCell="G38" sqref="G38"/>
      <selection pane="bottomRight" activeCell="D45" sqref="D45"/>
    </sheetView>
  </sheetViews>
  <sheetFormatPr defaultRowHeight="15" customHeight="1"/>
  <cols>
    <col min="1" max="1" width="7" style="22" customWidth="1"/>
    <col min="2" max="2" width="85.42578125" style="26" customWidth="1"/>
    <col min="3" max="5" width="17.28515625" style="26" customWidth="1"/>
    <col min="6" max="8" width="12.5703125" style="253" customWidth="1"/>
    <col min="9" max="9" width="5.85546875" style="253" customWidth="1"/>
    <col min="10" max="10" width="5.7109375" style="381" customWidth="1"/>
    <col min="11" max="12" width="6.140625" style="253" customWidth="1"/>
    <col min="13" max="14" width="6.140625" style="26" customWidth="1"/>
    <col min="15" max="16384" width="9.140625" style="26"/>
  </cols>
  <sheetData>
    <row r="1" spans="1:15 16376:16376" ht="20.25">
      <c r="A1" s="512" t="s">
        <v>511</v>
      </c>
      <c r="B1" s="512"/>
      <c r="C1" s="512"/>
      <c r="D1" s="512"/>
      <c r="E1" s="282" t="s">
        <v>173</v>
      </c>
      <c r="G1" s="509" t="s">
        <v>561</v>
      </c>
    </row>
    <row r="2" spans="1:15 16376:16376" ht="15" customHeight="1">
      <c r="B2" s="441" t="str">
        <f>IF(D3&gt;0," "&amp;TEXT(D3,"д ММММ, гггг"),"Число,Месяц,Год")</f>
        <v xml:space="preserve"> 29 Декабрь, 2023</v>
      </c>
      <c r="C2" s="16"/>
      <c r="D2" s="254"/>
      <c r="E2" s="16"/>
    </row>
    <row r="3" spans="1:15 16376:16376" ht="15" customHeight="1">
      <c r="B3" s="484" t="s">
        <v>562</v>
      </c>
      <c r="D3" s="510">
        <v>45289</v>
      </c>
      <c r="E3" s="283" t="s">
        <v>174</v>
      </c>
    </row>
    <row r="4" spans="1:15 16376:16376" ht="43.5" customHeight="1">
      <c r="A4" s="113" t="s">
        <v>54</v>
      </c>
      <c r="B4" s="113" t="s">
        <v>175</v>
      </c>
      <c r="C4" s="113" t="s">
        <v>176</v>
      </c>
      <c r="D4" s="113" t="s">
        <v>177</v>
      </c>
      <c r="E4" s="113" t="s">
        <v>178</v>
      </c>
      <c r="F4" s="183"/>
      <c r="G4" s="183"/>
      <c r="H4" s="183"/>
      <c r="I4" s="183"/>
      <c r="J4" s="382"/>
      <c r="K4" s="183"/>
      <c r="L4" s="183"/>
      <c r="M4" s="25"/>
      <c r="N4" s="25"/>
      <c r="O4" s="25"/>
    </row>
    <row r="5" spans="1:15 16376:16376" ht="15" customHeight="1">
      <c r="A5" s="23">
        <v>1</v>
      </c>
      <c r="B5" s="284" t="s">
        <v>285</v>
      </c>
      <c r="C5" s="6">
        <f>+D5+E5</f>
        <v>722231783</v>
      </c>
      <c r="D5" s="6">
        <f>+'Bank Assets Analysis'!T6</f>
        <v>551095339</v>
      </c>
      <c r="E5" s="6">
        <f>+'Bank Assets Analysis'!U6</f>
        <v>171136444</v>
      </c>
      <c r="F5" s="183"/>
      <c r="G5" s="183"/>
      <c r="I5" s="183"/>
      <c r="J5" s="383">
        <f t="shared" ref="J5:J47" si="0">+C5-D5-E5</f>
        <v>0</v>
      </c>
      <c r="K5" s="183"/>
      <c r="L5" s="183"/>
      <c r="M5" s="25"/>
      <c r="N5" s="25"/>
      <c r="O5" s="25"/>
    </row>
    <row r="6" spans="1:15 16376:16376" ht="15" customHeight="1">
      <c r="A6" s="23">
        <v>2</v>
      </c>
      <c r="B6" s="284" t="s">
        <v>510</v>
      </c>
      <c r="C6" s="24">
        <f t="shared" ref="C6:C76" si="1">+D6+E6</f>
        <v>307687193</v>
      </c>
      <c r="D6" s="6">
        <f>+'Bank Assets Analysis'!T7+'Bank Assets Analysis'!T8</f>
        <v>307687193</v>
      </c>
      <c r="E6" s="6">
        <f>+'Bank Assets Analysis'!U7+'Bank Assets Analysis'!U8</f>
        <v>0</v>
      </c>
      <c r="F6" s="183"/>
      <c r="G6" s="183"/>
      <c r="I6" s="183"/>
      <c r="J6" s="383">
        <f t="shared" si="0"/>
        <v>0</v>
      </c>
      <c r="K6" s="183"/>
      <c r="L6" s="183"/>
      <c r="M6" s="25"/>
      <c r="N6" s="25"/>
      <c r="O6" s="25"/>
    </row>
    <row r="7" spans="1:15 16376:16376" ht="15" customHeight="1">
      <c r="A7" s="23">
        <v>3</v>
      </c>
      <c r="B7" s="393" t="s">
        <v>180</v>
      </c>
      <c r="C7" s="6">
        <f>+'Bank Assets Analysis'!S9</f>
        <v>1069350608</v>
      </c>
      <c r="D7" s="6">
        <f>+'Bank Assets Analysis'!T9</f>
        <v>437378035</v>
      </c>
      <c r="E7" s="6">
        <f>+'Bank Assets Analysis'!U9</f>
        <v>631972573</v>
      </c>
      <c r="F7" s="183"/>
      <c r="G7" s="183"/>
      <c r="I7" s="183"/>
      <c r="J7" s="383">
        <f t="shared" si="0"/>
        <v>0</v>
      </c>
      <c r="K7" s="183"/>
      <c r="L7" s="183"/>
      <c r="M7" s="25"/>
      <c r="N7" s="25"/>
      <c r="O7" s="25"/>
    </row>
    <row r="8" spans="1:15 16376:16376" ht="15" customHeight="1">
      <c r="A8" s="23" t="s">
        <v>74</v>
      </c>
      <c r="B8" s="12" t="s">
        <v>181</v>
      </c>
      <c r="C8" s="6">
        <f t="shared" ref="C8" si="2">+D8+E8</f>
        <v>1069350608</v>
      </c>
      <c r="D8" s="4">
        <v>437378035</v>
      </c>
      <c r="E8" s="4">
        <v>631972573</v>
      </c>
      <c r="F8" s="183"/>
      <c r="G8" s="183"/>
      <c r="I8" s="183"/>
      <c r="J8" s="383">
        <f t="shared" si="0"/>
        <v>0</v>
      </c>
      <c r="K8" s="183"/>
      <c r="L8" s="183"/>
      <c r="M8" s="25"/>
      <c r="N8" s="25"/>
      <c r="O8" s="25"/>
    </row>
    <row r="9" spans="1:15 16376:16376" ht="15" customHeight="1">
      <c r="A9" s="23" t="s">
        <v>75</v>
      </c>
      <c r="B9" s="12" t="s">
        <v>182</v>
      </c>
      <c r="C9" s="6">
        <f t="shared" si="1"/>
        <v>0</v>
      </c>
      <c r="D9" s="4">
        <v>0</v>
      </c>
      <c r="E9" s="4">
        <v>0</v>
      </c>
      <c r="F9" s="183"/>
      <c r="G9" s="183"/>
      <c r="I9" s="183"/>
      <c r="J9" s="383">
        <f t="shared" si="0"/>
        <v>0</v>
      </c>
      <c r="K9" s="183"/>
      <c r="L9" s="183"/>
      <c r="M9" s="25"/>
      <c r="N9" s="25"/>
      <c r="O9" s="25"/>
      <c r="XEV9" s="4"/>
    </row>
    <row r="10" spans="1:15 16376:16376" ht="15" customHeight="1">
      <c r="A10" s="23">
        <v>4</v>
      </c>
      <c r="B10" s="284" t="s">
        <v>183</v>
      </c>
      <c r="C10" s="6">
        <f>+D10+E10</f>
        <v>10000000</v>
      </c>
      <c r="D10" s="6">
        <f>+'Investment Securities'!C29</f>
        <v>10000000</v>
      </c>
      <c r="E10" s="6">
        <f>+'Investment Securities'!D29</f>
        <v>0</v>
      </c>
      <c r="F10" s="183"/>
      <c r="I10" s="183"/>
      <c r="J10" s="383">
        <f t="shared" si="0"/>
        <v>0</v>
      </c>
      <c r="K10" s="183"/>
      <c r="L10" s="183"/>
      <c r="M10" s="25"/>
      <c r="N10" s="25"/>
      <c r="O10" s="25"/>
    </row>
    <row r="11" spans="1:15 16376:16376" ht="15" customHeight="1">
      <c r="A11" s="23" t="s">
        <v>76</v>
      </c>
      <c r="B11" s="394" t="s">
        <v>184</v>
      </c>
      <c r="C11" s="6">
        <f t="shared" ref="C11:C13" si="3">+D11+E11</f>
        <v>10000000</v>
      </c>
      <c r="D11" s="6">
        <f>+'Investment Securities'!C26</f>
        <v>10000000</v>
      </c>
      <c r="E11" s="6">
        <f>+'Investment Securities'!D26</f>
        <v>0</v>
      </c>
      <c r="F11" s="183"/>
      <c r="G11" s="183"/>
      <c r="I11" s="183"/>
      <c r="J11" s="383">
        <f t="shared" si="0"/>
        <v>0</v>
      </c>
      <c r="K11" s="183"/>
      <c r="L11" s="183"/>
      <c r="M11" s="25"/>
      <c r="N11" s="25"/>
      <c r="O11" s="25"/>
    </row>
    <row r="12" spans="1:15 16376:16376" ht="25.5">
      <c r="A12" s="23" t="s">
        <v>20</v>
      </c>
      <c r="B12" s="12" t="s">
        <v>515</v>
      </c>
      <c r="C12" s="6">
        <f t="shared" si="3"/>
        <v>0</v>
      </c>
      <c r="D12" s="6">
        <f>+'Investment Securities'!C27</f>
        <v>0</v>
      </c>
      <c r="E12" s="6">
        <f>+'Investment Securities'!D27</f>
        <v>0</v>
      </c>
      <c r="F12" s="183"/>
      <c r="G12" s="183"/>
      <c r="I12" s="183"/>
      <c r="J12" s="383">
        <f t="shared" si="0"/>
        <v>0</v>
      </c>
      <c r="K12" s="183"/>
      <c r="L12" s="183"/>
      <c r="M12" s="25"/>
      <c r="N12" s="25"/>
      <c r="O12" s="25"/>
    </row>
    <row r="13" spans="1:15 16376:16376" ht="15" customHeight="1">
      <c r="A13" s="23" t="s">
        <v>21</v>
      </c>
      <c r="B13" s="394" t="s">
        <v>185</v>
      </c>
      <c r="C13" s="6">
        <f t="shared" si="3"/>
        <v>0</v>
      </c>
      <c r="D13" s="6">
        <f>+'Investment Securities'!C28</f>
        <v>0</v>
      </c>
      <c r="E13" s="6">
        <f>+'Investment Securities'!D28</f>
        <v>0</v>
      </c>
      <c r="F13" s="183"/>
      <c r="G13" s="183"/>
      <c r="I13" s="183"/>
      <c r="J13" s="383">
        <f t="shared" si="0"/>
        <v>0</v>
      </c>
      <c r="K13" s="183"/>
      <c r="L13" s="183"/>
      <c r="M13" s="25"/>
      <c r="N13" s="25"/>
      <c r="O13" s="25"/>
    </row>
    <row r="14" spans="1:15 16376:16376" ht="15" customHeight="1">
      <c r="A14" s="23">
        <v>5</v>
      </c>
      <c r="B14" s="284" t="s">
        <v>186</v>
      </c>
      <c r="C14" s="6">
        <f>+C15-C16</f>
        <v>175</v>
      </c>
      <c r="D14" s="6">
        <f>+'Investment Securities'!C39</f>
        <v>175</v>
      </c>
      <c r="E14" s="6">
        <f>+'Investment Securities'!D39</f>
        <v>0</v>
      </c>
      <c r="F14" s="183"/>
      <c r="G14" s="183"/>
      <c r="I14" s="183"/>
      <c r="J14" s="383">
        <f t="shared" si="0"/>
        <v>0</v>
      </c>
      <c r="K14" s="183"/>
      <c r="L14" s="183"/>
      <c r="M14" s="25"/>
      <c r="N14" s="25"/>
      <c r="O14" s="25"/>
    </row>
    <row r="15" spans="1:15 16376:16376" ht="15" customHeight="1">
      <c r="A15" s="23" t="s">
        <v>187</v>
      </c>
      <c r="B15" s="394" t="s">
        <v>188</v>
      </c>
      <c r="C15" s="6">
        <f t="shared" si="1"/>
        <v>175</v>
      </c>
      <c r="D15" s="6">
        <f>+'Investment Securities'!C37</f>
        <v>175</v>
      </c>
      <c r="E15" s="6">
        <f>+'Investment Securities'!D37</f>
        <v>0</v>
      </c>
      <c r="F15" s="183"/>
      <c r="G15" s="183"/>
      <c r="I15" s="183"/>
      <c r="J15" s="383">
        <f t="shared" si="0"/>
        <v>0</v>
      </c>
      <c r="K15" s="183"/>
      <c r="L15" s="183"/>
      <c r="M15" s="25"/>
      <c r="N15" s="25"/>
      <c r="O15" s="25"/>
    </row>
    <row r="16" spans="1:15 16376:16376" ht="15" customHeight="1">
      <c r="A16" s="23" t="s">
        <v>189</v>
      </c>
      <c r="B16" s="394" t="s">
        <v>185</v>
      </c>
      <c r="C16" s="6">
        <f t="shared" si="1"/>
        <v>0</v>
      </c>
      <c r="D16" s="6">
        <f>+'Investment Securities'!C38</f>
        <v>0</v>
      </c>
      <c r="E16" s="6">
        <f>+'Investment Securities'!D38</f>
        <v>0</v>
      </c>
      <c r="F16" s="183"/>
      <c r="G16" s="183"/>
      <c r="I16" s="183"/>
      <c r="J16" s="383">
        <f t="shared" si="0"/>
        <v>0</v>
      </c>
      <c r="K16" s="183"/>
      <c r="L16" s="183"/>
      <c r="M16" s="25"/>
      <c r="N16" s="25"/>
      <c r="O16" s="25"/>
    </row>
    <row r="17" spans="1:15" ht="15" customHeight="1">
      <c r="A17" s="23">
        <v>6</v>
      </c>
      <c r="B17" s="284" t="s">
        <v>190</v>
      </c>
      <c r="C17" s="6">
        <f>+'Investment Securities'!B15</f>
        <v>107220</v>
      </c>
      <c r="D17" s="6">
        <f>+'Investment Securities'!C15</f>
        <v>107220</v>
      </c>
      <c r="E17" s="6">
        <f>+'Investment Securities'!D15</f>
        <v>0</v>
      </c>
      <c r="F17" s="183"/>
      <c r="G17" s="183"/>
      <c r="I17" s="183"/>
      <c r="J17" s="383">
        <f t="shared" si="0"/>
        <v>0</v>
      </c>
      <c r="K17" s="183"/>
      <c r="L17" s="183"/>
      <c r="M17" s="25"/>
      <c r="N17" s="25"/>
      <c r="O17" s="25"/>
    </row>
    <row r="18" spans="1:15" ht="15" customHeight="1">
      <c r="A18" s="23" t="s">
        <v>191</v>
      </c>
      <c r="B18" s="394" t="s">
        <v>192</v>
      </c>
      <c r="C18" s="6">
        <f t="shared" si="1"/>
        <v>107220</v>
      </c>
      <c r="D18" s="6">
        <f>+'Investment Securities'!C12</f>
        <v>107220</v>
      </c>
      <c r="E18" s="6">
        <f>+'Investment Securities'!D12</f>
        <v>0</v>
      </c>
      <c r="F18" s="183"/>
      <c r="G18" s="183"/>
      <c r="I18" s="183"/>
      <c r="J18" s="383">
        <f t="shared" si="0"/>
        <v>0</v>
      </c>
      <c r="K18" s="183"/>
      <c r="L18" s="183"/>
      <c r="M18" s="25"/>
      <c r="N18" s="25"/>
      <c r="O18" s="25"/>
    </row>
    <row r="19" spans="1:15" ht="15" customHeight="1">
      <c r="A19" s="23" t="s">
        <v>193</v>
      </c>
      <c r="B19" s="12" t="s">
        <v>514</v>
      </c>
      <c r="C19" s="6">
        <f t="shared" si="1"/>
        <v>0</v>
      </c>
      <c r="D19" s="6">
        <f>+'Investment Securities'!C13</f>
        <v>0</v>
      </c>
      <c r="E19" s="6">
        <f>+'Investment Securities'!D13</f>
        <v>0</v>
      </c>
      <c r="F19" s="183"/>
      <c r="G19" s="183"/>
      <c r="I19" s="183"/>
      <c r="J19" s="383">
        <f t="shared" si="0"/>
        <v>0</v>
      </c>
      <c r="K19" s="183"/>
      <c r="L19" s="183"/>
      <c r="M19" s="25"/>
      <c r="N19" s="25"/>
      <c r="O19" s="25"/>
    </row>
    <row r="20" spans="1:15" ht="15" customHeight="1">
      <c r="A20" s="23" t="s">
        <v>513</v>
      </c>
      <c r="B20" s="394" t="s">
        <v>182</v>
      </c>
      <c r="C20" s="6">
        <f t="shared" si="1"/>
        <v>0</v>
      </c>
      <c r="D20" s="6">
        <f>+'Investment Securities'!C14</f>
        <v>0</v>
      </c>
      <c r="E20" s="6">
        <f>+'Investment Securities'!D14</f>
        <v>0</v>
      </c>
      <c r="F20" s="183"/>
      <c r="G20" s="183"/>
      <c r="I20" s="183"/>
      <c r="J20" s="383">
        <f t="shared" si="0"/>
        <v>0</v>
      </c>
      <c r="K20" s="183"/>
      <c r="L20" s="183"/>
      <c r="M20" s="25"/>
      <c r="N20" s="25"/>
      <c r="O20" s="25"/>
    </row>
    <row r="21" spans="1:15" ht="15" customHeight="1">
      <c r="A21" s="23">
        <v>7</v>
      </c>
      <c r="B21" s="284" t="s">
        <v>194</v>
      </c>
      <c r="C21" s="6">
        <f>+'Bank Assets Analysis'!S33</f>
        <v>0</v>
      </c>
      <c r="D21" s="6">
        <f>+'Bank Assets Analysis'!T33</f>
        <v>0</v>
      </c>
      <c r="E21" s="6">
        <f>+'Bank Assets Analysis'!U33</f>
        <v>0</v>
      </c>
      <c r="F21" s="183"/>
      <c r="G21" s="183"/>
      <c r="I21" s="183"/>
      <c r="J21" s="383">
        <f t="shared" si="0"/>
        <v>0</v>
      </c>
      <c r="K21" s="183"/>
      <c r="L21" s="183"/>
      <c r="M21" s="25"/>
      <c r="N21" s="25"/>
      <c r="O21" s="25"/>
    </row>
    <row r="22" spans="1:15" ht="15" customHeight="1">
      <c r="A22" s="23" t="s">
        <v>195</v>
      </c>
      <c r="B22" s="394" t="s">
        <v>196</v>
      </c>
      <c r="C22" s="6">
        <f t="shared" si="1"/>
        <v>0</v>
      </c>
      <c r="D22" s="4">
        <v>0</v>
      </c>
      <c r="E22" s="4">
        <v>0</v>
      </c>
      <c r="F22" s="183"/>
      <c r="G22" s="183"/>
      <c r="I22" s="183"/>
      <c r="J22" s="383">
        <f t="shared" si="0"/>
        <v>0</v>
      </c>
      <c r="K22" s="183"/>
      <c r="L22" s="183"/>
      <c r="M22" s="25"/>
      <c r="N22" s="25"/>
      <c r="O22" s="25"/>
    </row>
    <row r="23" spans="1:15" ht="15" customHeight="1">
      <c r="A23" s="23" t="s">
        <v>197</v>
      </c>
      <c r="B23" s="394" t="s">
        <v>185</v>
      </c>
      <c r="C23" s="6">
        <f t="shared" si="1"/>
        <v>0</v>
      </c>
      <c r="D23" s="4">
        <v>0</v>
      </c>
      <c r="E23" s="4">
        <v>0</v>
      </c>
      <c r="F23" s="183"/>
      <c r="G23" s="183"/>
      <c r="I23" s="183"/>
      <c r="J23" s="383">
        <f t="shared" si="0"/>
        <v>0</v>
      </c>
      <c r="K23" s="183"/>
      <c r="L23" s="183"/>
      <c r="M23" s="25"/>
      <c r="N23" s="25"/>
      <c r="O23" s="25"/>
    </row>
    <row r="24" spans="1:15" ht="15" customHeight="1">
      <c r="A24" s="23">
        <v>8</v>
      </c>
      <c r="B24" s="284" t="s">
        <v>198</v>
      </c>
      <c r="C24" s="6">
        <f>+'Bank Assets Analysis'!S28+'Bank Assets Analysis'!S29+'Bank Assets Analysis'!S31</f>
        <v>14211096748</v>
      </c>
      <c r="D24" s="6">
        <f>+'Bank Assets Analysis'!T28+'Bank Assets Analysis'!T29+'Bank Assets Analysis'!T31</f>
        <v>10553103939</v>
      </c>
      <c r="E24" s="6">
        <f>+'Bank Assets Analysis'!U28+'Bank Assets Analysis'!U29+'Bank Assets Analysis'!U31</f>
        <v>3657992809</v>
      </c>
      <c r="G24" s="183"/>
      <c r="I24" s="183"/>
      <c r="J24" s="383">
        <f t="shared" si="0"/>
        <v>0</v>
      </c>
      <c r="K24" s="183"/>
      <c r="L24" s="183"/>
      <c r="M24" s="25"/>
      <c r="N24" s="25"/>
      <c r="O24" s="25"/>
    </row>
    <row r="25" spans="1:15" ht="12.75">
      <c r="A25" s="23" t="s">
        <v>199</v>
      </c>
      <c r="B25" s="394" t="s">
        <v>200</v>
      </c>
      <c r="C25" s="6">
        <f t="shared" ref="C25:C26" si="4">+D25+E25</f>
        <v>14437080535</v>
      </c>
      <c r="D25" s="4">
        <v>10746116443</v>
      </c>
      <c r="E25" s="4">
        <v>3690964092</v>
      </c>
      <c r="F25" s="183"/>
      <c r="G25" s="183"/>
      <c r="I25" s="183"/>
      <c r="J25" s="383">
        <f t="shared" si="0"/>
        <v>0</v>
      </c>
      <c r="K25" s="183"/>
      <c r="L25" s="183"/>
      <c r="M25" s="25"/>
      <c r="N25" s="25"/>
      <c r="O25" s="25"/>
    </row>
    <row r="26" spans="1:15" ht="15" customHeight="1">
      <c r="A26" s="23" t="s">
        <v>201</v>
      </c>
      <c r="B26" s="394" t="s">
        <v>182</v>
      </c>
      <c r="C26" s="6">
        <f t="shared" si="4"/>
        <v>225983787</v>
      </c>
      <c r="D26" s="4">
        <v>193012504</v>
      </c>
      <c r="E26" s="4">
        <v>32971283</v>
      </c>
      <c r="F26" s="184"/>
      <c r="G26" s="183"/>
      <c r="I26" s="183"/>
      <c r="J26" s="383">
        <f t="shared" si="0"/>
        <v>0</v>
      </c>
      <c r="K26" s="183"/>
      <c r="L26" s="183"/>
      <c r="M26" s="25"/>
      <c r="N26" s="25"/>
      <c r="O26" s="25"/>
    </row>
    <row r="27" spans="1:15" ht="15" customHeight="1">
      <c r="A27" s="23">
        <v>9</v>
      </c>
      <c r="B27" s="284" t="s">
        <v>202</v>
      </c>
      <c r="C27" s="277">
        <f>+'Bank Assets Analysis'!S25+'Bank Assets Analysis'!S26</f>
        <v>0</v>
      </c>
      <c r="D27" s="277">
        <f>+'Bank Assets Analysis'!T25+'Bank Assets Analysis'!T26</f>
        <v>0</v>
      </c>
      <c r="E27" s="277">
        <f>+'Bank Assets Analysis'!U25+'Bank Assets Analysis'!U26</f>
        <v>0</v>
      </c>
      <c r="F27" s="183"/>
      <c r="G27" s="183"/>
      <c r="I27" s="183"/>
      <c r="J27" s="383">
        <f t="shared" si="0"/>
        <v>0</v>
      </c>
      <c r="K27" s="183"/>
      <c r="L27" s="183"/>
      <c r="M27" s="25"/>
      <c r="N27" s="25"/>
      <c r="O27" s="25"/>
    </row>
    <row r="28" spans="1:15" ht="15" customHeight="1">
      <c r="A28" s="23" t="s">
        <v>203</v>
      </c>
      <c r="B28" s="394" t="s">
        <v>204</v>
      </c>
      <c r="C28" s="6">
        <f t="shared" si="1"/>
        <v>0</v>
      </c>
      <c r="D28" s="4">
        <v>0</v>
      </c>
      <c r="E28" s="4">
        <v>0</v>
      </c>
      <c r="F28" s="183"/>
      <c r="G28" s="183"/>
      <c r="I28" s="183"/>
      <c r="J28" s="383">
        <f t="shared" si="0"/>
        <v>0</v>
      </c>
      <c r="K28" s="183"/>
      <c r="L28" s="183"/>
      <c r="M28" s="25"/>
      <c r="N28" s="25"/>
      <c r="O28" s="25"/>
    </row>
    <row r="29" spans="1:15" ht="15" customHeight="1">
      <c r="A29" s="23" t="s">
        <v>205</v>
      </c>
      <c r="B29" s="394" t="s">
        <v>182</v>
      </c>
      <c r="C29" s="6">
        <f t="shared" si="1"/>
        <v>0</v>
      </c>
      <c r="D29" s="4">
        <v>0</v>
      </c>
      <c r="E29" s="4">
        <v>0</v>
      </c>
      <c r="F29" s="183"/>
      <c r="G29" s="183"/>
      <c r="I29" s="183"/>
      <c r="J29" s="383">
        <f t="shared" si="0"/>
        <v>0</v>
      </c>
      <c r="K29" s="183"/>
      <c r="L29" s="183"/>
      <c r="M29" s="25"/>
      <c r="N29" s="25"/>
      <c r="O29" s="25"/>
    </row>
    <row r="30" spans="1:15" ht="15" customHeight="1">
      <c r="A30" s="23">
        <v>10</v>
      </c>
      <c r="B30" s="394" t="s">
        <v>206</v>
      </c>
      <c r="C30" s="6">
        <f>+'Bank Assets Analysis'!S36</f>
        <v>932880053</v>
      </c>
      <c r="D30" s="6">
        <f>+'Bank Assets Analysis'!T36</f>
        <v>932880053</v>
      </c>
      <c r="E30" s="6">
        <f>+'Bank Assets Analysis'!U36</f>
        <v>0</v>
      </c>
      <c r="F30" s="183"/>
      <c r="G30" s="183"/>
      <c r="I30" s="183"/>
      <c r="J30" s="383">
        <f t="shared" si="0"/>
        <v>0</v>
      </c>
      <c r="K30" s="183"/>
      <c r="L30" s="183"/>
      <c r="M30" s="25"/>
      <c r="N30" s="25"/>
      <c r="O30" s="25"/>
    </row>
    <row r="31" spans="1:15" ht="15" customHeight="1">
      <c r="A31" s="23">
        <v>11</v>
      </c>
      <c r="B31" s="394" t="s">
        <v>207</v>
      </c>
      <c r="C31" s="6">
        <f>+C32+C33-C34</f>
        <v>1122581365</v>
      </c>
      <c r="D31" s="6">
        <f>+D32+D33-D34</f>
        <v>828529295</v>
      </c>
      <c r="E31" s="6">
        <f>+E32+E33-E34</f>
        <v>294052070</v>
      </c>
      <c r="F31" s="183"/>
      <c r="G31" s="183"/>
      <c r="I31" s="183"/>
      <c r="J31" s="383">
        <f t="shared" si="0"/>
        <v>0</v>
      </c>
      <c r="K31" s="183"/>
      <c r="L31" s="183"/>
      <c r="M31" s="25"/>
      <c r="N31" s="25"/>
      <c r="O31" s="25"/>
    </row>
    <row r="32" spans="1:15" ht="15" customHeight="1">
      <c r="A32" s="23" t="s">
        <v>208</v>
      </c>
      <c r="B32" s="394" t="s">
        <v>209</v>
      </c>
      <c r="C32" s="6">
        <f t="shared" ref="C32:C34" si="5">+D32+E32</f>
        <v>1127993429</v>
      </c>
      <c r="D32" s="4">
        <v>833941359</v>
      </c>
      <c r="E32" s="4">
        <v>294052070</v>
      </c>
      <c r="F32" s="183"/>
      <c r="G32" s="183"/>
      <c r="I32" s="183"/>
      <c r="J32" s="383">
        <f t="shared" si="0"/>
        <v>0</v>
      </c>
      <c r="K32" s="183"/>
      <c r="L32" s="183"/>
      <c r="M32" s="25"/>
      <c r="N32" s="25"/>
      <c r="O32" s="25"/>
    </row>
    <row r="33" spans="1:15" ht="18" customHeight="1">
      <c r="A33" s="23" t="s">
        <v>210</v>
      </c>
      <c r="B33" s="394" t="s">
        <v>211</v>
      </c>
      <c r="C33" s="6">
        <f t="shared" si="5"/>
        <v>107474</v>
      </c>
      <c r="D33" s="4">
        <v>107474</v>
      </c>
      <c r="E33" s="4">
        <v>0</v>
      </c>
      <c r="F33" s="183"/>
      <c r="G33" s="183"/>
      <c r="I33" s="183"/>
      <c r="J33" s="383">
        <f t="shared" si="0"/>
        <v>0</v>
      </c>
      <c r="K33" s="183"/>
      <c r="L33" s="183"/>
      <c r="M33" s="25"/>
      <c r="N33" s="25"/>
      <c r="O33" s="25"/>
    </row>
    <row r="34" spans="1:15" ht="18" customHeight="1">
      <c r="A34" s="23" t="s">
        <v>212</v>
      </c>
      <c r="B34" s="394" t="s">
        <v>182</v>
      </c>
      <c r="C34" s="6">
        <f t="shared" si="5"/>
        <v>5519538</v>
      </c>
      <c r="D34" s="4">
        <v>5519538</v>
      </c>
      <c r="E34" s="4">
        <v>0</v>
      </c>
      <c r="F34" s="183"/>
      <c r="G34" s="183"/>
      <c r="I34" s="183"/>
      <c r="J34" s="383">
        <f t="shared" si="0"/>
        <v>0</v>
      </c>
      <c r="K34" s="183"/>
      <c r="L34" s="183"/>
      <c r="M34" s="25"/>
      <c r="N34" s="25"/>
      <c r="O34" s="25"/>
    </row>
    <row r="35" spans="1:15" ht="18" customHeight="1">
      <c r="A35" s="23">
        <v>12</v>
      </c>
      <c r="B35" s="284" t="s">
        <v>213</v>
      </c>
      <c r="C35" s="6">
        <f>+'Bank Assets Analysis'!S37</f>
        <v>196566905</v>
      </c>
      <c r="D35" s="6">
        <f>+'Bank Assets Analysis'!T37</f>
        <v>196566905</v>
      </c>
      <c r="E35" s="6">
        <f>+'Bank Assets Analysis'!U37</f>
        <v>0</v>
      </c>
      <c r="F35" s="183"/>
      <c r="G35" s="183"/>
      <c r="I35" s="183"/>
      <c r="J35" s="383">
        <f t="shared" si="0"/>
        <v>0</v>
      </c>
      <c r="K35" s="183"/>
      <c r="L35" s="183"/>
      <c r="M35" s="25"/>
      <c r="N35" s="25"/>
      <c r="O35" s="25"/>
    </row>
    <row r="36" spans="1:15" ht="18" customHeight="1">
      <c r="A36" s="23" t="s">
        <v>214</v>
      </c>
      <c r="B36" s="394" t="s">
        <v>215</v>
      </c>
      <c r="C36" s="6">
        <f t="shared" ref="C36:C38" si="6">+D36+E36</f>
        <v>197376727</v>
      </c>
      <c r="D36" s="4">
        <v>197376727</v>
      </c>
      <c r="E36" s="4">
        <v>0</v>
      </c>
      <c r="F36" s="183"/>
      <c r="G36" s="183"/>
      <c r="I36" s="183"/>
      <c r="J36" s="383">
        <f t="shared" si="0"/>
        <v>0</v>
      </c>
      <c r="K36" s="183"/>
      <c r="L36" s="183"/>
      <c r="M36" s="25"/>
      <c r="N36" s="25"/>
      <c r="O36" s="25"/>
    </row>
    <row r="37" spans="1:15" ht="18" customHeight="1">
      <c r="A37" s="23" t="s">
        <v>216</v>
      </c>
      <c r="B37" s="394" t="s">
        <v>217</v>
      </c>
      <c r="C37" s="6">
        <f t="shared" si="6"/>
        <v>0</v>
      </c>
      <c r="D37" s="4">
        <v>0</v>
      </c>
      <c r="E37" s="4">
        <v>0</v>
      </c>
      <c r="F37" s="183"/>
      <c r="G37" s="183"/>
      <c r="I37" s="183"/>
      <c r="J37" s="383">
        <f t="shared" si="0"/>
        <v>0</v>
      </c>
      <c r="K37" s="183"/>
      <c r="L37" s="183"/>
      <c r="M37" s="25"/>
      <c r="N37" s="25"/>
      <c r="O37" s="25"/>
    </row>
    <row r="38" spans="1:15" ht="25.5">
      <c r="A38" s="23" t="s">
        <v>218</v>
      </c>
      <c r="B38" s="395" t="s">
        <v>516</v>
      </c>
      <c r="C38" s="6">
        <f t="shared" si="6"/>
        <v>809822</v>
      </c>
      <c r="D38" s="4">
        <v>809822</v>
      </c>
      <c r="E38" s="4">
        <v>0</v>
      </c>
      <c r="F38" s="183"/>
      <c r="G38" s="183"/>
      <c r="I38" s="183"/>
      <c r="J38" s="383">
        <f t="shared" si="0"/>
        <v>0</v>
      </c>
      <c r="K38" s="183"/>
      <c r="L38" s="183"/>
      <c r="M38" s="25"/>
      <c r="N38" s="25"/>
      <c r="O38" s="25"/>
    </row>
    <row r="39" spans="1:15" s="22" customFormat="1" ht="15" customHeight="1">
      <c r="A39" s="23">
        <v>13</v>
      </c>
      <c r="B39" s="396" t="s">
        <v>522</v>
      </c>
      <c r="C39" s="277">
        <f>+D39+E39</f>
        <v>126094117</v>
      </c>
      <c r="D39" s="277">
        <f>+D40+D41+D42</f>
        <v>126094117</v>
      </c>
      <c r="E39" s="277">
        <f>+E40+E41+E42</f>
        <v>0</v>
      </c>
      <c r="F39" s="397"/>
      <c r="G39" s="397"/>
      <c r="H39" s="203"/>
      <c r="I39" s="397"/>
      <c r="J39" s="398">
        <f>+C39-D39-E39</f>
        <v>0</v>
      </c>
      <c r="K39" s="397"/>
      <c r="L39" s="397"/>
      <c r="M39" s="399"/>
      <c r="N39" s="399"/>
      <c r="O39" s="399"/>
    </row>
    <row r="40" spans="1:15" s="22" customFormat="1" ht="15" customHeight="1">
      <c r="A40" s="23" t="s">
        <v>16</v>
      </c>
      <c r="B40" s="396" t="s">
        <v>523</v>
      </c>
      <c r="C40" s="277">
        <f>+D40+E40</f>
        <v>126094117</v>
      </c>
      <c r="D40" s="30">
        <v>126094117</v>
      </c>
      <c r="E40" s="30">
        <v>0</v>
      </c>
      <c r="F40" s="397"/>
      <c r="G40" s="397"/>
      <c r="H40" s="203"/>
      <c r="I40" s="397"/>
      <c r="J40" s="398">
        <f>+C40-D40-E40</f>
        <v>0</v>
      </c>
      <c r="K40" s="397"/>
      <c r="L40" s="397"/>
      <c r="M40" s="399"/>
      <c r="N40" s="399"/>
      <c r="O40" s="399"/>
    </row>
    <row r="41" spans="1:15" s="22" customFormat="1" ht="15" customHeight="1">
      <c r="A41" s="23" t="s">
        <v>172</v>
      </c>
      <c r="B41" s="396" t="s">
        <v>524</v>
      </c>
      <c r="C41" s="277">
        <f>+D41+E41</f>
        <v>0</v>
      </c>
      <c r="D41" s="30">
        <v>0</v>
      </c>
      <c r="E41" s="30">
        <v>0</v>
      </c>
      <c r="F41" s="397"/>
      <c r="G41" s="397"/>
      <c r="H41" s="203"/>
      <c r="I41" s="397"/>
      <c r="J41" s="398">
        <f>+C41-D41-E41</f>
        <v>0</v>
      </c>
      <c r="K41" s="397"/>
      <c r="L41" s="397"/>
      <c r="M41" s="399"/>
      <c r="N41" s="399"/>
      <c r="O41" s="399"/>
    </row>
    <row r="42" spans="1:15" s="22" customFormat="1" ht="20.25" customHeight="1">
      <c r="A42" s="23" t="s">
        <v>219</v>
      </c>
      <c r="B42" s="396" t="s">
        <v>525</v>
      </c>
      <c r="C42" s="277">
        <f>+D42+E42</f>
        <v>0</v>
      </c>
      <c r="D42" s="30">
        <v>0</v>
      </c>
      <c r="E42" s="30">
        <v>0</v>
      </c>
      <c r="F42" s="397"/>
      <c r="G42" s="397"/>
      <c r="H42" s="203"/>
      <c r="I42" s="397"/>
      <c r="J42" s="398">
        <f>+C42-D42-E42</f>
        <v>0</v>
      </c>
      <c r="K42" s="397"/>
      <c r="L42" s="397"/>
      <c r="M42" s="399"/>
      <c r="N42" s="399"/>
      <c r="O42" s="399"/>
    </row>
    <row r="43" spans="1:15" ht="18" customHeight="1">
      <c r="A43" s="23">
        <v>14</v>
      </c>
      <c r="B43" s="284" t="s">
        <v>220</v>
      </c>
      <c r="C43" s="6">
        <f>+C44-C45+C46</f>
        <v>615111286</v>
      </c>
      <c r="D43" s="6">
        <f>+D44-D45+D46</f>
        <v>580429565</v>
      </c>
      <c r="E43" s="6">
        <f>+E44-E45+E46</f>
        <v>34681721</v>
      </c>
      <c r="F43" s="183"/>
      <c r="G43" s="183"/>
      <c r="I43" s="183"/>
      <c r="J43" s="383">
        <f t="shared" si="0"/>
        <v>0</v>
      </c>
      <c r="K43" s="183"/>
      <c r="L43" s="183"/>
      <c r="M43" s="25"/>
      <c r="N43" s="25"/>
      <c r="O43" s="25"/>
    </row>
    <row r="44" spans="1:15" ht="18" customHeight="1">
      <c r="A44" s="23" t="s">
        <v>221</v>
      </c>
      <c r="B44" s="394" t="s">
        <v>222</v>
      </c>
      <c r="C44" s="27">
        <f t="shared" si="1"/>
        <v>615530065</v>
      </c>
      <c r="D44" s="4">
        <v>580848344</v>
      </c>
      <c r="E44" s="4">
        <v>34681721</v>
      </c>
      <c r="F44" s="183"/>
      <c r="G44" s="183"/>
      <c r="H44" s="183"/>
      <c r="I44" s="183"/>
      <c r="J44" s="383">
        <f t="shared" si="0"/>
        <v>0</v>
      </c>
      <c r="K44" s="183"/>
      <c r="L44" s="183"/>
      <c r="M44" s="25"/>
      <c r="N44" s="25"/>
      <c r="O44" s="25"/>
    </row>
    <row r="45" spans="1:15" ht="15" customHeight="1">
      <c r="A45" s="23" t="s">
        <v>223</v>
      </c>
      <c r="B45" s="394" t="s">
        <v>182</v>
      </c>
      <c r="C45" s="27">
        <f t="shared" si="1"/>
        <v>418779</v>
      </c>
      <c r="D45" s="4">
        <v>418779</v>
      </c>
      <c r="E45" s="4">
        <v>0</v>
      </c>
      <c r="F45" s="183"/>
      <c r="G45" s="183"/>
      <c r="H45" s="184"/>
      <c r="I45" s="183"/>
      <c r="J45" s="383">
        <f t="shared" si="0"/>
        <v>0</v>
      </c>
      <c r="K45" s="183"/>
      <c r="L45" s="183"/>
      <c r="M45" s="25"/>
      <c r="N45" s="25"/>
      <c r="O45" s="25"/>
    </row>
    <row r="46" spans="1:15" ht="15" customHeight="1">
      <c r="A46" s="23" t="s">
        <v>224</v>
      </c>
      <c r="B46" s="394" t="s">
        <v>225</v>
      </c>
      <c r="C46" s="244">
        <v>0</v>
      </c>
      <c r="D46" s="6"/>
      <c r="E46" s="6"/>
      <c r="F46" s="183"/>
      <c r="G46" s="183"/>
      <c r="H46" s="184"/>
      <c r="I46" s="183"/>
      <c r="J46" s="383">
        <f>+C46-D46-E46</f>
        <v>0</v>
      </c>
      <c r="K46" s="183"/>
      <c r="L46" s="183"/>
      <c r="M46" s="25"/>
      <c r="N46" s="25"/>
      <c r="O46" s="25"/>
    </row>
    <row r="47" spans="1:15" ht="15" customHeight="1">
      <c r="A47" s="400" t="s">
        <v>226</v>
      </c>
      <c r="B47" s="401" t="s">
        <v>227</v>
      </c>
      <c r="C47" s="28">
        <f>+D47+E47</f>
        <v>19061519219</v>
      </c>
      <c r="D47" s="28">
        <f>+D5+D6+D7+D10+D14+D17+D21+D24+D27+D30+D31+D35-D39+D43</f>
        <v>14271683602</v>
      </c>
      <c r="E47" s="28">
        <f>+E5+E6+E7+E10+E14+E17+E21+E24+E27+E30+E31+E35-E39+E43</f>
        <v>4789835617</v>
      </c>
      <c r="F47" s="184">
        <f>+'Bank Assets Analysis'!S44</f>
        <v>19061519219</v>
      </c>
      <c r="G47" s="184">
        <f>+'Bank Assets Analysis'!T44</f>
        <v>14271683602</v>
      </c>
      <c r="H47" s="184">
        <f>+'Bank Assets Analysis'!U44</f>
        <v>4789835617</v>
      </c>
      <c r="I47" s="183"/>
      <c r="J47" s="383">
        <f t="shared" si="0"/>
        <v>0</v>
      </c>
      <c r="K47" s="183"/>
      <c r="L47" s="183"/>
      <c r="M47" s="25"/>
      <c r="N47" s="25"/>
      <c r="O47" s="25"/>
    </row>
    <row r="48" spans="1:15" ht="15" customHeight="1">
      <c r="A48" s="23"/>
      <c r="B48" s="402"/>
      <c r="C48" s="6"/>
      <c r="D48" s="6"/>
      <c r="E48" s="6"/>
      <c r="F48" s="183"/>
      <c r="G48" s="183"/>
      <c r="H48" s="183"/>
      <c r="I48" s="183"/>
      <c r="J48" s="382"/>
      <c r="K48" s="183"/>
      <c r="L48" s="183"/>
      <c r="M48" s="25"/>
      <c r="N48" s="25"/>
      <c r="O48" s="25"/>
    </row>
    <row r="49" spans="1:15" ht="15" customHeight="1">
      <c r="A49" s="23"/>
      <c r="B49" s="403" t="s">
        <v>228</v>
      </c>
      <c r="C49" s="6"/>
      <c r="D49" s="6"/>
      <c r="E49" s="6"/>
      <c r="F49" s="183"/>
      <c r="G49" s="183"/>
      <c r="H49" s="183"/>
      <c r="I49" s="183"/>
      <c r="J49" s="382"/>
      <c r="K49" s="183"/>
      <c r="L49" s="183"/>
      <c r="M49" s="25"/>
      <c r="N49" s="25"/>
      <c r="O49" s="25"/>
    </row>
    <row r="50" spans="1:15" ht="16.5" customHeight="1">
      <c r="A50" s="23" t="s">
        <v>229</v>
      </c>
      <c r="B50" s="284" t="s">
        <v>230</v>
      </c>
      <c r="C50" s="7">
        <f>+'Deposits by Client'!C11</f>
        <v>877239193</v>
      </c>
      <c r="D50" s="31">
        <f>+'Bank Liabilities Analysis'!T15+'Bank Liabilities Analysis'!T7</f>
        <v>838914959</v>
      </c>
      <c r="E50" s="7">
        <f>+'Bank Liabilities Analysis'!U15+'Bank Liabilities Analysis'!U7</f>
        <v>38324234</v>
      </c>
      <c r="F50" s="183"/>
      <c r="G50" s="183"/>
      <c r="H50" s="183"/>
      <c r="I50" s="183"/>
      <c r="J50" s="383">
        <f t="shared" ref="J50:J78" si="7">+C50-D50-E50</f>
        <v>0</v>
      </c>
      <c r="K50" s="183"/>
      <c r="L50" s="183"/>
      <c r="M50" s="25"/>
      <c r="N50" s="25"/>
      <c r="O50" s="25"/>
    </row>
    <row r="51" spans="1:15" ht="16.5" customHeight="1">
      <c r="A51" s="23" t="s">
        <v>231</v>
      </c>
      <c r="B51" s="284" t="s">
        <v>232</v>
      </c>
      <c r="C51" s="7">
        <f>+'Deposits by Client'!C20</f>
        <v>5483939161</v>
      </c>
      <c r="D51" s="31">
        <f>+'Bank Liabilities Analysis'!T12</f>
        <v>4415976219</v>
      </c>
      <c r="E51" s="7">
        <f>+'Bank Liabilities Analysis'!U12</f>
        <v>1067962942</v>
      </c>
      <c r="F51" s="183"/>
      <c r="G51" s="183"/>
      <c r="H51" s="183"/>
      <c r="I51" s="183"/>
      <c r="J51" s="383">
        <f t="shared" si="7"/>
        <v>0</v>
      </c>
      <c r="K51" s="183"/>
      <c r="L51" s="183"/>
      <c r="M51" s="25"/>
      <c r="N51" s="25"/>
      <c r="O51" s="25"/>
    </row>
    <row r="52" spans="1:15" ht="16.5" customHeight="1">
      <c r="A52" s="23" t="s">
        <v>233</v>
      </c>
      <c r="B52" s="284" t="s">
        <v>234</v>
      </c>
      <c r="C52" s="7">
        <f>+'Bank Liabilities Analysis'!S21</f>
        <v>180737</v>
      </c>
      <c r="D52" s="6">
        <f>+'Bank Liabilities Analysis'!T21</f>
        <v>180737</v>
      </c>
      <c r="E52" s="6">
        <f>+'Bank Liabilities Analysis'!U21</f>
        <v>0</v>
      </c>
      <c r="F52" s="183"/>
      <c r="G52" s="183"/>
      <c r="H52" s="183"/>
      <c r="I52" s="183"/>
      <c r="J52" s="383">
        <f t="shared" si="7"/>
        <v>0</v>
      </c>
      <c r="K52" s="183"/>
      <c r="L52" s="183"/>
      <c r="M52" s="25"/>
      <c r="N52" s="25"/>
      <c r="O52" s="25"/>
    </row>
    <row r="53" spans="1:15" ht="16.5" customHeight="1">
      <c r="A53" s="23" t="s">
        <v>235</v>
      </c>
      <c r="B53" s="284" t="s">
        <v>236</v>
      </c>
      <c r="C53" s="7">
        <f>+'Bank Liabilities Analysis'!S23</f>
        <v>1912286428</v>
      </c>
      <c r="D53" s="6">
        <f>+'Bank Liabilities Analysis'!T23</f>
        <v>1088973268</v>
      </c>
      <c r="E53" s="6">
        <f>+'Bank Liabilities Analysis'!U23</f>
        <v>823313160</v>
      </c>
      <c r="F53" s="183"/>
      <c r="G53" s="183"/>
      <c r="H53" s="183"/>
      <c r="I53" s="183"/>
      <c r="J53" s="383">
        <f t="shared" si="7"/>
        <v>0</v>
      </c>
      <c r="K53" s="183"/>
      <c r="L53" s="183"/>
      <c r="M53" s="25"/>
      <c r="N53" s="25"/>
      <c r="O53" s="25"/>
    </row>
    <row r="54" spans="1:15" ht="16.5" customHeight="1">
      <c r="A54" s="23" t="s">
        <v>237</v>
      </c>
      <c r="B54" s="393" t="s">
        <v>238</v>
      </c>
      <c r="C54" s="7">
        <f>+'Bank Liabilities Analysis'!S33</f>
        <v>0</v>
      </c>
      <c r="D54" s="6">
        <f>+'Bank Liabilities Analysis'!T33</f>
        <v>0</v>
      </c>
      <c r="E54" s="6">
        <f>+'Bank Liabilities Analysis'!U33</f>
        <v>0</v>
      </c>
      <c r="F54" s="183"/>
      <c r="G54" s="183"/>
      <c r="H54" s="183"/>
      <c r="I54" s="183"/>
      <c r="J54" s="383">
        <f t="shared" si="7"/>
        <v>0</v>
      </c>
      <c r="K54" s="183"/>
      <c r="L54" s="183"/>
      <c r="M54" s="25"/>
      <c r="N54" s="25"/>
      <c r="O54" s="25"/>
    </row>
    <row r="55" spans="1:15" ht="16.5" customHeight="1">
      <c r="A55" s="23" t="s">
        <v>239</v>
      </c>
      <c r="B55" s="284" t="s">
        <v>240</v>
      </c>
      <c r="C55" s="7">
        <f t="shared" si="1"/>
        <v>6349116087</v>
      </c>
      <c r="D55" s="4">
        <v>3873923945</v>
      </c>
      <c r="E55" s="4">
        <v>2475192142</v>
      </c>
      <c r="F55" s="183"/>
      <c r="G55" s="183"/>
      <c r="H55" s="183"/>
      <c r="I55" s="183"/>
      <c r="J55" s="383">
        <f t="shared" si="7"/>
        <v>0</v>
      </c>
      <c r="K55" s="183"/>
      <c r="L55" s="183"/>
      <c r="M55" s="25"/>
      <c r="N55" s="25"/>
      <c r="O55" s="25"/>
    </row>
    <row r="56" spans="1:15" ht="16.5" customHeight="1">
      <c r="A56" s="23" t="s">
        <v>241</v>
      </c>
      <c r="B56" s="284" t="s">
        <v>242</v>
      </c>
      <c r="C56" s="7">
        <f t="shared" si="1"/>
        <v>0</v>
      </c>
      <c r="D56" s="4">
        <v>0</v>
      </c>
      <c r="E56" s="4">
        <v>0</v>
      </c>
      <c r="F56" s="183"/>
      <c r="G56" s="183"/>
      <c r="H56" s="183"/>
      <c r="I56" s="183"/>
      <c r="J56" s="383">
        <f t="shared" si="7"/>
        <v>0</v>
      </c>
      <c r="K56" s="183"/>
      <c r="L56" s="183"/>
      <c r="M56" s="25"/>
      <c r="N56" s="25"/>
      <c r="O56" s="25"/>
    </row>
    <row r="57" spans="1:15" ht="16.5" customHeight="1">
      <c r="A57" s="23" t="s">
        <v>243</v>
      </c>
      <c r="B57" s="404" t="s">
        <v>517</v>
      </c>
      <c r="C57" s="7">
        <f t="shared" si="1"/>
        <v>50000000</v>
      </c>
      <c r="D57" s="4">
        <v>50000000</v>
      </c>
      <c r="E57" s="4">
        <v>0</v>
      </c>
      <c r="F57" s="183"/>
      <c r="G57" s="183"/>
      <c r="H57" s="183"/>
      <c r="I57" s="183"/>
      <c r="J57" s="383">
        <f t="shared" si="7"/>
        <v>0</v>
      </c>
      <c r="K57" s="183"/>
      <c r="L57" s="183"/>
      <c r="M57" s="25"/>
      <c r="N57" s="25"/>
      <c r="O57" s="25"/>
    </row>
    <row r="58" spans="1:15" ht="16.5" customHeight="1">
      <c r="A58" s="23" t="s">
        <v>245</v>
      </c>
      <c r="B58" s="284" t="s">
        <v>246</v>
      </c>
      <c r="C58" s="7">
        <f>+'Bank Liabilities Analysis'!S38</f>
        <v>150391879</v>
      </c>
      <c r="D58" s="7">
        <f>+'Bank Liabilities Analysis'!T38</f>
        <v>121395442</v>
      </c>
      <c r="E58" s="7">
        <f>+'Bank Liabilities Analysis'!U38</f>
        <v>28996437</v>
      </c>
      <c r="F58" s="183"/>
      <c r="G58" s="183"/>
      <c r="H58" s="183"/>
      <c r="I58" s="183"/>
      <c r="J58" s="383">
        <f t="shared" si="7"/>
        <v>0</v>
      </c>
      <c r="K58" s="183"/>
      <c r="L58" s="183"/>
      <c r="M58" s="25"/>
      <c r="N58" s="25"/>
      <c r="O58" s="25"/>
    </row>
    <row r="59" spans="1:15" ht="16.5" customHeight="1">
      <c r="A59" s="23" t="s">
        <v>247</v>
      </c>
      <c r="B59" s="284" t="s">
        <v>248</v>
      </c>
      <c r="C59" s="7">
        <f t="shared" si="1"/>
        <v>26625563</v>
      </c>
      <c r="D59" s="4">
        <v>26625563</v>
      </c>
      <c r="E59" s="4">
        <v>0</v>
      </c>
      <c r="F59" s="183"/>
      <c r="G59" s="183"/>
      <c r="H59" s="183"/>
      <c r="I59" s="183"/>
      <c r="J59" s="383">
        <f t="shared" si="7"/>
        <v>0</v>
      </c>
      <c r="K59" s="183"/>
      <c r="L59" s="183"/>
      <c r="M59" s="25"/>
      <c r="N59" s="25"/>
      <c r="O59" s="25"/>
    </row>
    <row r="60" spans="1:15" ht="16.5" customHeight="1">
      <c r="A60" s="23" t="s">
        <v>249</v>
      </c>
      <c r="B60" s="284" t="s">
        <v>250</v>
      </c>
      <c r="C60" s="7">
        <f>+'Bank Liabilities Analysis'!S37</f>
        <v>0</v>
      </c>
      <c r="D60" s="6">
        <f>+'Bank Liabilities Analysis'!T37</f>
        <v>0</v>
      </c>
      <c r="E60" s="6">
        <f>+'Bank Liabilities Analysis'!U37</f>
        <v>0</v>
      </c>
      <c r="F60" s="183"/>
      <c r="G60" s="183"/>
      <c r="H60" s="183"/>
      <c r="I60" s="183"/>
      <c r="J60" s="383">
        <f t="shared" si="7"/>
        <v>0</v>
      </c>
      <c r="K60" s="183"/>
      <c r="L60" s="183"/>
      <c r="M60" s="25"/>
      <c r="N60" s="25"/>
      <c r="O60" s="25"/>
    </row>
    <row r="61" spans="1:15" ht="17.25" customHeight="1">
      <c r="A61" s="23" t="s">
        <v>251</v>
      </c>
      <c r="B61" s="393" t="s">
        <v>252</v>
      </c>
      <c r="C61" s="7">
        <f t="shared" si="1"/>
        <v>0</v>
      </c>
      <c r="D61" s="4"/>
      <c r="E61" s="4">
        <v>0</v>
      </c>
      <c r="F61" s="183"/>
      <c r="G61" s="183"/>
      <c r="H61" s="183"/>
      <c r="I61" s="183"/>
      <c r="J61" s="383">
        <f t="shared" si="7"/>
        <v>0</v>
      </c>
      <c r="K61" s="183"/>
      <c r="L61" s="183"/>
      <c r="M61" s="25"/>
      <c r="N61" s="25"/>
      <c r="O61" s="25"/>
    </row>
    <row r="62" spans="1:15" ht="16.5" customHeight="1">
      <c r="A62" s="23" t="s">
        <v>253</v>
      </c>
      <c r="B62" s="284" t="s">
        <v>254</v>
      </c>
      <c r="C62" s="7">
        <f t="shared" si="1"/>
        <v>278132165</v>
      </c>
      <c r="D62" s="4">
        <v>269678079</v>
      </c>
      <c r="E62" s="4">
        <v>8454086</v>
      </c>
      <c r="F62" s="183"/>
      <c r="G62" s="183"/>
      <c r="H62" s="183"/>
      <c r="I62" s="183"/>
      <c r="J62" s="383">
        <f t="shared" si="7"/>
        <v>0</v>
      </c>
      <c r="K62" s="183"/>
      <c r="L62" s="183"/>
      <c r="M62" s="25"/>
      <c r="N62" s="25"/>
      <c r="O62" s="25"/>
    </row>
    <row r="63" spans="1:15" ht="16.5" customHeight="1">
      <c r="A63" s="405" t="s">
        <v>255</v>
      </c>
      <c r="B63" s="406" t="s">
        <v>256</v>
      </c>
      <c r="C63" s="29">
        <f t="shared" si="1"/>
        <v>15127911213</v>
      </c>
      <c r="D63" s="29">
        <f>SUM(D50:D62)</f>
        <v>10685668212</v>
      </c>
      <c r="E63" s="29">
        <f>SUM(E50:E62)</f>
        <v>4442243001</v>
      </c>
      <c r="F63" s="255">
        <f>+'Bank Liabilities Analysis'!S40</f>
        <v>15127911213</v>
      </c>
      <c r="G63" s="255">
        <f>+'Bank Liabilities Analysis'!T40</f>
        <v>10685668212</v>
      </c>
      <c r="H63" s="255">
        <f>+'Bank Liabilities Analysis'!U40</f>
        <v>4442243001</v>
      </c>
      <c r="I63" s="183"/>
      <c r="J63" s="383">
        <f t="shared" si="7"/>
        <v>0</v>
      </c>
      <c r="K63" s="183"/>
      <c r="L63" s="183"/>
      <c r="M63" s="25"/>
      <c r="N63" s="25"/>
      <c r="O63" s="25"/>
    </row>
    <row r="64" spans="1:15" ht="6.75" customHeight="1">
      <c r="A64" s="23"/>
      <c r="B64" s="407"/>
      <c r="C64" s="7"/>
      <c r="D64" s="7"/>
      <c r="E64" s="7"/>
      <c r="F64" s="183"/>
      <c r="G64" s="183"/>
      <c r="H64" s="183"/>
      <c r="I64" s="183"/>
      <c r="J64" s="383"/>
      <c r="K64" s="183"/>
      <c r="L64" s="183"/>
      <c r="M64" s="25"/>
      <c r="N64" s="25"/>
      <c r="O64" s="25"/>
    </row>
    <row r="65" spans="1:30" ht="15" customHeight="1">
      <c r="A65" s="408"/>
      <c r="B65" s="403" t="s">
        <v>257</v>
      </c>
      <c r="C65" s="6"/>
      <c r="D65" s="6"/>
      <c r="E65" s="6"/>
      <c r="F65" s="183"/>
      <c r="G65" s="183"/>
      <c r="H65" s="183"/>
      <c r="I65" s="183"/>
      <c r="J65" s="383"/>
      <c r="K65" s="183"/>
      <c r="L65" s="183"/>
      <c r="M65" s="25"/>
      <c r="N65" s="25"/>
      <c r="O65" s="25"/>
    </row>
    <row r="66" spans="1:30" ht="6.75" customHeight="1">
      <c r="A66" s="23"/>
      <c r="B66" s="407"/>
      <c r="C66" s="7"/>
      <c r="D66" s="7"/>
      <c r="E66" s="7"/>
      <c r="F66" s="183"/>
      <c r="G66" s="183"/>
      <c r="H66" s="183"/>
      <c r="I66" s="183"/>
      <c r="J66" s="383"/>
      <c r="K66" s="183"/>
      <c r="L66" s="183"/>
      <c r="M66" s="25"/>
      <c r="N66" s="25"/>
      <c r="O66" s="25"/>
    </row>
    <row r="67" spans="1:30" ht="15" customHeight="1">
      <c r="A67" s="405" t="s">
        <v>258</v>
      </c>
      <c r="B67" s="284" t="s">
        <v>259</v>
      </c>
      <c r="C67" s="378">
        <f>+C68+C69</f>
        <v>3795927090</v>
      </c>
      <c r="D67" s="378">
        <f t="shared" ref="D67:E67" si="8">+D68+D69</f>
        <v>3795927090</v>
      </c>
      <c r="E67" s="378">
        <f t="shared" si="8"/>
        <v>0</v>
      </c>
      <c r="F67" s="183"/>
      <c r="G67" s="183"/>
      <c r="H67" s="183"/>
      <c r="I67" s="183"/>
      <c r="J67" s="383">
        <f t="shared" si="7"/>
        <v>0</v>
      </c>
      <c r="K67" s="183"/>
      <c r="L67" s="183"/>
      <c r="M67" s="25"/>
      <c r="N67" s="25"/>
      <c r="O67" s="25"/>
    </row>
    <row r="68" spans="1:30" ht="15" customHeight="1">
      <c r="A68" s="408" t="s">
        <v>260</v>
      </c>
      <c r="B68" s="394" t="s">
        <v>261</v>
      </c>
      <c r="C68" s="6">
        <f t="shared" ref="C68:C70" si="9">+D68+E68</f>
        <v>3795782910</v>
      </c>
      <c r="D68" s="30">
        <v>3795782910</v>
      </c>
      <c r="E68" s="30">
        <v>0</v>
      </c>
      <c r="F68" s="183"/>
      <c r="G68" s="183"/>
      <c r="H68" s="183"/>
      <c r="I68" s="183"/>
      <c r="J68" s="383">
        <f t="shared" si="7"/>
        <v>0</v>
      </c>
      <c r="K68" s="183"/>
      <c r="L68" s="183"/>
      <c r="M68" s="25"/>
      <c r="N68" s="25"/>
      <c r="O68" s="25"/>
    </row>
    <row r="69" spans="1:30" ht="15" customHeight="1">
      <c r="A69" s="23" t="s">
        <v>262</v>
      </c>
      <c r="B69" s="394" t="s">
        <v>263</v>
      </c>
      <c r="C69" s="6">
        <f t="shared" si="9"/>
        <v>144180</v>
      </c>
      <c r="D69" s="4">
        <v>144180</v>
      </c>
      <c r="E69" s="4">
        <v>0</v>
      </c>
      <c r="F69" s="183"/>
      <c r="G69" s="183"/>
      <c r="H69" s="183"/>
      <c r="I69" s="183"/>
      <c r="J69" s="383">
        <f t="shared" si="7"/>
        <v>0</v>
      </c>
      <c r="K69" s="183"/>
      <c r="L69" s="183"/>
      <c r="M69" s="25"/>
      <c r="N69" s="25"/>
      <c r="O69" s="25"/>
    </row>
    <row r="70" spans="1:30" ht="15" customHeight="1">
      <c r="A70" s="23" t="s">
        <v>264</v>
      </c>
      <c r="B70" s="284" t="s">
        <v>520</v>
      </c>
      <c r="C70" s="6">
        <f t="shared" si="9"/>
        <v>0</v>
      </c>
      <c r="D70" s="4">
        <v>0</v>
      </c>
      <c r="E70" s="4">
        <v>0</v>
      </c>
      <c r="F70" s="183"/>
      <c r="G70" s="183"/>
      <c r="H70" s="183"/>
      <c r="I70" s="183"/>
      <c r="J70" s="383">
        <f t="shared" si="7"/>
        <v>0</v>
      </c>
      <c r="K70" s="183"/>
      <c r="L70" s="183"/>
      <c r="M70" s="25"/>
      <c r="N70" s="25"/>
      <c r="O70" s="25"/>
    </row>
    <row r="71" spans="1:30" ht="15" customHeight="1">
      <c r="A71" s="23" t="s">
        <v>265</v>
      </c>
      <c r="B71" s="409" t="s">
        <v>266</v>
      </c>
      <c r="C71" s="378">
        <f>+C72+C73+C74</f>
        <v>32444079</v>
      </c>
      <c r="D71" s="378">
        <f>+D72+D73+D74</f>
        <v>32444079</v>
      </c>
      <c r="E71" s="378">
        <f>+E72+E73+E74</f>
        <v>0</v>
      </c>
      <c r="F71" s="183"/>
      <c r="G71" s="183"/>
      <c r="H71" s="183"/>
      <c r="I71" s="183"/>
      <c r="J71" s="383">
        <f t="shared" si="7"/>
        <v>0</v>
      </c>
      <c r="K71" s="183"/>
      <c r="L71" s="183"/>
      <c r="M71" s="25"/>
      <c r="N71" s="25"/>
      <c r="O71" s="25"/>
    </row>
    <row r="72" spans="1:30" ht="15" customHeight="1">
      <c r="A72" s="23" t="s">
        <v>267</v>
      </c>
      <c r="B72" s="410" t="s">
        <v>268</v>
      </c>
      <c r="C72" s="7">
        <f t="shared" si="1"/>
        <v>26089506</v>
      </c>
      <c r="D72" s="4">
        <v>26089506</v>
      </c>
      <c r="E72" s="4">
        <v>0</v>
      </c>
      <c r="F72" s="183"/>
      <c r="G72" s="183"/>
      <c r="H72" s="183"/>
      <c r="I72" s="183"/>
      <c r="J72" s="383">
        <f t="shared" si="7"/>
        <v>0</v>
      </c>
      <c r="K72" s="183"/>
      <c r="L72" s="183"/>
      <c r="M72" s="25"/>
      <c r="N72" s="25"/>
      <c r="O72" s="25"/>
    </row>
    <row r="73" spans="1:30" ht="15" customHeight="1">
      <c r="A73" s="23" t="s">
        <v>269</v>
      </c>
      <c r="B73" s="410" t="s">
        <v>271</v>
      </c>
      <c r="C73" s="6">
        <f t="shared" si="1"/>
        <v>0</v>
      </c>
      <c r="D73" s="4">
        <v>0</v>
      </c>
      <c r="E73" s="4">
        <v>0</v>
      </c>
      <c r="F73" s="183"/>
      <c r="G73" s="183"/>
      <c r="H73" s="183"/>
      <c r="I73" s="183"/>
      <c r="J73" s="383">
        <f t="shared" si="7"/>
        <v>0</v>
      </c>
      <c r="K73" s="183"/>
      <c r="L73" s="183"/>
      <c r="M73" s="25"/>
      <c r="N73" s="25"/>
      <c r="O73" s="25"/>
    </row>
    <row r="74" spans="1:30" ht="15" customHeight="1">
      <c r="A74" s="23" t="s">
        <v>270</v>
      </c>
      <c r="B74" s="410" t="s">
        <v>518</v>
      </c>
      <c r="C74" s="7">
        <f t="shared" si="1"/>
        <v>6354573</v>
      </c>
      <c r="D74" s="4">
        <v>6354573</v>
      </c>
      <c r="E74" s="4">
        <v>0</v>
      </c>
      <c r="F74" s="183"/>
      <c r="G74" s="183"/>
      <c r="H74" s="183"/>
      <c r="I74" s="183"/>
      <c r="J74" s="383">
        <f t="shared" si="7"/>
        <v>0</v>
      </c>
      <c r="K74" s="183"/>
      <c r="L74" s="183"/>
      <c r="M74" s="25"/>
      <c r="N74" s="25"/>
      <c r="O74" s="25"/>
    </row>
    <row r="75" spans="1:30" ht="15" customHeight="1">
      <c r="A75" s="23" t="s">
        <v>272</v>
      </c>
      <c r="B75" s="409" t="s">
        <v>273</v>
      </c>
      <c r="C75" s="7">
        <f t="shared" si="1"/>
        <v>105236837</v>
      </c>
      <c r="D75" s="4">
        <v>105236837</v>
      </c>
      <c r="E75" s="4">
        <v>0</v>
      </c>
      <c r="F75" s="183"/>
      <c r="G75" s="183"/>
      <c r="H75" s="183"/>
      <c r="I75" s="183"/>
      <c r="J75" s="383">
        <f t="shared" si="7"/>
        <v>0</v>
      </c>
      <c r="K75" s="183"/>
      <c r="L75" s="183"/>
      <c r="M75" s="25"/>
      <c r="N75" s="25"/>
      <c r="O75" s="25"/>
    </row>
    <row r="76" spans="1:30" ht="15" customHeight="1">
      <c r="A76" s="23" t="s">
        <v>274</v>
      </c>
      <c r="B76" s="410" t="s">
        <v>519</v>
      </c>
      <c r="C76" s="7">
        <f t="shared" si="1"/>
        <v>41104897</v>
      </c>
      <c r="D76" s="4">
        <v>41104897</v>
      </c>
      <c r="E76" s="4">
        <v>0</v>
      </c>
      <c r="F76" s="183"/>
      <c r="G76" s="183"/>
      <c r="H76" s="183"/>
      <c r="I76" s="183"/>
      <c r="J76" s="383">
        <f t="shared" si="7"/>
        <v>0</v>
      </c>
      <c r="K76" s="183"/>
      <c r="L76" s="183"/>
      <c r="M76" s="25"/>
      <c r="N76" s="25"/>
      <c r="O76" s="25"/>
    </row>
    <row r="77" spans="1:30" ht="15" customHeight="1">
      <c r="A77" s="411" t="s">
        <v>275</v>
      </c>
      <c r="B77" s="406" t="s">
        <v>276</v>
      </c>
      <c r="C77" s="377">
        <f>+C67+C70+C71+C75</f>
        <v>3933608006</v>
      </c>
      <c r="D77" s="377">
        <f>+D67+D70+D71+D75</f>
        <v>3933608006</v>
      </c>
      <c r="E77" s="377">
        <f>+E67+E70+E71+E75</f>
        <v>0</v>
      </c>
      <c r="F77" s="183"/>
      <c r="G77" s="183"/>
      <c r="H77" s="183"/>
      <c r="I77" s="183"/>
      <c r="J77" s="383">
        <f t="shared" si="7"/>
        <v>0</v>
      </c>
      <c r="K77" s="183"/>
      <c r="L77" s="183"/>
      <c r="M77" s="25"/>
      <c r="N77" s="25"/>
      <c r="O77" s="25"/>
    </row>
    <row r="78" spans="1:30" ht="15" customHeight="1">
      <c r="A78" s="411" t="s">
        <v>277</v>
      </c>
      <c r="B78" s="412" t="s">
        <v>278</v>
      </c>
      <c r="C78" s="28">
        <f>+D78+E78</f>
        <v>19061519219</v>
      </c>
      <c r="D78" s="28">
        <f>+D63+D77</f>
        <v>14619276218</v>
      </c>
      <c r="E78" s="28">
        <f>+E63+E77</f>
        <v>4442243001</v>
      </c>
      <c r="F78" s="183"/>
      <c r="G78" s="183"/>
      <c r="H78" s="183"/>
      <c r="I78" s="183"/>
      <c r="J78" s="383">
        <f t="shared" si="7"/>
        <v>0</v>
      </c>
      <c r="K78" s="183"/>
      <c r="L78" s="183"/>
      <c r="M78" s="25"/>
      <c r="N78" s="25"/>
      <c r="O78" s="25"/>
    </row>
    <row r="79" spans="1:30" ht="15" customHeight="1">
      <c r="A79" s="25"/>
      <c r="B79" s="25"/>
      <c r="C79" s="25"/>
      <c r="D79" s="25"/>
      <c r="E79" s="25"/>
      <c r="F79" s="183"/>
      <c r="G79" s="183"/>
      <c r="H79" s="183"/>
      <c r="I79" s="183"/>
      <c r="J79" s="382"/>
      <c r="K79" s="183"/>
      <c r="L79" s="183"/>
      <c r="M79" s="25"/>
      <c r="N79" s="25"/>
      <c r="O79" s="25"/>
    </row>
    <row r="80" spans="1:30" ht="15" customHeight="1">
      <c r="A80" s="25"/>
      <c r="B80" s="256" t="s">
        <v>540</v>
      </c>
      <c r="C80" s="25"/>
      <c r="D80" s="25"/>
      <c r="E80" s="25"/>
      <c r="F80" s="183"/>
      <c r="G80" s="183"/>
      <c r="H80" s="183"/>
      <c r="I80" s="183"/>
      <c r="J80" s="183"/>
      <c r="K80" s="183"/>
      <c r="L80" s="183"/>
      <c r="M80" s="183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</row>
    <row r="81" spans="1:30" ht="11.25" customHeight="1">
      <c r="A81" s="25"/>
      <c r="B81" s="256"/>
      <c r="C81" s="25"/>
      <c r="D81" s="25"/>
      <c r="E81" s="25"/>
      <c r="F81" s="183"/>
      <c r="G81" s="183"/>
      <c r="H81" s="183"/>
      <c r="I81" s="183"/>
      <c r="J81" s="183"/>
      <c r="K81" s="183"/>
      <c r="L81" s="183"/>
      <c r="M81" s="18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5" customHeight="1">
      <c r="A82" s="25"/>
      <c r="B82" s="256" t="s">
        <v>539</v>
      </c>
      <c r="C82" s="25"/>
      <c r="D82" s="25"/>
      <c r="E82" s="25"/>
      <c r="F82" s="183"/>
      <c r="G82" s="183"/>
      <c r="H82" s="183"/>
      <c r="I82" s="183"/>
      <c r="J82" s="183"/>
      <c r="K82" s="183"/>
      <c r="L82" s="183"/>
      <c r="M82" s="18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1.25" customHeight="1">
      <c r="A83" s="25"/>
      <c r="B83" s="256"/>
      <c r="C83" s="25"/>
      <c r="D83" s="25"/>
      <c r="E83" s="25"/>
      <c r="F83" s="183"/>
      <c r="G83" s="183"/>
      <c r="H83" s="183"/>
      <c r="I83" s="183"/>
      <c r="J83" s="382"/>
      <c r="K83" s="183"/>
      <c r="L83" s="183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30" ht="15" customHeight="1">
      <c r="A84" s="25"/>
      <c r="B84" s="256"/>
      <c r="C84" s="25"/>
      <c r="D84" s="25"/>
      <c r="E84" s="25"/>
      <c r="F84" s="183"/>
      <c r="G84" s="183"/>
      <c r="H84" s="183"/>
      <c r="I84" s="183"/>
      <c r="J84" s="382"/>
      <c r="K84" s="183"/>
      <c r="L84" s="18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30" ht="15" customHeight="1">
      <c r="A85" s="25"/>
      <c r="B85" s="25"/>
      <c r="C85" s="25"/>
      <c r="D85" s="25"/>
      <c r="E85" s="25"/>
      <c r="F85" s="183"/>
      <c r="G85" s="183"/>
      <c r="H85" s="183"/>
      <c r="I85" s="183"/>
      <c r="J85" s="382"/>
      <c r="K85" s="183"/>
      <c r="L85" s="18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30" s="258" customFormat="1" ht="15" customHeight="1">
      <c r="A86" s="242"/>
      <c r="B86" s="242"/>
      <c r="C86" s="511">
        <f>+C47-C78</f>
        <v>0</v>
      </c>
      <c r="D86" s="242"/>
      <c r="E86" s="242"/>
      <c r="F86" s="257"/>
      <c r="G86" s="257"/>
      <c r="H86" s="257"/>
      <c r="I86" s="257"/>
      <c r="J86" s="384"/>
      <c r="K86" s="257"/>
      <c r="L86" s="257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</row>
    <row r="87" spans="1:30" s="258" customFormat="1" ht="15" customHeight="1">
      <c r="A87" s="242"/>
      <c r="B87" s="242"/>
      <c r="C87" s="242"/>
      <c r="D87" s="242"/>
      <c r="E87" s="242"/>
      <c r="F87" s="257"/>
      <c r="G87" s="257"/>
      <c r="H87" s="257"/>
      <c r="I87" s="257"/>
      <c r="J87" s="384"/>
      <c r="K87" s="257"/>
      <c r="L87" s="257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</row>
    <row r="88" spans="1:30" s="258" customFormat="1" ht="15" customHeight="1">
      <c r="A88" s="242"/>
      <c r="B88" s="242"/>
      <c r="C88" s="242"/>
      <c r="D88" s="242"/>
      <c r="E88" s="242"/>
      <c r="F88" s="257"/>
      <c r="G88" s="257"/>
      <c r="H88" s="257"/>
      <c r="I88" s="257"/>
      <c r="J88" s="384"/>
      <c r="K88" s="257"/>
      <c r="L88" s="257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</row>
    <row r="89" spans="1:30" ht="15" customHeight="1">
      <c r="A89" s="25"/>
      <c r="B89" s="25"/>
      <c r="C89" s="25"/>
      <c r="D89" s="25"/>
      <c r="E89" s="25"/>
      <c r="F89" s="183"/>
      <c r="G89" s="183"/>
      <c r="H89" s="183"/>
      <c r="I89" s="183"/>
      <c r="J89" s="382"/>
      <c r="K89" s="183"/>
      <c r="L89" s="183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1:30" ht="15" customHeight="1">
      <c r="A90" s="25"/>
      <c r="B90" s="25"/>
      <c r="C90" s="25"/>
      <c r="D90" s="25"/>
      <c r="E90" s="25"/>
      <c r="F90" s="183"/>
      <c r="G90" s="183"/>
      <c r="H90" s="183"/>
      <c r="I90" s="183"/>
      <c r="J90" s="382"/>
      <c r="K90" s="183"/>
      <c r="L90" s="18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30" ht="15" customHeight="1">
      <c r="A91" s="25"/>
      <c r="G91" s="183"/>
      <c r="H91" s="183"/>
      <c r="I91" s="183"/>
      <c r="J91" s="382"/>
      <c r="K91" s="183"/>
      <c r="L91" s="18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30" ht="15" customHeight="1">
      <c r="A92" s="25"/>
    </row>
  </sheetData>
  <sheetProtection password="CACA" sheet="1" objects="1" scenarios="1"/>
  <mergeCells count="1">
    <mergeCell ref="A1:D1"/>
  </mergeCells>
  <phoneticPr fontId="14" type="noConversion"/>
  <conditionalFormatting sqref="C63">
    <cfRule type="cellIs" dxfId="489" priority="71" operator="notEqual">
      <formula>$F$63</formula>
    </cfRule>
    <cfRule type="cellIs" dxfId="488" priority="106" operator="notEqual">
      <formula>$D$63+$E$63</formula>
    </cfRule>
  </conditionalFormatting>
  <conditionalFormatting sqref="C78">
    <cfRule type="cellIs" dxfId="487" priority="70" operator="notEqual">
      <formula>$C$47</formula>
    </cfRule>
    <cfRule type="cellIs" dxfId="486" priority="103" operator="notEqual">
      <formula>$C$47</formula>
    </cfRule>
  </conditionalFormatting>
  <conditionalFormatting sqref="C51">
    <cfRule type="cellIs" dxfId="485" priority="95" operator="notEqual">
      <formula>$D$51+$E$51</formula>
    </cfRule>
  </conditionalFormatting>
  <conditionalFormatting sqref="D63">
    <cfRule type="cellIs" dxfId="484" priority="72" operator="notEqual">
      <formula>$G$63</formula>
    </cfRule>
  </conditionalFormatting>
  <conditionalFormatting sqref="E63">
    <cfRule type="cellIs" dxfId="483" priority="190" operator="notEqual">
      <formula>$H$63</formula>
    </cfRule>
  </conditionalFormatting>
  <conditionalFormatting sqref="C21:D21">
    <cfRule type="cellIs" dxfId="482" priority="62" operator="notEqual">
      <formula>$D$22-$D$23</formula>
    </cfRule>
  </conditionalFormatting>
  <conditionalFormatting sqref="E21">
    <cfRule type="cellIs" dxfId="481" priority="61" operator="notEqual">
      <formula>$E$22-$E$23</formula>
    </cfRule>
  </conditionalFormatting>
  <conditionalFormatting sqref="C62 C59 C50:C55 C57">
    <cfRule type="cellIs" dxfId="480" priority="56" operator="notEqual">
      <formula>D50+E50</formula>
    </cfRule>
  </conditionalFormatting>
  <conditionalFormatting sqref="C47">
    <cfRule type="cellIs" dxfId="479" priority="47" operator="notEqual">
      <formula>$F$47</formula>
    </cfRule>
  </conditionalFormatting>
  <conditionalFormatting sqref="C7">
    <cfRule type="cellIs" dxfId="478" priority="44" operator="notEqual">
      <formula>+$D$7+$E$7</formula>
    </cfRule>
  </conditionalFormatting>
  <conditionalFormatting sqref="C35">
    <cfRule type="cellIs" dxfId="477" priority="38" operator="notEqual">
      <formula>$C$36+$C$37-$C$38</formula>
    </cfRule>
  </conditionalFormatting>
  <conditionalFormatting sqref="D35">
    <cfRule type="cellIs" dxfId="476" priority="37" operator="notEqual">
      <formula>$D$36+$D$37-$D$38</formula>
    </cfRule>
  </conditionalFormatting>
  <conditionalFormatting sqref="E35">
    <cfRule type="cellIs" dxfId="475" priority="35" operator="notEqual">
      <formula>$E$36+$E$37-$E$38</formula>
    </cfRule>
  </conditionalFormatting>
  <conditionalFormatting sqref="E43">
    <cfRule type="cellIs" dxfId="474" priority="34" operator="notEqual">
      <formula>$E$44-$E$45+$E$46</formula>
    </cfRule>
  </conditionalFormatting>
  <conditionalFormatting sqref="C24">
    <cfRule type="cellIs" dxfId="473" priority="31" operator="notEqual">
      <formula>C25-C26</formula>
    </cfRule>
  </conditionalFormatting>
  <conditionalFormatting sqref="D24:E24">
    <cfRule type="cellIs" dxfId="472" priority="30" operator="notEqual">
      <formula>D25-D26</formula>
    </cfRule>
  </conditionalFormatting>
  <conditionalFormatting sqref="C27">
    <cfRule type="cellIs" dxfId="471" priority="29" operator="notEqual">
      <formula>C28-C29</formula>
    </cfRule>
  </conditionalFormatting>
  <conditionalFormatting sqref="C39">
    <cfRule type="cellIs" dxfId="470" priority="27" operator="notEqual">
      <formula>C40+C41+C42</formula>
    </cfRule>
  </conditionalFormatting>
  <conditionalFormatting sqref="D39">
    <cfRule type="cellIs" dxfId="469" priority="26" operator="notEqual">
      <formula>D40+D41+D42</formula>
    </cfRule>
  </conditionalFormatting>
  <conditionalFormatting sqref="C43">
    <cfRule type="cellIs" dxfId="468" priority="25" operator="notEqual">
      <formula>C44-C45+C46</formula>
    </cfRule>
  </conditionalFormatting>
  <conditionalFormatting sqref="C17">
    <cfRule type="cellIs" dxfId="467" priority="23" operator="notEqual">
      <formula>C18+C19-C20</formula>
    </cfRule>
  </conditionalFormatting>
  <conditionalFormatting sqref="C14">
    <cfRule type="cellIs" dxfId="466" priority="21" operator="notEqual">
      <formula>C15-C16</formula>
    </cfRule>
  </conditionalFormatting>
  <conditionalFormatting sqref="D14:E14">
    <cfRule type="cellIs" dxfId="465" priority="20" operator="notEqual">
      <formula>D15-D16</formula>
    </cfRule>
  </conditionalFormatting>
  <conditionalFormatting sqref="C7">
    <cfRule type="cellIs" dxfId="464" priority="17" operator="notEqual">
      <formula>C8-C9</formula>
    </cfRule>
  </conditionalFormatting>
  <conditionalFormatting sqref="E7">
    <cfRule type="cellIs" dxfId="463" priority="16" operator="notEqual">
      <formula>E8-E9</formula>
    </cfRule>
  </conditionalFormatting>
  <conditionalFormatting sqref="C56">
    <cfRule type="cellIs" dxfId="462" priority="13" operator="notEqual">
      <formula>D56+E56</formula>
    </cfRule>
  </conditionalFormatting>
  <conditionalFormatting sqref="D47">
    <cfRule type="cellIs" dxfId="461" priority="5" operator="notEqual">
      <formula>$G$47</formula>
    </cfRule>
  </conditionalFormatting>
  <conditionalFormatting sqref="D27">
    <cfRule type="cellIs" dxfId="460" priority="4" operator="notEqual">
      <formula>D28-D29</formula>
    </cfRule>
  </conditionalFormatting>
  <conditionalFormatting sqref="E27">
    <cfRule type="cellIs" dxfId="459" priority="3" operator="notEqual">
      <formula>E28-E29</formula>
    </cfRule>
  </conditionalFormatting>
  <conditionalFormatting sqref="C61">
    <cfRule type="cellIs" dxfId="458" priority="2" operator="notEqual">
      <formula>D61+E61</formula>
    </cfRule>
  </conditionalFormatting>
  <conditionalFormatting sqref="E47">
    <cfRule type="cellIs" dxfId="457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/>
    <dataValidation type="whole" operator="notEqual" allowBlank="1" showErrorMessage="1" error="Что, не получается?_x000a__x000a_Выше нос друзья!_x000a__x000a_Введите целое число." sqref="E58 D55:D62 D72:D76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/>
    <dataValidation allowBlank="1" showInputMessage="1" showErrorMessage="1" prompt="Значение должно равняться Итого активов (Ячейка С36)" sqref="D78:E78"/>
    <dataValidation allowBlank="1" showInputMessage="1" showErrorMessage="1" prompt="Если значение ячейки не равно &quot;В24 - В25&quot;, ячейка окрасится" sqref="D46 D28 D36:D38"/>
    <dataValidation type="date" operator="greaterThan" allowBlank="1" showInputMessage="1" showErrorMessage="1" prompt="Введите дату в формате ЧЧ.ММ.ГГГГ" sqref="D3">
      <formula1>DATE(96,1,1)</formula1>
    </dataValidation>
    <dataValidation allowBlank="1" showInputMessage="1" showErrorMessage="1" prompt="Если значение ячейки не равно &quot;В15 - В16&quot;, ячейка окрасится" sqref="D17:E18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43:C45 C58 C7:C9 C48 C20:C31 C14:C18 C72 C33:C38 C73:C78" formula="1"/>
    <ignoredError sqref="A70:A72 A67 A50:A64 A75:A78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3" customWidth="1"/>
    <col min="2" max="2" width="105.140625" style="33" customWidth="1"/>
    <col min="3" max="3" width="19.7109375" style="66" customWidth="1"/>
    <col min="4" max="4" width="10.28515625" style="121" bestFit="1" customWidth="1"/>
    <col min="5" max="5" width="19.42578125" style="122" bestFit="1" customWidth="1"/>
    <col min="6" max="6" width="9.28515625" style="121" bestFit="1" customWidth="1"/>
    <col min="7" max="7" width="9.140625" style="121"/>
    <col min="8" max="8" width="17.42578125" style="121" bestFit="1" customWidth="1"/>
    <col min="9" max="16384" width="9.140625" style="33"/>
  </cols>
  <sheetData>
    <row r="1" spans="1:8" ht="23.25" customHeight="1">
      <c r="A1" s="513" t="s">
        <v>152</v>
      </c>
      <c r="B1" s="514"/>
      <c r="C1" s="32" t="s">
        <v>151</v>
      </c>
    </row>
    <row r="2" spans="1:8">
      <c r="A2" s="68"/>
      <c r="B2" s="68"/>
      <c r="C2" s="68"/>
    </row>
    <row r="3" spans="1:8" ht="15.75">
      <c r="A3" s="34"/>
      <c r="B3" s="85" t="str">
        <f>Balance!B3</f>
        <v>"MKBANK"</v>
      </c>
      <c r="C3" s="84">
        <f>+Balance!D3</f>
        <v>45289</v>
      </c>
    </row>
    <row r="4" spans="1:8" s="35" customFormat="1" ht="43.5" customHeight="1">
      <c r="A4" s="113" t="s">
        <v>54</v>
      </c>
      <c r="B4" s="113" t="s">
        <v>31</v>
      </c>
      <c r="C4" s="113" t="s">
        <v>2</v>
      </c>
      <c r="D4" s="123"/>
      <c r="E4" s="124"/>
      <c r="F4" s="123"/>
      <c r="G4" s="123"/>
      <c r="H4" s="123"/>
    </row>
    <row r="5" spans="1:8" ht="12.75" customHeight="1">
      <c r="A5" s="101" t="s">
        <v>32</v>
      </c>
      <c r="B5" s="37" t="s">
        <v>77</v>
      </c>
      <c r="C5" s="38"/>
    </row>
    <row r="6" spans="1:8" ht="12.75" customHeight="1">
      <c r="A6" s="36">
        <v>1</v>
      </c>
      <c r="B6" s="37" t="s">
        <v>78</v>
      </c>
      <c r="C6" s="39"/>
    </row>
    <row r="7" spans="1:8" s="46" customFormat="1" ht="18" customHeight="1">
      <c r="A7" s="43" t="s">
        <v>81</v>
      </c>
      <c r="B7" s="44" t="s">
        <v>79</v>
      </c>
      <c r="C7" s="74" t="s">
        <v>72</v>
      </c>
      <c r="D7" s="125"/>
      <c r="E7" s="81"/>
      <c r="F7" s="125"/>
      <c r="G7" s="125"/>
      <c r="H7" s="125"/>
    </row>
    <row r="8" spans="1:8" s="35" customFormat="1" ht="18" customHeight="1">
      <c r="A8" s="53" t="s">
        <v>33</v>
      </c>
      <c r="B8" s="110" t="s">
        <v>34</v>
      </c>
      <c r="C8" s="69"/>
      <c r="D8" s="123"/>
      <c r="E8" s="124"/>
      <c r="F8" s="123"/>
      <c r="G8" s="123"/>
      <c r="H8" s="123"/>
    </row>
    <row r="9" spans="1:8" s="35" customFormat="1" ht="18" customHeight="1">
      <c r="A9" s="53" t="s">
        <v>35</v>
      </c>
      <c r="B9" s="110" t="s">
        <v>36</v>
      </c>
      <c r="C9" s="70"/>
      <c r="D9" s="123"/>
      <c r="E9" s="124"/>
      <c r="F9" s="123"/>
      <c r="G9" s="123"/>
      <c r="H9" s="123"/>
    </row>
    <row r="10" spans="1:8" s="46" customFormat="1" ht="18" customHeight="1">
      <c r="A10" s="43" t="s">
        <v>82</v>
      </c>
      <c r="B10" s="44" t="s">
        <v>80</v>
      </c>
      <c r="C10" s="78">
        <v>0</v>
      </c>
      <c r="D10" s="125"/>
      <c r="E10" s="81"/>
      <c r="F10" s="125"/>
      <c r="G10" s="125"/>
      <c r="H10" s="125"/>
    </row>
    <row r="11" spans="1:8" s="35" customFormat="1" ht="18" customHeight="1">
      <c r="A11" s="53" t="s">
        <v>83</v>
      </c>
      <c r="B11" s="110" t="s">
        <v>84</v>
      </c>
      <c r="C11" s="74" t="s">
        <v>72</v>
      </c>
      <c r="D11" s="123"/>
      <c r="E11" s="124"/>
      <c r="F11" s="123"/>
      <c r="G11" s="123"/>
      <c r="H11" s="123"/>
    </row>
    <row r="12" spans="1:8" s="35" customFormat="1" ht="18" customHeight="1">
      <c r="A12" s="53" t="s">
        <v>39</v>
      </c>
      <c r="B12" s="110" t="s">
        <v>42</v>
      </c>
      <c r="C12" s="80"/>
      <c r="D12" s="123"/>
      <c r="E12" s="124"/>
      <c r="F12" s="123"/>
      <c r="G12" s="123"/>
      <c r="H12" s="123"/>
    </row>
    <row r="13" spans="1:8" s="35" customFormat="1" ht="18" customHeight="1">
      <c r="A13" s="48" t="s">
        <v>35</v>
      </c>
      <c r="B13" s="111" t="s">
        <v>43</v>
      </c>
      <c r="C13" s="80"/>
      <c r="D13" s="123"/>
      <c r="E13" s="124"/>
      <c r="F13" s="123"/>
      <c r="G13" s="123"/>
      <c r="H13" s="123"/>
    </row>
    <row r="14" spans="1:8" s="46" customFormat="1" ht="18" customHeight="1">
      <c r="A14" s="58" t="s">
        <v>37</v>
      </c>
      <c r="B14" s="108" t="s">
        <v>85</v>
      </c>
      <c r="C14" s="77"/>
      <c r="D14" s="125"/>
      <c r="E14" s="81"/>
      <c r="F14" s="125"/>
      <c r="G14" s="125"/>
      <c r="H14" s="125"/>
    </row>
    <row r="15" spans="1:8" s="46" customFormat="1" ht="18" customHeight="1">
      <c r="A15" s="58" t="s">
        <v>44</v>
      </c>
      <c r="B15" s="108" t="s">
        <v>86</v>
      </c>
      <c r="C15" s="77"/>
      <c r="D15" s="125"/>
      <c r="E15" s="81"/>
      <c r="F15" s="125"/>
      <c r="G15" s="125"/>
      <c r="H15" s="125"/>
    </row>
    <row r="16" spans="1:8" s="35" customFormat="1" ht="18" customHeight="1">
      <c r="A16" s="48" t="s">
        <v>87</v>
      </c>
      <c r="B16" s="111" t="s">
        <v>45</v>
      </c>
      <c r="C16" s="78"/>
      <c r="D16" s="123"/>
      <c r="E16" s="124"/>
      <c r="F16" s="123"/>
      <c r="G16" s="123"/>
      <c r="H16" s="123"/>
    </row>
    <row r="17" spans="1:8" s="35" customFormat="1" ht="18" customHeight="1">
      <c r="A17" s="48" t="s">
        <v>88</v>
      </c>
      <c r="B17" s="111" t="s">
        <v>3</v>
      </c>
      <c r="C17" s="78"/>
      <c r="D17" s="123"/>
      <c r="E17" s="124"/>
      <c r="F17" s="123"/>
      <c r="G17" s="123"/>
      <c r="H17" s="123"/>
    </row>
    <row r="18" spans="1:8" s="35" customFormat="1" ht="18" customHeight="1">
      <c r="A18" s="48"/>
      <c r="B18" s="111" t="s">
        <v>89</v>
      </c>
      <c r="C18" s="74" t="s">
        <v>72</v>
      </c>
      <c r="D18" s="123"/>
      <c r="E18" s="124"/>
      <c r="F18" s="123"/>
      <c r="G18" s="123"/>
      <c r="H18" s="123"/>
    </row>
    <row r="19" spans="1:8" s="35" customFormat="1" ht="18" customHeight="1">
      <c r="A19" s="48" t="s">
        <v>117</v>
      </c>
      <c r="B19" s="111" t="s">
        <v>90</v>
      </c>
      <c r="C19" s="74" t="s">
        <v>72</v>
      </c>
      <c r="D19" s="123"/>
      <c r="E19" s="124"/>
      <c r="F19" s="123"/>
      <c r="G19" s="123"/>
      <c r="H19" s="123"/>
    </row>
    <row r="20" spans="1:8" s="46" customFormat="1" ht="18" customHeight="1">
      <c r="A20" s="100" t="s">
        <v>39</v>
      </c>
      <c r="B20" s="188" t="s">
        <v>47</v>
      </c>
      <c r="C20" s="77"/>
      <c r="D20" s="125"/>
      <c r="E20" s="81"/>
      <c r="F20" s="125"/>
      <c r="G20" s="125"/>
      <c r="H20" s="125"/>
    </row>
    <row r="21" spans="1:8" s="45" customFormat="1" ht="25.5">
      <c r="A21" s="100" t="s">
        <v>35</v>
      </c>
      <c r="B21" s="108" t="s">
        <v>12</v>
      </c>
      <c r="C21" s="77"/>
      <c r="D21" s="125"/>
      <c r="E21" s="81"/>
      <c r="F21" s="125"/>
      <c r="G21" s="125"/>
      <c r="H21" s="125"/>
    </row>
    <row r="22" spans="1:8" s="46" customFormat="1" ht="18" customHeight="1">
      <c r="A22" s="100" t="s">
        <v>37</v>
      </c>
      <c r="B22" s="108" t="s">
        <v>4</v>
      </c>
      <c r="C22" s="77"/>
      <c r="D22" s="125"/>
      <c r="E22" s="81"/>
      <c r="F22" s="125"/>
      <c r="G22" s="125"/>
      <c r="H22" s="125"/>
    </row>
    <row r="23" spans="1:8" s="46" customFormat="1" ht="15" customHeight="1">
      <c r="A23" s="43" t="s">
        <v>91</v>
      </c>
      <c r="B23" s="44" t="s">
        <v>92</v>
      </c>
      <c r="C23" s="74" t="s">
        <v>72</v>
      </c>
      <c r="D23" s="125"/>
      <c r="E23" s="81"/>
      <c r="F23" s="125"/>
      <c r="G23" s="125"/>
      <c r="H23" s="125"/>
    </row>
    <row r="24" spans="1:8" ht="16.5" customHeight="1">
      <c r="A24" s="40">
        <v>2</v>
      </c>
      <c r="B24" s="47" t="s">
        <v>93</v>
      </c>
      <c r="C24" s="41"/>
    </row>
    <row r="25" spans="1:8" s="46" customFormat="1" ht="18" customHeight="1">
      <c r="A25" s="58" t="s">
        <v>94</v>
      </c>
      <c r="B25" s="108" t="s">
        <v>38</v>
      </c>
      <c r="C25" s="106">
        <f>+C26+C27</f>
        <v>0</v>
      </c>
      <c r="D25" s="125"/>
      <c r="E25" s="81"/>
      <c r="F25" s="125"/>
      <c r="G25" s="125"/>
      <c r="H25" s="125"/>
    </row>
    <row r="26" spans="1:8" s="46" customFormat="1" ht="18" customHeight="1">
      <c r="A26" s="58" t="s">
        <v>39</v>
      </c>
      <c r="B26" s="108" t="s">
        <v>40</v>
      </c>
      <c r="C26" s="77"/>
      <c r="D26" s="125"/>
      <c r="E26" s="81"/>
      <c r="F26" s="125"/>
      <c r="G26" s="125"/>
      <c r="H26" s="125"/>
    </row>
    <row r="27" spans="1:8" s="46" customFormat="1" ht="18" customHeight="1">
      <c r="A27" s="58" t="s">
        <v>35</v>
      </c>
      <c r="B27" s="108" t="s">
        <v>41</v>
      </c>
      <c r="C27" s="77"/>
      <c r="D27" s="125"/>
      <c r="E27" s="81"/>
      <c r="F27" s="125"/>
      <c r="G27" s="125"/>
      <c r="H27" s="125"/>
    </row>
    <row r="28" spans="1:8" s="46" customFormat="1" ht="18" customHeight="1">
      <c r="A28" s="58" t="s">
        <v>95</v>
      </c>
      <c r="B28" s="108" t="s">
        <v>96</v>
      </c>
      <c r="C28" s="77">
        <v>0</v>
      </c>
      <c r="D28" s="125"/>
      <c r="E28" s="81"/>
      <c r="F28" s="125"/>
      <c r="G28" s="125"/>
      <c r="H28" s="125"/>
    </row>
    <row r="29" spans="1:8">
      <c r="A29" s="48" t="s">
        <v>97</v>
      </c>
      <c r="B29" s="109" t="s">
        <v>98</v>
      </c>
      <c r="C29" s="71">
        <v>0</v>
      </c>
    </row>
    <row r="30" spans="1:8" s="46" customFormat="1" ht="29.25" customHeight="1">
      <c r="A30" s="58" t="s">
        <v>99</v>
      </c>
      <c r="B30" s="108" t="s">
        <v>11</v>
      </c>
      <c r="C30" s="77">
        <v>0</v>
      </c>
      <c r="D30" s="125"/>
      <c r="E30" s="81"/>
      <c r="F30" s="125"/>
      <c r="G30" s="125"/>
      <c r="H30" s="125"/>
    </row>
    <row r="31" spans="1:8" s="50" customFormat="1">
      <c r="A31" s="49" t="s">
        <v>46</v>
      </c>
      <c r="B31" s="82" t="s">
        <v>100</v>
      </c>
      <c r="C31" s="79">
        <f>+C25+C28+C29+C30</f>
        <v>0</v>
      </c>
      <c r="D31" s="126"/>
      <c r="E31" s="127"/>
      <c r="F31" s="128"/>
      <c r="G31" s="128"/>
      <c r="H31" s="128"/>
    </row>
    <row r="32" spans="1:8" s="50" customFormat="1" ht="16.5" customHeight="1">
      <c r="A32" s="49" t="s">
        <v>48</v>
      </c>
      <c r="B32" s="114" t="s">
        <v>101</v>
      </c>
      <c r="C32" s="74" t="s">
        <v>72</v>
      </c>
      <c r="D32" s="128"/>
      <c r="E32" s="127"/>
      <c r="F32" s="128"/>
      <c r="G32" s="128"/>
      <c r="H32" s="128"/>
    </row>
    <row r="33" spans="1:8" s="52" customFormat="1" ht="13.5" customHeight="1">
      <c r="A33" s="51"/>
      <c r="B33" s="51" t="s">
        <v>50</v>
      </c>
      <c r="C33" s="42"/>
      <c r="D33" s="129"/>
      <c r="E33" s="130"/>
      <c r="F33" s="129"/>
      <c r="G33" s="129"/>
      <c r="H33" s="131"/>
    </row>
    <row r="34" spans="1:8" s="46" customFormat="1" ht="18" customHeight="1">
      <c r="A34" s="58" t="s">
        <v>102</v>
      </c>
      <c r="B34" s="187" t="s">
        <v>160</v>
      </c>
      <c r="C34" s="77"/>
      <c r="D34" s="125"/>
      <c r="E34" s="81"/>
      <c r="F34" s="125"/>
      <c r="G34" s="125"/>
      <c r="H34" s="125"/>
    </row>
    <row r="35" spans="1:8" s="46" customFormat="1" ht="25.5">
      <c r="A35" s="58" t="s">
        <v>103</v>
      </c>
      <c r="B35" s="108" t="s">
        <v>13</v>
      </c>
      <c r="C35" s="154" t="e">
        <f>IF(Balance!#REF!&lt;(C43*1.25%),Balance!#REF!,(C43*1.25%))</f>
        <v>#REF!</v>
      </c>
      <c r="D35" s="125"/>
      <c r="E35" s="81"/>
      <c r="F35" s="125"/>
      <c r="G35" s="125"/>
      <c r="H35" s="125"/>
    </row>
    <row r="36" spans="1:8" s="46" customFormat="1" ht="18" customHeight="1">
      <c r="A36" s="58" t="s">
        <v>104</v>
      </c>
      <c r="B36" s="108" t="s">
        <v>5</v>
      </c>
      <c r="C36" s="77"/>
      <c r="D36" s="125"/>
      <c r="E36" s="81"/>
      <c r="F36" s="125"/>
      <c r="G36" s="125"/>
      <c r="H36" s="125"/>
    </row>
    <row r="37" spans="1:8" s="46" customFormat="1" ht="18" customHeight="1">
      <c r="A37" s="58" t="s">
        <v>105</v>
      </c>
      <c r="B37" s="108" t="s">
        <v>106</v>
      </c>
      <c r="C37" s="77"/>
      <c r="D37" s="125"/>
      <c r="E37" s="81"/>
      <c r="F37" s="125"/>
      <c r="G37" s="125"/>
      <c r="H37" s="125"/>
    </row>
    <row r="38" spans="1:8" s="46" customFormat="1" ht="18" customHeight="1">
      <c r="A38" s="58" t="s">
        <v>107</v>
      </c>
      <c r="B38" s="108" t="s">
        <v>6</v>
      </c>
      <c r="C38" s="77"/>
      <c r="D38" s="125"/>
      <c r="E38" s="81"/>
      <c r="F38" s="125"/>
      <c r="G38" s="125"/>
      <c r="H38" s="125"/>
    </row>
    <row r="39" spans="1:8" s="46" customFormat="1" ht="18" customHeight="1">
      <c r="A39" s="58" t="s">
        <v>108</v>
      </c>
      <c r="B39" s="108" t="s">
        <v>51</v>
      </c>
      <c r="C39" s="74" t="s">
        <v>72</v>
      </c>
      <c r="D39" s="125"/>
      <c r="E39" s="81"/>
      <c r="F39" s="125"/>
      <c r="G39" s="125"/>
      <c r="H39" s="125"/>
    </row>
    <row r="40" spans="1:8" ht="18.75" customHeight="1">
      <c r="A40" s="53"/>
      <c r="B40" s="54" t="s">
        <v>23</v>
      </c>
      <c r="C40" s="42" t="e">
        <f>SUM(C34:C38)</f>
        <v>#REF!</v>
      </c>
      <c r="D40" s="126"/>
    </row>
    <row r="41" spans="1:8" s="35" customFormat="1" ht="22.5" customHeight="1">
      <c r="A41" s="72" t="s">
        <v>49</v>
      </c>
      <c r="B41" s="55" t="s">
        <v>24</v>
      </c>
      <c r="C41" s="74" t="s">
        <v>72</v>
      </c>
      <c r="D41" s="132"/>
      <c r="E41" s="124"/>
      <c r="F41" s="123"/>
      <c r="G41" s="123"/>
      <c r="H41" s="123"/>
    </row>
    <row r="42" spans="1:8" s="35" customFormat="1" ht="15.75" customHeight="1">
      <c r="A42" s="51" t="s">
        <v>52</v>
      </c>
      <c r="B42" s="55" t="s">
        <v>109</v>
      </c>
      <c r="C42" s="74" t="s">
        <v>72</v>
      </c>
      <c r="D42" s="132"/>
      <c r="E42" s="124"/>
      <c r="F42" s="123"/>
      <c r="G42" s="123"/>
      <c r="H42" s="123"/>
    </row>
    <row r="43" spans="1:8" s="35" customFormat="1" ht="21.75" customHeight="1">
      <c r="A43" s="51" t="s">
        <v>9</v>
      </c>
      <c r="B43" s="44" t="s">
        <v>110</v>
      </c>
      <c r="C43" s="56" t="e">
        <f>+C44+C45+C46</f>
        <v>#REF!</v>
      </c>
      <c r="D43" s="123"/>
      <c r="E43" s="124"/>
      <c r="F43" s="123"/>
      <c r="G43" s="123"/>
      <c r="H43" s="123"/>
    </row>
    <row r="44" spans="1:8" s="46" customFormat="1" ht="18" customHeight="1">
      <c r="A44" s="58" t="s">
        <v>39</v>
      </c>
      <c r="B44" s="108" t="s">
        <v>14</v>
      </c>
      <c r="C44" s="106" t="e">
        <f>+#REF!</f>
        <v>#REF!</v>
      </c>
      <c r="D44" s="125"/>
      <c r="E44" s="81"/>
      <c r="F44" s="125"/>
      <c r="G44" s="125"/>
      <c r="H44" s="125"/>
    </row>
    <row r="45" spans="1:8" s="46" customFormat="1" ht="18" customHeight="1">
      <c r="A45" s="58" t="s">
        <v>35</v>
      </c>
      <c r="B45" s="108" t="s">
        <v>7</v>
      </c>
      <c r="C45" s="106" t="e">
        <f>+#REF!</f>
        <v>#REF!</v>
      </c>
      <c r="D45" s="125"/>
      <c r="E45" s="81"/>
      <c r="F45" s="125"/>
      <c r="G45" s="125"/>
      <c r="H45" s="125"/>
    </row>
    <row r="46" spans="1:8" s="46" customFormat="1" ht="18" customHeight="1">
      <c r="A46" s="58" t="s">
        <v>37</v>
      </c>
      <c r="B46" s="108" t="s">
        <v>8</v>
      </c>
      <c r="C46" s="106" t="e">
        <f>+#REF!</f>
        <v>#REF!</v>
      </c>
      <c r="D46" s="125"/>
      <c r="E46" s="81" t="e">
        <f>+#REF!</f>
        <v>#REF!</v>
      </c>
      <c r="F46" s="125"/>
      <c r="G46" s="125"/>
      <c r="H46" s="125"/>
    </row>
    <row r="47" spans="1:8" s="52" customFormat="1" ht="21.75" customHeight="1">
      <c r="A47" s="72" t="s">
        <v>10</v>
      </c>
      <c r="B47" s="73" t="s">
        <v>111</v>
      </c>
      <c r="C47" s="74" t="s">
        <v>72</v>
      </c>
      <c r="D47" s="129"/>
      <c r="E47" s="130"/>
      <c r="F47" s="129"/>
      <c r="G47" s="129"/>
      <c r="H47" s="129"/>
    </row>
    <row r="48" spans="1:8" s="52" customFormat="1" ht="21.75" customHeight="1">
      <c r="A48" s="72" t="s">
        <v>53</v>
      </c>
      <c r="B48" s="73" t="s">
        <v>112</v>
      </c>
      <c r="C48" s="74" t="s">
        <v>72</v>
      </c>
      <c r="D48" s="129"/>
      <c r="E48" s="130"/>
      <c r="F48" s="129"/>
      <c r="G48" s="129"/>
      <c r="H48" s="129"/>
    </row>
    <row r="49" spans="1:8" s="52" customFormat="1" ht="21.75" customHeight="1">
      <c r="A49" s="72" t="s">
        <v>25</v>
      </c>
      <c r="B49" s="73" t="s">
        <v>113</v>
      </c>
      <c r="C49" s="74" t="s">
        <v>72</v>
      </c>
      <c r="D49" s="129"/>
      <c r="E49" s="130"/>
      <c r="F49" s="129"/>
      <c r="G49" s="129"/>
      <c r="H49" s="129"/>
    </row>
    <row r="50" spans="1:8" s="57" customFormat="1" ht="21.75" customHeight="1">
      <c r="A50" s="51" t="s">
        <v>26</v>
      </c>
      <c r="B50" s="44" t="s">
        <v>19</v>
      </c>
      <c r="C50" s="74" t="s">
        <v>72</v>
      </c>
      <c r="D50" s="133"/>
      <c r="E50" s="134"/>
      <c r="F50" s="135"/>
      <c r="G50" s="133"/>
      <c r="H50" s="133"/>
    </row>
    <row r="51" spans="1:8" s="61" customFormat="1" ht="21.75" customHeight="1">
      <c r="A51" s="58" t="s">
        <v>39</v>
      </c>
      <c r="B51" s="59" t="s">
        <v>29</v>
      </c>
      <c r="C51" s="60">
        <f>+Balance!C47</f>
        <v>19061519219</v>
      </c>
      <c r="D51" s="136"/>
      <c r="E51" s="137"/>
      <c r="F51" s="138"/>
      <c r="G51" s="136"/>
      <c r="H51" s="136"/>
    </row>
    <row r="52" spans="1:8" s="61" customFormat="1" ht="21.75" customHeight="1">
      <c r="A52" s="58" t="s">
        <v>35</v>
      </c>
      <c r="B52" s="59" t="s">
        <v>114</v>
      </c>
      <c r="C52" s="149" t="e">
        <f>SUM(#REF!)</f>
        <v>#REF!</v>
      </c>
      <c r="D52" s="138" t="e">
        <f>+#REF!</f>
        <v>#REF!</v>
      </c>
      <c r="E52" s="137"/>
      <c r="F52" s="138"/>
      <c r="G52" s="136"/>
      <c r="H52" s="136"/>
    </row>
    <row r="53" spans="1:8" s="64" customFormat="1" ht="21.75" customHeight="1">
      <c r="A53" s="62" t="s">
        <v>37</v>
      </c>
      <c r="B53" s="63" t="s">
        <v>115</v>
      </c>
      <c r="C53" s="151" t="e">
        <f>SUM(#REF!)</f>
        <v>#REF!</v>
      </c>
      <c r="D53" s="148"/>
      <c r="E53" s="150"/>
      <c r="F53" s="139"/>
      <c r="G53" s="139"/>
      <c r="H53" s="139"/>
    </row>
    <row r="54" spans="1:8" s="64" customFormat="1" ht="21.75" customHeight="1">
      <c r="A54" s="62" t="s">
        <v>44</v>
      </c>
      <c r="B54" s="63" t="s">
        <v>116</v>
      </c>
      <c r="C54" s="83" t="str">
        <f>+C19</f>
        <v>Формула</v>
      </c>
      <c r="D54" s="139"/>
      <c r="E54" s="140"/>
      <c r="F54" s="139"/>
      <c r="G54" s="139"/>
      <c r="H54" s="139"/>
    </row>
    <row r="55" spans="1:8" s="52" customFormat="1" ht="21.75" customHeight="1">
      <c r="A55" s="72" t="s">
        <v>27</v>
      </c>
      <c r="B55" s="73" t="s">
        <v>30</v>
      </c>
      <c r="C55" s="74" t="s">
        <v>72</v>
      </c>
      <c r="D55" s="129"/>
      <c r="E55" s="130"/>
      <c r="F55" s="129"/>
      <c r="G55" s="129"/>
      <c r="H55" s="129"/>
    </row>
    <row r="56" spans="1:8">
      <c r="B56" s="65"/>
    </row>
    <row r="57" spans="1:8" s="1" customFormat="1">
      <c r="A57" s="8"/>
      <c r="B57" s="2" t="s">
        <v>0</v>
      </c>
      <c r="D57" s="21"/>
      <c r="E57" s="21"/>
      <c r="F57" s="21"/>
      <c r="G57" s="21"/>
      <c r="H57" s="21"/>
    </row>
    <row r="58" spans="1:8" s="1" customFormat="1">
      <c r="A58" s="8"/>
      <c r="B58" s="2"/>
      <c r="D58" s="21"/>
      <c r="E58" s="21"/>
      <c r="F58" s="21"/>
      <c r="G58" s="21"/>
      <c r="H58" s="21"/>
    </row>
    <row r="59" spans="1:8" s="1" customFormat="1">
      <c r="A59" s="8"/>
      <c r="B59" s="2" t="s">
        <v>1</v>
      </c>
      <c r="D59" s="21"/>
      <c r="E59" s="21"/>
      <c r="F59" s="21"/>
      <c r="G59" s="21"/>
      <c r="H59" s="21"/>
    </row>
    <row r="60" spans="1:8">
      <c r="B60" s="67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D75"/>
  <sheetViews>
    <sheetView view="pageBreakPreview" zoomScaleNormal="100" zoomScaleSheetLayoutView="100" workbookViewId="0">
      <pane xSplit="2" ySplit="3" topLeftCell="C13" activePane="bottomRight" state="frozen"/>
      <selection activeCell="G38" sqref="G38"/>
      <selection pane="topRight" activeCell="G38" sqref="G38"/>
      <selection pane="bottomLeft" activeCell="G38" sqref="G38"/>
      <selection pane="bottomRight" activeCell="D24" sqref="D24"/>
    </sheetView>
  </sheetViews>
  <sheetFormatPr defaultRowHeight="12.75"/>
  <cols>
    <col min="1" max="1" width="7.42578125" style="162" customWidth="1"/>
    <col min="2" max="2" width="61.7109375" style="162" customWidth="1"/>
    <col min="3" max="3" width="17.42578125" style="26" customWidth="1"/>
    <col min="4" max="4" width="19.140625" style="306" customWidth="1"/>
    <col min="5" max="5" width="17.42578125" style="26" customWidth="1"/>
    <col min="6" max="8" width="12" style="194" customWidth="1"/>
    <col min="9" max="9" width="14.28515625" style="197" customWidth="1"/>
    <col min="10" max="11" width="6.42578125" style="179" customWidth="1"/>
    <col min="12" max="12" width="9.140625" style="179"/>
    <col min="13" max="14" width="11.7109375" style="168" bestFit="1" customWidth="1"/>
    <col min="15" max="16" width="9.140625" style="153"/>
    <col min="17" max="16384" width="9.140625" style="3"/>
  </cols>
  <sheetData>
    <row r="1" spans="1:17" s="11" customFormat="1" ht="34.5" customHeight="1">
      <c r="A1" s="519" t="s">
        <v>279</v>
      </c>
      <c r="B1" s="519"/>
      <c r="C1" s="519"/>
      <c r="D1" s="519"/>
      <c r="E1" s="285" t="s">
        <v>280</v>
      </c>
      <c r="F1" s="192"/>
      <c r="G1" s="192"/>
      <c r="H1" s="192"/>
      <c r="I1" s="193"/>
      <c r="J1" s="175"/>
      <c r="K1" s="175"/>
      <c r="L1" s="176"/>
      <c r="M1" s="177"/>
      <c r="N1" s="177"/>
      <c r="O1" s="239"/>
      <c r="P1" s="239"/>
    </row>
    <row r="2" spans="1:17" ht="20.25" customHeight="1">
      <c r="B2" s="96" t="str">
        <f>Balance!B3</f>
        <v>"MKBANK"</v>
      </c>
      <c r="D2" s="436">
        <f>+Balance!D3</f>
        <v>45289</v>
      </c>
      <c r="E2" s="94" t="s">
        <v>174</v>
      </c>
      <c r="I2" s="195"/>
      <c r="J2" s="178"/>
      <c r="K2" s="178"/>
    </row>
    <row r="3" spans="1:17" s="147" customFormat="1" ht="36.75" customHeight="1">
      <c r="A3" s="112" t="s">
        <v>54</v>
      </c>
      <c r="B3" s="112" t="s">
        <v>281</v>
      </c>
      <c r="C3" s="112" t="s">
        <v>176</v>
      </c>
      <c r="D3" s="112" t="s">
        <v>177</v>
      </c>
      <c r="E3" s="112" t="s">
        <v>282</v>
      </c>
      <c r="F3" s="194"/>
      <c r="G3" s="194"/>
      <c r="H3" s="194"/>
      <c r="I3" s="195"/>
      <c r="J3" s="178"/>
      <c r="K3" s="178"/>
      <c r="L3" s="179"/>
      <c r="O3" s="240"/>
      <c r="P3" s="240"/>
    </row>
    <row r="4" spans="1:17" s="147" customFormat="1" ht="17.25" customHeight="1">
      <c r="A4" s="211"/>
      <c r="B4" s="211" t="s">
        <v>283</v>
      </c>
      <c r="C4" s="515" t="s">
        <v>284</v>
      </c>
      <c r="D4" s="516"/>
      <c r="E4" s="517"/>
      <c r="F4" s="272"/>
      <c r="G4" s="272"/>
      <c r="H4" s="208"/>
      <c r="I4" s="241"/>
      <c r="J4" s="178"/>
      <c r="K4" s="178"/>
      <c r="L4" s="179"/>
      <c r="O4" s="240"/>
      <c r="P4" s="240"/>
    </row>
    <row r="5" spans="1:17" s="168" customFormat="1">
      <c r="A5" s="286" t="s">
        <v>66</v>
      </c>
      <c r="B5" s="287" t="s">
        <v>285</v>
      </c>
      <c r="C5" s="299">
        <f>+'Bank Assets Analysis'!S6</f>
        <v>722231783</v>
      </c>
      <c r="D5" s="299">
        <f>+'Bank Assets Analysis'!T6</f>
        <v>551095339</v>
      </c>
      <c r="E5" s="299">
        <f>+'Bank Assets Analysis'!U6</f>
        <v>171136444</v>
      </c>
      <c r="F5" s="483"/>
      <c r="G5" s="272"/>
      <c r="H5" s="208"/>
      <c r="I5" s="241"/>
      <c r="J5" s="178"/>
      <c r="K5" s="178"/>
      <c r="L5" s="179"/>
      <c r="O5" s="153"/>
      <c r="P5" s="153"/>
    </row>
    <row r="6" spans="1:17" s="168" customFormat="1">
      <c r="A6" s="286" t="s">
        <v>67</v>
      </c>
      <c r="B6" s="287" t="s">
        <v>286</v>
      </c>
      <c r="C6" s="299">
        <f>+'Bank Assets Analysis'!S7</f>
        <v>260288524</v>
      </c>
      <c r="D6" s="299">
        <f>+'Bank Assets Analysis'!T7</f>
        <v>260288524</v>
      </c>
      <c r="E6" s="508">
        <f>+'Bank Assets Analysis'!U7</f>
        <v>0</v>
      </c>
      <c r="F6" s="483"/>
      <c r="G6" s="272"/>
      <c r="H6" s="208"/>
      <c r="I6" s="241"/>
      <c r="J6" s="178"/>
      <c r="K6" s="178"/>
      <c r="L6" s="179"/>
      <c r="O6" s="153"/>
      <c r="P6" s="153"/>
    </row>
    <row r="7" spans="1:17" s="168" customFormat="1" ht="25.5">
      <c r="A7" s="286" t="s">
        <v>68</v>
      </c>
      <c r="B7" s="287" t="s">
        <v>287</v>
      </c>
      <c r="C7" s="299">
        <f>+'Bank Assets Analysis'!S19</f>
        <v>175</v>
      </c>
      <c r="D7" s="299">
        <f>+'Bank Assets Analysis'!T19</f>
        <v>175</v>
      </c>
      <c r="E7" s="508">
        <f>+'Bank Assets Analysis'!U19</f>
        <v>0</v>
      </c>
      <c r="F7" s="483"/>
      <c r="G7" s="272"/>
      <c r="H7" s="208"/>
      <c r="I7" s="241"/>
      <c r="J7" s="178"/>
      <c r="K7" s="178"/>
      <c r="L7" s="179"/>
      <c r="O7" s="153"/>
      <c r="P7" s="153"/>
    </row>
    <row r="8" spans="1:17" s="168" customFormat="1" ht="45.75" customHeight="1">
      <c r="A8" s="286" t="s">
        <v>69</v>
      </c>
      <c r="B8" s="287" t="s">
        <v>288</v>
      </c>
      <c r="C8" s="299">
        <f>+E8</f>
        <v>557576152</v>
      </c>
      <c r="D8" s="213"/>
      <c r="E8" s="508">
        <f>+'Bank Assets Analysis'!D10+'Bank Assets Analysis'!D11</f>
        <v>557576152</v>
      </c>
      <c r="F8" s="483"/>
      <c r="G8" s="272"/>
      <c r="H8" s="208"/>
      <c r="I8" s="241"/>
      <c r="J8" s="178"/>
      <c r="K8" s="178"/>
      <c r="L8" s="179"/>
      <c r="O8" s="153"/>
      <c r="P8" s="153"/>
    </row>
    <row r="9" spans="1:17" s="168" customFormat="1" ht="38.25">
      <c r="A9" s="286" t="s">
        <v>490</v>
      </c>
      <c r="B9" s="287" t="s">
        <v>289</v>
      </c>
      <c r="C9" s="299">
        <f>+E9</f>
        <v>0</v>
      </c>
      <c r="D9" s="213"/>
      <c r="E9" s="508">
        <f>+'Bank Assets Analysis'!F13</f>
        <v>0</v>
      </c>
      <c r="F9" s="483"/>
      <c r="G9" s="272"/>
      <c r="H9" s="208"/>
      <c r="I9" s="241"/>
      <c r="J9" s="178"/>
      <c r="K9" s="178"/>
      <c r="L9" s="179"/>
      <c r="O9" s="153"/>
      <c r="P9" s="153"/>
    </row>
    <row r="10" spans="1:17" s="168" customFormat="1" ht="51.75" customHeight="1">
      <c r="A10" s="286" t="s">
        <v>491</v>
      </c>
      <c r="B10" s="287" t="s">
        <v>537</v>
      </c>
      <c r="C10" s="299">
        <f>+'Bank Assets Analysis'!S21</f>
        <v>0</v>
      </c>
      <c r="D10" s="299">
        <f>+'Bank Assets Analysis'!T21</f>
        <v>0</v>
      </c>
      <c r="E10" s="299">
        <f>+'Bank Assets Analysis'!U21</f>
        <v>0</v>
      </c>
      <c r="F10" s="483"/>
      <c r="G10" s="272"/>
      <c r="H10" s="208"/>
      <c r="I10" s="241"/>
      <c r="J10" s="178"/>
      <c r="K10" s="178"/>
      <c r="L10" s="179"/>
      <c r="O10" s="153"/>
      <c r="P10" s="153"/>
    </row>
    <row r="11" spans="1:17" s="168" customFormat="1" ht="25.5">
      <c r="A11" s="286" t="s">
        <v>290</v>
      </c>
      <c r="B11" s="287" t="s">
        <v>291</v>
      </c>
      <c r="C11" s="299">
        <f>+'Bank Assets Analysis'!S20</f>
        <v>0</v>
      </c>
      <c r="D11" s="299">
        <f>+'Bank Assets Analysis'!T20</f>
        <v>0</v>
      </c>
      <c r="E11" s="299">
        <f>+'Bank Assets Analysis'!U20</f>
        <v>0</v>
      </c>
      <c r="F11" s="483"/>
      <c r="G11" s="272"/>
      <c r="H11" s="208"/>
      <c r="I11" s="241"/>
      <c r="J11" s="178"/>
      <c r="K11" s="178"/>
      <c r="L11" s="179"/>
      <c r="O11" s="153"/>
      <c r="P11" s="153"/>
    </row>
    <row r="12" spans="1:17" s="252" customFormat="1" ht="18.75" customHeight="1">
      <c r="A12" s="286" t="s">
        <v>486</v>
      </c>
      <c r="B12" s="287" t="s">
        <v>293</v>
      </c>
      <c r="C12" s="299">
        <f>+D12</f>
        <v>0</v>
      </c>
      <c r="D12" s="299">
        <v>0</v>
      </c>
      <c r="E12" s="299"/>
      <c r="F12" s="483"/>
      <c r="G12" s="276" t="s">
        <v>538</v>
      </c>
      <c r="H12" s="275"/>
      <c r="I12" s="275"/>
      <c r="J12" s="275"/>
      <c r="K12" s="275"/>
      <c r="L12" s="275"/>
      <c r="M12" s="275"/>
      <c r="N12" s="275"/>
      <c r="O12" s="275"/>
      <c r="P12" s="275"/>
      <c r="Q12" s="275"/>
    </row>
    <row r="13" spans="1:17" s="252" customFormat="1" ht="18.75" customHeight="1">
      <c r="A13" s="286" t="s">
        <v>492</v>
      </c>
      <c r="B13" s="287" t="s">
        <v>292</v>
      </c>
      <c r="C13" s="299">
        <f>+'Bank Assets Analysis'!S23</f>
        <v>10000000</v>
      </c>
      <c r="D13" s="299">
        <f>+'Bank Assets Analysis'!T23</f>
        <v>10000000</v>
      </c>
      <c r="E13" s="299">
        <f>+'Bank Assets Analysis'!U23</f>
        <v>0</v>
      </c>
      <c r="F13" s="483"/>
      <c r="G13" s="276"/>
      <c r="H13" s="275"/>
      <c r="I13" s="275"/>
      <c r="J13" s="275"/>
      <c r="K13" s="275"/>
      <c r="L13" s="275"/>
      <c r="M13" s="275"/>
      <c r="N13" s="275"/>
      <c r="O13" s="275"/>
      <c r="P13" s="275"/>
      <c r="Q13" s="275"/>
    </row>
    <row r="14" spans="1:17" s="252" customFormat="1" ht="25.5">
      <c r="A14" s="286" t="s">
        <v>294</v>
      </c>
      <c r="B14" s="287" t="s">
        <v>543</v>
      </c>
      <c r="C14" s="299">
        <f>+'Bank Assets Analysis'!S34</f>
        <v>0</v>
      </c>
      <c r="D14" s="299">
        <f>+'Bank Assets Analysis'!T34</f>
        <v>0</v>
      </c>
      <c r="E14" s="299">
        <f>+'Bank Assets Analysis'!U34</f>
        <v>0</v>
      </c>
      <c r="F14" s="483"/>
      <c r="G14" s="276"/>
      <c r="H14" s="275"/>
      <c r="I14" s="275"/>
      <c r="J14" s="275"/>
      <c r="K14" s="275"/>
      <c r="L14" s="275"/>
      <c r="M14" s="275"/>
      <c r="N14" s="275"/>
      <c r="O14" s="275"/>
      <c r="P14" s="275"/>
      <c r="Q14" s="275"/>
    </row>
    <row r="15" spans="1:17" s="252" customFormat="1" ht="18.75" customHeight="1">
      <c r="A15" s="286" t="s">
        <v>296</v>
      </c>
      <c r="B15" s="287" t="s">
        <v>295</v>
      </c>
      <c r="C15" s="299">
        <f>+'Bank Assets Analysis'!S18+'Bank Assets Analysis'!S43</f>
        <v>0</v>
      </c>
      <c r="D15" s="299">
        <f>+'Bank Assets Analysis'!T18+'Bank Assets Analysis'!T43</f>
        <v>0</v>
      </c>
      <c r="E15" s="299">
        <f>+'Bank Assets Analysis'!U18+'Bank Assets Analysis'!U43</f>
        <v>0</v>
      </c>
      <c r="F15" s="483"/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Q15" s="518"/>
    </row>
    <row r="16" spans="1:17" s="252" customFormat="1" ht="19.5" customHeight="1">
      <c r="A16" s="286" t="s">
        <v>546</v>
      </c>
      <c r="B16" s="288" t="s">
        <v>297</v>
      </c>
      <c r="C16" s="98">
        <f>SUM(C5:C14)-'Bank Liabilities Analysis'!S22-'Bank Liabilities Analysis'!T25-C15</f>
        <v>1549915897</v>
      </c>
      <c r="D16" s="98">
        <f>SUM(D5:D14)-'Bank Liabilities Analysis'!T22-'Bank Liabilities Analysis'!T25-D15</f>
        <v>821203301</v>
      </c>
      <c r="E16" s="98">
        <f>SUM(E5:E14)-'Bank Liabilities Analysis'!U22-E15</f>
        <v>728712596</v>
      </c>
      <c r="F16" s="483"/>
      <c r="G16" s="273"/>
      <c r="H16" s="248"/>
      <c r="I16" s="249"/>
      <c r="J16" s="250"/>
      <c r="K16" s="250"/>
      <c r="L16" s="251"/>
    </row>
    <row r="17" spans="1:16" ht="13.5" customHeight="1">
      <c r="A17" s="385"/>
      <c r="B17" s="386" t="s">
        <v>298</v>
      </c>
      <c r="C17" s="289"/>
      <c r="D17" s="289"/>
      <c r="E17" s="481"/>
      <c r="F17" s="483"/>
      <c r="G17" s="208"/>
      <c r="H17" s="207"/>
      <c r="I17" s="207"/>
      <c r="J17" s="178"/>
      <c r="K17" s="178"/>
      <c r="M17" s="180"/>
      <c r="N17" s="181"/>
    </row>
    <row r="18" spans="1:16" s="168" customFormat="1" ht="24.75" customHeight="1">
      <c r="A18" s="291" t="s">
        <v>73</v>
      </c>
      <c r="B18" s="292" t="s">
        <v>299</v>
      </c>
      <c r="C18" s="290">
        <f>IFERROR((+C19/C20),0)</f>
        <v>8.1311246978419557E-2</v>
      </c>
      <c r="D18" s="290">
        <f>IFERROR((+D19/D20),0)</f>
        <v>5.7540744589161051E-2</v>
      </c>
      <c r="E18" s="290">
        <f>IFERROR((+E19/E20),0)</f>
        <v>0.15213728701120058</v>
      </c>
      <c r="F18" s="483"/>
      <c r="G18" s="208"/>
      <c r="H18" s="207"/>
      <c r="I18" s="241"/>
      <c r="J18" s="178"/>
      <c r="K18" s="203"/>
      <c r="L18" s="179"/>
      <c r="O18" s="153"/>
      <c r="P18" s="153"/>
    </row>
    <row r="19" spans="1:16" s="168" customFormat="1" ht="15" customHeight="1">
      <c r="A19" s="293" t="s">
        <v>300</v>
      </c>
      <c r="B19" s="294" t="s">
        <v>301</v>
      </c>
      <c r="C19" s="482">
        <f>+C16</f>
        <v>1549915897</v>
      </c>
      <c r="D19" s="482">
        <f>+D16</f>
        <v>821203301</v>
      </c>
      <c r="E19" s="482">
        <f>+E16</f>
        <v>728712596</v>
      </c>
      <c r="F19" s="483"/>
      <c r="G19" s="208"/>
      <c r="H19" s="208"/>
      <c r="I19" s="209"/>
      <c r="J19" s="178"/>
      <c r="K19" s="178"/>
      <c r="L19" s="179"/>
      <c r="O19" s="153"/>
      <c r="P19" s="153"/>
    </row>
    <row r="20" spans="1:16" s="168" customFormat="1" ht="15" customHeight="1">
      <c r="A20" s="293" t="s">
        <v>302</v>
      </c>
      <c r="B20" s="294" t="s">
        <v>547</v>
      </c>
      <c r="C20" s="482">
        <f>Balance!C47-'Bank Liabilities Analysis'!S34</f>
        <v>19061519219</v>
      </c>
      <c r="D20" s="482">
        <f>Balance!D47-'Bank Liabilities Analysis'!T34</f>
        <v>14271683602</v>
      </c>
      <c r="E20" s="482">
        <f>Balance!E47-'Bank Liabilities Analysis'!U34</f>
        <v>4789835617</v>
      </c>
      <c r="F20" s="483"/>
      <c r="G20" s="208"/>
      <c r="H20" s="207"/>
      <c r="I20" s="209"/>
      <c r="J20" s="178"/>
      <c r="K20" s="178"/>
      <c r="L20" s="179"/>
      <c r="O20" s="153"/>
      <c r="P20" s="153"/>
    </row>
    <row r="21" spans="1:16" s="168" customFormat="1" ht="24.75" customHeight="1">
      <c r="A21" s="291" t="s">
        <v>303</v>
      </c>
      <c r="B21" s="292" t="s">
        <v>304</v>
      </c>
      <c r="C21" s="290">
        <f>IFERROR((+C22/C23),0)</f>
        <v>0.21856238675577505</v>
      </c>
      <c r="D21" s="290">
        <f>IFERROR((+D22/D23),0)</f>
        <v>0.1707875415904857</v>
      </c>
      <c r="E21" s="290">
        <f>IFERROR((+E22/E23),0)</f>
        <v>0.31917971926945665</v>
      </c>
      <c r="F21" s="483"/>
      <c r="G21" s="208"/>
      <c r="H21" s="207"/>
      <c r="I21" s="241"/>
      <c r="J21" s="178"/>
      <c r="K21" s="203"/>
      <c r="L21" s="179"/>
      <c r="O21" s="153"/>
      <c r="P21" s="153"/>
    </row>
    <row r="22" spans="1:16" s="168" customFormat="1" ht="15" customHeight="1">
      <c r="A22" s="293" t="s">
        <v>305</v>
      </c>
      <c r="B22" s="294" t="s">
        <v>301</v>
      </c>
      <c r="C22" s="482">
        <f>+C16</f>
        <v>1549915897</v>
      </c>
      <c r="D22" s="482">
        <f>+D16</f>
        <v>821203301</v>
      </c>
      <c r="E22" s="482">
        <f>+E16</f>
        <v>728712596</v>
      </c>
      <c r="F22" s="483"/>
      <c r="G22" s="208"/>
      <c r="H22" s="208"/>
      <c r="I22" s="209"/>
      <c r="J22" s="178"/>
      <c r="K22" s="178"/>
      <c r="L22" s="179"/>
      <c r="O22" s="153"/>
      <c r="P22" s="153"/>
    </row>
    <row r="23" spans="1:16" s="168" customFormat="1" ht="15" customHeight="1">
      <c r="A23" s="293" t="s">
        <v>306</v>
      </c>
      <c r="B23" s="294" t="s">
        <v>548</v>
      </c>
      <c r="C23" s="482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7091411839</v>
      </c>
      <c r="D23" s="482">
        <f>+C23-E23</f>
        <v>4808332583</v>
      </c>
      <c r="E23" s="482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2283079256</v>
      </c>
      <c r="F23" s="483"/>
      <c r="G23" s="208"/>
      <c r="H23" s="207"/>
      <c r="I23" s="209"/>
      <c r="J23" s="178"/>
      <c r="K23" s="178"/>
      <c r="L23" s="179"/>
      <c r="O23" s="153"/>
      <c r="P23" s="153"/>
    </row>
    <row r="24" spans="1:16" s="168" customFormat="1" ht="28.5" customHeight="1">
      <c r="A24" s="291" t="s">
        <v>307</v>
      </c>
      <c r="B24" s="292" t="s">
        <v>308</v>
      </c>
      <c r="C24" s="212">
        <f>IFERROR((+C25/C26),0)</f>
        <v>1.3165602389449131</v>
      </c>
      <c r="D24" s="290">
        <f>IFERROR((+D25/D26),0)</f>
        <v>1.0154409112305951</v>
      </c>
      <c r="E24" s="212">
        <f>IFERROR((+E25/E26),0)</f>
        <v>1.9773468714170854</v>
      </c>
      <c r="F24" s="483"/>
      <c r="G24" s="208"/>
      <c r="H24" s="207"/>
      <c r="I24" s="209"/>
      <c r="J24" s="178"/>
      <c r="K24" s="178"/>
      <c r="L24" s="179"/>
      <c r="O24" s="153"/>
      <c r="P24" s="153"/>
    </row>
    <row r="25" spans="1:16" s="168" customFormat="1" ht="19.5" customHeight="1">
      <c r="A25" s="293" t="s">
        <v>309</v>
      </c>
      <c r="B25" s="294" t="s">
        <v>301</v>
      </c>
      <c r="C25" s="165">
        <f>+C16</f>
        <v>1549915897</v>
      </c>
      <c r="D25" s="165">
        <f>+D16</f>
        <v>821203301</v>
      </c>
      <c r="E25" s="165">
        <f>+E16</f>
        <v>728712596</v>
      </c>
      <c r="F25" s="483"/>
      <c r="G25" s="274"/>
      <c r="H25" s="185"/>
      <c r="I25" s="186"/>
      <c r="J25" s="178"/>
      <c r="K25" s="178"/>
      <c r="L25" s="179"/>
      <c r="O25" s="153"/>
      <c r="P25" s="153"/>
    </row>
    <row r="26" spans="1:16" s="168" customFormat="1" ht="18.75" customHeight="1">
      <c r="A26" s="293" t="s">
        <v>310</v>
      </c>
      <c r="B26" s="294" t="s">
        <v>311</v>
      </c>
      <c r="C26" s="165">
        <f>+'Bank Assets Analysis'!X62</f>
        <v>1177246472.3999999</v>
      </c>
      <c r="D26" s="165">
        <f>+'Bank Assets Analysis (нац)'!P58</f>
        <v>808715989.19999981</v>
      </c>
      <c r="E26" s="165">
        <f>+'Bank Assets Analysis'!Z62</f>
        <v>368530482.20000005</v>
      </c>
      <c r="F26" s="483"/>
      <c r="G26" s="274"/>
      <c r="H26" s="185"/>
      <c r="I26" s="186"/>
      <c r="J26" s="178"/>
      <c r="K26" s="178"/>
      <c r="L26" s="179"/>
      <c r="O26" s="153"/>
      <c r="P26" s="153"/>
    </row>
    <row r="27" spans="1:16" s="168" customFormat="1" ht="15" customHeight="1">
      <c r="A27" s="293"/>
      <c r="B27" s="294" t="s">
        <v>312</v>
      </c>
      <c r="C27" s="172">
        <f>+'Bank Assets Analysis'!X64</f>
        <v>1846412474.8999999</v>
      </c>
      <c r="D27" s="295">
        <f>+'Bank Assets Analysis (нац)'!P60</f>
        <v>1273564981.6999998</v>
      </c>
      <c r="E27" s="172">
        <f>+'Bank Assets Analysis'!Z64</f>
        <v>572847492.20000005</v>
      </c>
      <c r="F27" s="483"/>
      <c r="G27" s="274"/>
      <c r="H27" s="185"/>
      <c r="I27" s="186"/>
      <c r="J27" s="178"/>
      <c r="K27" s="178"/>
      <c r="L27" s="179"/>
      <c r="O27" s="153"/>
      <c r="P27" s="153"/>
    </row>
    <row r="28" spans="1:16" s="168" customFormat="1" ht="15" customHeight="1">
      <c r="A28" s="293"/>
      <c r="B28" s="294" t="s">
        <v>313</v>
      </c>
      <c r="C28" s="172">
        <f>+'Bank Assets Analysis'!X67</f>
        <v>669166002.5</v>
      </c>
      <c r="D28" s="295">
        <f>+'Bank Assets Analysis (нац)'!P62</f>
        <v>464848992.5</v>
      </c>
      <c r="E28" s="172">
        <f>+'Bank Assets Analysis'!Z67</f>
        <v>204317010</v>
      </c>
      <c r="F28" s="483"/>
      <c r="G28" s="274"/>
      <c r="H28" s="185"/>
      <c r="I28" s="186"/>
      <c r="J28" s="178"/>
      <c r="K28" s="178"/>
      <c r="L28" s="179"/>
      <c r="O28" s="153"/>
      <c r="P28" s="153"/>
    </row>
    <row r="29" spans="1:16" ht="15" customHeight="1">
      <c r="A29" s="291" t="s">
        <v>314</v>
      </c>
      <c r="B29" s="296" t="s">
        <v>315</v>
      </c>
      <c r="C29" s="107">
        <f>IFERROR((C30/C35),0)</f>
        <v>1.0834579430265152</v>
      </c>
      <c r="D29" s="297">
        <f>IFERROR((D30/D35),0)</f>
        <v>1.1187238616732407</v>
      </c>
      <c r="E29" s="107">
        <f>IFERROR((E30/E35),0)</f>
        <v>0.9719413157360105</v>
      </c>
      <c r="F29" s="483"/>
      <c r="I29" s="195"/>
      <c r="J29" s="178"/>
      <c r="K29" s="178"/>
    </row>
    <row r="30" spans="1:16" ht="15" customHeight="1">
      <c r="A30" s="291" t="s">
        <v>316</v>
      </c>
      <c r="B30" s="296" t="s">
        <v>317</v>
      </c>
      <c r="C30" s="102">
        <f>SUM(C31:C34)</f>
        <v>14097530931.700001</v>
      </c>
      <c r="D30" s="182">
        <f>SUM(D31:D34)</f>
        <v>11253443409.900002</v>
      </c>
      <c r="E30" s="102">
        <f>SUM(E31:E34)</f>
        <v>2844087521.8000002</v>
      </c>
      <c r="F30" s="483"/>
      <c r="I30" s="195"/>
      <c r="J30" s="178"/>
      <c r="K30" s="178"/>
    </row>
    <row r="31" spans="1:16" ht="15" customHeight="1">
      <c r="A31" s="293" t="s">
        <v>318</v>
      </c>
      <c r="B31" s="387" t="s">
        <v>319</v>
      </c>
      <c r="C31" s="103">
        <f>Balance!C77</f>
        <v>3933608006</v>
      </c>
      <c r="D31" s="103">
        <f>Balance!D77</f>
        <v>3933608006</v>
      </c>
      <c r="E31" s="103">
        <f>Balance!E77</f>
        <v>0</v>
      </c>
      <c r="F31" s="483"/>
      <c r="I31" s="195"/>
      <c r="J31" s="178"/>
      <c r="K31" s="178"/>
    </row>
    <row r="32" spans="1:16" ht="15" customHeight="1">
      <c r="A32" s="298" t="s">
        <v>320</v>
      </c>
      <c r="B32" s="299" t="s">
        <v>493</v>
      </c>
      <c r="C32" s="103">
        <f>'Bank Liabilities Analysis'!O40+'Bank Liabilities Analysis'!Q40</f>
        <v>8036499374</v>
      </c>
      <c r="D32" s="103">
        <f>+'Bank Liabilities Analysis (нац)'!I41+'Bank Liabilities Analysis (нац)'!J41</f>
        <v>5877335629</v>
      </c>
      <c r="E32" s="103">
        <f>'Bank Liabilities Analysis'!P40+'Bank Liabilities Analysis'!R40</f>
        <v>2159163745</v>
      </c>
      <c r="F32" s="483"/>
      <c r="I32" s="195"/>
      <c r="J32" s="178"/>
      <c r="K32" s="178"/>
    </row>
    <row r="33" spans="1:30" ht="15" customHeight="1">
      <c r="A33" s="298" t="s">
        <v>321</v>
      </c>
      <c r="B33" s="299" t="s">
        <v>322</v>
      </c>
      <c r="C33" s="103">
        <f>+('Bank Liabilities Analysis'!C40)*0.3</f>
        <v>304159797</v>
      </c>
      <c r="D33" s="103">
        <f>+('Bank Liabilities Analysis (нац)'!C41)*0.3</f>
        <v>286559521.19999999</v>
      </c>
      <c r="E33" s="103">
        <f>+('Bank Liabilities Analysis'!D40)*0.3</f>
        <v>17600275.800000001</v>
      </c>
      <c r="F33" s="483"/>
      <c r="I33" s="195"/>
      <c r="J33" s="178"/>
      <c r="K33" s="178"/>
    </row>
    <row r="34" spans="1:30" ht="15" customHeight="1">
      <c r="A34" s="298" t="s">
        <v>323</v>
      </c>
      <c r="B34" s="299" t="s">
        <v>494</v>
      </c>
      <c r="C34" s="103">
        <f>+('Bank Liabilities Analysis'!E40+'Bank Liabilities Analysis'!G40+'Bank Liabilities Analysis'!I40+'Bank Liabilities Analysis'!K40+'Bank Liabilities Analysis'!M40)*0.3</f>
        <v>1823263754.7</v>
      </c>
      <c r="D34" s="103">
        <f>+('Bank Liabilities Analysis (нац)'!D41+'Bank Liabilities Analysis (нац)'!E41+'Bank Liabilities Analysis (нац)'!F41+'Bank Liabilities Analysis (нац)'!G41+'Bank Liabilities Analysis (нац)'!H41)*0.3</f>
        <v>1155940253.7</v>
      </c>
      <c r="E34" s="103">
        <f>+('Bank Liabilities Analysis'!F40+'Bank Liabilities Analysis'!H40+'Bank Liabilities Analysis'!J40+'Bank Liabilities Analysis'!L40+'Bank Liabilities Analysis'!N40)*0.3</f>
        <v>667323501</v>
      </c>
      <c r="F34" s="483"/>
      <c r="I34" s="195"/>
      <c r="J34" s="178"/>
      <c r="K34" s="178"/>
    </row>
    <row r="35" spans="1:30" ht="15" customHeight="1">
      <c r="A35" s="291" t="s">
        <v>324</v>
      </c>
      <c r="B35" s="296" t="s">
        <v>495</v>
      </c>
      <c r="C35" s="104">
        <f>SUM(C36:C41)</f>
        <v>13011608823.799999</v>
      </c>
      <c r="D35" s="300">
        <f>SUM(D36:D41)</f>
        <v>10059178851.4</v>
      </c>
      <c r="E35" s="104">
        <f>SUM(E36:E41)</f>
        <v>2926192637.0999999</v>
      </c>
      <c r="F35" s="483"/>
      <c r="I35" s="195"/>
      <c r="J35" s="178"/>
      <c r="K35" s="178"/>
    </row>
    <row r="36" spans="1:30" ht="15" customHeight="1">
      <c r="A36" s="293" t="s">
        <v>325</v>
      </c>
      <c r="B36" s="299" t="s">
        <v>326</v>
      </c>
      <c r="C36" s="507">
        <f>+'Bank Assets Analysis'!O44-'Bank Assets Analysis'!O36+'Bank Assets Analysis'!Q44-'Bank Assets Analysis'!Q36</f>
        <v>8409147815</v>
      </c>
      <c r="D36" s="507">
        <f>+C36-E36</f>
        <v>6456430779</v>
      </c>
      <c r="E36" s="507">
        <f>+'Bank Assets Analysis'!P44-'Bank Assets Analysis'!P39-'Bank Assets Analysis'!P36+'Bank Assets Analysis'!R44-'Bank Assets Analysis'!R39-'Bank Assets Analysis'!R36</f>
        <v>1952717036</v>
      </c>
      <c r="F36" s="483"/>
      <c r="I36" s="195"/>
      <c r="J36" s="178"/>
      <c r="K36" s="178"/>
    </row>
    <row r="37" spans="1:30" ht="15" customHeight="1">
      <c r="A37" s="298" t="s">
        <v>327</v>
      </c>
      <c r="B37" s="301" t="s">
        <v>213</v>
      </c>
      <c r="C37" s="103">
        <f>+'Bank Assets Analysis'!S36</f>
        <v>932880053</v>
      </c>
      <c r="D37" s="103">
        <f>+'Bank Assets Analysis'!T36</f>
        <v>932880053</v>
      </c>
      <c r="E37" s="103">
        <f>+'Bank Assets Analysis'!U36</f>
        <v>0</v>
      </c>
      <c r="F37" s="483"/>
      <c r="I37" s="195"/>
      <c r="J37" s="178"/>
      <c r="K37" s="178"/>
    </row>
    <row r="38" spans="1:30" ht="26.25" customHeight="1">
      <c r="A38" s="298" t="s">
        <v>328</v>
      </c>
      <c r="B38" s="301" t="s">
        <v>496</v>
      </c>
      <c r="C38" s="103">
        <f>+'Bank Assets Analysis'!C27+'Bank Assets Analysis'!C28+'Bank Assets Analysis'!C29+'Bank Assets Analysis'!C31</f>
        <v>1109860481</v>
      </c>
      <c r="D38" s="103">
        <f>+'Bank Assets Analysis (нац)'!C27+'Bank Assets Analysis (нац)'!C28+'Bank Assets Analysis (нац)'!C29+'Bank Assets Analysis (нац)'!C31</f>
        <v>854851619</v>
      </c>
      <c r="E38" s="103">
        <f>+'Bank Assets Analysis'!D27+'Bank Assets Analysis'!D28+'Bank Assets Analysis'!D29+'Bank Assets Analysis'!D31</f>
        <v>255008862</v>
      </c>
      <c r="F38" s="483"/>
      <c r="I38" s="195"/>
      <c r="J38" s="178"/>
      <c r="K38" s="178"/>
    </row>
    <row r="39" spans="1:30" ht="26.25" customHeight="1">
      <c r="A39" s="298" t="s">
        <v>329</v>
      </c>
      <c r="B39" s="301" t="s">
        <v>330</v>
      </c>
      <c r="C39" s="302">
        <f>+D39+E39</f>
        <v>0</v>
      </c>
      <c r="D39" s="303">
        <v>0</v>
      </c>
      <c r="E39" s="304">
        <v>0</v>
      </c>
      <c r="F39" s="483"/>
      <c r="I39" s="195"/>
      <c r="J39" s="178"/>
      <c r="K39" s="178"/>
    </row>
    <row r="40" spans="1:30" ht="38.25">
      <c r="A40" s="293" t="s">
        <v>331</v>
      </c>
      <c r="B40" s="301" t="s">
        <v>332</v>
      </c>
      <c r="C40" s="103">
        <f>(+'Bank Assets Analysis'!S44-'Bank Assets Analysis'!O44-'Bank Assets Analysis'!Q44-'Liquidity Analysis'!C58)*0.3</f>
        <v>2434612831.7999997</v>
      </c>
      <c r="D40" s="103">
        <f>('Bank Assets Analysis (нац)'!K44-'Bank Assets Analysis (нац)'!I44-'Bank Assets Analysis (нац)'!J44-'Liquidity Analysis'!D58)*0.3</f>
        <v>1775861648.3999999</v>
      </c>
      <c r="E40" s="103">
        <f>('Bank Assets Analysis'!U44-'Bank Assets Analysis'!P44-'Bank Assets Analysis'!R44-'Liquidity Analysis'!E58)*0.3</f>
        <v>632513849.10000002</v>
      </c>
      <c r="F40" s="483"/>
      <c r="H40" s="196"/>
      <c r="I40" s="195"/>
      <c r="J40" s="178"/>
      <c r="K40" s="178"/>
    </row>
    <row r="41" spans="1:30" ht="15" customHeight="1">
      <c r="A41" s="305" t="s">
        <v>333</v>
      </c>
      <c r="B41" s="388" t="s">
        <v>497</v>
      </c>
      <c r="C41" s="103">
        <f>+ROUND(SUM(Commitments!C4-Commitments!C5+Commitments!C7-Commitments!C8+Commitments!C10-'Bank Liabilities Analysis'!S18)*15%,0)</f>
        <v>125107643</v>
      </c>
      <c r="D41" s="103">
        <f>+ROUND(SUM(Commitments!D4-Commitments!D5+Commitments!D7-Commitments!D8+Commitments!D10-'Bank Liabilities Analysis'!T18)*15%,0)</f>
        <v>39154752</v>
      </c>
      <c r="E41" s="103">
        <f>+ROUND(SUM(Commitments!E4-Commitments!E5+Commitments!E7-Commitments!E8+Commitments!E10-'Bank Liabilities Analysis'!U18)*15%,0)</f>
        <v>85952890</v>
      </c>
      <c r="F41" s="483"/>
      <c r="G41" s="196"/>
      <c r="H41" s="196"/>
      <c r="I41" s="195"/>
      <c r="J41" s="178"/>
      <c r="K41" s="178"/>
    </row>
    <row r="42" spans="1:30" ht="17.25" customHeight="1">
      <c r="H42" s="196"/>
      <c r="I42" s="195"/>
      <c r="J42" s="178"/>
      <c r="K42" s="178"/>
    </row>
    <row r="43" spans="1:30" s="26" customFormat="1" ht="15" customHeight="1">
      <c r="A43" s="25"/>
      <c r="B43" s="256" t="s">
        <v>540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26" customFormat="1" ht="11.25" customHeight="1">
      <c r="A44" s="25"/>
      <c r="B44" s="256"/>
      <c r="C44" s="25"/>
      <c r="D44" s="25"/>
      <c r="E44" s="25"/>
      <c r="F44" s="183"/>
      <c r="G44" s="183"/>
      <c r="H44" s="183"/>
      <c r="I44" s="183"/>
      <c r="J44" s="183"/>
      <c r="K44" s="183"/>
      <c r="L44" s="183"/>
      <c r="M44" s="183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26" customFormat="1" ht="15" customHeight="1">
      <c r="A45" s="25"/>
      <c r="B45" s="256" t="s">
        <v>539</v>
      </c>
      <c r="C45" s="25"/>
      <c r="D45" s="25"/>
      <c r="E45" s="25"/>
      <c r="F45" s="183"/>
      <c r="G45" s="183"/>
      <c r="H45" s="183"/>
      <c r="I45" s="183"/>
      <c r="J45" s="183"/>
      <c r="K45" s="183"/>
      <c r="L45" s="183"/>
      <c r="M45" s="18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>
      <c r="B46" s="5"/>
      <c r="I46" s="195"/>
      <c r="J46" s="178"/>
      <c r="K46" s="178"/>
    </row>
    <row r="47" spans="1:30">
      <c r="B47" s="5"/>
      <c r="I47" s="195"/>
      <c r="J47" s="178"/>
      <c r="K47" s="178"/>
    </row>
    <row r="48" spans="1:30">
      <c r="B48" s="5"/>
      <c r="I48" s="195"/>
      <c r="J48" s="178"/>
      <c r="K48" s="178"/>
    </row>
    <row r="49" spans="1:13" s="3" customFormat="1">
      <c r="A49" s="162"/>
      <c r="B49" s="307"/>
      <c r="C49" s="26"/>
      <c r="D49" s="306"/>
      <c r="E49" s="26"/>
      <c r="F49" s="194"/>
      <c r="G49" s="194"/>
      <c r="H49" s="194"/>
      <c r="I49" s="195"/>
      <c r="J49" s="178"/>
      <c r="K49" s="178"/>
      <c r="L49" s="179"/>
      <c r="M49" s="168"/>
    </row>
    <row r="50" spans="1:13" s="3" customFormat="1" ht="31.5">
      <c r="A50" s="112" t="s">
        <v>54</v>
      </c>
      <c r="B50" s="112" t="s">
        <v>485</v>
      </c>
      <c r="C50" s="112" t="s">
        <v>176</v>
      </c>
      <c r="D50" s="112" t="s">
        <v>177</v>
      </c>
      <c r="E50" s="112" t="s">
        <v>282</v>
      </c>
      <c r="F50" s="194"/>
      <c r="G50" s="201"/>
      <c r="H50" s="201"/>
      <c r="I50" s="199"/>
      <c r="J50" s="199"/>
      <c r="K50" s="178"/>
      <c r="L50" s="179"/>
      <c r="M50" s="168"/>
    </row>
    <row r="51" spans="1:13" s="3" customFormat="1" ht="25.5">
      <c r="A51" s="389" t="s">
        <v>118</v>
      </c>
      <c r="B51" s="390" t="s">
        <v>478</v>
      </c>
      <c r="C51" s="202">
        <f>+'Bank Assets Analysis'!S6+'Investment Securities'!B39</f>
        <v>722231958</v>
      </c>
      <c r="D51" s="202">
        <f>+'Bank Assets Analysis'!T6+'Investment Securities'!C39</f>
        <v>551095514</v>
      </c>
      <c r="E51" s="202">
        <f>+'Bank Assets Analysis'!U6+'Investment Securities'!D39</f>
        <v>171136444</v>
      </c>
      <c r="F51" s="194"/>
      <c r="G51" s="204"/>
      <c r="H51" s="204"/>
      <c r="I51" s="194"/>
      <c r="J51" s="194"/>
      <c r="K51" s="194"/>
      <c r="L51" s="194"/>
      <c r="M51" s="194"/>
    </row>
    <row r="52" spans="1:13" s="3" customFormat="1">
      <c r="A52" s="391" t="s">
        <v>119</v>
      </c>
      <c r="B52" s="390" t="s">
        <v>179</v>
      </c>
      <c r="C52" s="202">
        <f>+'Bank Assets Analysis'!S7+'Bank Assets Analysis'!S8</f>
        <v>307687193</v>
      </c>
      <c r="D52" s="202">
        <f>+'Bank Assets Analysis'!T7+'Bank Assets Analysis'!T8</f>
        <v>307687193</v>
      </c>
      <c r="E52" s="202">
        <f>+'Bank Assets Analysis'!U7+'Bank Assets Analysis'!U8</f>
        <v>0</v>
      </c>
      <c r="F52" s="194"/>
      <c r="G52" s="204"/>
      <c r="H52" s="204"/>
      <c r="I52" s="194"/>
      <c r="J52" s="194"/>
      <c r="K52" s="194"/>
      <c r="L52" s="194"/>
      <c r="M52" s="194"/>
    </row>
    <row r="53" spans="1:13" s="3" customFormat="1" ht="25.5">
      <c r="A53" s="391" t="s">
        <v>129</v>
      </c>
      <c r="B53" s="390" t="s">
        <v>479</v>
      </c>
      <c r="C53" s="202">
        <f>'Bank Assets Analysis'!C10+'Bank Assets Analysis'!C11+'Bank Assets Analysis'!C12+'Bank Assets Analysis'!C15+'Bank Assets Analysis'!C16+'Bank Assets Analysis'!E16+'Bank Assets Analysis'!G16</f>
        <v>564196094</v>
      </c>
      <c r="D53" s="202">
        <f>+C53-E53</f>
        <v>6593454</v>
      </c>
      <c r="E53" s="202">
        <f>'Bank Assets Analysis'!D10+'Bank Assets Analysis'!D11+'Bank Assets Analysis'!D15+'Bank Assets Analysis'!D16+'Bank Assets Analysis'!F16+'Bank Assets Analysis'!H16</f>
        <v>557602640</v>
      </c>
      <c r="F53" s="194"/>
      <c r="G53" s="204"/>
      <c r="H53" s="204"/>
      <c r="I53" s="194"/>
      <c r="J53" s="194"/>
      <c r="K53" s="194"/>
      <c r="L53" s="194"/>
      <c r="M53" s="194"/>
    </row>
    <row r="54" spans="1:13" s="3" customFormat="1" ht="25.5">
      <c r="A54" s="391" t="s">
        <v>131</v>
      </c>
      <c r="B54" s="390" t="s">
        <v>480</v>
      </c>
      <c r="C54" s="202">
        <f>IF(F54&gt;0,F54,0)</f>
        <v>0</v>
      </c>
      <c r="D54" s="202">
        <f>IF(G54&gt;0,G54,0)</f>
        <v>87457781</v>
      </c>
      <c r="E54" s="202">
        <f>IF(H54&gt;0,H54,0)</f>
        <v>0</v>
      </c>
      <c r="F54" s="205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-111216956</v>
      </c>
      <c r="G54" s="205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87457781</v>
      </c>
      <c r="H54" s="205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-198674737</v>
      </c>
      <c r="I54" s="194"/>
      <c r="J54" s="194"/>
      <c r="K54" s="194"/>
      <c r="L54" s="194"/>
      <c r="M54" s="194"/>
    </row>
    <row r="55" spans="1:13" s="3" customFormat="1" ht="38.25">
      <c r="A55" s="391" t="s">
        <v>120</v>
      </c>
      <c r="B55" s="390" t="s">
        <v>481</v>
      </c>
      <c r="C55" s="202">
        <f>+'Investment Securities'!B5+'Investment Securities'!B6+'Investment Securities'!B19+'Investment Securities'!B20+'Investment Securities'!B21</f>
        <v>10000000</v>
      </c>
      <c r="D55" s="202">
        <f>+'Investment Securities'!C5+'Investment Securities'!C6+'Investment Securities'!C19+'Investment Securities'!C20+'Investment Securities'!C21</f>
        <v>10000000</v>
      </c>
      <c r="E55" s="202">
        <f>+'Investment Securities'!D5+'Investment Securities'!D6+'Investment Securities'!D19+'Investment Securities'!D20+'Investment Securities'!D21</f>
        <v>0</v>
      </c>
      <c r="F55" s="194"/>
      <c r="G55" s="204"/>
      <c r="H55" s="204"/>
      <c r="I55" s="194"/>
      <c r="J55" s="194"/>
      <c r="K55" s="194"/>
      <c r="L55" s="194"/>
      <c r="M55" s="194"/>
    </row>
    <row r="56" spans="1:13" s="3" customFormat="1" ht="25.5">
      <c r="A56" s="389" t="s">
        <v>127</v>
      </c>
      <c r="B56" s="390" t="s">
        <v>482</v>
      </c>
      <c r="C56" s="238"/>
      <c r="D56" s="238"/>
      <c r="E56" s="238"/>
      <c r="F56" s="194"/>
      <c r="G56" s="204"/>
      <c r="H56" s="204"/>
      <c r="I56" s="194"/>
      <c r="J56" s="194"/>
      <c r="K56" s="194"/>
      <c r="L56" s="194"/>
      <c r="M56" s="194"/>
    </row>
    <row r="57" spans="1:13" s="3" customFormat="1">
      <c r="A57" s="389" t="s">
        <v>130</v>
      </c>
      <c r="B57" s="390" t="s">
        <v>483</v>
      </c>
      <c r="C57" s="238"/>
      <c r="D57" s="238"/>
      <c r="E57" s="238"/>
      <c r="F57" s="194"/>
      <c r="G57" s="204"/>
      <c r="H57" s="204"/>
      <c r="I57" s="194"/>
      <c r="J57" s="194"/>
      <c r="K57" s="194"/>
      <c r="L57" s="194"/>
      <c r="M57" s="194"/>
    </row>
    <row r="58" spans="1:13" s="3" customFormat="1">
      <c r="A58" s="210" t="s">
        <v>128</v>
      </c>
      <c r="B58" s="392" t="s">
        <v>484</v>
      </c>
      <c r="C58" s="182">
        <f>SUM(C51:C57)</f>
        <v>1604115245</v>
      </c>
      <c r="D58" s="182">
        <f>SUM(D51:D57)</f>
        <v>962833942</v>
      </c>
      <c r="E58" s="182">
        <f>SUM(E51:E57)</f>
        <v>728739084</v>
      </c>
      <c r="F58" s="194"/>
      <c r="G58" s="204"/>
      <c r="H58" s="204"/>
      <c r="I58" s="194"/>
      <c r="J58" s="194"/>
      <c r="K58" s="194"/>
      <c r="L58" s="194"/>
      <c r="M58" s="194"/>
    </row>
    <row r="59" spans="1:13" s="3" customFormat="1" ht="18.75">
      <c r="A59" s="162"/>
      <c r="B59" s="200"/>
      <c r="C59" s="201"/>
      <c r="D59" s="199"/>
      <c r="E59" s="199"/>
      <c r="F59" s="201"/>
      <c r="G59" s="201"/>
      <c r="H59" s="201"/>
      <c r="I59" s="369"/>
      <c r="J59" s="369"/>
      <c r="K59" s="178"/>
      <c r="L59" s="179"/>
      <c r="M59" s="168"/>
    </row>
    <row r="60" spans="1:13" s="3" customFormat="1">
      <c r="A60" s="162"/>
      <c r="B60" s="162"/>
      <c r="C60" s="26"/>
      <c r="D60" s="306"/>
      <c r="E60" s="26"/>
      <c r="F60" s="194"/>
      <c r="G60" s="194"/>
      <c r="H60" s="194"/>
      <c r="I60" s="370"/>
      <c r="J60" s="371"/>
      <c r="K60" s="178"/>
      <c r="L60" s="179"/>
      <c r="M60" s="168"/>
    </row>
    <row r="61" spans="1:13" s="3" customFormat="1">
      <c r="A61" s="162"/>
      <c r="B61" s="162"/>
      <c r="C61" s="26"/>
      <c r="D61" s="306"/>
      <c r="E61" s="26"/>
      <c r="F61" s="194"/>
      <c r="G61" s="194"/>
      <c r="H61" s="194"/>
      <c r="I61" s="370"/>
      <c r="J61" s="371"/>
      <c r="K61" s="178"/>
      <c r="L61" s="179"/>
      <c r="M61" s="168"/>
    </row>
    <row r="62" spans="1:13" s="3" customFormat="1">
      <c r="A62" s="162"/>
      <c r="B62" s="162"/>
      <c r="C62" s="26"/>
      <c r="D62" s="306"/>
      <c r="E62" s="26"/>
      <c r="F62" s="194"/>
      <c r="G62" s="194"/>
      <c r="H62" s="194"/>
      <c r="I62" s="195"/>
      <c r="J62" s="178"/>
      <c r="K62" s="178"/>
      <c r="L62" s="179"/>
      <c r="M62" s="168"/>
    </row>
    <row r="63" spans="1:13" s="3" customFormat="1">
      <c r="A63" s="162"/>
      <c r="B63" s="162"/>
      <c r="C63" s="26"/>
      <c r="D63" s="306"/>
      <c r="E63" s="26"/>
      <c r="F63" s="194"/>
      <c r="G63" s="194"/>
      <c r="H63" s="194"/>
      <c r="I63" s="195"/>
      <c r="J63" s="178"/>
      <c r="K63" s="178"/>
      <c r="L63" s="179"/>
      <c r="M63" s="168"/>
    </row>
    <row r="64" spans="1:13" s="3" customFormat="1">
      <c r="A64" s="162"/>
      <c r="B64" s="162"/>
      <c r="C64" s="26"/>
      <c r="D64" s="306"/>
      <c r="E64" s="26"/>
      <c r="F64" s="194"/>
      <c r="G64" s="194"/>
      <c r="H64" s="194"/>
      <c r="I64" s="195"/>
      <c r="J64" s="178"/>
      <c r="K64" s="178"/>
      <c r="L64" s="179"/>
      <c r="M64" s="168"/>
    </row>
    <row r="65" spans="9:11" s="3" customFormat="1">
      <c r="I65" s="195"/>
      <c r="J65" s="178"/>
      <c r="K65" s="178"/>
    </row>
    <row r="66" spans="9:11" s="3" customFormat="1">
      <c r="I66" s="195"/>
      <c r="J66" s="178"/>
      <c r="K66" s="178"/>
    </row>
    <row r="67" spans="9:11" s="3" customFormat="1">
      <c r="I67" s="195"/>
      <c r="J67" s="178"/>
      <c r="K67" s="178"/>
    </row>
    <row r="68" spans="9:11" s="3" customFormat="1">
      <c r="I68" s="195"/>
      <c r="J68" s="178"/>
      <c r="K68" s="178"/>
    </row>
    <row r="69" spans="9:11" s="3" customFormat="1">
      <c r="I69" s="195"/>
      <c r="J69" s="178"/>
      <c r="K69" s="178"/>
    </row>
    <row r="70" spans="9:11" s="3" customFormat="1">
      <c r="I70" s="195"/>
      <c r="J70" s="178"/>
      <c r="K70" s="178"/>
    </row>
    <row r="71" spans="9:11" s="3" customFormat="1">
      <c r="I71" s="195"/>
      <c r="J71" s="178"/>
      <c r="K71" s="178"/>
    </row>
    <row r="72" spans="9:11" s="3" customFormat="1">
      <c r="I72" s="195"/>
      <c r="J72" s="178"/>
      <c r="K72" s="178"/>
    </row>
    <row r="73" spans="9:11" s="3" customFormat="1">
      <c r="I73" s="195"/>
      <c r="J73" s="178"/>
      <c r="K73" s="178"/>
    </row>
    <row r="74" spans="9:11" s="3" customFormat="1">
      <c r="I74" s="195"/>
      <c r="J74" s="178"/>
      <c r="K74" s="178"/>
    </row>
    <row r="75" spans="9:11" s="3" customFormat="1">
      <c r="I75" s="195"/>
      <c r="J75" s="178"/>
      <c r="K75" s="178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19:E28">
    <cfRule type="cellIs" dxfId="456" priority="14" stopIfTrue="1" operator="notBetween">
      <formula>TOTASS/4</formula>
      <formula>TOTASS*4</formula>
    </cfRule>
  </conditionalFormatting>
  <conditionalFormatting sqref="C38">
    <cfRule type="cellIs" dxfId="455" priority="7" operator="notEqual">
      <formula>$D$38+$E$38</formula>
    </cfRule>
  </conditionalFormatting>
  <conditionalFormatting sqref="C39">
    <cfRule type="cellIs" dxfId="454" priority="6" operator="notEqual">
      <formula>$D$39+$E$39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>
      <formula1>-1E+22</formula1>
      <formula2>1E+22</formula2>
    </dataValidation>
    <dataValidation allowBlank="1" showErrorMessage="1" prompt="Введите самостоятельно рассчитанный коэффициент" sqref="C3:E3 A50:E50"/>
    <dataValidation type="whole" operator="greaterThanOrEqual" allowBlank="1" showErrorMessage="1" error="Введите как целое число." sqref="C55:E57">
      <formula1>0</formula1>
    </dataValidation>
    <dataValidation allowBlank="1" showErrorMessage="1" sqref="C18:E41"/>
    <dataValidation type="date" operator="greaterThan" allowBlank="1" showInputMessage="1" showErrorMessage="1" prompt="Введите дату в формате ЧЧ.ММ.ГГГГ" sqref="D2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F70"/>
  <sheetViews>
    <sheetView view="pageBreakPreview" zoomScale="70" zoomScaleNormal="68" zoomScaleSheetLayoutView="70" workbookViewId="0">
      <pane xSplit="2" ySplit="5" topLeftCell="C34" activePane="bottomRight" state="frozen"/>
      <selection activeCell="G38" sqref="G38"/>
      <selection pane="topRight" activeCell="G38" sqref="G38"/>
      <selection pane="bottomLeft" activeCell="G38" sqref="G38"/>
      <selection pane="bottomRight" activeCell="C43" sqref="C43"/>
    </sheetView>
  </sheetViews>
  <sheetFormatPr defaultRowHeight="12.75"/>
  <cols>
    <col min="1" max="1" width="6.5703125" style="216" customWidth="1"/>
    <col min="2" max="2" width="78.5703125" style="164" customWidth="1"/>
    <col min="3" max="18" width="15.85546875" style="167" customWidth="1"/>
    <col min="19" max="21" width="18.28515625" style="167" customWidth="1"/>
    <col min="22" max="22" width="9" style="170" customWidth="1"/>
    <col min="23" max="23" width="18.7109375" style="166" customWidth="1"/>
    <col min="24" max="24" width="20.42578125" style="164" customWidth="1"/>
    <col min="25" max="25" width="18.7109375" style="166" customWidth="1"/>
    <col min="26" max="26" width="18.7109375" style="164" customWidth="1"/>
    <col min="27" max="29" width="20.5703125" style="167" customWidth="1"/>
    <col min="30" max="32" width="10.85546875" style="167" customWidth="1"/>
    <col min="33" max="16384" width="9.140625" style="167"/>
  </cols>
  <sheetData>
    <row r="1" spans="1:26" s="120" customFormat="1" ht="32.25" customHeight="1">
      <c r="A1" s="308" t="s">
        <v>334</v>
      </c>
      <c r="B1" s="308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532" t="s">
        <v>335</v>
      </c>
      <c r="Y1" s="532"/>
      <c r="Z1" s="532"/>
    </row>
    <row r="2" spans="1:26" ht="15.75">
      <c r="A2" s="215"/>
      <c r="B2" s="214" t="str">
        <f>Balance!B3</f>
        <v>"MKBANK"</v>
      </c>
      <c r="C2" s="75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T2" s="280"/>
      <c r="V2" s="167"/>
      <c r="W2" s="163"/>
      <c r="X2" s="436">
        <f>+Balance!D3</f>
        <v>45289</v>
      </c>
      <c r="Y2" s="163"/>
      <c r="Z2" s="94" t="s">
        <v>174</v>
      </c>
    </row>
    <row r="3" spans="1:26" s="20" customFormat="1" ht="29.25" customHeight="1">
      <c r="A3" s="523" t="s">
        <v>54</v>
      </c>
      <c r="B3" s="523" t="s">
        <v>336</v>
      </c>
      <c r="C3" s="520" t="s">
        <v>337</v>
      </c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1"/>
      <c r="S3" s="526" t="s">
        <v>176</v>
      </c>
      <c r="T3" s="528" t="s">
        <v>338</v>
      </c>
      <c r="U3" s="529"/>
      <c r="V3" s="528" t="s">
        <v>339</v>
      </c>
      <c r="W3" s="533"/>
      <c r="X3" s="533"/>
      <c r="Y3" s="533"/>
      <c r="Z3" s="533"/>
    </row>
    <row r="4" spans="1:26" s="20" customFormat="1" ht="29.25" customHeight="1">
      <c r="A4" s="524"/>
      <c r="B4" s="524"/>
      <c r="C4" s="520" t="s">
        <v>340</v>
      </c>
      <c r="D4" s="521"/>
      <c r="E4" s="520" t="s">
        <v>341</v>
      </c>
      <c r="F4" s="521"/>
      <c r="G4" s="520" t="s">
        <v>342</v>
      </c>
      <c r="H4" s="521"/>
      <c r="I4" s="520" t="s">
        <v>343</v>
      </c>
      <c r="J4" s="521"/>
      <c r="K4" s="520" t="s">
        <v>344</v>
      </c>
      <c r="L4" s="521"/>
      <c r="M4" s="520" t="s">
        <v>345</v>
      </c>
      <c r="N4" s="521"/>
      <c r="O4" s="520" t="s">
        <v>346</v>
      </c>
      <c r="P4" s="521"/>
      <c r="Q4" s="520" t="s">
        <v>347</v>
      </c>
      <c r="R4" s="521"/>
      <c r="S4" s="527"/>
      <c r="T4" s="530"/>
      <c r="U4" s="531"/>
      <c r="V4" s="530"/>
      <c r="W4" s="534"/>
      <c r="X4" s="534"/>
      <c r="Y4" s="534"/>
      <c r="Z4" s="534"/>
    </row>
    <row r="5" spans="1:26" s="20" customFormat="1" ht="110.25" customHeight="1">
      <c r="A5" s="524"/>
      <c r="B5" s="524"/>
      <c r="C5" s="309" t="s">
        <v>140</v>
      </c>
      <c r="D5" s="309" t="s">
        <v>348</v>
      </c>
      <c r="E5" s="309" t="s">
        <v>140</v>
      </c>
      <c r="F5" s="309" t="s">
        <v>348</v>
      </c>
      <c r="G5" s="309" t="s">
        <v>140</v>
      </c>
      <c r="H5" s="309" t="s">
        <v>348</v>
      </c>
      <c r="I5" s="309" t="s">
        <v>140</v>
      </c>
      <c r="J5" s="309" t="s">
        <v>348</v>
      </c>
      <c r="K5" s="309" t="s">
        <v>140</v>
      </c>
      <c r="L5" s="309" t="s">
        <v>348</v>
      </c>
      <c r="M5" s="309" t="s">
        <v>140</v>
      </c>
      <c r="N5" s="309" t="s">
        <v>348</v>
      </c>
      <c r="O5" s="309" t="s">
        <v>140</v>
      </c>
      <c r="P5" s="309" t="s">
        <v>348</v>
      </c>
      <c r="Q5" s="309" t="s">
        <v>140</v>
      </c>
      <c r="R5" s="309" t="s">
        <v>348</v>
      </c>
      <c r="S5" s="527"/>
      <c r="T5" s="309" t="s">
        <v>349</v>
      </c>
      <c r="U5" s="309" t="s">
        <v>350</v>
      </c>
      <c r="V5" s="379" t="s">
        <v>22</v>
      </c>
      <c r="W5" s="379" t="s">
        <v>351</v>
      </c>
      <c r="X5" s="379" t="s">
        <v>352</v>
      </c>
      <c r="Y5" s="379" t="s">
        <v>353</v>
      </c>
      <c r="Z5" s="379" t="s">
        <v>354</v>
      </c>
    </row>
    <row r="6" spans="1:26" s="146" customFormat="1" ht="38.25" customHeight="1">
      <c r="A6" s="443" t="s">
        <v>355</v>
      </c>
      <c r="B6" s="311" t="s">
        <v>285</v>
      </c>
      <c r="C6" s="9">
        <v>722231783</v>
      </c>
      <c r="D6" s="9">
        <v>171136444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41">
        <f>+C6+E6+G6+I6+K6+M6+O6+Q6</f>
        <v>722231783</v>
      </c>
      <c r="T6" s="141">
        <f>+S6-U6</f>
        <v>551095339</v>
      </c>
      <c r="U6" s="141">
        <f>+D6+F6+H6+J6+L6+N6+P6+R6</f>
        <v>171136444</v>
      </c>
      <c r="V6" s="142">
        <v>1</v>
      </c>
      <c r="W6" s="143">
        <f>+S6</f>
        <v>722231783</v>
      </c>
      <c r="X6" s="144">
        <f>+W6*V6</f>
        <v>722231783</v>
      </c>
      <c r="Y6" s="143">
        <f>+U6</f>
        <v>171136444</v>
      </c>
      <c r="Z6" s="144">
        <f>+Y6*V6</f>
        <v>171136444</v>
      </c>
    </row>
    <row r="7" spans="1:26" s="146" customFormat="1" ht="38.25" customHeight="1">
      <c r="A7" s="443" t="s">
        <v>356</v>
      </c>
      <c r="B7" s="311" t="s">
        <v>521</v>
      </c>
      <c r="C7" s="9">
        <v>260288524</v>
      </c>
      <c r="D7" s="9"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41">
        <f t="shared" ref="S7:S42" si="0">+C7+E7+G7+I7+K7+M7+O7+Q7</f>
        <v>260288524</v>
      </c>
      <c r="T7" s="141">
        <f t="shared" ref="T7:T44" si="1">+S7-U7</f>
        <v>260288524</v>
      </c>
      <c r="U7" s="141">
        <f t="shared" ref="U7:U44" si="2">+D7+F7+H7+J7+L7+N7+P7+R7</f>
        <v>0</v>
      </c>
      <c r="V7" s="142">
        <v>1</v>
      </c>
      <c r="W7" s="143">
        <f>S7</f>
        <v>260288524</v>
      </c>
      <c r="X7" s="144">
        <f t="shared" ref="X7:X34" si="3">+W7*V7</f>
        <v>260288524</v>
      </c>
      <c r="Y7" s="143">
        <f>+U7</f>
        <v>0</v>
      </c>
      <c r="Z7" s="144">
        <f>+Y7*V7</f>
        <v>0</v>
      </c>
    </row>
    <row r="8" spans="1:26" s="146" customFormat="1" ht="38.25" customHeight="1">
      <c r="A8" s="443" t="s">
        <v>73</v>
      </c>
      <c r="B8" s="311" t="s">
        <v>357</v>
      </c>
      <c r="C8" s="9">
        <v>47398669</v>
      </c>
      <c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41">
        <f t="shared" si="0"/>
        <v>47398669</v>
      </c>
      <c r="T8" s="141">
        <f t="shared" si="1"/>
        <v>47398669</v>
      </c>
      <c r="U8" s="141">
        <f t="shared" si="2"/>
        <v>0</v>
      </c>
      <c r="V8" s="142">
        <v>0</v>
      </c>
      <c r="W8" s="143"/>
      <c r="X8" s="141"/>
      <c r="Y8" s="143"/>
      <c r="Z8" s="143"/>
    </row>
    <row r="9" spans="1:26" s="146" customFormat="1" ht="38.25" customHeight="1">
      <c r="A9" s="443" t="s">
        <v>358</v>
      </c>
      <c r="B9" s="311" t="s">
        <v>479</v>
      </c>
      <c r="C9" s="165">
        <f>SUM(C10:C16)-C13</f>
        <v>564202273</v>
      </c>
      <c r="D9" s="165">
        <f t="shared" ref="D9:R9" si="4">SUM(D10:D16)-D13</f>
        <v>557608819</v>
      </c>
      <c r="E9" s="165">
        <f t="shared" si="4"/>
        <v>388915</v>
      </c>
      <c r="F9" s="165">
        <f t="shared" si="4"/>
        <v>331134</v>
      </c>
      <c r="G9" s="165">
        <f t="shared" si="4"/>
        <v>137400000</v>
      </c>
      <c r="H9" s="165">
        <f t="shared" si="4"/>
        <v>0</v>
      </c>
      <c r="I9" s="165">
        <f t="shared" si="4"/>
        <v>241432620</v>
      </c>
      <c r="J9" s="165">
        <f t="shared" si="4"/>
        <v>74032620</v>
      </c>
      <c r="K9" s="165">
        <f t="shared" si="4"/>
        <v>60000000</v>
      </c>
      <c r="L9" s="165">
        <f t="shared" si="4"/>
        <v>0</v>
      </c>
      <c r="M9" s="165">
        <f t="shared" si="4"/>
        <v>0</v>
      </c>
      <c r="N9" s="165">
        <f t="shared" si="4"/>
        <v>0</v>
      </c>
      <c r="O9" s="165">
        <f t="shared" si="4"/>
        <v>0</v>
      </c>
      <c r="P9" s="165">
        <f t="shared" si="4"/>
        <v>0</v>
      </c>
      <c r="Q9" s="165">
        <f t="shared" si="4"/>
        <v>65926800</v>
      </c>
      <c r="R9" s="165">
        <f t="shared" si="4"/>
        <v>0</v>
      </c>
      <c r="S9" s="141">
        <f t="shared" si="0"/>
        <v>1069350608</v>
      </c>
      <c r="T9" s="141">
        <f t="shared" si="1"/>
        <v>437378035</v>
      </c>
      <c r="U9" s="141">
        <f t="shared" si="2"/>
        <v>631972573</v>
      </c>
      <c r="V9" s="142"/>
      <c r="W9" s="143"/>
      <c r="X9" s="141"/>
      <c r="Y9" s="143"/>
      <c r="Z9" s="143"/>
    </row>
    <row r="10" spans="1:26" s="146" customFormat="1" ht="45" customHeight="1">
      <c r="A10" s="443" t="s">
        <v>74</v>
      </c>
      <c r="B10" s="311" t="s">
        <v>359</v>
      </c>
      <c r="C10" s="9">
        <v>12981398</v>
      </c>
      <c r="D10" s="9">
        <v>12981398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41">
        <f t="shared" si="0"/>
        <v>12981398</v>
      </c>
      <c r="T10" s="141">
        <f t="shared" si="1"/>
        <v>0</v>
      </c>
      <c r="U10" s="141">
        <f t="shared" si="2"/>
        <v>12981398</v>
      </c>
      <c r="V10" s="142">
        <v>1</v>
      </c>
      <c r="W10" s="143">
        <f>+C10</f>
        <v>12981398</v>
      </c>
      <c r="X10" s="144">
        <f t="shared" si="3"/>
        <v>12981398</v>
      </c>
      <c r="Y10" s="143">
        <f>+D10</f>
        <v>12981398</v>
      </c>
      <c r="Z10" s="144">
        <f>+Y10*V10</f>
        <v>12981398</v>
      </c>
    </row>
    <row r="11" spans="1:26" s="146" customFormat="1" ht="45" customHeight="1">
      <c r="A11" s="443" t="s">
        <v>75</v>
      </c>
      <c r="B11" s="311" t="s">
        <v>360</v>
      </c>
      <c r="C11" s="9">
        <v>544594759</v>
      </c>
      <c r="D11" s="9">
        <v>544594754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41">
        <f>+C11</f>
        <v>544594759</v>
      </c>
      <c r="T11" s="141">
        <f t="shared" ref="T11:T13" si="5">+S11-U11</f>
        <v>5</v>
      </c>
      <c r="U11" s="141">
        <f>+D11</f>
        <v>544594754</v>
      </c>
      <c r="V11" s="142">
        <v>1</v>
      </c>
      <c r="W11" s="143">
        <f>+C11</f>
        <v>544594759</v>
      </c>
      <c r="X11" s="144">
        <f t="shared" si="3"/>
        <v>544594759</v>
      </c>
      <c r="Y11" s="143">
        <f>+D11</f>
        <v>544594754</v>
      </c>
      <c r="Z11" s="144">
        <f t="shared" ref="Z11:Z34" si="6">+Y11*V11</f>
        <v>544594754</v>
      </c>
    </row>
    <row r="12" spans="1:26" s="146" customFormat="1" ht="45" customHeight="1">
      <c r="A12" s="443" t="s">
        <v>15</v>
      </c>
      <c r="B12" s="311" t="s">
        <v>361</v>
      </c>
      <c r="C12" s="165"/>
      <c r="D12" s="165"/>
      <c r="E12" s="9"/>
      <c r="F12" s="9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41">
        <f>+E12</f>
        <v>0</v>
      </c>
      <c r="T12" s="141">
        <f t="shared" si="5"/>
        <v>0</v>
      </c>
      <c r="U12" s="141">
        <f>+F12</f>
        <v>0</v>
      </c>
      <c r="V12" s="142">
        <v>1</v>
      </c>
      <c r="W12" s="143">
        <f>+E12-E13</f>
        <v>0</v>
      </c>
      <c r="X12" s="141">
        <f t="shared" si="3"/>
        <v>0</v>
      </c>
      <c r="Y12" s="198">
        <f>+F12-F13</f>
        <v>0</v>
      </c>
      <c r="Z12" s="141">
        <f t="shared" si="6"/>
        <v>0</v>
      </c>
    </row>
    <row r="13" spans="1:26" s="146" customFormat="1" ht="45" customHeight="1">
      <c r="A13" s="443" t="s">
        <v>165</v>
      </c>
      <c r="B13" s="311" t="s">
        <v>362</v>
      </c>
      <c r="C13" s="165"/>
      <c r="D13" s="165"/>
      <c r="E13" s="9"/>
      <c r="F13" s="9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41">
        <f>+E13</f>
        <v>0</v>
      </c>
      <c r="T13" s="141">
        <f t="shared" si="5"/>
        <v>0</v>
      </c>
      <c r="U13" s="141">
        <f>+F13</f>
        <v>0</v>
      </c>
      <c r="V13" s="142">
        <v>1</v>
      </c>
      <c r="W13" s="143">
        <f>+F13</f>
        <v>0</v>
      </c>
      <c r="X13" s="144">
        <f t="shared" si="3"/>
        <v>0</v>
      </c>
      <c r="Y13" s="143">
        <f>+F13</f>
        <v>0</v>
      </c>
      <c r="Z13" s="144">
        <f t="shared" si="6"/>
        <v>0</v>
      </c>
    </row>
    <row r="14" spans="1:26" s="146" customFormat="1" ht="38.25" customHeight="1">
      <c r="A14" s="443" t="s">
        <v>149</v>
      </c>
      <c r="B14" s="311" t="s">
        <v>526</v>
      </c>
      <c r="C14" s="9">
        <v>6179</v>
      </c>
      <c r="D14" s="9">
        <v>6179</v>
      </c>
      <c r="E14" s="9">
        <v>388915</v>
      </c>
      <c r="F14" s="9">
        <v>331134</v>
      </c>
      <c r="G14" s="9">
        <v>137400000</v>
      </c>
      <c r="H14" s="9">
        <v>0</v>
      </c>
      <c r="I14" s="9">
        <v>241432620</v>
      </c>
      <c r="J14" s="9">
        <v>74032620</v>
      </c>
      <c r="K14" s="9">
        <v>60000000</v>
      </c>
      <c r="L14" s="9">
        <v>0</v>
      </c>
      <c r="M14" s="9"/>
      <c r="N14" s="9"/>
      <c r="O14" s="9"/>
      <c r="P14" s="9"/>
      <c r="Q14" s="9">
        <v>65926800</v>
      </c>
      <c r="R14" s="9">
        <v>0</v>
      </c>
      <c r="S14" s="141">
        <f t="shared" si="0"/>
        <v>505154514</v>
      </c>
      <c r="T14" s="141">
        <f t="shared" si="1"/>
        <v>430784581</v>
      </c>
      <c r="U14" s="141">
        <f t="shared" si="2"/>
        <v>74369933</v>
      </c>
      <c r="V14" s="142">
        <v>1</v>
      </c>
      <c r="W14" s="143">
        <f>+C14+E14+G14+E10+G10+E11+G11</f>
        <v>137795094</v>
      </c>
      <c r="X14" s="141">
        <f>+W14*V14</f>
        <v>137795094</v>
      </c>
      <c r="Y14" s="143">
        <f>+D14+F14+H14+F10+H10+F11+H11</f>
        <v>337313</v>
      </c>
      <c r="Z14" s="143">
        <f t="shared" si="6"/>
        <v>337313</v>
      </c>
    </row>
    <row r="15" spans="1:26" s="146" customFormat="1" ht="38.25" customHeight="1">
      <c r="A15" s="443" t="s">
        <v>162</v>
      </c>
      <c r="B15" s="311" t="s">
        <v>363</v>
      </c>
      <c r="C15" s="9">
        <v>6619937</v>
      </c>
      <c r="D15" s="9">
        <v>26488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41">
        <f t="shared" si="0"/>
        <v>6619937</v>
      </c>
      <c r="T15" s="141">
        <f t="shared" si="1"/>
        <v>6593449</v>
      </c>
      <c r="U15" s="141">
        <f t="shared" si="2"/>
        <v>26488</v>
      </c>
      <c r="V15" s="142">
        <v>1</v>
      </c>
      <c r="W15" s="143">
        <f>+C15+E15+G15</f>
        <v>6619937</v>
      </c>
      <c r="X15" s="141">
        <f t="shared" si="3"/>
        <v>6619937</v>
      </c>
      <c r="Y15" s="143">
        <f>+D15+F15+H15</f>
        <v>26488</v>
      </c>
      <c r="Z15" s="143">
        <f t="shared" si="6"/>
        <v>26488</v>
      </c>
    </row>
    <row r="16" spans="1:26" s="146" customFormat="1" ht="38.25" customHeight="1">
      <c r="A16" s="443" t="s">
        <v>163</v>
      </c>
      <c r="B16" s="311" t="s">
        <v>364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41">
        <f t="shared" si="0"/>
        <v>0</v>
      </c>
      <c r="T16" s="141">
        <f t="shared" si="1"/>
        <v>0</v>
      </c>
      <c r="U16" s="141">
        <f t="shared" si="2"/>
        <v>0</v>
      </c>
      <c r="V16" s="142">
        <v>1</v>
      </c>
      <c r="W16" s="143">
        <f>+C16+E16+G16</f>
        <v>0</v>
      </c>
      <c r="X16" s="141">
        <f>+W16*V16</f>
        <v>0</v>
      </c>
      <c r="Y16" s="143">
        <f>+D16+F16+H16</f>
        <v>0</v>
      </c>
      <c r="Z16" s="143">
        <f t="shared" si="6"/>
        <v>0</v>
      </c>
    </row>
    <row r="17" spans="1:26" s="146" customFormat="1" ht="38.25" customHeight="1">
      <c r="A17" s="443" t="s">
        <v>365</v>
      </c>
      <c r="B17" s="311" t="s">
        <v>183</v>
      </c>
      <c r="C17" s="165">
        <f>SUM(C19:C24)</f>
        <v>175</v>
      </c>
      <c r="D17" s="165">
        <f t="shared" ref="D17:R17" si="7">SUM(D19:D24)</f>
        <v>0</v>
      </c>
      <c r="E17" s="165">
        <f t="shared" si="7"/>
        <v>0</v>
      </c>
      <c r="F17" s="165">
        <f t="shared" si="7"/>
        <v>0</v>
      </c>
      <c r="G17" s="165">
        <f t="shared" si="7"/>
        <v>0</v>
      </c>
      <c r="H17" s="165">
        <f t="shared" si="7"/>
        <v>0</v>
      </c>
      <c r="I17" s="165">
        <f t="shared" si="7"/>
        <v>0</v>
      </c>
      <c r="J17" s="165">
        <f t="shared" si="7"/>
        <v>0</v>
      </c>
      <c r="K17" s="165">
        <f t="shared" si="7"/>
        <v>0</v>
      </c>
      <c r="L17" s="165">
        <f t="shared" si="7"/>
        <v>0</v>
      </c>
      <c r="M17" s="165">
        <f t="shared" si="7"/>
        <v>0</v>
      </c>
      <c r="N17" s="165">
        <f t="shared" si="7"/>
        <v>0</v>
      </c>
      <c r="O17" s="165">
        <f t="shared" si="7"/>
        <v>0</v>
      </c>
      <c r="P17" s="165">
        <f t="shared" si="7"/>
        <v>0</v>
      </c>
      <c r="Q17" s="165">
        <f t="shared" si="7"/>
        <v>10000000</v>
      </c>
      <c r="R17" s="165">
        <f t="shared" si="7"/>
        <v>0</v>
      </c>
      <c r="S17" s="141">
        <f t="shared" si="0"/>
        <v>10000175</v>
      </c>
      <c r="T17" s="141">
        <f t="shared" si="1"/>
        <v>10000175</v>
      </c>
      <c r="U17" s="141">
        <f t="shared" si="2"/>
        <v>0</v>
      </c>
      <c r="V17" s="142"/>
      <c r="W17" s="143"/>
      <c r="X17" s="141"/>
      <c r="Y17" s="143"/>
      <c r="Z17" s="143"/>
    </row>
    <row r="18" spans="1:26" s="146" customFormat="1" ht="38.25" customHeight="1">
      <c r="A18" s="443" t="s">
        <v>553</v>
      </c>
      <c r="B18" s="311" t="s">
        <v>552</v>
      </c>
      <c r="C18" s="165">
        <f>+'Bank Liabilities Analysis'!C34</f>
        <v>0</v>
      </c>
      <c r="D18" s="165">
        <f>+'Bank Liabilities Analysis'!D34</f>
        <v>0</v>
      </c>
      <c r="E18" s="165">
        <f>+'Bank Liabilities Analysis'!E34</f>
        <v>0</v>
      </c>
      <c r="F18" s="165">
        <f>+'Bank Liabilities Analysis'!F34</f>
        <v>0</v>
      </c>
      <c r="G18" s="165">
        <f>+'Bank Liabilities Analysis'!G34</f>
        <v>0</v>
      </c>
      <c r="H18" s="165">
        <f>+'Bank Liabilities Analysis'!H34</f>
        <v>0</v>
      </c>
      <c r="I18" s="165">
        <f>+'Bank Liabilities Analysis'!I34</f>
        <v>0</v>
      </c>
      <c r="J18" s="165">
        <f>+'Bank Liabilities Analysis'!J34</f>
        <v>0</v>
      </c>
      <c r="K18" s="165">
        <f>+'Bank Liabilities Analysis'!K34</f>
        <v>0</v>
      </c>
      <c r="L18" s="165">
        <f>+'Bank Liabilities Analysis'!L34</f>
        <v>0</v>
      </c>
      <c r="M18" s="165">
        <f>+'Bank Liabilities Analysis'!M34</f>
        <v>0</v>
      </c>
      <c r="N18" s="165">
        <f>+'Bank Liabilities Analysis'!N34</f>
        <v>0</v>
      </c>
      <c r="O18" s="165">
        <f>+'Bank Liabilities Analysis'!O34</f>
        <v>0</v>
      </c>
      <c r="P18" s="165">
        <f>+'Bank Liabilities Analysis'!P34</f>
        <v>0</v>
      </c>
      <c r="Q18" s="165">
        <f>+'Bank Liabilities Analysis'!Q34</f>
        <v>0</v>
      </c>
      <c r="R18" s="165">
        <f>+'Bank Liabilities Analysis'!R34</f>
        <v>0</v>
      </c>
      <c r="S18" s="141">
        <f>+C18+E18+G18+I18+K18+M18+O18+Q18</f>
        <v>0</v>
      </c>
      <c r="T18" s="141">
        <f>+S18-U18</f>
        <v>0</v>
      </c>
      <c r="U18" s="141">
        <f>+D18+F18+H18+J18+L18+N18+P18+R18</f>
        <v>0</v>
      </c>
      <c r="V18" s="142">
        <v>1</v>
      </c>
      <c r="W18" s="143">
        <f>+C18+E18+G18</f>
        <v>0</v>
      </c>
      <c r="X18" s="141">
        <f>+W18*V18</f>
        <v>0</v>
      </c>
      <c r="Y18" s="143">
        <f>+D18+F18+H18</f>
        <v>0</v>
      </c>
      <c r="Z18" s="143">
        <f>+Y18*V18</f>
        <v>0</v>
      </c>
    </row>
    <row r="19" spans="1:26" s="146" customFormat="1" ht="42.75">
      <c r="A19" s="443" t="s">
        <v>76</v>
      </c>
      <c r="B19" s="311" t="s">
        <v>366</v>
      </c>
      <c r="C19" s="9">
        <v>175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41">
        <f>+C19+E19+G19+I19+K19+M19+O19+Q19</f>
        <v>175</v>
      </c>
      <c r="T19" s="141">
        <f t="shared" si="1"/>
        <v>175</v>
      </c>
      <c r="U19" s="141">
        <f t="shared" si="2"/>
        <v>0</v>
      </c>
      <c r="V19" s="142">
        <v>1</v>
      </c>
      <c r="W19" s="198">
        <f>+S19</f>
        <v>175</v>
      </c>
      <c r="X19" s="144">
        <f t="shared" si="3"/>
        <v>175</v>
      </c>
      <c r="Y19" s="198">
        <f>+U19</f>
        <v>0</v>
      </c>
      <c r="Z19" s="144">
        <f t="shared" si="6"/>
        <v>0</v>
      </c>
    </row>
    <row r="20" spans="1:26" s="146" customFormat="1" ht="38.25" customHeight="1">
      <c r="A20" s="443" t="s">
        <v>20</v>
      </c>
      <c r="B20" s="311" t="s">
        <v>367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41">
        <f t="shared" si="0"/>
        <v>0</v>
      </c>
      <c r="T20" s="141">
        <f t="shared" si="1"/>
        <v>0</v>
      </c>
      <c r="U20" s="141">
        <f t="shared" si="2"/>
        <v>0</v>
      </c>
      <c r="V20" s="142">
        <v>1</v>
      </c>
      <c r="W20" s="143">
        <f>+S20</f>
        <v>0</v>
      </c>
      <c r="X20" s="144">
        <f t="shared" si="3"/>
        <v>0</v>
      </c>
      <c r="Y20" s="143">
        <f>+U20</f>
        <v>0</v>
      </c>
      <c r="Z20" s="144">
        <f t="shared" si="6"/>
        <v>0</v>
      </c>
    </row>
    <row r="21" spans="1:26" s="146" customFormat="1" ht="61.5" customHeight="1">
      <c r="A21" s="443" t="s">
        <v>21</v>
      </c>
      <c r="B21" s="311" t="s">
        <v>368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41">
        <f t="shared" ref="S21" si="8">+C21+E21+G21+I21+K21+M21+O21+Q21</f>
        <v>0</v>
      </c>
      <c r="T21" s="141">
        <f t="shared" ref="T21" si="9">+S21-U21</f>
        <v>0</v>
      </c>
      <c r="U21" s="141">
        <f t="shared" ref="U21" si="10">+D21+F21+H21+J21+L21+N21+P21+R21</f>
        <v>0</v>
      </c>
      <c r="V21" s="142">
        <v>1</v>
      </c>
      <c r="W21" s="143">
        <f>+S21</f>
        <v>0</v>
      </c>
      <c r="X21" s="144">
        <f t="shared" si="3"/>
        <v>0</v>
      </c>
      <c r="Y21" s="143">
        <f>+U21</f>
        <v>0</v>
      </c>
      <c r="Z21" s="144">
        <f t="shared" si="6"/>
        <v>0</v>
      </c>
    </row>
    <row r="22" spans="1:26" s="146" customFormat="1" ht="45" customHeight="1">
      <c r="A22" s="443" t="s">
        <v>28</v>
      </c>
      <c r="B22" s="311" t="s">
        <v>369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41">
        <f t="shared" si="0"/>
        <v>0</v>
      </c>
      <c r="T22" s="141">
        <f t="shared" si="1"/>
        <v>0</v>
      </c>
      <c r="U22" s="141">
        <f t="shared" si="2"/>
        <v>0</v>
      </c>
      <c r="V22" s="142">
        <v>1</v>
      </c>
      <c r="W22" s="143">
        <f>+S22</f>
        <v>0</v>
      </c>
      <c r="X22" s="144">
        <f t="shared" si="3"/>
        <v>0</v>
      </c>
      <c r="Y22" s="143">
        <f>+U22</f>
        <v>0</v>
      </c>
      <c r="Z22" s="144">
        <f t="shared" si="6"/>
        <v>0</v>
      </c>
    </row>
    <row r="23" spans="1:26" s="146" customFormat="1" ht="45" customHeight="1">
      <c r="A23" s="443" t="s">
        <v>164</v>
      </c>
      <c r="B23" s="311" t="s">
        <v>292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>
        <v>10000000</v>
      </c>
      <c r="R23" s="9">
        <v>0</v>
      </c>
      <c r="S23" s="141">
        <f t="shared" ref="S23" si="11">+C23+E23+G23+I23+K23+M23+O23+Q23</f>
        <v>10000000</v>
      </c>
      <c r="T23" s="141">
        <f t="shared" ref="T23" si="12">+S23-U23</f>
        <v>10000000</v>
      </c>
      <c r="U23" s="141">
        <f t="shared" ref="U23" si="13">+D23+F23+H23+J23+L23+N23+P23+R23</f>
        <v>0</v>
      </c>
      <c r="V23" s="142">
        <v>1</v>
      </c>
      <c r="W23" s="143">
        <f>+S23</f>
        <v>10000000</v>
      </c>
      <c r="X23" s="144">
        <f t="shared" ref="X23" si="14">+W23*V23</f>
        <v>10000000</v>
      </c>
      <c r="Y23" s="143">
        <f>+U23</f>
        <v>0</v>
      </c>
      <c r="Z23" s="144">
        <f t="shared" ref="Z23" si="15">+Y23*V23</f>
        <v>0</v>
      </c>
    </row>
    <row r="24" spans="1:26" s="146" customFormat="1" ht="38.25" customHeight="1">
      <c r="A24" s="443" t="s">
        <v>370</v>
      </c>
      <c r="B24" s="311" t="s">
        <v>371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41">
        <f t="shared" si="0"/>
        <v>0</v>
      </c>
      <c r="T24" s="141">
        <f t="shared" si="1"/>
        <v>0</v>
      </c>
      <c r="U24" s="141">
        <f t="shared" si="2"/>
        <v>0</v>
      </c>
      <c r="V24" s="142">
        <v>1</v>
      </c>
      <c r="W24" s="198">
        <f>+C24+E24+G24</f>
        <v>0</v>
      </c>
      <c r="X24" s="141">
        <f>+W24*V24</f>
        <v>0</v>
      </c>
      <c r="Y24" s="198">
        <f>+D24+F24+H24</f>
        <v>0</v>
      </c>
      <c r="Z24" s="198">
        <f>+Y24*V24</f>
        <v>0</v>
      </c>
    </row>
    <row r="25" spans="1:26" s="146" customFormat="1" ht="45" customHeight="1">
      <c r="A25" s="443" t="s">
        <v>372</v>
      </c>
      <c r="B25" s="311" t="s">
        <v>373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41">
        <f t="shared" si="0"/>
        <v>0</v>
      </c>
      <c r="T25" s="141">
        <f t="shared" si="1"/>
        <v>0</v>
      </c>
      <c r="U25" s="141">
        <f t="shared" si="2"/>
        <v>0</v>
      </c>
      <c r="V25" s="142">
        <v>0.5</v>
      </c>
      <c r="W25" s="143">
        <f>+E25+G25</f>
        <v>0</v>
      </c>
      <c r="X25" s="141">
        <f t="shared" si="3"/>
        <v>0</v>
      </c>
      <c r="Y25" s="143">
        <f>+F25+H25</f>
        <v>0</v>
      </c>
      <c r="Z25" s="143">
        <f t="shared" si="6"/>
        <v>0</v>
      </c>
    </row>
    <row r="26" spans="1:26" s="146" customFormat="1" ht="38.25" customHeight="1">
      <c r="A26" s="443" t="s">
        <v>374</v>
      </c>
      <c r="B26" s="311" t="s">
        <v>375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41">
        <f t="shared" si="0"/>
        <v>0</v>
      </c>
      <c r="T26" s="141">
        <f t="shared" si="1"/>
        <v>0</v>
      </c>
      <c r="U26" s="141">
        <f t="shared" si="2"/>
        <v>0</v>
      </c>
      <c r="V26" s="142">
        <v>0.5</v>
      </c>
      <c r="W26" s="143">
        <f>+E26+G26</f>
        <v>0</v>
      </c>
      <c r="X26" s="141">
        <f t="shared" si="3"/>
        <v>0</v>
      </c>
      <c r="Y26" s="143">
        <f>+F26+H26</f>
        <v>0</v>
      </c>
      <c r="Z26" s="143">
        <f t="shared" si="6"/>
        <v>0</v>
      </c>
    </row>
    <row r="27" spans="1:26" s="146" customFormat="1" ht="38.25" customHeight="1">
      <c r="A27" s="443" t="s">
        <v>376</v>
      </c>
      <c r="B27" s="311" t="s">
        <v>377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41">
        <f t="shared" si="0"/>
        <v>0</v>
      </c>
      <c r="T27" s="141">
        <f t="shared" si="1"/>
        <v>0</v>
      </c>
      <c r="U27" s="141">
        <f t="shared" si="2"/>
        <v>0</v>
      </c>
      <c r="V27" s="142">
        <v>1</v>
      </c>
      <c r="W27" s="143">
        <f>+C27+E27+G27</f>
        <v>0</v>
      </c>
      <c r="X27" s="141">
        <f t="shared" si="3"/>
        <v>0</v>
      </c>
      <c r="Y27" s="143">
        <f>+D27+F27+H27</f>
        <v>0</v>
      </c>
      <c r="Z27" s="143">
        <f t="shared" si="6"/>
        <v>0</v>
      </c>
    </row>
    <row r="28" spans="1:26" s="146" customFormat="1" ht="38.25" customHeight="1">
      <c r="A28" s="443" t="s">
        <v>378</v>
      </c>
      <c r="B28" s="311" t="s">
        <v>379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41">
        <f t="shared" si="0"/>
        <v>0</v>
      </c>
      <c r="T28" s="141">
        <f t="shared" si="1"/>
        <v>0</v>
      </c>
      <c r="U28" s="141">
        <f t="shared" si="2"/>
        <v>0</v>
      </c>
      <c r="V28" s="142">
        <v>0.5</v>
      </c>
      <c r="W28" s="143">
        <f>+E28+G28</f>
        <v>0</v>
      </c>
      <c r="X28" s="141">
        <f t="shared" si="3"/>
        <v>0</v>
      </c>
      <c r="Y28" s="143">
        <f>+F28+H28</f>
        <v>0</v>
      </c>
      <c r="Z28" s="143">
        <f t="shared" si="6"/>
        <v>0</v>
      </c>
    </row>
    <row r="29" spans="1:26" s="146" customFormat="1" ht="39" customHeight="1">
      <c r="A29" s="443" t="s">
        <v>380</v>
      </c>
      <c r="B29" s="311" t="s">
        <v>527</v>
      </c>
      <c r="C29" s="9">
        <v>1068281257</v>
      </c>
      <c r="D29" s="9">
        <v>247893533</v>
      </c>
      <c r="E29" s="9">
        <v>480999324</v>
      </c>
      <c r="F29" s="9">
        <v>211949319</v>
      </c>
      <c r="G29" s="9">
        <v>80016724</v>
      </c>
      <c r="H29" s="9">
        <v>14669660</v>
      </c>
      <c r="I29" s="9">
        <v>1070889375</v>
      </c>
      <c r="J29" s="9">
        <v>457932930</v>
      </c>
      <c r="K29" s="9">
        <v>1126682985</v>
      </c>
      <c r="L29" s="9">
        <v>256247639</v>
      </c>
      <c r="M29" s="9">
        <v>2009426844</v>
      </c>
      <c r="N29" s="9">
        <v>509467363</v>
      </c>
      <c r="O29" s="9">
        <v>2939048301</v>
      </c>
      <c r="P29" s="9">
        <v>697197365</v>
      </c>
      <c r="Q29" s="9">
        <v>5394172714</v>
      </c>
      <c r="R29" s="9">
        <v>1255519671</v>
      </c>
      <c r="S29" s="141">
        <f t="shared" si="0"/>
        <v>14169517524</v>
      </c>
      <c r="T29" s="141">
        <f t="shared" si="1"/>
        <v>10518640044</v>
      </c>
      <c r="U29" s="141">
        <f t="shared" si="2"/>
        <v>3650877480</v>
      </c>
      <c r="V29" s="142">
        <v>0.5</v>
      </c>
      <c r="W29" s="143">
        <f>+E29+G29</f>
        <v>561016048</v>
      </c>
      <c r="X29" s="141">
        <f t="shared" si="3"/>
        <v>280508024</v>
      </c>
      <c r="Y29" s="143">
        <f>+F29+H29</f>
        <v>226618979</v>
      </c>
      <c r="Z29" s="143">
        <f t="shared" si="6"/>
        <v>113309489.5</v>
      </c>
    </row>
    <row r="30" spans="1:26" s="146" customFormat="1" ht="39" customHeight="1">
      <c r="A30" s="443" t="s">
        <v>203</v>
      </c>
      <c r="B30" s="311" t="s">
        <v>381</v>
      </c>
      <c r="C30" s="9">
        <v>364323451</v>
      </c>
      <c r="D30" s="9"/>
      <c r="E30" s="9">
        <v>160797559</v>
      </c>
      <c r="F30" s="9"/>
      <c r="G30" s="9">
        <v>3477537</v>
      </c>
      <c r="H30" s="9"/>
      <c r="I30" s="9">
        <v>337034071</v>
      </c>
      <c r="J30" s="9"/>
      <c r="K30" s="9">
        <v>468079006</v>
      </c>
      <c r="L30" s="9"/>
      <c r="M30" s="9">
        <v>847473617</v>
      </c>
      <c r="N30" s="9"/>
      <c r="O30" s="9">
        <v>1197123365</v>
      </c>
      <c r="P30" s="9"/>
      <c r="Q30" s="9">
        <v>1903954683</v>
      </c>
      <c r="R30" s="9"/>
      <c r="S30" s="141">
        <f t="shared" si="0"/>
        <v>5282263289</v>
      </c>
      <c r="T30" s="141">
        <f t="shared" si="1"/>
        <v>5282263289</v>
      </c>
      <c r="U30" s="141">
        <f t="shared" si="2"/>
        <v>0</v>
      </c>
      <c r="V30" s="142">
        <v>0</v>
      </c>
      <c r="W30" s="143">
        <f>+E30+G30</f>
        <v>164275096</v>
      </c>
      <c r="X30" s="141">
        <f t="shared" si="3"/>
        <v>0</v>
      </c>
      <c r="Y30" s="143">
        <f>+F30+H30</f>
        <v>0</v>
      </c>
      <c r="Z30" s="143">
        <f t="shared" si="6"/>
        <v>0</v>
      </c>
    </row>
    <row r="31" spans="1:26" s="146" customFormat="1" ht="38.25" customHeight="1">
      <c r="A31" s="443" t="s">
        <v>382</v>
      </c>
      <c r="B31" s="311" t="s">
        <v>383</v>
      </c>
      <c r="C31" s="9">
        <v>41579224</v>
      </c>
      <c r="D31" s="9">
        <v>7115329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41">
        <f t="shared" si="0"/>
        <v>41579224</v>
      </c>
      <c r="T31" s="141">
        <f t="shared" si="1"/>
        <v>34463895</v>
      </c>
      <c r="U31" s="141">
        <f t="shared" si="2"/>
        <v>7115329</v>
      </c>
      <c r="V31" s="142">
        <v>0</v>
      </c>
      <c r="W31" s="143">
        <f t="shared" ref="W31:W32" si="16">+E31+G31</f>
        <v>0</v>
      </c>
      <c r="X31" s="141">
        <f t="shared" ref="X31:X32" si="17">+W31*V31</f>
        <v>0</v>
      </c>
      <c r="Y31" s="143">
        <f t="shared" ref="Y31:Y33" si="18">+F31+H31</f>
        <v>0</v>
      </c>
      <c r="Z31" s="143">
        <f t="shared" ref="Z31:Z33" si="19">+Y31*V31</f>
        <v>0</v>
      </c>
    </row>
    <row r="32" spans="1:26" s="146" customFormat="1" ht="38.25" customHeight="1">
      <c r="A32" s="443">
        <v>11</v>
      </c>
      <c r="B32" s="311" t="s">
        <v>190</v>
      </c>
      <c r="C32" s="9">
        <v>107220</v>
      </c>
      <c r="D32" s="9"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41">
        <f t="shared" si="0"/>
        <v>107220</v>
      </c>
      <c r="T32" s="141">
        <f t="shared" si="1"/>
        <v>107220</v>
      </c>
      <c r="U32" s="141">
        <f t="shared" si="2"/>
        <v>0</v>
      </c>
      <c r="V32" s="142">
        <v>0</v>
      </c>
      <c r="W32" s="143">
        <f t="shared" si="16"/>
        <v>0</v>
      </c>
      <c r="X32" s="141">
        <f t="shared" si="17"/>
        <v>0</v>
      </c>
      <c r="Y32" s="143">
        <f t="shared" si="18"/>
        <v>0</v>
      </c>
      <c r="Z32" s="143">
        <f t="shared" si="19"/>
        <v>0</v>
      </c>
    </row>
    <row r="33" spans="1:32" s="146" customFormat="1" ht="38.25" customHeight="1">
      <c r="A33" s="443" t="s">
        <v>384</v>
      </c>
      <c r="B33" s="311" t="s">
        <v>551</v>
      </c>
      <c r="C33" s="9">
        <f t="shared" ref="C33:Q33" si="20">+C34+C35</f>
        <v>0</v>
      </c>
      <c r="D33" s="9">
        <f t="shared" si="20"/>
        <v>0</v>
      </c>
      <c r="E33" s="9">
        <f t="shared" si="20"/>
        <v>0</v>
      </c>
      <c r="F33" s="9">
        <f t="shared" si="20"/>
        <v>0</v>
      </c>
      <c r="G33" s="9">
        <f t="shared" si="20"/>
        <v>0</v>
      </c>
      <c r="H33" s="9">
        <f t="shared" si="20"/>
        <v>0</v>
      </c>
      <c r="I33" s="9">
        <f t="shared" si="20"/>
        <v>0</v>
      </c>
      <c r="J33" s="9">
        <f t="shared" si="20"/>
        <v>0</v>
      </c>
      <c r="K33" s="9">
        <f t="shared" si="20"/>
        <v>0</v>
      </c>
      <c r="L33" s="9">
        <f t="shared" si="20"/>
        <v>0</v>
      </c>
      <c r="M33" s="9">
        <f t="shared" si="20"/>
        <v>0</v>
      </c>
      <c r="N33" s="9">
        <f t="shared" si="20"/>
        <v>0</v>
      </c>
      <c r="O33" s="9">
        <f t="shared" si="20"/>
        <v>0</v>
      </c>
      <c r="P33" s="9">
        <f t="shared" si="20"/>
        <v>0</v>
      </c>
      <c r="Q33" s="9">
        <f t="shared" si="20"/>
        <v>0</v>
      </c>
      <c r="R33" s="9"/>
      <c r="S33" s="141">
        <f t="shared" si="0"/>
        <v>0</v>
      </c>
      <c r="T33" s="141">
        <f t="shared" si="1"/>
        <v>0</v>
      </c>
      <c r="U33" s="141">
        <f t="shared" si="2"/>
        <v>0</v>
      </c>
      <c r="V33" s="142">
        <v>0</v>
      </c>
      <c r="W33" s="143">
        <f>+E33+G33</f>
        <v>0</v>
      </c>
      <c r="X33" s="141">
        <f>+W33*V33</f>
        <v>0</v>
      </c>
      <c r="Y33" s="143">
        <f t="shared" si="18"/>
        <v>0</v>
      </c>
      <c r="Z33" s="143">
        <f t="shared" si="19"/>
        <v>0</v>
      </c>
    </row>
    <row r="34" spans="1:32" s="146" customFormat="1" ht="45" customHeight="1">
      <c r="A34" s="443" t="s">
        <v>214</v>
      </c>
      <c r="B34" s="311" t="s">
        <v>543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41">
        <f t="shared" si="0"/>
        <v>0</v>
      </c>
      <c r="T34" s="141">
        <f t="shared" si="1"/>
        <v>0</v>
      </c>
      <c r="U34" s="141">
        <f t="shared" si="2"/>
        <v>0</v>
      </c>
      <c r="V34" s="142">
        <v>1</v>
      </c>
      <c r="W34" s="143">
        <f>+S34</f>
        <v>0</v>
      </c>
      <c r="X34" s="144">
        <f t="shared" si="3"/>
        <v>0</v>
      </c>
      <c r="Y34" s="143">
        <f>+U34</f>
        <v>0</v>
      </c>
      <c r="Z34" s="144">
        <f t="shared" si="6"/>
        <v>0</v>
      </c>
    </row>
    <row r="35" spans="1:32" s="146" customFormat="1" ht="38.25" customHeight="1">
      <c r="A35" s="443" t="s">
        <v>216</v>
      </c>
      <c r="B35" s="311" t="s">
        <v>542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41">
        <f t="shared" si="0"/>
        <v>0</v>
      </c>
      <c r="T35" s="141">
        <f t="shared" si="1"/>
        <v>0</v>
      </c>
      <c r="U35" s="141">
        <f t="shared" si="2"/>
        <v>0</v>
      </c>
      <c r="V35" s="142">
        <v>0</v>
      </c>
      <c r="W35" s="143"/>
      <c r="X35" s="141"/>
      <c r="Y35" s="143"/>
      <c r="Z35" s="143"/>
    </row>
    <row r="36" spans="1:32" s="146" customFormat="1" ht="38.25" customHeight="1">
      <c r="A36" s="443" t="s">
        <v>385</v>
      </c>
      <c r="B36" s="311" t="s">
        <v>386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932880053</v>
      </c>
      <c r="R36" s="9">
        <v>0</v>
      </c>
      <c r="S36" s="141">
        <f t="shared" si="0"/>
        <v>932880053</v>
      </c>
      <c r="T36" s="141">
        <f t="shared" si="1"/>
        <v>932880053</v>
      </c>
      <c r="U36" s="141">
        <f t="shared" si="2"/>
        <v>0</v>
      </c>
      <c r="V36" s="142">
        <v>0</v>
      </c>
      <c r="W36" s="143"/>
      <c r="X36" s="141"/>
      <c r="Y36" s="143"/>
      <c r="Z36" s="143"/>
    </row>
    <row r="37" spans="1:32" s="146" customFormat="1" ht="38.25" customHeight="1">
      <c r="A37" s="443" t="s">
        <v>387</v>
      </c>
      <c r="B37" s="311" t="s">
        <v>213</v>
      </c>
      <c r="C37" s="9">
        <v>196566905</v>
      </c>
      <c r="D37" s="9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41">
        <f t="shared" si="0"/>
        <v>196566905</v>
      </c>
      <c r="T37" s="141">
        <f t="shared" si="1"/>
        <v>196566905</v>
      </c>
      <c r="U37" s="141">
        <f t="shared" si="2"/>
        <v>0</v>
      </c>
      <c r="V37" s="142">
        <v>0</v>
      </c>
      <c r="W37" s="143"/>
      <c r="X37" s="141"/>
      <c r="Y37" s="143"/>
      <c r="Z37" s="143"/>
    </row>
    <row r="38" spans="1:32" s="146" customFormat="1" ht="38.25" customHeight="1">
      <c r="A38" s="443" t="s">
        <v>226</v>
      </c>
      <c r="B38" s="311" t="s">
        <v>388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41">
        <f t="shared" si="0"/>
        <v>0</v>
      </c>
      <c r="T38" s="141">
        <f t="shared" si="1"/>
        <v>0</v>
      </c>
      <c r="U38" s="141">
        <f t="shared" si="2"/>
        <v>0</v>
      </c>
      <c r="V38" s="142">
        <v>0</v>
      </c>
      <c r="W38" s="143"/>
      <c r="X38" s="141"/>
      <c r="Y38" s="143"/>
      <c r="Z38" s="143"/>
    </row>
    <row r="39" spans="1:32" s="146" customFormat="1" ht="38.25" customHeight="1">
      <c r="A39" s="443" t="s">
        <v>229</v>
      </c>
      <c r="B39" s="311" t="s">
        <v>389</v>
      </c>
      <c r="C39" s="9"/>
      <c r="D39" s="165"/>
      <c r="E39" s="9"/>
      <c r="F39" s="165"/>
      <c r="G39" s="9"/>
      <c r="H39" s="165"/>
      <c r="I39" s="9"/>
      <c r="J39" s="165"/>
      <c r="K39" s="9"/>
      <c r="L39" s="165"/>
      <c r="M39" s="9"/>
      <c r="N39" s="165"/>
      <c r="O39" s="9"/>
      <c r="P39" s="165"/>
      <c r="Q39" s="9"/>
      <c r="R39" s="165"/>
      <c r="S39" s="141">
        <f t="shared" si="0"/>
        <v>0</v>
      </c>
      <c r="T39" s="141">
        <f t="shared" si="1"/>
        <v>0</v>
      </c>
      <c r="U39" s="141">
        <f t="shared" si="2"/>
        <v>0</v>
      </c>
      <c r="V39" s="142">
        <v>0</v>
      </c>
      <c r="W39" s="143"/>
      <c r="X39" s="141"/>
      <c r="Y39" s="143"/>
      <c r="Z39" s="143"/>
    </row>
    <row r="40" spans="1:32" s="146" customFormat="1" ht="38.25" customHeight="1">
      <c r="A40" s="443" t="s">
        <v>231</v>
      </c>
      <c r="B40" s="311" t="s">
        <v>390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41">
        <f t="shared" si="0"/>
        <v>0</v>
      </c>
      <c r="T40" s="141">
        <f t="shared" si="1"/>
        <v>0</v>
      </c>
      <c r="U40" s="141">
        <f t="shared" si="2"/>
        <v>0</v>
      </c>
      <c r="V40" s="142">
        <v>0</v>
      </c>
      <c r="W40" s="143"/>
      <c r="X40" s="141"/>
      <c r="Y40" s="143"/>
      <c r="Z40" s="143"/>
    </row>
    <row r="41" spans="1:32" s="146" customFormat="1" ht="38.25" customHeight="1">
      <c r="A41" s="443" t="s">
        <v>233</v>
      </c>
      <c r="B41" s="311" t="s">
        <v>391</v>
      </c>
      <c r="C41" s="9">
        <v>633987997</v>
      </c>
      <c r="D41" s="9">
        <v>112764631</v>
      </c>
      <c r="E41" s="9">
        <v>0</v>
      </c>
      <c r="F41" s="9">
        <v>0</v>
      </c>
      <c r="G41" s="9">
        <v>488485895</v>
      </c>
      <c r="H41" s="9">
        <v>181287439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141">
        <f t="shared" si="0"/>
        <v>1122473892</v>
      </c>
      <c r="T41" s="141">
        <f t="shared" si="1"/>
        <v>828421822</v>
      </c>
      <c r="U41" s="141">
        <f t="shared" si="2"/>
        <v>294052070</v>
      </c>
      <c r="V41" s="142">
        <v>0.5</v>
      </c>
      <c r="W41" s="143">
        <f>+E41+G41</f>
        <v>488485895</v>
      </c>
      <c r="X41" s="141">
        <f>+W41*V41</f>
        <v>244242947.5</v>
      </c>
      <c r="Y41" s="143">
        <f>+F41+H41</f>
        <v>181287439</v>
      </c>
      <c r="Z41" s="143">
        <f>+Y41*V41</f>
        <v>90643719.5</v>
      </c>
    </row>
    <row r="42" spans="1:32" s="146" customFormat="1" ht="38.25" customHeight="1">
      <c r="A42" s="443" t="s">
        <v>235</v>
      </c>
      <c r="B42" s="311" t="s">
        <v>392</v>
      </c>
      <c r="C42" s="9">
        <v>489124642</v>
      </c>
      <c r="D42" s="9">
        <v>34681721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41">
        <f t="shared" si="0"/>
        <v>489124642</v>
      </c>
      <c r="T42" s="141">
        <f t="shared" si="1"/>
        <v>454442921</v>
      </c>
      <c r="U42" s="141">
        <f t="shared" si="2"/>
        <v>34681721</v>
      </c>
      <c r="V42" s="142">
        <v>0</v>
      </c>
      <c r="W42" s="143"/>
      <c r="X42" s="141"/>
      <c r="Y42" s="143"/>
      <c r="Z42" s="143"/>
    </row>
    <row r="43" spans="1:32" s="146" customFormat="1" ht="38.25" customHeight="1">
      <c r="A43" s="443" t="s">
        <v>237</v>
      </c>
      <c r="B43" s="311" t="s">
        <v>554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41">
        <f t="shared" ref="S43" si="21">+C43+E43+G43+I43+K43+M43+O43+Q43</f>
        <v>0</v>
      </c>
      <c r="T43" s="141">
        <f t="shared" ref="T43" si="22">+S43-U43</f>
        <v>0</v>
      </c>
      <c r="U43" s="141">
        <f t="shared" ref="U43" si="23">+D43+F43+H43+J43+L43+N43+P43+R43</f>
        <v>0</v>
      </c>
      <c r="V43" s="142">
        <v>1</v>
      </c>
      <c r="W43" s="143">
        <f>+C43+E43+G43</f>
        <v>0</v>
      </c>
      <c r="X43" s="141">
        <f>+W43*V43</f>
        <v>0</v>
      </c>
      <c r="Y43" s="143">
        <f>+D43+F43+H43</f>
        <v>0</v>
      </c>
      <c r="Z43" s="143">
        <f>+Y43*V43</f>
        <v>0</v>
      </c>
    </row>
    <row r="44" spans="1:32" s="145" customFormat="1" ht="32.25" customHeight="1">
      <c r="A44" s="312" t="s">
        <v>239</v>
      </c>
      <c r="B44" s="313" t="s">
        <v>394</v>
      </c>
      <c r="C44" s="152">
        <f t="shared" ref="C44:R44" si="24">SUM(C6:C42)-C9-C13-C17-C18-C30-C33</f>
        <v>4023768669</v>
      </c>
      <c r="D44" s="152">
        <f t="shared" si="24"/>
        <v>1131200477</v>
      </c>
      <c r="E44" s="152">
        <f t="shared" si="24"/>
        <v>481388239</v>
      </c>
      <c r="F44" s="152">
        <f t="shared" si="24"/>
        <v>212280453</v>
      </c>
      <c r="G44" s="152">
        <f t="shared" si="24"/>
        <v>705902619</v>
      </c>
      <c r="H44" s="152">
        <f t="shared" si="24"/>
        <v>195957099</v>
      </c>
      <c r="I44" s="152">
        <f t="shared" si="24"/>
        <v>1312321995</v>
      </c>
      <c r="J44" s="152">
        <f t="shared" si="24"/>
        <v>531965550</v>
      </c>
      <c r="K44" s="152">
        <f t="shared" si="24"/>
        <v>1186682985</v>
      </c>
      <c r="L44" s="152">
        <f t="shared" si="24"/>
        <v>256247639</v>
      </c>
      <c r="M44" s="152">
        <f t="shared" si="24"/>
        <v>2009426844</v>
      </c>
      <c r="N44" s="152">
        <f t="shared" si="24"/>
        <v>509467363</v>
      </c>
      <c r="O44" s="152">
        <f t="shared" si="24"/>
        <v>2939048301</v>
      </c>
      <c r="P44" s="152">
        <f t="shared" si="24"/>
        <v>697197365</v>
      </c>
      <c r="Q44" s="152">
        <f t="shared" si="24"/>
        <v>6402979567</v>
      </c>
      <c r="R44" s="152">
        <f t="shared" si="24"/>
        <v>1255519671</v>
      </c>
      <c r="S44" s="152">
        <f>+C44+E44+G44+I44+K44+M44+O44+Q44</f>
        <v>19061519219</v>
      </c>
      <c r="T44" s="152">
        <f t="shared" si="1"/>
        <v>14271683602</v>
      </c>
      <c r="U44" s="152">
        <f t="shared" si="2"/>
        <v>4789835617</v>
      </c>
      <c r="V44" s="152"/>
      <c r="W44" s="152"/>
      <c r="X44" s="152">
        <f>+X12+X14+X15+X16+X18+X25+X26+X27+X28+X29+X41+X43</f>
        <v>669166002.5</v>
      </c>
      <c r="Y44" s="152"/>
      <c r="Z44" s="152">
        <f>+Z12+Z14+Z15+Z16+Z18+Z25+Z26+Z27+Z28+Z29+Z41+Z43</f>
        <v>204317010</v>
      </c>
      <c r="AA44" s="502">
        <f>+Balance!C47</f>
        <v>19061519219</v>
      </c>
      <c r="AB44" s="502">
        <f>+Balance!D47</f>
        <v>14271683602</v>
      </c>
      <c r="AC44" s="502">
        <f>+Balance!E47</f>
        <v>4789835617</v>
      </c>
      <c r="AD44" s="502"/>
      <c r="AE44" s="502"/>
      <c r="AF44" s="502"/>
    </row>
    <row r="45" spans="1:32" s="243" customFormat="1" ht="14.25">
      <c r="A45" s="314"/>
      <c r="B45" s="315" t="s">
        <v>395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218"/>
      <c r="W45" s="173"/>
      <c r="X45" s="173"/>
      <c r="Y45" s="173"/>
      <c r="Z45" s="173"/>
      <c r="AA45" s="503">
        <f>+AA44-S44</f>
        <v>0</v>
      </c>
      <c r="AB45" s="503">
        <f>+AB44-T44</f>
        <v>0</v>
      </c>
      <c r="AC45" s="503">
        <f>+AC44-U44</f>
        <v>0</v>
      </c>
      <c r="AD45" s="504"/>
      <c r="AE45" s="504"/>
      <c r="AF45" s="504"/>
    </row>
    <row r="46" spans="1:32" s="177" customFormat="1" ht="25.5" customHeight="1">
      <c r="A46" s="310">
        <v>1</v>
      </c>
      <c r="B46" s="311" t="s">
        <v>396</v>
      </c>
      <c r="C46" s="9">
        <v>307596302</v>
      </c>
      <c r="D46" s="9">
        <v>75427992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41">
        <f t="shared" ref="S46" si="25">+C46+E46+G46+I46+K46+M46+O46+Q46</f>
        <v>307596302</v>
      </c>
      <c r="T46" s="141">
        <f t="shared" ref="T46" si="26">+S46-U46</f>
        <v>232168310</v>
      </c>
      <c r="U46" s="141">
        <f t="shared" ref="U46" si="27">+D46+F46+H46+J46+L46+N46+P46+R46</f>
        <v>75427992</v>
      </c>
      <c r="V46" s="218"/>
      <c r="W46" s="173"/>
      <c r="X46" s="173"/>
      <c r="Y46" s="173"/>
      <c r="Z46" s="173"/>
      <c r="AA46" s="505">
        <f>+Commitments!C4</f>
        <v>307596302</v>
      </c>
      <c r="AB46" s="505">
        <f>+Commitments!D4</f>
        <v>232168310</v>
      </c>
      <c r="AC46" s="505">
        <f>+Commitments!E4</f>
        <v>75427992</v>
      </c>
      <c r="AD46" s="503">
        <f>+AA46-S46</f>
        <v>0</v>
      </c>
      <c r="AE46" s="503">
        <f>+AB46-T46</f>
        <v>0</v>
      </c>
      <c r="AF46" s="503">
        <f>+AC46-U46</f>
        <v>0</v>
      </c>
    </row>
    <row r="47" spans="1:32" s="177" customFormat="1" ht="31.5" customHeight="1">
      <c r="A47" s="310"/>
      <c r="B47" s="311" t="s">
        <v>397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41">
        <f t="shared" ref="S47:S51" si="28">+C47+E47+G47+I47+K47+M47+O47+Q47</f>
        <v>0</v>
      </c>
      <c r="T47" s="141">
        <f t="shared" ref="T47:T51" si="29">+S47-U47</f>
        <v>0</v>
      </c>
      <c r="U47" s="141">
        <f t="shared" ref="U47:U51" si="30">+D47+F47+H47+J47+L47+N47+P47+R47</f>
        <v>0</v>
      </c>
      <c r="V47" s="218"/>
      <c r="W47" s="173"/>
      <c r="X47" s="173"/>
      <c r="Y47" s="173"/>
      <c r="Z47" s="173"/>
      <c r="AA47" s="505">
        <f>+Commitments!C5</f>
        <v>0</v>
      </c>
      <c r="AB47" s="505">
        <f>+Commitments!D5</f>
        <v>0</v>
      </c>
      <c r="AC47" s="505">
        <f>+Commitments!E5</f>
        <v>0</v>
      </c>
      <c r="AD47" s="506"/>
      <c r="AE47" s="506"/>
      <c r="AF47" s="506"/>
    </row>
    <row r="48" spans="1:32" s="177" customFormat="1" ht="25.5" customHeight="1">
      <c r="A48" s="310">
        <v>2</v>
      </c>
      <c r="B48" s="311" t="s">
        <v>398</v>
      </c>
      <c r="C48" s="9">
        <v>522511709</v>
      </c>
      <c r="D48" s="9">
        <v>493648338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41">
        <f t="shared" si="28"/>
        <v>522511709</v>
      </c>
      <c r="T48" s="141">
        <f t="shared" si="29"/>
        <v>28863371</v>
      </c>
      <c r="U48" s="141">
        <f t="shared" si="30"/>
        <v>493648338</v>
      </c>
      <c r="V48" s="218"/>
      <c r="W48" s="173"/>
      <c r="X48" s="173"/>
      <c r="Y48" s="173"/>
      <c r="Z48" s="173"/>
      <c r="AA48" s="505">
        <f>+Commitments!C7</f>
        <v>522511709</v>
      </c>
      <c r="AB48" s="505">
        <f>+Commitments!D7</f>
        <v>28863371</v>
      </c>
      <c r="AC48" s="505">
        <f>+Commitments!E7</f>
        <v>493648338</v>
      </c>
      <c r="AD48" s="503">
        <f>+AA48-S48</f>
        <v>0</v>
      </c>
      <c r="AE48" s="503">
        <f>+AB48-T48</f>
        <v>0</v>
      </c>
      <c r="AF48" s="503">
        <f>+AC48-U48</f>
        <v>0</v>
      </c>
    </row>
    <row r="49" spans="1:32" s="177" customFormat="1" ht="28.5">
      <c r="A49" s="310"/>
      <c r="B49" s="311" t="s">
        <v>399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41">
        <f t="shared" si="28"/>
        <v>0</v>
      </c>
      <c r="T49" s="141">
        <f t="shared" si="29"/>
        <v>0</v>
      </c>
      <c r="U49" s="141">
        <f t="shared" si="30"/>
        <v>0</v>
      </c>
      <c r="V49" s="218"/>
      <c r="W49" s="173"/>
      <c r="X49" s="173"/>
      <c r="Y49" s="173"/>
      <c r="Z49" s="173"/>
      <c r="AA49" s="505">
        <f>+Commitments!C8</f>
        <v>0</v>
      </c>
      <c r="AB49" s="505">
        <f>+Commitments!D8</f>
        <v>0</v>
      </c>
      <c r="AC49" s="505">
        <f>+Commitments!E8</f>
        <v>0</v>
      </c>
      <c r="AD49" s="506"/>
      <c r="AE49" s="506"/>
      <c r="AF49" s="506"/>
    </row>
    <row r="50" spans="1:32" s="177" customFormat="1" ht="25.5" customHeight="1">
      <c r="A50" s="310">
        <v>3</v>
      </c>
      <c r="B50" s="311" t="s">
        <v>400</v>
      </c>
      <c r="C50" s="9">
        <v>6246822</v>
      </c>
      <c r="D50" s="9">
        <v>6246822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41">
        <f t="shared" si="28"/>
        <v>6246822</v>
      </c>
      <c r="T50" s="141">
        <f t="shared" si="29"/>
        <v>0</v>
      </c>
      <c r="U50" s="141">
        <f t="shared" si="30"/>
        <v>6246822</v>
      </c>
      <c r="V50" s="218"/>
      <c r="W50" s="173"/>
      <c r="X50" s="173"/>
      <c r="Y50" s="173"/>
      <c r="Z50" s="173"/>
      <c r="AA50" s="505">
        <f>+Commitments!C10</f>
        <v>6246822</v>
      </c>
      <c r="AB50" s="505">
        <f>+Commitments!D10</f>
        <v>0</v>
      </c>
      <c r="AC50" s="505">
        <f>+Commitments!E10</f>
        <v>6246822</v>
      </c>
      <c r="AD50" s="503">
        <f>+AA50-S50</f>
        <v>0</v>
      </c>
      <c r="AE50" s="503">
        <f>+AB50-T50</f>
        <v>0</v>
      </c>
      <c r="AF50" s="503">
        <f>+AC50-U50</f>
        <v>0</v>
      </c>
    </row>
    <row r="51" spans="1:32" s="177" customFormat="1" ht="28.5">
      <c r="A51" s="310"/>
      <c r="B51" s="311" t="s">
        <v>401</v>
      </c>
      <c r="C51" s="9">
        <v>2303883</v>
      </c>
      <c r="D51" s="9">
        <v>2303883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41">
        <f t="shared" si="28"/>
        <v>2303883</v>
      </c>
      <c r="T51" s="141">
        <f t="shared" si="29"/>
        <v>0</v>
      </c>
      <c r="U51" s="141">
        <f t="shared" si="30"/>
        <v>2303883</v>
      </c>
      <c r="V51" s="218"/>
      <c r="W51" s="173"/>
      <c r="X51" s="173"/>
      <c r="Y51" s="173"/>
      <c r="Z51" s="173"/>
      <c r="AA51" s="247"/>
      <c r="AB51" s="247"/>
      <c r="AC51" s="247"/>
    </row>
    <row r="52" spans="1:32" s="169" customFormat="1" ht="29.25" customHeight="1">
      <c r="A52" s="316"/>
      <c r="B52" s="317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20"/>
      <c r="W52" s="221"/>
      <c r="X52" s="222"/>
      <c r="Y52" s="221"/>
      <c r="Z52" s="222"/>
    </row>
    <row r="53" spans="1:32" s="26" customFormat="1" ht="17.25" customHeight="1">
      <c r="A53" s="25"/>
      <c r="B53" s="427" t="s">
        <v>540</v>
      </c>
      <c r="C53" s="25"/>
      <c r="D53" s="25"/>
      <c r="E53" s="25"/>
      <c r="F53" s="183"/>
      <c r="G53" s="183"/>
      <c r="H53" s="183"/>
      <c r="I53" s="183"/>
      <c r="J53" s="183"/>
      <c r="K53" s="183"/>
      <c r="L53" s="183"/>
      <c r="M53" s="183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2" s="26" customFormat="1" ht="17.25" customHeight="1">
      <c r="A54" s="25"/>
      <c r="B54" s="427"/>
      <c r="C54" s="25"/>
      <c r="D54" s="25"/>
      <c r="E54" s="25"/>
      <c r="F54" s="183"/>
      <c r="G54" s="183"/>
      <c r="H54" s="183"/>
      <c r="I54" s="183"/>
      <c r="J54" s="183"/>
      <c r="K54" s="183"/>
      <c r="L54" s="183"/>
      <c r="M54" s="183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2" s="26" customFormat="1" ht="17.25" customHeight="1">
      <c r="A55" s="25"/>
      <c r="B55" s="427" t="s">
        <v>539</v>
      </c>
      <c r="C55" s="25"/>
      <c r="D55" s="25"/>
      <c r="E55" s="25"/>
      <c r="F55" s="183"/>
      <c r="G55" s="183"/>
      <c r="H55" s="183"/>
      <c r="I55" s="183"/>
      <c r="J55" s="183"/>
      <c r="K55" s="183"/>
      <c r="L55" s="183"/>
      <c r="M55" s="183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2" ht="20.25" customHeight="1">
      <c r="B56" s="217"/>
      <c r="V56" s="225"/>
      <c r="W56" s="223"/>
      <c r="X56" s="224"/>
      <c r="Y56" s="223"/>
      <c r="Z56" s="224"/>
    </row>
    <row r="57" spans="1:32" ht="12.75" customHeight="1">
      <c r="V57" s="225"/>
      <c r="W57" s="525" t="s">
        <v>168</v>
      </c>
      <c r="X57" s="525"/>
      <c r="Y57" s="525"/>
      <c r="Z57" s="525"/>
    </row>
    <row r="58" spans="1:32" ht="14.25">
      <c r="V58" s="225"/>
      <c r="W58" s="226">
        <f>+Balance!C47</f>
        <v>19061519219</v>
      </c>
      <c r="X58" s="226">
        <f>+Balance!D47</f>
        <v>14271683602</v>
      </c>
      <c r="Y58" s="223">
        <f>+Balance!E47</f>
        <v>4789835617</v>
      </c>
      <c r="Z58" s="224"/>
    </row>
    <row r="59" spans="1:32">
      <c r="V59" s="225"/>
      <c r="W59" s="227" t="s">
        <v>56</v>
      </c>
      <c r="X59" s="227"/>
      <c r="Y59" s="228" t="s">
        <v>167</v>
      </c>
      <c r="Z59" s="229"/>
    </row>
    <row r="60" spans="1:32">
      <c r="V60" s="225"/>
      <c r="W60" s="230" t="s">
        <v>166</v>
      </c>
      <c r="X60" s="231">
        <f>+X44</f>
        <v>669166002.5</v>
      </c>
      <c r="Y60" s="230" t="s">
        <v>166</v>
      </c>
      <c r="Z60" s="231">
        <f>+Z44</f>
        <v>204317010</v>
      </c>
      <c r="AB60" s="496"/>
    </row>
    <row r="61" spans="1:32" ht="25.5">
      <c r="V61" s="225"/>
      <c r="W61" s="230" t="s">
        <v>18</v>
      </c>
      <c r="X61" s="231">
        <f>+X6+X7+X10+X11+X13+X19+X20+X21+X22+X23+X34-X43-X18</f>
        <v>1550096639</v>
      </c>
      <c r="Y61" s="230" t="s">
        <v>18</v>
      </c>
      <c r="Z61" s="231">
        <f>+Z6+Z7+Z10+Z11+Z13+Z19+Z20+Z21+Z22+Z23+Z34-Z43-Z18</f>
        <v>728712596</v>
      </c>
      <c r="AB61" s="496"/>
    </row>
    <row r="62" spans="1:32" ht="25.5">
      <c r="V62" s="225"/>
      <c r="W62" s="230" t="s">
        <v>157</v>
      </c>
      <c r="X62" s="231">
        <f>+X64-X67</f>
        <v>1177246472.3999999</v>
      </c>
      <c r="Y62" s="230" t="s">
        <v>157</v>
      </c>
      <c r="Z62" s="231">
        <f>+Z64-Z67</f>
        <v>368530482.20000005</v>
      </c>
      <c r="AB62" s="496"/>
    </row>
    <row r="63" spans="1:32">
      <c r="A63" s="167"/>
      <c r="B63" s="167"/>
      <c r="V63" s="232"/>
      <c r="W63" s="233"/>
      <c r="X63" s="232"/>
      <c r="Y63" s="233"/>
      <c r="Z63" s="232"/>
      <c r="AB63" s="496"/>
    </row>
    <row r="64" spans="1:32">
      <c r="A64" s="167"/>
      <c r="B64" s="167"/>
      <c r="V64" s="232"/>
      <c r="W64" s="234" t="s">
        <v>169</v>
      </c>
      <c r="X64" s="231">
        <f>+'Bank Liabilities Analysis'!W40+'Liquidity Analysis'!C41</f>
        <v>1846412474.8999999</v>
      </c>
      <c r="Y64" s="234" t="s">
        <v>158</v>
      </c>
      <c r="Z64" s="231">
        <f>+'Bank Liabilities Analysis'!X40+'Liquidity Analysis'!E41</f>
        <v>572847492.20000005</v>
      </c>
      <c r="AB64" s="496"/>
    </row>
    <row r="65" spans="1:28" ht="25.5">
      <c r="A65" s="167"/>
      <c r="B65" s="167"/>
      <c r="V65" s="232"/>
      <c r="W65" s="234" t="s">
        <v>170</v>
      </c>
      <c r="X65" s="231">
        <f>+'Liquidity Analysis'!C41</f>
        <v>125107643</v>
      </c>
      <c r="Y65" s="234" t="s">
        <v>170</v>
      </c>
      <c r="Z65" s="231">
        <f>+'Liquidity Analysis'!E41</f>
        <v>85952890</v>
      </c>
      <c r="AB65" s="496"/>
    </row>
    <row r="66" spans="1:28">
      <c r="A66" s="167"/>
      <c r="B66" s="167"/>
      <c r="V66" s="232"/>
      <c r="W66" s="234"/>
      <c r="X66" s="231"/>
      <c r="Y66" s="234"/>
      <c r="Z66" s="231"/>
      <c r="AB66" s="496"/>
    </row>
    <row r="67" spans="1:28" ht="25.5">
      <c r="A67" s="167"/>
      <c r="B67" s="167"/>
      <c r="V67" s="232"/>
      <c r="W67" s="234" t="s">
        <v>159</v>
      </c>
      <c r="X67" s="231">
        <f>IF(X60&gt;(X64*0.75),X64*0.75,X60)</f>
        <v>669166002.5</v>
      </c>
      <c r="Y67" s="234" t="s">
        <v>159</v>
      </c>
      <c r="Z67" s="231">
        <f>IF(Z60&gt;(Z64*0.75),Z64*0.75,Z60)</f>
        <v>204317010</v>
      </c>
      <c r="AB67" s="496"/>
    </row>
    <row r="68" spans="1:28">
      <c r="A68" s="167"/>
      <c r="B68" s="167"/>
      <c r="V68" s="225"/>
      <c r="W68" s="223"/>
      <c r="X68" s="224"/>
      <c r="Y68" s="223"/>
      <c r="Z68" s="224"/>
    </row>
    <row r="69" spans="1:28">
      <c r="A69" s="167"/>
      <c r="B69" s="167"/>
      <c r="V69" s="225"/>
      <c r="W69" s="223"/>
      <c r="X69" s="224"/>
      <c r="Y69" s="223"/>
      <c r="Z69" s="224"/>
    </row>
    <row r="70" spans="1:28">
      <c r="A70" s="167"/>
      <c r="B70" s="167"/>
      <c r="V70" s="225"/>
      <c r="W70" s="223"/>
      <c r="X70" s="224"/>
      <c r="Y70" s="223"/>
      <c r="Z70" s="224"/>
    </row>
  </sheetData>
  <sheetProtection password="CACA" sheet="1" objects="1" scenarios="1"/>
  <mergeCells count="16">
    <mergeCell ref="W57:Z57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4" type="noConversion"/>
  <conditionalFormatting sqref="N6:N13 R6:R13 P6:P13 F6:F13 L6:L13 J6:J13 H6 D6 N25:N28 R25:R28 P25:P28 F25:F28 L25:L28 J25:J28 H25:H28 D25:D28 D33:D35 H33:H35 J33:J35 L33:L35 F33:F35 P33:P35 R33:R35 N33:N35 H17 J17 D17 L17 N17 P17 R17 F17 F19 R19 P19 N19 L19 D19 H8:H13">
    <cfRule type="cellIs" dxfId="453" priority="166" operator="greaterThan">
      <formula>C6</formula>
    </cfRule>
  </conditionalFormatting>
  <conditionalFormatting sqref="D40 F40 F38 D38">
    <cfRule type="cellIs" dxfId="452" priority="165" operator="greaterThan">
      <formula>C38</formula>
    </cfRule>
  </conditionalFormatting>
  <conditionalFormatting sqref="H40 H38">
    <cfRule type="cellIs" dxfId="451" priority="163" operator="greaterThan">
      <formula>G38</formula>
    </cfRule>
  </conditionalFormatting>
  <conditionalFormatting sqref="J40 J38">
    <cfRule type="cellIs" dxfId="450" priority="161" operator="greaterThan">
      <formula>I38</formula>
    </cfRule>
  </conditionalFormatting>
  <conditionalFormatting sqref="L40 L38">
    <cfRule type="cellIs" dxfId="449" priority="159" operator="greaterThan">
      <formula>K38</formula>
    </cfRule>
  </conditionalFormatting>
  <conditionalFormatting sqref="N40 N38">
    <cfRule type="cellIs" dxfId="448" priority="157" operator="greaterThan">
      <formula>M38</formula>
    </cfRule>
  </conditionalFormatting>
  <conditionalFormatting sqref="P40 P38">
    <cfRule type="cellIs" dxfId="447" priority="155" operator="greaterThan">
      <formula>O38</formula>
    </cfRule>
  </conditionalFormatting>
  <conditionalFormatting sqref="R40 R38">
    <cfRule type="cellIs" dxfId="446" priority="153" operator="greaterThan">
      <formula>Q38</formula>
    </cfRule>
  </conditionalFormatting>
  <conditionalFormatting sqref="H10:H13 J10:J13 L10:L13 N10:N13 P10:P13 R10:R13 F10:F13">
    <cfRule type="cellIs" dxfId="445" priority="152" operator="greaterThan">
      <formula>E10</formula>
    </cfRule>
  </conditionalFormatting>
  <conditionalFormatting sqref="F40 F38">
    <cfRule type="cellIs" dxfId="444" priority="150" operator="greaterThan">
      <formula>E38</formula>
    </cfRule>
  </conditionalFormatting>
  <conditionalFormatting sqref="D40 J40 L40 F40 P40 R40 N40 H40 N38 R38 P38 F38 L38 J38 H38 D38">
    <cfRule type="cellIs" dxfId="443" priority="149" operator="greaterThan">
      <formula>C38</formula>
    </cfRule>
  </conditionalFormatting>
  <conditionalFormatting sqref="C6">
    <cfRule type="cellIs" dxfId="442" priority="131" operator="greaterThan">
      <formula>$C$6</formula>
    </cfRule>
  </conditionalFormatting>
  <conditionalFormatting sqref="D8">
    <cfRule type="cellIs" dxfId="441" priority="129" operator="greaterThan">
      <formula>C8</formula>
    </cfRule>
  </conditionalFormatting>
  <conditionalFormatting sqref="D8">
    <cfRule type="cellIs" dxfId="440" priority="128" operator="greaterThan">
      <formula>C8</formula>
    </cfRule>
  </conditionalFormatting>
  <conditionalFormatting sqref="D8">
    <cfRule type="cellIs" dxfId="439" priority="127" operator="greaterThan">
      <formula>C8</formula>
    </cfRule>
  </conditionalFormatting>
  <conditionalFormatting sqref="D7">
    <cfRule type="cellIs" dxfId="438" priority="125" operator="greaterThan">
      <formula>C7</formula>
    </cfRule>
  </conditionalFormatting>
  <conditionalFormatting sqref="D7">
    <cfRule type="cellIs" dxfId="437" priority="124" operator="greaterThan">
      <formula>C7</formula>
    </cfRule>
  </conditionalFormatting>
  <conditionalFormatting sqref="D7">
    <cfRule type="cellIs" dxfId="436" priority="123" operator="greaterThan">
      <formula>C7</formula>
    </cfRule>
  </conditionalFormatting>
  <conditionalFormatting sqref="F14:F16 H14:H16 J15:J16 L14:L16 P14:P16 R14:R16 N14:N16">
    <cfRule type="cellIs" dxfId="435" priority="114" operator="greaterThan">
      <formula>E14</formula>
    </cfRule>
  </conditionalFormatting>
  <conditionalFormatting sqref="H14 L14 N14 P14 R14">
    <cfRule type="cellIs" dxfId="434" priority="109" operator="greaterThan">
      <formula>G14</formula>
    </cfRule>
  </conditionalFormatting>
  <conditionalFormatting sqref="F14">
    <cfRule type="cellIs" dxfId="433" priority="108" operator="greaterThan">
      <formula>E14</formula>
    </cfRule>
  </conditionalFormatting>
  <conditionalFormatting sqref="F14">
    <cfRule type="cellIs" dxfId="432" priority="107" operator="greaterThan">
      <formula>E14</formula>
    </cfRule>
  </conditionalFormatting>
  <conditionalFormatting sqref="F14">
    <cfRule type="cellIs" dxfId="431" priority="106" operator="greaterThan">
      <formula>E14</formula>
    </cfRule>
  </conditionalFormatting>
  <conditionalFormatting sqref="F14">
    <cfRule type="cellIs" dxfId="430" priority="105" operator="greaterThan">
      <formula>E14</formula>
    </cfRule>
  </conditionalFormatting>
  <conditionalFormatting sqref="H15 J15 L15 N15 P15 R15">
    <cfRule type="cellIs" dxfId="429" priority="104" operator="greaterThan">
      <formula>G15</formula>
    </cfRule>
  </conditionalFormatting>
  <conditionalFormatting sqref="F15">
    <cfRule type="cellIs" dxfId="428" priority="103" operator="greaterThan">
      <formula>E15</formula>
    </cfRule>
  </conditionalFormatting>
  <conditionalFormatting sqref="F15">
    <cfRule type="cellIs" dxfId="427" priority="102" operator="greaterThan">
      <formula>E15</formula>
    </cfRule>
  </conditionalFormatting>
  <conditionalFormatting sqref="F15">
    <cfRule type="cellIs" dxfId="426" priority="101" operator="greaterThan">
      <formula>E15</formula>
    </cfRule>
  </conditionalFormatting>
  <conditionalFormatting sqref="F15">
    <cfRule type="cellIs" dxfId="425" priority="100" operator="greaterThan">
      <formula>E15</formula>
    </cfRule>
  </conditionalFormatting>
  <conditionalFormatting sqref="H16 J16 L16 N16 P16 R16">
    <cfRule type="cellIs" dxfId="424" priority="99" operator="greaterThan">
      <formula>G16</formula>
    </cfRule>
  </conditionalFormatting>
  <conditionalFormatting sqref="F16">
    <cfRule type="cellIs" dxfId="423" priority="98" operator="greaterThan">
      <formula>E16</formula>
    </cfRule>
  </conditionalFormatting>
  <conditionalFormatting sqref="F16">
    <cfRule type="cellIs" dxfId="422" priority="97" operator="greaterThan">
      <formula>E16</formula>
    </cfRule>
  </conditionalFormatting>
  <conditionalFormatting sqref="F16">
    <cfRule type="cellIs" dxfId="421" priority="96" operator="greaterThan">
      <formula>E16</formula>
    </cfRule>
  </conditionalFormatting>
  <conditionalFormatting sqref="F16">
    <cfRule type="cellIs" dxfId="420" priority="95" operator="greaterThan">
      <formula>E16</formula>
    </cfRule>
  </conditionalFormatting>
  <conditionalFormatting sqref="N20:N22 R20:R22 P20:P22 L20:L22 J20:J22 H20:H22 D20:D22 F20:F22 F24 D24 H24 J24 L24 P24 R24 N24">
    <cfRule type="cellIs" dxfId="419" priority="94" operator="greaterThan">
      <formula>C20</formula>
    </cfRule>
  </conditionalFormatting>
  <conditionalFormatting sqref="H24 J24 L24 N24 P24 R24">
    <cfRule type="cellIs" dxfId="418" priority="93" operator="greaterThan">
      <formula>G24</formula>
    </cfRule>
  </conditionalFormatting>
  <conditionalFormatting sqref="F24">
    <cfRule type="cellIs" dxfId="417" priority="92" operator="greaterThan">
      <formula>E24</formula>
    </cfRule>
  </conditionalFormatting>
  <conditionalFormatting sqref="F24">
    <cfRule type="cellIs" dxfId="416" priority="91" operator="greaterThan">
      <formula>E24</formula>
    </cfRule>
  </conditionalFormatting>
  <conditionalFormatting sqref="F24">
    <cfRule type="cellIs" dxfId="415" priority="90" operator="greaterThan">
      <formula>E24</formula>
    </cfRule>
  </conditionalFormatting>
  <conditionalFormatting sqref="F24">
    <cfRule type="cellIs" dxfId="414" priority="89" operator="greaterThan">
      <formula>E24</formula>
    </cfRule>
  </conditionalFormatting>
  <conditionalFormatting sqref="N29:N32 R29:R32 P29:P32 L29:L32 J29:J32 H29:H32 D29:D30 F29:F32 D32">
    <cfRule type="cellIs" dxfId="413" priority="82" operator="greaterThan">
      <formula>C29</formula>
    </cfRule>
  </conditionalFormatting>
  <conditionalFormatting sqref="H31 J31 L31 N31 P31 R31">
    <cfRule type="cellIs" dxfId="412" priority="81" operator="greaterThan">
      <formula>G31</formula>
    </cfRule>
  </conditionalFormatting>
  <conditionalFormatting sqref="F31">
    <cfRule type="cellIs" dxfId="411" priority="80" operator="greaterThan">
      <formula>E31</formula>
    </cfRule>
  </conditionalFormatting>
  <conditionalFormatting sqref="F31">
    <cfRule type="cellIs" dxfId="410" priority="79" operator="greaterThan">
      <formula>E31</formula>
    </cfRule>
  </conditionalFormatting>
  <conditionalFormatting sqref="F31">
    <cfRule type="cellIs" dxfId="409" priority="78" operator="greaterThan">
      <formula>E31</formula>
    </cfRule>
  </conditionalFormatting>
  <conditionalFormatting sqref="F31">
    <cfRule type="cellIs" dxfId="408" priority="77" operator="greaterThan">
      <formula>E31</formula>
    </cfRule>
  </conditionalFormatting>
  <conditionalFormatting sqref="H32 J32 L32 N32 P32 R32">
    <cfRule type="cellIs" dxfId="407" priority="76" operator="greaterThan">
      <formula>G32</formula>
    </cfRule>
  </conditionalFormatting>
  <conditionalFormatting sqref="F32">
    <cfRule type="cellIs" dxfId="406" priority="75" operator="greaterThan">
      <formula>E32</formula>
    </cfRule>
  </conditionalFormatting>
  <conditionalFormatting sqref="F32">
    <cfRule type="cellIs" dxfId="405" priority="74" operator="greaterThan">
      <formula>E32</formula>
    </cfRule>
  </conditionalFormatting>
  <conditionalFormatting sqref="F32">
    <cfRule type="cellIs" dxfId="404" priority="73" operator="greaterThan">
      <formula>E32</formula>
    </cfRule>
  </conditionalFormatting>
  <conditionalFormatting sqref="F32">
    <cfRule type="cellIs" dxfId="403" priority="72" operator="greaterThan">
      <formula>E32</formula>
    </cfRule>
  </conditionalFormatting>
  <conditionalFormatting sqref="H29:H30 J29:J30 L29:L30 N29:N30 P29:P30 R29:R30">
    <cfRule type="cellIs" dxfId="402" priority="71" operator="greaterThan">
      <formula>G29</formula>
    </cfRule>
  </conditionalFormatting>
  <conditionalFormatting sqref="F29:F30">
    <cfRule type="cellIs" dxfId="401" priority="70" operator="greaterThan">
      <formula>E29</formula>
    </cfRule>
  </conditionalFormatting>
  <conditionalFormatting sqref="F29:F30">
    <cfRule type="cellIs" dxfId="400" priority="69" operator="greaterThan">
      <formula>E29</formula>
    </cfRule>
  </conditionalFormatting>
  <conditionalFormatting sqref="F29:F30">
    <cfRule type="cellIs" dxfId="399" priority="68" operator="greaterThan">
      <formula>E29</formula>
    </cfRule>
  </conditionalFormatting>
  <conditionalFormatting sqref="F29:F30">
    <cfRule type="cellIs" dxfId="398" priority="67" operator="greaterThan">
      <formula>E29</formula>
    </cfRule>
  </conditionalFormatting>
  <conditionalFormatting sqref="N36:N37 R36:R37 P36:P37 L36:L37 J36:J37 H36:H37 D36:D37 F36:F37">
    <cfRule type="cellIs" dxfId="397" priority="66" operator="greaterThan">
      <formula>C36</formula>
    </cfRule>
  </conditionalFormatting>
  <conditionalFormatting sqref="H36 J36 L36 N36 P36 R36">
    <cfRule type="cellIs" dxfId="396" priority="65" operator="greaterThan">
      <formula>G36</formula>
    </cfRule>
  </conditionalFormatting>
  <conditionalFormatting sqref="F36">
    <cfRule type="cellIs" dxfId="395" priority="64" operator="greaterThan">
      <formula>E36</formula>
    </cfRule>
  </conditionalFormatting>
  <conditionalFormatting sqref="F36">
    <cfRule type="cellIs" dxfId="394" priority="63" operator="greaterThan">
      <formula>E36</formula>
    </cfRule>
  </conditionalFormatting>
  <conditionalFormatting sqref="F36">
    <cfRule type="cellIs" dxfId="393" priority="62" operator="greaterThan">
      <formula>E36</formula>
    </cfRule>
  </conditionalFormatting>
  <conditionalFormatting sqref="F36">
    <cfRule type="cellIs" dxfId="392" priority="61" operator="greaterThan">
      <formula>E36</formula>
    </cfRule>
  </conditionalFormatting>
  <conditionalFormatting sqref="H37 J37 L37 N37 P37 R37">
    <cfRule type="cellIs" dxfId="391" priority="60" operator="greaterThan">
      <formula>G37</formula>
    </cfRule>
  </conditionalFormatting>
  <conditionalFormatting sqref="F37">
    <cfRule type="cellIs" dxfId="390" priority="59" operator="greaterThan">
      <formula>E37</formula>
    </cfRule>
  </conditionalFormatting>
  <conditionalFormatting sqref="F37">
    <cfRule type="cellIs" dxfId="389" priority="58" operator="greaterThan">
      <formula>E37</formula>
    </cfRule>
  </conditionalFormatting>
  <conditionalFormatting sqref="F37">
    <cfRule type="cellIs" dxfId="388" priority="57" operator="greaterThan">
      <formula>E37</formula>
    </cfRule>
  </conditionalFormatting>
  <conditionalFormatting sqref="F37">
    <cfRule type="cellIs" dxfId="387" priority="56" operator="greaterThan">
      <formula>E37</formula>
    </cfRule>
  </conditionalFormatting>
  <conditionalFormatting sqref="N41:N42 R41:R42 P41:P42 L41:L42 J41:J42 H41:H42 F41:F42">
    <cfRule type="cellIs" dxfId="386" priority="55" operator="greaterThan">
      <formula>E41</formula>
    </cfRule>
  </conditionalFormatting>
  <conditionalFormatting sqref="D41">
    <cfRule type="cellIs" dxfId="385" priority="54" operator="greaterThan">
      <formula>C41</formula>
    </cfRule>
  </conditionalFormatting>
  <conditionalFormatting sqref="D41">
    <cfRule type="cellIs" dxfId="384" priority="53" operator="greaterThan">
      <formula>C41</formula>
    </cfRule>
  </conditionalFormatting>
  <conditionalFormatting sqref="H41 J41 L41 N41 P41 R41">
    <cfRule type="cellIs" dxfId="383" priority="52" operator="greaterThan">
      <formula>G41</formula>
    </cfRule>
  </conditionalFormatting>
  <conditionalFormatting sqref="F41">
    <cfRule type="cellIs" dxfId="382" priority="51" operator="greaterThan">
      <formula>E41</formula>
    </cfRule>
  </conditionalFormatting>
  <conditionalFormatting sqref="F41">
    <cfRule type="cellIs" dxfId="381" priority="50" operator="greaterThan">
      <formula>E41</formula>
    </cfRule>
  </conditionalFormatting>
  <conditionalFormatting sqref="F41">
    <cfRule type="cellIs" dxfId="380" priority="49" operator="greaterThan">
      <formula>E41</formula>
    </cfRule>
  </conditionalFormatting>
  <conditionalFormatting sqref="F41">
    <cfRule type="cellIs" dxfId="379" priority="48" operator="greaterThan">
      <formula>E41</formula>
    </cfRule>
  </conditionalFormatting>
  <conditionalFormatting sqref="H42 J42 L42 N42 P42 R42">
    <cfRule type="cellIs" dxfId="378" priority="47" operator="greaterThan">
      <formula>G42</formula>
    </cfRule>
  </conditionalFormatting>
  <conditionalFormatting sqref="F42">
    <cfRule type="cellIs" dxfId="377" priority="46" operator="greaterThan">
      <formula>E42</formula>
    </cfRule>
  </conditionalFormatting>
  <conditionalFormatting sqref="F42">
    <cfRule type="cellIs" dxfId="376" priority="45" operator="greaterThan">
      <formula>E42</formula>
    </cfRule>
  </conditionalFormatting>
  <conditionalFormatting sqref="F42">
    <cfRule type="cellIs" dxfId="375" priority="44" operator="greaterThan">
      <formula>E42</formula>
    </cfRule>
  </conditionalFormatting>
  <conditionalFormatting sqref="F42">
    <cfRule type="cellIs" dxfId="374" priority="43" operator="greaterThan">
      <formula>E42</formula>
    </cfRule>
  </conditionalFormatting>
  <conditionalFormatting sqref="H19 J19">
    <cfRule type="cellIs" dxfId="373" priority="38" operator="greaterThan">
      <formula>G19</formula>
    </cfRule>
  </conditionalFormatting>
  <conditionalFormatting sqref="H19 J19">
    <cfRule type="cellIs" dxfId="372" priority="37" operator="greaterThan">
      <formula>G19</formula>
    </cfRule>
  </conditionalFormatting>
  <conditionalFormatting sqref="J14">
    <cfRule type="cellIs" dxfId="371" priority="36" operator="greaterThan">
      <formula>I14</formula>
    </cfRule>
  </conditionalFormatting>
  <conditionalFormatting sqref="J14">
    <cfRule type="cellIs" dxfId="370" priority="35" operator="greaterThan">
      <formula>I14</formula>
    </cfRule>
  </conditionalFormatting>
  <conditionalFormatting sqref="T44">
    <cfRule type="cellIs" dxfId="369" priority="339" operator="notEqual">
      <formula>$AB$44</formula>
    </cfRule>
  </conditionalFormatting>
  <conditionalFormatting sqref="U44">
    <cfRule type="cellIs" dxfId="368" priority="340" operator="notEqual">
      <formula>$AC$44</formula>
    </cfRule>
  </conditionalFormatting>
  <conditionalFormatting sqref="S44">
    <cfRule type="cellIs" dxfId="367" priority="341" operator="notEqual">
      <formula>$AA$44</formula>
    </cfRule>
  </conditionalFormatting>
  <conditionalFormatting sqref="N23 R23 P23 L23 J23 H23 D23 F23">
    <cfRule type="cellIs" dxfId="366" priority="26" operator="greaterThan">
      <formula>C23</formula>
    </cfRule>
  </conditionalFormatting>
  <conditionalFormatting sqref="S46">
    <cfRule type="cellIs" dxfId="365" priority="8" operator="notEqual">
      <formula>$AA$46</formula>
    </cfRule>
    <cfRule type="cellIs" dxfId="364" priority="25" operator="notEqual">
      <formula>AA46</formula>
    </cfRule>
  </conditionalFormatting>
  <conditionalFormatting sqref="S48">
    <cfRule type="cellIs" dxfId="363" priority="24" operator="notEqual">
      <formula>AA48</formula>
    </cfRule>
  </conditionalFormatting>
  <conditionalFormatting sqref="S50">
    <cfRule type="cellIs" dxfId="362" priority="23" operator="notEqual">
      <formula>AA50</formula>
    </cfRule>
  </conditionalFormatting>
  <conditionalFormatting sqref="T46">
    <cfRule type="cellIs" dxfId="361" priority="7" operator="notEqual">
      <formula>$AB$46</formula>
    </cfRule>
  </conditionalFormatting>
  <conditionalFormatting sqref="U46">
    <cfRule type="cellIs" dxfId="360" priority="21" operator="notEqual">
      <formula>AC46</formula>
    </cfRule>
  </conditionalFormatting>
  <conditionalFormatting sqref="T48">
    <cfRule type="cellIs" dxfId="359" priority="20" operator="notEqual">
      <formula>AB48</formula>
    </cfRule>
  </conditionalFormatting>
  <conditionalFormatting sqref="U48">
    <cfRule type="cellIs" dxfId="358" priority="19" operator="notEqual">
      <formula>AC48</formula>
    </cfRule>
  </conditionalFormatting>
  <conditionalFormatting sqref="T50">
    <cfRule type="cellIs" dxfId="357" priority="18" operator="notEqual">
      <formula>AB50</formula>
    </cfRule>
  </conditionalFormatting>
  <conditionalFormatting sqref="U50">
    <cfRule type="cellIs" dxfId="356" priority="17" operator="notEqual">
      <formula>AC50</formula>
    </cfRule>
  </conditionalFormatting>
  <conditionalFormatting sqref="H18 J18 D18 L18 N18 P18 R18 F18">
    <cfRule type="cellIs" dxfId="355" priority="15" operator="greaterThan">
      <formula>C18</formula>
    </cfRule>
  </conditionalFormatting>
  <conditionalFormatting sqref="N43 R43 P43 L43 J43 H43 F43">
    <cfRule type="cellIs" dxfId="354" priority="14" operator="greaterThan">
      <formula>E43</formula>
    </cfRule>
  </conditionalFormatting>
  <conditionalFormatting sqref="H43 J43 L43 N43 P43 R43">
    <cfRule type="cellIs" dxfId="353" priority="13" operator="greaterThan">
      <formula>G43</formula>
    </cfRule>
  </conditionalFormatting>
  <conditionalFormatting sqref="F43">
    <cfRule type="cellIs" dxfId="352" priority="12" operator="greaterThan">
      <formula>E43</formula>
    </cfRule>
  </conditionalFormatting>
  <conditionalFormatting sqref="F43">
    <cfRule type="cellIs" dxfId="351" priority="11" operator="greaterThan">
      <formula>E43</formula>
    </cfRule>
  </conditionalFormatting>
  <conditionalFormatting sqref="F43">
    <cfRule type="cellIs" dxfId="350" priority="10" operator="greaterThan">
      <formula>E43</formula>
    </cfRule>
  </conditionalFormatting>
  <conditionalFormatting sqref="F43">
    <cfRule type="cellIs" dxfId="349" priority="9" operator="greaterThan">
      <formula>E43</formula>
    </cfRule>
  </conditionalFormatting>
  <conditionalFormatting sqref="S47">
    <cfRule type="cellIs" dxfId="348" priority="6" operator="notEqual">
      <formula>AA47</formula>
    </cfRule>
  </conditionalFormatting>
  <conditionalFormatting sqref="T47">
    <cfRule type="cellIs" dxfId="347" priority="5" operator="notEqual">
      <formula>$AB$47</formula>
    </cfRule>
  </conditionalFormatting>
  <conditionalFormatting sqref="U47">
    <cfRule type="cellIs" dxfId="346" priority="4" operator="notEqual">
      <formula>$AC$47</formula>
    </cfRule>
  </conditionalFormatting>
  <conditionalFormatting sqref="S49">
    <cfRule type="cellIs" dxfId="345" priority="3" operator="notEqual">
      <formula>$AA$49</formula>
    </cfRule>
  </conditionalFormatting>
  <conditionalFormatting sqref="T49">
    <cfRule type="cellIs" dxfId="344" priority="2" operator="notEqual">
      <formula>$AB$49</formula>
    </cfRule>
  </conditionalFormatting>
  <conditionalFormatting sqref="U49">
    <cfRule type="cellIs" dxfId="343" priority="1" operator="notEqual">
      <formula>$AC$49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>
      <formula1>-1E+28</formula1>
    </dataValidation>
    <dataValidation allowBlank="1" showErrorMessage="1" prompt="Введите самостоятельно рассчитанный коэффициент" sqref="C5:R5 T5:U5"/>
    <dataValidation type="date" operator="greaterThan" allowBlank="1" showInputMessage="1" showErrorMessage="1" prompt="Введите дату в формате ЧЧ.ММ.ГГГГ" sqref="X2">
      <formula1>DATE(96,1,1)</formula1>
    </dataValidation>
  </dataValidations>
  <printOptions horizontalCentered="1"/>
  <pageMargins left="0" right="0" top="0.21" bottom="0.21" header="0" footer="0"/>
  <pageSetup paperSize="9" scale="29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D40:S40 F39:S39 D12:S13 E10:S11 S16 S14 D20:S22 S19 E31:S31 S29:S30 D35:S35 E32:P32 S32 S38 S36 S37 S43 S41:S42 S15 D34:S34 D45:S45 D44:H44 J44:R44 S17 D33:Q33 S33 D24:S28 D23:P23 S23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2:AD63"/>
  <sheetViews>
    <sheetView view="pageBreakPreview" zoomScale="55" zoomScaleNormal="55" zoomScaleSheetLayoutView="55" workbookViewId="0">
      <pane xSplit="2" ySplit="5" topLeftCell="C6" activePane="bottomRight" state="frozen"/>
      <selection activeCell="G38" sqref="G38"/>
      <selection pane="topRight" activeCell="G38" sqref="G38"/>
      <selection pane="bottomLeft" activeCell="G38" sqref="G38"/>
      <selection pane="bottomRight" activeCell="F33" sqref="F33"/>
    </sheetView>
  </sheetViews>
  <sheetFormatPr defaultRowHeight="15"/>
  <cols>
    <col min="1" max="1" width="8.140625" style="462" customWidth="1"/>
    <col min="2" max="2" width="105.42578125" style="448" customWidth="1"/>
    <col min="3" max="10" width="20.5703125" style="448" customWidth="1"/>
    <col min="11" max="11" width="21.5703125" style="448" customWidth="1"/>
    <col min="12" max="12" width="15.5703125" style="463" customWidth="1"/>
    <col min="13" max="13" width="19.42578125" style="464" customWidth="1"/>
    <col min="14" max="14" width="23.28515625" style="449" customWidth="1"/>
    <col min="15" max="15" width="23.7109375" style="469" customWidth="1"/>
    <col min="16" max="16" width="17.5703125" style="448" customWidth="1"/>
    <col min="17" max="17" width="15.140625" style="448" customWidth="1"/>
    <col min="18" max="18" width="23.85546875" style="448" customWidth="1"/>
    <col min="19" max="19" width="15.140625" style="448" customWidth="1"/>
    <col min="20" max="16384" width="9.140625" style="448"/>
  </cols>
  <sheetData>
    <row r="2" spans="1:19" s="120" customFormat="1" ht="26.25" customHeight="1">
      <c r="A2" s="308" t="s">
        <v>541</v>
      </c>
      <c r="B2" s="413"/>
      <c r="C2" s="413"/>
      <c r="D2" s="414"/>
      <c r="E2" s="414"/>
      <c r="F2" s="414"/>
      <c r="G2" s="119"/>
      <c r="H2" s="119"/>
      <c r="I2" s="119"/>
      <c r="K2" s="471"/>
      <c r="L2" s="532" t="s">
        <v>559</v>
      </c>
      <c r="M2" s="532"/>
      <c r="N2" s="532"/>
      <c r="O2" s="486"/>
    </row>
    <row r="3" spans="1:19" ht="15.75">
      <c r="A3" s="444"/>
      <c r="B3" s="472" t="str">
        <f>Balance!B3</f>
        <v>"MKBANK"</v>
      </c>
      <c r="C3" s="445"/>
      <c r="D3" s="446"/>
      <c r="E3" s="446"/>
      <c r="F3" s="446"/>
      <c r="G3" s="446"/>
      <c r="H3" s="446"/>
      <c r="I3" s="446"/>
      <c r="J3" s="447"/>
      <c r="K3" s="536">
        <f>+Balance!D3</f>
        <v>45289</v>
      </c>
      <c r="L3" s="536"/>
      <c r="M3" s="446"/>
      <c r="N3" s="449" t="str">
        <f>+Balance!E3</f>
        <v>минг сўмда</v>
      </c>
    </row>
    <row r="4" spans="1:19" s="20" customFormat="1" ht="37.5" customHeight="1">
      <c r="A4" s="526" t="s">
        <v>54</v>
      </c>
      <c r="B4" s="526" t="s">
        <v>336</v>
      </c>
      <c r="C4" s="520" t="s">
        <v>337</v>
      </c>
      <c r="D4" s="522"/>
      <c r="E4" s="522"/>
      <c r="F4" s="522"/>
      <c r="G4" s="522"/>
      <c r="H4" s="522"/>
      <c r="I4" s="522"/>
      <c r="J4" s="521"/>
      <c r="K4" s="526" t="s">
        <v>176</v>
      </c>
      <c r="L4" s="520" t="s">
        <v>339</v>
      </c>
      <c r="M4" s="522"/>
      <c r="N4" s="521"/>
      <c r="O4" s="487"/>
    </row>
    <row r="5" spans="1:19" s="20" customFormat="1" ht="42.75" customHeight="1">
      <c r="A5" s="535"/>
      <c r="B5" s="535"/>
      <c r="C5" s="475" t="s">
        <v>340</v>
      </c>
      <c r="D5" s="475" t="s">
        <v>341</v>
      </c>
      <c r="E5" s="475" t="s">
        <v>342</v>
      </c>
      <c r="F5" s="475" t="s">
        <v>343</v>
      </c>
      <c r="G5" s="475" t="s">
        <v>344</v>
      </c>
      <c r="H5" s="475" t="s">
        <v>345</v>
      </c>
      <c r="I5" s="475" t="s">
        <v>346</v>
      </c>
      <c r="J5" s="475" t="s">
        <v>347</v>
      </c>
      <c r="K5" s="535"/>
      <c r="L5" s="473" t="s">
        <v>22</v>
      </c>
      <c r="M5" s="473" t="s">
        <v>402</v>
      </c>
      <c r="N5" s="473" t="s">
        <v>352</v>
      </c>
      <c r="O5" s="487"/>
    </row>
    <row r="6" spans="1:19" s="160" customFormat="1" ht="27" customHeight="1">
      <c r="A6" s="442" t="s">
        <v>355</v>
      </c>
      <c r="B6" s="337" t="s">
        <v>285</v>
      </c>
      <c r="C6" s="498">
        <f>+'Bank Assets Analysis'!C6-'Bank Assets Analysis'!D6</f>
        <v>551095339</v>
      </c>
      <c r="D6" s="498">
        <f>+'Bank Assets Analysis'!E6-'Bank Assets Analysis'!F6</f>
        <v>0</v>
      </c>
      <c r="E6" s="498">
        <f>+'Bank Assets Analysis'!G6-'Bank Assets Analysis'!H6</f>
        <v>0</v>
      </c>
      <c r="F6" s="498">
        <f>+'Bank Assets Analysis'!I6-'Bank Assets Analysis'!J6</f>
        <v>0</v>
      </c>
      <c r="G6" s="498">
        <f>+'Bank Assets Analysis'!K6-'Bank Assets Analysis'!L6</f>
        <v>0</v>
      </c>
      <c r="H6" s="498">
        <f>+'Bank Assets Analysis'!M6-'Bank Assets Analysis'!N6</f>
        <v>0</v>
      </c>
      <c r="I6" s="498">
        <f>+'Bank Assets Analysis'!O6-'Bank Assets Analysis'!P6</f>
        <v>0</v>
      </c>
      <c r="J6" s="498">
        <f>+'Bank Assets Analysis'!Q6-'Bank Assets Analysis'!R6</f>
        <v>0</v>
      </c>
      <c r="K6" s="155">
        <f t="shared" ref="K6:K42" si="0">+C6+D6+E6+F6+G6+H6+I6+J6</f>
        <v>551095339</v>
      </c>
      <c r="L6" s="156">
        <v>1</v>
      </c>
      <c r="M6" s="157">
        <f>+K6</f>
        <v>551095339</v>
      </c>
      <c r="N6" s="158">
        <f>+M6*L6</f>
        <v>551095339</v>
      </c>
      <c r="O6" s="487"/>
      <c r="P6" s="20"/>
      <c r="Q6" s="159"/>
      <c r="R6" s="159"/>
      <c r="S6" s="159"/>
    </row>
    <row r="7" spans="1:19" s="160" customFormat="1" ht="27" customHeight="1">
      <c r="A7" s="442" t="s">
        <v>356</v>
      </c>
      <c r="B7" s="337" t="s">
        <v>521</v>
      </c>
      <c r="C7" s="498">
        <f>+'Bank Assets Analysis'!C7-'Bank Assets Analysis'!D7</f>
        <v>260288524</v>
      </c>
      <c r="D7" s="498">
        <f>+'Bank Assets Analysis'!E7-'Bank Assets Analysis'!F7</f>
        <v>0</v>
      </c>
      <c r="E7" s="498">
        <f>+'Bank Assets Analysis'!G7-'Bank Assets Analysis'!H7</f>
        <v>0</v>
      </c>
      <c r="F7" s="498">
        <f>+'Bank Assets Analysis'!I7-'Bank Assets Analysis'!J7</f>
        <v>0</v>
      </c>
      <c r="G7" s="498">
        <f>+'Bank Assets Analysis'!K7-'Bank Assets Analysis'!L7</f>
        <v>0</v>
      </c>
      <c r="H7" s="498">
        <f>+'Bank Assets Analysis'!M7-'Bank Assets Analysis'!N7</f>
        <v>0</v>
      </c>
      <c r="I7" s="498">
        <f>+'Bank Assets Analysis'!O7-'Bank Assets Analysis'!P7</f>
        <v>0</v>
      </c>
      <c r="J7" s="498">
        <f>+'Bank Assets Analysis'!Q7-'Bank Assets Analysis'!R7</f>
        <v>0</v>
      </c>
      <c r="K7" s="155">
        <f t="shared" si="0"/>
        <v>260288524</v>
      </c>
      <c r="L7" s="156">
        <v>1</v>
      </c>
      <c r="M7" s="157">
        <f>+K7</f>
        <v>260288524</v>
      </c>
      <c r="N7" s="158">
        <f t="shared" ref="N7:N15" si="1">+M7*L7</f>
        <v>260288524</v>
      </c>
      <c r="O7" s="487"/>
      <c r="P7" s="20"/>
      <c r="Q7" s="159"/>
      <c r="R7" s="159"/>
      <c r="S7" s="159"/>
    </row>
    <row r="8" spans="1:19" s="160" customFormat="1" ht="27" customHeight="1">
      <c r="A8" s="442" t="s">
        <v>73</v>
      </c>
      <c r="B8" s="337" t="s">
        <v>357</v>
      </c>
      <c r="C8" s="498">
        <f>+'Bank Assets Analysis'!C8-'Bank Assets Analysis'!D8</f>
        <v>47398669</v>
      </c>
      <c r="D8" s="498">
        <f>+'Bank Assets Analysis'!E8-'Bank Assets Analysis'!F8</f>
        <v>0</v>
      </c>
      <c r="E8" s="498">
        <f>+'Bank Assets Analysis'!G8-'Bank Assets Analysis'!H8</f>
        <v>0</v>
      </c>
      <c r="F8" s="498">
        <f>+'Bank Assets Analysis'!I8-'Bank Assets Analysis'!J8</f>
        <v>0</v>
      </c>
      <c r="G8" s="498">
        <f>+'Bank Assets Analysis'!K8-'Bank Assets Analysis'!L8</f>
        <v>0</v>
      </c>
      <c r="H8" s="498">
        <f>+'Bank Assets Analysis'!M8-'Bank Assets Analysis'!N8</f>
        <v>0</v>
      </c>
      <c r="I8" s="498">
        <f>+'Bank Assets Analysis'!O8-'Bank Assets Analysis'!P8</f>
        <v>0</v>
      </c>
      <c r="J8" s="498">
        <f>+'Bank Assets Analysis'!Q8-'Bank Assets Analysis'!R8</f>
        <v>0</v>
      </c>
      <c r="K8" s="155">
        <f t="shared" si="0"/>
        <v>47398669</v>
      </c>
      <c r="L8" s="156">
        <v>0</v>
      </c>
      <c r="M8" s="157"/>
      <c r="N8" s="155">
        <f t="shared" si="1"/>
        <v>0</v>
      </c>
      <c r="O8" s="487"/>
      <c r="P8" s="20"/>
      <c r="Q8" s="159"/>
      <c r="R8" s="159"/>
      <c r="S8" s="159"/>
    </row>
    <row r="9" spans="1:19" s="160" customFormat="1" ht="27" customHeight="1">
      <c r="A9" s="442" t="s">
        <v>358</v>
      </c>
      <c r="B9" s="337" t="s">
        <v>479</v>
      </c>
      <c r="C9" s="498">
        <f>SUM(C10:C16)-C13</f>
        <v>6593454</v>
      </c>
      <c r="D9" s="498">
        <f t="shared" ref="D9:J9" si="2">SUM(D10:D16)-D13</f>
        <v>57781</v>
      </c>
      <c r="E9" s="498">
        <f t="shared" si="2"/>
        <v>137400000</v>
      </c>
      <c r="F9" s="498">
        <f t="shared" si="2"/>
        <v>167400000</v>
      </c>
      <c r="G9" s="498">
        <f t="shared" si="2"/>
        <v>60000000</v>
      </c>
      <c r="H9" s="498">
        <f t="shared" si="2"/>
        <v>0</v>
      </c>
      <c r="I9" s="498">
        <f t="shared" si="2"/>
        <v>0</v>
      </c>
      <c r="J9" s="498">
        <f t="shared" si="2"/>
        <v>65926800</v>
      </c>
      <c r="K9" s="155">
        <f t="shared" si="0"/>
        <v>437378035</v>
      </c>
      <c r="L9" s="156"/>
      <c r="M9" s="157"/>
      <c r="N9" s="155">
        <f t="shared" si="1"/>
        <v>0</v>
      </c>
      <c r="O9" s="487"/>
      <c r="P9" s="20"/>
      <c r="Q9" s="159"/>
      <c r="R9" s="159"/>
      <c r="S9" s="159"/>
    </row>
    <row r="10" spans="1:19" s="160" customFormat="1" ht="27" customHeight="1">
      <c r="A10" s="442" t="s">
        <v>74</v>
      </c>
      <c r="B10" s="337" t="s">
        <v>359</v>
      </c>
      <c r="C10" s="498">
        <f>+'Bank Assets Analysis'!C10-'Bank Assets Analysis'!D10</f>
        <v>0</v>
      </c>
      <c r="D10" s="498">
        <f>+'Bank Assets Analysis'!E10-'Bank Assets Analysis'!F10</f>
        <v>0</v>
      </c>
      <c r="E10" s="498">
        <f>+'Bank Assets Analysis'!G10-'Bank Assets Analysis'!H10</f>
        <v>0</v>
      </c>
      <c r="F10" s="498">
        <f>+'Bank Assets Analysis'!I10-'Bank Assets Analysis'!J10</f>
        <v>0</v>
      </c>
      <c r="G10" s="498">
        <f>+'Bank Assets Analysis'!K10-'Bank Assets Analysis'!L10</f>
        <v>0</v>
      </c>
      <c r="H10" s="498">
        <f>+'Bank Assets Analysis'!M10-'Bank Assets Analysis'!N10</f>
        <v>0</v>
      </c>
      <c r="I10" s="498">
        <f>+'Bank Assets Analysis'!O10-'Bank Assets Analysis'!P10</f>
        <v>0</v>
      </c>
      <c r="J10" s="498">
        <f>+'Bank Assets Analysis'!Q10-'Bank Assets Analysis'!R10</f>
        <v>0</v>
      </c>
      <c r="K10" s="155">
        <f t="shared" si="0"/>
        <v>0</v>
      </c>
      <c r="L10" s="156">
        <v>1</v>
      </c>
      <c r="M10" s="157">
        <f>+C10</f>
        <v>0</v>
      </c>
      <c r="N10" s="158">
        <f t="shared" si="1"/>
        <v>0</v>
      </c>
      <c r="O10" s="487"/>
      <c r="P10" s="20"/>
      <c r="Q10" s="159"/>
      <c r="R10" s="159"/>
      <c r="S10" s="159"/>
    </row>
    <row r="11" spans="1:19" s="160" customFormat="1" ht="27" customHeight="1">
      <c r="A11" s="442" t="s">
        <v>75</v>
      </c>
      <c r="B11" s="337" t="s">
        <v>360</v>
      </c>
      <c r="C11" s="498">
        <f>+'Bank Assets Analysis'!C11-'Bank Assets Analysis'!D11</f>
        <v>5</v>
      </c>
      <c r="D11" s="498">
        <f>+'Bank Assets Analysis'!E11-'Bank Assets Analysis'!F11</f>
        <v>0</v>
      </c>
      <c r="E11" s="498">
        <f>+'Bank Assets Analysis'!G11-'Bank Assets Analysis'!H11</f>
        <v>0</v>
      </c>
      <c r="F11" s="498">
        <f>+'Bank Assets Analysis'!I11-'Bank Assets Analysis'!J11</f>
        <v>0</v>
      </c>
      <c r="G11" s="498">
        <f>+'Bank Assets Analysis'!K11-'Bank Assets Analysis'!L11</f>
        <v>0</v>
      </c>
      <c r="H11" s="498">
        <f>+'Bank Assets Analysis'!M11-'Bank Assets Analysis'!N11</f>
        <v>0</v>
      </c>
      <c r="I11" s="498">
        <f>+'Bank Assets Analysis'!O11-'Bank Assets Analysis'!P11</f>
        <v>0</v>
      </c>
      <c r="J11" s="498">
        <f>+'Bank Assets Analysis'!Q11-'Bank Assets Analysis'!R11</f>
        <v>0</v>
      </c>
      <c r="K11" s="155">
        <f t="shared" ref="K11:K13" si="3">+C11+D11+E11+F11+G11+H11+I11+J11</f>
        <v>5</v>
      </c>
      <c r="L11" s="156">
        <v>1</v>
      </c>
      <c r="M11" s="157">
        <f>+C11</f>
        <v>5</v>
      </c>
      <c r="N11" s="158">
        <f t="shared" si="1"/>
        <v>5</v>
      </c>
      <c r="O11" s="487"/>
      <c r="P11" s="20"/>
      <c r="Q11" s="159"/>
      <c r="R11" s="159"/>
      <c r="S11" s="159"/>
    </row>
    <row r="12" spans="1:19" s="160" customFormat="1" ht="27" customHeight="1">
      <c r="A12" s="442" t="s">
        <v>15</v>
      </c>
      <c r="B12" s="337" t="s">
        <v>361</v>
      </c>
      <c r="C12" s="498">
        <f>+'Bank Assets Analysis'!C12-'Bank Assets Analysis'!D12</f>
        <v>0</v>
      </c>
      <c r="D12" s="498">
        <f>+'Bank Assets Analysis'!E12-'Bank Assets Analysis'!F12</f>
        <v>0</v>
      </c>
      <c r="E12" s="498">
        <f>+'Bank Assets Analysis'!G12-'Bank Assets Analysis'!H12</f>
        <v>0</v>
      </c>
      <c r="F12" s="498">
        <f>+'Bank Assets Analysis'!I12-'Bank Assets Analysis'!J12</f>
        <v>0</v>
      </c>
      <c r="G12" s="498">
        <f>+'Bank Assets Analysis'!K12-'Bank Assets Analysis'!L12</f>
        <v>0</v>
      </c>
      <c r="H12" s="498">
        <f>+'Bank Assets Analysis'!M12-'Bank Assets Analysis'!N12</f>
        <v>0</v>
      </c>
      <c r="I12" s="498">
        <f>+'Bank Assets Analysis'!O12-'Bank Assets Analysis'!P12</f>
        <v>0</v>
      </c>
      <c r="J12" s="498">
        <f>+'Bank Assets Analysis'!Q12-'Bank Assets Analysis'!R12</f>
        <v>0</v>
      </c>
      <c r="K12" s="155">
        <f t="shared" si="3"/>
        <v>0</v>
      </c>
      <c r="L12" s="156">
        <v>1</v>
      </c>
      <c r="M12" s="206">
        <f>+D12-D13</f>
        <v>0</v>
      </c>
      <c r="N12" s="155">
        <f t="shared" si="1"/>
        <v>0</v>
      </c>
      <c r="O12" s="487"/>
      <c r="P12" s="20"/>
      <c r="Q12" s="159"/>
      <c r="R12" s="159"/>
      <c r="S12" s="159"/>
    </row>
    <row r="13" spans="1:19" s="160" customFormat="1" ht="33.75" customHeight="1">
      <c r="A13" s="442" t="s">
        <v>165</v>
      </c>
      <c r="B13" s="337" t="s">
        <v>362</v>
      </c>
      <c r="C13" s="498">
        <f>+'Bank Assets Analysis'!C13-'Bank Assets Analysis'!D13</f>
        <v>0</v>
      </c>
      <c r="D13" s="498">
        <f>+'Bank Assets Analysis'!E13-'Bank Assets Analysis'!F13</f>
        <v>0</v>
      </c>
      <c r="E13" s="498">
        <f>+'Bank Assets Analysis'!G13-'Bank Assets Analysis'!H13</f>
        <v>0</v>
      </c>
      <c r="F13" s="498">
        <f>+'Bank Assets Analysis'!I13-'Bank Assets Analysis'!J13</f>
        <v>0</v>
      </c>
      <c r="G13" s="498">
        <f>+'Bank Assets Analysis'!K13-'Bank Assets Analysis'!L13</f>
        <v>0</v>
      </c>
      <c r="H13" s="498">
        <f>+'Bank Assets Analysis'!M13-'Bank Assets Analysis'!N13</f>
        <v>0</v>
      </c>
      <c r="I13" s="498">
        <f>+'Bank Assets Analysis'!O13-'Bank Assets Analysis'!P13</f>
        <v>0</v>
      </c>
      <c r="J13" s="498">
        <f>+'Bank Assets Analysis'!Q13-'Bank Assets Analysis'!R13</f>
        <v>0</v>
      </c>
      <c r="K13" s="155">
        <f t="shared" si="3"/>
        <v>0</v>
      </c>
      <c r="L13" s="156">
        <v>1</v>
      </c>
      <c r="M13" s="157">
        <f>+D13</f>
        <v>0</v>
      </c>
      <c r="N13" s="155">
        <f t="shared" si="1"/>
        <v>0</v>
      </c>
      <c r="O13" s="487"/>
      <c r="P13" s="20"/>
      <c r="Q13" s="159"/>
      <c r="R13" s="159"/>
      <c r="S13" s="159"/>
    </row>
    <row r="14" spans="1:19" s="160" customFormat="1" ht="33.75" customHeight="1">
      <c r="A14" s="442" t="s">
        <v>149</v>
      </c>
      <c r="B14" s="337" t="s">
        <v>526</v>
      </c>
      <c r="C14" s="498">
        <f>+'Bank Assets Analysis'!C14-'Bank Assets Analysis'!D14</f>
        <v>0</v>
      </c>
      <c r="D14" s="498">
        <f>+'Bank Assets Analysis'!E14-'Bank Assets Analysis'!F14</f>
        <v>57781</v>
      </c>
      <c r="E14" s="498">
        <f>+'Bank Assets Analysis'!G14-'Bank Assets Analysis'!H14</f>
        <v>137400000</v>
      </c>
      <c r="F14" s="498">
        <f>+'Bank Assets Analysis'!I14-'Bank Assets Analysis'!J14</f>
        <v>167400000</v>
      </c>
      <c r="G14" s="498">
        <f>+'Bank Assets Analysis'!K14-'Bank Assets Analysis'!L14</f>
        <v>60000000</v>
      </c>
      <c r="H14" s="498">
        <f>+'Bank Assets Analysis'!M14-'Bank Assets Analysis'!N14</f>
        <v>0</v>
      </c>
      <c r="I14" s="498">
        <f>+'Bank Assets Analysis'!O14-'Bank Assets Analysis'!P14</f>
        <v>0</v>
      </c>
      <c r="J14" s="498">
        <f>+'Bank Assets Analysis'!Q14-'Bank Assets Analysis'!R14</f>
        <v>65926800</v>
      </c>
      <c r="K14" s="155">
        <f t="shared" si="0"/>
        <v>430784581</v>
      </c>
      <c r="L14" s="156">
        <v>1</v>
      </c>
      <c r="M14" s="157">
        <f>+C14+D14+E14+D10+D11</f>
        <v>137457781</v>
      </c>
      <c r="N14" s="155">
        <f t="shared" si="1"/>
        <v>137457781</v>
      </c>
      <c r="O14" s="487"/>
      <c r="P14" s="20"/>
      <c r="Q14" s="159"/>
      <c r="R14" s="159"/>
      <c r="S14" s="159"/>
    </row>
    <row r="15" spans="1:19" s="160" customFormat="1" ht="33.75" customHeight="1">
      <c r="A15" s="442" t="s">
        <v>162</v>
      </c>
      <c r="B15" s="337" t="s">
        <v>363</v>
      </c>
      <c r="C15" s="498">
        <f>+'Bank Assets Analysis'!C15-'Bank Assets Analysis'!D15</f>
        <v>6593449</v>
      </c>
      <c r="D15" s="498">
        <f>+'Bank Assets Analysis'!E15-'Bank Assets Analysis'!F15</f>
        <v>0</v>
      </c>
      <c r="E15" s="498">
        <f>+'Bank Assets Analysis'!G15-'Bank Assets Analysis'!H15</f>
        <v>0</v>
      </c>
      <c r="F15" s="498">
        <f>+'Bank Assets Analysis'!I15-'Bank Assets Analysis'!J15</f>
        <v>0</v>
      </c>
      <c r="G15" s="498">
        <f>+'Bank Assets Analysis'!K15-'Bank Assets Analysis'!L15</f>
        <v>0</v>
      </c>
      <c r="H15" s="498">
        <f>+'Bank Assets Analysis'!M15-'Bank Assets Analysis'!N15</f>
        <v>0</v>
      </c>
      <c r="I15" s="498">
        <f>+'Bank Assets Analysis'!O15-'Bank Assets Analysis'!P15</f>
        <v>0</v>
      </c>
      <c r="J15" s="498">
        <f>+'Bank Assets Analysis'!Q15-'Bank Assets Analysis'!R15</f>
        <v>0</v>
      </c>
      <c r="K15" s="155">
        <f t="shared" si="0"/>
        <v>6593449</v>
      </c>
      <c r="L15" s="156">
        <v>1</v>
      </c>
      <c r="M15" s="157">
        <f>+C15+D15+E15</f>
        <v>6593449</v>
      </c>
      <c r="N15" s="155">
        <f t="shared" si="1"/>
        <v>6593449</v>
      </c>
      <c r="O15" s="487"/>
      <c r="P15" s="20"/>
      <c r="Q15" s="159"/>
      <c r="R15" s="159"/>
      <c r="S15" s="159"/>
    </row>
    <row r="16" spans="1:19" s="160" customFormat="1" ht="27" customHeight="1">
      <c r="A16" s="442" t="s">
        <v>163</v>
      </c>
      <c r="B16" s="337" t="s">
        <v>364</v>
      </c>
      <c r="C16" s="498">
        <f>+'Bank Assets Analysis'!C16-'Bank Assets Analysis'!D16</f>
        <v>0</v>
      </c>
      <c r="D16" s="498">
        <f>+'Bank Assets Analysis'!E16-'Bank Assets Analysis'!F16</f>
        <v>0</v>
      </c>
      <c r="E16" s="498">
        <f>+'Bank Assets Analysis'!G16-'Bank Assets Analysis'!H16</f>
        <v>0</v>
      </c>
      <c r="F16" s="498">
        <f>+'Bank Assets Analysis'!I16-'Bank Assets Analysis'!J16</f>
        <v>0</v>
      </c>
      <c r="G16" s="498">
        <f>+'Bank Assets Analysis'!K16-'Bank Assets Analysis'!L16</f>
        <v>0</v>
      </c>
      <c r="H16" s="498">
        <f>+'Bank Assets Analysis'!M16-'Bank Assets Analysis'!N16</f>
        <v>0</v>
      </c>
      <c r="I16" s="498">
        <f>+'Bank Assets Analysis'!O16-'Bank Assets Analysis'!P16</f>
        <v>0</v>
      </c>
      <c r="J16" s="498">
        <f>+'Bank Assets Analysis'!Q16-'Bank Assets Analysis'!R16</f>
        <v>0</v>
      </c>
      <c r="K16" s="155">
        <f t="shared" si="0"/>
        <v>0</v>
      </c>
      <c r="L16" s="156">
        <v>1</v>
      </c>
      <c r="M16" s="157">
        <f>+C16+D16+E16</f>
        <v>0</v>
      </c>
      <c r="N16" s="155">
        <f>+M16*L16</f>
        <v>0</v>
      </c>
      <c r="O16" s="487"/>
      <c r="P16" s="20"/>
      <c r="Q16" s="159"/>
      <c r="R16" s="159"/>
      <c r="S16" s="159"/>
    </row>
    <row r="17" spans="1:19" s="160" customFormat="1" ht="27" customHeight="1">
      <c r="A17" s="442" t="s">
        <v>365</v>
      </c>
      <c r="B17" s="337" t="s">
        <v>183</v>
      </c>
      <c r="C17" s="498">
        <f>+'Bank Assets Analysis'!C17-'Bank Assets Analysis'!D17</f>
        <v>175</v>
      </c>
      <c r="D17" s="498">
        <f>+'Bank Assets Analysis'!E17-'Bank Assets Analysis'!F17</f>
        <v>0</v>
      </c>
      <c r="E17" s="498">
        <f>+'Bank Assets Analysis'!G17-'Bank Assets Analysis'!H17</f>
        <v>0</v>
      </c>
      <c r="F17" s="498">
        <f>+'Bank Assets Analysis'!I17-'Bank Assets Analysis'!J17</f>
        <v>0</v>
      </c>
      <c r="G17" s="498">
        <f>+'Bank Assets Analysis'!K17-'Bank Assets Analysis'!L17</f>
        <v>0</v>
      </c>
      <c r="H17" s="498">
        <f>+'Bank Assets Analysis'!M17-'Bank Assets Analysis'!N17</f>
        <v>0</v>
      </c>
      <c r="I17" s="498">
        <f>+'Bank Assets Analysis'!O17-'Bank Assets Analysis'!P17</f>
        <v>0</v>
      </c>
      <c r="J17" s="498">
        <f>+'Bank Assets Analysis'!Q17-'Bank Assets Analysis'!R17</f>
        <v>10000000</v>
      </c>
      <c r="K17" s="155">
        <f t="shared" si="0"/>
        <v>10000175</v>
      </c>
      <c r="L17" s="156"/>
      <c r="M17" s="157"/>
      <c r="N17" s="155">
        <f t="shared" ref="N17:N42" si="4">+M17*L17</f>
        <v>0</v>
      </c>
      <c r="O17" s="487"/>
      <c r="P17" s="20"/>
      <c r="Q17" s="159"/>
      <c r="R17" s="159"/>
      <c r="S17" s="159"/>
    </row>
    <row r="18" spans="1:19" s="160" customFormat="1" ht="27" customHeight="1">
      <c r="A18" s="442" t="s">
        <v>553</v>
      </c>
      <c r="B18" s="337" t="s">
        <v>552</v>
      </c>
      <c r="C18" s="498">
        <f>+'Bank Assets Analysis'!C18-'Bank Assets Analysis'!D18</f>
        <v>0</v>
      </c>
      <c r="D18" s="498">
        <f>+'Bank Assets Analysis'!E18-'Bank Assets Analysis'!F18</f>
        <v>0</v>
      </c>
      <c r="E18" s="498">
        <f>+'Bank Assets Analysis'!G18-'Bank Assets Analysis'!H18</f>
        <v>0</v>
      </c>
      <c r="F18" s="498">
        <f>+'Bank Assets Analysis'!I18-'Bank Assets Analysis'!J18</f>
        <v>0</v>
      </c>
      <c r="G18" s="498">
        <f>+'Bank Assets Analysis'!K18-'Bank Assets Analysis'!L18</f>
        <v>0</v>
      </c>
      <c r="H18" s="498">
        <f>+'Bank Assets Analysis'!M18-'Bank Assets Analysis'!N18</f>
        <v>0</v>
      </c>
      <c r="I18" s="498">
        <f>+'Bank Assets Analysis'!O18-'Bank Assets Analysis'!P18</f>
        <v>0</v>
      </c>
      <c r="J18" s="498">
        <f>+'Bank Assets Analysis'!Q18-'Bank Assets Analysis'!R18</f>
        <v>0</v>
      </c>
      <c r="K18" s="155">
        <f>+C18+D18+E18+F18+G18+H18+I18+J18</f>
        <v>0</v>
      </c>
      <c r="L18" s="156">
        <v>1</v>
      </c>
      <c r="M18" s="157">
        <f>SUM(C18:E18)</f>
        <v>0</v>
      </c>
      <c r="N18" s="155">
        <f>+M18*L18</f>
        <v>0</v>
      </c>
      <c r="O18" s="487"/>
      <c r="P18" s="20"/>
      <c r="Q18" s="159"/>
      <c r="R18" s="159"/>
      <c r="S18" s="159"/>
    </row>
    <row r="19" spans="1:19" s="160" customFormat="1" ht="30">
      <c r="A19" s="442" t="s">
        <v>76</v>
      </c>
      <c r="B19" s="337" t="s">
        <v>366</v>
      </c>
      <c r="C19" s="498">
        <f>+'Bank Assets Analysis'!C19-'Bank Assets Analysis'!D19</f>
        <v>175</v>
      </c>
      <c r="D19" s="498">
        <f>+'Bank Assets Analysis'!E19-'Bank Assets Analysis'!F19</f>
        <v>0</v>
      </c>
      <c r="E19" s="498">
        <f>+'Bank Assets Analysis'!G19-'Bank Assets Analysis'!H19</f>
        <v>0</v>
      </c>
      <c r="F19" s="498">
        <f>+'Bank Assets Analysis'!I19-'Bank Assets Analysis'!J19</f>
        <v>0</v>
      </c>
      <c r="G19" s="498">
        <f>+'Bank Assets Analysis'!K19-'Bank Assets Analysis'!L19</f>
        <v>0</v>
      </c>
      <c r="H19" s="498">
        <f>+'Bank Assets Analysis'!M19-'Bank Assets Analysis'!N19</f>
        <v>0</v>
      </c>
      <c r="I19" s="498">
        <f>+'Bank Assets Analysis'!O19-'Bank Assets Analysis'!P19</f>
        <v>0</v>
      </c>
      <c r="J19" s="498">
        <f>+'Bank Assets Analysis'!Q19-'Bank Assets Analysis'!R19</f>
        <v>0</v>
      </c>
      <c r="K19" s="155">
        <f t="shared" si="0"/>
        <v>175</v>
      </c>
      <c r="L19" s="156">
        <v>1</v>
      </c>
      <c r="M19" s="206">
        <f>+K19</f>
        <v>175</v>
      </c>
      <c r="N19" s="158">
        <f t="shared" si="4"/>
        <v>175</v>
      </c>
      <c r="O19" s="487"/>
      <c r="P19" s="20"/>
      <c r="Q19" s="159"/>
      <c r="R19" s="159"/>
      <c r="S19" s="159"/>
    </row>
    <row r="20" spans="1:19" s="160" customFormat="1" ht="27" customHeight="1">
      <c r="A20" s="442" t="s">
        <v>20</v>
      </c>
      <c r="B20" s="337" t="s">
        <v>367</v>
      </c>
      <c r="C20" s="498">
        <f>+'Bank Assets Analysis'!C20-'Bank Assets Analysis'!D20</f>
        <v>0</v>
      </c>
      <c r="D20" s="498">
        <f>+'Bank Assets Analysis'!E20-'Bank Assets Analysis'!F20</f>
        <v>0</v>
      </c>
      <c r="E20" s="498">
        <f>+'Bank Assets Analysis'!G20-'Bank Assets Analysis'!H20</f>
        <v>0</v>
      </c>
      <c r="F20" s="498">
        <f>+'Bank Assets Analysis'!I20-'Bank Assets Analysis'!J20</f>
        <v>0</v>
      </c>
      <c r="G20" s="498">
        <f>+'Bank Assets Analysis'!K20-'Bank Assets Analysis'!L20</f>
        <v>0</v>
      </c>
      <c r="H20" s="498">
        <f>+'Bank Assets Analysis'!M20-'Bank Assets Analysis'!N20</f>
        <v>0</v>
      </c>
      <c r="I20" s="498">
        <f>+'Bank Assets Analysis'!O20-'Bank Assets Analysis'!P20</f>
        <v>0</v>
      </c>
      <c r="J20" s="498">
        <f>+'Bank Assets Analysis'!Q20-'Bank Assets Analysis'!R20</f>
        <v>0</v>
      </c>
      <c r="K20" s="155">
        <f t="shared" si="0"/>
        <v>0</v>
      </c>
      <c r="L20" s="156">
        <v>1</v>
      </c>
      <c r="M20" s="157">
        <f>+K20</f>
        <v>0</v>
      </c>
      <c r="N20" s="158">
        <f t="shared" si="4"/>
        <v>0</v>
      </c>
      <c r="O20" s="487"/>
      <c r="P20" s="20"/>
      <c r="Q20" s="159"/>
      <c r="R20" s="159"/>
      <c r="S20" s="159"/>
    </row>
    <row r="21" spans="1:19" s="160" customFormat="1" ht="45">
      <c r="A21" s="442" t="s">
        <v>21</v>
      </c>
      <c r="B21" s="337" t="s">
        <v>368</v>
      </c>
      <c r="C21" s="498">
        <f>+'Bank Assets Analysis'!C21-'Bank Assets Analysis'!D21</f>
        <v>0</v>
      </c>
      <c r="D21" s="498">
        <f>+'Bank Assets Analysis'!E21-'Bank Assets Analysis'!F21</f>
        <v>0</v>
      </c>
      <c r="E21" s="498">
        <f>+'Bank Assets Analysis'!G21-'Bank Assets Analysis'!H21</f>
        <v>0</v>
      </c>
      <c r="F21" s="498">
        <f>+'Bank Assets Analysis'!I21-'Bank Assets Analysis'!J21</f>
        <v>0</v>
      </c>
      <c r="G21" s="498">
        <f>+'Bank Assets Analysis'!K21-'Bank Assets Analysis'!L21</f>
        <v>0</v>
      </c>
      <c r="H21" s="498">
        <f>+'Bank Assets Analysis'!M21-'Bank Assets Analysis'!N21</f>
        <v>0</v>
      </c>
      <c r="I21" s="498">
        <f>+'Bank Assets Analysis'!O21-'Bank Assets Analysis'!P21</f>
        <v>0</v>
      </c>
      <c r="J21" s="498">
        <f>+'Bank Assets Analysis'!Q21-'Bank Assets Analysis'!R21</f>
        <v>0</v>
      </c>
      <c r="K21" s="155">
        <f t="shared" ref="K21" si="5">+C21+D21+E21+F21+G21+H21+I21+J21</f>
        <v>0</v>
      </c>
      <c r="L21" s="156">
        <v>1</v>
      </c>
      <c r="M21" s="157">
        <f>+K21</f>
        <v>0</v>
      </c>
      <c r="N21" s="158">
        <f t="shared" si="4"/>
        <v>0</v>
      </c>
      <c r="O21" s="487"/>
      <c r="P21" s="20"/>
      <c r="Q21" s="159"/>
      <c r="R21" s="159"/>
      <c r="S21" s="159"/>
    </row>
    <row r="22" spans="1:19" s="160" customFormat="1" ht="33.75" customHeight="1">
      <c r="A22" s="442" t="s">
        <v>28</v>
      </c>
      <c r="B22" s="337" t="s">
        <v>369</v>
      </c>
      <c r="C22" s="498">
        <f>+'Bank Assets Analysis'!C22-'Bank Assets Analysis'!D22</f>
        <v>0</v>
      </c>
      <c r="D22" s="498">
        <f>+'Bank Assets Analysis'!E22-'Bank Assets Analysis'!F22</f>
        <v>0</v>
      </c>
      <c r="E22" s="498">
        <f>+'Bank Assets Analysis'!G22-'Bank Assets Analysis'!H22</f>
        <v>0</v>
      </c>
      <c r="F22" s="498">
        <f>+'Bank Assets Analysis'!I22-'Bank Assets Analysis'!J22</f>
        <v>0</v>
      </c>
      <c r="G22" s="498">
        <f>+'Bank Assets Analysis'!K22-'Bank Assets Analysis'!L22</f>
        <v>0</v>
      </c>
      <c r="H22" s="498">
        <f>+'Bank Assets Analysis'!M22-'Bank Assets Analysis'!N22</f>
        <v>0</v>
      </c>
      <c r="I22" s="498">
        <f>+'Bank Assets Analysis'!O22-'Bank Assets Analysis'!P22</f>
        <v>0</v>
      </c>
      <c r="J22" s="498">
        <f>+'Bank Assets Analysis'!Q22-'Bank Assets Analysis'!R22</f>
        <v>0</v>
      </c>
      <c r="K22" s="155">
        <f t="shared" si="0"/>
        <v>0</v>
      </c>
      <c r="L22" s="156">
        <v>1</v>
      </c>
      <c r="M22" s="157">
        <f>+D22+E22</f>
        <v>0</v>
      </c>
      <c r="N22" s="158">
        <f t="shared" si="4"/>
        <v>0</v>
      </c>
      <c r="O22" s="487"/>
      <c r="P22" s="20"/>
      <c r="Q22" s="159"/>
      <c r="R22" s="159"/>
      <c r="S22" s="159"/>
    </row>
    <row r="23" spans="1:19" s="160" customFormat="1" ht="27" customHeight="1">
      <c r="A23" s="442" t="s">
        <v>164</v>
      </c>
      <c r="B23" s="337" t="s">
        <v>292</v>
      </c>
      <c r="C23" s="498">
        <f>+'Bank Assets Analysis'!C23-'Bank Assets Analysis'!D23</f>
        <v>0</v>
      </c>
      <c r="D23" s="498">
        <f>+'Bank Assets Analysis'!E23-'Bank Assets Analysis'!F23</f>
        <v>0</v>
      </c>
      <c r="E23" s="498">
        <f>+'Bank Assets Analysis'!G23-'Bank Assets Analysis'!H23</f>
        <v>0</v>
      </c>
      <c r="F23" s="498">
        <f>+'Bank Assets Analysis'!I23-'Bank Assets Analysis'!J23</f>
        <v>0</v>
      </c>
      <c r="G23" s="498">
        <f>+'Bank Assets Analysis'!K23-'Bank Assets Analysis'!L23</f>
        <v>0</v>
      </c>
      <c r="H23" s="498">
        <f>+'Bank Assets Analysis'!M23-'Bank Assets Analysis'!N23</f>
        <v>0</v>
      </c>
      <c r="I23" s="498">
        <f>+'Bank Assets Analysis'!O23-'Bank Assets Analysis'!P23</f>
        <v>0</v>
      </c>
      <c r="J23" s="498">
        <f>+'Bank Assets Analysis'!Q23-'Bank Assets Analysis'!R23</f>
        <v>10000000</v>
      </c>
      <c r="K23" s="155">
        <f t="shared" ref="K23" si="6">+C23+D23+E23+F23+G23+H23+I23+J23</f>
        <v>10000000</v>
      </c>
      <c r="L23" s="156">
        <v>1</v>
      </c>
      <c r="M23" s="157">
        <f>+D23+E23</f>
        <v>0</v>
      </c>
      <c r="N23" s="158">
        <f t="shared" ref="N23:N24" si="7">+M23*L23</f>
        <v>0</v>
      </c>
      <c r="O23" s="487"/>
      <c r="P23" s="20"/>
      <c r="Q23" s="159"/>
      <c r="R23" s="159"/>
      <c r="S23" s="159"/>
    </row>
    <row r="24" spans="1:19" s="160" customFormat="1" ht="27" customHeight="1">
      <c r="A24" s="442" t="s">
        <v>370</v>
      </c>
      <c r="B24" s="337" t="s">
        <v>371</v>
      </c>
      <c r="C24" s="155">
        <f>+'Bank Assets Analysis'!C24-'Bank Assets Analysis'!D24</f>
        <v>0</v>
      </c>
      <c r="D24" s="155">
        <f>+'Bank Assets Analysis'!E24-'Bank Assets Analysis'!F24</f>
        <v>0</v>
      </c>
      <c r="E24" s="155">
        <f>+'Bank Assets Analysis'!G24-'Bank Assets Analysis'!H24</f>
        <v>0</v>
      </c>
      <c r="F24" s="155">
        <f>+'Bank Assets Analysis'!I24-'Bank Assets Analysis'!J24</f>
        <v>0</v>
      </c>
      <c r="G24" s="155">
        <f>+'Bank Assets Analysis'!K24-'Bank Assets Analysis'!L24</f>
        <v>0</v>
      </c>
      <c r="H24" s="155">
        <f>+'Bank Assets Analysis'!M24-'Bank Assets Analysis'!N24</f>
        <v>0</v>
      </c>
      <c r="I24" s="155">
        <f>+'Bank Assets Analysis'!O24-'Bank Assets Analysis'!P24</f>
        <v>0</v>
      </c>
      <c r="J24" s="155">
        <f>+'Bank Assets Analysis'!Q24-'Bank Assets Analysis'!R24</f>
        <v>0</v>
      </c>
      <c r="K24" s="155">
        <f t="shared" si="0"/>
        <v>0</v>
      </c>
      <c r="L24" s="156">
        <v>1</v>
      </c>
      <c r="M24" s="206">
        <f>+C24+D24+E24</f>
        <v>0</v>
      </c>
      <c r="N24" s="155">
        <f t="shared" si="7"/>
        <v>0</v>
      </c>
      <c r="O24" s="487"/>
      <c r="P24" s="20"/>
      <c r="Q24" s="159"/>
      <c r="R24" s="159"/>
      <c r="S24" s="159"/>
    </row>
    <row r="25" spans="1:19" s="160" customFormat="1" ht="33.75" customHeight="1">
      <c r="A25" s="442" t="s">
        <v>372</v>
      </c>
      <c r="B25" s="337" t="s">
        <v>373</v>
      </c>
      <c r="C25" s="498">
        <f>+'Bank Assets Analysis'!C25-'Bank Assets Analysis'!D25</f>
        <v>0</v>
      </c>
      <c r="D25" s="498">
        <f>+'Bank Assets Analysis'!E25-'Bank Assets Analysis'!F25</f>
        <v>0</v>
      </c>
      <c r="E25" s="498">
        <f>+'Bank Assets Analysis'!G25-'Bank Assets Analysis'!H25</f>
        <v>0</v>
      </c>
      <c r="F25" s="498">
        <f>+'Bank Assets Analysis'!I25-'Bank Assets Analysis'!J25</f>
        <v>0</v>
      </c>
      <c r="G25" s="498">
        <f>+'Bank Assets Analysis'!K25-'Bank Assets Analysis'!L25</f>
        <v>0</v>
      </c>
      <c r="H25" s="498">
        <f>+'Bank Assets Analysis'!M25-'Bank Assets Analysis'!N25</f>
        <v>0</v>
      </c>
      <c r="I25" s="498">
        <f>+'Bank Assets Analysis'!O25-'Bank Assets Analysis'!P25</f>
        <v>0</v>
      </c>
      <c r="J25" s="498">
        <f>+'Bank Assets Analysis'!Q25-'Bank Assets Analysis'!R25</f>
        <v>0</v>
      </c>
      <c r="K25" s="155">
        <f t="shared" si="0"/>
        <v>0</v>
      </c>
      <c r="L25" s="156">
        <v>0.5</v>
      </c>
      <c r="M25" s="157">
        <f>+D25+E25</f>
        <v>0</v>
      </c>
      <c r="N25" s="155">
        <f t="shared" si="4"/>
        <v>0</v>
      </c>
      <c r="O25" s="487"/>
      <c r="P25" s="20"/>
      <c r="Q25" s="159"/>
      <c r="R25" s="159"/>
      <c r="S25" s="159"/>
    </row>
    <row r="26" spans="1:19" s="160" customFormat="1" ht="27" customHeight="1">
      <c r="A26" s="442" t="s">
        <v>374</v>
      </c>
      <c r="B26" s="337" t="s">
        <v>375</v>
      </c>
      <c r="C26" s="498">
        <f>+'Bank Assets Analysis'!C26-'Bank Assets Analysis'!D26</f>
        <v>0</v>
      </c>
      <c r="D26" s="498">
        <f>+'Bank Assets Analysis'!E26-'Bank Assets Analysis'!F26</f>
        <v>0</v>
      </c>
      <c r="E26" s="498">
        <f>+'Bank Assets Analysis'!G26-'Bank Assets Analysis'!H26</f>
        <v>0</v>
      </c>
      <c r="F26" s="498">
        <f>+'Bank Assets Analysis'!I26-'Bank Assets Analysis'!J26</f>
        <v>0</v>
      </c>
      <c r="G26" s="498">
        <f>+'Bank Assets Analysis'!K26-'Bank Assets Analysis'!L26</f>
        <v>0</v>
      </c>
      <c r="H26" s="498">
        <f>+'Bank Assets Analysis'!M26-'Bank Assets Analysis'!N26</f>
        <v>0</v>
      </c>
      <c r="I26" s="498">
        <f>+'Bank Assets Analysis'!O26-'Bank Assets Analysis'!P26</f>
        <v>0</v>
      </c>
      <c r="J26" s="498">
        <f>+'Bank Assets Analysis'!Q26-'Bank Assets Analysis'!R26</f>
        <v>0</v>
      </c>
      <c r="K26" s="155">
        <f t="shared" si="0"/>
        <v>0</v>
      </c>
      <c r="L26" s="156">
        <v>0.5</v>
      </c>
      <c r="M26" s="157">
        <f>+D26+E26</f>
        <v>0</v>
      </c>
      <c r="N26" s="155">
        <f t="shared" si="4"/>
        <v>0</v>
      </c>
      <c r="O26" s="487"/>
      <c r="P26" s="20"/>
      <c r="Q26" s="159"/>
      <c r="R26" s="159"/>
      <c r="S26" s="159"/>
    </row>
    <row r="27" spans="1:19" s="160" customFormat="1" ht="27" customHeight="1">
      <c r="A27" s="442" t="s">
        <v>376</v>
      </c>
      <c r="B27" s="337" t="s">
        <v>377</v>
      </c>
      <c r="C27" s="498">
        <f>+'Bank Assets Analysis'!C27-'Bank Assets Analysis'!D27</f>
        <v>0</v>
      </c>
      <c r="D27" s="498">
        <f>+'Bank Assets Analysis'!E27-'Bank Assets Analysis'!F27</f>
        <v>0</v>
      </c>
      <c r="E27" s="498">
        <f>+'Bank Assets Analysis'!G27-'Bank Assets Analysis'!H27</f>
        <v>0</v>
      </c>
      <c r="F27" s="498">
        <f>+'Bank Assets Analysis'!I27-'Bank Assets Analysis'!J27</f>
        <v>0</v>
      </c>
      <c r="G27" s="498">
        <f>+'Bank Assets Analysis'!K27-'Bank Assets Analysis'!L27</f>
        <v>0</v>
      </c>
      <c r="H27" s="498">
        <f>+'Bank Assets Analysis'!M27-'Bank Assets Analysis'!N27</f>
        <v>0</v>
      </c>
      <c r="I27" s="498">
        <f>+'Bank Assets Analysis'!O27-'Bank Assets Analysis'!P27</f>
        <v>0</v>
      </c>
      <c r="J27" s="498">
        <f>+'Bank Assets Analysis'!Q27-'Bank Assets Analysis'!R27</f>
        <v>0</v>
      </c>
      <c r="K27" s="155">
        <f t="shared" si="0"/>
        <v>0</v>
      </c>
      <c r="L27" s="156">
        <v>1</v>
      </c>
      <c r="M27" s="157">
        <f>C27+D27+E27</f>
        <v>0</v>
      </c>
      <c r="N27" s="155">
        <f t="shared" si="4"/>
        <v>0</v>
      </c>
      <c r="O27" s="487"/>
      <c r="P27" s="20"/>
      <c r="Q27" s="159"/>
      <c r="R27" s="159"/>
      <c r="S27" s="159"/>
    </row>
    <row r="28" spans="1:19" s="160" customFormat="1" ht="27" customHeight="1">
      <c r="A28" s="442" t="s">
        <v>378</v>
      </c>
      <c r="B28" s="337" t="s">
        <v>379</v>
      </c>
      <c r="C28" s="498">
        <f>+'Bank Assets Analysis'!C28-'Bank Assets Analysis'!D28</f>
        <v>0</v>
      </c>
      <c r="D28" s="498">
        <f>+'Bank Assets Analysis'!E28-'Bank Assets Analysis'!F28</f>
        <v>0</v>
      </c>
      <c r="E28" s="498">
        <f>+'Bank Assets Analysis'!G28-'Bank Assets Analysis'!H28</f>
        <v>0</v>
      </c>
      <c r="F28" s="498">
        <f>+'Bank Assets Analysis'!I28-'Bank Assets Analysis'!J28</f>
        <v>0</v>
      </c>
      <c r="G28" s="498">
        <f>+'Bank Assets Analysis'!K28-'Bank Assets Analysis'!L28</f>
        <v>0</v>
      </c>
      <c r="H28" s="498">
        <f>+'Bank Assets Analysis'!M28-'Bank Assets Analysis'!N28</f>
        <v>0</v>
      </c>
      <c r="I28" s="498">
        <f>+'Bank Assets Analysis'!O28-'Bank Assets Analysis'!P28</f>
        <v>0</v>
      </c>
      <c r="J28" s="498">
        <f>+'Bank Assets Analysis'!Q28-'Bank Assets Analysis'!R28</f>
        <v>0</v>
      </c>
      <c r="K28" s="155">
        <f t="shared" si="0"/>
        <v>0</v>
      </c>
      <c r="L28" s="156">
        <v>0.5</v>
      </c>
      <c r="M28" s="157">
        <f>+D28+E28</f>
        <v>0</v>
      </c>
      <c r="N28" s="155">
        <f t="shared" si="4"/>
        <v>0</v>
      </c>
      <c r="O28" s="487"/>
      <c r="P28" s="20"/>
      <c r="Q28" s="159"/>
      <c r="R28" s="159"/>
      <c r="S28" s="159"/>
    </row>
    <row r="29" spans="1:19" s="160" customFormat="1" ht="27" customHeight="1">
      <c r="A29" s="442" t="s">
        <v>380</v>
      </c>
      <c r="B29" s="337" t="s">
        <v>527</v>
      </c>
      <c r="C29" s="498">
        <f>+'Bank Assets Analysis'!C29-'Bank Assets Analysis'!D29</f>
        <v>820387724</v>
      </c>
      <c r="D29" s="498">
        <f>+'Bank Assets Analysis'!E29-'Bank Assets Analysis'!F29</f>
        <v>269050005</v>
      </c>
      <c r="E29" s="498">
        <f>+'Bank Assets Analysis'!G29-'Bank Assets Analysis'!H29</f>
        <v>65347064</v>
      </c>
      <c r="F29" s="498">
        <f>+'Bank Assets Analysis'!I29-'Bank Assets Analysis'!J29</f>
        <v>612956445</v>
      </c>
      <c r="G29" s="498">
        <f>+'Bank Assets Analysis'!K29-'Bank Assets Analysis'!L29</f>
        <v>870435346</v>
      </c>
      <c r="H29" s="498">
        <f>+'Bank Assets Analysis'!M29-'Bank Assets Analysis'!N29</f>
        <v>1499959481</v>
      </c>
      <c r="I29" s="498">
        <f>+'Bank Assets Analysis'!O29-'Bank Assets Analysis'!P29</f>
        <v>2241850936</v>
      </c>
      <c r="J29" s="498">
        <f>+'Bank Assets Analysis'!Q29-'Bank Assets Analysis'!R29</f>
        <v>4138653043</v>
      </c>
      <c r="K29" s="155">
        <f t="shared" si="0"/>
        <v>10518640044</v>
      </c>
      <c r="L29" s="156">
        <v>0.5</v>
      </c>
      <c r="M29" s="157">
        <f>+D29+E29</f>
        <v>334397069</v>
      </c>
      <c r="N29" s="155">
        <f t="shared" si="4"/>
        <v>167198534.5</v>
      </c>
      <c r="O29" s="487"/>
      <c r="P29" s="20"/>
      <c r="Q29" s="159"/>
      <c r="R29" s="159"/>
      <c r="S29" s="159"/>
    </row>
    <row r="30" spans="1:19" s="160" customFormat="1" ht="27" customHeight="1">
      <c r="A30" s="442" t="s">
        <v>203</v>
      </c>
      <c r="B30" s="337" t="s">
        <v>381</v>
      </c>
      <c r="C30" s="498">
        <f>+'Bank Assets Analysis'!C30-'Bank Assets Analysis'!D30</f>
        <v>364323451</v>
      </c>
      <c r="D30" s="498">
        <f>+'Bank Assets Analysis'!E30-'Bank Assets Analysis'!F30</f>
        <v>160797559</v>
      </c>
      <c r="E30" s="498">
        <f>+'Bank Assets Analysis'!G30-'Bank Assets Analysis'!H30</f>
        <v>3477537</v>
      </c>
      <c r="F30" s="498">
        <f>+'Bank Assets Analysis'!I30-'Bank Assets Analysis'!J30</f>
        <v>337034071</v>
      </c>
      <c r="G30" s="498">
        <f>+'Bank Assets Analysis'!K30-'Bank Assets Analysis'!L30</f>
        <v>468079006</v>
      </c>
      <c r="H30" s="498">
        <f>+'Bank Assets Analysis'!M30-'Bank Assets Analysis'!N30</f>
        <v>847473617</v>
      </c>
      <c r="I30" s="498">
        <f>+'Bank Assets Analysis'!O30-'Bank Assets Analysis'!P30</f>
        <v>1197123365</v>
      </c>
      <c r="J30" s="498">
        <f>+'Bank Assets Analysis'!Q30-'Bank Assets Analysis'!R30</f>
        <v>1903954683</v>
      </c>
      <c r="K30" s="155">
        <f t="shared" si="0"/>
        <v>5282263289</v>
      </c>
      <c r="L30" s="156">
        <v>0</v>
      </c>
      <c r="M30" s="157">
        <f t="shared" ref="M30:M33" si="8">+D30+E30</f>
        <v>164275096</v>
      </c>
      <c r="N30" s="155">
        <f t="shared" ref="N30:N33" si="9">+M30*L30</f>
        <v>0</v>
      </c>
      <c r="O30" s="487"/>
      <c r="P30" s="20"/>
      <c r="Q30" s="159"/>
      <c r="R30" s="159"/>
      <c r="S30" s="159"/>
    </row>
    <row r="31" spans="1:19" s="160" customFormat="1" ht="27" customHeight="1">
      <c r="A31" s="442" t="s">
        <v>382</v>
      </c>
      <c r="B31" s="337" t="s">
        <v>383</v>
      </c>
      <c r="C31" s="498">
        <f>+'Bank Assets Analysis'!C31-'Bank Assets Analysis'!D31</f>
        <v>34463895</v>
      </c>
      <c r="D31" s="498">
        <f>+'Bank Assets Analysis'!E31-'Bank Assets Analysis'!F31</f>
        <v>0</v>
      </c>
      <c r="E31" s="498">
        <f>+'Bank Assets Analysis'!G31-'Bank Assets Analysis'!H31</f>
        <v>0</v>
      </c>
      <c r="F31" s="498">
        <f>+'Bank Assets Analysis'!I31-'Bank Assets Analysis'!J31</f>
        <v>0</v>
      </c>
      <c r="G31" s="498">
        <f>+'Bank Assets Analysis'!K31-'Bank Assets Analysis'!L31</f>
        <v>0</v>
      </c>
      <c r="H31" s="498">
        <f>+'Bank Assets Analysis'!M31-'Bank Assets Analysis'!N31</f>
        <v>0</v>
      </c>
      <c r="I31" s="498">
        <f>+'Bank Assets Analysis'!O31-'Bank Assets Analysis'!P31</f>
        <v>0</v>
      </c>
      <c r="J31" s="498">
        <f>+'Bank Assets Analysis'!Q31-'Bank Assets Analysis'!R31</f>
        <v>0</v>
      </c>
      <c r="K31" s="155">
        <f t="shared" si="0"/>
        <v>34463895</v>
      </c>
      <c r="L31" s="156">
        <v>0</v>
      </c>
      <c r="M31" s="157">
        <f t="shared" si="8"/>
        <v>0</v>
      </c>
      <c r="N31" s="155">
        <f t="shared" si="9"/>
        <v>0</v>
      </c>
      <c r="O31" s="487"/>
      <c r="P31" s="20"/>
      <c r="Q31" s="159"/>
      <c r="R31" s="159"/>
      <c r="S31" s="159"/>
    </row>
    <row r="32" spans="1:19" s="160" customFormat="1" ht="27" customHeight="1">
      <c r="A32" s="442">
        <v>11</v>
      </c>
      <c r="B32" s="337" t="s">
        <v>190</v>
      </c>
      <c r="C32" s="498">
        <f>+'Bank Assets Analysis'!C32-'Bank Assets Analysis'!D32</f>
        <v>107220</v>
      </c>
      <c r="D32" s="498">
        <f>+'Bank Assets Analysis'!E32-'Bank Assets Analysis'!F32</f>
        <v>0</v>
      </c>
      <c r="E32" s="498">
        <f>+'Bank Assets Analysis'!G32-'Bank Assets Analysis'!H32</f>
        <v>0</v>
      </c>
      <c r="F32" s="498">
        <f>+'Bank Assets Analysis'!I32-'Bank Assets Analysis'!J32</f>
        <v>0</v>
      </c>
      <c r="G32" s="498">
        <f>+'Bank Assets Analysis'!K32-'Bank Assets Analysis'!L32</f>
        <v>0</v>
      </c>
      <c r="H32" s="498">
        <f>+'Bank Assets Analysis'!M32-'Bank Assets Analysis'!N32</f>
        <v>0</v>
      </c>
      <c r="I32" s="498">
        <f>+'Bank Assets Analysis'!O32-'Bank Assets Analysis'!P32</f>
        <v>0</v>
      </c>
      <c r="J32" s="498">
        <f>+'Bank Assets Analysis'!Q32-'Bank Assets Analysis'!R32</f>
        <v>0</v>
      </c>
      <c r="K32" s="155">
        <f t="shared" si="0"/>
        <v>107220</v>
      </c>
      <c r="L32" s="156">
        <v>0</v>
      </c>
      <c r="M32" s="157">
        <f t="shared" si="8"/>
        <v>0</v>
      </c>
      <c r="N32" s="155">
        <f t="shared" si="9"/>
        <v>0</v>
      </c>
      <c r="O32" s="487"/>
      <c r="P32" s="20"/>
      <c r="Q32" s="159"/>
      <c r="R32" s="159"/>
      <c r="S32" s="159"/>
    </row>
    <row r="33" spans="1:19" s="160" customFormat="1" ht="33.75" customHeight="1">
      <c r="A33" s="442" t="s">
        <v>384</v>
      </c>
      <c r="B33" s="337" t="s">
        <v>551</v>
      </c>
      <c r="C33" s="498">
        <f t="shared" ref="C33:J33" si="10">+C34+C35</f>
        <v>0</v>
      </c>
      <c r="D33" s="498">
        <f t="shared" si="10"/>
        <v>0</v>
      </c>
      <c r="E33" s="498">
        <f t="shared" si="10"/>
        <v>0</v>
      </c>
      <c r="F33" s="498">
        <f t="shared" si="10"/>
        <v>0</v>
      </c>
      <c r="G33" s="498">
        <f t="shared" si="10"/>
        <v>0</v>
      </c>
      <c r="H33" s="498">
        <f t="shared" si="10"/>
        <v>0</v>
      </c>
      <c r="I33" s="498">
        <f t="shared" si="10"/>
        <v>0</v>
      </c>
      <c r="J33" s="498">
        <f t="shared" si="10"/>
        <v>0</v>
      </c>
      <c r="K33" s="155">
        <f t="shared" si="0"/>
        <v>0</v>
      </c>
      <c r="L33" s="156">
        <v>0</v>
      </c>
      <c r="M33" s="157">
        <f t="shared" si="8"/>
        <v>0</v>
      </c>
      <c r="N33" s="155">
        <f t="shared" si="9"/>
        <v>0</v>
      </c>
      <c r="O33" s="487"/>
      <c r="P33" s="20"/>
      <c r="Q33" s="159"/>
      <c r="R33" s="159"/>
      <c r="S33" s="159"/>
    </row>
    <row r="34" spans="1:19" s="160" customFormat="1" ht="36.75" customHeight="1">
      <c r="A34" s="442" t="s">
        <v>214</v>
      </c>
      <c r="B34" s="337" t="s">
        <v>543</v>
      </c>
      <c r="C34" s="498">
        <f>+'Bank Assets Analysis'!C34-'Bank Assets Analysis'!D34</f>
        <v>0</v>
      </c>
      <c r="D34" s="498">
        <f>+'Bank Assets Analysis'!E34-'Bank Assets Analysis'!F34</f>
        <v>0</v>
      </c>
      <c r="E34" s="498">
        <f>+'Bank Assets Analysis'!G34-'Bank Assets Analysis'!H34</f>
        <v>0</v>
      </c>
      <c r="F34" s="498">
        <f>+'Bank Assets Analysis'!I34-'Bank Assets Analysis'!J34</f>
        <v>0</v>
      </c>
      <c r="G34" s="498">
        <f>+'Bank Assets Analysis'!K34-'Bank Assets Analysis'!L34</f>
        <v>0</v>
      </c>
      <c r="H34" s="498">
        <f>+'Bank Assets Analysis'!M34-'Bank Assets Analysis'!N34</f>
        <v>0</v>
      </c>
      <c r="I34" s="498">
        <f>+'Bank Assets Analysis'!O34-'Bank Assets Analysis'!P34</f>
        <v>0</v>
      </c>
      <c r="J34" s="498">
        <f>+'Bank Assets Analysis'!Q34-'Bank Assets Analysis'!R34</f>
        <v>0</v>
      </c>
      <c r="K34" s="155">
        <f t="shared" si="0"/>
        <v>0</v>
      </c>
      <c r="L34" s="156">
        <v>1</v>
      </c>
      <c r="M34" s="157">
        <f>+K34</f>
        <v>0</v>
      </c>
      <c r="N34" s="158">
        <f t="shared" si="4"/>
        <v>0</v>
      </c>
      <c r="O34" s="487"/>
      <c r="P34" s="20"/>
      <c r="Q34" s="159"/>
      <c r="R34" s="159"/>
      <c r="S34" s="159"/>
    </row>
    <row r="35" spans="1:19" s="160" customFormat="1" ht="27" customHeight="1">
      <c r="A35" s="442" t="s">
        <v>216</v>
      </c>
      <c r="B35" s="337" t="s">
        <v>542</v>
      </c>
      <c r="C35" s="498">
        <f>+'Bank Assets Analysis'!C35-'Bank Assets Analysis'!D35</f>
        <v>0</v>
      </c>
      <c r="D35" s="498">
        <f>+'Bank Assets Analysis'!E35-'Bank Assets Analysis'!F35</f>
        <v>0</v>
      </c>
      <c r="E35" s="498">
        <f>+'Bank Assets Analysis'!G35-'Bank Assets Analysis'!H35</f>
        <v>0</v>
      </c>
      <c r="F35" s="498">
        <f>+'Bank Assets Analysis'!I35-'Bank Assets Analysis'!J35</f>
        <v>0</v>
      </c>
      <c r="G35" s="498">
        <f>+'Bank Assets Analysis'!K35-'Bank Assets Analysis'!L35</f>
        <v>0</v>
      </c>
      <c r="H35" s="498">
        <f>+'Bank Assets Analysis'!M35-'Bank Assets Analysis'!N35</f>
        <v>0</v>
      </c>
      <c r="I35" s="498">
        <f>+'Bank Assets Analysis'!O35-'Bank Assets Analysis'!P35</f>
        <v>0</v>
      </c>
      <c r="J35" s="498">
        <f>+'Bank Assets Analysis'!Q35-'Bank Assets Analysis'!R35</f>
        <v>0</v>
      </c>
      <c r="K35" s="155">
        <f t="shared" si="0"/>
        <v>0</v>
      </c>
      <c r="L35" s="156">
        <v>0</v>
      </c>
      <c r="M35" s="157"/>
      <c r="N35" s="155">
        <f t="shared" si="4"/>
        <v>0</v>
      </c>
      <c r="O35" s="487"/>
      <c r="P35" s="20"/>
      <c r="Q35" s="159"/>
      <c r="R35" s="159"/>
      <c r="S35" s="159"/>
    </row>
    <row r="36" spans="1:19" s="160" customFormat="1" ht="27" customHeight="1">
      <c r="A36" s="442" t="s">
        <v>385</v>
      </c>
      <c r="B36" s="337" t="s">
        <v>386</v>
      </c>
      <c r="C36" s="498">
        <f>+'Bank Assets Analysis'!C36-'Bank Assets Analysis'!D36</f>
        <v>0</v>
      </c>
      <c r="D36" s="498">
        <f>+'Bank Assets Analysis'!E36-'Bank Assets Analysis'!F36</f>
        <v>0</v>
      </c>
      <c r="E36" s="498">
        <f>+'Bank Assets Analysis'!G36-'Bank Assets Analysis'!H36</f>
        <v>0</v>
      </c>
      <c r="F36" s="498">
        <f>+'Bank Assets Analysis'!I36-'Bank Assets Analysis'!J36</f>
        <v>0</v>
      </c>
      <c r="G36" s="498">
        <f>+'Bank Assets Analysis'!K36-'Bank Assets Analysis'!L36</f>
        <v>0</v>
      </c>
      <c r="H36" s="498">
        <f>+'Bank Assets Analysis'!M36-'Bank Assets Analysis'!N36</f>
        <v>0</v>
      </c>
      <c r="I36" s="498">
        <f>+'Bank Assets Analysis'!O36-'Bank Assets Analysis'!P36</f>
        <v>0</v>
      </c>
      <c r="J36" s="498">
        <f>+'Bank Assets Analysis'!Q36-'Bank Assets Analysis'!R36</f>
        <v>932880053</v>
      </c>
      <c r="K36" s="155">
        <f t="shared" si="0"/>
        <v>932880053</v>
      </c>
      <c r="L36" s="156">
        <v>0</v>
      </c>
      <c r="M36" s="157"/>
      <c r="N36" s="155">
        <f t="shared" si="4"/>
        <v>0</v>
      </c>
      <c r="O36" s="487"/>
      <c r="P36" s="20"/>
      <c r="Q36" s="159"/>
      <c r="R36" s="159"/>
      <c r="S36" s="159"/>
    </row>
    <row r="37" spans="1:19" s="160" customFormat="1" ht="27" customHeight="1">
      <c r="A37" s="442" t="s">
        <v>387</v>
      </c>
      <c r="B37" s="337" t="s">
        <v>213</v>
      </c>
      <c r="C37" s="498">
        <f>+'Bank Assets Analysis'!C37-'Bank Assets Analysis'!D37</f>
        <v>196566905</v>
      </c>
      <c r="D37" s="498">
        <f>+'Bank Assets Analysis'!E37-'Bank Assets Analysis'!F37</f>
        <v>0</v>
      </c>
      <c r="E37" s="498">
        <f>+'Bank Assets Analysis'!G37-'Bank Assets Analysis'!H37</f>
        <v>0</v>
      </c>
      <c r="F37" s="498">
        <f>+'Bank Assets Analysis'!I37-'Bank Assets Analysis'!J37</f>
        <v>0</v>
      </c>
      <c r="G37" s="498">
        <f>+'Bank Assets Analysis'!K37-'Bank Assets Analysis'!L37</f>
        <v>0</v>
      </c>
      <c r="H37" s="498">
        <f>+'Bank Assets Analysis'!M37-'Bank Assets Analysis'!N37</f>
        <v>0</v>
      </c>
      <c r="I37" s="498">
        <f>+'Bank Assets Analysis'!O37-'Bank Assets Analysis'!P37</f>
        <v>0</v>
      </c>
      <c r="J37" s="498">
        <f>+'Bank Assets Analysis'!Q37-'Bank Assets Analysis'!R37</f>
        <v>0</v>
      </c>
      <c r="K37" s="155">
        <f t="shared" si="0"/>
        <v>196566905</v>
      </c>
      <c r="L37" s="156">
        <v>0</v>
      </c>
      <c r="M37" s="157"/>
      <c r="N37" s="155">
        <f t="shared" si="4"/>
        <v>0</v>
      </c>
      <c r="O37" s="487"/>
      <c r="P37" s="20"/>
      <c r="Q37" s="159"/>
      <c r="R37" s="159"/>
      <c r="S37" s="159"/>
    </row>
    <row r="38" spans="1:19" s="160" customFormat="1" ht="27" customHeight="1">
      <c r="A38" s="442" t="s">
        <v>226</v>
      </c>
      <c r="B38" s="337" t="s">
        <v>388</v>
      </c>
      <c r="C38" s="498">
        <f>+'Bank Assets Analysis'!C38-'Bank Assets Analysis'!D38</f>
        <v>0</v>
      </c>
      <c r="D38" s="498">
        <f>+'Bank Assets Analysis'!E38-'Bank Assets Analysis'!F38</f>
        <v>0</v>
      </c>
      <c r="E38" s="498">
        <f>+'Bank Assets Analysis'!G38-'Bank Assets Analysis'!H38</f>
        <v>0</v>
      </c>
      <c r="F38" s="498">
        <f>+'Bank Assets Analysis'!I38-'Bank Assets Analysis'!J38</f>
        <v>0</v>
      </c>
      <c r="G38" s="498">
        <f>+'Bank Assets Analysis'!K38-'Bank Assets Analysis'!L38</f>
        <v>0</v>
      </c>
      <c r="H38" s="498">
        <f>+'Bank Assets Analysis'!M38-'Bank Assets Analysis'!N38</f>
        <v>0</v>
      </c>
      <c r="I38" s="498">
        <f>+'Bank Assets Analysis'!O38-'Bank Assets Analysis'!P38</f>
        <v>0</v>
      </c>
      <c r="J38" s="498">
        <f>+'Bank Assets Analysis'!Q38-'Bank Assets Analysis'!R38</f>
        <v>0</v>
      </c>
      <c r="K38" s="155">
        <f t="shared" si="0"/>
        <v>0</v>
      </c>
      <c r="L38" s="156">
        <v>0</v>
      </c>
      <c r="M38" s="157"/>
      <c r="N38" s="155">
        <f t="shared" si="4"/>
        <v>0</v>
      </c>
      <c r="O38" s="487"/>
      <c r="P38" s="20"/>
      <c r="Q38" s="159"/>
      <c r="R38" s="159"/>
      <c r="S38" s="159"/>
    </row>
    <row r="39" spans="1:19" s="160" customFormat="1" ht="27" customHeight="1">
      <c r="A39" s="442" t="s">
        <v>229</v>
      </c>
      <c r="B39" s="337" t="s">
        <v>389</v>
      </c>
      <c r="C39" s="498"/>
      <c r="D39" s="498"/>
      <c r="E39" s="498"/>
      <c r="F39" s="498"/>
      <c r="G39" s="498"/>
      <c r="H39" s="498"/>
      <c r="I39" s="498"/>
      <c r="J39" s="498"/>
      <c r="K39" s="155">
        <f t="shared" si="0"/>
        <v>0</v>
      </c>
      <c r="L39" s="156">
        <v>0</v>
      </c>
      <c r="M39" s="157"/>
      <c r="N39" s="155">
        <f t="shared" si="4"/>
        <v>0</v>
      </c>
      <c r="O39" s="487"/>
      <c r="P39" s="20"/>
      <c r="Q39" s="159"/>
      <c r="R39" s="159"/>
      <c r="S39" s="159"/>
    </row>
    <row r="40" spans="1:19" s="160" customFormat="1" ht="27" customHeight="1">
      <c r="A40" s="442" t="s">
        <v>231</v>
      </c>
      <c r="B40" s="337" t="s">
        <v>390</v>
      </c>
      <c r="C40" s="498">
        <f>+'Bank Assets Analysis'!C40-'Bank Assets Analysis'!D40</f>
        <v>0</v>
      </c>
      <c r="D40" s="498">
        <f>+'Bank Assets Analysis'!E40-'Bank Assets Analysis'!F40</f>
        <v>0</v>
      </c>
      <c r="E40" s="498">
        <f>+'Bank Assets Analysis'!G40-'Bank Assets Analysis'!H40</f>
        <v>0</v>
      </c>
      <c r="F40" s="498">
        <f>+'Bank Assets Analysis'!I40-'Bank Assets Analysis'!J40</f>
        <v>0</v>
      </c>
      <c r="G40" s="498">
        <f>+'Bank Assets Analysis'!K40-'Bank Assets Analysis'!L40</f>
        <v>0</v>
      </c>
      <c r="H40" s="498">
        <f>+'Bank Assets Analysis'!M40-'Bank Assets Analysis'!N40</f>
        <v>0</v>
      </c>
      <c r="I40" s="498">
        <f>+'Bank Assets Analysis'!O40-'Bank Assets Analysis'!P40</f>
        <v>0</v>
      </c>
      <c r="J40" s="498">
        <f>+'Bank Assets Analysis'!Q40-'Bank Assets Analysis'!R40</f>
        <v>0</v>
      </c>
      <c r="K40" s="155">
        <f t="shared" si="0"/>
        <v>0</v>
      </c>
      <c r="L40" s="156">
        <v>0</v>
      </c>
      <c r="M40" s="157"/>
      <c r="N40" s="155">
        <f t="shared" si="4"/>
        <v>0</v>
      </c>
      <c r="O40" s="487"/>
      <c r="P40" s="20"/>
      <c r="Q40" s="159"/>
      <c r="R40" s="159"/>
      <c r="S40" s="159"/>
    </row>
    <row r="41" spans="1:19" s="160" customFormat="1" ht="27" customHeight="1">
      <c r="A41" s="442" t="s">
        <v>233</v>
      </c>
      <c r="B41" s="337" t="s">
        <v>391</v>
      </c>
      <c r="C41" s="498">
        <f>+'Bank Assets Analysis'!C41-'Bank Assets Analysis'!D41</f>
        <v>521223366</v>
      </c>
      <c r="D41" s="498">
        <f>+'Bank Assets Analysis'!E41-'Bank Assets Analysis'!F41</f>
        <v>0</v>
      </c>
      <c r="E41" s="498">
        <f>+'Bank Assets Analysis'!G41-'Bank Assets Analysis'!H41</f>
        <v>307198456</v>
      </c>
      <c r="F41" s="498">
        <f>+'Bank Assets Analysis'!I41-'Bank Assets Analysis'!J41</f>
        <v>0</v>
      </c>
      <c r="G41" s="498">
        <f>+'Bank Assets Analysis'!K41-'Bank Assets Analysis'!L41</f>
        <v>0</v>
      </c>
      <c r="H41" s="498">
        <f>+'Bank Assets Analysis'!M41-'Bank Assets Analysis'!N41</f>
        <v>0</v>
      </c>
      <c r="I41" s="498">
        <f>+'Bank Assets Analysis'!O41-'Bank Assets Analysis'!P41</f>
        <v>0</v>
      </c>
      <c r="J41" s="498">
        <f>+'Bank Assets Analysis'!Q41-'Bank Assets Analysis'!R41</f>
        <v>0</v>
      </c>
      <c r="K41" s="155">
        <f t="shared" si="0"/>
        <v>828421822</v>
      </c>
      <c r="L41" s="156">
        <v>0.5</v>
      </c>
      <c r="M41" s="157">
        <f>+D41+E41</f>
        <v>307198456</v>
      </c>
      <c r="N41" s="155">
        <f t="shared" si="4"/>
        <v>153599228</v>
      </c>
      <c r="O41" s="487"/>
      <c r="P41" s="20"/>
      <c r="Q41" s="159"/>
      <c r="R41" s="159"/>
      <c r="S41" s="159"/>
    </row>
    <row r="42" spans="1:19" s="160" customFormat="1" ht="27" customHeight="1">
      <c r="A42" s="442" t="s">
        <v>235</v>
      </c>
      <c r="B42" s="337" t="s">
        <v>392</v>
      </c>
      <c r="C42" s="155">
        <f>+'Bank Assets Analysis'!C42-'Bank Assets Analysis'!D42</f>
        <v>454442921</v>
      </c>
      <c r="D42" s="155">
        <f>+'Bank Assets Analysis'!E42-'Bank Assets Analysis'!F42</f>
        <v>0</v>
      </c>
      <c r="E42" s="155">
        <f>+'Bank Assets Analysis'!G42-'Bank Assets Analysis'!H42</f>
        <v>0</v>
      </c>
      <c r="F42" s="155">
        <f>+'Bank Assets Analysis'!I42-'Bank Assets Analysis'!J42</f>
        <v>0</v>
      </c>
      <c r="G42" s="155">
        <f>+'Bank Assets Analysis'!K42-'Bank Assets Analysis'!L42</f>
        <v>0</v>
      </c>
      <c r="H42" s="155">
        <f>+'Bank Assets Analysis'!M42-'Bank Assets Analysis'!N42</f>
        <v>0</v>
      </c>
      <c r="I42" s="155">
        <f>+'Bank Assets Analysis'!O42-'Bank Assets Analysis'!P42</f>
        <v>0</v>
      </c>
      <c r="J42" s="155">
        <f>+'Bank Assets Analysis'!Q42-'Bank Assets Analysis'!R42</f>
        <v>0</v>
      </c>
      <c r="K42" s="155">
        <f t="shared" si="0"/>
        <v>454442921</v>
      </c>
      <c r="L42" s="156">
        <v>0</v>
      </c>
      <c r="M42" s="157"/>
      <c r="N42" s="155">
        <f t="shared" si="4"/>
        <v>0</v>
      </c>
      <c r="O42" s="487"/>
      <c r="P42" s="20"/>
      <c r="Q42" s="159"/>
      <c r="R42" s="159"/>
      <c r="S42" s="159"/>
    </row>
    <row r="43" spans="1:19" s="160" customFormat="1" ht="27" customHeight="1">
      <c r="A43" s="442" t="s">
        <v>237</v>
      </c>
      <c r="B43" s="337" t="s">
        <v>393</v>
      </c>
      <c r="C43" s="498">
        <f>+'Bank Assets Analysis'!C43-'Bank Assets Analysis'!D43</f>
        <v>0</v>
      </c>
      <c r="D43" s="498">
        <f>+'Bank Assets Analysis'!E43-'Bank Assets Analysis'!F43</f>
        <v>0</v>
      </c>
      <c r="E43" s="498">
        <f>+'Bank Assets Analysis'!G43-'Bank Assets Analysis'!H43</f>
        <v>0</v>
      </c>
      <c r="F43" s="498">
        <f>+'Bank Assets Analysis'!I43-'Bank Assets Analysis'!J43</f>
        <v>0</v>
      </c>
      <c r="G43" s="498">
        <f>+'Bank Assets Analysis'!K43-'Bank Assets Analysis'!L43</f>
        <v>0</v>
      </c>
      <c r="H43" s="498">
        <f>+'Bank Assets Analysis'!M43-'Bank Assets Analysis'!N43</f>
        <v>0</v>
      </c>
      <c r="I43" s="498">
        <f>+'Bank Assets Analysis'!O43-'Bank Assets Analysis'!P43</f>
        <v>0</v>
      </c>
      <c r="J43" s="498">
        <f>+'Bank Assets Analysis'!Q43-'Bank Assets Analysis'!R43</f>
        <v>0</v>
      </c>
      <c r="K43" s="155">
        <f t="shared" ref="K43" si="11">+C43+D43+E43+F43+G43+H43+I43+J43</f>
        <v>0</v>
      </c>
      <c r="L43" s="156">
        <v>1</v>
      </c>
      <c r="M43" s="157">
        <f>+C43+D43+E43</f>
        <v>0</v>
      </c>
      <c r="N43" s="155">
        <f t="shared" ref="N43" si="12">+M43*L43</f>
        <v>0</v>
      </c>
      <c r="O43" s="487"/>
      <c r="P43" s="20"/>
      <c r="Q43" s="159"/>
      <c r="R43" s="159"/>
      <c r="S43" s="159"/>
    </row>
    <row r="44" spans="1:19" s="159" customFormat="1" ht="33.75" customHeight="1">
      <c r="A44" s="338" t="s">
        <v>239</v>
      </c>
      <c r="B44" s="339" t="s">
        <v>394</v>
      </c>
      <c r="C44" s="161">
        <f t="shared" ref="C44:J44" si="13">SUM(C6:C42)-C9-C13-C17-C18-C30-C33</f>
        <v>2892568192</v>
      </c>
      <c r="D44" s="161">
        <f t="shared" si="13"/>
        <v>269107786</v>
      </c>
      <c r="E44" s="161">
        <f t="shared" si="13"/>
        <v>509945520</v>
      </c>
      <c r="F44" s="161">
        <f t="shared" si="13"/>
        <v>780356445</v>
      </c>
      <c r="G44" s="161">
        <f t="shared" si="13"/>
        <v>930435346</v>
      </c>
      <c r="H44" s="161">
        <f t="shared" si="13"/>
        <v>1499959481</v>
      </c>
      <c r="I44" s="161">
        <f t="shared" si="13"/>
        <v>2241850936</v>
      </c>
      <c r="J44" s="161">
        <f t="shared" si="13"/>
        <v>5147459896</v>
      </c>
      <c r="K44" s="161">
        <f>SUM(C44:J44)</f>
        <v>14271683602</v>
      </c>
      <c r="L44" s="161"/>
      <c r="M44" s="155">
        <f>SUM(M6:M42)-M9-M33</f>
        <v>1761305894</v>
      </c>
      <c r="N44" s="485">
        <f>+N12+N13+N14+N15+N16+N18+N25+N26+N27+N28+N29+N41+N43</f>
        <v>464848992.5</v>
      </c>
      <c r="O44" s="488">
        <f>+Balance!D47</f>
        <v>14271683602</v>
      </c>
      <c r="P44" s="341">
        <f>+K44-O44</f>
        <v>0</v>
      </c>
      <c r="Q44" s="341"/>
      <c r="R44" s="341">
        <f>+O44</f>
        <v>14271683602</v>
      </c>
      <c r="S44" s="341">
        <f>+K44-R44</f>
        <v>0</v>
      </c>
    </row>
    <row r="45" spans="1:19" s="450" customFormat="1" ht="21" customHeight="1">
      <c r="A45" s="336"/>
      <c r="B45" s="368" t="s">
        <v>395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489"/>
    </row>
    <row r="46" spans="1:19" s="450" customFormat="1" ht="25.5" customHeight="1">
      <c r="A46" s="336">
        <v>1</v>
      </c>
      <c r="B46" s="337" t="s">
        <v>396</v>
      </c>
      <c r="C46" s="498">
        <f>+'Bank Assets Analysis'!C46-'Bank Assets Analysis'!D46</f>
        <v>232168310</v>
      </c>
      <c r="D46" s="498">
        <f>+'Bank Assets Analysis'!E46-'Bank Assets Analysis'!F46</f>
        <v>0</v>
      </c>
      <c r="E46" s="498">
        <f>+'Bank Assets Analysis'!G46-'Bank Assets Analysis'!H46</f>
        <v>0</v>
      </c>
      <c r="F46" s="498">
        <f>+'Bank Assets Analysis'!I46-'Bank Assets Analysis'!J46</f>
        <v>0</v>
      </c>
      <c r="G46" s="498">
        <f>+'Bank Assets Analysis'!K46-'Bank Assets Analysis'!L46</f>
        <v>0</v>
      </c>
      <c r="H46" s="498">
        <f>+'Bank Assets Analysis'!M46-'Bank Assets Analysis'!N46</f>
        <v>0</v>
      </c>
      <c r="I46" s="498">
        <f>+'Bank Assets Analysis'!O46-'Bank Assets Analysis'!P46</f>
        <v>0</v>
      </c>
      <c r="J46" s="498">
        <f>+'Bank Assets Analysis'!Q46-'Bank Assets Analysis'!R46</f>
        <v>0</v>
      </c>
      <c r="K46" s="155">
        <f t="shared" ref="K46" si="14">+C46+D46+E46+F46+G46+H46+I46+J46</f>
        <v>232168310</v>
      </c>
      <c r="L46" s="155"/>
      <c r="M46" s="155"/>
      <c r="N46" s="155"/>
      <c r="O46" s="489"/>
    </row>
    <row r="47" spans="1:19" s="450" customFormat="1" ht="37.5" customHeight="1">
      <c r="A47" s="336"/>
      <c r="B47" s="337" t="s">
        <v>397</v>
      </c>
      <c r="C47" s="498">
        <f>+'Bank Assets Analysis'!C47-'Bank Assets Analysis'!D47</f>
        <v>0</v>
      </c>
      <c r="D47" s="498">
        <f>+'Bank Assets Analysis'!E47-'Bank Assets Analysis'!F47</f>
        <v>0</v>
      </c>
      <c r="E47" s="498">
        <f>+'Bank Assets Analysis'!G47-'Bank Assets Analysis'!H47</f>
        <v>0</v>
      </c>
      <c r="F47" s="498">
        <f>+'Bank Assets Analysis'!I47-'Bank Assets Analysis'!J47</f>
        <v>0</v>
      </c>
      <c r="G47" s="498">
        <f>+'Bank Assets Analysis'!K47-'Bank Assets Analysis'!L47</f>
        <v>0</v>
      </c>
      <c r="H47" s="498">
        <f>+'Bank Assets Analysis'!M47-'Bank Assets Analysis'!N47</f>
        <v>0</v>
      </c>
      <c r="I47" s="498">
        <f>+'Bank Assets Analysis'!O47-'Bank Assets Analysis'!P47</f>
        <v>0</v>
      </c>
      <c r="J47" s="498">
        <f>+'Bank Assets Analysis'!Q47-'Bank Assets Analysis'!R47</f>
        <v>0</v>
      </c>
      <c r="K47" s="155">
        <f t="shared" ref="K47" si="15">+C47+D47+E47+F47+G47+H47+I47+J47</f>
        <v>0</v>
      </c>
      <c r="L47" s="155"/>
      <c r="M47" s="155"/>
      <c r="N47" s="155"/>
      <c r="O47" s="489"/>
    </row>
    <row r="48" spans="1:19" s="450" customFormat="1" ht="25.5" customHeight="1">
      <c r="A48" s="336">
        <v>2</v>
      </c>
      <c r="B48" s="337" t="s">
        <v>398</v>
      </c>
      <c r="C48" s="498">
        <f>+'Bank Assets Analysis'!C48-'Bank Assets Analysis'!D48</f>
        <v>28863371</v>
      </c>
      <c r="D48" s="498">
        <f>+'Bank Assets Analysis'!E48-'Bank Assets Analysis'!F48</f>
        <v>0</v>
      </c>
      <c r="E48" s="498">
        <f>+'Bank Assets Analysis'!G48-'Bank Assets Analysis'!H48</f>
        <v>0</v>
      </c>
      <c r="F48" s="498">
        <f>+'Bank Assets Analysis'!I48-'Bank Assets Analysis'!J48</f>
        <v>0</v>
      </c>
      <c r="G48" s="498">
        <f>+'Bank Assets Analysis'!K48-'Bank Assets Analysis'!L48</f>
        <v>0</v>
      </c>
      <c r="H48" s="498">
        <f>+'Bank Assets Analysis'!M48-'Bank Assets Analysis'!N48</f>
        <v>0</v>
      </c>
      <c r="I48" s="498">
        <f>+'Bank Assets Analysis'!O48-'Bank Assets Analysis'!P48</f>
        <v>0</v>
      </c>
      <c r="J48" s="498">
        <f>+'Bank Assets Analysis'!Q48-'Bank Assets Analysis'!R48</f>
        <v>0</v>
      </c>
      <c r="K48" s="155">
        <f t="shared" ref="K48" si="16">+C48+D48+E48+F48+G48+H48+I48+J48</f>
        <v>28863371</v>
      </c>
      <c r="L48" s="155"/>
      <c r="M48" s="155"/>
      <c r="N48" s="155"/>
      <c r="O48" s="489"/>
    </row>
    <row r="49" spans="1:30" s="450" customFormat="1" ht="37.5" customHeight="1">
      <c r="A49" s="336"/>
      <c r="B49" s="337" t="s">
        <v>399</v>
      </c>
      <c r="C49" s="498">
        <f>+'Bank Assets Analysis'!C49-'Bank Assets Analysis'!D49</f>
        <v>0</v>
      </c>
      <c r="D49" s="498">
        <f>+'Bank Assets Analysis'!E49-'Bank Assets Analysis'!F49</f>
        <v>0</v>
      </c>
      <c r="E49" s="498">
        <f>+'Bank Assets Analysis'!G49-'Bank Assets Analysis'!H49</f>
        <v>0</v>
      </c>
      <c r="F49" s="498">
        <f>+'Bank Assets Analysis'!I49-'Bank Assets Analysis'!J49</f>
        <v>0</v>
      </c>
      <c r="G49" s="498">
        <f>+'Bank Assets Analysis'!K49-'Bank Assets Analysis'!L49</f>
        <v>0</v>
      </c>
      <c r="H49" s="498">
        <f>+'Bank Assets Analysis'!M49-'Bank Assets Analysis'!N49</f>
        <v>0</v>
      </c>
      <c r="I49" s="498">
        <f>+'Bank Assets Analysis'!O49-'Bank Assets Analysis'!P49</f>
        <v>0</v>
      </c>
      <c r="J49" s="498">
        <f>+'Bank Assets Analysis'!Q49-'Bank Assets Analysis'!R49</f>
        <v>0</v>
      </c>
      <c r="K49" s="155">
        <f t="shared" ref="K49:K51" si="17">+C49+D49+E49+F49+G49+H49+I49+J49</f>
        <v>0</v>
      </c>
      <c r="L49" s="155"/>
      <c r="M49" s="155"/>
      <c r="N49" s="155"/>
      <c r="O49" s="489"/>
    </row>
    <row r="50" spans="1:30" s="450" customFormat="1" ht="25.5" customHeight="1">
      <c r="A50" s="336">
        <v>3</v>
      </c>
      <c r="B50" s="337" t="s">
        <v>400</v>
      </c>
      <c r="C50" s="498">
        <f>+'Bank Assets Analysis'!C50-'Bank Assets Analysis'!D50</f>
        <v>0</v>
      </c>
      <c r="D50" s="498">
        <f>+'Bank Assets Analysis'!E50-'Bank Assets Analysis'!F50</f>
        <v>0</v>
      </c>
      <c r="E50" s="498">
        <f>+'Bank Assets Analysis'!G50-'Bank Assets Analysis'!H50</f>
        <v>0</v>
      </c>
      <c r="F50" s="498">
        <f>+'Bank Assets Analysis'!I50-'Bank Assets Analysis'!J50</f>
        <v>0</v>
      </c>
      <c r="G50" s="498">
        <f>+'Bank Assets Analysis'!K50-'Bank Assets Analysis'!L50</f>
        <v>0</v>
      </c>
      <c r="H50" s="498">
        <f>+'Bank Assets Analysis'!M50-'Bank Assets Analysis'!N50</f>
        <v>0</v>
      </c>
      <c r="I50" s="498">
        <f>+'Bank Assets Analysis'!O50-'Bank Assets Analysis'!P50</f>
        <v>0</v>
      </c>
      <c r="J50" s="498">
        <f>+'Bank Assets Analysis'!Q50-'Bank Assets Analysis'!R50</f>
        <v>0</v>
      </c>
      <c r="K50" s="155">
        <f t="shared" si="17"/>
        <v>0</v>
      </c>
      <c r="L50" s="155"/>
      <c r="M50" s="155"/>
      <c r="N50" s="155"/>
      <c r="O50" s="489"/>
    </row>
    <row r="51" spans="1:30" s="450" customFormat="1" ht="32.25" customHeight="1">
      <c r="A51" s="336"/>
      <c r="B51" s="337" t="s">
        <v>401</v>
      </c>
      <c r="C51" s="498">
        <f>+'Bank Assets Analysis'!C51-'Bank Assets Analysis'!D51</f>
        <v>0</v>
      </c>
      <c r="D51" s="498">
        <f>+'Bank Assets Analysis'!E51-'Bank Assets Analysis'!F51</f>
        <v>0</v>
      </c>
      <c r="E51" s="498">
        <f>+'Bank Assets Analysis'!G51-'Bank Assets Analysis'!H51</f>
        <v>0</v>
      </c>
      <c r="F51" s="498">
        <f>+'Bank Assets Analysis'!I51-'Bank Assets Analysis'!J51</f>
        <v>0</v>
      </c>
      <c r="G51" s="498">
        <f>+'Bank Assets Analysis'!K51-'Bank Assets Analysis'!L51</f>
        <v>0</v>
      </c>
      <c r="H51" s="498">
        <f>+'Bank Assets Analysis'!M51-'Bank Assets Analysis'!N51</f>
        <v>0</v>
      </c>
      <c r="I51" s="498">
        <f>+'Bank Assets Analysis'!O51-'Bank Assets Analysis'!P51</f>
        <v>0</v>
      </c>
      <c r="J51" s="498">
        <f>+'Bank Assets Analysis'!Q51-'Bank Assets Analysis'!R51</f>
        <v>0</v>
      </c>
      <c r="K51" s="155">
        <f t="shared" si="17"/>
        <v>0</v>
      </c>
      <c r="L51" s="155"/>
      <c r="M51" s="155"/>
      <c r="N51" s="155"/>
      <c r="O51" s="489"/>
    </row>
    <row r="52" spans="1:30" s="458" customFormat="1" ht="27" customHeight="1">
      <c r="A52" s="451"/>
      <c r="B52" s="452"/>
      <c r="C52" s="452"/>
      <c r="D52" s="452"/>
      <c r="E52" s="452"/>
      <c r="F52" s="452"/>
      <c r="G52" s="452"/>
      <c r="H52" s="452"/>
      <c r="I52" s="452"/>
      <c r="J52" s="452"/>
      <c r="K52" s="452"/>
      <c r="L52" s="453"/>
      <c r="M52" s="454"/>
      <c r="N52" s="455"/>
      <c r="O52" s="490"/>
      <c r="P52" s="456"/>
      <c r="Q52" s="457"/>
      <c r="R52" s="456"/>
      <c r="S52" s="456"/>
    </row>
    <row r="53" spans="1:30" s="461" customFormat="1" ht="15" customHeight="1">
      <c r="A53" s="459"/>
      <c r="B53" s="460" t="s">
        <v>540</v>
      </c>
      <c r="C53" s="459"/>
      <c r="D53" s="459"/>
      <c r="E53" s="459"/>
      <c r="F53" s="459"/>
      <c r="G53" s="459"/>
      <c r="H53" s="459"/>
      <c r="I53" s="459"/>
      <c r="J53" s="459"/>
      <c r="K53" s="459"/>
      <c r="L53" s="459"/>
      <c r="M53" s="459"/>
      <c r="N53" s="459"/>
      <c r="O53" s="491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</row>
    <row r="54" spans="1:30" s="461" customFormat="1" ht="14.25" customHeight="1">
      <c r="A54" s="459"/>
      <c r="B54" s="460"/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459"/>
      <c r="O54" s="491"/>
      <c r="P54" s="459"/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</row>
    <row r="55" spans="1:30" s="461" customFormat="1" ht="15" customHeight="1">
      <c r="A55" s="459"/>
      <c r="B55" s="460" t="s">
        <v>539</v>
      </c>
      <c r="C55" s="459"/>
      <c r="D55" s="459"/>
      <c r="E55" s="459"/>
      <c r="F55" s="459"/>
      <c r="G55" s="459"/>
      <c r="H55" s="459"/>
      <c r="I55" s="459"/>
      <c r="J55" s="459"/>
      <c r="K55" s="459"/>
      <c r="L55" s="459"/>
      <c r="M55" s="459"/>
      <c r="N55" s="459"/>
      <c r="O55" s="492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</row>
    <row r="56" spans="1:30" s="458" customFormat="1">
      <c r="A56" s="462"/>
      <c r="C56" s="448"/>
      <c r="D56" s="448"/>
      <c r="E56" s="448"/>
      <c r="F56" s="448"/>
      <c r="G56" s="448"/>
      <c r="H56" s="448"/>
      <c r="I56" s="448"/>
      <c r="J56" s="448"/>
      <c r="K56" s="448"/>
      <c r="L56" s="463"/>
      <c r="M56" s="464"/>
      <c r="N56" s="449"/>
      <c r="O56" s="493" t="s">
        <v>156</v>
      </c>
      <c r="P56" s="465">
        <f>+N44</f>
        <v>464848992.5</v>
      </c>
    </row>
    <row r="57" spans="1:30" s="458" customFormat="1" ht="30">
      <c r="A57" s="462"/>
      <c r="B57" s="466"/>
      <c r="C57" s="448"/>
      <c r="D57" s="448"/>
      <c r="E57" s="448"/>
      <c r="F57" s="448"/>
      <c r="G57" s="448"/>
      <c r="H57" s="448"/>
      <c r="I57" s="448"/>
      <c r="J57" s="448"/>
      <c r="K57" s="448"/>
      <c r="L57" s="463"/>
      <c r="M57" s="464"/>
      <c r="N57" s="449"/>
      <c r="O57" s="493" t="s">
        <v>18</v>
      </c>
      <c r="P57" s="465">
        <f>+N6+N7+N10+N11+N19+N20+N21+N22+N23+N34-N43-N18</f>
        <v>811384043</v>
      </c>
      <c r="Q57" s="457"/>
    </row>
    <row r="58" spans="1:30" s="458" customFormat="1" ht="30">
      <c r="A58" s="462"/>
      <c r="B58" s="466"/>
      <c r="C58" s="448"/>
      <c r="D58" s="448"/>
      <c r="E58" s="448"/>
      <c r="F58" s="448"/>
      <c r="G58" s="448"/>
      <c r="H58" s="448"/>
      <c r="I58" s="448"/>
      <c r="J58" s="448"/>
      <c r="K58" s="448"/>
      <c r="L58" s="463"/>
      <c r="M58" s="464"/>
      <c r="N58" s="449"/>
      <c r="O58" s="493" t="s">
        <v>157</v>
      </c>
      <c r="P58" s="465">
        <f>+P60-P62</f>
        <v>808715989.19999981</v>
      </c>
      <c r="Q58" s="449"/>
    </row>
    <row r="59" spans="1:30" ht="20.25" customHeight="1">
      <c r="B59" s="466"/>
      <c r="O59" s="494"/>
      <c r="P59" s="467"/>
      <c r="Q59" s="457"/>
    </row>
    <row r="60" spans="1:30">
      <c r="O60" s="495" t="s">
        <v>171</v>
      </c>
      <c r="P60" s="468">
        <f>'Bank Liabilities Analysis (нац)'!M41+P61</f>
        <v>1273564981.6999998</v>
      </c>
    </row>
    <row r="61" spans="1:30" ht="34.5" customHeight="1">
      <c r="O61" s="495" t="s">
        <v>170</v>
      </c>
      <c r="P61" s="468">
        <f>+'Liquidity Analysis'!D41</f>
        <v>39154752</v>
      </c>
      <c r="Q61" s="469"/>
    </row>
    <row r="62" spans="1:30" ht="30">
      <c r="O62" s="495" t="s">
        <v>159</v>
      </c>
      <c r="P62" s="468">
        <f>IF(P56&gt;(P60*0.75),P60*0.75,P56)</f>
        <v>464848992.5</v>
      </c>
    </row>
    <row r="63" spans="1:30">
      <c r="P63" s="470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4">
    <cfRule type="cellIs" dxfId="342" priority="271" operator="notEqual">
      <formula>$O$44</formula>
    </cfRule>
  </conditionalFormatting>
  <conditionalFormatting sqref="M51">
    <cfRule type="cellIs" dxfId="341" priority="4" operator="greaterThan">
      <formula>L51</formula>
    </cfRule>
  </conditionalFormatting>
  <conditionalFormatting sqref="M46:M50">
    <cfRule type="cellIs" dxfId="340" priority="3" operator="greaterThan">
      <formula>L46</formula>
    </cfRule>
  </conditionalFormatting>
  <conditionalFormatting sqref="C12:J23 C25:J41 C43:J43 C46:J51">
    <cfRule type="cellIs" dxfId="339" priority="2" operator="lessThan">
      <formula>0</formula>
    </cfRule>
  </conditionalFormatting>
  <conditionalFormatting sqref="C25:J41 C43:J43 C46:J51 C6:J23">
    <cfRule type="cellIs" dxfId="338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7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D61"/>
  <sheetViews>
    <sheetView view="pageBreakPreview" topLeftCell="A3" zoomScale="70" zoomScaleNormal="78" zoomScaleSheetLayoutView="70" workbookViewId="0">
      <pane xSplit="2" ySplit="3" topLeftCell="C30" activePane="bottomRight" state="frozen"/>
      <selection activeCell="G38" sqref="G38"/>
      <selection pane="topRight" activeCell="G38" sqref="G38"/>
      <selection pane="bottomLeft" activeCell="G38" sqref="G38"/>
      <selection pane="bottomRight" activeCell="C55" sqref="C55"/>
    </sheetView>
  </sheetViews>
  <sheetFormatPr defaultRowHeight="12.75"/>
  <cols>
    <col min="1" max="1" width="6.28515625" style="237" customWidth="1"/>
    <col min="2" max="2" width="53.28515625" style="367" customWidth="1"/>
    <col min="3" max="16" width="14.7109375" style="162" customWidth="1"/>
    <col min="17" max="18" width="16.5703125" style="162" customWidth="1"/>
    <col min="19" max="21" width="15.85546875" style="162" customWidth="1"/>
    <col min="22" max="22" width="19.140625" style="170" customWidth="1"/>
    <col min="23" max="24" width="17.5703125" style="166" customWidth="1"/>
    <col min="25" max="25" width="19.42578125" style="162" bestFit="1" customWidth="1"/>
    <col min="26" max="26" width="20.7109375" style="162" customWidth="1"/>
    <col min="27" max="27" width="17.5703125" style="366" customWidth="1"/>
    <col min="28" max="16384" width="9.140625" style="162"/>
  </cols>
  <sheetData>
    <row r="1" spans="1:27" s="351" customFormat="1" ht="30" customHeight="1">
      <c r="A1" s="345" t="s">
        <v>404</v>
      </c>
      <c r="B1" s="346"/>
      <c r="C1" s="347"/>
      <c r="D1" s="347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9"/>
      <c r="P1" s="349"/>
      <c r="Q1" s="349"/>
      <c r="R1" s="349"/>
      <c r="S1" s="349"/>
      <c r="T1" s="349"/>
      <c r="U1" s="349"/>
      <c r="V1" s="349"/>
      <c r="W1" s="350" t="s">
        <v>405</v>
      </c>
      <c r="X1" s="350"/>
    </row>
    <row r="2" spans="1:27" ht="23.25" customHeight="1">
      <c r="B2" s="472" t="str">
        <f>Balance!B3</f>
        <v>"MKBANK"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281"/>
      <c r="U2" s="281"/>
      <c r="V2" s="437">
        <f>+Balance!D3</f>
        <v>45289</v>
      </c>
      <c r="W2" s="170"/>
      <c r="X2" s="166" t="s">
        <v>174</v>
      </c>
      <c r="Y2" s="167"/>
      <c r="AA2" s="162"/>
    </row>
    <row r="3" spans="1:27" s="351" customFormat="1" ht="21.75" customHeight="1">
      <c r="A3" s="523" t="s">
        <v>54</v>
      </c>
      <c r="B3" s="523" t="s">
        <v>336</v>
      </c>
      <c r="C3" s="520" t="s">
        <v>337</v>
      </c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1"/>
      <c r="S3" s="523" t="s">
        <v>176</v>
      </c>
      <c r="T3" s="528" t="s">
        <v>338</v>
      </c>
      <c r="U3" s="529"/>
      <c r="V3" s="537" t="s">
        <v>339</v>
      </c>
      <c r="W3" s="538"/>
      <c r="X3" s="539"/>
      <c r="AA3" s="352"/>
    </row>
    <row r="4" spans="1:27" s="351" customFormat="1" ht="21" customHeight="1">
      <c r="A4" s="524"/>
      <c r="B4" s="524"/>
      <c r="C4" s="520" t="s">
        <v>340</v>
      </c>
      <c r="D4" s="521"/>
      <c r="E4" s="520" t="s">
        <v>341</v>
      </c>
      <c r="F4" s="521"/>
      <c r="G4" s="520" t="s">
        <v>342</v>
      </c>
      <c r="H4" s="521"/>
      <c r="I4" s="520" t="s">
        <v>343</v>
      </c>
      <c r="J4" s="521"/>
      <c r="K4" s="520" t="s">
        <v>344</v>
      </c>
      <c r="L4" s="521"/>
      <c r="M4" s="520" t="s">
        <v>345</v>
      </c>
      <c r="N4" s="521"/>
      <c r="O4" s="520" t="s">
        <v>346</v>
      </c>
      <c r="P4" s="521"/>
      <c r="Q4" s="520" t="s">
        <v>347</v>
      </c>
      <c r="R4" s="521"/>
      <c r="S4" s="524"/>
      <c r="T4" s="530"/>
      <c r="U4" s="531"/>
      <c r="V4" s="540"/>
      <c r="W4" s="541"/>
      <c r="X4" s="542"/>
      <c r="AA4" s="352"/>
    </row>
    <row r="5" spans="1:27" s="351" customFormat="1" ht="102" customHeight="1">
      <c r="A5" s="524"/>
      <c r="B5" s="524"/>
      <c r="C5" s="309" t="s">
        <v>140</v>
      </c>
      <c r="D5" s="309" t="s">
        <v>348</v>
      </c>
      <c r="E5" s="309" t="s">
        <v>140</v>
      </c>
      <c r="F5" s="309" t="s">
        <v>348</v>
      </c>
      <c r="G5" s="309" t="s">
        <v>140</v>
      </c>
      <c r="H5" s="309" t="s">
        <v>348</v>
      </c>
      <c r="I5" s="309" t="s">
        <v>140</v>
      </c>
      <c r="J5" s="309" t="s">
        <v>348</v>
      </c>
      <c r="K5" s="309" t="s">
        <v>140</v>
      </c>
      <c r="L5" s="309" t="s">
        <v>348</v>
      </c>
      <c r="M5" s="309" t="s">
        <v>140</v>
      </c>
      <c r="N5" s="309" t="s">
        <v>348</v>
      </c>
      <c r="O5" s="309" t="s">
        <v>140</v>
      </c>
      <c r="P5" s="309" t="s">
        <v>348</v>
      </c>
      <c r="Q5" s="309" t="s">
        <v>140</v>
      </c>
      <c r="R5" s="309" t="s">
        <v>348</v>
      </c>
      <c r="S5" s="524"/>
      <c r="T5" s="309" t="s">
        <v>349</v>
      </c>
      <c r="U5" s="309" t="s">
        <v>350</v>
      </c>
      <c r="V5" s="474" t="s">
        <v>22</v>
      </c>
      <c r="W5" s="474" t="s">
        <v>312</v>
      </c>
      <c r="X5" s="474" t="s">
        <v>403</v>
      </c>
      <c r="AA5" s="352"/>
    </row>
    <row r="6" spans="1:27" s="351" customFormat="1" ht="25.5" customHeight="1">
      <c r="A6" s="353" t="s">
        <v>55</v>
      </c>
      <c r="B6" s="354" t="s">
        <v>406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355"/>
      <c r="W6" s="171"/>
      <c r="X6" s="171"/>
      <c r="AA6" s="352"/>
    </row>
    <row r="7" spans="1:27" s="351" customFormat="1" ht="25.5" customHeight="1">
      <c r="A7" s="353" t="s">
        <v>66</v>
      </c>
      <c r="B7" s="356" t="s">
        <v>407</v>
      </c>
      <c r="C7" s="172">
        <f>SUM(C8:C11)</f>
        <v>562027443</v>
      </c>
      <c r="D7" s="165">
        <f t="shared" ref="D7:R7" si="0">SUM(D8:D11)</f>
        <v>27331365</v>
      </c>
      <c r="E7" s="172">
        <f t="shared" ref="E7:F7" si="1">SUM(E8:E11)</f>
        <v>0</v>
      </c>
      <c r="F7" s="165">
        <f t="shared" si="1"/>
        <v>0</v>
      </c>
      <c r="G7" s="172">
        <f t="shared" si="0"/>
        <v>0</v>
      </c>
      <c r="H7" s="165">
        <f t="shared" si="0"/>
        <v>0</v>
      </c>
      <c r="I7" s="172">
        <f t="shared" ref="I7" si="2">SUM(I8:I11)</f>
        <v>0</v>
      </c>
      <c r="J7" s="165">
        <f t="shared" ref="J7" si="3">SUM(J8:J11)</f>
        <v>0</v>
      </c>
      <c r="K7" s="172">
        <f t="shared" si="0"/>
        <v>0</v>
      </c>
      <c r="L7" s="165">
        <f t="shared" si="0"/>
        <v>0</v>
      </c>
      <c r="M7" s="172">
        <f t="shared" si="0"/>
        <v>0</v>
      </c>
      <c r="N7" s="165">
        <f t="shared" si="0"/>
        <v>0</v>
      </c>
      <c r="O7" s="172">
        <f t="shared" ref="O7" si="4">SUM(O8:O11)</f>
        <v>0</v>
      </c>
      <c r="P7" s="165">
        <f t="shared" ref="P7" si="5">SUM(P8:P11)</f>
        <v>0</v>
      </c>
      <c r="Q7" s="172">
        <f t="shared" si="0"/>
        <v>0</v>
      </c>
      <c r="R7" s="165">
        <f t="shared" si="0"/>
        <v>0</v>
      </c>
      <c r="S7" s="172">
        <f>+C7+E7+G7+I7+K7+M7+O7+Q7</f>
        <v>562027443</v>
      </c>
      <c r="T7" s="172">
        <f>+S7-U7</f>
        <v>534696078</v>
      </c>
      <c r="U7" s="172">
        <f>+D7+F7+H7+J7+L7+N7+P7+R7</f>
        <v>27331365</v>
      </c>
      <c r="V7" s="355"/>
      <c r="W7" s="173"/>
      <c r="X7" s="173"/>
      <c r="AA7" s="352"/>
    </row>
    <row r="8" spans="1:27" s="177" customFormat="1" ht="25.5" customHeight="1">
      <c r="A8" s="314" t="s">
        <v>141</v>
      </c>
      <c r="B8" s="357" t="s">
        <v>408</v>
      </c>
      <c r="C8" s="9">
        <v>8774636</v>
      </c>
      <c r="D8" s="9">
        <v>2777514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72">
        <f t="shared" ref="S8:S56" si="6">+C8+E8+G8+I8+K8+M8+O8+Q8</f>
        <v>8774636</v>
      </c>
      <c r="T8" s="172">
        <f t="shared" ref="T8:T56" si="7">+S8-U8</f>
        <v>5997122</v>
      </c>
      <c r="U8" s="172">
        <f t="shared" ref="U8:U56" si="8">+D8+F8+H8+J8+L8+N8+P8+R8</f>
        <v>2777514</v>
      </c>
      <c r="V8" s="218"/>
      <c r="W8" s="173"/>
      <c r="X8" s="173"/>
      <c r="AA8" s="247"/>
    </row>
    <row r="9" spans="1:27" s="177" customFormat="1" ht="25.5" customHeight="1">
      <c r="A9" s="314" t="s">
        <v>142</v>
      </c>
      <c r="B9" s="357" t="s">
        <v>409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72">
        <f t="shared" si="6"/>
        <v>0</v>
      </c>
      <c r="T9" s="172">
        <f t="shared" si="7"/>
        <v>0</v>
      </c>
      <c r="U9" s="172">
        <f t="shared" si="8"/>
        <v>0</v>
      </c>
      <c r="V9" s="218"/>
      <c r="W9" s="173"/>
      <c r="X9" s="173"/>
      <c r="AA9" s="247"/>
    </row>
    <row r="10" spans="1:27" s="177" customFormat="1" ht="25.5" customHeight="1">
      <c r="A10" s="314" t="s">
        <v>143</v>
      </c>
      <c r="B10" s="357" t="s">
        <v>410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72">
        <f t="shared" si="6"/>
        <v>0</v>
      </c>
      <c r="T10" s="172">
        <f t="shared" si="7"/>
        <v>0</v>
      </c>
      <c r="U10" s="172">
        <f t="shared" si="8"/>
        <v>0</v>
      </c>
      <c r="V10" s="218"/>
      <c r="W10" s="173"/>
      <c r="X10" s="173"/>
      <c r="AA10" s="247"/>
    </row>
    <row r="11" spans="1:27" s="177" customFormat="1" ht="25.5" customHeight="1">
      <c r="A11" s="314" t="s">
        <v>144</v>
      </c>
      <c r="B11" s="357" t="s">
        <v>411</v>
      </c>
      <c r="C11" s="9">
        <v>553252807</v>
      </c>
      <c r="D11" s="9">
        <v>24553851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72">
        <f t="shared" si="6"/>
        <v>553252807</v>
      </c>
      <c r="T11" s="172">
        <f t="shared" si="7"/>
        <v>528698956</v>
      </c>
      <c r="U11" s="172">
        <f t="shared" si="8"/>
        <v>24553851</v>
      </c>
      <c r="V11" s="218"/>
      <c r="W11" s="173"/>
      <c r="X11" s="173"/>
      <c r="AA11" s="247"/>
    </row>
    <row r="12" spans="1:27" s="177" customFormat="1" ht="25.5" customHeight="1">
      <c r="A12" s="314" t="s">
        <v>67</v>
      </c>
      <c r="B12" s="357" t="s">
        <v>232</v>
      </c>
      <c r="C12" s="9">
        <v>0</v>
      </c>
      <c r="D12" s="9">
        <v>0</v>
      </c>
      <c r="E12" s="9">
        <v>8129111</v>
      </c>
      <c r="F12" s="9">
        <v>863719</v>
      </c>
      <c r="G12" s="9">
        <v>524482027</v>
      </c>
      <c r="H12" s="9">
        <v>5751478</v>
      </c>
      <c r="I12" s="9">
        <v>367819667</v>
      </c>
      <c r="J12" s="9">
        <v>249719344</v>
      </c>
      <c r="K12" s="9">
        <v>971038402</v>
      </c>
      <c r="L12" s="9">
        <v>194091019</v>
      </c>
      <c r="M12" s="9">
        <v>1144029799</v>
      </c>
      <c r="N12" s="9">
        <v>36768058</v>
      </c>
      <c r="O12" s="9">
        <v>1120770387</v>
      </c>
      <c r="P12" s="9">
        <v>117396264</v>
      </c>
      <c r="Q12" s="9">
        <v>1347669768</v>
      </c>
      <c r="R12" s="9">
        <v>463373060</v>
      </c>
      <c r="S12" s="172">
        <f t="shared" si="6"/>
        <v>5483939161</v>
      </c>
      <c r="T12" s="172">
        <f t="shared" si="7"/>
        <v>4415976219</v>
      </c>
      <c r="U12" s="172">
        <f t="shared" si="8"/>
        <v>1067962942</v>
      </c>
      <c r="V12" s="218"/>
      <c r="W12" s="173"/>
      <c r="X12" s="173"/>
      <c r="AA12" s="247"/>
    </row>
    <row r="13" spans="1:27" s="177" customFormat="1" ht="25.5" customHeight="1">
      <c r="A13" s="314" t="s">
        <v>154</v>
      </c>
      <c r="B13" s="358" t="s">
        <v>412</v>
      </c>
      <c r="C13" s="9"/>
      <c r="D13" s="9"/>
      <c r="E13" s="9">
        <v>3105381</v>
      </c>
      <c r="F13" s="9">
        <v>5.5524499999999994</v>
      </c>
      <c r="G13" s="9">
        <v>6289299</v>
      </c>
      <c r="H13" s="9">
        <v>13950</v>
      </c>
      <c r="I13" s="9">
        <v>63076513</v>
      </c>
      <c r="J13" s="9">
        <v>476190</v>
      </c>
      <c r="K13" s="9">
        <v>229487627</v>
      </c>
      <c r="L13" s="9">
        <v>2256698</v>
      </c>
      <c r="M13" s="9">
        <v>398058184</v>
      </c>
      <c r="N13" s="9">
        <v>16470781</v>
      </c>
      <c r="O13" s="9">
        <v>646584043</v>
      </c>
      <c r="P13" s="9">
        <v>22387735</v>
      </c>
      <c r="Q13" s="9">
        <v>34783467</v>
      </c>
      <c r="R13" s="9">
        <v>19690633</v>
      </c>
      <c r="S13" s="172">
        <f t="shared" si="6"/>
        <v>1381384514</v>
      </c>
      <c r="T13" s="172">
        <f t="shared" si="7"/>
        <v>1320088521.4475501</v>
      </c>
      <c r="U13" s="172">
        <f t="shared" si="8"/>
        <v>61295992.552450001</v>
      </c>
      <c r="V13" s="218"/>
      <c r="W13" s="173"/>
      <c r="X13" s="173"/>
      <c r="AA13" s="247"/>
    </row>
    <row r="14" spans="1:27" s="177" customFormat="1" ht="25.5" customHeight="1">
      <c r="A14" s="314" t="s">
        <v>155</v>
      </c>
      <c r="B14" s="358" t="s">
        <v>413</v>
      </c>
      <c r="C14" s="9"/>
      <c r="D14" s="9"/>
      <c r="E14" s="9">
        <v>0</v>
      </c>
      <c r="F14" s="9">
        <v>0</v>
      </c>
      <c r="G14" s="9">
        <v>0</v>
      </c>
      <c r="H14" s="9">
        <v>0</v>
      </c>
      <c r="I14" s="9">
        <v>15000000</v>
      </c>
      <c r="J14" s="9">
        <v>0</v>
      </c>
      <c r="K14" s="9">
        <v>10000000</v>
      </c>
      <c r="L14" s="9">
        <v>0</v>
      </c>
      <c r="M14" s="9">
        <v>45400000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72">
        <f t="shared" si="6"/>
        <v>70400000</v>
      </c>
      <c r="T14" s="172">
        <f t="shared" si="7"/>
        <v>70400000</v>
      </c>
      <c r="U14" s="172">
        <f t="shared" si="8"/>
        <v>0</v>
      </c>
      <c r="V14" s="218"/>
      <c r="W14" s="173"/>
      <c r="X14" s="173"/>
      <c r="AA14" s="247"/>
    </row>
    <row r="15" spans="1:27" s="177" customFormat="1" ht="25.5" customHeight="1">
      <c r="A15" s="314" t="s">
        <v>68</v>
      </c>
      <c r="B15" s="357" t="s">
        <v>414</v>
      </c>
      <c r="C15" s="172">
        <f t="shared" ref="C15:R15" si="9">SUM(C16:C19)</f>
        <v>315211750</v>
      </c>
      <c r="D15" s="165">
        <f t="shared" si="9"/>
        <v>10992869</v>
      </c>
      <c r="E15" s="172">
        <f t="shared" si="9"/>
        <v>0</v>
      </c>
      <c r="F15" s="165">
        <f t="shared" si="9"/>
        <v>0</v>
      </c>
      <c r="G15" s="172">
        <f t="shared" si="9"/>
        <v>0</v>
      </c>
      <c r="H15" s="165">
        <f t="shared" si="9"/>
        <v>0</v>
      </c>
      <c r="I15" s="172">
        <f t="shared" si="9"/>
        <v>0</v>
      </c>
      <c r="J15" s="165">
        <f t="shared" si="9"/>
        <v>0</v>
      </c>
      <c r="K15" s="172">
        <f t="shared" si="9"/>
        <v>0</v>
      </c>
      <c r="L15" s="165">
        <f t="shared" si="9"/>
        <v>0</v>
      </c>
      <c r="M15" s="172">
        <f t="shared" si="9"/>
        <v>0</v>
      </c>
      <c r="N15" s="165">
        <f t="shared" si="9"/>
        <v>0</v>
      </c>
      <c r="O15" s="172">
        <f t="shared" si="9"/>
        <v>0</v>
      </c>
      <c r="P15" s="165">
        <f t="shared" si="9"/>
        <v>0</v>
      </c>
      <c r="Q15" s="172">
        <f t="shared" si="9"/>
        <v>0</v>
      </c>
      <c r="R15" s="165">
        <f t="shared" si="9"/>
        <v>0</v>
      </c>
      <c r="S15" s="172">
        <f t="shared" si="6"/>
        <v>315211750</v>
      </c>
      <c r="T15" s="172">
        <f t="shared" si="7"/>
        <v>304218881</v>
      </c>
      <c r="U15" s="172">
        <f t="shared" si="8"/>
        <v>10992869</v>
      </c>
      <c r="V15" s="218"/>
      <c r="W15" s="173"/>
      <c r="X15" s="173"/>
      <c r="AA15" s="247"/>
    </row>
    <row r="16" spans="1:27" s="177" customFormat="1" ht="28.5" customHeight="1">
      <c r="A16" s="314" t="s">
        <v>145</v>
      </c>
      <c r="B16" s="357" t="s">
        <v>415</v>
      </c>
      <c r="C16" s="9">
        <v>292273520</v>
      </c>
      <c r="D16" s="9">
        <v>8664408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72">
        <f t="shared" si="6"/>
        <v>292273520</v>
      </c>
      <c r="T16" s="172">
        <f t="shared" si="7"/>
        <v>283609112</v>
      </c>
      <c r="U16" s="172">
        <f t="shared" si="8"/>
        <v>8664408</v>
      </c>
      <c r="V16" s="218"/>
      <c r="W16" s="173"/>
      <c r="X16" s="173"/>
      <c r="AA16" s="247"/>
    </row>
    <row r="17" spans="1:27" s="177" customFormat="1" ht="28.5" customHeight="1">
      <c r="A17" s="314" t="s">
        <v>146</v>
      </c>
      <c r="B17" s="357" t="s">
        <v>416</v>
      </c>
      <c r="C17" s="9">
        <v>8858626</v>
      </c>
      <c r="D17" s="9">
        <v>24578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72">
        <f t="shared" si="6"/>
        <v>8858626</v>
      </c>
      <c r="T17" s="172">
        <f t="shared" si="7"/>
        <v>8834048</v>
      </c>
      <c r="U17" s="172">
        <f t="shared" si="8"/>
        <v>24578</v>
      </c>
      <c r="V17" s="218"/>
      <c r="W17" s="173"/>
      <c r="X17" s="173"/>
      <c r="AA17" s="247"/>
    </row>
    <row r="18" spans="1:27" s="177" customFormat="1" ht="25.5" customHeight="1">
      <c r="A18" s="314" t="s">
        <v>147</v>
      </c>
      <c r="B18" s="357" t="s">
        <v>417</v>
      </c>
      <c r="C18" s="9">
        <v>2303883</v>
      </c>
      <c r="D18" s="9">
        <v>2303883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72">
        <f t="shared" si="6"/>
        <v>2303883</v>
      </c>
      <c r="T18" s="172">
        <f t="shared" si="7"/>
        <v>0</v>
      </c>
      <c r="U18" s="172">
        <f t="shared" si="8"/>
        <v>2303883</v>
      </c>
      <c r="V18" s="218"/>
      <c r="W18" s="173"/>
      <c r="X18" s="173"/>
      <c r="AA18" s="247"/>
    </row>
    <row r="19" spans="1:27" s="177" customFormat="1" ht="25.5" customHeight="1">
      <c r="A19" s="314" t="s">
        <v>148</v>
      </c>
      <c r="B19" s="357" t="s">
        <v>371</v>
      </c>
      <c r="C19" s="9">
        <v>11775721</v>
      </c>
      <c r="D19" s="9"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72">
        <f t="shared" si="6"/>
        <v>11775721</v>
      </c>
      <c r="T19" s="172">
        <f t="shared" si="7"/>
        <v>11775721</v>
      </c>
      <c r="U19" s="172">
        <f t="shared" si="8"/>
        <v>0</v>
      </c>
      <c r="V19" s="218"/>
      <c r="W19" s="173"/>
      <c r="X19" s="173"/>
      <c r="AA19" s="247"/>
    </row>
    <row r="20" spans="1:27" s="177" customFormat="1" ht="25.5" customHeight="1">
      <c r="A20" s="314" t="s">
        <v>69</v>
      </c>
      <c r="B20" s="359" t="s">
        <v>418</v>
      </c>
      <c r="C20" s="165">
        <f t="shared" ref="C20:R20" si="10">+C7+C12+C15</f>
        <v>877239193</v>
      </c>
      <c r="D20" s="165">
        <f t="shared" si="10"/>
        <v>38324234</v>
      </c>
      <c r="E20" s="165">
        <f t="shared" si="10"/>
        <v>8129111</v>
      </c>
      <c r="F20" s="165">
        <f t="shared" si="10"/>
        <v>863719</v>
      </c>
      <c r="G20" s="165">
        <f t="shared" si="10"/>
        <v>524482027</v>
      </c>
      <c r="H20" s="165">
        <f t="shared" si="10"/>
        <v>5751478</v>
      </c>
      <c r="I20" s="165">
        <f t="shared" si="10"/>
        <v>367819667</v>
      </c>
      <c r="J20" s="165">
        <f t="shared" si="10"/>
        <v>249719344</v>
      </c>
      <c r="K20" s="165">
        <f t="shared" si="10"/>
        <v>971038402</v>
      </c>
      <c r="L20" s="165">
        <f t="shared" si="10"/>
        <v>194091019</v>
      </c>
      <c r="M20" s="165">
        <f t="shared" si="10"/>
        <v>1144029799</v>
      </c>
      <c r="N20" s="165">
        <f t="shared" si="10"/>
        <v>36768058</v>
      </c>
      <c r="O20" s="165">
        <f t="shared" si="10"/>
        <v>1120770387</v>
      </c>
      <c r="P20" s="165">
        <f t="shared" si="10"/>
        <v>117396264</v>
      </c>
      <c r="Q20" s="165">
        <f t="shared" si="10"/>
        <v>1347669768</v>
      </c>
      <c r="R20" s="165">
        <f t="shared" si="10"/>
        <v>463373060</v>
      </c>
      <c r="S20" s="172">
        <f t="shared" si="6"/>
        <v>6361178354</v>
      </c>
      <c r="T20" s="172">
        <f t="shared" si="7"/>
        <v>5254891178</v>
      </c>
      <c r="U20" s="172">
        <f t="shared" si="8"/>
        <v>1106287176</v>
      </c>
      <c r="V20" s="218">
        <v>0.15</v>
      </c>
      <c r="W20" s="173">
        <f>+X20+'Bank Liabilities Analysis (нац)'!M21</f>
        <v>926506523.0999999</v>
      </c>
      <c r="X20" s="173">
        <f>(U20-(J44+L44+N44+P44+R44))*V20</f>
        <v>138272846.40000001</v>
      </c>
      <c r="Y20" s="429">
        <f>+'Deposits by Client'!C22</f>
        <v>6361178354</v>
      </c>
      <c r="Z20" s="429">
        <f>+Y20-AA20</f>
        <v>5254891178</v>
      </c>
      <c r="AA20" s="429">
        <f>+'Deposits by Client'!D22</f>
        <v>1106287176</v>
      </c>
    </row>
    <row r="21" spans="1:27" s="177" customFormat="1" ht="25.5" customHeight="1">
      <c r="A21" s="314" t="s">
        <v>57</v>
      </c>
      <c r="B21" s="357" t="s">
        <v>234</v>
      </c>
      <c r="C21" s="9">
        <v>180737</v>
      </c>
      <c r="D21" s="9"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72">
        <f t="shared" si="6"/>
        <v>180737</v>
      </c>
      <c r="T21" s="172">
        <f t="shared" si="7"/>
        <v>180737</v>
      </c>
      <c r="U21" s="172">
        <f t="shared" si="8"/>
        <v>0</v>
      </c>
      <c r="V21" s="218">
        <v>1</v>
      </c>
      <c r="W21" s="173">
        <f>(C21+E21+G21-C22-E22-G22)*V21</f>
        <v>0</v>
      </c>
      <c r="X21" s="173">
        <f>(D21+F21+H21-D22-F22-H22)*V21</f>
        <v>0</v>
      </c>
      <c r="Y21" s="247">
        <f>+S20-Y20</f>
        <v>0</v>
      </c>
      <c r="Z21" s="247">
        <f>+T20-Z20</f>
        <v>0</v>
      </c>
      <c r="AA21" s="247">
        <f>+U20-AA20</f>
        <v>0</v>
      </c>
    </row>
    <row r="22" spans="1:27" s="177" customFormat="1" ht="43.5" customHeight="1">
      <c r="A22" s="314" t="s">
        <v>94</v>
      </c>
      <c r="B22" s="357" t="s">
        <v>545</v>
      </c>
      <c r="C22" s="9">
        <v>180737</v>
      </c>
      <c r="D22" s="9"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65">
        <f t="shared" ref="S22" si="11">+C22+E22+G22+I22+K22+M22+O22+Q22</f>
        <v>180737</v>
      </c>
      <c r="T22" s="165">
        <f t="shared" ref="T22" si="12">+S22-U22</f>
        <v>180737</v>
      </c>
      <c r="U22" s="165">
        <f t="shared" ref="U22" si="13">+D22+F22+H22+J22+L22+N22+P22+R22</f>
        <v>0</v>
      </c>
      <c r="V22" s="218"/>
      <c r="W22" s="173"/>
      <c r="X22" s="173"/>
      <c r="Y22" s="247"/>
      <c r="Z22" s="247"/>
      <c r="AA22" s="247"/>
    </row>
    <row r="23" spans="1:27" s="177" customFormat="1" ht="25.5" customHeight="1">
      <c r="A23" s="314" t="s">
        <v>58</v>
      </c>
      <c r="B23" s="357" t="s">
        <v>419</v>
      </c>
      <c r="C23" s="165">
        <f>SUM(C24:C28)-C25</f>
        <v>41280</v>
      </c>
      <c r="D23" s="165">
        <f t="shared" ref="D23:R23" si="14">SUM(D24:D28)-D25</f>
        <v>0</v>
      </c>
      <c r="E23" s="165">
        <f t="shared" si="14"/>
        <v>50000000</v>
      </c>
      <c r="F23" s="165">
        <f t="shared" si="14"/>
        <v>0</v>
      </c>
      <c r="G23" s="165">
        <f t="shared" si="14"/>
        <v>199012050</v>
      </c>
      <c r="H23" s="165">
        <f t="shared" si="14"/>
        <v>199012050</v>
      </c>
      <c r="I23" s="165">
        <f t="shared" si="14"/>
        <v>438595210</v>
      </c>
      <c r="J23" s="165">
        <f t="shared" si="14"/>
        <v>363595210</v>
      </c>
      <c r="K23" s="165">
        <f t="shared" si="14"/>
        <v>68659100</v>
      </c>
      <c r="L23" s="165">
        <f t="shared" si="14"/>
        <v>68659100</v>
      </c>
      <c r="M23" s="165">
        <f t="shared" si="14"/>
        <v>413387700</v>
      </c>
      <c r="N23" s="165">
        <f t="shared" si="14"/>
        <v>123387700</v>
      </c>
      <c r="O23" s="165">
        <f t="shared" si="14"/>
        <v>489815533</v>
      </c>
      <c r="P23" s="165">
        <f t="shared" si="14"/>
        <v>68659100</v>
      </c>
      <c r="Q23" s="165">
        <f t="shared" si="14"/>
        <v>252775555</v>
      </c>
      <c r="R23" s="165">
        <f t="shared" si="14"/>
        <v>0</v>
      </c>
      <c r="S23" s="165">
        <f t="shared" si="6"/>
        <v>1912286428</v>
      </c>
      <c r="T23" s="165">
        <f t="shared" si="7"/>
        <v>1088973268</v>
      </c>
      <c r="U23" s="165">
        <f t="shared" si="8"/>
        <v>823313160</v>
      </c>
      <c r="V23" s="218"/>
      <c r="W23" s="173"/>
      <c r="X23" s="173"/>
      <c r="AA23" s="247"/>
    </row>
    <row r="24" spans="1:27" s="177" customFormat="1" ht="27.75" customHeight="1">
      <c r="A24" s="314" t="s">
        <v>74</v>
      </c>
      <c r="B24" s="357" t="s">
        <v>420</v>
      </c>
      <c r="C24" s="9"/>
      <c r="D24" s="9">
        <v>0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>
        <f>+C24</f>
        <v>0</v>
      </c>
      <c r="T24" s="165">
        <f t="shared" ref="T24" si="15">+S24-U24</f>
        <v>0</v>
      </c>
      <c r="U24" s="165">
        <f>+D24</f>
        <v>0</v>
      </c>
      <c r="V24" s="218">
        <v>1</v>
      </c>
      <c r="W24" s="173">
        <f>X24+'Bank Liabilities Analysis (нац)'!M25</f>
        <v>0</v>
      </c>
      <c r="X24" s="173">
        <f>(U24-U25)*V24</f>
        <v>0</v>
      </c>
      <c r="AA24" s="247"/>
    </row>
    <row r="25" spans="1:27" s="177" customFormat="1" ht="27.75" customHeight="1">
      <c r="A25" s="314" t="s">
        <v>556</v>
      </c>
      <c r="B25" s="357" t="s">
        <v>557</v>
      </c>
      <c r="C25" s="9">
        <v>0</v>
      </c>
      <c r="D25" s="9">
        <v>0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>
        <f>+C25</f>
        <v>0</v>
      </c>
      <c r="T25" s="165">
        <f t="shared" ref="T25" si="16">+S25-U25</f>
        <v>0</v>
      </c>
      <c r="U25" s="165">
        <f>+D25</f>
        <v>0</v>
      </c>
      <c r="V25" s="218">
        <v>1</v>
      </c>
      <c r="W25" s="173">
        <f>(U25*V25)</f>
        <v>0</v>
      </c>
      <c r="X25" s="173">
        <f>(U25*V25)</f>
        <v>0</v>
      </c>
      <c r="AA25" s="247"/>
    </row>
    <row r="26" spans="1:27" s="177" customFormat="1" ht="25.5" customHeight="1">
      <c r="A26" s="314" t="s">
        <v>75</v>
      </c>
      <c r="B26" s="357" t="s">
        <v>421</v>
      </c>
      <c r="C26" s="9">
        <v>0</v>
      </c>
      <c r="D26" s="9">
        <v>0</v>
      </c>
      <c r="E26" s="9">
        <v>50000000</v>
      </c>
      <c r="F26" s="9">
        <v>0</v>
      </c>
      <c r="G26" s="9">
        <v>199012050</v>
      </c>
      <c r="H26" s="9">
        <v>199012050</v>
      </c>
      <c r="I26" s="9">
        <v>438595210</v>
      </c>
      <c r="J26" s="9">
        <v>363595210</v>
      </c>
      <c r="K26" s="9">
        <v>68659100</v>
      </c>
      <c r="L26" s="9">
        <v>68659100</v>
      </c>
      <c r="M26" s="9">
        <v>413387700</v>
      </c>
      <c r="N26" s="9">
        <v>123387700</v>
      </c>
      <c r="O26" s="9">
        <v>489815533</v>
      </c>
      <c r="P26" s="9">
        <v>68659100</v>
      </c>
      <c r="Q26" s="9">
        <v>252775555</v>
      </c>
      <c r="R26" s="9">
        <v>0</v>
      </c>
      <c r="S26" s="165">
        <f t="shared" si="6"/>
        <v>1912245148</v>
      </c>
      <c r="T26" s="165">
        <f t="shared" si="7"/>
        <v>1088931988</v>
      </c>
      <c r="U26" s="165">
        <f t="shared" si="8"/>
        <v>823313160</v>
      </c>
      <c r="V26" s="218">
        <v>1</v>
      </c>
      <c r="W26" s="173">
        <f>(C26+E26+G26)*V26</f>
        <v>249012050</v>
      </c>
      <c r="X26" s="173">
        <f>(D26+F26+H26)*V26</f>
        <v>199012050</v>
      </c>
      <c r="AA26" s="247"/>
    </row>
    <row r="27" spans="1:27" s="177" customFormat="1" ht="25.5" customHeight="1">
      <c r="A27" s="314" t="s">
        <v>15</v>
      </c>
      <c r="B27" s="357" t="s">
        <v>498</v>
      </c>
      <c r="C27" s="9">
        <v>41280</v>
      </c>
      <c r="D27" s="9"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65">
        <f t="shared" si="6"/>
        <v>41280</v>
      </c>
      <c r="T27" s="165">
        <f t="shared" si="7"/>
        <v>41280</v>
      </c>
      <c r="U27" s="165">
        <f t="shared" si="8"/>
        <v>0</v>
      </c>
      <c r="V27" s="218">
        <v>1</v>
      </c>
      <c r="W27" s="173">
        <f>(C27+E27+G27)*V27</f>
        <v>41280</v>
      </c>
      <c r="X27" s="173">
        <f>(D27+F27+H27)*V27</f>
        <v>0</v>
      </c>
      <c r="AA27" s="247"/>
    </row>
    <row r="28" spans="1:27" s="177" customFormat="1" ht="25.5" customHeight="1">
      <c r="A28" s="314" t="s">
        <v>149</v>
      </c>
      <c r="B28" s="357" t="s">
        <v>422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65">
        <f t="shared" si="6"/>
        <v>0</v>
      </c>
      <c r="T28" s="165">
        <f t="shared" si="7"/>
        <v>0</v>
      </c>
      <c r="U28" s="165">
        <f t="shared" si="8"/>
        <v>0</v>
      </c>
      <c r="V28" s="218">
        <v>1</v>
      </c>
      <c r="W28" s="173">
        <f>(C28+E28+G28)*V28</f>
        <v>0</v>
      </c>
      <c r="X28" s="173">
        <f>(D28+F28+H28)*V28</f>
        <v>0</v>
      </c>
      <c r="AA28" s="247"/>
    </row>
    <row r="29" spans="1:27" s="177" customFormat="1" ht="25.5" customHeight="1">
      <c r="A29" s="314" t="s">
        <v>59</v>
      </c>
      <c r="B29" s="357" t="s">
        <v>423</v>
      </c>
      <c r="C29" s="9">
        <v>2479977</v>
      </c>
      <c r="D29" s="9">
        <v>2479977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65">
        <f t="shared" si="6"/>
        <v>2479977</v>
      </c>
      <c r="T29" s="165">
        <f t="shared" si="7"/>
        <v>0</v>
      </c>
      <c r="U29" s="165">
        <f t="shared" si="8"/>
        <v>2479977</v>
      </c>
      <c r="V29" s="218">
        <v>1</v>
      </c>
      <c r="W29" s="173">
        <f>(C29+E29+G29)*V29</f>
        <v>2479977</v>
      </c>
      <c r="X29" s="173">
        <f>(D29+F29+H29)*V29</f>
        <v>2479977</v>
      </c>
      <c r="AA29" s="247"/>
    </row>
    <row r="30" spans="1:27" s="177" customFormat="1" ht="25.5" customHeight="1">
      <c r="A30" s="314" t="s">
        <v>60</v>
      </c>
      <c r="B30" s="357" t="s">
        <v>424</v>
      </c>
      <c r="C30" s="9">
        <v>2308034</v>
      </c>
      <c r="D30" s="9">
        <v>0</v>
      </c>
      <c r="E30" s="9">
        <v>11138545</v>
      </c>
      <c r="F30" s="9">
        <v>8365615</v>
      </c>
      <c r="G30" s="9">
        <v>108958089</v>
      </c>
      <c r="H30" s="9">
        <v>23999038</v>
      </c>
      <c r="I30" s="9">
        <v>117128083</v>
      </c>
      <c r="J30" s="9">
        <v>34442992</v>
      </c>
      <c r="K30" s="9">
        <v>811995631</v>
      </c>
      <c r="L30" s="9">
        <v>666030578</v>
      </c>
      <c r="M30" s="9">
        <v>522119574</v>
      </c>
      <c r="N30" s="9">
        <v>232618598</v>
      </c>
      <c r="O30" s="9">
        <v>1122963193</v>
      </c>
      <c r="P30" s="9">
        <v>512174889</v>
      </c>
      <c r="Q30" s="9">
        <v>3652504938</v>
      </c>
      <c r="R30" s="9">
        <v>997560432</v>
      </c>
      <c r="S30" s="165">
        <f t="shared" si="6"/>
        <v>6349116087</v>
      </c>
      <c r="T30" s="165">
        <f t="shared" si="7"/>
        <v>3873923945</v>
      </c>
      <c r="U30" s="165">
        <f t="shared" si="8"/>
        <v>2475192142</v>
      </c>
      <c r="V30" s="218">
        <v>0.05</v>
      </c>
      <c r="W30" s="173">
        <f>X30+'Bank Liabilities Analysis (нац)'!M31</f>
        <v>317455804.35000002</v>
      </c>
      <c r="X30" s="173">
        <f>(U30-(J49+L49+N49+P49+R49))*V30</f>
        <v>123759607.10000001</v>
      </c>
      <c r="AA30" s="247"/>
    </row>
    <row r="31" spans="1:27" s="177" customFormat="1" ht="25.5" customHeight="1">
      <c r="A31" s="314" t="s">
        <v>61</v>
      </c>
      <c r="B31" s="357" t="s">
        <v>242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65">
        <f t="shared" si="6"/>
        <v>0</v>
      </c>
      <c r="T31" s="165">
        <f t="shared" si="7"/>
        <v>0</v>
      </c>
      <c r="U31" s="165">
        <f t="shared" si="8"/>
        <v>0</v>
      </c>
      <c r="V31" s="218">
        <v>1</v>
      </c>
      <c r="W31" s="173">
        <f>(C31+E31+G31)*V31</f>
        <v>0</v>
      </c>
      <c r="X31" s="173">
        <f>(D31+F31+H31)*V31</f>
        <v>0</v>
      </c>
      <c r="AA31" s="247"/>
    </row>
    <row r="32" spans="1:27" s="177" customFormat="1" ht="25.5" customHeight="1">
      <c r="A32" s="314" t="s">
        <v>62</v>
      </c>
      <c r="B32" s="357" t="s">
        <v>244</v>
      </c>
      <c r="C32" s="9"/>
      <c r="D32" s="9"/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50000000</v>
      </c>
      <c r="R32" s="9">
        <v>0</v>
      </c>
      <c r="S32" s="165">
        <f t="shared" si="6"/>
        <v>50000000</v>
      </c>
      <c r="T32" s="165">
        <f t="shared" si="7"/>
        <v>50000000</v>
      </c>
      <c r="U32" s="165">
        <f t="shared" si="8"/>
        <v>0</v>
      </c>
      <c r="V32" s="218">
        <v>1</v>
      </c>
      <c r="W32" s="173">
        <f>(C32+E32+G32)*V32</f>
        <v>0</v>
      </c>
      <c r="X32" s="173">
        <f>(D32+F32+H32)*V32</f>
        <v>0</v>
      </c>
      <c r="AA32" s="247"/>
    </row>
    <row r="33" spans="1:27" s="177" customFormat="1" ht="24.75" customHeight="1">
      <c r="A33" s="314" t="s">
        <v>63</v>
      </c>
      <c r="B33" s="479" t="s">
        <v>238</v>
      </c>
      <c r="C33" s="165">
        <f>+C34+C35</f>
        <v>0</v>
      </c>
      <c r="D33" s="165">
        <f t="shared" ref="D33:R33" si="17">+D34+D35</f>
        <v>0</v>
      </c>
      <c r="E33" s="165">
        <f t="shared" si="17"/>
        <v>0</v>
      </c>
      <c r="F33" s="165">
        <f t="shared" si="17"/>
        <v>0</v>
      </c>
      <c r="G33" s="165">
        <f t="shared" si="17"/>
        <v>0</v>
      </c>
      <c r="H33" s="165">
        <f t="shared" si="17"/>
        <v>0</v>
      </c>
      <c r="I33" s="165">
        <f t="shared" si="17"/>
        <v>0</v>
      </c>
      <c r="J33" s="165">
        <f t="shared" si="17"/>
        <v>0</v>
      </c>
      <c r="K33" s="165">
        <f t="shared" si="17"/>
        <v>0</v>
      </c>
      <c r="L33" s="165">
        <f t="shared" si="17"/>
        <v>0</v>
      </c>
      <c r="M33" s="165">
        <f t="shared" si="17"/>
        <v>0</v>
      </c>
      <c r="N33" s="165">
        <f t="shared" si="17"/>
        <v>0</v>
      </c>
      <c r="O33" s="165">
        <f t="shared" si="17"/>
        <v>0</v>
      </c>
      <c r="P33" s="165">
        <f t="shared" si="17"/>
        <v>0</v>
      </c>
      <c r="Q33" s="165">
        <f t="shared" si="17"/>
        <v>0</v>
      </c>
      <c r="R33" s="165">
        <f t="shared" si="17"/>
        <v>0</v>
      </c>
      <c r="S33" s="165">
        <f t="shared" si="6"/>
        <v>0</v>
      </c>
      <c r="T33" s="165">
        <f t="shared" si="7"/>
        <v>0</v>
      </c>
      <c r="U33" s="165">
        <f t="shared" si="8"/>
        <v>0</v>
      </c>
      <c r="V33" s="218"/>
      <c r="W33" s="173"/>
      <c r="X33" s="173"/>
      <c r="AA33" s="247"/>
    </row>
    <row r="34" spans="1:27" s="177" customFormat="1" ht="27" customHeight="1">
      <c r="A34" s="314" t="s">
        <v>199</v>
      </c>
      <c r="B34" s="480" t="s">
        <v>549</v>
      </c>
      <c r="C34" s="9"/>
      <c r="D34" s="9"/>
      <c r="E34" s="9"/>
      <c r="F34" s="9">
        <v>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65">
        <f t="shared" si="6"/>
        <v>0</v>
      </c>
      <c r="T34" s="165">
        <f t="shared" si="7"/>
        <v>0</v>
      </c>
      <c r="U34" s="165">
        <f t="shared" si="8"/>
        <v>0</v>
      </c>
      <c r="V34" s="218">
        <v>1</v>
      </c>
      <c r="W34" s="173">
        <f>(C34+E34+G34)*V34</f>
        <v>0</v>
      </c>
      <c r="X34" s="173">
        <f>(D34+F34+H34)*V34</f>
        <v>0</v>
      </c>
      <c r="AA34" s="247"/>
    </row>
    <row r="35" spans="1:27" s="177" customFormat="1" ht="27" customHeight="1">
      <c r="A35" s="314" t="s">
        <v>201</v>
      </c>
      <c r="B35" s="480" t="s">
        <v>550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65">
        <f t="shared" ref="S35" si="18">+C35+E35+G35+I35+K35+M35+O35+Q35</f>
        <v>0</v>
      </c>
      <c r="T35" s="165">
        <f t="shared" ref="T35" si="19">+S35-U35</f>
        <v>0</v>
      </c>
      <c r="U35" s="165">
        <f t="shared" ref="U35" si="20">+D35+F35+H35+J35+L35+N35+P35+R35</f>
        <v>0</v>
      </c>
      <c r="V35" s="218">
        <v>1</v>
      </c>
      <c r="W35" s="173">
        <f>(C35+E35+G35)*V35</f>
        <v>0</v>
      </c>
      <c r="X35" s="173">
        <f>(D35+F35+H35)*V35</f>
        <v>0</v>
      </c>
      <c r="AA35" s="247"/>
    </row>
    <row r="36" spans="1:27" s="177" customFormat="1" ht="38.25">
      <c r="A36" s="314" t="s">
        <v>64</v>
      </c>
      <c r="B36" s="357" t="s">
        <v>425</v>
      </c>
      <c r="C36" s="9">
        <v>13733</v>
      </c>
      <c r="D36" s="9">
        <v>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72">
        <f t="shared" si="6"/>
        <v>13733</v>
      </c>
      <c r="T36" s="172">
        <f t="shared" si="7"/>
        <v>13733</v>
      </c>
      <c r="U36" s="172">
        <f t="shared" si="8"/>
        <v>0</v>
      </c>
      <c r="V36" s="218">
        <v>1</v>
      </c>
      <c r="W36" s="173">
        <f>(S36)*V36</f>
        <v>13733</v>
      </c>
      <c r="X36" s="173">
        <f>(U36)*V36</f>
        <v>0</v>
      </c>
      <c r="AA36" s="247"/>
    </row>
    <row r="37" spans="1:27" s="177" customFormat="1" ht="25.5" customHeight="1">
      <c r="A37" s="314" t="s">
        <v>70</v>
      </c>
      <c r="B37" s="357" t="s">
        <v>250</v>
      </c>
      <c r="C37" s="9">
        <v>0</v>
      </c>
      <c r="D37" s="9">
        <v>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72">
        <f t="shared" si="6"/>
        <v>0</v>
      </c>
      <c r="T37" s="172">
        <f t="shared" si="7"/>
        <v>0</v>
      </c>
      <c r="U37" s="172">
        <f t="shared" si="8"/>
        <v>0</v>
      </c>
      <c r="V37" s="218">
        <v>1</v>
      </c>
      <c r="W37" s="173">
        <f>(S37)*V37</f>
        <v>0</v>
      </c>
      <c r="X37" s="173">
        <f>(U37)*V37</f>
        <v>0</v>
      </c>
      <c r="AA37" s="247"/>
    </row>
    <row r="38" spans="1:27" s="177" customFormat="1" ht="25.5" customHeight="1">
      <c r="A38" s="314" t="s">
        <v>71</v>
      </c>
      <c r="B38" s="357" t="s">
        <v>246</v>
      </c>
      <c r="C38" s="9">
        <v>42748078</v>
      </c>
      <c r="D38" s="9">
        <v>11889266</v>
      </c>
      <c r="E38" s="9">
        <v>199322</v>
      </c>
      <c r="F38" s="9">
        <v>199322</v>
      </c>
      <c r="G38" s="9">
        <v>68794836</v>
      </c>
      <c r="H38" s="9">
        <v>3260291</v>
      </c>
      <c r="I38" s="9">
        <v>16885312</v>
      </c>
      <c r="J38" s="9">
        <v>4680644</v>
      </c>
      <c r="K38" s="9">
        <v>21764331</v>
      </c>
      <c r="L38" s="9">
        <v>8966914</v>
      </c>
      <c r="M38" s="9"/>
      <c r="N38" s="9"/>
      <c r="O38" s="9"/>
      <c r="P38" s="9"/>
      <c r="Q38" s="9"/>
      <c r="R38" s="9"/>
      <c r="S38" s="172">
        <f t="shared" si="6"/>
        <v>150391879</v>
      </c>
      <c r="T38" s="172">
        <f t="shared" si="7"/>
        <v>121395442</v>
      </c>
      <c r="U38" s="172">
        <f t="shared" si="8"/>
        <v>28996437</v>
      </c>
      <c r="V38" s="218"/>
      <c r="W38" s="173">
        <f>C38+E38+G38+((I38+K38+M38+O38+Q38)*15%)</f>
        <v>117539682.45</v>
      </c>
      <c r="X38" s="173">
        <f>D38+F38+H38+((J38+L38+N38+P38+R38)*15%)</f>
        <v>17396012.699999999</v>
      </c>
      <c r="AA38" s="247"/>
    </row>
    <row r="39" spans="1:27" s="177" customFormat="1" ht="25.5" customHeight="1">
      <c r="A39" s="314" t="s">
        <v>65</v>
      </c>
      <c r="B39" s="357" t="s">
        <v>254</v>
      </c>
      <c r="C39" s="9">
        <v>88854958</v>
      </c>
      <c r="D39" s="9">
        <v>5974109</v>
      </c>
      <c r="E39" s="9"/>
      <c r="F39" s="9"/>
      <c r="G39" s="9">
        <v>19400824</v>
      </c>
      <c r="H39" s="9"/>
      <c r="I39" s="9">
        <v>38801647</v>
      </c>
      <c r="J39" s="9"/>
      <c r="K39" s="9">
        <v>58202471</v>
      </c>
      <c r="L39" s="9"/>
      <c r="M39" s="9">
        <v>97004118</v>
      </c>
      <c r="N39" s="9"/>
      <c r="O39" s="9"/>
      <c r="P39" s="9"/>
      <c r="Q39" s="9"/>
      <c r="R39" s="9"/>
      <c r="S39" s="172">
        <f t="shared" si="6"/>
        <v>302264018</v>
      </c>
      <c r="T39" s="172">
        <f t="shared" si="7"/>
        <v>296289909</v>
      </c>
      <c r="U39" s="172">
        <f t="shared" si="8"/>
        <v>5974109</v>
      </c>
      <c r="V39" s="218">
        <v>1</v>
      </c>
      <c r="W39" s="173">
        <f>(C39+E39+G39)*V39</f>
        <v>108255782</v>
      </c>
      <c r="X39" s="173">
        <f>(D39+F39+H39)*V39</f>
        <v>5974109</v>
      </c>
    </row>
    <row r="40" spans="1:27" s="105" customFormat="1" ht="24.75" customHeight="1">
      <c r="A40" s="314" t="s">
        <v>385</v>
      </c>
      <c r="B40" s="359" t="s">
        <v>426</v>
      </c>
      <c r="C40" s="98">
        <f>+C20+C29+C30+C31+C32+C33+C36+C37+C38+C39+C21+C23</f>
        <v>1013865990</v>
      </c>
      <c r="D40" s="98">
        <f t="shared" ref="D40:U40" si="21">+D20+D29+D30+D31+D32+D33+D36+D37+D38+D39+D21+D23</f>
        <v>58667586</v>
      </c>
      <c r="E40" s="98">
        <f t="shared" si="21"/>
        <v>69466978</v>
      </c>
      <c r="F40" s="98">
        <f t="shared" si="21"/>
        <v>9428656</v>
      </c>
      <c r="G40" s="98">
        <f t="shared" si="21"/>
        <v>920647826</v>
      </c>
      <c r="H40" s="98">
        <f t="shared" si="21"/>
        <v>232022857</v>
      </c>
      <c r="I40" s="98">
        <f t="shared" si="21"/>
        <v>979229919</v>
      </c>
      <c r="J40" s="98">
        <f t="shared" si="21"/>
        <v>652438190</v>
      </c>
      <c r="K40" s="98">
        <f t="shared" si="21"/>
        <v>1931659935</v>
      </c>
      <c r="L40" s="98">
        <f t="shared" si="21"/>
        <v>937747611</v>
      </c>
      <c r="M40" s="98">
        <f t="shared" si="21"/>
        <v>2176541191</v>
      </c>
      <c r="N40" s="98">
        <f t="shared" si="21"/>
        <v>392774356</v>
      </c>
      <c r="O40" s="98">
        <f t="shared" si="21"/>
        <v>2733549113</v>
      </c>
      <c r="P40" s="98">
        <f t="shared" si="21"/>
        <v>698230253</v>
      </c>
      <c r="Q40" s="98">
        <f t="shared" si="21"/>
        <v>5302950261</v>
      </c>
      <c r="R40" s="98">
        <f t="shared" si="21"/>
        <v>1460933492</v>
      </c>
      <c r="S40" s="98">
        <f t="shared" si="21"/>
        <v>15127911213</v>
      </c>
      <c r="T40" s="98">
        <f t="shared" si="21"/>
        <v>10685668212</v>
      </c>
      <c r="U40" s="98">
        <f t="shared" si="21"/>
        <v>4442243001</v>
      </c>
      <c r="V40" s="497" t="s">
        <v>17</v>
      </c>
      <c r="W40" s="152">
        <f>SUM(W8:W39)</f>
        <v>1721304831.8999999</v>
      </c>
      <c r="X40" s="152">
        <f>SUM(X8:X39)</f>
        <v>486894602.19999999</v>
      </c>
      <c r="Y40" s="360">
        <f>+Balance!C63</f>
        <v>15127911213</v>
      </c>
      <c r="Z40" s="360">
        <f>+Balance!D63</f>
        <v>10685668212</v>
      </c>
      <c r="AA40" s="360">
        <f>+Balance!E63</f>
        <v>4442243001</v>
      </c>
    </row>
    <row r="41" spans="1:27" s="177" customFormat="1">
      <c r="A41" s="314"/>
      <c r="B41" s="340" t="s">
        <v>338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65">
        <f t="shared" si="6"/>
        <v>0</v>
      </c>
      <c r="T41" s="165">
        <f t="shared" si="7"/>
        <v>0</v>
      </c>
      <c r="U41" s="165">
        <f t="shared" si="8"/>
        <v>0</v>
      </c>
      <c r="V41" s="218"/>
      <c r="W41" s="173"/>
      <c r="X41" s="173"/>
      <c r="Y41" s="247">
        <f>+S40-Y40</f>
        <v>0</v>
      </c>
      <c r="Z41" s="247">
        <f t="shared" ref="Z41:AA41" si="22">+T40-Z40</f>
        <v>0</v>
      </c>
      <c r="AA41" s="247">
        <f t="shared" si="22"/>
        <v>0</v>
      </c>
    </row>
    <row r="42" spans="1:27" s="177" customFormat="1" ht="25.5">
      <c r="A42" s="314"/>
      <c r="B42" s="342" t="s">
        <v>427</v>
      </c>
      <c r="C42" s="165">
        <f>+C43+C44</f>
        <v>0</v>
      </c>
      <c r="D42" s="165">
        <f t="shared" ref="D42" si="23">+D43+D44</f>
        <v>0</v>
      </c>
      <c r="E42" s="165">
        <f t="shared" ref="E42:G42" si="24">+E43+E44</f>
        <v>510185.36397008545</v>
      </c>
      <c r="F42" s="165">
        <f t="shared" ref="F42:H42" si="25">+F43+F44</f>
        <v>0</v>
      </c>
      <c r="G42" s="165">
        <f t="shared" si="24"/>
        <v>4376800.2015996622</v>
      </c>
      <c r="H42" s="165">
        <f t="shared" si="25"/>
        <v>0</v>
      </c>
      <c r="I42" s="165">
        <f t="shared" ref="I42" si="26">+I43+I44</f>
        <v>9514795.8166575897</v>
      </c>
      <c r="J42" s="165">
        <f t="shared" ref="J42" si="27">+J43+J44</f>
        <v>0</v>
      </c>
      <c r="K42" s="165">
        <f t="shared" ref="K42" si="28">+K43+K44</f>
        <v>11589896.987129718</v>
      </c>
      <c r="L42" s="165">
        <f t="shared" ref="L42" si="29">+L43+L44</f>
        <v>0</v>
      </c>
      <c r="M42" s="165">
        <f t="shared" ref="M42" si="30">+M43+M44</f>
        <v>12305925.948150037</v>
      </c>
      <c r="N42" s="165">
        <f t="shared" ref="N42" si="31">+N43+N44</f>
        <v>0</v>
      </c>
      <c r="O42" s="165">
        <f t="shared" ref="O42" si="32">+O43+O44</f>
        <v>18431918.400374211</v>
      </c>
      <c r="P42" s="165">
        <f t="shared" ref="P42" si="33">+P43+P44</f>
        <v>0</v>
      </c>
      <c r="Q42" s="165">
        <f t="shared" ref="Q42" si="34">+Q43+Q44</f>
        <v>996959988.53320849</v>
      </c>
      <c r="R42" s="165">
        <f t="shared" ref="R42" si="35">+R43+R44</f>
        <v>184468200</v>
      </c>
      <c r="S42" s="165">
        <f t="shared" si="6"/>
        <v>1053689511.2510898</v>
      </c>
      <c r="T42" s="165">
        <f t="shared" si="7"/>
        <v>869221311.25108981</v>
      </c>
      <c r="U42" s="165">
        <f t="shared" si="8"/>
        <v>184468200</v>
      </c>
      <c r="V42" s="218"/>
      <c r="W42" s="173"/>
      <c r="X42" s="173"/>
      <c r="AA42" s="247"/>
    </row>
    <row r="43" spans="1:27" s="177" customFormat="1" ht="20.25" customHeight="1">
      <c r="A43" s="314"/>
      <c r="B43" s="343" t="s">
        <v>428</v>
      </c>
      <c r="C43" s="9">
        <v>0</v>
      </c>
      <c r="D43" s="9">
        <v>0</v>
      </c>
      <c r="E43" s="9">
        <v>510185.36397008545</v>
      </c>
      <c r="F43" s="9">
        <v>0</v>
      </c>
      <c r="G43" s="9">
        <v>4376800.2015996622</v>
      </c>
      <c r="H43" s="9">
        <v>0</v>
      </c>
      <c r="I43" s="9">
        <v>9514795.8166575897</v>
      </c>
      <c r="J43" s="9">
        <v>0</v>
      </c>
      <c r="K43" s="9">
        <v>11589896.987129718</v>
      </c>
      <c r="L43" s="9">
        <v>0</v>
      </c>
      <c r="M43" s="9">
        <v>12305925.948150037</v>
      </c>
      <c r="N43" s="9">
        <v>0</v>
      </c>
      <c r="O43" s="9">
        <v>18431918.400374211</v>
      </c>
      <c r="P43" s="9">
        <v>0</v>
      </c>
      <c r="Q43" s="9">
        <v>126490432.10228862</v>
      </c>
      <c r="R43" s="9">
        <v>0</v>
      </c>
      <c r="S43" s="165">
        <f t="shared" si="6"/>
        <v>183219954.82016993</v>
      </c>
      <c r="T43" s="165">
        <f t="shared" si="7"/>
        <v>183219954.82016993</v>
      </c>
      <c r="U43" s="165">
        <f t="shared" si="8"/>
        <v>0</v>
      </c>
      <c r="V43" s="218"/>
      <c r="W43" s="173"/>
      <c r="X43" s="173"/>
      <c r="AA43" s="247"/>
    </row>
    <row r="44" spans="1:27" s="177" customFormat="1" ht="20.25" customHeight="1">
      <c r="A44" s="314"/>
      <c r="B44" s="343" t="s">
        <v>429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v>870469556.43091989</v>
      </c>
      <c r="R44" s="9">
        <v>184468200</v>
      </c>
      <c r="S44" s="165">
        <f t="shared" si="6"/>
        <v>870469556.43091989</v>
      </c>
      <c r="T44" s="165">
        <f t="shared" si="7"/>
        <v>686001356.43091989</v>
      </c>
      <c r="U44" s="165">
        <f t="shared" si="8"/>
        <v>184468200</v>
      </c>
      <c r="V44" s="218"/>
      <c r="W44" s="173"/>
      <c r="X44" s="173"/>
      <c r="Y44" s="177" t="s">
        <v>555</v>
      </c>
      <c r="AA44" s="247"/>
    </row>
    <row r="45" spans="1:27" s="177" customFormat="1" ht="25.5">
      <c r="A45" s="314"/>
      <c r="B45" s="361" t="s">
        <v>499</v>
      </c>
      <c r="C45" s="165">
        <f>+C46+C47</f>
        <v>0</v>
      </c>
      <c r="D45" s="165">
        <f t="shared" ref="D45" si="36">+D46+D47</f>
        <v>0</v>
      </c>
      <c r="E45" s="165">
        <f t="shared" ref="E45:G45" si="37">+E46+E47</f>
        <v>1220370.727940171</v>
      </c>
      <c r="F45" s="165">
        <f t="shared" ref="F45:H45" si="38">+F46+F47</f>
        <v>0</v>
      </c>
      <c r="G45" s="165">
        <f t="shared" si="37"/>
        <v>12720621.131869322</v>
      </c>
      <c r="H45" s="165">
        <f t="shared" si="38"/>
        <v>0</v>
      </c>
      <c r="I45" s="165">
        <f t="shared" ref="I45" si="39">+I46+I47</f>
        <v>25700706.475045141</v>
      </c>
      <c r="J45" s="165">
        <f t="shared" ref="J45" si="40">+J46+J47</f>
        <v>0</v>
      </c>
      <c r="K45" s="165">
        <f t="shared" ref="K45" si="41">+K46+K47</f>
        <v>31815515.999192763</v>
      </c>
      <c r="L45" s="165">
        <f t="shared" ref="L45" si="42">+L46+L47</f>
        <v>0</v>
      </c>
      <c r="M45" s="165">
        <f t="shared" ref="M45" si="43">+M46+M47</f>
        <v>47092961.27493006</v>
      </c>
      <c r="N45" s="165">
        <f t="shared" ref="N45" si="44">+N46+N47</f>
        <v>0</v>
      </c>
      <c r="O45" s="165">
        <f t="shared" ref="O45" si="45">+O46+O47</f>
        <v>60792534.081077486</v>
      </c>
      <c r="P45" s="165">
        <f t="shared" ref="P45" si="46">+P46+P47</f>
        <v>0</v>
      </c>
      <c r="Q45" s="165">
        <f t="shared" ref="Q45" si="47">+Q46+Q47</f>
        <v>118787040.83713841</v>
      </c>
      <c r="R45" s="165">
        <f t="shared" ref="R45" si="48">+R46+R47</f>
        <v>0</v>
      </c>
      <c r="S45" s="165">
        <f t="shared" si="6"/>
        <v>298129750.52719337</v>
      </c>
      <c r="T45" s="165">
        <f t="shared" si="7"/>
        <v>298129750.52719337</v>
      </c>
      <c r="U45" s="165">
        <f t="shared" si="8"/>
        <v>0</v>
      </c>
      <c r="V45" s="218"/>
      <c r="W45" s="173"/>
      <c r="X45" s="173"/>
      <c r="AA45" s="247"/>
    </row>
    <row r="46" spans="1:27" s="177" customFormat="1" ht="20.25" customHeight="1">
      <c r="A46" s="314"/>
      <c r="B46" s="362" t="s">
        <v>428</v>
      </c>
      <c r="C46" s="9">
        <v>0</v>
      </c>
      <c r="D46" s="9">
        <v>0</v>
      </c>
      <c r="E46" s="9">
        <v>1020370.7279401709</v>
      </c>
      <c r="F46" s="9">
        <v>0</v>
      </c>
      <c r="G46" s="9">
        <v>12720621.131869322</v>
      </c>
      <c r="H46" s="9">
        <v>0</v>
      </c>
      <c r="I46" s="9">
        <v>25700706.475045141</v>
      </c>
      <c r="J46" s="9">
        <v>0</v>
      </c>
      <c r="K46" s="9">
        <v>30315515.999192763</v>
      </c>
      <c r="L46" s="9">
        <v>0</v>
      </c>
      <c r="M46" s="9">
        <v>47092961.27493006</v>
      </c>
      <c r="N46" s="9">
        <v>0</v>
      </c>
      <c r="O46" s="9">
        <v>60792534.081077486</v>
      </c>
      <c r="P46" s="9">
        <v>0</v>
      </c>
      <c r="Q46" s="9">
        <v>118787040.83713841</v>
      </c>
      <c r="R46" s="9">
        <v>0</v>
      </c>
      <c r="S46" s="165">
        <f t="shared" si="6"/>
        <v>296429750.52719337</v>
      </c>
      <c r="T46" s="165">
        <f t="shared" si="7"/>
        <v>296429750.52719337</v>
      </c>
      <c r="U46" s="165">
        <f t="shared" si="8"/>
        <v>0</v>
      </c>
      <c r="V46" s="218"/>
      <c r="W46" s="173"/>
      <c r="X46" s="173"/>
      <c r="AA46" s="247"/>
    </row>
    <row r="47" spans="1:27" s="177" customFormat="1" ht="20.25" customHeight="1">
      <c r="A47" s="344"/>
      <c r="B47" s="362" t="s">
        <v>429</v>
      </c>
      <c r="C47" s="9"/>
      <c r="D47" s="9"/>
      <c r="E47" s="9">
        <v>200000</v>
      </c>
      <c r="F47" s="9"/>
      <c r="G47" s="9"/>
      <c r="H47" s="9"/>
      <c r="I47" s="9"/>
      <c r="J47" s="9"/>
      <c r="K47" s="9">
        <v>1500000</v>
      </c>
      <c r="L47" s="9"/>
      <c r="M47" s="9"/>
      <c r="N47" s="9"/>
      <c r="O47" s="9"/>
      <c r="P47" s="9"/>
      <c r="Q47" s="9"/>
      <c r="R47" s="9"/>
      <c r="S47" s="165">
        <f t="shared" si="6"/>
        <v>1700000</v>
      </c>
      <c r="T47" s="165">
        <f t="shared" si="7"/>
        <v>1700000</v>
      </c>
      <c r="U47" s="165">
        <f t="shared" si="8"/>
        <v>0</v>
      </c>
      <c r="V47" s="218"/>
      <c r="W47" s="173"/>
      <c r="X47" s="173"/>
      <c r="AA47" s="247"/>
    </row>
    <row r="48" spans="1:27" s="177" customFormat="1" ht="25.5">
      <c r="A48" s="344"/>
      <c r="B48" s="361" t="s">
        <v>430</v>
      </c>
      <c r="C48" s="165">
        <f>+C49+C50</f>
        <v>0</v>
      </c>
      <c r="D48" s="165">
        <f t="shared" ref="D48" si="49">+D49+D50</f>
        <v>0</v>
      </c>
      <c r="E48" s="165">
        <f t="shared" ref="E48:G48" si="50">+E49+E50</f>
        <v>510185.36397008545</v>
      </c>
      <c r="F48" s="165">
        <f t="shared" ref="F48:H48" si="51">+F49+F50</f>
        <v>0</v>
      </c>
      <c r="G48" s="165">
        <f t="shared" si="50"/>
        <v>15054106.276800772</v>
      </c>
      <c r="H48" s="165">
        <f t="shared" si="51"/>
        <v>0</v>
      </c>
      <c r="I48" s="165">
        <f t="shared" ref="I48" si="52">+I49+I50</f>
        <v>71675550.214025334</v>
      </c>
      <c r="J48" s="165">
        <f t="shared" ref="J48" si="53">+J49+J50</f>
        <v>0</v>
      </c>
      <c r="K48" s="165">
        <f t="shared" ref="K48" si="54">+K49+K50</f>
        <v>41814399.460887812</v>
      </c>
      <c r="L48" s="165">
        <f t="shared" ref="L48" si="55">+L49+L50</f>
        <v>0</v>
      </c>
      <c r="M48" s="165">
        <f t="shared" ref="M48" si="56">+M49+M50</f>
        <v>164715171.04522151</v>
      </c>
      <c r="N48" s="165">
        <f t="shared" ref="N48" si="57">+N49+N50</f>
        <v>0</v>
      </c>
      <c r="O48" s="165">
        <f t="shared" ref="O48" si="58">+O49+O50</f>
        <v>360321522.14912611</v>
      </c>
      <c r="P48" s="165">
        <f t="shared" ref="P48" si="59">+P49+P50</f>
        <v>0</v>
      </c>
      <c r="Q48" s="165">
        <f t="shared" ref="Q48" si="60">+Q49+Q50</f>
        <v>1865763147.2667975</v>
      </c>
      <c r="R48" s="165">
        <f t="shared" ref="R48" si="61">+R49+R50</f>
        <v>0</v>
      </c>
      <c r="S48" s="165">
        <f t="shared" si="6"/>
        <v>2519854081.7768292</v>
      </c>
      <c r="T48" s="165">
        <f t="shared" si="7"/>
        <v>2519854081.7768292</v>
      </c>
      <c r="U48" s="165">
        <f t="shared" si="8"/>
        <v>0</v>
      </c>
      <c r="V48" s="218"/>
      <c r="W48" s="173"/>
      <c r="X48" s="173"/>
      <c r="AA48" s="247"/>
    </row>
    <row r="49" spans="1:30" s="177" customFormat="1" ht="20.25" customHeight="1">
      <c r="A49" s="344"/>
      <c r="B49" s="362" t="s">
        <v>428</v>
      </c>
      <c r="C49" s="9">
        <v>0</v>
      </c>
      <c r="D49" s="9">
        <v>0</v>
      </c>
      <c r="E49" s="9">
        <v>510185.36397008545</v>
      </c>
      <c r="F49" s="9">
        <v>0</v>
      </c>
      <c r="G49" s="9">
        <v>15054106.276800772</v>
      </c>
      <c r="H49" s="9">
        <v>0</v>
      </c>
      <c r="I49" s="9">
        <v>71675550.214025334</v>
      </c>
      <c r="J49" s="9">
        <v>0</v>
      </c>
      <c r="K49" s="9">
        <v>41814399.460887812</v>
      </c>
      <c r="L49" s="9">
        <v>0</v>
      </c>
      <c r="M49" s="9">
        <v>164715171.04522151</v>
      </c>
      <c r="N49" s="9">
        <v>0</v>
      </c>
      <c r="O49" s="9">
        <v>360321522.14912611</v>
      </c>
      <c r="P49" s="9">
        <v>0</v>
      </c>
      <c r="Q49" s="9">
        <v>1865763147.2667975</v>
      </c>
      <c r="R49" s="9">
        <v>0</v>
      </c>
      <c r="S49" s="165">
        <f t="shared" si="6"/>
        <v>2519854081.7768292</v>
      </c>
      <c r="T49" s="165">
        <f t="shared" si="7"/>
        <v>2519854081.7768292</v>
      </c>
      <c r="U49" s="165">
        <f t="shared" si="8"/>
        <v>0</v>
      </c>
      <c r="V49" s="218"/>
      <c r="W49" s="173"/>
      <c r="X49" s="173"/>
      <c r="AA49" s="247"/>
    </row>
    <row r="50" spans="1:30" s="177" customFormat="1" ht="20.25" customHeight="1">
      <c r="A50" s="344"/>
      <c r="B50" s="362" t="s">
        <v>429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65">
        <f t="shared" si="6"/>
        <v>0</v>
      </c>
      <c r="T50" s="165">
        <f t="shared" si="7"/>
        <v>0</v>
      </c>
      <c r="U50" s="165">
        <f t="shared" si="8"/>
        <v>0</v>
      </c>
      <c r="V50" s="218"/>
      <c r="W50" s="173"/>
      <c r="X50" s="173"/>
      <c r="AA50" s="247"/>
    </row>
    <row r="51" spans="1:30" s="177" customFormat="1" ht="20.25" customHeight="1">
      <c r="A51" s="344"/>
      <c r="B51" s="361" t="s">
        <v>431</v>
      </c>
      <c r="C51" s="165">
        <f>+C52+C53</f>
        <v>0</v>
      </c>
      <c r="D51" s="165">
        <f t="shared" ref="D51" si="62">+D52+D53</f>
        <v>0</v>
      </c>
      <c r="E51" s="165">
        <f t="shared" ref="E51:G51" si="63">+E52+E53</f>
        <v>510185.36397008545</v>
      </c>
      <c r="F51" s="165">
        <f t="shared" ref="F51:H51" si="64">+F52+F53</f>
        <v>0</v>
      </c>
      <c r="G51" s="165">
        <f t="shared" si="63"/>
        <v>9147981.4595543649</v>
      </c>
      <c r="H51" s="165">
        <f t="shared" si="64"/>
        <v>5861987.6182580367</v>
      </c>
      <c r="I51" s="165">
        <f t="shared" ref="I51" si="65">+I52+I53</f>
        <v>35683013.702585556</v>
      </c>
      <c r="J51" s="165">
        <f t="shared" ref="J51" si="66">+J52+J53</f>
        <v>28269960.580374632</v>
      </c>
      <c r="K51" s="165">
        <f t="shared" ref="K51" si="67">+K52+K53</f>
        <v>27835171.368372925</v>
      </c>
      <c r="L51" s="165">
        <f t="shared" ref="L51" si="68">+L52+L53</f>
        <v>18388345.984849874</v>
      </c>
      <c r="M51" s="165">
        <f t="shared" ref="M51" si="69">+M52+M53</f>
        <v>552038464.06220186</v>
      </c>
      <c r="N51" s="165">
        <f t="shared" ref="N51" si="70">+N52+N53</f>
        <v>547591951.48862851</v>
      </c>
      <c r="O51" s="165">
        <f t="shared" ref="O51" si="71">+O52+O53</f>
        <v>88424448.869844198</v>
      </c>
      <c r="P51" s="165">
        <f t="shared" ref="P51" si="72">+P52+P53</f>
        <v>85323008.794676647</v>
      </c>
      <c r="Q51" s="165">
        <f t="shared" ref="Q51" si="73">+Q52+Q53</f>
        <v>460205501.78759348</v>
      </c>
      <c r="R51" s="165">
        <f t="shared" ref="R51" si="74">+R52+R53</f>
        <v>459205676.79706478</v>
      </c>
      <c r="S51" s="165">
        <f t="shared" si="6"/>
        <v>1173844766.6141224</v>
      </c>
      <c r="T51" s="165">
        <f t="shared" si="7"/>
        <v>29203835.350269794</v>
      </c>
      <c r="U51" s="165">
        <f t="shared" si="8"/>
        <v>1144640931.2638526</v>
      </c>
      <c r="V51" s="218"/>
      <c r="W51" s="173"/>
      <c r="X51" s="173"/>
      <c r="AA51" s="247"/>
    </row>
    <row r="52" spans="1:30" s="177" customFormat="1" ht="20.25" customHeight="1">
      <c r="A52" s="344"/>
      <c r="B52" s="362" t="s">
        <v>428</v>
      </c>
      <c r="C52" s="9">
        <v>0</v>
      </c>
      <c r="D52" s="9">
        <v>0</v>
      </c>
      <c r="E52" s="9">
        <v>510185.36397008545</v>
      </c>
      <c r="F52" s="9">
        <v>0</v>
      </c>
      <c r="G52" s="9">
        <v>9147981.4595543649</v>
      </c>
      <c r="H52" s="9">
        <v>5861987.6182580367</v>
      </c>
      <c r="I52" s="9">
        <v>35683013.702585556</v>
      </c>
      <c r="J52" s="9">
        <v>28269960.580374632</v>
      </c>
      <c r="K52" s="9">
        <v>27835171.368372925</v>
      </c>
      <c r="L52" s="9">
        <v>18388345.984849874</v>
      </c>
      <c r="M52" s="9">
        <v>552038464.06220186</v>
      </c>
      <c r="N52" s="9">
        <v>547591951.48862851</v>
      </c>
      <c r="O52" s="9">
        <v>88424448.869844198</v>
      </c>
      <c r="P52" s="9">
        <v>85323008.794676647</v>
      </c>
      <c r="Q52" s="9">
        <v>460205501.78759348</v>
      </c>
      <c r="R52" s="9">
        <v>459205676.79706478</v>
      </c>
      <c r="S52" s="165">
        <f t="shared" si="6"/>
        <v>1173844766.6141224</v>
      </c>
      <c r="T52" s="165">
        <f t="shared" si="7"/>
        <v>29203835.350269794</v>
      </c>
      <c r="U52" s="165">
        <f t="shared" si="8"/>
        <v>1144640931.2638526</v>
      </c>
      <c r="V52" s="218"/>
      <c r="W52" s="173"/>
      <c r="X52" s="173"/>
      <c r="AA52" s="247"/>
    </row>
    <row r="53" spans="1:30" s="177" customFormat="1" ht="20.25" customHeight="1">
      <c r="A53" s="344"/>
      <c r="B53" s="362" t="s">
        <v>429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65">
        <f t="shared" si="6"/>
        <v>0</v>
      </c>
      <c r="T53" s="165">
        <f t="shared" si="7"/>
        <v>0</v>
      </c>
      <c r="U53" s="165">
        <f t="shared" si="8"/>
        <v>0</v>
      </c>
      <c r="V53" s="218"/>
      <c r="W53" s="173"/>
      <c r="X53" s="173"/>
      <c r="AA53" s="247"/>
    </row>
    <row r="54" spans="1:30" s="177" customFormat="1" ht="25.5">
      <c r="A54" s="344"/>
      <c r="B54" s="361" t="s">
        <v>432</v>
      </c>
      <c r="C54" s="165">
        <f>+C55+C56</f>
        <v>2308034.352</v>
      </c>
      <c r="D54" s="165">
        <f t="shared" ref="D54" si="75">+D55+D56</f>
        <v>0</v>
      </c>
      <c r="E54" s="165">
        <f t="shared" ref="E54:G54" si="76">+E55+E56</f>
        <v>39563740.847231254</v>
      </c>
      <c r="F54" s="165">
        <f t="shared" ref="F54:H54" si="77">+F55+F56</f>
        <v>6428916.8565076003</v>
      </c>
      <c r="G54" s="165">
        <f t="shared" si="76"/>
        <v>4402830.948639526</v>
      </c>
      <c r="H54" s="165">
        <f t="shared" si="77"/>
        <v>67132.774153200007</v>
      </c>
      <c r="I54" s="165">
        <f t="shared" ref="I54" si="78">+I55+I56</f>
        <v>23555877.725454122</v>
      </c>
      <c r="J54" s="165">
        <f t="shared" ref="J54" si="79">+J55+J56</f>
        <v>15876749.269903198</v>
      </c>
      <c r="K54" s="165">
        <f t="shared" ref="K54" si="80">+K55+K56</f>
        <v>59274121.2155191</v>
      </c>
      <c r="L54" s="165">
        <f t="shared" ref="L54" si="81">+L55+L56</f>
        <v>48829334.665316045</v>
      </c>
      <c r="M54" s="165">
        <f t="shared" ref="M54" si="82">+M55+M56</f>
        <v>848914898.13165152</v>
      </c>
      <c r="N54" s="165">
        <f t="shared" ref="N54" si="83">+N55+N56</f>
        <v>810180597.43129492</v>
      </c>
      <c r="O54" s="165">
        <f t="shared" ref="O54" si="84">+O55+O56</f>
        <v>346995139.93678361</v>
      </c>
      <c r="P54" s="165">
        <f t="shared" ref="P54" si="85">+P55+P56</f>
        <v>266422932.27471885</v>
      </c>
      <c r="Q54" s="165">
        <f t="shared" ref="Q54" si="86">+Q55+Q56</f>
        <v>1115236250.1870716</v>
      </c>
      <c r="R54" s="165">
        <f t="shared" ref="R54" si="87">+R55+R56</f>
        <v>529005076.12704629</v>
      </c>
      <c r="S54" s="165">
        <f t="shared" si="6"/>
        <v>2440250893.3443508</v>
      </c>
      <c r="T54" s="165">
        <f t="shared" si="7"/>
        <v>763440153.94541073</v>
      </c>
      <c r="U54" s="165">
        <f t="shared" si="8"/>
        <v>1676810739.3989401</v>
      </c>
      <c r="V54" s="218"/>
      <c r="W54" s="173"/>
      <c r="X54" s="173"/>
      <c r="AA54" s="247"/>
    </row>
    <row r="55" spans="1:30" s="177" customFormat="1" ht="20.25" customHeight="1">
      <c r="A55" s="344"/>
      <c r="B55" s="362" t="s">
        <v>428</v>
      </c>
      <c r="C55" s="9">
        <v>2308034.352</v>
      </c>
      <c r="D55" s="9">
        <v>0</v>
      </c>
      <c r="E55" s="9">
        <v>39563740.847231254</v>
      </c>
      <c r="F55" s="9">
        <v>6428916.8565076003</v>
      </c>
      <c r="G55" s="9">
        <v>4402830.948639526</v>
      </c>
      <c r="H55" s="9">
        <v>67132.774153200007</v>
      </c>
      <c r="I55" s="9">
        <v>23555877.725454122</v>
      </c>
      <c r="J55" s="9">
        <v>15876749.269903198</v>
      </c>
      <c r="K55" s="9">
        <v>59274121.2155191</v>
      </c>
      <c r="L55" s="9">
        <v>48829334.665316045</v>
      </c>
      <c r="M55" s="9">
        <v>848914898.13165152</v>
      </c>
      <c r="N55" s="9">
        <v>810180597.43129492</v>
      </c>
      <c r="O55" s="9">
        <v>346995139.93678361</v>
      </c>
      <c r="P55" s="9">
        <v>266422932.27471885</v>
      </c>
      <c r="Q55" s="9">
        <v>1115236250.1870716</v>
      </c>
      <c r="R55" s="9">
        <v>529005076.12704629</v>
      </c>
      <c r="S55" s="165">
        <f t="shared" si="6"/>
        <v>2440250893.3443508</v>
      </c>
      <c r="T55" s="165">
        <f t="shared" si="7"/>
        <v>763440153.94541073</v>
      </c>
      <c r="U55" s="165">
        <f t="shared" si="8"/>
        <v>1676810739.3989401</v>
      </c>
      <c r="V55" s="218"/>
      <c r="W55" s="173"/>
      <c r="X55" s="173"/>
      <c r="AA55" s="247"/>
    </row>
    <row r="56" spans="1:30" s="177" customFormat="1" ht="20.25" customHeight="1">
      <c r="A56" s="344"/>
      <c r="B56" s="362" t="s">
        <v>429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65">
        <f t="shared" si="6"/>
        <v>0</v>
      </c>
      <c r="T56" s="165">
        <f t="shared" si="7"/>
        <v>0</v>
      </c>
      <c r="U56" s="165">
        <f t="shared" si="8"/>
        <v>0</v>
      </c>
      <c r="V56" s="218"/>
      <c r="W56" s="173"/>
      <c r="X56" s="173"/>
      <c r="AA56" s="247"/>
    </row>
    <row r="57" spans="1:30" s="168" customFormat="1">
      <c r="A57" s="216"/>
      <c r="B57" s="363"/>
      <c r="V57" s="364"/>
      <c r="W57" s="174"/>
      <c r="X57" s="174"/>
      <c r="AA57" s="365"/>
    </row>
    <row r="58" spans="1:30" s="26" customFormat="1" ht="15" customHeight="1">
      <c r="A58" s="25"/>
      <c r="B58" s="256" t="s">
        <v>540</v>
      </c>
      <c r="C58" s="25"/>
      <c r="D58" s="25"/>
      <c r="E58" s="25"/>
      <c r="F58" s="183"/>
      <c r="G58" s="183"/>
      <c r="H58" s="183"/>
      <c r="I58" s="183"/>
      <c r="J58" s="183"/>
      <c r="K58" s="183"/>
      <c r="L58" s="183"/>
      <c r="M58" s="183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26" customFormat="1" ht="11.25" customHeight="1">
      <c r="A59" s="25"/>
      <c r="B59" s="256"/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5" customHeight="1">
      <c r="A60" s="25"/>
      <c r="B60" s="256" t="s">
        <v>539</v>
      </c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168" customFormat="1">
      <c r="A61" s="216"/>
      <c r="B61" s="363"/>
      <c r="V61" s="364"/>
      <c r="W61" s="174"/>
      <c r="X61" s="174"/>
      <c r="AA61" s="366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4" type="noConversion"/>
  <conditionalFormatting sqref="Z40">
    <cfRule type="cellIs" dxfId="337" priority="550" operator="notEqual">
      <formula>$T$40</formula>
    </cfRule>
  </conditionalFormatting>
  <conditionalFormatting sqref="D7 F7 N15 F27:F29 D27:D29 R27:R29 P27:P29 N27:N29 L27:L29 J27:J29 H27:H29 D15:D17 H15:H25 J15:J25 L15:L25 P15:P25 R15:R25 F15:F25 N18:N25 D19:D25">
    <cfRule type="cellIs" dxfId="336" priority="549" operator="greaterThan">
      <formula>C7</formula>
    </cfRule>
  </conditionalFormatting>
  <conditionalFormatting sqref="D42:D48 F42:F48 F53:F54 D53:D54 F50:F51 D50:D51 D56 F56">
    <cfRule type="cellIs" dxfId="335" priority="547" operator="greaterThan">
      <formula>C42</formula>
    </cfRule>
  </conditionalFormatting>
  <conditionalFormatting sqref="H7">
    <cfRule type="cellIs" dxfId="334" priority="546" operator="greaterThan">
      <formula>G7</formula>
    </cfRule>
  </conditionalFormatting>
  <conditionalFormatting sqref="H42:H48 H53:H54 H50:H51 H56">
    <cfRule type="cellIs" dxfId="333" priority="544" operator="greaterThan">
      <formula>G42</formula>
    </cfRule>
  </conditionalFormatting>
  <conditionalFormatting sqref="J7">
    <cfRule type="cellIs" dxfId="332" priority="543" operator="greaterThan">
      <formula>I7</formula>
    </cfRule>
  </conditionalFormatting>
  <conditionalFormatting sqref="J42:J48 J53:J54 J50:J51 J56">
    <cfRule type="cellIs" dxfId="331" priority="541" operator="greaterThan">
      <formula>I42</formula>
    </cfRule>
  </conditionalFormatting>
  <conditionalFormatting sqref="L7">
    <cfRule type="cellIs" dxfId="330" priority="540" operator="greaterThan">
      <formula>K7</formula>
    </cfRule>
  </conditionalFormatting>
  <conditionalFormatting sqref="L42:L48 L53:L54 L50:L51 L56">
    <cfRule type="cellIs" dxfId="329" priority="538" operator="greaterThan">
      <formula>K42</formula>
    </cfRule>
  </conditionalFormatting>
  <conditionalFormatting sqref="N7">
    <cfRule type="cellIs" dxfId="328" priority="537" operator="greaterThan">
      <formula>M7</formula>
    </cfRule>
  </conditionalFormatting>
  <conditionalFormatting sqref="N42:N48 N53:N54 N50:N51 N56">
    <cfRule type="cellIs" dxfId="327" priority="535" operator="greaterThan">
      <formula>M42</formula>
    </cfRule>
  </conditionalFormatting>
  <conditionalFormatting sqref="P7">
    <cfRule type="cellIs" dxfId="326" priority="534" operator="greaterThan">
      <formula>O7</formula>
    </cfRule>
  </conditionalFormatting>
  <conditionalFormatting sqref="P42 P44:P48 P53:P54 P50:P51 P56">
    <cfRule type="cellIs" dxfId="325" priority="532" operator="greaterThan">
      <formula>O42</formula>
    </cfRule>
  </conditionalFormatting>
  <conditionalFormatting sqref="R7">
    <cfRule type="cellIs" dxfId="324" priority="531" operator="greaterThan">
      <formula>Q7</formula>
    </cfRule>
  </conditionalFormatting>
  <conditionalFormatting sqref="R42 R44:R48 R53:R54 R50:R51 R56">
    <cfRule type="cellIs" dxfId="323" priority="529" operator="greaterThan">
      <formula>Q42</formula>
    </cfRule>
  </conditionalFormatting>
  <conditionalFormatting sqref="F7">
    <cfRule type="cellIs" dxfId="322" priority="526" operator="greaterThan">
      <formula>E7</formula>
    </cfRule>
  </conditionalFormatting>
  <conditionalFormatting sqref="F42:F48 F53:F54 F50:F51 F56">
    <cfRule type="cellIs" dxfId="321" priority="525" operator="greaterThan">
      <formula>E42</formula>
    </cfRule>
  </conditionalFormatting>
  <conditionalFormatting sqref="AA40">
    <cfRule type="cellIs" dxfId="320" priority="524" operator="notEqual">
      <formula>$U$40</formula>
    </cfRule>
  </conditionalFormatting>
  <conditionalFormatting sqref="Y40">
    <cfRule type="cellIs" dxfId="319" priority="523" operator="notEqual">
      <formula>$S$40</formula>
    </cfRule>
  </conditionalFormatting>
  <conditionalFormatting sqref="H8:H11 J8:J11 L8:L11 N8:N11 P8:P11 R8:R11 D8:D10 F8:F11">
    <cfRule type="cellIs" dxfId="318" priority="522" operator="greaterThan">
      <formula>C8</formula>
    </cfRule>
  </conditionalFormatting>
  <conditionalFormatting sqref="H8">
    <cfRule type="cellIs" dxfId="317" priority="521" operator="greaterThan">
      <formula>G8</formula>
    </cfRule>
  </conditionalFormatting>
  <conditionalFormatting sqref="J8">
    <cfRule type="cellIs" dxfId="316" priority="520" operator="greaterThan">
      <formula>I8</formula>
    </cfRule>
  </conditionalFormatting>
  <conditionalFormatting sqref="L8">
    <cfRule type="cellIs" dxfId="315" priority="519" operator="greaterThan">
      <formula>K8</formula>
    </cfRule>
  </conditionalFormatting>
  <conditionalFormatting sqref="N8">
    <cfRule type="cellIs" dxfId="314" priority="518" operator="greaterThan">
      <formula>M8</formula>
    </cfRule>
  </conditionalFormatting>
  <conditionalFormatting sqref="P8">
    <cfRule type="cellIs" dxfId="313" priority="517" operator="greaterThan">
      <formula>O8</formula>
    </cfRule>
  </conditionalFormatting>
  <conditionalFormatting sqref="R8">
    <cfRule type="cellIs" dxfId="312" priority="516" operator="greaterThan">
      <formula>Q8</formula>
    </cfRule>
  </conditionalFormatting>
  <conditionalFormatting sqref="H8 J8 L8 N8 P8 R8">
    <cfRule type="cellIs" dxfId="311" priority="515" operator="greaterThan">
      <formula>G8</formula>
    </cfRule>
  </conditionalFormatting>
  <conditionalFormatting sqref="H8 J8 L8 P8 R8 N8">
    <cfRule type="cellIs" dxfId="310" priority="514" operator="greaterThan">
      <formula>G8</formula>
    </cfRule>
  </conditionalFormatting>
  <conditionalFormatting sqref="F8">
    <cfRule type="cellIs" dxfId="309" priority="513" operator="greaterThan">
      <formula>E8</formula>
    </cfRule>
  </conditionalFormatting>
  <conditionalFormatting sqref="F8">
    <cfRule type="cellIs" dxfId="308" priority="512" operator="greaterThan">
      <formula>E8</formula>
    </cfRule>
  </conditionalFormatting>
  <conditionalFormatting sqref="F8">
    <cfRule type="cellIs" dxfId="307" priority="511" operator="greaterThan">
      <formula>E8</formula>
    </cfRule>
  </conditionalFormatting>
  <conditionalFormatting sqref="F8">
    <cfRule type="cellIs" dxfId="306" priority="510" operator="greaterThan">
      <formula>E8</formula>
    </cfRule>
  </conditionalFormatting>
  <conditionalFormatting sqref="H9">
    <cfRule type="cellIs" dxfId="305" priority="509" operator="greaterThan">
      <formula>G9</formula>
    </cfRule>
  </conditionalFormatting>
  <conditionalFormatting sqref="J9">
    <cfRule type="cellIs" dxfId="304" priority="508" operator="greaterThan">
      <formula>I9</formula>
    </cfRule>
  </conditionalFormatting>
  <conditionalFormatting sqref="L9">
    <cfRule type="cellIs" dxfId="303" priority="507" operator="greaterThan">
      <formula>K9</formula>
    </cfRule>
  </conditionalFormatting>
  <conditionalFormatting sqref="N9">
    <cfRule type="cellIs" dxfId="302" priority="506" operator="greaterThan">
      <formula>M9</formula>
    </cfRule>
  </conditionalFormatting>
  <conditionalFormatting sqref="P9">
    <cfRule type="cellIs" dxfId="301" priority="505" operator="greaterThan">
      <formula>O9</formula>
    </cfRule>
  </conditionalFormatting>
  <conditionalFormatting sqref="R9">
    <cfRule type="cellIs" dxfId="300" priority="504" operator="greaterThan">
      <formula>Q9</formula>
    </cfRule>
  </conditionalFormatting>
  <conditionalFormatting sqref="H9 J9 L9 N9 P9 R9">
    <cfRule type="cellIs" dxfId="299" priority="503" operator="greaterThan">
      <formula>G9</formula>
    </cfRule>
  </conditionalFormatting>
  <conditionalFormatting sqref="H9 J9 L9 P9 R9 N9">
    <cfRule type="cellIs" dxfId="298" priority="502" operator="greaterThan">
      <formula>G9</formula>
    </cfRule>
  </conditionalFormatting>
  <conditionalFormatting sqref="F9">
    <cfRule type="cellIs" dxfId="297" priority="501" operator="greaterThan">
      <formula>E9</formula>
    </cfRule>
  </conditionalFormatting>
  <conditionalFormatting sqref="F9">
    <cfRule type="cellIs" dxfId="296" priority="500" operator="greaterThan">
      <formula>E9</formula>
    </cfRule>
  </conditionalFormatting>
  <conditionalFormatting sqref="F9">
    <cfRule type="cellIs" dxfId="295" priority="499" operator="greaterThan">
      <formula>E9</formula>
    </cfRule>
  </conditionalFormatting>
  <conditionalFormatting sqref="F9">
    <cfRule type="cellIs" dxfId="294" priority="498" operator="greaterThan">
      <formula>E9</formula>
    </cfRule>
  </conditionalFormatting>
  <conditionalFormatting sqref="H11">
    <cfRule type="cellIs" dxfId="293" priority="497" operator="greaterThan">
      <formula>G11</formula>
    </cfRule>
  </conditionalFormatting>
  <conditionalFormatting sqref="J11">
    <cfRule type="cellIs" dxfId="292" priority="496" operator="greaterThan">
      <formula>I11</formula>
    </cfRule>
  </conditionalFormatting>
  <conditionalFormatting sqref="L11">
    <cfRule type="cellIs" dxfId="291" priority="495" operator="greaterThan">
      <formula>K11</formula>
    </cfRule>
  </conditionalFormatting>
  <conditionalFormatting sqref="N11">
    <cfRule type="cellIs" dxfId="290" priority="494" operator="greaterThan">
      <formula>M11</formula>
    </cfRule>
  </conditionalFormatting>
  <conditionalFormatting sqref="P11">
    <cfRule type="cellIs" dxfId="289" priority="493" operator="greaterThan">
      <formula>O11</formula>
    </cfRule>
  </conditionalFormatting>
  <conditionalFormatting sqref="R11">
    <cfRule type="cellIs" dxfId="288" priority="492" operator="greaterThan">
      <formula>Q11</formula>
    </cfRule>
  </conditionalFormatting>
  <conditionalFormatting sqref="H11 J11 L11 N11 P11 R11">
    <cfRule type="cellIs" dxfId="287" priority="491" operator="greaterThan">
      <formula>G11</formula>
    </cfRule>
  </conditionalFormatting>
  <conditionalFormatting sqref="H11 J11 L11 P11 R11 N11">
    <cfRule type="cellIs" dxfId="286" priority="490" operator="greaterThan">
      <formula>G11</formula>
    </cfRule>
  </conditionalFormatting>
  <conditionalFormatting sqref="F11">
    <cfRule type="cellIs" dxfId="285" priority="489" operator="greaterThan">
      <formula>E11</formula>
    </cfRule>
  </conditionalFormatting>
  <conditionalFormatting sqref="F11">
    <cfRule type="cellIs" dxfId="284" priority="488" operator="greaterThan">
      <formula>E11</formula>
    </cfRule>
  </conditionalFormatting>
  <conditionalFormatting sqref="F11">
    <cfRule type="cellIs" dxfId="283" priority="487" operator="greaterThan">
      <formula>E11</formula>
    </cfRule>
  </conditionalFormatting>
  <conditionalFormatting sqref="F11">
    <cfRule type="cellIs" dxfId="282" priority="486" operator="greaterThan">
      <formula>E11</formula>
    </cfRule>
  </conditionalFormatting>
  <conditionalFormatting sqref="N16:N17">
    <cfRule type="cellIs" dxfId="281" priority="461" operator="greaterThan">
      <formula>M16</formula>
    </cfRule>
  </conditionalFormatting>
  <conditionalFormatting sqref="H16">
    <cfRule type="cellIs" dxfId="280" priority="460" operator="greaterThan">
      <formula>G16</formula>
    </cfRule>
  </conditionalFormatting>
  <conditionalFormatting sqref="J16">
    <cfRule type="cellIs" dxfId="279" priority="459" operator="greaterThan">
      <formula>I16</formula>
    </cfRule>
  </conditionalFormatting>
  <conditionalFormatting sqref="L16">
    <cfRule type="cellIs" dxfId="278" priority="458" operator="greaterThan">
      <formula>K16</formula>
    </cfRule>
  </conditionalFormatting>
  <conditionalFormatting sqref="N16">
    <cfRule type="cellIs" dxfId="277" priority="457" operator="greaterThan">
      <formula>M16</formula>
    </cfRule>
  </conditionalFormatting>
  <conditionalFormatting sqref="P16">
    <cfRule type="cellIs" dxfId="276" priority="456" operator="greaterThan">
      <formula>O16</formula>
    </cfRule>
  </conditionalFormatting>
  <conditionalFormatting sqref="R16">
    <cfRule type="cellIs" dxfId="275" priority="455" operator="greaterThan">
      <formula>Q16</formula>
    </cfRule>
  </conditionalFormatting>
  <conditionalFormatting sqref="H16 J16 L16 N16 P16 R16">
    <cfRule type="cellIs" dxfId="274" priority="454" operator="greaterThan">
      <formula>G16</formula>
    </cfRule>
  </conditionalFormatting>
  <conditionalFormatting sqref="H16 J16 L16 P16 R16 N16">
    <cfRule type="cellIs" dxfId="273" priority="453" operator="greaterThan">
      <formula>G16</formula>
    </cfRule>
  </conditionalFormatting>
  <conditionalFormatting sqref="F16">
    <cfRule type="cellIs" dxfId="272" priority="452" operator="greaterThan">
      <formula>E16</formula>
    </cfRule>
  </conditionalFormatting>
  <conditionalFormatting sqref="F16">
    <cfRule type="cellIs" dxfId="271" priority="451" operator="greaterThan">
      <formula>E16</formula>
    </cfRule>
  </conditionalFormatting>
  <conditionalFormatting sqref="F16">
    <cfRule type="cellIs" dxfId="270" priority="450" operator="greaterThan">
      <formula>E16</formula>
    </cfRule>
  </conditionalFormatting>
  <conditionalFormatting sqref="F16">
    <cfRule type="cellIs" dxfId="269" priority="449" operator="greaterThan">
      <formula>E16</formula>
    </cfRule>
  </conditionalFormatting>
  <conditionalFormatting sqref="H17">
    <cfRule type="cellIs" dxfId="268" priority="448" operator="greaterThan">
      <formula>G17</formula>
    </cfRule>
  </conditionalFormatting>
  <conditionalFormatting sqref="J17">
    <cfRule type="cellIs" dxfId="267" priority="447" operator="greaterThan">
      <formula>I17</formula>
    </cfRule>
  </conditionalFormatting>
  <conditionalFormatting sqref="L17">
    <cfRule type="cellIs" dxfId="266" priority="446" operator="greaterThan">
      <formula>K17</formula>
    </cfRule>
  </conditionalFormatting>
  <conditionalFormatting sqref="N17">
    <cfRule type="cellIs" dxfId="265" priority="445" operator="greaterThan">
      <formula>M17</formula>
    </cfRule>
  </conditionalFormatting>
  <conditionalFormatting sqref="P17">
    <cfRule type="cellIs" dxfId="264" priority="444" operator="greaterThan">
      <formula>O17</formula>
    </cfRule>
  </conditionalFormatting>
  <conditionalFormatting sqref="R17">
    <cfRule type="cellIs" dxfId="263" priority="443" operator="greaterThan">
      <formula>Q17</formula>
    </cfRule>
  </conditionalFormatting>
  <conditionalFormatting sqref="H17 J17 L17 N17 P17 R17">
    <cfRule type="cellIs" dxfId="262" priority="442" operator="greaterThan">
      <formula>G17</formula>
    </cfRule>
  </conditionalFormatting>
  <conditionalFormatting sqref="H17 J17 L17 P17 R17 N17">
    <cfRule type="cellIs" dxfId="261" priority="441" operator="greaterThan">
      <formula>G17</formula>
    </cfRule>
  </conditionalFormatting>
  <conditionalFormatting sqref="F17">
    <cfRule type="cellIs" dxfId="260" priority="440" operator="greaterThan">
      <formula>E17</formula>
    </cfRule>
  </conditionalFormatting>
  <conditionalFormatting sqref="F17">
    <cfRule type="cellIs" dxfId="259" priority="439" operator="greaterThan">
      <formula>E17</formula>
    </cfRule>
  </conditionalFormatting>
  <conditionalFormatting sqref="F17">
    <cfRule type="cellIs" dxfId="258" priority="438" operator="greaterThan">
      <formula>E17</formula>
    </cfRule>
  </conditionalFormatting>
  <conditionalFormatting sqref="F17">
    <cfRule type="cellIs" dxfId="257" priority="437" operator="greaterThan">
      <formula>E17</formula>
    </cfRule>
  </conditionalFormatting>
  <conditionalFormatting sqref="H19">
    <cfRule type="cellIs" dxfId="256" priority="412" operator="greaterThan">
      <formula>G19</formula>
    </cfRule>
  </conditionalFormatting>
  <conditionalFormatting sqref="J19">
    <cfRule type="cellIs" dxfId="255" priority="411" operator="greaterThan">
      <formula>I19</formula>
    </cfRule>
  </conditionalFormatting>
  <conditionalFormatting sqref="L19">
    <cfRule type="cellIs" dxfId="254" priority="410" operator="greaterThan">
      <formula>K19</formula>
    </cfRule>
  </conditionalFormatting>
  <conditionalFormatting sqref="N19">
    <cfRule type="cellIs" dxfId="253" priority="409" operator="greaterThan">
      <formula>M19</formula>
    </cfRule>
  </conditionalFormatting>
  <conditionalFormatting sqref="P19">
    <cfRule type="cellIs" dxfId="252" priority="408" operator="greaterThan">
      <formula>O19</formula>
    </cfRule>
  </conditionalFormatting>
  <conditionalFormatting sqref="R19">
    <cfRule type="cellIs" dxfId="251" priority="407" operator="greaterThan">
      <formula>Q19</formula>
    </cfRule>
  </conditionalFormatting>
  <conditionalFormatting sqref="H19 J19 L19 N19 P19 R19">
    <cfRule type="cellIs" dxfId="250" priority="406" operator="greaterThan">
      <formula>G19</formula>
    </cfRule>
  </conditionalFormatting>
  <conditionalFormatting sqref="H19 J19 L19 P19 R19 N19">
    <cfRule type="cellIs" dxfId="249" priority="405" operator="greaterThan">
      <formula>G19</formula>
    </cfRule>
  </conditionalFormatting>
  <conditionalFormatting sqref="F19">
    <cfRule type="cellIs" dxfId="248" priority="404" operator="greaterThan">
      <formula>E19</formula>
    </cfRule>
  </conditionalFormatting>
  <conditionalFormatting sqref="F19">
    <cfRule type="cellIs" dxfId="247" priority="403" operator="greaterThan">
      <formula>E19</formula>
    </cfRule>
  </conditionalFormatting>
  <conditionalFormatting sqref="F19">
    <cfRule type="cellIs" dxfId="246" priority="402" operator="greaterThan">
      <formula>E19</formula>
    </cfRule>
  </conditionalFormatting>
  <conditionalFormatting sqref="F19">
    <cfRule type="cellIs" dxfId="245" priority="401" operator="greaterThan">
      <formula>E19</formula>
    </cfRule>
  </conditionalFormatting>
  <conditionalFormatting sqref="H26 J26 L26 N26 P26 R26 D26 F26">
    <cfRule type="cellIs" dxfId="244" priority="400" operator="greaterThan">
      <formula>C26</formula>
    </cfRule>
  </conditionalFormatting>
  <conditionalFormatting sqref="H26 J26 L26 N26 P26 R26 D26 F26">
    <cfRule type="cellIs" dxfId="243" priority="399" operator="greaterThan">
      <formula>C26</formula>
    </cfRule>
  </conditionalFormatting>
  <conditionalFormatting sqref="H26">
    <cfRule type="cellIs" dxfId="242" priority="398" operator="greaterThan">
      <formula>G26</formula>
    </cfRule>
  </conditionalFormatting>
  <conditionalFormatting sqref="J26">
    <cfRule type="cellIs" dxfId="241" priority="397" operator="greaterThan">
      <formula>I26</formula>
    </cfRule>
  </conditionalFormatting>
  <conditionalFormatting sqref="L26">
    <cfRule type="cellIs" dxfId="240" priority="396" operator="greaterThan">
      <formula>K26</formula>
    </cfRule>
  </conditionalFormatting>
  <conditionalFormatting sqref="N26">
    <cfRule type="cellIs" dxfId="239" priority="395" operator="greaterThan">
      <formula>M26</formula>
    </cfRule>
  </conditionalFormatting>
  <conditionalFormatting sqref="P26">
    <cfRule type="cellIs" dxfId="238" priority="394" operator="greaterThan">
      <formula>O26</formula>
    </cfRule>
  </conditionalFormatting>
  <conditionalFormatting sqref="R26">
    <cfRule type="cellIs" dxfId="237" priority="393" operator="greaterThan">
      <formula>Q26</formula>
    </cfRule>
  </conditionalFormatting>
  <conditionalFormatting sqref="H26 J26 L26 N26 P26 R26">
    <cfRule type="cellIs" dxfId="236" priority="392" operator="greaterThan">
      <formula>G26</formula>
    </cfRule>
  </conditionalFormatting>
  <conditionalFormatting sqref="H26 J26 L26 P26 R26 N26">
    <cfRule type="cellIs" dxfId="235" priority="391" operator="greaterThan">
      <formula>G26</formula>
    </cfRule>
  </conditionalFormatting>
  <conditionalFormatting sqref="F26">
    <cfRule type="cellIs" dxfId="234" priority="390" operator="greaterThan">
      <formula>E26</formula>
    </cfRule>
  </conditionalFormatting>
  <conditionalFormatting sqref="F26">
    <cfRule type="cellIs" dxfId="233" priority="389" operator="greaterThan">
      <formula>E26</formula>
    </cfRule>
  </conditionalFormatting>
  <conditionalFormatting sqref="F26">
    <cfRule type="cellIs" dxfId="232" priority="388" operator="greaterThan">
      <formula>E26</formula>
    </cfRule>
  </conditionalFormatting>
  <conditionalFormatting sqref="F26">
    <cfRule type="cellIs" dxfId="231" priority="387" operator="greaterThan">
      <formula>E26</formula>
    </cfRule>
  </conditionalFormatting>
  <conditionalFormatting sqref="H32 J32 L32 N32 P32 R32 D32 F32">
    <cfRule type="cellIs" dxfId="230" priority="386" operator="greaterThan">
      <formula>C32</formula>
    </cfRule>
  </conditionalFormatting>
  <conditionalFormatting sqref="H32">
    <cfRule type="cellIs" dxfId="229" priority="371" operator="greaterThan">
      <formula>G32</formula>
    </cfRule>
  </conditionalFormatting>
  <conditionalFormatting sqref="J32">
    <cfRule type="cellIs" dxfId="228" priority="370" operator="greaterThan">
      <formula>I32</formula>
    </cfRule>
  </conditionalFormatting>
  <conditionalFormatting sqref="L32">
    <cfRule type="cellIs" dxfId="227" priority="369" operator="greaterThan">
      <formula>K32</formula>
    </cfRule>
  </conditionalFormatting>
  <conditionalFormatting sqref="N32">
    <cfRule type="cellIs" dxfId="226" priority="368" operator="greaterThan">
      <formula>M32</formula>
    </cfRule>
  </conditionalFormatting>
  <conditionalFormatting sqref="P32">
    <cfRule type="cellIs" dxfId="225" priority="367" operator="greaterThan">
      <formula>O32</formula>
    </cfRule>
  </conditionalFormatting>
  <conditionalFormatting sqref="R32">
    <cfRule type="cellIs" dxfId="224" priority="366" operator="greaterThan">
      <formula>Q32</formula>
    </cfRule>
  </conditionalFormatting>
  <conditionalFormatting sqref="H32 J32 L32 N32 P32 R32">
    <cfRule type="cellIs" dxfId="223" priority="365" operator="greaterThan">
      <formula>G32</formula>
    </cfRule>
  </conditionalFormatting>
  <conditionalFormatting sqref="H32 J32 L32 P32 R32 N32">
    <cfRule type="cellIs" dxfId="222" priority="364" operator="greaterThan">
      <formula>G32</formula>
    </cfRule>
  </conditionalFormatting>
  <conditionalFormatting sqref="F32">
    <cfRule type="cellIs" dxfId="221" priority="363" operator="greaterThan">
      <formula>E32</formula>
    </cfRule>
  </conditionalFormatting>
  <conditionalFormatting sqref="F32">
    <cfRule type="cellIs" dxfId="220" priority="362" operator="greaterThan">
      <formula>E32</formula>
    </cfRule>
  </conditionalFormatting>
  <conditionalFormatting sqref="F32">
    <cfRule type="cellIs" dxfId="219" priority="361" operator="greaterThan">
      <formula>E32</formula>
    </cfRule>
  </conditionalFormatting>
  <conditionalFormatting sqref="F32">
    <cfRule type="cellIs" dxfId="218" priority="360" operator="greaterThan">
      <formula>E32</formula>
    </cfRule>
  </conditionalFormatting>
  <conditionalFormatting sqref="F13:F14 D13 R13:R14 P13:P14 N13 L13 J13 H13">
    <cfRule type="cellIs" dxfId="217" priority="304" operator="greaterThan">
      <formula>C13</formula>
    </cfRule>
  </conditionalFormatting>
  <conditionalFormatting sqref="H13">
    <cfRule type="cellIs" dxfId="216" priority="303" operator="greaterThan">
      <formula>G13</formula>
    </cfRule>
  </conditionalFormatting>
  <conditionalFormatting sqref="J13">
    <cfRule type="cellIs" dxfId="215" priority="302" operator="greaterThan">
      <formula>I13</formula>
    </cfRule>
  </conditionalFormatting>
  <conditionalFormatting sqref="L13">
    <cfRule type="cellIs" dxfId="214" priority="301" operator="greaterThan">
      <formula>K13</formula>
    </cfRule>
  </conditionalFormatting>
  <conditionalFormatting sqref="N13">
    <cfRule type="cellIs" dxfId="213" priority="300" operator="greaterThan">
      <formula>M13</formula>
    </cfRule>
  </conditionalFormatting>
  <conditionalFormatting sqref="P13">
    <cfRule type="cellIs" dxfId="212" priority="299" operator="greaterThan">
      <formula>O13</formula>
    </cfRule>
  </conditionalFormatting>
  <conditionalFormatting sqref="R13">
    <cfRule type="cellIs" dxfId="211" priority="298" operator="greaterThan">
      <formula>Q13</formula>
    </cfRule>
  </conditionalFormatting>
  <conditionalFormatting sqref="H13 J13 L13 N13 P13 R13">
    <cfRule type="cellIs" dxfId="210" priority="297" operator="greaterThan">
      <formula>G13</formula>
    </cfRule>
  </conditionalFormatting>
  <conditionalFormatting sqref="H13 J13 L13 P13 R13 N13">
    <cfRule type="cellIs" dxfId="209" priority="296" operator="greaterThan">
      <formula>G13</formula>
    </cfRule>
  </conditionalFormatting>
  <conditionalFormatting sqref="F13">
    <cfRule type="cellIs" dxfId="208" priority="295" operator="greaterThan">
      <formula>E13</formula>
    </cfRule>
  </conditionalFormatting>
  <conditionalFormatting sqref="F13">
    <cfRule type="cellIs" dxfId="207" priority="294" operator="greaterThan">
      <formula>E13</formula>
    </cfRule>
  </conditionalFormatting>
  <conditionalFormatting sqref="F13">
    <cfRule type="cellIs" dxfId="206" priority="293" operator="greaterThan">
      <formula>E13</formula>
    </cfRule>
  </conditionalFormatting>
  <conditionalFormatting sqref="F13">
    <cfRule type="cellIs" dxfId="205" priority="292" operator="greaterThan">
      <formula>E13</formula>
    </cfRule>
  </conditionalFormatting>
  <conditionalFormatting sqref="P14">
    <cfRule type="cellIs" dxfId="204" priority="287" operator="greaterThan">
      <formula>O14</formula>
    </cfRule>
  </conditionalFormatting>
  <conditionalFormatting sqref="R14">
    <cfRule type="cellIs" dxfId="203" priority="286" operator="greaterThan">
      <formula>Q14</formula>
    </cfRule>
  </conditionalFormatting>
  <conditionalFormatting sqref="P14 R14">
    <cfRule type="cellIs" dxfId="202" priority="285" operator="greaterThan">
      <formula>O14</formula>
    </cfRule>
  </conditionalFormatting>
  <conditionalFormatting sqref="P14 R14">
    <cfRule type="cellIs" dxfId="201" priority="284" operator="greaterThan">
      <formula>O14</formula>
    </cfRule>
  </conditionalFormatting>
  <conditionalFormatting sqref="F14">
    <cfRule type="cellIs" dxfId="200" priority="283" operator="greaterThan">
      <formula>E14</formula>
    </cfRule>
  </conditionalFormatting>
  <conditionalFormatting sqref="F14">
    <cfRule type="cellIs" dxfId="199" priority="282" operator="greaterThan">
      <formula>E14</formula>
    </cfRule>
  </conditionalFormatting>
  <conditionalFormatting sqref="F14">
    <cfRule type="cellIs" dxfId="198" priority="281" operator="greaterThan">
      <formula>E14</formula>
    </cfRule>
  </conditionalFormatting>
  <conditionalFormatting sqref="F14">
    <cfRule type="cellIs" dxfId="197" priority="280" operator="greaterThan">
      <formula>E14</formula>
    </cfRule>
  </conditionalFormatting>
  <conditionalFormatting sqref="H14">
    <cfRule type="cellIs" dxfId="196" priority="262" operator="greaterThan">
      <formula>G14</formula>
    </cfRule>
  </conditionalFormatting>
  <conditionalFormatting sqref="H14">
    <cfRule type="cellIs" dxfId="195" priority="261" operator="greaterThan">
      <formula>G14</formula>
    </cfRule>
  </conditionalFormatting>
  <conditionalFormatting sqref="H14">
    <cfRule type="cellIs" dxfId="194" priority="260" operator="greaterThan">
      <formula>G14</formula>
    </cfRule>
  </conditionalFormatting>
  <conditionalFormatting sqref="H14">
    <cfRule type="cellIs" dxfId="193" priority="259" operator="greaterThan">
      <formula>G14</formula>
    </cfRule>
  </conditionalFormatting>
  <conditionalFormatting sqref="D14">
    <cfRule type="cellIs" dxfId="192" priority="258" operator="greaterThan">
      <formula>C14</formula>
    </cfRule>
  </conditionalFormatting>
  <conditionalFormatting sqref="D14">
    <cfRule type="cellIs" dxfId="191" priority="257" operator="greaterThan">
      <formula>C14</formula>
    </cfRule>
  </conditionalFormatting>
  <conditionalFormatting sqref="D14">
    <cfRule type="cellIs" dxfId="190" priority="256" operator="greaterThan">
      <formula>C14</formula>
    </cfRule>
  </conditionalFormatting>
  <conditionalFormatting sqref="D14">
    <cfRule type="cellIs" dxfId="189" priority="255" operator="greaterThan">
      <formula>C14</formula>
    </cfRule>
  </conditionalFormatting>
  <conditionalFormatting sqref="N14">
    <cfRule type="cellIs" dxfId="188" priority="254" operator="greaterThan">
      <formula>M14</formula>
    </cfRule>
  </conditionalFormatting>
  <conditionalFormatting sqref="N14">
    <cfRule type="cellIs" dxfId="187" priority="253" operator="greaterThan">
      <formula>M14</formula>
    </cfRule>
  </conditionalFormatting>
  <conditionalFormatting sqref="N14">
    <cfRule type="cellIs" dxfId="186" priority="252" operator="greaterThan">
      <formula>M14</formula>
    </cfRule>
  </conditionalFormatting>
  <conditionalFormatting sqref="N14">
    <cfRule type="cellIs" dxfId="185" priority="251" operator="greaterThan">
      <formula>M14</formula>
    </cfRule>
  </conditionalFormatting>
  <conditionalFormatting sqref="L14">
    <cfRule type="cellIs" dxfId="184" priority="246" operator="greaterThan">
      <formula>K14</formula>
    </cfRule>
  </conditionalFormatting>
  <conditionalFormatting sqref="L14">
    <cfRule type="cellIs" dxfId="183" priority="245" operator="greaterThan">
      <formula>K14</formula>
    </cfRule>
  </conditionalFormatting>
  <conditionalFormatting sqref="L14">
    <cfRule type="cellIs" dxfId="182" priority="244" operator="greaterThan">
      <formula>K14</formula>
    </cfRule>
  </conditionalFormatting>
  <conditionalFormatting sqref="L14">
    <cfRule type="cellIs" dxfId="181" priority="243" operator="greaterThan">
      <formula>K14</formula>
    </cfRule>
  </conditionalFormatting>
  <conditionalFormatting sqref="J14">
    <cfRule type="cellIs" dxfId="180" priority="242" operator="greaterThan">
      <formula>I14</formula>
    </cfRule>
  </conditionalFormatting>
  <conditionalFormatting sqref="J14">
    <cfRule type="cellIs" dxfId="179" priority="241" operator="greaterThan">
      <formula>I14</formula>
    </cfRule>
  </conditionalFormatting>
  <conditionalFormatting sqref="J14">
    <cfRule type="cellIs" dxfId="178" priority="240" operator="greaterThan">
      <formula>I14</formula>
    </cfRule>
  </conditionalFormatting>
  <conditionalFormatting sqref="J14">
    <cfRule type="cellIs" dxfId="177" priority="239" operator="greaterThan">
      <formula>I14</formula>
    </cfRule>
  </conditionalFormatting>
  <conditionalFormatting sqref="P43 R43">
    <cfRule type="cellIs" dxfId="176" priority="238" operator="greaterThan">
      <formula>O43</formula>
    </cfRule>
  </conditionalFormatting>
  <conditionalFormatting sqref="S40">
    <cfRule type="cellIs" dxfId="175" priority="236" operator="notEqual">
      <formula>Y40</formula>
    </cfRule>
  </conditionalFormatting>
  <conditionalFormatting sqref="T40:U40">
    <cfRule type="cellIs" dxfId="174" priority="235" operator="notEqual">
      <formula>Z40</formula>
    </cfRule>
  </conditionalFormatting>
  <conditionalFormatting sqref="S20">
    <cfRule type="cellIs" dxfId="173" priority="234" operator="notEqual">
      <formula>Y20</formula>
    </cfRule>
  </conditionalFormatting>
  <conditionalFormatting sqref="T20:U20">
    <cfRule type="cellIs" dxfId="172" priority="233" operator="notEqual">
      <formula>Z20</formula>
    </cfRule>
  </conditionalFormatting>
  <conditionalFormatting sqref="H30 J30 L30 N30 P30 R30 D30 F30">
    <cfRule type="cellIs" dxfId="171" priority="232" operator="greaterThan">
      <formula>C30</formula>
    </cfRule>
  </conditionalFormatting>
  <conditionalFormatting sqref="H30 J30 L30 N30 P30 R30 D30 F30">
    <cfRule type="cellIs" dxfId="170" priority="231" operator="greaterThan">
      <formula>C30</formula>
    </cfRule>
  </conditionalFormatting>
  <conditionalFormatting sqref="H30">
    <cfRule type="cellIs" dxfId="169" priority="230" operator="greaterThan">
      <formula>G30</formula>
    </cfRule>
  </conditionalFormatting>
  <conditionalFormatting sqref="J30">
    <cfRule type="cellIs" dxfId="168" priority="229" operator="greaterThan">
      <formula>I30</formula>
    </cfRule>
  </conditionalFormatting>
  <conditionalFormatting sqref="L30">
    <cfRule type="cellIs" dxfId="167" priority="228" operator="greaterThan">
      <formula>K30</formula>
    </cfRule>
  </conditionalFormatting>
  <conditionalFormatting sqref="N30">
    <cfRule type="cellIs" dxfId="166" priority="227" operator="greaterThan">
      <formula>M30</formula>
    </cfRule>
  </conditionalFormatting>
  <conditionalFormatting sqref="P30">
    <cfRule type="cellIs" dxfId="165" priority="226" operator="greaterThan">
      <formula>O30</formula>
    </cfRule>
  </conditionalFormatting>
  <conditionalFormatting sqref="R30">
    <cfRule type="cellIs" dxfId="164" priority="225" operator="greaterThan">
      <formula>Q30</formula>
    </cfRule>
  </conditionalFormatting>
  <conditionalFormatting sqref="H30 J30 L30 N30 P30 R30">
    <cfRule type="cellIs" dxfId="163" priority="224" operator="greaterThan">
      <formula>G30</formula>
    </cfRule>
  </conditionalFormatting>
  <conditionalFormatting sqref="H30 J30 L30 P30 R30 N30">
    <cfRule type="cellIs" dxfId="162" priority="223" operator="greaterThan">
      <formula>G30</formula>
    </cfRule>
  </conditionalFormatting>
  <conditionalFormatting sqref="F30">
    <cfRule type="cellIs" dxfId="161" priority="222" operator="greaterThan">
      <formula>E30</formula>
    </cfRule>
  </conditionalFormatting>
  <conditionalFormatting sqref="F30">
    <cfRule type="cellIs" dxfId="160" priority="221" operator="greaterThan">
      <formula>E30</formula>
    </cfRule>
  </conditionalFormatting>
  <conditionalFormatting sqref="F30">
    <cfRule type="cellIs" dxfId="159" priority="220" operator="greaterThan">
      <formula>E30</formula>
    </cfRule>
  </conditionalFormatting>
  <conditionalFormatting sqref="F30">
    <cfRule type="cellIs" dxfId="158" priority="219" operator="greaterThan">
      <formula>E30</formula>
    </cfRule>
  </conditionalFormatting>
  <conditionalFormatting sqref="H31 J31 L31 N31 P31 R31 D31 F31">
    <cfRule type="cellIs" dxfId="157" priority="204" operator="greaterThan">
      <formula>C31</formula>
    </cfRule>
  </conditionalFormatting>
  <conditionalFormatting sqref="H31 J31 L31 N31 P31 R31 D31 F31">
    <cfRule type="cellIs" dxfId="156" priority="203" operator="greaterThan">
      <formula>C31</formula>
    </cfRule>
  </conditionalFormatting>
  <conditionalFormatting sqref="H31">
    <cfRule type="cellIs" dxfId="155" priority="202" operator="greaterThan">
      <formula>G31</formula>
    </cfRule>
  </conditionalFormatting>
  <conditionalFormatting sqref="J31">
    <cfRule type="cellIs" dxfId="154" priority="201" operator="greaterThan">
      <formula>I31</formula>
    </cfRule>
  </conditionalFormatting>
  <conditionalFormatting sqref="L31">
    <cfRule type="cellIs" dxfId="153" priority="200" operator="greaterThan">
      <formula>K31</formula>
    </cfRule>
  </conditionalFormatting>
  <conditionalFormatting sqref="N31">
    <cfRule type="cellIs" dxfId="152" priority="199" operator="greaterThan">
      <formula>M31</formula>
    </cfRule>
  </conditionalFormatting>
  <conditionalFormatting sqref="P31">
    <cfRule type="cellIs" dxfId="151" priority="198" operator="greaterThan">
      <formula>O31</formula>
    </cfRule>
  </conditionalFormatting>
  <conditionalFormatting sqref="R31">
    <cfRule type="cellIs" dxfId="150" priority="197" operator="greaterThan">
      <formula>Q31</formula>
    </cfRule>
  </conditionalFormatting>
  <conditionalFormatting sqref="H31 J31 L31 N31 P31 R31">
    <cfRule type="cellIs" dxfId="149" priority="196" operator="greaterThan">
      <formula>G31</formula>
    </cfRule>
  </conditionalFormatting>
  <conditionalFormatting sqref="H31 J31 L31 P31 R31 N31">
    <cfRule type="cellIs" dxfId="148" priority="195" operator="greaterThan">
      <formula>G31</formula>
    </cfRule>
  </conditionalFormatting>
  <conditionalFormatting sqref="F31">
    <cfRule type="cellIs" dxfId="147" priority="194" operator="greaterThan">
      <formula>E31</formula>
    </cfRule>
  </conditionalFormatting>
  <conditionalFormatting sqref="F31">
    <cfRule type="cellIs" dxfId="146" priority="193" operator="greaterThan">
      <formula>E31</formula>
    </cfRule>
  </conditionalFormatting>
  <conditionalFormatting sqref="F31">
    <cfRule type="cellIs" dxfId="145" priority="192" operator="greaterThan">
      <formula>E31</formula>
    </cfRule>
  </conditionalFormatting>
  <conditionalFormatting sqref="F31">
    <cfRule type="cellIs" dxfId="144" priority="191" operator="greaterThan">
      <formula>E31</formula>
    </cfRule>
  </conditionalFormatting>
  <conditionalFormatting sqref="H33 J33 L33 N33 P33 R33 D33 F33">
    <cfRule type="cellIs" dxfId="143" priority="190" operator="greaterThan">
      <formula>C33</formula>
    </cfRule>
  </conditionalFormatting>
  <conditionalFormatting sqref="H33 J33 L33 N33 P33 R33 D33 F33">
    <cfRule type="cellIs" dxfId="142" priority="189" operator="greaterThan">
      <formula>C33</formula>
    </cfRule>
  </conditionalFormatting>
  <conditionalFormatting sqref="H33">
    <cfRule type="cellIs" dxfId="141" priority="188" operator="greaterThan">
      <formula>G33</formula>
    </cfRule>
  </conditionalFormatting>
  <conditionalFormatting sqref="J33">
    <cfRule type="cellIs" dxfId="140" priority="187" operator="greaterThan">
      <formula>I33</formula>
    </cfRule>
  </conditionalFormatting>
  <conditionalFormatting sqref="L33">
    <cfRule type="cellIs" dxfId="139" priority="186" operator="greaterThan">
      <formula>K33</formula>
    </cfRule>
  </conditionalFormatting>
  <conditionalFormatting sqref="N33">
    <cfRule type="cellIs" dxfId="138" priority="185" operator="greaterThan">
      <formula>M33</formula>
    </cfRule>
  </conditionalFormatting>
  <conditionalFormatting sqref="P33">
    <cfRule type="cellIs" dxfId="137" priority="184" operator="greaterThan">
      <formula>O33</formula>
    </cfRule>
  </conditionalFormatting>
  <conditionalFormatting sqref="R33">
    <cfRule type="cellIs" dxfId="136" priority="183" operator="greaterThan">
      <formula>Q33</formula>
    </cfRule>
  </conditionalFormatting>
  <conditionalFormatting sqref="H33 J33 L33 N33 P33 R33">
    <cfRule type="cellIs" dxfId="135" priority="182" operator="greaterThan">
      <formula>G33</formula>
    </cfRule>
  </conditionalFormatting>
  <conditionalFormatting sqref="H33 J33 L33 P33 R33 N33">
    <cfRule type="cellIs" dxfId="134" priority="181" operator="greaterThan">
      <formula>G33</formula>
    </cfRule>
  </conditionalFormatting>
  <conditionalFormatting sqref="F33">
    <cfRule type="cellIs" dxfId="133" priority="180" operator="greaterThan">
      <formula>E33</formula>
    </cfRule>
  </conditionalFormatting>
  <conditionalFormatting sqref="F33">
    <cfRule type="cellIs" dxfId="132" priority="179" operator="greaterThan">
      <formula>E33</formula>
    </cfRule>
  </conditionalFormatting>
  <conditionalFormatting sqref="F33">
    <cfRule type="cellIs" dxfId="131" priority="178" operator="greaterThan">
      <formula>E33</formula>
    </cfRule>
  </conditionalFormatting>
  <conditionalFormatting sqref="F33">
    <cfRule type="cellIs" dxfId="130" priority="177" operator="greaterThan">
      <formula>E33</formula>
    </cfRule>
  </conditionalFormatting>
  <conditionalFormatting sqref="H36 J36 L36 N36 P36 R36 D36 F36">
    <cfRule type="cellIs" dxfId="129" priority="176" operator="greaterThan">
      <formula>C36</formula>
    </cfRule>
  </conditionalFormatting>
  <conditionalFormatting sqref="H36 J36 L36 N36 P36 R36 D36 F36">
    <cfRule type="cellIs" dxfId="128" priority="175" operator="greaterThan">
      <formula>C36</formula>
    </cfRule>
  </conditionalFormatting>
  <conditionalFormatting sqref="H36">
    <cfRule type="cellIs" dxfId="127" priority="174" operator="greaterThan">
      <formula>G36</formula>
    </cfRule>
  </conditionalFormatting>
  <conditionalFormatting sqref="J36">
    <cfRule type="cellIs" dxfId="126" priority="173" operator="greaterThan">
      <formula>I36</formula>
    </cfRule>
  </conditionalFormatting>
  <conditionalFormatting sqref="L36">
    <cfRule type="cellIs" dxfId="125" priority="172" operator="greaterThan">
      <formula>K36</formula>
    </cfRule>
  </conditionalFormatting>
  <conditionalFormatting sqref="N36">
    <cfRule type="cellIs" dxfId="124" priority="171" operator="greaterThan">
      <formula>M36</formula>
    </cfRule>
  </conditionalFormatting>
  <conditionalFormatting sqref="P36">
    <cfRule type="cellIs" dxfId="123" priority="170" operator="greaterThan">
      <formula>O36</formula>
    </cfRule>
  </conditionalFormatting>
  <conditionalFormatting sqref="R36">
    <cfRule type="cellIs" dxfId="122" priority="169" operator="greaterThan">
      <formula>Q36</formula>
    </cfRule>
  </conditionalFormatting>
  <conditionalFormatting sqref="H36 J36 L36 N36 P36 R36">
    <cfRule type="cellIs" dxfId="121" priority="168" operator="greaterThan">
      <formula>G36</formula>
    </cfRule>
  </conditionalFormatting>
  <conditionalFormatting sqref="H36 J36 L36 P36 R36 N36">
    <cfRule type="cellIs" dxfId="120" priority="167" operator="greaterThan">
      <formula>G36</formula>
    </cfRule>
  </conditionalFormatting>
  <conditionalFormatting sqref="F36">
    <cfRule type="cellIs" dxfId="119" priority="166" operator="greaterThan">
      <formula>E36</formula>
    </cfRule>
  </conditionalFormatting>
  <conditionalFormatting sqref="F36">
    <cfRule type="cellIs" dxfId="118" priority="165" operator="greaterThan">
      <formula>E36</formula>
    </cfRule>
  </conditionalFormatting>
  <conditionalFormatting sqref="F36">
    <cfRule type="cellIs" dxfId="117" priority="164" operator="greaterThan">
      <formula>E36</formula>
    </cfRule>
  </conditionalFormatting>
  <conditionalFormatting sqref="F36">
    <cfRule type="cellIs" dxfId="116" priority="163" operator="greaterThan">
      <formula>E36</formula>
    </cfRule>
  </conditionalFormatting>
  <conditionalFormatting sqref="H37 J37 L37 N37 P37 R37 F37">
    <cfRule type="cellIs" dxfId="115" priority="162" operator="greaterThan">
      <formula>E37</formula>
    </cfRule>
  </conditionalFormatting>
  <conditionalFormatting sqref="H37 J37 L37 N37 P37 R37 F37">
    <cfRule type="cellIs" dxfId="114" priority="161" operator="greaterThan">
      <formula>E37</formula>
    </cfRule>
  </conditionalFormatting>
  <conditionalFormatting sqref="H37">
    <cfRule type="cellIs" dxfId="113" priority="160" operator="greaterThan">
      <formula>G37</formula>
    </cfRule>
  </conditionalFormatting>
  <conditionalFormatting sqref="J37">
    <cfRule type="cellIs" dxfId="112" priority="159" operator="greaterThan">
      <formula>I37</formula>
    </cfRule>
  </conditionalFormatting>
  <conditionalFormatting sqref="L37">
    <cfRule type="cellIs" dxfId="111" priority="158" operator="greaterThan">
      <formula>K37</formula>
    </cfRule>
  </conditionalFormatting>
  <conditionalFormatting sqref="N37">
    <cfRule type="cellIs" dxfId="110" priority="157" operator="greaterThan">
      <formula>M37</formula>
    </cfRule>
  </conditionalFormatting>
  <conditionalFormatting sqref="P37">
    <cfRule type="cellIs" dxfId="109" priority="156" operator="greaterThan">
      <formula>O37</formula>
    </cfRule>
  </conditionalFormatting>
  <conditionalFormatting sqref="R37">
    <cfRule type="cellIs" dxfId="108" priority="155" operator="greaterThan">
      <formula>Q37</formula>
    </cfRule>
  </conditionalFormatting>
  <conditionalFormatting sqref="H37 J37 L37 N37 P37 R37">
    <cfRule type="cellIs" dxfId="107" priority="154" operator="greaterThan">
      <formula>G37</formula>
    </cfRule>
  </conditionalFormatting>
  <conditionalFormatting sqref="H37 J37 L37 P37 R37 N37">
    <cfRule type="cellIs" dxfId="106" priority="153" operator="greaterThan">
      <formula>G37</formula>
    </cfRule>
  </conditionalFormatting>
  <conditionalFormatting sqref="F37">
    <cfRule type="cellIs" dxfId="105" priority="152" operator="greaterThan">
      <formula>E37</formula>
    </cfRule>
  </conditionalFormatting>
  <conditionalFormatting sqref="F37">
    <cfRule type="cellIs" dxfId="104" priority="151" operator="greaterThan">
      <formula>E37</formula>
    </cfRule>
  </conditionalFormatting>
  <conditionalFormatting sqref="F37">
    <cfRule type="cellIs" dxfId="103" priority="150" operator="greaterThan">
      <formula>E37</formula>
    </cfRule>
  </conditionalFormatting>
  <conditionalFormatting sqref="F37">
    <cfRule type="cellIs" dxfId="102" priority="149" operator="greaterThan">
      <formula>E37</formula>
    </cfRule>
  </conditionalFormatting>
  <conditionalFormatting sqref="H38 J38 L38 N38 P38 R38 D38 F38">
    <cfRule type="cellIs" dxfId="101" priority="148" operator="greaterThan">
      <formula>C38</formula>
    </cfRule>
  </conditionalFormatting>
  <conditionalFormatting sqref="H38 J38 L38 N38 P38 R38 D38 F38">
    <cfRule type="cellIs" dxfId="100" priority="147" operator="greaterThan">
      <formula>C38</formula>
    </cfRule>
  </conditionalFormatting>
  <conditionalFormatting sqref="H38">
    <cfRule type="cellIs" dxfId="99" priority="146" operator="greaterThan">
      <formula>G38</formula>
    </cfRule>
  </conditionalFormatting>
  <conditionalFormatting sqref="J38">
    <cfRule type="cellIs" dxfId="98" priority="145" operator="greaterThan">
      <formula>I38</formula>
    </cfRule>
  </conditionalFormatting>
  <conditionalFormatting sqref="L38">
    <cfRule type="cellIs" dxfId="97" priority="144" operator="greaterThan">
      <formula>K38</formula>
    </cfRule>
  </conditionalFormatting>
  <conditionalFormatting sqref="N38">
    <cfRule type="cellIs" dxfId="96" priority="143" operator="greaterThan">
      <formula>M38</formula>
    </cfRule>
  </conditionalFormatting>
  <conditionalFormatting sqref="P38">
    <cfRule type="cellIs" dxfId="95" priority="142" operator="greaterThan">
      <formula>O38</formula>
    </cfRule>
  </conditionalFormatting>
  <conditionalFormatting sqref="R38">
    <cfRule type="cellIs" dxfId="94" priority="141" operator="greaterThan">
      <formula>Q38</formula>
    </cfRule>
  </conditionalFormatting>
  <conditionalFormatting sqref="H38 J38 L38 N38 P38 R38">
    <cfRule type="cellIs" dxfId="93" priority="140" operator="greaterThan">
      <formula>G38</formula>
    </cfRule>
  </conditionalFormatting>
  <conditionalFormatting sqref="H38 J38 L38 P38 R38 N38">
    <cfRule type="cellIs" dxfId="92" priority="139" operator="greaterThan">
      <formula>G38</formula>
    </cfRule>
  </conditionalFormatting>
  <conditionalFormatting sqref="F38">
    <cfRule type="cellIs" dxfId="91" priority="138" operator="greaterThan">
      <formula>E38</formula>
    </cfRule>
  </conditionalFormatting>
  <conditionalFormatting sqref="F38">
    <cfRule type="cellIs" dxfId="90" priority="137" operator="greaterThan">
      <formula>E38</formula>
    </cfRule>
  </conditionalFormatting>
  <conditionalFormatting sqref="F38">
    <cfRule type="cellIs" dxfId="89" priority="136" operator="greaterThan">
      <formula>E38</formula>
    </cfRule>
  </conditionalFormatting>
  <conditionalFormatting sqref="F38">
    <cfRule type="cellIs" dxfId="88" priority="135" operator="greaterThan">
      <formula>E38</formula>
    </cfRule>
  </conditionalFormatting>
  <conditionalFormatting sqref="H39 J39 L39 N39 P39 R39 D39 F39">
    <cfRule type="cellIs" dxfId="87" priority="134" operator="greaterThan">
      <formula>C39</formula>
    </cfRule>
  </conditionalFormatting>
  <conditionalFormatting sqref="H39 J39 L39 N39 P39 R39 D39 F39">
    <cfRule type="cellIs" dxfId="86" priority="133" operator="greaterThan">
      <formula>C39</formula>
    </cfRule>
  </conditionalFormatting>
  <conditionalFormatting sqref="H39">
    <cfRule type="cellIs" dxfId="85" priority="132" operator="greaterThan">
      <formula>G39</formula>
    </cfRule>
  </conditionalFormatting>
  <conditionalFormatting sqref="J39">
    <cfRule type="cellIs" dxfId="84" priority="131" operator="greaterThan">
      <formula>I39</formula>
    </cfRule>
  </conditionalFormatting>
  <conditionalFormatting sqref="L39">
    <cfRule type="cellIs" dxfId="83" priority="130" operator="greaterThan">
      <formula>K39</formula>
    </cfRule>
  </conditionalFormatting>
  <conditionalFormatting sqref="N39">
    <cfRule type="cellIs" dxfId="82" priority="129" operator="greaterThan">
      <formula>M39</formula>
    </cfRule>
  </conditionalFormatting>
  <conditionalFormatting sqref="P39">
    <cfRule type="cellIs" dxfId="81" priority="128" operator="greaterThan">
      <formula>O39</formula>
    </cfRule>
  </conditionalFormatting>
  <conditionalFormatting sqref="R39">
    <cfRule type="cellIs" dxfId="80" priority="127" operator="greaterThan">
      <formula>Q39</formula>
    </cfRule>
  </conditionalFormatting>
  <conditionalFormatting sqref="H39 J39 L39 N39 P39 R39">
    <cfRule type="cellIs" dxfId="79" priority="126" operator="greaterThan">
      <formula>G39</formula>
    </cfRule>
  </conditionalFormatting>
  <conditionalFormatting sqref="H39 J39 L39 P39 R39 N39">
    <cfRule type="cellIs" dxfId="78" priority="125" operator="greaterThan">
      <formula>G39</formula>
    </cfRule>
  </conditionalFormatting>
  <conditionalFormatting sqref="F39">
    <cfRule type="cellIs" dxfId="77" priority="124" operator="greaterThan">
      <formula>E39</formula>
    </cfRule>
  </conditionalFormatting>
  <conditionalFormatting sqref="F39">
    <cfRule type="cellIs" dxfId="76" priority="123" operator="greaterThan">
      <formula>E39</formula>
    </cfRule>
  </conditionalFormatting>
  <conditionalFormatting sqref="F39">
    <cfRule type="cellIs" dxfId="75" priority="122" operator="greaterThan">
      <formula>E39</formula>
    </cfRule>
  </conditionalFormatting>
  <conditionalFormatting sqref="F39">
    <cfRule type="cellIs" dxfId="74" priority="121" operator="greaterThan">
      <formula>E39</formula>
    </cfRule>
  </conditionalFormatting>
  <conditionalFormatting sqref="H34:H35 J34:J35 L34:L35 N35 P35 R35 D34:D35 F34:F35">
    <cfRule type="cellIs" dxfId="73" priority="72" operator="greaterThan">
      <formula>C34</formula>
    </cfRule>
  </conditionalFormatting>
  <conditionalFormatting sqref="H34:H35 J34:J35 L34:L35 N35 P35 R35 D34:D35 F34:F35">
    <cfRule type="cellIs" dxfId="72" priority="71" operator="greaterThan">
      <formula>C34</formula>
    </cfRule>
  </conditionalFormatting>
  <conditionalFormatting sqref="H34:H35">
    <cfRule type="cellIs" dxfId="71" priority="70" operator="greaterThan">
      <formula>G34</formula>
    </cfRule>
  </conditionalFormatting>
  <conditionalFormatting sqref="J34:J35">
    <cfRule type="cellIs" dxfId="70" priority="69" operator="greaterThan">
      <formula>I34</formula>
    </cfRule>
  </conditionalFormatting>
  <conditionalFormatting sqref="L34:L35">
    <cfRule type="cellIs" dxfId="69" priority="68" operator="greaterThan">
      <formula>K34</formula>
    </cfRule>
  </conditionalFormatting>
  <conditionalFormatting sqref="N35">
    <cfRule type="cellIs" dxfId="68" priority="67" operator="greaterThan">
      <formula>M35</formula>
    </cfRule>
  </conditionalFormatting>
  <conditionalFormatting sqref="P35">
    <cfRule type="cellIs" dxfId="67" priority="66" operator="greaterThan">
      <formula>O35</formula>
    </cfRule>
  </conditionalFormatting>
  <conditionalFormatting sqref="R35">
    <cfRule type="cellIs" dxfId="66" priority="65" operator="greaterThan">
      <formula>Q35</formula>
    </cfRule>
  </conditionalFormatting>
  <conditionalFormatting sqref="H34:H35 J34:J35 L34:L35 N35 P35 R35">
    <cfRule type="cellIs" dxfId="65" priority="64" operator="greaterThan">
      <formula>G34</formula>
    </cfRule>
  </conditionalFormatting>
  <conditionalFormatting sqref="H34:H35 J34:J35 L34:L35 P35 R35 N35">
    <cfRule type="cellIs" dxfId="64" priority="63" operator="greaterThan">
      <formula>G34</formula>
    </cfRule>
  </conditionalFormatting>
  <conditionalFormatting sqref="F34:F35">
    <cfRule type="cellIs" dxfId="63" priority="62" operator="greaterThan">
      <formula>E34</formula>
    </cfRule>
  </conditionalFormatting>
  <conditionalFormatting sqref="F34:F35">
    <cfRule type="cellIs" dxfId="62" priority="61" operator="greaterThan">
      <formula>E34</formula>
    </cfRule>
  </conditionalFormatting>
  <conditionalFormatting sqref="F34:F35">
    <cfRule type="cellIs" dxfId="61" priority="60" operator="greaterThan">
      <formula>E34</formula>
    </cfRule>
  </conditionalFormatting>
  <conditionalFormatting sqref="F34:F35">
    <cfRule type="cellIs" dxfId="60" priority="59" operator="greaterThan">
      <formula>E34</formula>
    </cfRule>
  </conditionalFormatting>
  <conditionalFormatting sqref="N34 P34 R34">
    <cfRule type="cellIs" dxfId="59" priority="58" operator="greaterThan">
      <formula>M34</formula>
    </cfRule>
  </conditionalFormatting>
  <conditionalFormatting sqref="N34 P34 R34">
    <cfRule type="cellIs" dxfId="58" priority="57" operator="greaterThan">
      <formula>M34</formula>
    </cfRule>
  </conditionalFormatting>
  <conditionalFormatting sqref="N34">
    <cfRule type="cellIs" dxfId="57" priority="56" operator="greaterThan">
      <formula>M34</formula>
    </cfRule>
  </conditionalFormatting>
  <conditionalFormatting sqref="P34">
    <cfRule type="cellIs" dxfId="56" priority="55" operator="greaterThan">
      <formula>O34</formula>
    </cfRule>
  </conditionalFormatting>
  <conditionalFormatting sqref="R34">
    <cfRule type="cellIs" dxfId="55" priority="54" operator="greaterThan">
      <formula>Q34</formula>
    </cfRule>
  </conditionalFormatting>
  <conditionalFormatting sqref="N34 P34 R34">
    <cfRule type="cellIs" dxfId="54" priority="53" operator="greaterThan">
      <formula>M34</formula>
    </cfRule>
  </conditionalFormatting>
  <conditionalFormatting sqref="P34 R34 N34">
    <cfRule type="cellIs" dxfId="53" priority="52" operator="greaterThan">
      <formula>M34</formula>
    </cfRule>
  </conditionalFormatting>
  <conditionalFormatting sqref="D37">
    <cfRule type="cellIs" dxfId="52" priority="44" operator="greaterThan">
      <formula>C37</formula>
    </cfRule>
  </conditionalFormatting>
  <conditionalFormatting sqref="D37">
    <cfRule type="cellIs" dxfId="51" priority="43" operator="greaterThan">
      <formula>C37</formula>
    </cfRule>
  </conditionalFormatting>
  <conditionalFormatting sqref="D37">
    <cfRule type="cellIs" dxfId="50" priority="42" operator="greaterThan">
      <formula>C37</formula>
    </cfRule>
  </conditionalFormatting>
  <conditionalFormatting sqref="D37">
    <cfRule type="cellIs" dxfId="49" priority="41" operator="greaterThan">
      <formula>C37</formula>
    </cfRule>
  </conditionalFormatting>
  <conditionalFormatting sqref="D37">
    <cfRule type="cellIs" dxfId="48" priority="40" operator="greaterThan">
      <formula>C37</formula>
    </cfRule>
  </conditionalFormatting>
  <conditionalFormatting sqref="C18:D18">
    <cfRule type="cellIs" dxfId="47" priority="39" operator="greaterThan">
      <formula>B18</formula>
    </cfRule>
  </conditionalFormatting>
  <conditionalFormatting sqref="D55 F55">
    <cfRule type="cellIs" dxfId="46" priority="24" operator="greaterThan">
      <formula>C55</formula>
    </cfRule>
  </conditionalFormatting>
  <conditionalFormatting sqref="H55">
    <cfRule type="cellIs" dxfId="45" priority="23" operator="greaterThan">
      <formula>G55</formula>
    </cfRule>
  </conditionalFormatting>
  <conditionalFormatting sqref="J55">
    <cfRule type="cellIs" dxfId="44" priority="22" operator="greaterThan">
      <formula>I55</formula>
    </cfRule>
  </conditionalFormatting>
  <conditionalFormatting sqref="L55">
    <cfRule type="cellIs" dxfId="43" priority="21" operator="greaterThan">
      <formula>K55</formula>
    </cfRule>
  </conditionalFormatting>
  <conditionalFormatting sqref="N55">
    <cfRule type="cellIs" dxfId="42" priority="20" operator="greaterThan">
      <formula>M55</formula>
    </cfRule>
  </conditionalFormatting>
  <conditionalFormatting sqref="F55">
    <cfRule type="cellIs" dxfId="41" priority="19" operator="greaterThan">
      <formula>E55</formula>
    </cfRule>
  </conditionalFormatting>
  <conditionalFormatting sqref="P55 R55">
    <cfRule type="cellIs" dxfId="40" priority="18" operator="greaterThan">
      <formula>O55</formula>
    </cfRule>
  </conditionalFormatting>
  <conditionalFormatting sqref="D11">
    <cfRule type="cellIs" dxfId="39" priority="17" operator="greaterThan">
      <formula>C11</formula>
    </cfRule>
  </conditionalFormatting>
  <conditionalFormatting sqref="F49 D49">
    <cfRule type="cellIs" dxfId="38" priority="16" operator="greaterThan">
      <formula>C49</formula>
    </cfRule>
  </conditionalFormatting>
  <conditionalFormatting sqref="H49">
    <cfRule type="cellIs" dxfId="37" priority="15" operator="greaterThan">
      <formula>G49</formula>
    </cfRule>
  </conditionalFormatting>
  <conditionalFormatting sqref="J49">
    <cfRule type="cellIs" dxfId="36" priority="14" operator="greaterThan">
      <formula>I49</formula>
    </cfRule>
  </conditionalFormatting>
  <conditionalFormatting sqref="L49">
    <cfRule type="cellIs" dxfId="35" priority="13" operator="greaterThan">
      <formula>K49</formula>
    </cfRule>
  </conditionalFormatting>
  <conditionalFormatting sqref="N49">
    <cfRule type="cellIs" dxfId="34" priority="12" operator="greaterThan">
      <formula>M49</formula>
    </cfRule>
  </conditionalFormatting>
  <conditionalFormatting sqref="P49">
    <cfRule type="cellIs" dxfId="33" priority="11" operator="greaterThan">
      <formula>O49</formula>
    </cfRule>
  </conditionalFormatting>
  <conditionalFormatting sqref="R49">
    <cfRule type="cellIs" dxfId="32" priority="10" operator="greaterThan">
      <formula>Q49</formula>
    </cfRule>
  </conditionalFormatting>
  <conditionalFormatting sqref="F49">
    <cfRule type="cellIs" dxfId="31" priority="9" operator="greaterThan">
      <formula>E49</formula>
    </cfRule>
  </conditionalFormatting>
  <conditionalFormatting sqref="F52 D52">
    <cfRule type="cellIs" dxfId="30" priority="8" operator="greaterThan">
      <formula>C52</formula>
    </cfRule>
  </conditionalFormatting>
  <conditionalFormatting sqref="H52">
    <cfRule type="cellIs" dxfId="29" priority="7" operator="greaterThan">
      <formula>G52</formula>
    </cfRule>
  </conditionalFormatting>
  <conditionalFormatting sqref="J52">
    <cfRule type="cellIs" dxfId="28" priority="6" operator="greaterThan">
      <formula>I52</formula>
    </cfRule>
  </conditionalFormatting>
  <conditionalFormatting sqref="L52">
    <cfRule type="cellIs" dxfId="27" priority="5" operator="greaterThan">
      <formula>K52</formula>
    </cfRule>
  </conditionalFormatting>
  <conditionalFormatting sqref="N52">
    <cfRule type="cellIs" dxfId="26" priority="4" operator="greaterThan">
      <formula>M52</formula>
    </cfRule>
  </conditionalFormatting>
  <conditionalFormatting sqref="P52">
    <cfRule type="cellIs" dxfId="25" priority="3" operator="greaterThan">
      <formula>O52</formula>
    </cfRule>
  </conditionalFormatting>
  <conditionalFormatting sqref="R52">
    <cfRule type="cellIs" dxfId="24" priority="2" operator="greaterThan">
      <formula>Q52</formula>
    </cfRule>
  </conditionalFormatting>
  <conditionalFormatting sqref="F52">
    <cfRule type="cellIs" dxfId="23" priority="1" operator="greaterThan">
      <formula>E52</formula>
    </cfRule>
  </conditionalFormatting>
  <dataValidations count="4">
    <dataValidation type="whole" operator="notEqual" allowBlank="1" showErrorMessage="1" error="Введите как целое число." sqref="C41:R56 C8:R12 C15:R19 C21:R39">
      <formula1>-1E+28</formula1>
    </dataValidation>
    <dataValidation allowBlank="1" showErrorMessage="1" prompt="Введите самостоятельно рассчитанный коэффициент" sqref="C5:R5 T5:U5"/>
    <dataValidation type="whole" operator="greaterThanOrEqual" allowBlank="1" showErrorMessage="1" error="Введите как целое положительное число." sqref="C13:R14 C7:R7">
      <formula1>0</formula1>
    </dataValidation>
    <dataValidation type="date" operator="greaterThan" allowBlank="1" showInputMessage="1" showErrorMessage="1" prompt="Введите дату в формате ЧЧ.ММ.ГГГГ" sqref="V2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6" orientation="landscape" r:id="rId1"/>
  <headerFooter alignWithMargins="0"/>
  <ignoredErrors>
    <ignoredError sqref="C57:X57 C15:D15 C40:D42 C45:D45 C54:D54 C20:D20 C33:R33 C51:D51 C56:D56 C48:D48" unlockedFormula="1"/>
    <ignoredError sqref="E15:X15 S23:X23 S16:X19 S27:X29 S26:V26 S32:X32 S31:V31 E41:X42 E45:X45 S43:X43 E54:X54 S52:X52 T12:X14 S36:X38 E20:U20 E21:V21 E40:V40 S33:U33 S12:S14 E24:U24 S30:U30 X26 S53:X53 W31:X31 E51:X51 S49:X49 S39:V39 E56:X56 S55:X55 S44:X44 E48:X48 S46:X47 S50:X50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2:AD61"/>
  <sheetViews>
    <sheetView view="pageBreakPreview" zoomScale="75" zoomScaleNormal="70" zoomScaleSheetLayoutView="75" workbookViewId="0">
      <pane xSplit="2" ySplit="6" topLeftCell="C34" activePane="bottomRight" state="frozen"/>
      <selection activeCell="G38" sqref="G38"/>
      <selection pane="topRight" activeCell="G38" sqref="G38"/>
      <selection pane="bottomLeft" activeCell="G38" sqref="G38"/>
      <selection pane="bottomRight" activeCell="G38" sqref="G38"/>
    </sheetView>
  </sheetViews>
  <sheetFormatPr defaultRowHeight="12.75"/>
  <cols>
    <col min="1" max="1" width="6.42578125" style="237" customWidth="1"/>
    <col min="2" max="2" width="80.42578125" style="167" customWidth="1"/>
    <col min="3" max="10" width="22.140625" style="167" customWidth="1"/>
    <col min="11" max="11" width="20.28515625" style="167" customWidth="1"/>
    <col min="12" max="12" width="18.5703125" style="170" customWidth="1"/>
    <col min="13" max="13" width="18.5703125" style="166" customWidth="1"/>
    <col min="14" max="14" width="17.28515625" style="167" bestFit="1" customWidth="1"/>
    <col min="15" max="16" width="15.140625" style="167" customWidth="1"/>
    <col min="17" max="16384" width="9.140625" style="167"/>
  </cols>
  <sheetData>
    <row r="2" spans="1:27" s="120" customFormat="1" ht="26.25" customHeight="1">
      <c r="A2" s="117" t="s">
        <v>433</v>
      </c>
      <c r="B2" s="118"/>
      <c r="C2" s="118"/>
      <c r="D2" s="119"/>
      <c r="E2" s="119"/>
      <c r="F2" s="119"/>
      <c r="G2" s="119"/>
      <c r="H2" s="119"/>
      <c r="I2" s="119"/>
      <c r="L2" s="532" t="s">
        <v>558</v>
      </c>
      <c r="M2" s="532"/>
    </row>
    <row r="3" spans="1:27" ht="15.75">
      <c r="A3" s="235"/>
      <c r="B3" s="472" t="str">
        <f>Balance!B3</f>
        <v>"MKBANK"</v>
      </c>
      <c r="C3" s="75"/>
      <c r="D3" s="163"/>
      <c r="E3" s="163"/>
      <c r="F3" s="163"/>
      <c r="G3" s="163"/>
      <c r="H3" s="163"/>
      <c r="I3" s="163"/>
      <c r="J3" s="97"/>
      <c r="K3" s="476">
        <f>+Balance!D3</f>
        <v>45289</v>
      </c>
      <c r="L3" s="167"/>
      <c r="M3" s="164" t="str">
        <f>+Balance!E3</f>
        <v>минг сўмда</v>
      </c>
    </row>
    <row r="4" spans="1:27" s="20" customFormat="1" ht="23.25" customHeight="1">
      <c r="A4" s="526" t="s">
        <v>54</v>
      </c>
      <c r="B4" s="526" t="s">
        <v>336</v>
      </c>
      <c r="C4" s="520" t="s">
        <v>337</v>
      </c>
      <c r="D4" s="522"/>
      <c r="E4" s="522"/>
      <c r="F4" s="522"/>
      <c r="G4" s="522"/>
      <c r="H4" s="522"/>
      <c r="I4" s="522"/>
      <c r="J4" s="521"/>
      <c r="K4" s="526" t="s">
        <v>176</v>
      </c>
      <c r="L4" s="528" t="s">
        <v>339</v>
      </c>
      <c r="M4" s="52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 spans="1:27" s="20" customFormat="1" ht="27.75" customHeight="1">
      <c r="A5" s="527"/>
      <c r="B5" s="527"/>
      <c r="C5" s="526" t="s">
        <v>340</v>
      </c>
      <c r="D5" s="526" t="s">
        <v>341</v>
      </c>
      <c r="E5" s="526" t="s">
        <v>342</v>
      </c>
      <c r="F5" s="526" t="s">
        <v>343</v>
      </c>
      <c r="G5" s="526" t="s">
        <v>344</v>
      </c>
      <c r="H5" s="526" t="s">
        <v>345</v>
      </c>
      <c r="I5" s="526" t="s">
        <v>346</v>
      </c>
      <c r="J5" s="526" t="s">
        <v>347</v>
      </c>
      <c r="K5" s="527"/>
      <c r="L5" s="530"/>
      <c r="M5" s="531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 spans="1:27" s="20" customFormat="1" ht="34.5" customHeight="1">
      <c r="A6" s="535"/>
      <c r="B6" s="535"/>
      <c r="C6" s="535"/>
      <c r="D6" s="535"/>
      <c r="E6" s="535"/>
      <c r="F6" s="535"/>
      <c r="G6" s="535"/>
      <c r="H6" s="535"/>
      <c r="I6" s="535"/>
      <c r="J6" s="535"/>
      <c r="K6" s="535"/>
      <c r="L6" s="473" t="s">
        <v>22</v>
      </c>
      <c r="M6" s="473" t="s">
        <v>312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 spans="1:27" s="160" customFormat="1" ht="20.25" customHeight="1">
      <c r="A7" s="336" t="s">
        <v>55</v>
      </c>
      <c r="B7" s="337" t="s">
        <v>406</v>
      </c>
      <c r="C7" s="165"/>
      <c r="D7" s="165"/>
      <c r="E7" s="165"/>
      <c r="F7" s="165"/>
      <c r="G7" s="165"/>
      <c r="H7" s="165"/>
      <c r="I7" s="165"/>
      <c r="J7" s="165"/>
      <c r="K7" s="165"/>
      <c r="L7" s="156"/>
      <c r="M7" s="157"/>
      <c r="N7" s="20"/>
      <c r="O7" s="159"/>
      <c r="P7" s="159"/>
    </row>
    <row r="8" spans="1:27" s="160" customFormat="1" ht="25.5" customHeight="1">
      <c r="A8" s="336" t="s">
        <v>66</v>
      </c>
      <c r="B8" s="337" t="s">
        <v>407</v>
      </c>
      <c r="C8" s="498">
        <f>SUM(C9:C12)</f>
        <v>534696078</v>
      </c>
      <c r="D8" s="498">
        <f t="shared" ref="D8:J8" si="0">SUM(D9:D12)</f>
        <v>0</v>
      </c>
      <c r="E8" s="498">
        <f t="shared" si="0"/>
        <v>0</v>
      </c>
      <c r="F8" s="498">
        <f t="shared" si="0"/>
        <v>0</v>
      </c>
      <c r="G8" s="498">
        <f t="shared" si="0"/>
        <v>0</v>
      </c>
      <c r="H8" s="498">
        <f t="shared" si="0"/>
        <v>0</v>
      </c>
      <c r="I8" s="498">
        <f t="shared" si="0"/>
        <v>0</v>
      </c>
      <c r="J8" s="498">
        <f t="shared" si="0"/>
        <v>0</v>
      </c>
      <c r="K8" s="155">
        <f t="shared" ref="K8:K40" si="1">+C8+D8+E8+F8+G8+H8+I8+J8</f>
        <v>534696078</v>
      </c>
      <c r="L8" s="156"/>
      <c r="M8" s="157"/>
      <c r="N8" s="20"/>
      <c r="O8" s="159"/>
      <c r="P8" s="159"/>
    </row>
    <row r="9" spans="1:27" s="160" customFormat="1" ht="25.5" customHeight="1">
      <c r="A9" s="336" t="s">
        <v>141</v>
      </c>
      <c r="B9" s="337" t="s">
        <v>408</v>
      </c>
      <c r="C9" s="498">
        <f>+'Bank Liabilities Analysis'!C8-'Bank Liabilities Analysis'!D8</f>
        <v>5997122</v>
      </c>
      <c r="D9" s="498">
        <f>+'Bank Liabilities Analysis'!E8-'Bank Liabilities Analysis'!F8</f>
        <v>0</v>
      </c>
      <c r="E9" s="498">
        <f>+'Bank Liabilities Analysis'!G8-'Bank Liabilities Analysis'!H8</f>
        <v>0</v>
      </c>
      <c r="F9" s="498">
        <f>+'Bank Liabilities Analysis'!I8-'Bank Liabilities Analysis'!J8</f>
        <v>0</v>
      </c>
      <c r="G9" s="498">
        <f>+'Bank Liabilities Analysis'!K8-'Bank Liabilities Analysis'!L8</f>
        <v>0</v>
      </c>
      <c r="H9" s="498">
        <f>+'Bank Liabilities Analysis'!M8-'Bank Liabilities Analysis'!N8</f>
        <v>0</v>
      </c>
      <c r="I9" s="498">
        <f>+'Bank Liabilities Analysis'!O8-'Bank Liabilities Analysis'!P8</f>
        <v>0</v>
      </c>
      <c r="J9" s="498">
        <f>+'Bank Liabilities Analysis'!Q8-'Bank Liabilities Analysis'!R8</f>
        <v>0</v>
      </c>
      <c r="K9" s="155">
        <f t="shared" si="1"/>
        <v>5997122</v>
      </c>
      <c r="L9" s="156"/>
      <c r="M9" s="157"/>
      <c r="N9" s="20"/>
      <c r="O9" s="159"/>
      <c r="P9" s="159"/>
    </row>
    <row r="10" spans="1:27" s="160" customFormat="1" ht="25.5" customHeight="1">
      <c r="A10" s="336" t="s">
        <v>142</v>
      </c>
      <c r="B10" s="337" t="s">
        <v>409</v>
      </c>
      <c r="C10" s="498">
        <f>+'Bank Liabilities Analysis'!C9-'Bank Liabilities Analysis'!D9</f>
        <v>0</v>
      </c>
      <c r="D10" s="498">
        <f>+'Bank Liabilities Analysis'!E9-'Bank Liabilities Analysis'!F9</f>
        <v>0</v>
      </c>
      <c r="E10" s="498">
        <f>+'Bank Liabilities Analysis'!G9-'Bank Liabilities Analysis'!H9</f>
        <v>0</v>
      </c>
      <c r="F10" s="498">
        <f>+'Bank Liabilities Analysis'!I9-'Bank Liabilities Analysis'!J9</f>
        <v>0</v>
      </c>
      <c r="G10" s="498">
        <f>+'Bank Liabilities Analysis'!K9-'Bank Liabilities Analysis'!L9</f>
        <v>0</v>
      </c>
      <c r="H10" s="498">
        <f>+'Bank Liabilities Analysis'!M9-'Bank Liabilities Analysis'!N9</f>
        <v>0</v>
      </c>
      <c r="I10" s="498">
        <f>+'Bank Liabilities Analysis'!O9-'Bank Liabilities Analysis'!P9</f>
        <v>0</v>
      </c>
      <c r="J10" s="498">
        <f>+'Bank Liabilities Analysis'!Q9-'Bank Liabilities Analysis'!R9</f>
        <v>0</v>
      </c>
      <c r="K10" s="155">
        <f t="shared" si="1"/>
        <v>0</v>
      </c>
      <c r="L10" s="156"/>
      <c r="M10" s="157"/>
      <c r="N10" s="20"/>
      <c r="O10" s="159"/>
      <c r="P10" s="159"/>
    </row>
    <row r="11" spans="1:27" s="160" customFormat="1" ht="33.75" customHeight="1">
      <c r="A11" s="336" t="s">
        <v>143</v>
      </c>
      <c r="B11" s="337" t="s">
        <v>410</v>
      </c>
      <c r="C11" s="498">
        <f>+'Bank Liabilities Analysis'!C10-'Bank Liabilities Analysis'!D10</f>
        <v>0</v>
      </c>
      <c r="D11" s="498">
        <f>+'Bank Liabilities Analysis'!E10-'Bank Liabilities Analysis'!F10</f>
        <v>0</v>
      </c>
      <c r="E11" s="498">
        <f>+'Bank Liabilities Analysis'!G10-'Bank Liabilities Analysis'!H10</f>
        <v>0</v>
      </c>
      <c r="F11" s="498">
        <f>+'Bank Liabilities Analysis'!I10-'Bank Liabilities Analysis'!J10</f>
        <v>0</v>
      </c>
      <c r="G11" s="498">
        <f>+'Bank Liabilities Analysis'!K10-'Bank Liabilities Analysis'!L10</f>
        <v>0</v>
      </c>
      <c r="H11" s="498">
        <f>+'Bank Liabilities Analysis'!M10-'Bank Liabilities Analysis'!N10</f>
        <v>0</v>
      </c>
      <c r="I11" s="498">
        <f>+'Bank Liabilities Analysis'!O10-'Bank Liabilities Analysis'!P10</f>
        <v>0</v>
      </c>
      <c r="J11" s="498">
        <f>+'Bank Liabilities Analysis'!Q10-'Bank Liabilities Analysis'!R10</f>
        <v>0</v>
      </c>
      <c r="K11" s="155">
        <f t="shared" si="1"/>
        <v>0</v>
      </c>
      <c r="L11" s="156"/>
      <c r="M11" s="157"/>
      <c r="N11" s="20"/>
      <c r="O11" s="159"/>
      <c r="P11" s="159"/>
    </row>
    <row r="12" spans="1:27" s="160" customFormat="1" ht="25.5" customHeight="1">
      <c r="A12" s="336" t="s">
        <v>144</v>
      </c>
      <c r="B12" s="337" t="s">
        <v>411</v>
      </c>
      <c r="C12" s="498">
        <f>+'Bank Liabilities Analysis'!C11-'Bank Liabilities Analysis'!D11</f>
        <v>528698956</v>
      </c>
      <c r="D12" s="498">
        <f>+'Bank Liabilities Analysis'!E11-'Bank Liabilities Analysis'!F11</f>
        <v>0</v>
      </c>
      <c r="E12" s="498">
        <f>+'Bank Liabilities Analysis'!G11-'Bank Liabilities Analysis'!H11</f>
        <v>0</v>
      </c>
      <c r="F12" s="498">
        <f>+'Bank Liabilities Analysis'!I11-'Bank Liabilities Analysis'!J11</f>
        <v>0</v>
      </c>
      <c r="G12" s="498">
        <f>+'Bank Liabilities Analysis'!K11-'Bank Liabilities Analysis'!L11</f>
        <v>0</v>
      </c>
      <c r="H12" s="498">
        <f>+'Bank Liabilities Analysis'!M11-'Bank Liabilities Analysis'!N11</f>
        <v>0</v>
      </c>
      <c r="I12" s="498">
        <f>+'Bank Liabilities Analysis'!O11-'Bank Liabilities Analysis'!P11</f>
        <v>0</v>
      </c>
      <c r="J12" s="498">
        <f>+'Bank Liabilities Analysis'!Q11-'Bank Liabilities Analysis'!R11</f>
        <v>0</v>
      </c>
      <c r="K12" s="155">
        <f t="shared" si="1"/>
        <v>528698956</v>
      </c>
      <c r="L12" s="156"/>
      <c r="M12" s="157"/>
      <c r="N12" s="20"/>
      <c r="O12" s="159"/>
      <c r="P12" s="159"/>
    </row>
    <row r="13" spans="1:27" s="160" customFormat="1" ht="25.5" customHeight="1">
      <c r="A13" s="336" t="s">
        <v>67</v>
      </c>
      <c r="B13" s="337" t="s">
        <v>232</v>
      </c>
      <c r="C13" s="498">
        <f>+'Bank Liabilities Analysis'!C12-'Bank Liabilities Analysis'!D12</f>
        <v>0</v>
      </c>
      <c r="D13" s="498">
        <f>+'Bank Liabilities Analysis'!E12-'Bank Liabilities Analysis'!F12</f>
        <v>7265392</v>
      </c>
      <c r="E13" s="498">
        <f>+'Bank Liabilities Analysis'!G12-'Bank Liabilities Analysis'!H12</f>
        <v>518730549</v>
      </c>
      <c r="F13" s="498">
        <f>+'Bank Liabilities Analysis'!I12-'Bank Liabilities Analysis'!J12</f>
        <v>118100323</v>
      </c>
      <c r="G13" s="498">
        <f>+'Bank Liabilities Analysis'!K12-'Bank Liabilities Analysis'!L12</f>
        <v>776947383</v>
      </c>
      <c r="H13" s="498">
        <f>+'Bank Liabilities Analysis'!M12-'Bank Liabilities Analysis'!N12</f>
        <v>1107261741</v>
      </c>
      <c r="I13" s="498">
        <f>+'Bank Liabilities Analysis'!O12-'Bank Liabilities Analysis'!P12</f>
        <v>1003374123</v>
      </c>
      <c r="J13" s="498">
        <f>+'Bank Liabilities Analysis'!Q12-'Bank Liabilities Analysis'!R12</f>
        <v>884296708</v>
      </c>
      <c r="K13" s="155">
        <f t="shared" si="1"/>
        <v>4415976219</v>
      </c>
      <c r="L13" s="156"/>
      <c r="M13" s="157"/>
      <c r="N13" s="20"/>
      <c r="O13" s="159"/>
      <c r="P13" s="159"/>
    </row>
    <row r="14" spans="1:27" s="160" customFormat="1" ht="25.5" customHeight="1">
      <c r="A14" s="336" t="s">
        <v>154</v>
      </c>
      <c r="B14" s="337" t="s">
        <v>412</v>
      </c>
      <c r="C14" s="498">
        <f>+'Bank Liabilities Analysis'!C13-'Bank Liabilities Analysis'!D13</f>
        <v>0</v>
      </c>
      <c r="D14" s="498">
        <f>+'Bank Liabilities Analysis'!E13-'Bank Liabilities Analysis'!F13</f>
        <v>3105375.4475500002</v>
      </c>
      <c r="E14" s="498">
        <f>+'Bank Liabilities Analysis'!G13-'Bank Liabilities Analysis'!H13</f>
        <v>6275349</v>
      </c>
      <c r="F14" s="498">
        <f>+'Bank Liabilities Analysis'!I13-'Bank Liabilities Analysis'!J13</f>
        <v>62600323</v>
      </c>
      <c r="G14" s="498">
        <f>+'Bank Liabilities Analysis'!K13-'Bank Liabilities Analysis'!L13</f>
        <v>227230929</v>
      </c>
      <c r="H14" s="498">
        <f>+'Bank Liabilities Analysis'!M13-'Bank Liabilities Analysis'!N13</f>
        <v>381587403</v>
      </c>
      <c r="I14" s="498">
        <f>+'Bank Liabilities Analysis'!O13-'Bank Liabilities Analysis'!P13</f>
        <v>624196308</v>
      </c>
      <c r="J14" s="498">
        <f>+'Bank Liabilities Analysis'!Q13-'Bank Liabilities Analysis'!R13</f>
        <v>15092834</v>
      </c>
      <c r="K14" s="155">
        <f t="shared" si="1"/>
        <v>1320088521.4475501</v>
      </c>
      <c r="L14" s="156"/>
      <c r="M14" s="157"/>
      <c r="N14" s="20"/>
      <c r="O14" s="159"/>
      <c r="P14" s="159"/>
    </row>
    <row r="15" spans="1:27" s="160" customFormat="1" ht="25.5" customHeight="1">
      <c r="A15" s="336" t="s">
        <v>155</v>
      </c>
      <c r="B15" s="337" t="s">
        <v>413</v>
      </c>
      <c r="C15" s="498">
        <f>+'Bank Liabilities Analysis'!C14-'Bank Liabilities Analysis'!D14</f>
        <v>0</v>
      </c>
      <c r="D15" s="498">
        <f>+'Bank Liabilities Analysis'!E14-'Bank Liabilities Analysis'!F14</f>
        <v>0</v>
      </c>
      <c r="E15" s="498">
        <f>+'Bank Liabilities Analysis'!G14-'Bank Liabilities Analysis'!H14</f>
        <v>0</v>
      </c>
      <c r="F15" s="498">
        <f>+'Bank Liabilities Analysis'!I14-'Bank Liabilities Analysis'!J14</f>
        <v>15000000</v>
      </c>
      <c r="G15" s="498">
        <f>+'Bank Liabilities Analysis'!K14-'Bank Liabilities Analysis'!L14</f>
        <v>10000000</v>
      </c>
      <c r="H15" s="498">
        <f>+'Bank Liabilities Analysis'!M14-'Bank Liabilities Analysis'!N14</f>
        <v>45400000</v>
      </c>
      <c r="I15" s="498">
        <f>+'Bank Liabilities Analysis'!O14-'Bank Liabilities Analysis'!P14</f>
        <v>0</v>
      </c>
      <c r="J15" s="498">
        <f>+'Bank Liabilities Analysis'!Q14-'Bank Liabilities Analysis'!R14</f>
        <v>0</v>
      </c>
      <c r="K15" s="155">
        <f t="shared" si="1"/>
        <v>70400000</v>
      </c>
      <c r="L15" s="156"/>
      <c r="M15" s="157"/>
      <c r="N15" s="20"/>
      <c r="O15" s="159"/>
      <c r="P15" s="159"/>
    </row>
    <row r="16" spans="1:27" s="160" customFormat="1" ht="25.5" customHeight="1">
      <c r="A16" s="336" t="s">
        <v>68</v>
      </c>
      <c r="B16" s="337" t="s">
        <v>414</v>
      </c>
      <c r="C16" s="498">
        <f t="shared" ref="C16:J16" si="2">SUM(C17:C20)</f>
        <v>304218881</v>
      </c>
      <c r="D16" s="498">
        <f t="shared" si="2"/>
        <v>0</v>
      </c>
      <c r="E16" s="498">
        <f t="shared" si="2"/>
        <v>0</v>
      </c>
      <c r="F16" s="498">
        <f t="shared" si="2"/>
        <v>0</v>
      </c>
      <c r="G16" s="498">
        <f t="shared" si="2"/>
        <v>0</v>
      </c>
      <c r="H16" s="498">
        <f t="shared" si="2"/>
        <v>0</v>
      </c>
      <c r="I16" s="498">
        <f t="shared" si="2"/>
        <v>0</v>
      </c>
      <c r="J16" s="498">
        <f t="shared" si="2"/>
        <v>0</v>
      </c>
      <c r="K16" s="155">
        <f t="shared" si="1"/>
        <v>304218881</v>
      </c>
      <c r="L16" s="156"/>
      <c r="M16" s="157"/>
      <c r="N16" s="20"/>
      <c r="O16" s="159"/>
      <c r="P16" s="159"/>
    </row>
    <row r="17" spans="1:16" s="160" customFormat="1" ht="25.5" customHeight="1">
      <c r="A17" s="336" t="s">
        <v>145</v>
      </c>
      <c r="B17" s="337" t="s">
        <v>415</v>
      </c>
      <c r="C17" s="498">
        <f>+'Bank Liabilities Analysis'!C16-'Bank Liabilities Analysis'!D16</f>
        <v>283609112</v>
      </c>
      <c r="D17" s="498">
        <f>+'Bank Liabilities Analysis'!E16-'Bank Liabilities Analysis'!F16</f>
        <v>0</v>
      </c>
      <c r="E17" s="498">
        <f>+'Bank Liabilities Analysis'!G16-'Bank Liabilities Analysis'!H16</f>
        <v>0</v>
      </c>
      <c r="F17" s="498">
        <f>+'Bank Liabilities Analysis'!I16-'Bank Liabilities Analysis'!J16</f>
        <v>0</v>
      </c>
      <c r="G17" s="498">
        <f>+'Bank Liabilities Analysis'!K16-'Bank Liabilities Analysis'!L16</f>
        <v>0</v>
      </c>
      <c r="H17" s="498">
        <f>+'Bank Liabilities Analysis'!M16-'Bank Liabilities Analysis'!N16</f>
        <v>0</v>
      </c>
      <c r="I17" s="498">
        <f>+'Bank Liabilities Analysis'!O16-'Bank Liabilities Analysis'!P16</f>
        <v>0</v>
      </c>
      <c r="J17" s="498">
        <f>+'Bank Liabilities Analysis'!Q16-'Bank Liabilities Analysis'!R16</f>
        <v>0</v>
      </c>
      <c r="K17" s="155">
        <f t="shared" si="1"/>
        <v>283609112</v>
      </c>
      <c r="L17" s="156"/>
      <c r="M17" s="157"/>
      <c r="N17" s="20"/>
      <c r="O17" s="159"/>
      <c r="P17" s="159"/>
    </row>
    <row r="18" spans="1:16" s="160" customFormat="1" ht="25.5" customHeight="1">
      <c r="A18" s="336" t="s">
        <v>146</v>
      </c>
      <c r="B18" s="337" t="s">
        <v>416</v>
      </c>
      <c r="C18" s="498">
        <f>+'Bank Liabilities Analysis'!C17-'Bank Liabilities Analysis'!D17</f>
        <v>8834048</v>
      </c>
      <c r="D18" s="498">
        <f>+'Bank Liabilities Analysis'!E17-'Bank Liabilities Analysis'!F17</f>
        <v>0</v>
      </c>
      <c r="E18" s="498">
        <f>+'Bank Liabilities Analysis'!G17-'Bank Liabilities Analysis'!H17</f>
        <v>0</v>
      </c>
      <c r="F18" s="498">
        <f>+'Bank Liabilities Analysis'!I17-'Bank Liabilities Analysis'!J17</f>
        <v>0</v>
      </c>
      <c r="G18" s="498">
        <f>+'Bank Liabilities Analysis'!K17-'Bank Liabilities Analysis'!L17</f>
        <v>0</v>
      </c>
      <c r="H18" s="498">
        <f>+'Bank Liabilities Analysis'!M17-'Bank Liabilities Analysis'!N17</f>
        <v>0</v>
      </c>
      <c r="I18" s="498">
        <f>+'Bank Liabilities Analysis'!O17-'Bank Liabilities Analysis'!P17</f>
        <v>0</v>
      </c>
      <c r="J18" s="498">
        <f>+'Bank Liabilities Analysis'!Q17-'Bank Liabilities Analysis'!R17</f>
        <v>0</v>
      </c>
      <c r="K18" s="155">
        <f t="shared" si="1"/>
        <v>8834048</v>
      </c>
      <c r="L18" s="156"/>
      <c r="M18" s="157"/>
      <c r="N18" s="20"/>
      <c r="O18" s="159"/>
      <c r="P18" s="159"/>
    </row>
    <row r="19" spans="1:16" s="160" customFormat="1" ht="25.5" customHeight="1">
      <c r="A19" s="336" t="s">
        <v>147</v>
      </c>
      <c r="B19" s="337" t="s">
        <v>417</v>
      </c>
      <c r="C19" s="498">
        <f>+'Bank Liabilities Analysis'!C18-'Bank Liabilities Analysis'!D18</f>
        <v>0</v>
      </c>
      <c r="D19" s="498">
        <f>+'Bank Liabilities Analysis'!E18-'Bank Liabilities Analysis'!F18</f>
        <v>0</v>
      </c>
      <c r="E19" s="498">
        <f>+'Bank Liabilities Analysis'!G18-'Bank Liabilities Analysis'!H18</f>
        <v>0</v>
      </c>
      <c r="F19" s="498">
        <f>+'Bank Liabilities Analysis'!I18-'Bank Liabilities Analysis'!J18</f>
        <v>0</v>
      </c>
      <c r="G19" s="498">
        <f>+'Bank Liabilities Analysis'!K18-'Bank Liabilities Analysis'!L18</f>
        <v>0</v>
      </c>
      <c r="H19" s="498">
        <f>+'Bank Liabilities Analysis'!M18-'Bank Liabilities Analysis'!N18</f>
        <v>0</v>
      </c>
      <c r="I19" s="498">
        <f>+'Bank Liabilities Analysis'!O18-'Bank Liabilities Analysis'!P18</f>
        <v>0</v>
      </c>
      <c r="J19" s="498">
        <f>+'Bank Liabilities Analysis'!Q18-'Bank Liabilities Analysis'!R18</f>
        <v>0</v>
      </c>
      <c r="K19" s="155">
        <f t="shared" si="1"/>
        <v>0</v>
      </c>
      <c r="L19" s="156"/>
      <c r="M19" s="157"/>
      <c r="N19" s="20"/>
      <c r="O19" s="159"/>
      <c r="P19" s="159"/>
    </row>
    <row r="20" spans="1:16" s="160" customFormat="1" ht="25.5" customHeight="1">
      <c r="A20" s="336" t="s">
        <v>148</v>
      </c>
      <c r="B20" s="337" t="s">
        <v>371</v>
      </c>
      <c r="C20" s="498">
        <f>+'Bank Liabilities Analysis'!C19-'Bank Liabilities Analysis'!D19</f>
        <v>11775721</v>
      </c>
      <c r="D20" s="498">
        <f>+'Bank Liabilities Analysis'!E19-'Bank Liabilities Analysis'!F19</f>
        <v>0</v>
      </c>
      <c r="E20" s="498">
        <f>+'Bank Liabilities Analysis'!G19-'Bank Liabilities Analysis'!H19</f>
        <v>0</v>
      </c>
      <c r="F20" s="498">
        <f>+'Bank Liabilities Analysis'!I19-'Bank Liabilities Analysis'!J19</f>
        <v>0</v>
      </c>
      <c r="G20" s="498">
        <f>+'Bank Liabilities Analysis'!K19-'Bank Liabilities Analysis'!L19</f>
        <v>0</v>
      </c>
      <c r="H20" s="498">
        <f>+'Bank Liabilities Analysis'!M19-'Bank Liabilities Analysis'!N19</f>
        <v>0</v>
      </c>
      <c r="I20" s="498">
        <f>+'Bank Liabilities Analysis'!O19-'Bank Liabilities Analysis'!P19</f>
        <v>0</v>
      </c>
      <c r="J20" s="498">
        <f>+'Bank Liabilities Analysis'!Q19-'Bank Liabilities Analysis'!R19</f>
        <v>0</v>
      </c>
      <c r="K20" s="155">
        <f t="shared" si="1"/>
        <v>11775721</v>
      </c>
      <c r="L20" s="156"/>
      <c r="M20" s="157"/>
      <c r="N20" s="20"/>
      <c r="O20" s="159"/>
      <c r="P20" s="159"/>
    </row>
    <row r="21" spans="1:16" s="160" customFormat="1" ht="25.5" customHeight="1">
      <c r="A21" s="336" t="s">
        <v>69</v>
      </c>
      <c r="B21" s="337" t="s">
        <v>418</v>
      </c>
      <c r="C21" s="498">
        <f t="shared" ref="C21:J21" si="3">+C8+C13+C16</f>
        <v>838914959</v>
      </c>
      <c r="D21" s="498">
        <f t="shared" si="3"/>
        <v>7265392</v>
      </c>
      <c r="E21" s="498">
        <f t="shared" si="3"/>
        <v>518730549</v>
      </c>
      <c r="F21" s="498">
        <f t="shared" si="3"/>
        <v>118100323</v>
      </c>
      <c r="G21" s="498">
        <f t="shared" si="3"/>
        <v>776947383</v>
      </c>
      <c r="H21" s="498">
        <f t="shared" si="3"/>
        <v>1107261741</v>
      </c>
      <c r="I21" s="498">
        <f t="shared" si="3"/>
        <v>1003374123</v>
      </c>
      <c r="J21" s="498">
        <f t="shared" si="3"/>
        <v>884296708</v>
      </c>
      <c r="K21" s="155">
        <f t="shared" si="1"/>
        <v>5254891178</v>
      </c>
      <c r="L21" s="156">
        <v>0.15</v>
      </c>
      <c r="M21" s="157">
        <f>+K21*L21</f>
        <v>788233676.69999993</v>
      </c>
      <c r="N21" s="20"/>
      <c r="O21" s="159"/>
      <c r="P21" s="159"/>
    </row>
    <row r="22" spans="1:16" s="160" customFormat="1" ht="25.5" customHeight="1">
      <c r="A22" s="336" t="s">
        <v>57</v>
      </c>
      <c r="B22" s="337" t="s">
        <v>234</v>
      </c>
      <c r="C22" s="498">
        <f>+'Bank Liabilities Analysis'!C21-'Bank Liabilities Analysis'!D21</f>
        <v>180737</v>
      </c>
      <c r="D22" s="498">
        <f>+'Bank Liabilities Analysis'!E21-'Bank Liabilities Analysis'!F21</f>
        <v>0</v>
      </c>
      <c r="E22" s="498">
        <f>+'Bank Liabilities Analysis'!G21-'Bank Liabilities Analysis'!H21</f>
        <v>0</v>
      </c>
      <c r="F22" s="498">
        <f>+'Bank Liabilities Analysis'!I21-'Bank Liabilities Analysis'!J21</f>
        <v>0</v>
      </c>
      <c r="G22" s="498">
        <f>+'Bank Liabilities Analysis'!K21-'Bank Liabilities Analysis'!L21</f>
        <v>0</v>
      </c>
      <c r="H22" s="498">
        <f>+'Bank Liabilities Analysis'!M21-'Bank Liabilities Analysis'!N21</f>
        <v>0</v>
      </c>
      <c r="I22" s="498">
        <f>+'Bank Liabilities Analysis'!O21-'Bank Liabilities Analysis'!P21</f>
        <v>0</v>
      </c>
      <c r="J22" s="498">
        <f>+'Bank Liabilities Analysis'!Q21-'Bank Liabilities Analysis'!R21</f>
        <v>0</v>
      </c>
      <c r="K22" s="155">
        <f t="shared" si="1"/>
        <v>180737</v>
      </c>
      <c r="L22" s="156">
        <v>1</v>
      </c>
      <c r="M22" s="157">
        <f>(C22+D22+E22-C23-D23-E23)*L22</f>
        <v>0</v>
      </c>
      <c r="N22" s="20"/>
      <c r="O22" s="159"/>
      <c r="P22" s="159"/>
    </row>
    <row r="23" spans="1:16" s="341" customFormat="1" ht="36.75" customHeight="1">
      <c r="A23" s="336" t="s">
        <v>94</v>
      </c>
      <c r="B23" s="337" t="s">
        <v>544</v>
      </c>
      <c r="C23" s="498">
        <f>+'Bank Liabilities Analysis'!C22-'Bank Liabilities Analysis'!D22</f>
        <v>180737</v>
      </c>
      <c r="D23" s="498">
        <f>+'Bank Liabilities Analysis'!E22-'Bank Liabilities Analysis'!F22</f>
        <v>0</v>
      </c>
      <c r="E23" s="498">
        <f>+'Bank Liabilities Analysis'!G22-'Bank Liabilities Analysis'!H22</f>
        <v>0</v>
      </c>
      <c r="F23" s="498">
        <f>+'Bank Liabilities Analysis'!I22-'Bank Liabilities Analysis'!J22</f>
        <v>0</v>
      </c>
      <c r="G23" s="498">
        <f>+'Bank Liabilities Analysis'!K22-'Bank Liabilities Analysis'!L22</f>
        <v>0</v>
      </c>
      <c r="H23" s="498">
        <f>+'Bank Liabilities Analysis'!M22-'Bank Liabilities Analysis'!N22</f>
        <v>0</v>
      </c>
      <c r="I23" s="498">
        <f>+'Bank Liabilities Analysis'!O22-'Bank Liabilities Analysis'!P22</f>
        <v>0</v>
      </c>
      <c r="J23" s="498">
        <f>+'Bank Liabilities Analysis'!Q22-'Bank Liabilities Analysis'!R22</f>
        <v>0</v>
      </c>
      <c r="K23" s="155">
        <f t="shared" ref="K23" si="4">+C23+D23+E23+F23+G23+H23+I23+J23</f>
        <v>180737</v>
      </c>
      <c r="L23" s="156"/>
      <c r="M23" s="206"/>
      <c r="N23" s="477"/>
      <c r="O23" s="478"/>
      <c r="P23" s="478"/>
    </row>
    <row r="24" spans="1:16" s="160" customFormat="1" ht="30">
      <c r="A24" s="336" t="s">
        <v>58</v>
      </c>
      <c r="B24" s="337" t="s">
        <v>419</v>
      </c>
      <c r="C24" s="498">
        <f>SUM(C25:C29)-C26</f>
        <v>41280</v>
      </c>
      <c r="D24" s="498">
        <f t="shared" ref="D24:J24" si="5">SUM(D25:D29)-D26</f>
        <v>50000000</v>
      </c>
      <c r="E24" s="498">
        <f t="shared" si="5"/>
        <v>0</v>
      </c>
      <c r="F24" s="498">
        <f t="shared" si="5"/>
        <v>75000000</v>
      </c>
      <c r="G24" s="498">
        <f t="shared" si="5"/>
        <v>0</v>
      </c>
      <c r="H24" s="498">
        <f t="shared" si="5"/>
        <v>290000000</v>
      </c>
      <c r="I24" s="498">
        <f t="shared" si="5"/>
        <v>421156433</v>
      </c>
      <c r="J24" s="498">
        <f t="shared" si="5"/>
        <v>252775555</v>
      </c>
      <c r="K24" s="155">
        <f t="shared" si="1"/>
        <v>1088973268</v>
      </c>
      <c r="L24" s="156"/>
      <c r="M24" s="157"/>
      <c r="N24" s="20"/>
      <c r="O24" s="159"/>
      <c r="P24" s="159"/>
    </row>
    <row r="25" spans="1:16" s="160" customFormat="1" ht="30">
      <c r="A25" s="336" t="s">
        <v>74</v>
      </c>
      <c r="B25" s="337" t="s">
        <v>420</v>
      </c>
      <c r="C25" s="498">
        <f>+'Bank Liabilities Analysis'!C24-'Bank Liabilities Analysis'!D24</f>
        <v>0</v>
      </c>
      <c r="D25" s="498">
        <f>+'Bank Liabilities Analysis'!E24-'Bank Liabilities Analysis'!F24</f>
        <v>0</v>
      </c>
      <c r="E25" s="498">
        <f>+'Bank Liabilities Analysis'!G24-'Bank Liabilities Analysis'!H24</f>
        <v>0</v>
      </c>
      <c r="F25" s="498">
        <f>+'Bank Liabilities Analysis'!I24-'Bank Liabilities Analysis'!J24</f>
        <v>0</v>
      </c>
      <c r="G25" s="498">
        <f>+'Bank Liabilities Analysis'!K24-'Bank Liabilities Analysis'!L24</f>
        <v>0</v>
      </c>
      <c r="H25" s="498">
        <f>+'Bank Liabilities Analysis'!M24-'Bank Liabilities Analysis'!N24</f>
        <v>0</v>
      </c>
      <c r="I25" s="498">
        <f>+'Bank Liabilities Analysis'!O24-'Bank Liabilities Analysis'!P24</f>
        <v>0</v>
      </c>
      <c r="J25" s="498">
        <f>+'Bank Liabilities Analysis'!Q24-'Bank Liabilities Analysis'!R24</f>
        <v>0</v>
      </c>
      <c r="K25" s="155">
        <f t="shared" ref="K25" si="6">+C25+D25+E25+F25+G25+H25+I25+J25</f>
        <v>0</v>
      </c>
      <c r="L25" s="156">
        <v>1</v>
      </c>
      <c r="M25" s="206">
        <f>C25*L25</f>
        <v>0</v>
      </c>
      <c r="N25" s="20"/>
      <c r="O25" s="159"/>
      <c r="P25" s="159"/>
    </row>
    <row r="26" spans="1:16" s="160" customFormat="1" ht="34.5" customHeight="1">
      <c r="A26" s="336" t="s">
        <v>556</v>
      </c>
      <c r="B26" s="337" t="s">
        <v>557</v>
      </c>
      <c r="C26" s="498">
        <f>+'Bank Liabilities Analysis'!C25-'Bank Liabilities Analysis'!D25</f>
        <v>0</v>
      </c>
      <c r="D26" s="498">
        <f>+'Bank Liabilities Analysis'!E25-'Bank Liabilities Analysis'!F25</f>
        <v>0</v>
      </c>
      <c r="E26" s="498">
        <f>+'Bank Liabilities Analysis'!G25-'Bank Liabilities Analysis'!H25</f>
        <v>0</v>
      </c>
      <c r="F26" s="498">
        <f>+'Bank Liabilities Analysis'!I25-'Bank Liabilities Analysis'!J25</f>
        <v>0</v>
      </c>
      <c r="G26" s="498">
        <f>+'Bank Liabilities Analysis'!K25-'Bank Liabilities Analysis'!L25</f>
        <v>0</v>
      </c>
      <c r="H26" s="498">
        <f>+'Bank Liabilities Analysis'!M25-'Bank Liabilities Analysis'!N25</f>
        <v>0</v>
      </c>
      <c r="I26" s="498">
        <f>+'Bank Liabilities Analysis'!O25-'Bank Liabilities Analysis'!P25</f>
        <v>0</v>
      </c>
      <c r="J26" s="498">
        <f>+'Bank Liabilities Analysis'!Q25-'Bank Liabilities Analysis'!R25</f>
        <v>0</v>
      </c>
      <c r="K26" s="155">
        <f t="shared" ref="K26" si="7">+C26+D26+E26+F26+G26+H26+I26+J26</f>
        <v>0</v>
      </c>
      <c r="L26" s="156"/>
      <c r="M26" s="157"/>
      <c r="N26" s="20"/>
      <c r="O26" s="159"/>
      <c r="P26" s="159"/>
    </row>
    <row r="27" spans="1:16" s="160" customFormat="1" ht="25.5" customHeight="1">
      <c r="A27" s="336" t="s">
        <v>75</v>
      </c>
      <c r="B27" s="337" t="s">
        <v>421</v>
      </c>
      <c r="C27" s="498">
        <f>+'Bank Liabilities Analysis'!C26-'Bank Liabilities Analysis'!D26</f>
        <v>0</v>
      </c>
      <c r="D27" s="498">
        <f>+'Bank Liabilities Analysis'!E26-'Bank Liabilities Analysis'!F26</f>
        <v>50000000</v>
      </c>
      <c r="E27" s="498">
        <f>+'Bank Liabilities Analysis'!G26-'Bank Liabilities Analysis'!H26</f>
        <v>0</v>
      </c>
      <c r="F27" s="498">
        <f>+'Bank Liabilities Analysis'!I26-'Bank Liabilities Analysis'!J26</f>
        <v>75000000</v>
      </c>
      <c r="G27" s="498">
        <f>+'Bank Liabilities Analysis'!K26-'Bank Liabilities Analysis'!L26</f>
        <v>0</v>
      </c>
      <c r="H27" s="498">
        <f>+'Bank Liabilities Analysis'!M26-'Bank Liabilities Analysis'!N26</f>
        <v>290000000</v>
      </c>
      <c r="I27" s="498">
        <f>+'Bank Liabilities Analysis'!O26-'Bank Liabilities Analysis'!P26</f>
        <v>421156433</v>
      </c>
      <c r="J27" s="498">
        <f>+'Bank Liabilities Analysis'!Q26-'Bank Liabilities Analysis'!R26</f>
        <v>252775555</v>
      </c>
      <c r="K27" s="155">
        <f t="shared" si="1"/>
        <v>1088931988</v>
      </c>
      <c r="L27" s="156">
        <v>1</v>
      </c>
      <c r="M27" s="206">
        <f>(C27+D27+E27)*L27</f>
        <v>50000000</v>
      </c>
      <c r="N27" s="20"/>
      <c r="O27" s="159"/>
      <c r="P27" s="159"/>
    </row>
    <row r="28" spans="1:16" s="160" customFormat="1" ht="33.75" customHeight="1">
      <c r="A28" s="336" t="s">
        <v>15</v>
      </c>
      <c r="B28" s="337" t="s">
        <v>498</v>
      </c>
      <c r="C28" s="498">
        <f>+'Bank Liabilities Analysis'!C27-'Bank Liabilities Analysis'!D27</f>
        <v>41280</v>
      </c>
      <c r="D28" s="498">
        <f>+'Bank Liabilities Analysis'!E27-'Bank Liabilities Analysis'!F27</f>
        <v>0</v>
      </c>
      <c r="E28" s="498">
        <f>+'Bank Liabilities Analysis'!G27-'Bank Liabilities Analysis'!H27</f>
        <v>0</v>
      </c>
      <c r="F28" s="498">
        <f>+'Bank Liabilities Analysis'!I27-'Bank Liabilities Analysis'!J27</f>
        <v>0</v>
      </c>
      <c r="G28" s="498">
        <f>+'Bank Liabilities Analysis'!K27-'Bank Liabilities Analysis'!L27</f>
        <v>0</v>
      </c>
      <c r="H28" s="498">
        <f>+'Bank Liabilities Analysis'!M27-'Bank Liabilities Analysis'!N27</f>
        <v>0</v>
      </c>
      <c r="I28" s="498">
        <f>+'Bank Liabilities Analysis'!O27-'Bank Liabilities Analysis'!P27</f>
        <v>0</v>
      </c>
      <c r="J28" s="498">
        <f>+'Bank Liabilities Analysis'!Q27-'Bank Liabilities Analysis'!R27</f>
        <v>0</v>
      </c>
      <c r="K28" s="155">
        <f t="shared" si="1"/>
        <v>41280</v>
      </c>
      <c r="L28" s="156">
        <v>1</v>
      </c>
      <c r="M28" s="206">
        <f>(C28+D28+E28)*L28</f>
        <v>41280</v>
      </c>
      <c r="N28" s="20"/>
      <c r="O28" s="159"/>
      <c r="P28" s="159"/>
    </row>
    <row r="29" spans="1:16" s="160" customFormat="1" ht="25.5" customHeight="1">
      <c r="A29" s="336" t="s">
        <v>149</v>
      </c>
      <c r="B29" s="337" t="s">
        <v>422</v>
      </c>
      <c r="C29" s="498">
        <f>+'Bank Liabilities Analysis'!C28-'Bank Liabilities Analysis'!D28</f>
        <v>0</v>
      </c>
      <c r="D29" s="498">
        <f>+'Bank Liabilities Analysis'!E28-'Bank Liabilities Analysis'!F28</f>
        <v>0</v>
      </c>
      <c r="E29" s="498">
        <f>+'Bank Liabilities Analysis'!G28-'Bank Liabilities Analysis'!H28</f>
        <v>0</v>
      </c>
      <c r="F29" s="498">
        <f>+'Bank Liabilities Analysis'!I28-'Bank Liabilities Analysis'!J28</f>
        <v>0</v>
      </c>
      <c r="G29" s="498">
        <f>+'Bank Liabilities Analysis'!K28-'Bank Liabilities Analysis'!L28</f>
        <v>0</v>
      </c>
      <c r="H29" s="498">
        <f>+'Bank Liabilities Analysis'!M28-'Bank Liabilities Analysis'!N28</f>
        <v>0</v>
      </c>
      <c r="I29" s="498">
        <f>+'Bank Liabilities Analysis'!O28-'Bank Liabilities Analysis'!P28</f>
        <v>0</v>
      </c>
      <c r="J29" s="498">
        <f>+'Bank Liabilities Analysis'!Q28-'Bank Liabilities Analysis'!R28</f>
        <v>0</v>
      </c>
      <c r="K29" s="155">
        <f t="shared" si="1"/>
        <v>0</v>
      </c>
      <c r="L29" s="156">
        <v>1</v>
      </c>
      <c r="M29" s="206">
        <f>(C29+D29+E29)*L29</f>
        <v>0</v>
      </c>
      <c r="N29" s="20"/>
      <c r="O29" s="159"/>
      <c r="P29" s="159"/>
    </row>
    <row r="30" spans="1:16" s="160" customFormat="1" ht="33.75" customHeight="1">
      <c r="A30" s="336" t="s">
        <v>59</v>
      </c>
      <c r="B30" s="337" t="s">
        <v>423</v>
      </c>
      <c r="C30" s="498">
        <f>+'Bank Liabilities Analysis'!C29-'Bank Liabilities Analysis'!D29</f>
        <v>0</v>
      </c>
      <c r="D30" s="498">
        <f>+'Bank Liabilities Analysis'!E29-'Bank Liabilities Analysis'!F29</f>
        <v>0</v>
      </c>
      <c r="E30" s="498">
        <f>+'Bank Liabilities Analysis'!G29-'Bank Liabilities Analysis'!H29</f>
        <v>0</v>
      </c>
      <c r="F30" s="498">
        <f>+'Bank Liabilities Analysis'!I29-'Bank Liabilities Analysis'!J29</f>
        <v>0</v>
      </c>
      <c r="G30" s="498">
        <f>+'Bank Liabilities Analysis'!K29-'Bank Liabilities Analysis'!L29</f>
        <v>0</v>
      </c>
      <c r="H30" s="498">
        <f>+'Bank Liabilities Analysis'!M29-'Bank Liabilities Analysis'!N29</f>
        <v>0</v>
      </c>
      <c r="I30" s="498">
        <f>+'Bank Liabilities Analysis'!O29-'Bank Liabilities Analysis'!P29</f>
        <v>0</v>
      </c>
      <c r="J30" s="498">
        <f>+'Bank Liabilities Analysis'!Q29-'Bank Liabilities Analysis'!R29</f>
        <v>0</v>
      </c>
      <c r="K30" s="155">
        <f t="shared" si="1"/>
        <v>0</v>
      </c>
      <c r="L30" s="156">
        <v>1</v>
      </c>
      <c r="M30" s="157">
        <f>(C30+D30+E30)*L30</f>
        <v>0</v>
      </c>
      <c r="N30" s="20"/>
      <c r="O30" s="159"/>
      <c r="P30" s="159"/>
    </row>
    <row r="31" spans="1:16" s="160" customFormat="1" ht="32.25" customHeight="1">
      <c r="A31" s="336" t="s">
        <v>60</v>
      </c>
      <c r="B31" s="337" t="s">
        <v>424</v>
      </c>
      <c r="C31" s="498">
        <f>+'Bank Liabilities Analysis'!C30-'Bank Liabilities Analysis'!D30</f>
        <v>2308034</v>
      </c>
      <c r="D31" s="498">
        <f>+'Bank Liabilities Analysis'!E30-'Bank Liabilities Analysis'!F30</f>
        <v>2772930</v>
      </c>
      <c r="E31" s="498">
        <f>+'Bank Liabilities Analysis'!G30-'Bank Liabilities Analysis'!H30</f>
        <v>84959051</v>
      </c>
      <c r="F31" s="498">
        <f>+'Bank Liabilities Analysis'!I30-'Bank Liabilities Analysis'!J30</f>
        <v>82685091</v>
      </c>
      <c r="G31" s="498">
        <f>+'Bank Liabilities Analysis'!K30-'Bank Liabilities Analysis'!L30</f>
        <v>145965053</v>
      </c>
      <c r="H31" s="498">
        <f>+'Bank Liabilities Analysis'!M30-'Bank Liabilities Analysis'!N30</f>
        <v>289500976</v>
      </c>
      <c r="I31" s="498">
        <f>+'Bank Liabilities Analysis'!O30-'Bank Liabilities Analysis'!P30</f>
        <v>610788304</v>
      </c>
      <c r="J31" s="498">
        <f>+'Bank Liabilities Analysis'!Q30-'Bank Liabilities Analysis'!R30</f>
        <v>2654944506</v>
      </c>
      <c r="K31" s="155">
        <f t="shared" si="1"/>
        <v>3873923945</v>
      </c>
      <c r="L31" s="156">
        <v>0.05</v>
      </c>
      <c r="M31" s="157">
        <f>+K31*L31</f>
        <v>193696197.25</v>
      </c>
      <c r="N31" s="20"/>
      <c r="O31" s="159"/>
      <c r="P31" s="159"/>
    </row>
    <row r="32" spans="1:16" s="160" customFormat="1" ht="25.5" customHeight="1">
      <c r="A32" s="336" t="s">
        <v>61</v>
      </c>
      <c r="B32" s="337" t="s">
        <v>242</v>
      </c>
      <c r="C32" s="498">
        <f>+'Bank Liabilities Analysis'!C31-'Bank Liabilities Analysis'!D31</f>
        <v>0</v>
      </c>
      <c r="D32" s="498">
        <f>+'Bank Liabilities Analysis'!E31-'Bank Liabilities Analysis'!F31</f>
        <v>0</v>
      </c>
      <c r="E32" s="498">
        <f>+'Bank Liabilities Analysis'!G31-'Bank Liabilities Analysis'!H31</f>
        <v>0</v>
      </c>
      <c r="F32" s="498">
        <f>+'Bank Liabilities Analysis'!I31-'Bank Liabilities Analysis'!J31</f>
        <v>0</v>
      </c>
      <c r="G32" s="498">
        <f>+'Bank Liabilities Analysis'!K31-'Bank Liabilities Analysis'!L31</f>
        <v>0</v>
      </c>
      <c r="H32" s="498">
        <f>+'Bank Liabilities Analysis'!M31-'Bank Liabilities Analysis'!N31</f>
        <v>0</v>
      </c>
      <c r="I32" s="498">
        <f>+'Bank Liabilities Analysis'!O31-'Bank Liabilities Analysis'!P31</f>
        <v>0</v>
      </c>
      <c r="J32" s="498">
        <f>+'Bank Liabilities Analysis'!Q31-'Bank Liabilities Analysis'!R31</f>
        <v>0</v>
      </c>
      <c r="K32" s="155">
        <f t="shared" si="1"/>
        <v>0</v>
      </c>
      <c r="L32" s="156">
        <v>1</v>
      </c>
      <c r="M32" s="157">
        <f>(C32+D32+E32)*L32</f>
        <v>0</v>
      </c>
      <c r="N32" s="20"/>
      <c r="O32" s="159"/>
      <c r="P32" s="159"/>
    </row>
    <row r="33" spans="1:16" s="160" customFormat="1" ht="25.5" customHeight="1">
      <c r="A33" s="336" t="s">
        <v>62</v>
      </c>
      <c r="B33" s="337" t="s">
        <v>244</v>
      </c>
      <c r="C33" s="498">
        <f>+'Bank Liabilities Analysis'!C32-'Bank Liabilities Analysis'!D32</f>
        <v>0</v>
      </c>
      <c r="D33" s="498">
        <f>+'Bank Liabilities Analysis'!E32-'Bank Liabilities Analysis'!F32</f>
        <v>0</v>
      </c>
      <c r="E33" s="498">
        <f>+'Bank Liabilities Analysis'!G32-'Bank Liabilities Analysis'!H32</f>
        <v>0</v>
      </c>
      <c r="F33" s="498">
        <f>+'Bank Liabilities Analysis'!I32-'Bank Liabilities Analysis'!J32</f>
        <v>0</v>
      </c>
      <c r="G33" s="498">
        <f>+'Bank Liabilities Analysis'!K32-'Bank Liabilities Analysis'!L32</f>
        <v>0</v>
      </c>
      <c r="H33" s="498">
        <f>+'Bank Liabilities Analysis'!M32-'Bank Liabilities Analysis'!N32</f>
        <v>0</v>
      </c>
      <c r="I33" s="498">
        <f>+'Bank Liabilities Analysis'!O32-'Bank Liabilities Analysis'!P32</f>
        <v>0</v>
      </c>
      <c r="J33" s="498">
        <f>+'Bank Liabilities Analysis'!Q32-'Bank Liabilities Analysis'!R32</f>
        <v>50000000</v>
      </c>
      <c r="K33" s="155">
        <f t="shared" si="1"/>
        <v>50000000</v>
      </c>
      <c r="L33" s="156">
        <v>1</v>
      </c>
      <c r="M33" s="157">
        <f>(C33+D33+E33)*L33</f>
        <v>0</v>
      </c>
      <c r="N33" s="20"/>
      <c r="O33" s="159"/>
      <c r="P33" s="159"/>
    </row>
    <row r="34" spans="1:16" s="160" customFormat="1" ht="25.5" customHeight="1">
      <c r="A34" s="336" t="s">
        <v>63</v>
      </c>
      <c r="B34" s="337" t="s">
        <v>238</v>
      </c>
      <c r="C34" s="498">
        <f>+'Bank Liabilities Analysis'!C33-'Bank Liabilities Analysis'!D33</f>
        <v>0</v>
      </c>
      <c r="D34" s="498">
        <f>+'Bank Liabilities Analysis'!E33-'Bank Liabilities Analysis'!F33</f>
        <v>0</v>
      </c>
      <c r="E34" s="498">
        <f>+'Bank Liabilities Analysis'!G33-'Bank Liabilities Analysis'!H33</f>
        <v>0</v>
      </c>
      <c r="F34" s="498">
        <f>+'Bank Liabilities Analysis'!I33-'Bank Liabilities Analysis'!J33</f>
        <v>0</v>
      </c>
      <c r="G34" s="498">
        <f>+'Bank Liabilities Analysis'!K33-'Bank Liabilities Analysis'!L33</f>
        <v>0</v>
      </c>
      <c r="H34" s="498">
        <f>+'Bank Liabilities Analysis'!M33-'Bank Liabilities Analysis'!N33</f>
        <v>0</v>
      </c>
      <c r="I34" s="498">
        <f>+'Bank Liabilities Analysis'!O33-'Bank Liabilities Analysis'!P33</f>
        <v>0</v>
      </c>
      <c r="J34" s="498">
        <f>+'Bank Liabilities Analysis'!Q33-'Bank Liabilities Analysis'!R33</f>
        <v>0</v>
      </c>
      <c r="K34" s="155">
        <f t="shared" si="1"/>
        <v>0</v>
      </c>
      <c r="L34" s="156"/>
      <c r="M34" s="157"/>
      <c r="N34" s="20"/>
      <c r="O34" s="159"/>
      <c r="P34" s="159"/>
    </row>
    <row r="35" spans="1:16" s="160" customFormat="1" ht="33.75" customHeight="1">
      <c r="A35" s="336" t="s">
        <v>199</v>
      </c>
      <c r="B35" s="337" t="s">
        <v>549</v>
      </c>
      <c r="C35" s="498">
        <f>+'Bank Liabilities Analysis'!C34-'Bank Liabilities Analysis'!D34</f>
        <v>0</v>
      </c>
      <c r="D35" s="498">
        <f>+'Bank Liabilities Analysis'!E34-'Bank Liabilities Analysis'!F34</f>
        <v>0</v>
      </c>
      <c r="E35" s="498">
        <f>+'Bank Liabilities Analysis'!G34-'Bank Liabilities Analysis'!H34</f>
        <v>0</v>
      </c>
      <c r="F35" s="498">
        <f>+'Bank Liabilities Analysis'!I34-'Bank Liabilities Analysis'!J34</f>
        <v>0</v>
      </c>
      <c r="G35" s="498">
        <f>+'Bank Liabilities Analysis'!K34-'Bank Liabilities Analysis'!L34</f>
        <v>0</v>
      </c>
      <c r="H35" s="498">
        <f>+'Bank Liabilities Analysis'!M34-'Bank Liabilities Analysis'!N34</f>
        <v>0</v>
      </c>
      <c r="I35" s="498">
        <f>+'Bank Liabilities Analysis'!O34-'Bank Liabilities Analysis'!P34</f>
        <v>0</v>
      </c>
      <c r="J35" s="498">
        <f>+'Bank Liabilities Analysis'!Q34-'Bank Liabilities Analysis'!R34</f>
        <v>0</v>
      </c>
      <c r="K35" s="155">
        <f t="shared" ref="K35:K36" si="8">+C35+D35+E35+F35+G35+H35+I35+J35</f>
        <v>0</v>
      </c>
      <c r="L35" s="156">
        <v>1</v>
      </c>
      <c r="M35" s="157">
        <f t="shared" ref="M35:M36" si="9">(C35+D35+E35)*L35</f>
        <v>0</v>
      </c>
      <c r="N35" s="20"/>
      <c r="O35" s="159"/>
      <c r="P35" s="159"/>
    </row>
    <row r="36" spans="1:16" s="160" customFormat="1" ht="33.75" customHeight="1">
      <c r="A36" s="336" t="s">
        <v>201</v>
      </c>
      <c r="B36" s="337" t="s">
        <v>550</v>
      </c>
      <c r="C36" s="498">
        <f>+'Bank Liabilities Analysis'!C35-'Bank Liabilities Analysis'!D35</f>
        <v>0</v>
      </c>
      <c r="D36" s="498">
        <f>+'Bank Liabilities Analysis'!E35-'Bank Liabilities Analysis'!F35</f>
        <v>0</v>
      </c>
      <c r="E36" s="498">
        <f>+'Bank Liabilities Analysis'!G35-'Bank Liabilities Analysis'!H35</f>
        <v>0</v>
      </c>
      <c r="F36" s="498">
        <f>+'Bank Liabilities Analysis'!I35-'Bank Liabilities Analysis'!J35</f>
        <v>0</v>
      </c>
      <c r="G36" s="498">
        <f>+'Bank Liabilities Analysis'!K35-'Bank Liabilities Analysis'!L35</f>
        <v>0</v>
      </c>
      <c r="H36" s="498">
        <f>+'Bank Liabilities Analysis'!M35-'Bank Liabilities Analysis'!N35</f>
        <v>0</v>
      </c>
      <c r="I36" s="498">
        <f>+'Bank Liabilities Analysis'!O35-'Bank Liabilities Analysis'!P35</f>
        <v>0</v>
      </c>
      <c r="J36" s="498">
        <f>+'Bank Liabilities Analysis'!Q35-'Bank Liabilities Analysis'!R35</f>
        <v>0</v>
      </c>
      <c r="K36" s="155">
        <f t="shared" si="8"/>
        <v>0</v>
      </c>
      <c r="L36" s="156">
        <v>1</v>
      </c>
      <c r="M36" s="157">
        <f t="shared" si="9"/>
        <v>0</v>
      </c>
      <c r="N36" s="20"/>
      <c r="O36" s="159"/>
      <c r="P36" s="159"/>
    </row>
    <row r="37" spans="1:16" s="160" customFormat="1" ht="33.75" customHeight="1">
      <c r="A37" s="336" t="s">
        <v>64</v>
      </c>
      <c r="B37" s="337" t="s">
        <v>425</v>
      </c>
      <c r="C37" s="498">
        <f>+'Bank Liabilities Analysis'!C36-'Bank Liabilities Analysis'!D36</f>
        <v>13733</v>
      </c>
      <c r="D37" s="498">
        <f>+'Bank Liabilities Analysis'!E36-'Bank Liabilities Analysis'!F36</f>
        <v>0</v>
      </c>
      <c r="E37" s="498">
        <f>+'Bank Liabilities Analysis'!G36-'Bank Liabilities Analysis'!H36</f>
        <v>0</v>
      </c>
      <c r="F37" s="498">
        <f>+'Bank Liabilities Analysis'!I36-'Bank Liabilities Analysis'!J36</f>
        <v>0</v>
      </c>
      <c r="G37" s="498">
        <f>+'Bank Liabilities Analysis'!K36-'Bank Liabilities Analysis'!L36</f>
        <v>0</v>
      </c>
      <c r="H37" s="498">
        <f>+'Bank Liabilities Analysis'!M36-'Bank Liabilities Analysis'!N36</f>
        <v>0</v>
      </c>
      <c r="I37" s="498">
        <f>+'Bank Liabilities Analysis'!O36-'Bank Liabilities Analysis'!P36</f>
        <v>0</v>
      </c>
      <c r="J37" s="498">
        <f>+'Bank Liabilities Analysis'!Q36-'Bank Liabilities Analysis'!R36</f>
        <v>0</v>
      </c>
      <c r="K37" s="155">
        <f t="shared" si="1"/>
        <v>13733</v>
      </c>
      <c r="L37" s="156">
        <v>1</v>
      </c>
      <c r="M37" s="157">
        <f>+K37*L37</f>
        <v>13733</v>
      </c>
      <c r="N37" s="20"/>
      <c r="O37" s="159"/>
      <c r="P37" s="159"/>
    </row>
    <row r="38" spans="1:16" s="160" customFormat="1" ht="25.5" customHeight="1">
      <c r="A38" s="336" t="s">
        <v>70</v>
      </c>
      <c r="B38" s="337" t="s">
        <v>250</v>
      </c>
      <c r="C38" s="498">
        <f>+'Bank Liabilities Analysis'!C37-'Bank Liabilities Analysis'!D37</f>
        <v>0</v>
      </c>
      <c r="D38" s="498">
        <f>+'Bank Liabilities Analysis'!E37-'Bank Liabilities Analysis'!F37</f>
        <v>0</v>
      </c>
      <c r="E38" s="498">
        <f>+'Bank Liabilities Analysis'!G37-'Bank Liabilities Analysis'!H37</f>
        <v>0</v>
      </c>
      <c r="F38" s="498">
        <f>+'Bank Liabilities Analysis'!I37-'Bank Liabilities Analysis'!J37</f>
        <v>0</v>
      </c>
      <c r="G38" s="498">
        <f>+'Bank Liabilities Analysis'!K37-'Bank Liabilities Analysis'!L37</f>
        <v>0</v>
      </c>
      <c r="H38" s="498">
        <f>+'Bank Liabilities Analysis'!M37-'Bank Liabilities Analysis'!N37</f>
        <v>0</v>
      </c>
      <c r="I38" s="498">
        <f>+'Bank Liabilities Analysis'!O37-'Bank Liabilities Analysis'!P37</f>
        <v>0</v>
      </c>
      <c r="J38" s="498">
        <f>+'Bank Liabilities Analysis'!Q37-'Bank Liabilities Analysis'!R37</f>
        <v>0</v>
      </c>
      <c r="K38" s="155">
        <f t="shared" si="1"/>
        <v>0</v>
      </c>
      <c r="L38" s="156">
        <v>1</v>
      </c>
      <c r="M38" s="157">
        <f>+K38*L38</f>
        <v>0</v>
      </c>
      <c r="N38" s="20"/>
      <c r="O38" s="159"/>
      <c r="P38" s="159"/>
    </row>
    <row r="39" spans="1:16" s="160" customFormat="1" ht="25.5" customHeight="1">
      <c r="A39" s="336" t="s">
        <v>71</v>
      </c>
      <c r="B39" s="337" t="s">
        <v>246</v>
      </c>
      <c r="C39" s="498">
        <f>+'Bank Liabilities Analysis'!C38-'Bank Liabilities Analysis'!D38</f>
        <v>30858812</v>
      </c>
      <c r="D39" s="498">
        <f>+'Bank Liabilities Analysis'!E38-'Bank Liabilities Analysis'!F38</f>
        <v>0</v>
      </c>
      <c r="E39" s="498">
        <f>+'Bank Liabilities Analysis'!G38-'Bank Liabilities Analysis'!H38</f>
        <v>65534545</v>
      </c>
      <c r="F39" s="498">
        <f>+'Bank Liabilities Analysis'!I38-'Bank Liabilities Analysis'!J38</f>
        <v>12204668</v>
      </c>
      <c r="G39" s="498">
        <f>+'Bank Liabilities Analysis'!K38-'Bank Liabilities Analysis'!L38</f>
        <v>12797417</v>
      </c>
      <c r="H39" s="498">
        <f>+'Bank Liabilities Analysis'!M38-'Bank Liabilities Analysis'!N38</f>
        <v>0</v>
      </c>
      <c r="I39" s="498">
        <f>+'Bank Liabilities Analysis'!O38-'Bank Liabilities Analysis'!P38</f>
        <v>0</v>
      </c>
      <c r="J39" s="498">
        <f>+'Bank Liabilities Analysis'!Q38-'Bank Liabilities Analysis'!R38</f>
        <v>0</v>
      </c>
      <c r="K39" s="155">
        <f t="shared" si="1"/>
        <v>121395442</v>
      </c>
      <c r="L39" s="156"/>
      <c r="M39" s="157">
        <f>C39+D39+E39+((F39+G39+H39+I39+J39)*15%)</f>
        <v>100143669.75</v>
      </c>
      <c r="N39" s="20"/>
      <c r="O39" s="159"/>
      <c r="P39" s="159"/>
    </row>
    <row r="40" spans="1:16" s="160" customFormat="1" ht="25.5" customHeight="1">
      <c r="A40" s="336" t="s">
        <v>65</v>
      </c>
      <c r="B40" s="337" t="s">
        <v>254</v>
      </c>
      <c r="C40" s="498">
        <f>+'Bank Liabilities Analysis'!C39-'Bank Liabilities Analysis'!D39</f>
        <v>82880849</v>
      </c>
      <c r="D40" s="498">
        <f>+'Bank Liabilities Analysis'!E39-'Bank Liabilities Analysis'!F39</f>
        <v>0</v>
      </c>
      <c r="E40" s="498">
        <f>+'Bank Liabilities Analysis'!G39-'Bank Liabilities Analysis'!H39</f>
        <v>19400824</v>
      </c>
      <c r="F40" s="498">
        <f>+'Bank Liabilities Analysis'!I39-'Bank Liabilities Analysis'!J39</f>
        <v>38801647</v>
      </c>
      <c r="G40" s="498">
        <f>+'Bank Liabilities Analysis'!K39-'Bank Liabilities Analysis'!L39</f>
        <v>58202471</v>
      </c>
      <c r="H40" s="498">
        <f>+'Bank Liabilities Analysis'!M39-'Bank Liabilities Analysis'!N39</f>
        <v>97004118</v>
      </c>
      <c r="I40" s="498">
        <f>+'Bank Liabilities Analysis'!O39-'Bank Liabilities Analysis'!P39</f>
        <v>0</v>
      </c>
      <c r="J40" s="498">
        <f>+'Bank Liabilities Analysis'!Q39-'Bank Liabilities Analysis'!R39</f>
        <v>0</v>
      </c>
      <c r="K40" s="155">
        <f t="shared" si="1"/>
        <v>296289909</v>
      </c>
      <c r="L40" s="156">
        <v>1</v>
      </c>
      <c r="M40" s="157">
        <f>(C40+D40+E40)*L40</f>
        <v>102281673</v>
      </c>
      <c r="N40" s="20"/>
      <c r="O40" s="159"/>
      <c r="P40" s="159"/>
    </row>
    <row r="41" spans="1:16" s="159" customFormat="1" ht="25.5" customHeight="1">
      <c r="A41" s="338" t="s">
        <v>385</v>
      </c>
      <c r="B41" s="415" t="s">
        <v>426</v>
      </c>
      <c r="C41" s="161">
        <f>+C21+C30+C31+C32+C33+C34+C37+C38+C39+C40+C22+C24</f>
        <v>955198404</v>
      </c>
      <c r="D41" s="161">
        <f t="shared" ref="D41:K41" si="10">+D21+D30+D31+D32+D33+D34+D37+D38+D39+D40+D22+D24</f>
        <v>60038322</v>
      </c>
      <c r="E41" s="161">
        <f t="shared" si="10"/>
        <v>688624969</v>
      </c>
      <c r="F41" s="161">
        <f t="shared" si="10"/>
        <v>326791729</v>
      </c>
      <c r="G41" s="161">
        <f t="shared" si="10"/>
        <v>993912324</v>
      </c>
      <c r="H41" s="161">
        <f t="shared" si="10"/>
        <v>1783766835</v>
      </c>
      <c r="I41" s="161">
        <f t="shared" si="10"/>
        <v>2035318860</v>
      </c>
      <c r="J41" s="161">
        <f t="shared" si="10"/>
        <v>3842016769</v>
      </c>
      <c r="K41" s="161">
        <f t="shared" si="10"/>
        <v>10685668212</v>
      </c>
      <c r="L41" s="161" t="s">
        <v>17</v>
      </c>
      <c r="M41" s="161">
        <f>SUM(M8:M40)</f>
        <v>1234410229.6999998</v>
      </c>
      <c r="N41" s="236">
        <f>+Balance!D63</f>
        <v>10685668212</v>
      </c>
    </row>
    <row r="42" spans="1:16" s="177" customFormat="1" ht="15.75">
      <c r="A42" s="314"/>
      <c r="B42" s="340" t="s">
        <v>338</v>
      </c>
      <c r="C42" s="165"/>
      <c r="D42" s="165"/>
      <c r="E42" s="165"/>
      <c r="F42" s="165"/>
      <c r="G42" s="165"/>
      <c r="H42" s="165"/>
      <c r="I42" s="165"/>
      <c r="J42" s="165"/>
      <c r="K42" s="165">
        <f t="shared" ref="K42:K57" si="11">+C42+D42+E42+F42+G42+H42+I42+J42</f>
        <v>0</v>
      </c>
      <c r="L42" s="9"/>
      <c r="M42" s="9"/>
      <c r="N42" s="430">
        <f>+Balance!C64</f>
        <v>0</v>
      </c>
      <c r="O42" s="159"/>
      <c r="P42" s="159"/>
    </row>
    <row r="43" spans="1:16" s="177" customFormat="1" ht="15.75">
      <c r="A43" s="314"/>
      <c r="B43" s="342" t="s">
        <v>427</v>
      </c>
      <c r="C43" s="499">
        <f>+C44+C45</f>
        <v>0</v>
      </c>
      <c r="D43" s="499">
        <f t="shared" ref="D43:J43" si="12">+D44+D45</f>
        <v>510185.36397008545</v>
      </c>
      <c r="E43" s="499">
        <f t="shared" si="12"/>
        <v>4376800.2015996622</v>
      </c>
      <c r="F43" s="499">
        <f t="shared" si="12"/>
        <v>9514795.8166575897</v>
      </c>
      <c r="G43" s="499">
        <f t="shared" si="12"/>
        <v>11589896.987129718</v>
      </c>
      <c r="H43" s="499">
        <f t="shared" si="12"/>
        <v>12305925.948150037</v>
      </c>
      <c r="I43" s="499">
        <f t="shared" si="12"/>
        <v>18431918.400374211</v>
      </c>
      <c r="J43" s="499">
        <f t="shared" si="12"/>
        <v>812491788.53320849</v>
      </c>
      <c r="K43" s="165">
        <f t="shared" si="11"/>
        <v>869221311.25108981</v>
      </c>
      <c r="L43" s="165"/>
      <c r="M43" s="165"/>
      <c r="N43" s="341"/>
      <c r="O43" s="159"/>
      <c r="P43" s="159"/>
    </row>
    <row r="44" spans="1:16" s="177" customFormat="1" ht="15.75" customHeight="1">
      <c r="A44" s="314"/>
      <c r="B44" s="343" t="s">
        <v>428</v>
      </c>
      <c r="C44" s="499">
        <f>+'Bank Liabilities Analysis'!C43-'Bank Liabilities Analysis'!D43</f>
        <v>0</v>
      </c>
      <c r="D44" s="499">
        <f>+'Bank Liabilities Analysis'!E43-'Bank Liabilities Analysis'!F43</f>
        <v>510185.36397008545</v>
      </c>
      <c r="E44" s="499">
        <f>+'Bank Liabilities Analysis'!G43-'Bank Liabilities Analysis'!H43</f>
        <v>4376800.2015996622</v>
      </c>
      <c r="F44" s="499">
        <f>+'Bank Liabilities Analysis'!I43-'Bank Liabilities Analysis'!J43</f>
        <v>9514795.8166575897</v>
      </c>
      <c r="G44" s="499">
        <f>+'Bank Liabilities Analysis'!K43-'Bank Liabilities Analysis'!L43</f>
        <v>11589896.987129718</v>
      </c>
      <c r="H44" s="499">
        <f>+'Bank Liabilities Analysis'!M43-'Bank Liabilities Analysis'!N43</f>
        <v>12305925.948150037</v>
      </c>
      <c r="I44" s="499">
        <f>+'Bank Liabilities Analysis'!O43-'Bank Liabilities Analysis'!P43</f>
        <v>18431918.400374211</v>
      </c>
      <c r="J44" s="499">
        <f>+'Bank Liabilities Analysis'!Q43-'Bank Liabilities Analysis'!R43</f>
        <v>126490432.10228862</v>
      </c>
      <c r="K44" s="165">
        <f t="shared" si="11"/>
        <v>183219954.82016993</v>
      </c>
      <c r="L44" s="9"/>
      <c r="M44" s="9"/>
      <c r="N44" s="341"/>
      <c r="O44" s="159"/>
      <c r="P44" s="159"/>
    </row>
    <row r="45" spans="1:16" s="177" customFormat="1" ht="15.75" customHeight="1">
      <c r="A45" s="314"/>
      <c r="B45" s="343" t="s">
        <v>429</v>
      </c>
      <c r="C45" s="499">
        <f>+'Bank Liabilities Analysis'!C44-'Bank Liabilities Analysis'!D44</f>
        <v>0</v>
      </c>
      <c r="D45" s="499">
        <f>+'Bank Liabilities Analysis'!E44-'Bank Liabilities Analysis'!F44</f>
        <v>0</v>
      </c>
      <c r="E45" s="499">
        <f>+'Bank Liabilities Analysis'!G44-'Bank Liabilities Analysis'!H44</f>
        <v>0</v>
      </c>
      <c r="F45" s="499">
        <f>+'Bank Liabilities Analysis'!I44-'Bank Liabilities Analysis'!J44</f>
        <v>0</v>
      </c>
      <c r="G45" s="499">
        <f>+'Bank Liabilities Analysis'!K44-'Bank Liabilities Analysis'!L44</f>
        <v>0</v>
      </c>
      <c r="H45" s="499">
        <f>+'Bank Liabilities Analysis'!M44-'Bank Liabilities Analysis'!N44</f>
        <v>0</v>
      </c>
      <c r="I45" s="499">
        <f>+'Bank Liabilities Analysis'!O44-'Bank Liabilities Analysis'!P44</f>
        <v>0</v>
      </c>
      <c r="J45" s="499">
        <f>+'Bank Liabilities Analysis'!Q44-'Bank Liabilities Analysis'!R44</f>
        <v>686001356.43091989</v>
      </c>
      <c r="K45" s="165">
        <f t="shared" si="11"/>
        <v>686001356.43091989</v>
      </c>
      <c r="L45" s="9"/>
      <c r="M45" s="9"/>
      <c r="N45" s="341"/>
      <c r="O45" s="159"/>
      <c r="P45" s="159"/>
    </row>
    <row r="46" spans="1:16" s="177" customFormat="1" ht="15.75" customHeight="1">
      <c r="A46" s="314"/>
      <c r="B46" s="342" t="s">
        <v>499</v>
      </c>
      <c r="C46" s="499">
        <f>+C47+C48</f>
        <v>0</v>
      </c>
      <c r="D46" s="499">
        <f t="shared" ref="D46:J46" si="13">+D47+D48</f>
        <v>1220370.727940171</v>
      </c>
      <c r="E46" s="499">
        <f t="shared" si="13"/>
        <v>12720621.131869322</v>
      </c>
      <c r="F46" s="499">
        <f t="shared" si="13"/>
        <v>25700706.475045141</v>
      </c>
      <c r="G46" s="499">
        <f t="shared" si="13"/>
        <v>31815515.999192763</v>
      </c>
      <c r="H46" s="499">
        <f t="shared" si="13"/>
        <v>47092961.27493006</v>
      </c>
      <c r="I46" s="499">
        <f t="shared" si="13"/>
        <v>60792534.081077486</v>
      </c>
      <c r="J46" s="499">
        <f t="shared" si="13"/>
        <v>118787040.83713841</v>
      </c>
      <c r="K46" s="165">
        <f t="shared" si="11"/>
        <v>298129750.52719337</v>
      </c>
      <c r="L46" s="165"/>
      <c r="M46" s="165"/>
      <c r="N46" s="341"/>
      <c r="O46" s="159"/>
      <c r="P46" s="159"/>
    </row>
    <row r="47" spans="1:16" s="177" customFormat="1" ht="15.75" customHeight="1">
      <c r="A47" s="314"/>
      <c r="B47" s="343" t="s">
        <v>428</v>
      </c>
      <c r="C47" s="499">
        <f>+'Bank Liabilities Analysis'!C46-'Bank Liabilities Analysis'!D46</f>
        <v>0</v>
      </c>
      <c r="D47" s="499">
        <f>+'Bank Liabilities Analysis'!E46-'Bank Liabilities Analysis'!F46</f>
        <v>1020370.7279401709</v>
      </c>
      <c r="E47" s="499">
        <f>+'Bank Liabilities Analysis'!G46-'Bank Liabilities Analysis'!H46</f>
        <v>12720621.131869322</v>
      </c>
      <c r="F47" s="499">
        <f>+'Bank Liabilities Analysis'!I46-'Bank Liabilities Analysis'!J46</f>
        <v>25700706.475045141</v>
      </c>
      <c r="G47" s="499">
        <f>+'Bank Liabilities Analysis'!K46-'Bank Liabilities Analysis'!L46</f>
        <v>30315515.999192763</v>
      </c>
      <c r="H47" s="499">
        <f>+'Bank Liabilities Analysis'!M46-'Bank Liabilities Analysis'!N46</f>
        <v>47092961.27493006</v>
      </c>
      <c r="I47" s="499">
        <f>+'Bank Liabilities Analysis'!O46-'Bank Liabilities Analysis'!P46</f>
        <v>60792534.081077486</v>
      </c>
      <c r="J47" s="499">
        <f>+'Bank Liabilities Analysis'!Q46-'Bank Liabilities Analysis'!R46</f>
        <v>118787040.83713841</v>
      </c>
      <c r="K47" s="165">
        <f t="shared" si="11"/>
        <v>296429750.52719337</v>
      </c>
      <c r="L47" s="9"/>
      <c r="M47" s="9"/>
      <c r="N47" s="341"/>
      <c r="O47" s="159"/>
      <c r="P47" s="159"/>
    </row>
    <row r="48" spans="1:16" s="177" customFormat="1" ht="15.75" customHeight="1">
      <c r="A48" s="344"/>
      <c r="B48" s="343" t="s">
        <v>429</v>
      </c>
      <c r="C48" s="499">
        <f>+'Bank Liabilities Analysis'!C47-'Bank Liabilities Analysis'!D47</f>
        <v>0</v>
      </c>
      <c r="D48" s="499">
        <f>+'Bank Liabilities Analysis'!E47-'Bank Liabilities Analysis'!F47</f>
        <v>200000</v>
      </c>
      <c r="E48" s="499">
        <f>+'Bank Liabilities Analysis'!G47-'Bank Liabilities Analysis'!H47</f>
        <v>0</v>
      </c>
      <c r="F48" s="499">
        <f>+'Bank Liabilities Analysis'!I47-'Bank Liabilities Analysis'!J47</f>
        <v>0</v>
      </c>
      <c r="G48" s="499">
        <f>+'Bank Liabilities Analysis'!K47-'Bank Liabilities Analysis'!L47</f>
        <v>1500000</v>
      </c>
      <c r="H48" s="499">
        <f>+'Bank Liabilities Analysis'!M47-'Bank Liabilities Analysis'!N47</f>
        <v>0</v>
      </c>
      <c r="I48" s="499">
        <f>+'Bank Liabilities Analysis'!O47-'Bank Liabilities Analysis'!P47</f>
        <v>0</v>
      </c>
      <c r="J48" s="499">
        <f>+'Bank Liabilities Analysis'!Q47-'Bank Liabilities Analysis'!R47</f>
        <v>0</v>
      </c>
      <c r="K48" s="165">
        <f t="shared" si="11"/>
        <v>1700000</v>
      </c>
      <c r="L48" s="9"/>
      <c r="M48" s="9"/>
      <c r="N48" s="341"/>
      <c r="O48" s="159"/>
      <c r="P48" s="159"/>
    </row>
    <row r="49" spans="1:30" s="177" customFormat="1" ht="15.75">
      <c r="A49" s="344"/>
      <c r="B49" s="342" t="s">
        <v>430</v>
      </c>
      <c r="C49" s="499">
        <f>+C50+C51</f>
        <v>0</v>
      </c>
      <c r="D49" s="499">
        <f t="shared" ref="D49:J49" si="14">+D50+D51</f>
        <v>510185.36397008545</v>
      </c>
      <c r="E49" s="499">
        <f t="shared" si="14"/>
        <v>15054106.276800772</v>
      </c>
      <c r="F49" s="499">
        <f t="shared" si="14"/>
        <v>71675550.214025334</v>
      </c>
      <c r="G49" s="499">
        <f t="shared" si="14"/>
        <v>41814399.460887812</v>
      </c>
      <c r="H49" s="499">
        <f t="shared" si="14"/>
        <v>164715171.04522151</v>
      </c>
      <c r="I49" s="499">
        <f t="shared" si="14"/>
        <v>360321522.14912611</v>
      </c>
      <c r="J49" s="499">
        <f t="shared" si="14"/>
        <v>1865763147.2667975</v>
      </c>
      <c r="K49" s="165">
        <f t="shared" si="11"/>
        <v>2519854081.7768292</v>
      </c>
      <c r="L49" s="165"/>
      <c r="M49" s="165"/>
      <c r="N49" s="341"/>
      <c r="O49" s="159"/>
      <c r="P49" s="159"/>
    </row>
    <row r="50" spans="1:30" s="177" customFormat="1" ht="15.75" customHeight="1">
      <c r="A50" s="344"/>
      <c r="B50" s="343" t="s">
        <v>428</v>
      </c>
      <c r="C50" s="499">
        <f>+'Bank Liabilities Analysis'!C49-'Bank Liabilities Analysis'!D49</f>
        <v>0</v>
      </c>
      <c r="D50" s="499">
        <f>+'Bank Liabilities Analysis'!E49-'Bank Liabilities Analysis'!F49</f>
        <v>510185.36397008545</v>
      </c>
      <c r="E50" s="499">
        <f>+'Bank Liabilities Analysis'!G49-'Bank Liabilities Analysis'!H49</f>
        <v>15054106.276800772</v>
      </c>
      <c r="F50" s="499">
        <f>+'Bank Liabilities Analysis'!I49-'Bank Liabilities Analysis'!J49</f>
        <v>71675550.214025334</v>
      </c>
      <c r="G50" s="499">
        <f>+'Bank Liabilities Analysis'!K49-'Bank Liabilities Analysis'!L49</f>
        <v>41814399.460887812</v>
      </c>
      <c r="H50" s="499">
        <f>+'Bank Liabilities Analysis'!M49-'Bank Liabilities Analysis'!N49</f>
        <v>164715171.04522151</v>
      </c>
      <c r="I50" s="499">
        <f>+'Bank Liabilities Analysis'!O49-'Bank Liabilities Analysis'!P49</f>
        <v>360321522.14912611</v>
      </c>
      <c r="J50" s="499">
        <f>+'Bank Liabilities Analysis'!Q49-'Bank Liabilities Analysis'!R49</f>
        <v>1865763147.2667975</v>
      </c>
      <c r="K50" s="165">
        <f t="shared" si="11"/>
        <v>2519854081.7768292</v>
      </c>
      <c r="L50" s="9"/>
      <c r="M50" s="9"/>
      <c r="N50" s="341"/>
      <c r="O50" s="159"/>
      <c r="P50" s="159"/>
    </row>
    <row r="51" spans="1:30" s="177" customFormat="1" ht="15.75" customHeight="1">
      <c r="A51" s="344"/>
      <c r="B51" s="343" t="s">
        <v>429</v>
      </c>
      <c r="C51" s="499">
        <f>+'Bank Liabilities Analysis'!C50-'Bank Liabilities Analysis'!D50</f>
        <v>0</v>
      </c>
      <c r="D51" s="499">
        <f>+'Bank Liabilities Analysis'!E50-'Bank Liabilities Analysis'!F50</f>
        <v>0</v>
      </c>
      <c r="E51" s="499">
        <f>+'Bank Liabilities Analysis'!G50-'Bank Liabilities Analysis'!H50</f>
        <v>0</v>
      </c>
      <c r="F51" s="499">
        <f>+'Bank Liabilities Analysis'!I50-'Bank Liabilities Analysis'!J50</f>
        <v>0</v>
      </c>
      <c r="G51" s="499">
        <f>+'Bank Liabilities Analysis'!K50-'Bank Liabilities Analysis'!L50</f>
        <v>0</v>
      </c>
      <c r="H51" s="499">
        <f>+'Bank Liabilities Analysis'!M50-'Bank Liabilities Analysis'!N50</f>
        <v>0</v>
      </c>
      <c r="I51" s="499">
        <f>+'Bank Liabilities Analysis'!O50-'Bank Liabilities Analysis'!P50</f>
        <v>0</v>
      </c>
      <c r="J51" s="499">
        <f>+'Bank Liabilities Analysis'!Q50-'Bank Liabilities Analysis'!R50</f>
        <v>0</v>
      </c>
      <c r="K51" s="165">
        <f t="shared" si="11"/>
        <v>0</v>
      </c>
      <c r="L51" s="9"/>
      <c r="M51" s="9"/>
      <c r="N51" s="341"/>
      <c r="O51" s="159"/>
      <c r="P51" s="159"/>
    </row>
    <row r="52" spans="1:30" s="177" customFormat="1" ht="15.75" customHeight="1">
      <c r="A52" s="344"/>
      <c r="B52" s="342" t="s">
        <v>431</v>
      </c>
      <c r="C52" s="499">
        <f>+C53+C54</f>
        <v>0</v>
      </c>
      <c r="D52" s="499">
        <f t="shared" ref="D52:J52" si="15">+D53+D54</f>
        <v>510185.36397008545</v>
      </c>
      <c r="E52" s="499">
        <f t="shared" si="15"/>
        <v>3285993.8412963282</v>
      </c>
      <c r="F52" s="499">
        <f t="shared" si="15"/>
        <v>7413053.1222109236</v>
      </c>
      <c r="G52" s="499">
        <f t="shared" si="15"/>
        <v>9446825.3835230507</v>
      </c>
      <c r="H52" s="499">
        <f t="shared" si="15"/>
        <v>4446512.5735733509</v>
      </c>
      <c r="I52" s="499">
        <f t="shared" si="15"/>
        <v>3101440.0751675516</v>
      </c>
      <c r="J52" s="499">
        <f t="shared" si="15"/>
        <v>999824.99052870274</v>
      </c>
      <c r="K52" s="165">
        <f t="shared" si="11"/>
        <v>29203835.350269996</v>
      </c>
      <c r="L52" s="165"/>
      <c r="M52" s="165"/>
      <c r="N52" s="341"/>
      <c r="O52" s="159"/>
      <c r="P52" s="159"/>
    </row>
    <row r="53" spans="1:30" s="177" customFormat="1" ht="15.75" customHeight="1">
      <c r="A53" s="344"/>
      <c r="B53" s="343" t="s">
        <v>428</v>
      </c>
      <c r="C53" s="499">
        <f>+'Bank Liabilities Analysis'!C52-'Bank Liabilities Analysis'!D52</f>
        <v>0</v>
      </c>
      <c r="D53" s="499">
        <f>+'Bank Liabilities Analysis'!E52-'Bank Liabilities Analysis'!F52</f>
        <v>510185.36397008545</v>
      </c>
      <c r="E53" s="499">
        <f>+'Bank Liabilities Analysis'!G52-'Bank Liabilities Analysis'!H52</f>
        <v>3285993.8412963282</v>
      </c>
      <c r="F53" s="499">
        <f>+'Bank Liabilities Analysis'!I52-'Bank Liabilities Analysis'!J52</f>
        <v>7413053.1222109236</v>
      </c>
      <c r="G53" s="499">
        <f>+'Bank Liabilities Analysis'!K52-'Bank Liabilities Analysis'!L52</f>
        <v>9446825.3835230507</v>
      </c>
      <c r="H53" s="499">
        <f>+'Bank Liabilities Analysis'!M52-'Bank Liabilities Analysis'!N52</f>
        <v>4446512.5735733509</v>
      </c>
      <c r="I53" s="499">
        <f>+'Bank Liabilities Analysis'!O52-'Bank Liabilities Analysis'!P52</f>
        <v>3101440.0751675516</v>
      </c>
      <c r="J53" s="499">
        <f>+'Bank Liabilities Analysis'!Q52-'Bank Liabilities Analysis'!R52</f>
        <v>999824.99052870274</v>
      </c>
      <c r="K53" s="165">
        <f t="shared" si="11"/>
        <v>29203835.350269996</v>
      </c>
      <c r="L53" s="9"/>
      <c r="M53" s="9"/>
      <c r="N53" s="341"/>
      <c r="O53" s="159"/>
      <c r="P53" s="159"/>
    </row>
    <row r="54" spans="1:30" s="177" customFormat="1" ht="15.75" customHeight="1">
      <c r="A54" s="344"/>
      <c r="B54" s="343" t="s">
        <v>429</v>
      </c>
      <c r="C54" s="499">
        <f>+'Bank Liabilities Analysis'!C53-'Bank Liabilities Analysis'!D53</f>
        <v>0</v>
      </c>
      <c r="D54" s="499">
        <f>+'Bank Liabilities Analysis'!E53-'Bank Liabilities Analysis'!F53</f>
        <v>0</v>
      </c>
      <c r="E54" s="499">
        <f>+'Bank Liabilities Analysis'!G53-'Bank Liabilities Analysis'!H53</f>
        <v>0</v>
      </c>
      <c r="F54" s="499">
        <f>+'Bank Liabilities Analysis'!I53-'Bank Liabilities Analysis'!J53</f>
        <v>0</v>
      </c>
      <c r="G54" s="499">
        <f>+'Bank Liabilities Analysis'!K53-'Bank Liabilities Analysis'!L53</f>
        <v>0</v>
      </c>
      <c r="H54" s="499">
        <f>+'Bank Liabilities Analysis'!M53-'Bank Liabilities Analysis'!N53</f>
        <v>0</v>
      </c>
      <c r="I54" s="499">
        <f>+'Bank Liabilities Analysis'!O53-'Bank Liabilities Analysis'!P53</f>
        <v>0</v>
      </c>
      <c r="J54" s="499">
        <f>+'Bank Liabilities Analysis'!Q53-'Bank Liabilities Analysis'!R53</f>
        <v>0</v>
      </c>
      <c r="K54" s="165">
        <f t="shared" si="11"/>
        <v>0</v>
      </c>
      <c r="L54" s="9"/>
      <c r="M54" s="9"/>
      <c r="N54" s="341"/>
      <c r="O54" s="159"/>
      <c r="P54" s="159"/>
    </row>
    <row r="55" spans="1:30" s="177" customFormat="1" ht="15.75" customHeight="1">
      <c r="A55" s="344"/>
      <c r="B55" s="342" t="s">
        <v>432</v>
      </c>
      <c r="C55" s="499">
        <f>+C56+C57</f>
        <v>2308034.352</v>
      </c>
      <c r="D55" s="499">
        <f t="shared" ref="D55:J55" si="16">+D56+D57</f>
        <v>33134823.990723655</v>
      </c>
      <c r="E55" s="499">
        <f t="shared" si="16"/>
        <v>4335698.1744863261</v>
      </c>
      <c r="F55" s="499">
        <f t="shared" si="16"/>
        <v>7679128.4555509239</v>
      </c>
      <c r="G55" s="499">
        <f t="shared" si="16"/>
        <v>10444786.550203055</v>
      </c>
      <c r="H55" s="499">
        <f t="shared" si="16"/>
        <v>38734300.700356603</v>
      </c>
      <c r="I55" s="499">
        <f t="shared" si="16"/>
        <v>80572207.662064761</v>
      </c>
      <c r="J55" s="499">
        <f t="shared" si="16"/>
        <v>586231174.06002522</v>
      </c>
      <c r="K55" s="165">
        <f t="shared" si="11"/>
        <v>763440153.94541049</v>
      </c>
      <c r="L55" s="165"/>
      <c r="M55" s="165"/>
      <c r="N55" s="341"/>
      <c r="O55" s="159"/>
      <c r="P55" s="159"/>
    </row>
    <row r="56" spans="1:30" s="177" customFormat="1" ht="15.75" customHeight="1">
      <c r="A56" s="344"/>
      <c r="B56" s="343" t="s">
        <v>428</v>
      </c>
      <c r="C56" s="499">
        <f>+'Bank Liabilities Analysis'!C55-'Bank Liabilities Analysis'!D55</f>
        <v>2308034.352</v>
      </c>
      <c r="D56" s="499">
        <f>+'Bank Liabilities Analysis'!E55-'Bank Liabilities Analysis'!F55</f>
        <v>33134823.990723655</v>
      </c>
      <c r="E56" s="499">
        <f>+'Bank Liabilities Analysis'!G55-'Bank Liabilities Analysis'!H55</f>
        <v>4335698.1744863261</v>
      </c>
      <c r="F56" s="499">
        <f>+'Bank Liabilities Analysis'!I55-'Bank Liabilities Analysis'!J55</f>
        <v>7679128.4555509239</v>
      </c>
      <c r="G56" s="499">
        <f>+'Bank Liabilities Analysis'!K55-'Bank Liabilities Analysis'!L55</f>
        <v>10444786.550203055</v>
      </c>
      <c r="H56" s="499">
        <f>+'Bank Liabilities Analysis'!M55-'Bank Liabilities Analysis'!N55</f>
        <v>38734300.700356603</v>
      </c>
      <c r="I56" s="499">
        <f>+'Bank Liabilities Analysis'!O55-'Bank Liabilities Analysis'!P55</f>
        <v>80572207.662064761</v>
      </c>
      <c r="J56" s="499">
        <f>+'Bank Liabilities Analysis'!Q55-'Bank Liabilities Analysis'!R55</f>
        <v>586231174.06002522</v>
      </c>
      <c r="K56" s="165">
        <f t="shared" si="11"/>
        <v>763440153.94541049</v>
      </c>
      <c r="L56" s="9"/>
      <c r="M56" s="9"/>
      <c r="N56" s="341"/>
      <c r="O56" s="159"/>
      <c r="P56" s="159"/>
    </row>
    <row r="57" spans="1:30" s="177" customFormat="1" ht="15.75" customHeight="1">
      <c r="A57" s="344"/>
      <c r="B57" s="343" t="s">
        <v>429</v>
      </c>
      <c r="C57" s="499">
        <f>+'Bank Liabilities Analysis'!C56-'Bank Liabilities Analysis'!D56</f>
        <v>0</v>
      </c>
      <c r="D57" s="499">
        <f>+'Bank Liabilities Analysis'!E56-'Bank Liabilities Analysis'!F56</f>
        <v>0</v>
      </c>
      <c r="E57" s="499">
        <f>+'Bank Liabilities Analysis'!G56-'Bank Liabilities Analysis'!H56</f>
        <v>0</v>
      </c>
      <c r="F57" s="499">
        <f>+'Bank Liabilities Analysis'!I56-'Bank Liabilities Analysis'!J56</f>
        <v>0</v>
      </c>
      <c r="G57" s="499">
        <f>+'Bank Liabilities Analysis'!K56-'Bank Liabilities Analysis'!L56</f>
        <v>0</v>
      </c>
      <c r="H57" s="499">
        <f>+'Bank Liabilities Analysis'!M56-'Bank Liabilities Analysis'!N56</f>
        <v>0</v>
      </c>
      <c r="I57" s="499">
        <f>+'Bank Liabilities Analysis'!O56-'Bank Liabilities Analysis'!P56</f>
        <v>0</v>
      </c>
      <c r="J57" s="499">
        <f>+'Bank Liabilities Analysis'!Q56-'Bank Liabilities Analysis'!R56</f>
        <v>0</v>
      </c>
      <c r="K57" s="165">
        <f t="shared" si="11"/>
        <v>0</v>
      </c>
      <c r="L57" s="9"/>
      <c r="M57" s="9"/>
      <c r="N57" s="341"/>
      <c r="O57" s="159"/>
      <c r="P57" s="159"/>
    </row>
    <row r="58" spans="1:30" ht="15.75">
      <c r="N58" s="341"/>
      <c r="O58" s="159"/>
      <c r="P58" s="159"/>
    </row>
    <row r="59" spans="1:30" s="26" customFormat="1" ht="15" customHeight="1">
      <c r="A59" s="25"/>
      <c r="B59" s="256" t="s">
        <v>540</v>
      </c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1.25" customHeight="1">
      <c r="A60" s="25"/>
      <c r="B60" s="256"/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26" customFormat="1" ht="15" customHeight="1">
      <c r="A61" s="25"/>
      <c r="B61" s="256" t="s">
        <v>539</v>
      </c>
      <c r="C61" s="25"/>
      <c r="D61" s="25"/>
      <c r="E61" s="25"/>
      <c r="F61" s="183"/>
      <c r="G61" s="183"/>
      <c r="H61" s="183"/>
      <c r="I61" s="183"/>
      <c r="J61" s="183"/>
      <c r="K61" s="183"/>
      <c r="L61" s="183"/>
      <c r="M61" s="183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3:M57">
    <cfRule type="cellIs" dxfId="22" priority="3" operator="greaterThan">
      <formula>#REF!</formula>
    </cfRule>
  </conditionalFormatting>
  <conditionalFormatting sqref="C8:J40 C43:J56">
    <cfRule type="cellIs" dxfId="21" priority="1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>
      <formula1>0</formula1>
    </dataValidation>
    <dataValidation type="whole" operator="notEqual" allowBlank="1" showErrorMessage="1" error="Введите как целое число." sqref="C9:J13 C42:J57 C16:J20 C22:J40">
      <formula1>-1E+28</formula1>
    </dataValidation>
    <dataValidation type="date" operator="greaterThan" allowBlank="1" showInputMessage="1" showErrorMessage="1" prompt="Введите дату в формате ЧЧ.ММ.ГГГГ" sqref="K3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D35"/>
  <sheetViews>
    <sheetView view="pageBreakPreview" zoomScale="75" zoomScaleNormal="75" zoomScaleSheetLayoutView="75" workbookViewId="0">
      <pane xSplit="2" ySplit="3" topLeftCell="C4" activePane="bottomRight" state="frozen"/>
      <selection activeCell="G38" sqref="G38"/>
      <selection pane="topRight" activeCell="G38" sqref="G38"/>
      <selection pane="bottomLeft" activeCell="G38" sqref="G38"/>
      <selection pane="bottomRight" activeCell="G8" sqref="G8"/>
    </sheetView>
  </sheetViews>
  <sheetFormatPr defaultRowHeight="12.75"/>
  <cols>
    <col min="1" max="1" width="5.85546875" style="17" customWidth="1"/>
    <col min="2" max="2" width="88.28515625" style="26" customWidth="1"/>
    <col min="3" max="4" width="17.7109375" style="26" customWidth="1"/>
    <col min="5" max="5" width="18.5703125" style="26" customWidth="1"/>
    <col min="6" max="8" width="20.42578125" style="26" customWidth="1"/>
    <col min="9" max="9" width="9.140625" style="26"/>
    <col min="10" max="10" width="11" style="26" bestFit="1" customWidth="1"/>
    <col min="11" max="16384" width="9.140625" style="26"/>
  </cols>
  <sheetData>
    <row r="1" spans="1:8" s="260" customFormat="1" ht="32.25" customHeight="1">
      <c r="A1" s="543" t="s">
        <v>500</v>
      </c>
      <c r="B1" s="543"/>
      <c r="C1" s="543"/>
      <c r="D1" s="543"/>
      <c r="E1" s="246" t="s">
        <v>434</v>
      </c>
    </row>
    <row r="2" spans="1:8" ht="15.75">
      <c r="A2" s="246"/>
      <c r="B2" s="16" t="str">
        <f>Balance!B3</f>
        <v>"MKBANK"</v>
      </c>
      <c r="C2" s="439">
        <f>+Balance!D3</f>
        <v>45289</v>
      </c>
      <c r="E2" s="438" t="str">
        <f>+Balance!E3</f>
        <v>минг сўмда</v>
      </c>
    </row>
    <row r="3" spans="1:8" s="260" customFormat="1" ht="53.25" customHeight="1">
      <c r="A3" s="327" t="s">
        <v>54</v>
      </c>
      <c r="B3" s="327" t="s">
        <v>336</v>
      </c>
      <c r="C3" s="327" t="s">
        <v>176</v>
      </c>
      <c r="D3" s="327" t="s">
        <v>349</v>
      </c>
      <c r="E3" s="327" t="s">
        <v>350</v>
      </c>
    </row>
    <row r="4" spans="1:8" s="260" customFormat="1" ht="22.5" customHeight="1">
      <c r="A4" s="328" t="s">
        <v>118</v>
      </c>
      <c r="B4" s="329" t="s">
        <v>435</v>
      </c>
      <c r="C4" s="189">
        <f>+D4+E4</f>
        <v>307596302</v>
      </c>
      <c r="D4" s="116">
        <v>232168310</v>
      </c>
      <c r="E4" s="19">
        <v>75427992</v>
      </c>
      <c r="F4" s="500">
        <f>+'Bank Assets Analysis'!S46</f>
        <v>307596302</v>
      </c>
      <c r="G4" s="500">
        <f>+'Bank Assets Analysis'!T46</f>
        <v>232168310</v>
      </c>
      <c r="H4" s="500">
        <f>+'Bank Assets Analysis'!U46</f>
        <v>75427992</v>
      </c>
    </row>
    <row r="5" spans="1:8" s="243" customFormat="1" ht="22.5" customHeight="1">
      <c r="A5" s="330" t="s">
        <v>161</v>
      </c>
      <c r="B5" s="373" t="s">
        <v>436</v>
      </c>
      <c r="C5" s="189">
        <f>+D5+E5</f>
        <v>0</v>
      </c>
      <c r="D5" s="190"/>
      <c r="E5" s="190"/>
      <c r="F5" s="500">
        <f>+'Bank Assets Analysis'!S47</f>
        <v>0</v>
      </c>
      <c r="G5" s="500">
        <f>+'Bank Assets Analysis'!T47</f>
        <v>0</v>
      </c>
      <c r="H5" s="500">
        <f>+'Bank Assets Analysis'!U47</f>
        <v>0</v>
      </c>
    </row>
    <row r="6" spans="1:8" s="243" customFormat="1" ht="5.25" customHeight="1">
      <c r="A6" s="23"/>
      <c r="B6" s="191"/>
      <c r="C6" s="165"/>
      <c r="D6" s="165"/>
      <c r="E6" s="165"/>
      <c r="F6" s="501"/>
      <c r="G6" s="501"/>
      <c r="H6" s="501"/>
    </row>
    <row r="7" spans="1:8" s="243" customFormat="1" ht="22.5" customHeight="1">
      <c r="A7" s="332" t="s">
        <v>119</v>
      </c>
      <c r="B7" s="331" t="s">
        <v>437</v>
      </c>
      <c r="C7" s="189">
        <f>+D7+E7</f>
        <v>522511709</v>
      </c>
      <c r="D7" s="116">
        <v>28863371</v>
      </c>
      <c r="E7" s="116">
        <v>493648338</v>
      </c>
      <c r="F7" s="500">
        <f>+'Bank Assets Analysis'!S48</f>
        <v>522511709</v>
      </c>
      <c r="G7" s="500">
        <f>+'Bank Assets Analysis'!T48</f>
        <v>28863371</v>
      </c>
      <c r="H7" s="500">
        <f>+'Bank Assets Analysis'!U48</f>
        <v>493648338</v>
      </c>
    </row>
    <row r="8" spans="1:8" s="243" customFormat="1" ht="22.5" customHeight="1">
      <c r="A8" s="330" t="s">
        <v>150</v>
      </c>
      <c r="B8" s="373" t="s">
        <v>438</v>
      </c>
      <c r="C8" s="189">
        <f>+D8+E8</f>
        <v>0</v>
      </c>
      <c r="D8" s="116"/>
      <c r="E8" s="116"/>
      <c r="F8" s="500">
        <f>+'Bank Assets Analysis'!S49</f>
        <v>0</v>
      </c>
      <c r="G8" s="500">
        <f>+'Bank Assets Analysis'!T49</f>
        <v>0</v>
      </c>
      <c r="H8" s="500">
        <f>+'Bank Assets Analysis'!U49</f>
        <v>0</v>
      </c>
    </row>
    <row r="9" spans="1:8" s="260" customFormat="1" ht="5.25" customHeight="1">
      <c r="A9" s="13"/>
      <c r="B9" s="12"/>
      <c r="C9" s="165"/>
      <c r="D9" s="172"/>
      <c r="E9" s="172"/>
    </row>
    <row r="10" spans="1:8" s="260" customFormat="1" ht="29.25" customHeight="1">
      <c r="A10" s="380" t="s">
        <v>129</v>
      </c>
      <c r="B10" s="329" t="s">
        <v>439</v>
      </c>
      <c r="C10" s="189">
        <f>+D10+E10</f>
        <v>6246822</v>
      </c>
      <c r="D10" s="18">
        <f>SUM(D11:D14)</f>
        <v>0</v>
      </c>
      <c r="E10" s="18">
        <f>SUM(E11:E14)</f>
        <v>6246822</v>
      </c>
    </row>
    <row r="11" spans="1:8" s="243" customFormat="1" ht="22.5" customHeight="1">
      <c r="A11" s="330" t="s">
        <v>131</v>
      </c>
      <c r="B11" s="334" t="s">
        <v>501</v>
      </c>
      <c r="C11" s="165">
        <f>+D11+E11</f>
        <v>1591319</v>
      </c>
      <c r="D11" s="245">
        <v>0</v>
      </c>
      <c r="E11" s="245">
        <v>1591319</v>
      </c>
    </row>
    <row r="12" spans="1:8" s="260" customFormat="1" ht="30.75" customHeight="1">
      <c r="A12" s="333" t="s">
        <v>132</v>
      </c>
      <c r="B12" s="334" t="s">
        <v>440</v>
      </c>
      <c r="C12" s="165">
        <f>+D12+E12</f>
        <v>0</v>
      </c>
      <c r="D12" s="245"/>
      <c r="E12" s="245"/>
    </row>
    <row r="13" spans="1:8" s="260" customFormat="1" ht="30.75" customHeight="1">
      <c r="A13" s="333" t="s">
        <v>133</v>
      </c>
      <c r="B13" s="334" t="s">
        <v>441</v>
      </c>
      <c r="C13" s="165">
        <f>+D13+E13</f>
        <v>0</v>
      </c>
      <c r="D13" s="245"/>
      <c r="E13" s="245"/>
    </row>
    <row r="14" spans="1:8" s="260" customFormat="1" ht="25.5" customHeight="1">
      <c r="A14" s="333" t="s">
        <v>134</v>
      </c>
      <c r="B14" s="334" t="s">
        <v>442</v>
      </c>
      <c r="C14" s="165">
        <f>+D14+E14</f>
        <v>4655503</v>
      </c>
      <c r="D14" s="10">
        <v>0</v>
      </c>
      <c r="E14" s="10">
        <v>4655503</v>
      </c>
    </row>
    <row r="15" spans="1:8" s="260" customFormat="1" ht="5.25" customHeight="1">
      <c r="A15" s="13"/>
      <c r="B15" s="12"/>
      <c r="C15" s="165"/>
      <c r="D15" s="172"/>
      <c r="E15" s="172"/>
    </row>
    <row r="16" spans="1:8" s="260" customFormat="1" ht="22.5" customHeight="1">
      <c r="A16" s="380" t="s">
        <v>120</v>
      </c>
      <c r="B16" s="329" t="s">
        <v>443</v>
      </c>
      <c r="C16" s="98">
        <f>+D16+E16</f>
        <v>250530</v>
      </c>
      <c r="D16" s="19">
        <v>250530</v>
      </c>
      <c r="E16" s="19">
        <v>0</v>
      </c>
    </row>
    <row r="17" spans="1:30" s="260" customFormat="1" ht="5.25" customHeight="1">
      <c r="A17" s="13"/>
      <c r="B17" s="12"/>
      <c r="C17" s="165"/>
      <c r="D17" s="172"/>
      <c r="E17" s="172"/>
    </row>
    <row r="18" spans="1:30" s="260" customFormat="1" ht="22.5" customHeight="1">
      <c r="A18" s="380" t="s">
        <v>127</v>
      </c>
      <c r="B18" s="329" t="s">
        <v>528</v>
      </c>
      <c r="C18" s="98">
        <f t="shared" ref="C18:C24" si="0">+D18+E18</f>
        <v>155786912</v>
      </c>
      <c r="D18" s="18">
        <f>SUM(D19:D24)</f>
        <v>29727276</v>
      </c>
      <c r="E18" s="18">
        <f>SUM(E19:E24)</f>
        <v>126059636</v>
      </c>
    </row>
    <row r="19" spans="1:30" s="260" customFormat="1" ht="22.5" customHeight="1">
      <c r="A19" s="335" t="s">
        <v>135</v>
      </c>
      <c r="B19" s="334" t="s">
        <v>488</v>
      </c>
      <c r="C19" s="165">
        <f t="shared" si="0"/>
        <v>123387700</v>
      </c>
      <c r="D19" s="10">
        <v>0</v>
      </c>
      <c r="E19" s="10">
        <v>123387700</v>
      </c>
    </row>
    <row r="20" spans="1:30" s="260" customFormat="1" ht="22.5" customHeight="1">
      <c r="A20" s="335" t="s">
        <v>136</v>
      </c>
      <c r="B20" s="334" t="s">
        <v>444</v>
      </c>
      <c r="C20" s="165">
        <f t="shared" si="0"/>
        <v>0</v>
      </c>
      <c r="D20" s="10"/>
      <c r="E20" s="10"/>
    </row>
    <row r="21" spans="1:30" s="260" customFormat="1" ht="22.5" customHeight="1">
      <c r="A21" s="335" t="s">
        <v>137</v>
      </c>
      <c r="B21" s="334" t="s">
        <v>445</v>
      </c>
      <c r="C21" s="165">
        <f t="shared" si="0"/>
        <v>0</v>
      </c>
      <c r="D21" s="10"/>
      <c r="E21" s="10"/>
    </row>
    <row r="22" spans="1:30" s="260" customFormat="1" ht="22.5" customHeight="1">
      <c r="A22" s="335" t="s">
        <v>138</v>
      </c>
      <c r="B22" s="334" t="s">
        <v>446</v>
      </c>
      <c r="C22" s="165">
        <f t="shared" si="0"/>
        <v>0</v>
      </c>
      <c r="D22" s="245"/>
      <c r="E22" s="245"/>
    </row>
    <row r="23" spans="1:30" s="260" customFormat="1" ht="29.25" customHeight="1">
      <c r="A23" s="335" t="s">
        <v>139</v>
      </c>
      <c r="B23" s="334" t="s">
        <v>447</v>
      </c>
      <c r="C23" s="172">
        <f t="shared" si="0"/>
        <v>0</v>
      </c>
      <c r="D23" s="10"/>
      <c r="E23" s="10"/>
    </row>
    <row r="24" spans="1:30" s="260" customFormat="1" ht="22.5" customHeight="1">
      <c r="A24" s="335" t="s">
        <v>477</v>
      </c>
      <c r="B24" s="374" t="s">
        <v>502</v>
      </c>
      <c r="C24" s="172">
        <f t="shared" si="0"/>
        <v>32399212</v>
      </c>
      <c r="D24" s="10">
        <v>29727276</v>
      </c>
      <c r="E24" s="10">
        <v>2671936</v>
      </c>
      <c r="J24" s="425"/>
    </row>
    <row r="25" spans="1:30" s="260" customFormat="1" ht="6" customHeight="1">
      <c r="A25" s="333"/>
      <c r="B25" s="416"/>
      <c r="C25" s="172"/>
      <c r="D25" s="172"/>
      <c r="E25" s="172"/>
    </row>
    <row r="26" spans="1:30" s="260" customFormat="1" ht="22.5" customHeight="1">
      <c r="A26" s="380" t="s">
        <v>130</v>
      </c>
      <c r="B26" s="329" t="s">
        <v>489</v>
      </c>
      <c r="C26" s="18">
        <f>+C4+C7+C10+C16+C18</f>
        <v>992392275</v>
      </c>
      <c r="D26" s="18">
        <f>+D4+D7+D10+D16+D18</f>
        <v>291009487</v>
      </c>
      <c r="E26" s="18">
        <f>+E4+E7+E10+E16+E18</f>
        <v>701382788</v>
      </c>
    </row>
    <row r="27" spans="1:30">
      <c r="A27" s="14"/>
      <c r="B27" s="15"/>
      <c r="C27" s="25"/>
      <c r="D27" s="25"/>
      <c r="E27" s="25"/>
    </row>
    <row r="28" spans="1:30" ht="15" customHeight="1">
      <c r="A28" s="25"/>
      <c r="B28" s="256" t="s">
        <v>540</v>
      </c>
      <c r="C28" s="25"/>
      <c r="D28" s="25"/>
      <c r="E28" s="25"/>
      <c r="F28" s="183"/>
      <c r="G28" s="183"/>
      <c r="H28" s="183"/>
      <c r="I28" s="183"/>
      <c r="J28" s="183"/>
      <c r="K28" s="183"/>
      <c r="L28" s="183"/>
      <c r="M28" s="183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1.25" customHeight="1">
      <c r="A29" s="25"/>
      <c r="B29" s="256"/>
      <c r="C29" s="25"/>
      <c r="D29" s="25"/>
      <c r="E29" s="25"/>
      <c r="F29" s="183"/>
      <c r="G29" s="183"/>
      <c r="H29" s="183"/>
      <c r="I29" s="183"/>
      <c r="J29" s="183"/>
      <c r="K29" s="183"/>
      <c r="L29" s="183"/>
      <c r="M29" s="183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" customHeight="1">
      <c r="A30" s="25"/>
      <c r="B30" s="256" t="s">
        <v>539</v>
      </c>
      <c r="C30" s="25"/>
      <c r="D30" s="25"/>
      <c r="E30" s="25"/>
      <c r="F30" s="183"/>
      <c r="G30" s="183"/>
      <c r="H30" s="183"/>
      <c r="I30" s="183"/>
      <c r="J30" s="183"/>
      <c r="K30" s="183"/>
      <c r="L30" s="183"/>
      <c r="M30" s="183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>
      <c r="A31" s="16"/>
      <c r="B31" s="256"/>
      <c r="C31" s="25"/>
      <c r="D31" s="25"/>
      <c r="E31" s="25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20" priority="11" operator="notEqual">
      <formula>$F$7</formula>
    </cfRule>
    <cfRule type="cellIs" dxfId="19" priority="29" operator="notEqual">
      <formula>$D$7+$E$7</formula>
    </cfRule>
  </conditionalFormatting>
  <conditionalFormatting sqref="C10">
    <cfRule type="cellIs" dxfId="18" priority="27" operator="notEqual">
      <formula>$D$10+$E$10</formula>
    </cfRule>
  </conditionalFormatting>
  <conditionalFormatting sqref="D10">
    <cfRule type="cellIs" dxfId="17" priority="23" operator="notEqual">
      <formula>$D$11+$D$12+$D$13+$D$14</formula>
    </cfRule>
  </conditionalFormatting>
  <conditionalFormatting sqref="E10">
    <cfRule type="cellIs" dxfId="16" priority="22" operator="notEqual">
      <formula>$E$11+$E$12+$E$13+$E$14</formula>
    </cfRule>
  </conditionalFormatting>
  <conditionalFormatting sqref="C4">
    <cfRule type="cellIs" dxfId="15" priority="18" operator="notEqual">
      <formula>$F$4</formula>
    </cfRule>
  </conditionalFormatting>
  <conditionalFormatting sqref="D4">
    <cfRule type="cellIs" dxfId="14" priority="17" operator="notEqual">
      <formula>$G$4</formula>
    </cfRule>
  </conditionalFormatting>
  <conditionalFormatting sqref="C5">
    <cfRule type="cellIs" priority="14" operator="notEqual">
      <formula>$F$5</formula>
    </cfRule>
  </conditionalFormatting>
  <conditionalFormatting sqref="D5">
    <cfRule type="cellIs" dxfId="13" priority="13" operator="notEqual">
      <formula>$G$5</formula>
    </cfRule>
  </conditionalFormatting>
  <conditionalFormatting sqref="E5">
    <cfRule type="cellIs" dxfId="12" priority="12" operator="notEqual">
      <formula>$H$5</formula>
    </cfRule>
  </conditionalFormatting>
  <conditionalFormatting sqref="D7">
    <cfRule type="cellIs" dxfId="11" priority="7" operator="notEqual">
      <formula>$G$7</formula>
    </cfRule>
    <cfRule type="cellIs" dxfId="10" priority="10" operator="notEqual">
      <formula>$G$7</formula>
    </cfRule>
  </conditionalFormatting>
  <conditionalFormatting sqref="E8">
    <cfRule type="cellIs" dxfId="9" priority="6" operator="notEqual">
      <formula>$H$8</formula>
    </cfRule>
  </conditionalFormatting>
  <conditionalFormatting sqref="E7">
    <cfRule type="cellIs" dxfId="8" priority="5" operator="notEqual">
      <formula>$H$7</formula>
    </cfRule>
  </conditionalFormatting>
  <conditionalFormatting sqref="C8">
    <cfRule type="cellIs" dxfId="7" priority="4" operator="notEqual">
      <formula>$F$8</formula>
    </cfRule>
  </conditionalFormatting>
  <conditionalFormatting sqref="D8">
    <cfRule type="cellIs" dxfId="6" priority="3" operator="notEqual">
      <formula>$G$8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>
      <formula1>0</formula1>
    </dataValidation>
    <dataValidation type="whole" operator="greaterThanOrEqual" allowBlank="1" showInputMessage="1" showErrorMessage="1" sqref="C25 C15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27"/>
  <sheetViews>
    <sheetView view="pageBreakPreview" zoomScale="75" zoomScaleNormal="70" zoomScaleSheetLayoutView="75" workbookViewId="0">
      <pane xSplit="2" ySplit="3" topLeftCell="C4" activePane="bottomRight" state="frozen"/>
      <selection activeCell="G38" sqref="G38"/>
      <selection pane="topRight" activeCell="G38" sqref="G38"/>
      <selection pane="bottomLeft" activeCell="G38" sqref="G38"/>
      <selection pane="bottomRight" activeCell="D6" sqref="D6"/>
    </sheetView>
  </sheetViews>
  <sheetFormatPr defaultRowHeight="18.75"/>
  <cols>
    <col min="1" max="1" width="8.5703125" style="86" customWidth="1"/>
    <col min="2" max="2" width="65.7109375" style="86" customWidth="1"/>
    <col min="3" max="3" width="24.42578125" style="86" customWidth="1"/>
    <col min="4" max="4" width="23.28515625" style="86" customWidth="1"/>
    <col min="5" max="7" width="14" style="324" customWidth="1"/>
    <col min="8" max="16384" width="9.140625" style="86"/>
  </cols>
  <sheetData>
    <row r="1" spans="1:7" ht="22.5" customHeight="1">
      <c r="A1" s="544" t="s">
        <v>448</v>
      </c>
      <c r="B1" s="544"/>
      <c r="C1" s="544"/>
      <c r="D1" s="323" t="s">
        <v>449</v>
      </c>
    </row>
    <row r="2" spans="1:7" ht="25.5" customHeight="1">
      <c r="B2" s="87" t="str">
        <f>+Balance!B3</f>
        <v>"MKBANK"</v>
      </c>
      <c r="C2" s="440">
        <f>+Balance!D3</f>
        <v>45289</v>
      </c>
      <c r="D2" s="325" t="s">
        <v>174</v>
      </c>
    </row>
    <row r="3" spans="1:7" ht="80.25" customHeight="1">
      <c r="A3" s="115" t="s">
        <v>54</v>
      </c>
      <c r="B3" s="115" t="s">
        <v>336</v>
      </c>
      <c r="C3" s="115" t="s">
        <v>176</v>
      </c>
      <c r="D3" s="115" t="s">
        <v>456</v>
      </c>
    </row>
    <row r="4" spans="1:7" s="88" customFormat="1" ht="45" customHeight="1">
      <c r="A4" s="417" t="s">
        <v>118</v>
      </c>
      <c r="B4" s="421" t="s">
        <v>503</v>
      </c>
      <c r="C4" s="115"/>
      <c r="D4" s="115"/>
      <c r="E4" s="326"/>
      <c r="F4" s="326"/>
      <c r="G4" s="326"/>
    </row>
    <row r="5" spans="1:7" s="88" customFormat="1" ht="35.25" customHeight="1">
      <c r="A5" s="372" t="s">
        <v>121</v>
      </c>
      <c r="B5" s="418" t="s">
        <v>450</v>
      </c>
      <c r="C5" s="99">
        <v>424881</v>
      </c>
      <c r="D5" s="99">
        <v>7</v>
      </c>
      <c r="E5" s="326"/>
      <c r="F5" s="326"/>
      <c r="G5" s="326"/>
    </row>
    <row r="6" spans="1:7" s="88" customFormat="1" ht="35.25" customHeight="1">
      <c r="A6" s="372" t="s">
        <v>122</v>
      </c>
      <c r="B6" s="418" t="s">
        <v>451</v>
      </c>
      <c r="C6" s="99">
        <v>301048155</v>
      </c>
      <c r="D6" s="99">
        <v>11441923</v>
      </c>
      <c r="E6" s="326"/>
      <c r="F6" s="326"/>
      <c r="G6" s="326"/>
    </row>
    <row r="7" spans="1:7" s="88" customFormat="1" ht="35.25" customHeight="1">
      <c r="A7" s="372" t="s">
        <v>123</v>
      </c>
      <c r="B7" s="418" t="s">
        <v>452</v>
      </c>
      <c r="C7" s="99">
        <v>227409291</v>
      </c>
      <c r="D7" s="99">
        <v>5155801</v>
      </c>
      <c r="E7" s="326"/>
      <c r="F7" s="326"/>
      <c r="G7" s="326"/>
    </row>
    <row r="8" spans="1:7" s="88" customFormat="1" ht="35.25" customHeight="1">
      <c r="A8" s="372" t="s">
        <v>124</v>
      </c>
      <c r="B8" s="418" t="s">
        <v>453</v>
      </c>
      <c r="C8" s="99">
        <v>9017753</v>
      </c>
      <c r="D8" s="99">
        <v>5366682</v>
      </c>
      <c r="E8" s="326"/>
      <c r="F8" s="326"/>
      <c r="G8" s="326"/>
    </row>
    <row r="9" spans="1:7" s="88" customFormat="1" ht="35.25" customHeight="1">
      <c r="A9" s="372" t="s">
        <v>125</v>
      </c>
      <c r="B9" s="418" t="s">
        <v>454</v>
      </c>
      <c r="C9" s="99">
        <v>280609065</v>
      </c>
      <c r="D9" s="99">
        <v>13444254</v>
      </c>
      <c r="E9" s="326"/>
      <c r="F9" s="326"/>
      <c r="G9" s="326"/>
    </row>
    <row r="10" spans="1:7" s="88" customFormat="1" ht="43.5" customHeight="1">
      <c r="A10" s="372" t="s">
        <v>126</v>
      </c>
      <c r="B10" s="422" t="s">
        <v>560</v>
      </c>
      <c r="C10" s="99">
        <v>58730048</v>
      </c>
      <c r="D10" s="99">
        <v>2915567</v>
      </c>
      <c r="E10" s="326"/>
      <c r="F10" s="326"/>
      <c r="G10" s="326"/>
    </row>
    <row r="11" spans="1:7" s="90" customFormat="1" ht="42" customHeight="1">
      <c r="A11" s="417" t="s">
        <v>153</v>
      </c>
      <c r="B11" s="421" t="s">
        <v>504</v>
      </c>
      <c r="C11" s="89">
        <f>SUM(C5:C10)</f>
        <v>877239193</v>
      </c>
      <c r="D11" s="89">
        <f>SUM(D5:D10)</f>
        <v>38324234</v>
      </c>
      <c r="E11" s="432">
        <f>+'Bank Liabilities Analysis'!S15+'Bank Liabilities Analysis'!S7</f>
        <v>877239193</v>
      </c>
      <c r="F11" s="432">
        <f>+'Bank Liabilities Analysis'!T15+'Bank Liabilities Analysis'!T7</f>
        <v>838914959</v>
      </c>
      <c r="G11" s="432">
        <f>+'Bank Liabilities Analysis'!U15+'Bank Liabilities Analysis'!U7</f>
        <v>38324234</v>
      </c>
    </row>
    <row r="12" spans="1:7" s="88" customFormat="1" ht="9" customHeight="1">
      <c r="A12" s="419"/>
      <c r="B12" s="418"/>
      <c r="C12" s="92"/>
      <c r="D12" s="91"/>
      <c r="E12" s="433"/>
      <c r="F12" s="433"/>
      <c r="G12" s="433"/>
    </row>
    <row r="13" spans="1:7" s="88" customFormat="1" ht="35.25" customHeight="1">
      <c r="A13" s="417" t="s">
        <v>119</v>
      </c>
      <c r="B13" s="420" t="s">
        <v>232</v>
      </c>
      <c r="C13" s="115"/>
      <c r="D13" s="115"/>
      <c r="E13" s="434">
        <f>+C11-E11</f>
        <v>0</v>
      </c>
      <c r="F13" s="434"/>
      <c r="G13" s="434">
        <f>+D11-G11</f>
        <v>0</v>
      </c>
    </row>
    <row r="14" spans="1:7" s="88" customFormat="1" ht="35.25" customHeight="1">
      <c r="A14" s="372" t="s">
        <v>121</v>
      </c>
      <c r="B14" s="418" t="s">
        <v>450</v>
      </c>
      <c r="C14" s="99">
        <v>3055983328</v>
      </c>
      <c r="D14" s="99">
        <v>559423800</v>
      </c>
      <c r="E14" s="435"/>
      <c r="F14" s="435"/>
      <c r="G14" s="435"/>
    </row>
    <row r="15" spans="1:7" s="88" customFormat="1" ht="35.25" customHeight="1">
      <c r="A15" s="372" t="s">
        <v>122</v>
      </c>
      <c r="B15" s="418" t="s">
        <v>451</v>
      </c>
      <c r="C15" s="99">
        <v>1381384515</v>
      </c>
      <c r="D15" s="99">
        <v>61295992</v>
      </c>
      <c r="E15" s="435"/>
      <c r="F15" s="435"/>
      <c r="G15" s="435"/>
    </row>
    <row r="16" spans="1:7" s="88" customFormat="1" ht="35.25" customHeight="1">
      <c r="A16" s="372" t="s">
        <v>123</v>
      </c>
      <c r="B16" s="418" t="s">
        <v>452</v>
      </c>
      <c r="C16" s="99">
        <v>656375387</v>
      </c>
      <c r="D16" s="99">
        <v>292872799</v>
      </c>
      <c r="E16" s="435"/>
      <c r="F16" s="435"/>
      <c r="G16" s="435"/>
    </row>
    <row r="17" spans="1:30" s="88" customFormat="1" ht="35.25" customHeight="1">
      <c r="A17" s="372" t="s">
        <v>124</v>
      </c>
      <c r="B17" s="418" t="s">
        <v>453</v>
      </c>
      <c r="C17" s="99">
        <v>140501470</v>
      </c>
      <c r="D17" s="99">
        <v>135726470</v>
      </c>
      <c r="E17" s="435"/>
      <c r="F17" s="435"/>
      <c r="G17" s="435"/>
    </row>
    <row r="18" spans="1:30" s="88" customFormat="1" ht="35.25" customHeight="1">
      <c r="A18" s="372" t="s">
        <v>125</v>
      </c>
      <c r="B18" s="418" t="s">
        <v>454</v>
      </c>
      <c r="C18" s="99">
        <v>74892164</v>
      </c>
      <c r="D18" s="99">
        <v>567583</v>
      </c>
      <c r="E18" s="435"/>
      <c r="F18" s="435"/>
      <c r="G18" s="435"/>
    </row>
    <row r="19" spans="1:30" s="88" customFormat="1" ht="35.25" customHeight="1">
      <c r="A19" s="372" t="s">
        <v>126</v>
      </c>
      <c r="B19" s="418" t="s">
        <v>505</v>
      </c>
      <c r="C19" s="99">
        <v>174802297</v>
      </c>
      <c r="D19" s="99">
        <v>18076298</v>
      </c>
      <c r="E19" s="435"/>
      <c r="F19" s="435"/>
      <c r="G19" s="435"/>
    </row>
    <row r="20" spans="1:30" s="90" customFormat="1" ht="35.25" customHeight="1">
      <c r="A20" s="417" t="s">
        <v>153</v>
      </c>
      <c r="B20" s="420" t="s">
        <v>455</v>
      </c>
      <c r="C20" s="89">
        <f>SUM(C14:C19)</f>
        <v>5483939161</v>
      </c>
      <c r="D20" s="89">
        <f>SUM(D14:D19)</f>
        <v>1067962942</v>
      </c>
      <c r="E20" s="432">
        <f>+'Bank Liabilities Analysis'!S12</f>
        <v>5483939161</v>
      </c>
      <c r="F20" s="432">
        <f>+'Bank Liabilities Analysis'!T12</f>
        <v>4415976219</v>
      </c>
      <c r="G20" s="432">
        <f>+'Bank Liabilities Analysis'!U12</f>
        <v>1067962942</v>
      </c>
    </row>
    <row r="21" spans="1:30" s="88" customFormat="1" ht="9" customHeight="1">
      <c r="A21" s="372"/>
      <c r="B21" s="418"/>
      <c r="C21" s="92"/>
      <c r="D21" s="92"/>
      <c r="E21" s="434">
        <f>+C20-E20</f>
        <v>0</v>
      </c>
      <c r="F21" s="434"/>
      <c r="G21" s="434">
        <f>+D20-G20</f>
        <v>0</v>
      </c>
    </row>
    <row r="22" spans="1:30" s="90" customFormat="1" ht="35.25" customHeight="1">
      <c r="A22" s="417" t="s">
        <v>129</v>
      </c>
      <c r="B22" s="420" t="s">
        <v>418</v>
      </c>
      <c r="C22" s="89">
        <f t="shared" ref="C22:D22" si="0">+C11+C20</f>
        <v>6361178354</v>
      </c>
      <c r="D22" s="89">
        <f t="shared" si="0"/>
        <v>1106287176</v>
      </c>
      <c r="E22" s="432">
        <f>+'Bank Liabilities Analysis'!S20</f>
        <v>6361178354</v>
      </c>
      <c r="F22" s="432">
        <f>+'Bank Liabilities Analysis'!T20</f>
        <v>5254891178</v>
      </c>
      <c r="G22" s="432">
        <f>+'Bank Liabilities Analysis'!U20</f>
        <v>1106287176</v>
      </c>
    </row>
    <row r="23" spans="1:30">
      <c r="E23" s="431">
        <f>+C22-E22</f>
        <v>0</v>
      </c>
      <c r="F23" s="431"/>
      <c r="G23" s="431">
        <f>+D22-G22</f>
        <v>0</v>
      </c>
    </row>
    <row r="24" spans="1:30" s="26" customFormat="1" ht="18">
      <c r="A24" s="25"/>
      <c r="B24" s="428" t="s">
        <v>540</v>
      </c>
      <c r="C24" s="25"/>
      <c r="D24" s="25"/>
      <c r="E24" s="25"/>
      <c r="F24" s="183"/>
      <c r="G24" s="183"/>
      <c r="H24" s="183"/>
      <c r="I24" s="183"/>
      <c r="J24" s="183"/>
      <c r="K24" s="183"/>
      <c r="L24" s="183"/>
      <c r="M24" s="183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s="26" customFormat="1" ht="19.5" customHeight="1">
      <c r="A25" s="25"/>
      <c r="B25" s="428"/>
      <c r="C25" s="25"/>
      <c r="D25" s="25"/>
      <c r="E25" s="25"/>
      <c r="F25" s="183"/>
      <c r="G25" s="183"/>
      <c r="H25" s="183"/>
      <c r="I25" s="183"/>
      <c r="J25" s="183"/>
      <c r="K25" s="183"/>
      <c r="L25" s="183"/>
      <c r="M25" s="18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26" customFormat="1" ht="18">
      <c r="A26" s="25"/>
      <c r="B26" s="428" t="s">
        <v>539</v>
      </c>
      <c r="C26" s="25"/>
      <c r="D26" s="25"/>
      <c r="E26" s="25"/>
      <c r="F26" s="183"/>
      <c r="G26" s="183"/>
      <c r="H26" s="183"/>
      <c r="I26" s="183"/>
      <c r="J26" s="183"/>
      <c r="K26" s="183"/>
      <c r="L26" s="183"/>
      <c r="M26" s="18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>
      <c r="B27" s="93"/>
      <c r="E27" s="86"/>
      <c r="F27" s="86"/>
      <c r="G27" s="86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/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D44"/>
  <sheetViews>
    <sheetView view="pageBreakPreview" zoomScale="85" zoomScaleSheetLayoutView="85" workbookViewId="0">
      <pane xSplit="1" ySplit="4" topLeftCell="B8" activePane="bottomRight" state="frozen"/>
      <selection activeCell="C61" sqref="C61"/>
      <selection pane="topRight" activeCell="C61" sqref="C61"/>
      <selection pane="bottomLeft" activeCell="C61" sqref="C61"/>
      <selection pane="bottomRight" activeCell="D20" sqref="D20"/>
    </sheetView>
  </sheetViews>
  <sheetFormatPr defaultRowHeight="12.75"/>
  <cols>
    <col min="1" max="1" width="52" style="26" customWidth="1"/>
    <col min="2" max="2" width="15.42578125" style="26" customWidth="1"/>
    <col min="3" max="4" width="14.42578125" style="26" customWidth="1"/>
    <col min="5" max="5" width="16.140625" style="26" bestFit="1" customWidth="1"/>
    <col min="6" max="8" width="12.140625" style="259" customWidth="1"/>
    <col min="9" max="16384" width="9.140625" style="26"/>
  </cols>
  <sheetData>
    <row r="1" spans="1:8" ht="44.25" customHeight="1">
      <c r="A1" s="543" t="s">
        <v>457</v>
      </c>
      <c r="B1" s="543"/>
      <c r="C1" s="543"/>
      <c r="D1" s="543"/>
      <c r="E1" s="246" t="s">
        <v>458</v>
      </c>
    </row>
    <row r="2" spans="1:8" s="260" customFormat="1" ht="18" customHeight="1">
      <c r="A2" s="95" t="str">
        <f>Balance!B3</f>
        <v>"MKBANK"</v>
      </c>
      <c r="C2" s="547">
        <f>+Balance!D3</f>
        <v>45289</v>
      </c>
      <c r="D2" s="547"/>
      <c r="E2" s="318" t="str">
        <f>+Balance!E3</f>
        <v>минг сўмда</v>
      </c>
      <c r="F2" s="261"/>
      <c r="G2" s="261"/>
      <c r="H2" s="261"/>
    </row>
    <row r="3" spans="1:8" s="270" customFormat="1" ht="12.75" customHeight="1">
      <c r="A3" s="548" t="s">
        <v>529</v>
      </c>
      <c r="B3" s="548" t="s">
        <v>459</v>
      </c>
      <c r="C3" s="550" t="s">
        <v>338</v>
      </c>
      <c r="D3" s="551"/>
      <c r="E3" s="545" t="s">
        <v>460</v>
      </c>
      <c r="G3" s="260"/>
    </row>
    <row r="4" spans="1:8" s="270" customFormat="1" ht="46.5" customHeight="1">
      <c r="A4" s="549"/>
      <c r="B4" s="549"/>
      <c r="C4" s="319" t="s">
        <v>349</v>
      </c>
      <c r="D4" s="319" t="s">
        <v>350</v>
      </c>
      <c r="E4" s="546"/>
      <c r="G4" s="260"/>
    </row>
    <row r="5" spans="1:8" s="260" customFormat="1" ht="17.25" customHeight="1">
      <c r="A5" s="320" t="s">
        <v>461</v>
      </c>
      <c r="B5" s="172">
        <f t="shared" ref="B5:B14" si="0">+C5+D5</f>
        <v>0</v>
      </c>
      <c r="C5" s="10">
        <v>0</v>
      </c>
      <c r="D5" s="10">
        <v>0</v>
      </c>
      <c r="E5" s="10">
        <v>0</v>
      </c>
      <c r="F5" s="262"/>
      <c r="G5" s="262"/>
      <c r="H5" s="262"/>
    </row>
    <row r="6" spans="1:8" s="260" customFormat="1" ht="25.5">
      <c r="A6" s="321" t="s">
        <v>462</v>
      </c>
      <c r="B6" s="172">
        <f t="shared" si="0"/>
        <v>0</v>
      </c>
      <c r="C6" s="10">
        <v>0</v>
      </c>
      <c r="D6" s="10">
        <v>0</v>
      </c>
      <c r="E6" s="10">
        <v>0</v>
      </c>
      <c r="F6" s="262"/>
      <c r="G6" s="262"/>
      <c r="H6" s="262"/>
    </row>
    <row r="7" spans="1:8" s="260" customFormat="1" ht="16.5" customHeight="1">
      <c r="A7" s="321" t="s">
        <v>530</v>
      </c>
      <c r="B7" s="172">
        <f t="shared" si="0"/>
        <v>0</v>
      </c>
      <c r="C7" s="10">
        <v>0</v>
      </c>
      <c r="D7" s="10">
        <v>0</v>
      </c>
      <c r="E7" s="10">
        <v>0</v>
      </c>
      <c r="F7" s="262"/>
      <c r="G7" s="262"/>
      <c r="H7" s="262"/>
    </row>
    <row r="8" spans="1:8" s="260" customFormat="1" ht="16.5" customHeight="1">
      <c r="A8" s="321" t="s">
        <v>463</v>
      </c>
      <c r="B8" s="172">
        <f t="shared" si="0"/>
        <v>0</v>
      </c>
      <c r="C8" s="10">
        <v>0</v>
      </c>
      <c r="D8" s="10">
        <v>0</v>
      </c>
      <c r="E8" s="10">
        <v>0</v>
      </c>
      <c r="F8" s="262"/>
      <c r="G8" s="262"/>
      <c r="H8" s="262"/>
    </row>
    <row r="9" spans="1:8" s="260" customFormat="1" ht="25.5">
      <c r="A9" s="321" t="s">
        <v>531</v>
      </c>
      <c r="B9" s="172">
        <f t="shared" si="0"/>
        <v>0</v>
      </c>
      <c r="C9" s="10">
        <v>0</v>
      </c>
      <c r="D9" s="10">
        <v>0</v>
      </c>
      <c r="E9" s="10">
        <v>0</v>
      </c>
      <c r="F9" s="262"/>
      <c r="G9" s="262"/>
      <c r="H9" s="262"/>
    </row>
    <row r="10" spans="1:8" s="260" customFormat="1" ht="30" customHeight="1">
      <c r="A10" s="321" t="s">
        <v>532</v>
      </c>
      <c r="B10" s="172">
        <f t="shared" si="0"/>
        <v>107220</v>
      </c>
      <c r="C10" s="10">
        <v>107220</v>
      </c>
      <c r="D10" s="10">
        <v>0</v>
      </c>
      <c r="E10" s="10">
        <f>+C10</f>
        <v>107220</v>
      </c>
      <c r="F10" s="262"/>
      <c r="G10" s="261"/>
      <c r="H10" s="261"/>
    </row>
    <row r="11" spans="1:8" s="260" customFormat="1" ht="17.25" customHeight="1">
      <c r="A11" s="321" t="s">
        <v>464</v>
      </c>
      <c r="B11" s="172">
        <f t="shared" si="0"/>
        <v>0</v>
      </c>
      <c r="C11" s="10"/>
      <c r="D11" s="10"/>
      <c r="E11" s="10"/>
      <c r="F11" s="262"/>
      <c r="G11" s="261"/>
      <c r="H11" s="261"/>
    </row>
    <row r="12" spans="1:8" s="260" customFormat="1" ht="17.25" customHeight="1">
      <c r="A12" s="376" t="s">
        <v>465</v>
      </c>
      <c r="B12" s="98">
        <f t="shared" si="0"/>
        <v>107220</v>
      </c>
      <c r="C12" s="98">
        <f>SUM(C5:C11)</f>
        <v>107220</v>
      </c>
      <c r="D12" s="98">
        <f t="shared" ref="D12" si="1">SUM(D5:D11)</f>
        <v>0</v>
      </c>
      <c r="E12" s="98">
        <f>SUM(E5:E11)</f>
        <v>107220</v>
      </c>
      <c r="F12" s="262"/>
      <c r="G12" s="261"/>
      <c r="H12" s="261"/>
    </row>
    <row r="13" spans="1:8" s="260" customFormat="1" ht="25.5">
      <c r="A13" s="321" t="s">
        <v>512</v>
      </c>
      <c r="B13" s="172">
        <f t="shared" si="0"/>
        <v>0</v>
      </c>
      <c r="C13" s="10">
        <v>0</v>
      </c>
      <c r="D13" s="10">
        <v>0</v>
      </c>
      <c r="E13" s="10">
        <v>0</v>
      </c>
      <c r="F13" s="262"/>
      <c r="G13" s="261"/>
      <c r="H13" s="261"/>
    </row>
    <row r="14" spans="1:8" s="260" customFormat="1" ht="18" customHeight="1">
      <c r="A14" s="423" t="s">
        <v>469</v>
      </c>
      <c r="B14" s="172">
        <f t="shared" si="0"/>
        <v>0</v>
      </c>
      <c r="C14" s="10"/>
      <c r="D14" s="10">
        <v>0</v>
      </c>
      <c r="E14" s="264"/>
      <c r="F14" s="262"/>
      <c r="G14" s="261"/>
      <c r="H14" s="261"/>
    </row>
    <row r="15" spans="1:8" s="260" customFormat="1" ht="18" customHeight="1">
      <c r="A15" s="376" t="s">
        <v>506</v>
      </c>
      <c r="B15" s="165">
        <f>+C15+D15</f>
        <v>107220</v>
      </c>
      <c r="C15" s="165">
        <f>C12+C13-C14</f>
        <v>107220</v>
      </c>
      <c r="D15" s="165">
        <f>D12+D13-D14</f>
        <v>0</v>
      </c>
      <c r="E15" s="265"/>
      <c r="F15" s="266"/>
      <c r="G15" s="261"/>
      <c r="H15" s="261"/>
    </row>
    <row r="16" spans="1:8" ht="12.75" customHeight="1">
      <c r="A16" s="267"/>
      <c r="B16" s="278"/>
      <c r="C16" s="278"/>
      <c r="D16" s="278"/>
      <c r="E16" s="278"/>
      <c r="F16" s="268"/>
      <c r="G16" s="261"/>
      <c r="H16" s="261"/>
    </row>
    <row r="17" spans="1:8" s="270" customFormat="1" ht="12.75" customHeight="1">
      <c r="A17" s="545" t="s">
        <v>476</v>
      </c>
      <c r="B17" s="548" t="s">
        <v>459</v>
      </c>
      <c r="C17" s="550" t="s">
        <v>338</v>
      </c>
      <c r="D17" s="551"/>
      <c r="E17" s="545" t="s">
        <v>460</v>
      </c>
      <c r="G17" s="260"/>
    </row>
    <row r="18" spans="1:8" s="270" customFormat="1" ht="38.25">
      <c r="A18" s="546"/>
      <c r="B18" s="549"/>
      <c r="C18" s="319" t="s">
        <v>349</v>
      </c>
      <c r="D18" s="319" t="s">
        <v>350</v>
      </c>
      <c r="E18" s="546"/>
      <c r="G18" s="260"/>
    </row>
    <row r="19" spans="1:8" s="260" customFormat="1" ht="13.5" customHeight="1">
      <c r="A19" s="320" t="s">
        <v>507</v>
      </c>
      <c r="B19" s="172">
        <f t="shared" ref="B19:B28" si="2">+C19+D19</f>
        <v>0</v>
      </c>
      <c r="C19" s="10">
        <v>0</v>
      </c>
      <c r="D19" s="10">
        <v>0</v>
      </c>
      <c r="E19" s="10">
        <f>+C19</f>
        <v>0</v>
      </c>
      <c r="F19" s="262"/>
      <c r="H19" s="261"/>
    </row>
    <row r="20" spans="1:8" s="260" customFormat="1" ht="13.5" customHeight="1">
      <c r="A20" s="321" t="s">
        <v>466</v>
      </c>
      <c r="B20" s="172">
        <f t="shared" si="2"/>
        <v>10000000</v>
      </c>
      <c r="C20" s="10">
        <v>10000000</v>
      </c>
      <c r="D20" s="10"/>
      <c r="E20" s="10">
        <f>+C20</f>
        <v>10000000</v>
      </c>
      <c r="F20" s="262"/>
      <c r="H20" s="261"/>
    </row>
    <row r="21" spans="1:8" s="260" customFormat="1" ht="25.5">
      <c r="A21" s="321" t="s">
        <v>508</v>
      </c>
      <c r="B21" s="172">
        <f t="shared" si="2"/>
        <v>0</v>
      </c>
      <c r="C21" s="10">
        <v>0</v>
      </c>
      <c r="D21" s="10">
        <v>0</v>
      </c>
      <c r="E21" s="10">
        <f>+C21</f>
        <v>0</v>
      </c>
      <c r="F21" s="262"/>
      <c r="H21" s="261"/>
    </row>
    <row r="22" spans="1:8" s="260" customFormat="1" ht="25.5" customHeight="1">
      <c r="A22" s="321" t="s">
        <v>533</v>
      </c>
      <c r="B22" s="172">
        <f t="shared" si="2"/>
        <v>0</v>
      </c>
      <c r="C22" s="10">
        <v>0</v>
      </c>
      <c r="D22" s="10">
        <v>0</v>
      </c>
      <c r="E22" s="10">
        <f t="shared" ref="E22:E25" si="3">+C22</f>
        <v>0</v>
      </c>
      <c r="F22" s="262"/>
      <c r="H22" s="262"/>
    </row>
    <row r="23" spans="1:8" s="260" customFormat="1" ht="13.5" customHeight="1">
      <c r="A23" s="321" t="s">
        <v>467</v>
      </c>
      <c r="B23" s="172">
        <f t="shared" si="2"/>
        <v>0</v>
      </c>
      <c r="C23" s="10">
        <v>0</v>
      </c>
      <c r="D23" s="10">
        <v>0</v>
      </c>
      <c r="E23" s="10">
        <f t="shared" si="3"/>
        <v>0</v>
      </c>
      <c r="F23" s="262"/>
      <c r="H23" s="262"/>
    </row>
    <row r="24" spans="1:8" s="260" customFormat="1" ht="13.5" customHeight="1">
      <c r="A24" s="321" t="s">
        <v>534</v>
      </c>
      <c r="B24" s="172">
        <f t="shared" si="2"/>
        <v>0</v>
      </c>
      <c r="C24" s="10">
        <v>0</v>
      </c>
      <c r="D24" s="10">
        <v>0</v>
      </c>
      <c r="E24" s="10">
        <f t="shared" si="3"/>
        <v>0</v>
      </c>
      <c r="F24" s="262"/>
      <c r="H24" s="262"/>
    </row>
    <row r="25" spans="1:8" s="260" customFormat="1" ht="13.5" customHeight="1">
      <c r="A25" s="263" t="s">
        <v>468</v>
      </c>
      <c r="B25" s="172">
        <f t="shared" si="2"/>
        <v>0</v>
      </c>
      <c r="C25" s="10">
        <v>0</v>
      </c>
      <c r="D25" s="10">
        <v>0</v>
      </c>
      <c r="E25" s="10">
        <f t="shared" si="3"/>
        <v>0</v>
      </c>
      <c r="F25" s="262"/>
      <c r="H25" s="262"/>
    </row>
    <row r="26" spans="1:8" s="260" customFormat="1" ht="25.5">
      <c r="A26" s="375" t="s">
        <v>487</v>
      </c>
      <c r="B26" s="98">
        <f t="shared" ref="B26" si="4">+C26+D26</f>
        <v>10000000</v>
      </c>
      <c r="C26" s="98">
        <f>SUM(C19:C25)</f>
        <v>10000000</v>
      </c>
      <c r="D26" s="98">
        <f t="shared" ref="D26" si="5">SUM(D19:D25)</f>
        <v>0</v>
      </c>
      <c r="E26" s="98">
        <f>SUM(E19:E25)</f>
        <v>10000000</v>
      </c>
      <c r="F26" s="262"/>
      <c r="H26" s="262"/>
    </row>
    <row r="27" spans="1:8" s="243" customFormat="1" ht="42" customHeight="1">
      <c r="A27" s="321" t="s">
        <v>535</v>
      </c>
      <c r="B27" s="172">
        <f t="shared" si="2"/>
        <v>0</v>
      </c>
      <c r="C27" s="10"/>
      <c r="D27" s="10"/>
      <c r="E27" s="10">
        <f>+C27</f>
        <v>0</v>
      </c>
      <c r="F27" s="269"/>
      <c r="G27" s="260"/>
      <c r="H27" s="269"/>
    </row>
    <row r="28" spans="1:8" s="260" customFormat="1">
      <c r="A28" s="320" t="s">
        <v>469</v>
      </c>
      <c r="B28" s="172">
        <f t="shared" si="2"/>
        <v>0</v>
      </c>
      <c r="C28" s="10">
        <v>0</v>
      </c>
      <c r="D28" s="10">
        <v>0</v>
      </c>
      <c r="E28" s="264"/>
      <c r="F28" s="262"/>
      <c r="H28" s="262"/>
    </row>
    <row r="29" spans="1:8" s="260" customFormat="1" ht="25.5">
      <c r="A29" s="321" t="s">
        <v>536</v>
      </c>
      <c r="B29" s="165">
        <f>+C29+D29</f>
        <v>10000000</v>
      </c>
      <c r="C29" s="165">
        <f>+C26+C27-C28</f>
        <v>10000000</v>
      </c>
      <c r="D29" s="165">
        <f>+D26+D27-D28</f>
        <v>0</v>
      </c>
      <c r="E29" s="265"/>
      <c r="F29" s="262"/>
      <c r="H29" s="262"/>
    </row>
    <row r="30" spans="1:8" ht="15.75">
      <c r="A30" s="76"/>
      <c r="B30" s="278"/>
      <c r="C30" s="278"/>
      <c r="D30" s="278"/>
      <c r="E30" s="278"/>
      <c r="F30" s="268"/>
      <c r="G30" s="260"/>
      <c r="H30" s="268"/>
    </row>
    <row r="31" spans="1:8" s="270" customFormat="1">
      <c r="A31" s="545" t="s">
        <v>470</v>
      </c>
      <c r="B31" s="548" t="s">
        <v>459</v>
      </c>
      <c r="C31" s="550" t="s">
        <v>338</v>
      </c>
      <c r="D31" s="551"/>
      <c r="E31" s="545" t="s">
        <v>460</v>
      </c>
      <c r="G31" s="260"/>
    </row>
    <row r="32" spans="1:8" s="270" customFormat="1" ht="38.25">
      <c r="A32" s="546"/>
      <c r="B32" s="549"/>
      <c r="C32" s="319" t="s">
        <v>349</v>
      </c>
      <c r="D32" s="319" t="s">
        <v>350</v>
      </c>
      <c r="E32" s="546"/>
      <c r="G32" s="260"/>
    </row>
    <row r="33" spans="1:30">
      <c r="A33" s="271"/>
      <c r="B33" s="279"/>
      <c r="C33" s="279"/>
      <c r="D33" s="279"/>
      <c r="E33" s="279"/>
      <c r="F33" s="268"/>
      <c r="G33" s="268"/>
      <c r="H33" s="268"/>
    </row>
    <row r="34" spans="1:30" ht="13.5" customHeight="1">
      <c r="A34" s="271" t="s">
        <v>471</v>
      </c>
      <c r="B34" s="172">
        <f t="shared" ref="B34:B36" si="6">+C34+D34</f>
        <v>0</v>
      </c>
      <c r="C34" s="10">
        <v>0</v>
      </c>
      <c r="D34" s="10">
        <v>0</v>
      </c>
      <c r="E34" s="10">
        <v>0</v>
      </c>
      <c r="F34" s="268"/>
      <c r="G34" s="268"/>
      <c r="H34" s="268"/>
    </row>
    <row r="35" spans="1:30" ht="13.5" customHeight="1">
      <c r="A35" s="271" t="s">
        <v>472</v>
      </c>
      <c r="B35" s="172">
        <f t="shared" si="6"/>
        <v>0</v>
      </c>
      <c r="C35" s="10">
        <v>0</v>
      </c>
      <c r="D35" s="10">
        <v>0</v>
      </c>
      <c r="E35" s="10">
        <v>0</v>
      </c>
      <c r="F35" s="268"/>
      <c r="G35" s="268"/>
      <c r="H35" s="268"/>
    </row>
    <row r="36" spans="1:30" ht="13.5" customHeight="1">
      <c r="A36" s="271" t="s">
        <v>473</v>
      </c>
      <c r="B36" s="172">
        <f t="shared" si="6"/>
        <v>175</v>
      </c>
      <c r="C36" s="10">
        <v>175</v>
      </c>
      <c r="D36" s="10">
        <v>0</v>
      </c>
      <c r="E36" s="10">
        <f>+C36</f>
        <v>175</v>
      </c>
      <c r="F36" s="268"/>
      <c r="G36" s="268"/>
      <c r="H36" s="268"/>
    </row>
    <row r="37" spans="1:30" ht="13.5" customHeight="1">
      <c r="A37" s="322" t="s">
        <v>474</v>
      </c>
      <c r="B37" s="18">
        <f t="shared" ref="B37:B39" si="7">+C37+D37</f>
        <v>175</v>
      </c>
      <c r="C37" s="18">
        <f>SUM(C34:C36)</f>
        <v>175</v>
      </c>
      <c r="D37" s="18">
        <f t="shared" ref="D37" si="8">SUM(D34:D36)</f>
        <v>0</v>
      </c>
      <c r="E37" s="18">
        <f>SUM(E34:E36)</f>
        <v>175</v>
      </c>
      <c r="F37" s="268"/>
      <c r="G37" s="268"/>
      <c r="H37" s="268"/>
    </row>
    <row r="38" spans="1:30" ht="13.5" customHeight="1">
      <c r="A38" s="320" t="s">
        <v>475</v>
      </c>
      <c r="B38" s="172">
        <f t="shared" si="7"/>
        <v>0</v>
      </c>
      <c r="C38" s="10">
        <v>0</v>
      </c>
      <c r="D38" s="10">
        <v>0</v>
      </c>
      <c r="E38" s="264"/>
      <c r="F38" s="268"/>
      <c r="G38" s="268"/>
      <c r="H38" s="268"/>
    </row>
    <row r="39" spans="1:30" ht="26.25" customHeight="1">
      <c r="A39" s="424" t="s">
        <v>509</v>
      </c>
      <c r="B39" s="165">
        <f t="shared" si="7"/>
        <v>175</v>
      </c>
      <c r="C39" s="165">
        <f>C37-C38</f>
        <v>175</v>
      </c>
      <c r="D39" s="165">
        <f t="shared" ref="D39" si="9">D37-D38</f>
        <v>0</v>
      </c>
      <c r="E39" s="265"/>
      <c r="F39" s="268"/>
      <c r="G39" s="268"/>
      <c r="H39" s="268"/>
    </row>
    <row r="40" spans="1:30" ht="12.75" customHeight="1">
      <c r="F40" s="26"/>
      <c r="G40" s="26"/>
      <c r="H40" s="26"/>
    </row>
    <row r="41" spans="1:30" ht="15" customHeight="1">
      <c r="A41" s="426" t="s">
        <v>540</v>
      </c>
      <c r="C41" s="25"/>
      <c r="D41" s="25"/>
      <c r="E41" s="25"/>
      <c r="F41" s="183"/>
      <c r="G41" s="183"/>
      <c r="H41" s="183"/>
      <c r="I41" s="183"/>
      <c r="J41" s="183"/>
      <c r="K41" s="183"/>
      <c r="L41" s="183"/>
      <c r="M41" s="183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1.25" customHeight="1">
      <c r="A42" s="426"/>
      <c r="C42" s="25"/>
      <c r="D42" s="25"/>
      <c r="E42" s="25"/>
      <c r="F42" s="183"/>
      <c r="G42" s="183"/>
      <c r="H42" s="183"/>
      <c r="I42" s="183"/>
      <c r="J42" s="183"/>
      <c r="K42" s="183"/>
      <c r="L42" s="183"/>
      <c r="M42" s="183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" customHeight="1">
      <c r="A43" s="426" t="s">
        <v>539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2.75" customHeight="1">
      <c r="A44" s="256"/>
      <c r="F44" s="26"/>
      <c r="G44" s="26"/>
      <c r="H44" s="26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>
      <formula1>0</formula1>
    </dataValidation>
    <dataValidation type="whole" operator="greaterThanOrEqual" allowBlank="1" showInputMessage="1" showErrorMessage="1" prompt="Ввести как положительное число." sqref="C28:D28 C14:D14">
      <formula1>0</formula1>
    </dataValidation>
    <dataValidation type="date" operator="greaterThan" allowBlank="1" showInputMessage="1" showErrorMessage="1" prompt="Введите дату в формате ЧЧ.ММ.ГГГГ" sqref="C2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5 E26 E37:E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2023-12-29T12:21:32Z</cp:lastPrinted>
  <dcterms:created xsi:type="dcterms:W3CDTF">2014-01-27T05:06:32Z</dcterms:created>
  <dcterms:modified xsi:type="dcterms:W3CDTF">2024-01-09T11:05:46Z</dcterms:modified>
</cp:coreProperties>
</file>