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C:\Users\u.abrahmatov.MKBUZ\Desktop\"/>
    </mc:Choice>
  </mc:AlternateContent>
  <workbookProtection workbookPassword="CACA" lockStructure="1"/>
  <bookViews>
    <workbookView xWindow="0" yWindow="0" windowWidth="28800" windowHeight="12330" tabRatio="889" activeTab="5"/>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Calc'!$A$1:$C$61</definedName>
    <definedName name="_xlnm.Print_Area" localSheetId="1">'Bank Capital Calc (2)'!$A$1:$C$55</definedName>
    <definedName name="_xlnm.Print_Area" localSheetId="5">'Calculation of Risk'!$A$1:$C$32</definedName>
    <definedName name="_xlnm.Print_Area" localSheetId="4">'Calculation of Risk Weighte ин'!$A$1:$I$77</definedName>
    <definedName name="_xlnm.Print_Area" localSheetId="3">'Calculation of Risk Weighte нац'!$A$1:$I$77</definedName>
    <definedName name="_xlnm.Print_Area" localSheetId="2">'Calculation of Risk Weighted As'!$A$1:$I$78</definedName>
  </definedNames>
  <calcPr calcId="162913" iterate="1" iterateCount="1"/>
</workbook>
</file>

<file path=xl/calcChain.xml><?xml version="1.0" encoding="utf-8"?>
<calcChain xmlns="http://schemas.openxmlformats.org/spreadsheetml/2006/main">
  <c r="F37" i="27" l="1"/>
  <c r="K71" i="38" l="1"/>
  <c r="K61" i="38"/>
  <c r="K56" i="38"/>
  <c r="K54" i="38"/>
  <c r="K71" i="5"/>
  <c r="K61" i="5"/>
  <c r="K56" i="5"/>
  <c r="K54" i="5"/>
  <c r="F38" i="27"/>
  <c r="E24" i="27"/>
  <c r="K71" i="39"/>
  <c r="K61" i="39"/>
  <c r="K56" i="39"/>
  <c r="K54" i="39"/>
  <c r="K42" i="39"/>
  <c r="K42" i="38"/>
  <c r="K42" i="5"/>
  <c r="C53" i="27"/>
  <c r="I34" i="39" l="1"/>
  <c r="I35" i="39"/>
  <c r="C39" i="39" l="1"/>
  <c r="G39" i="39"/>
  <c r="I40" i="39"/>
  <c r="I39" i="39"/>
  <c r="C25" i="39"/>
  <c r="D14" i="39"/>
  <c r="H18" i="39" l="1"/>
  <c r="G18" i="39"/>
  <c r="F18" i="39"/>
  <c r="D18" i="39"/>
  <c r="C18" i="39"/>
  <c r="C14" i="39" l="1"/>
  <c r="D13" i="39"/>
  <c r="E41" i="39" l="1"/>
  <c r="F41" i="39"/>
  <c r="G41" i="39"/>
  <c r="H41" i="39"/>
  <c r="I41" i="39"/>
  <c r="H35" i="39" l="1"/>
  <c r="J61" i="38" l="1"/>
  <c r="J56" i="38"/>
  <c r="J54" i="38"/>
  <c r="J56" i="5"/>
  <c r="L56" i="5" s="1"/>
  <c r="J54" i="5"/>
  <c r="L54" i="5" s="1"/>
  <c r="L56" i="38" l="1"/>
  <c r="L54" i="38"/>
  <c r="J61" i="5" l="1"/>
  <c r="C27" i="27" l="1"/>
  <c r="C7" i="27"/>
  <c r="C16" i="39" l="1"/>
  <c r="E10" i="23" l="1"/>
  <c r="C28" i="23" l="1"/>
  <c r="B10" i="23"/>
  <c r="B15" i="23"/>
  <c r="B5" i="23"/>
  <c r="C54" i="27" l="1"/>
  <c r="I42" i="38" l="1"/>
  <c r="H42" i="38"/>
  <c r="H43" i="38" s="1"/>
  <c r="G42" i="38"/>
  <c r="G43" i="38" s="1"/>
  <c r="F42" i="38"/>
  <c r="F43" i="38" s="1"/>
  <c r="E42" i="38"/>
  <c r="E43" i="38" s="1"/>
  <c r="D42" i="38"/>
  <c r="D43" i="38" s="1"/>
  <c r="C42" i="38"/>
  <c r="E71" i="5"/>
  <c r="E42" i="5"/>
  <c r="E43" i="5" s="1"/>
  <c r="I42" i="5"/>
  <c r="I43" i="5" s="1"/>
  <c r="H42" i="5"/>
  <c r="H43" i="5" s="1"/>
  <c r="G42" i="5"/>
  <c r="F42" i="5"/>
  <c r="F43" i="5" s="1"/>
  <c r="D42" i="5"/>
  <c r="D43" i="5" s="1"/>
  <c r="C42" i="5"/>
  <c r="F61" i="39"/>
  <c r="F56" i="39"/>
  <c r="C38" i="39"/>
  <c r="C36" i="39"/>
  <c r="D41" i="39"/>
  <c r="C41" i="39"/>
  <c r="G38" i="39"/>
  <c r="G37" i="39"/>
  <c r="I30" i="39"/>
  <c r="I29" i="39"/>
  <c r="H29" i="39"/>
  <c r="I28" i="39"/>
  <c r="H28" i="39"/>
  <c r="H34" i="39"/>
  <c r="G33" i="39"/>
  <c r="G32" i="39"/>
  <c r="C24" i="39"/>
  <c r="C23" i="39"/>
  <c r="C22" i="39"/>
  <c r="G29" i="39"/>
  <c r="G28" i="39"/>
  <c r="G27" i="39"/>
  <c r="G26" i="39"/>
  <c r="H27" i="39"/>
  <c r="F27" i="39"/>
  <c r="E27" i="39"/>
  <c r="E42" i="39" s="1"/>
  <c r="E43" i="39" s="1"/>
  <c r="D24" i="39"/>
  <c r="D20" i="39"/>
  <c r="C20" i="39"/>
  <c r="G19" i="39"/>
  <c r="H20" i="39"/>
  <c r="G20" i="39"/>
  <c r="F20" i="39"/>
  <c r="H17" i="39"/>
  <c r="G17" i="39"/>
  <c r="F17" i="39"/>
  <c r="H16" i="39"/>
  <c r="G16" i="39"/>
  <c r="F16" i="39"/>
  <c r="H15" i="39"/>
  <c r="G15" i="39"/>
  <c r="F15" i="39"/>
  <c r="C17" i="39"/>
  <c r="D17" i="39"/>
  <c r="D16" i="39"/>
  <c r="D15" i="39"/>
  <c r="C15" i="39"/>
  <c r="C13" i="39"/>
  <c r="H11" i="39"/>
  <c r="G11" i="39"/>
  <c r="F11" i="39"/>
  <c r="D11" i="39"/>
  <c r="D10" i="39"/>
  <c r="D9" i="39"/>
  <c r="C10" i="39"/>
  <c r="J42" i="38" l="1"/>
  <c r="J42" i="5"/>
  <c r="I43" i="38"/>
  <c r="I44" i="38" s="1"/>
  <c r="G43" i="5"/>
  <c r="F42" i="39"/>
  <c r="F43" i="39" s="1"/>
  <c r="I42" i="39"/>
  <c r="I43" i="39" s="1"/>
  <c r="H42" i="39"/>
  <c r="H43" i="39" s="1"/>
  <c r="D42" i="39"/>
  <c r="D43" i="39" s="1"/>
  <c r="G42" i="39"/>
  <c r="G43" i="39" s="1"/>
  <c r="I44" i="39" l="1"/>
  <c r="I44" i="5" l="1"/>
  <c r="C3" i="23" l="1"/>
  <c r="B2" i="23" s="1"/>
  <c r="G2" i="39"/>
  <c r="G2" i="38"/>
  <c r="G2" i="5"/>
  <c r="B3" i="23"/>
  <c r="B2" i="39"/>
  <c r="B2" i="38"/>
  <c r="B2" i="5"/>
  <c r="C8" i="39" l="1"/>
  <c r="C42" i="39" s="1"/>
  <c r="C52" i="41" l="1"/>
  <c r="C25" i="41"/>
  <c r="C31" i="41" s="1"/>
  <c r="C54" i="41"/>
  <c r="C3" i="41"/>
  <c r="B3" i="41"/>
  <c r="H70" i="39" l="1"/>
  <c r="G70" i="39"/>
  <c r="F70" i="39"/>
  <c r="E70" i="39"/>
  <c r="H69" i="39"/>
  <c r="G69" i="39"/>
  <c r="F69" i="39"/>
  <c r="E69" i="39"/>
  <c r="H68" i="39"/>
  <c r="G68" i="39"/>
  <c r="F68" i="39"/>
  <c r="E68" i="39"/>
  <c r="H66" i="39"/>
  <c r="G66" i="39"/>
  <c r="F66" i="39"/>
  <c r="E66" i="39"/>
  <c r="H65" i="39"/>
  <c r="G65" i="39"/>
  <c r="F65" i="39"/>
  <c r="E65" i="39"/>
  <c r="H64" i="39"/>
  <c r="G64" i="39"/>
  <c r="F64" i="39"/>
  <c r="I64" i="39" s="1"/>
  <c r="E64" i="39"/>
  <c r="E61" i="39"/>
  <c r="H61" i="39"/>
  <c r="H60" i="39"/>
  <c r="G60" i="39"/>
  <c r="F60" i="39"/>
  <c r="E60" i="39"/>
  <c r="H59" i="39"/>
  <c r="G59" i="39"/>
  <c r="F59" i="39"/>
  <c r="E59" i="39"/>
  <c r="H58" i="39"/>
  <c r="G58" i="39"/>
  <c r="F58" i="39"/>
  <c r="E58" i="39"/>
  <c r="H56" i="39"/>
  <c r="E56" i="39"/>
  <c r="H55" i="39"/>
  <c r="G55" i="39"/>
  <c r="F55" i="39"/>
  <c r="E55" i="39"/>
  <c r="H54" i="39"/>
  <c r="G54" i="39"/>
  <c r="F54" i="39"/>
  <c r="E54" i="39"/>
  <c r="H53" i="39"/>
  <c r="G53" i="39"/>
  <c r="F53" i="39"/>
  <c r="E53" i="39"/>
  <c r="J56" i="39" l="1"/>
  <c r="L56" i="39" s="1"/>
  <c r="J54" i="39"/>
  <c r="L54" i="39" s="1"/>
  <c r="J61" i="39"/>
  <c r="H71" i="39"/>
  <c r="G71" i="39"/>
  <c r="F71" i="39"/>
  <c r="E71" i="39"/>
  <c r="I70" i="39"/>
  <c r="I69" i="39"/>
  <c r="I68" i="39"/>
  <c r="I66" i="39"/>
  <c r="I65" i="39"/>
  <c r="I61" i="39"/>
  <c r="I60" i="39"/>
  <c r="I59" i="39"/>
  <c r="I58" i="39"/>
  <c r="I56" i="39"/>
  <c r="I55" i="39"/>
  <c r="I54" i="39"/>
  <c r="I53" i="39"/>
  <c r="H71" i="38"/>
  <c r="G71" i="38"/>
  <c r="F71" i="38"/>
  <c r="E71" i="38"/>
  <c r="I70" i="38"/>
  <c r="I69" i="38"/>
  <c r="I68" i="38"/>
  <c r="I66" i="38"/>
  <c r="I65" i="38"/>
  <c r="I64" i="38"/>
  <c r="I61" i="38"/>
  <c r="I60" i="38"/>
  <c r="I59" i="38"/>
  <c r="I58" i="38"/>
  <c r="I56" i="38"/>
  <c r="I55" i="38"/>
  <c r="I54" i="38"/>
  <c r="I53" i="38"/>
  <c r="J71" i="38" l="1"/>
  <c r="I72" i="38"/>
  <c r="I72" i="39"/>
  <c r="J71" i="39"/>
  <c r="C26" i="23" l="1"/>
  <c r="D26" i="23" l="1"/>
  <c r="I60" i="5"/>
  <c r="I59" i="5"/>
  <c r="I61" i="5"/>
  <c r="I58" i="5"/>
  <c r="I56" i="5"/>
  <c r="C33" i="27"/>
  <c r="I73" i="38" l="1"/>
  <c r="J73" i="38" s="1"/>
  <c r="I73" i="39" l="1"/>
  <c r="J73" i="39" s="1"/>
  <c r="C15" i="23"/>
  <c r="C10" i="23"/>
  <c r="C5" i="23"/>
  <c r="J42" i="39" l="1"/>
  <c r="C11" i="27" l="1"/>
  <c r="C18" i="27" l="1"/>
  <c r="E25" i="27" s="1"/>
  <c r="I70" i="5" l="1"/>
  <c r="H71" i="5"/>
  <c r="G71" i="5"/>
  <c r="F71" i="5"/>
  <c r="I69" i="5"/>
  <c r="I68" i="5"/>
  <c r="I66" i="5"/>
  <c r="I65" i="5"/>
  <c r="I64" i="5"/>
  <c r="I55" i="5"/>
  <c r="I54" i="5"/>
  <c r="I53" i="5"/>
  <c r="C55" i="27" l="1"/>
  <c r="J71" i="5"/>
  <c r="C53" i="41"/>
  <c r="C20" i="23"/>
  <c r="I72" i="5"/>
  <c r="C21" i="23" l="1"/>
  <c r="C47" i="27" s="1"/>
  <c r="I73" i="5"/>
  <c r="C46" i="27" l="1"/>
  <c r="D54" i="27"/>
  <c r="J73" i="5"/>
  <c r="E46" i="41"/>
  <c r="C45" i="41"/>
  <c r="C44" i="41"/>
  <c r="D52" i="41"/>
  <c r="C27" i="23"/>
  <c r="C48" i="27" s="1"/>
  <c r="C45" i="27" l="1"/>
  <c r="C46" i="41"/>
  <c r="C43" i="41" s="1"/>
  <c r="C35" i="41" s="1"/>
  <c r="C40" i="41" s="1"/>
  <c r="C37" i="27" l="1"/>
  <c r="C51" i="41"/>
  <c r="C42" i="27" l="1"/>
  <c r="L42" i="39" l="1"/>
  <c r="L61" i="39" l="1"/>
  <c r="L71" i="39"/>
  <c r="L61" i="38" l="1"/>
  <c r="L71" i="38"/>
  <c r="L61" i="5" l="1"/>
  <c r="L71" i="5"/>
  <c r="F39" i="27" l="1"/>
  <c r="L42" i="38" l="1"/>
  <c r="L42" i="5" l="1"/>
  <c r="C24" i="27" l="1"/>
  <c r="C19" i="27" l="1"/>
  <c r="C56" i="27" l="1"/>
  <c r="C52" i="27" s="1"/>
  <c r="C25" i="27"/>
  <c r="C34" i="27" l="1"/>
  <c r="C49" i="27"/>
  <c r="C57" i="27"/>
  <c r="C41" i="27" l="1"/>
  <c r="C43" i="27" s="1"/>
  <c r="C50" i="27"/>
  <c r="C44" i="27" l="1"/>
  <c r="C51" i="27" l="1"/>
</calcChain>
</file>

<file path=xl/sharedStrings.xml><?xml version="1.0" encoding="utf-8"?>
<sst xmlns="http://schemas.openxmlformats.org/spreadsheetml/2006/main" count="755" uniqueCount="296">
  <si>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</si>
  <si>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</si>
  <si>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</si>
  <si>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</si>
  <si>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</si>
  <si>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</si>
  <si>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</si>
  <si>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</si>
  <si>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</si>
  <si>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</si>
  <si>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</si>
  <si>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</si>
  <si>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</si>
  <si>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</si>
  <si>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</si>
  <si>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</si>
  <si>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</si>
  <si>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</si>
  <si>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</si>
  <si>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</si>
  <si>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</si>
  <si>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</si>
  <si>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</si>
  <si>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</si>
  <si>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</si>
  <si>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</si>
  <si>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</si>
  <si>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</si>
  <si>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</si>
  <si>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</si>
  <si>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</si>
  <si>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</si>
  <si>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</si>
  <si>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</si>
  <si>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</si>
  <si>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</si>
  <si>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</si>
  <si>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</si>
  <si>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</si>
  <si>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</si>
  <si>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</si>
  <si>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</si>
  <si>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</si>
  <si>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</si>
  <si>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</si>
  <si>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</si>
  <si>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</si>
  <si>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</si>
  <si>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</si>
  <si>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</si>
  <si>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</si>
  <si>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</si>
  <si>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</si>
  <si>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</si>
  <si>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</si>
  <si>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</si>
  <si>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</si>
  <si>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</si>
  <si>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</si>
  <si>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</si>
  <si>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</si>
  <si>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</si>
  <si>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</si>
  <si>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</si>
  <si>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</si>
  <si>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</si>
  <si>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</si>
  <si>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</si>
  <si>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</si>
  <si>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</si>
  <si>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</si>
  <si>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</si>
  <si>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</si>
  <si>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</si>
  <si>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</si>
  <si>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</si>
  <si>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</si>
  <si>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</si>
  <si>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</si>
  <si>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</si>
  <si>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</si>
  <si>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</si>
  <si>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</si>
  <si>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</si>
  <si>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</si>
  <si>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</si>
  <si>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</si>
  <si>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</si>
  <si>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</si>
  <si>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</si>
  <si>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</si>
  <si>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</si>
  <si>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</si>
  <si>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</si>
  <si>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</si>
  <si>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</si>
  <si>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</si>
  <si>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</si>
  <si>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</si>
  <si>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</si>
  <si>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</si>
  <si>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</si>
  <si>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</si>
  <si>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</si>
  <si>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</si>
  <si>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</si>
  <si>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</si>
  <si>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</si>
  <si>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</si>
  <si>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</si>
  <si>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</si>
  <si>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</si>
  <si>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</si>
  <si>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</si>
  <si>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</si>
  <si>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</si>
  <si>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</si>
  <si>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</si>
  <si>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</si>
  <si>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</si>
  <si>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</si>
  <si>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</si>
  <si>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</si>
  <si>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</si>
  <si>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</si>
  <si>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</si>
  <si>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</si>
  <si>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</si>
  <si>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</si>
  <si>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</si>
  <si>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</si>
  <si>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</si>
  <si>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 xml:space="preserve">Жами капитал </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</si>
  <si>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</si>
  <si>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</si>
  <si>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</si>
  <si>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</si>
  <si>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</si>
  <si>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</si>
  <si>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</si>
  <si>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</si>
  <si>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</si>
  <si>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</si>
  <si>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</si>
  <si>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</si>
  <si>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</si>
  <si>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</si>
  <si>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</si>
  <si>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</si>
  <si>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</si>
  <si>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Бирлашмаган (консолидация қилинмаган) хўжалик юритувчи субъектлар капиталига барча инвестициялар суммаси, шу жумладан ушбу хўжалик юритувчи субъектлар капиталини ташкил қилувчи қарз мажбуриятлари</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</si>
  <si>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</si>
  <si>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</si>
  <si>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</si>
  <si>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</si>
  <si>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</si>
  <si>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</si>
  <si>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</si>
  <si>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</si>
  <si>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</si>
  <si>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</si>
  <si>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</si>
  <si>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</si>
  <si>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</si>
  <si>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</si>
  <si>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</si>
  <si>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</si>
  <si>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</si>
  <si>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</si>
  <si>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</si>
  <si>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</si>
  <si>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</si>
  <si>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</si>
  <si>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</si>
  <si>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</si>
  <si>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</si>
  <si>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</si>
  <si>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</si>
  <si>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</si>
  <si>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</si>
  <si>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</si>
  <si>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</si>
  <si>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</si>
  <si>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Минус: 1.6-қатор. Жами I даражали асосий капиталдан чегирмалар</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</si>
  <si>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</si>
  <si>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</si>
  <si>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</si>
  <si>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</si>
  <si>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</si>
  <si>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</si>
  <si>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</si>
  <si>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</si>
  <si>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</si>
  <si>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</si>
  <si>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</si>
  <si>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</si>
  <si>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</si>
  <si>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</si>
  <si>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</si>
  <si>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</si>
  <si>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</si>
  <si>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</si>
  <si>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</si>
  <si>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</si>
  <si>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</si>
  <si>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</si>
  <si>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</si>
  <si>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</si>
  <si>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</si>
  <si>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</si>
  <si>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</si>
  <si>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</si>
  <si>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</si>
  <si>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</si>
  <si>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</si>
  <si>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</si>
  <si>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</si>
  <si>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</si>
  <si>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</si>
  <si>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</si>
  <si>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</si>
  <si>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</si>
  <si>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</si>
  <si>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Консолидация қилинмаган хўжалик юритувчи субъектларнинг капиталига киритилган барча инвестициялар, шу жумладан, хўжалик юритувчи субъектларнинг капиталини шакллантирувчи қарз мажбуриятлари, бошқа банкларнинг капиталига қўйилган инвестициялар, соф</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</si>
  <si>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</si>
  <si>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</si>
  <si>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</si>
  <si>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</si>
  <si>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</si>
  <si>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</si>
  <si>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</si>
  <si>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</si>
  <si>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</si>
  <si>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</si>
  <si>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</si>
  <si>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</si>
  <si>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</si>
  <si>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</si>
  <si>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</si>
  <si>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</si>
  <si>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</si>
  <si>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</si>
  <si>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</si>
  <si>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</si>
  <si>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</si>
  <si>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</si>
  <si>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</si>
  <si>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</si>
  <si>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</si>
  <si>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</si>
  <si>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</si>
  <si>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</si>
  <si>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</si>
  <si>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</si>
  <si>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</si>
  <si>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</si>
  <si>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</si>
  <si>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</si>
  <si>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</si>
  <si>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</si>
  <si>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</si>
  <si>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</si>
  <si>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</si>
  <si>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</si>
  <si>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</si>
  <si>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</si>
  <si>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</si>
  <si>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</si>
  <si>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</si>
  <si>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</si>
  <si>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</si>
  <si>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</si>
  <si>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Достаточность капитала - К1</t>
  </si>
  <si>
    <t>Коэффициент достаточности капитала I уровня K2</t>
  </si>
  <si>
    <t>Доля основного капитала I уровня к регулятивному капиталу</t>
  </si>
  <si>
    <t>Коэффициент нормы покрытия ликвидности</t>
  </si>
  <si>
    <t xml:space="preserve">Норма чистого стабильного финансирования  (НЧСФ) </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</si>
  <si>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</si>
  <si>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</si>
  <si>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</si>
  <si>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</si>
  <si>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</si>
  <si>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</si>
  <si>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</si>
  <si>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</si>
  <si>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</si>
  <si>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</si>
  <si>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</si>
  <si>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</si>
  <si>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</si>
  <si>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</si>
  <si>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</si>
  <si>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</si>
  <si>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</si>
  <si>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№6</t>
  </si>
  <si>
    <t xml:space="preserve">МКБАНК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</si>
</sst>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4">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FF0000"/>
      <name val="Times New Roman Cyr"/>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18">
      <protection locked="0"/>
    </xf>
    <xf numFmtId="172" fontId="34" fillId="0" borderId="0">
      <protection locked="0"/>
    </xf>
    <xf numFmtId="173" fontId="34" fillId="0" borderId="18">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3">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9" applyNumberFormat="0" applyAlignment="0" applyProtection="0"/>
    <xf numFmtId="0" fontId="57" fillId="38" borderId="20"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21"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9" applyNumberFormat="0" applyAlignment="0" applyProtection="0"/>
    <xf numFmtId="0" fontId="66" fillId="0" borderId="22"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23" applyNumberFormat="0" applyFont="0" applyAlignment="0" applyProtection="0"/>
    <xf numFmtId="0" fontId="69" fillId="37" borderId="24"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25" applyNumberFormat="0" applyFont="0" applyFill="0" applyAlignment="0" applyProtection="0"/>
    <xf numFmtId="0" fontId="71" fillId="0" borderId="0" applyNumberFormat="0" applyFill="0" applyBorder="0" applyAlignment="0" applyProtection="0"/>
  </cellStyleXfs>
  <cellXfs count="282">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3" fontId="13" fillId="0" borderId="1" xfId="0" applyNumberFormat="1" applyFont="1" applyFill="1" applyBorder="1" applyAlignment="1" applyProtection="1">
      <alignment horizontal="right" vertical="center"/>
      <protection locked="0"/>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3" fontId="13" fillId="0" borderId="1" xfId="0" applyNumberFormat="1" applyFont="1" applyFill="1" applyBorder="1" applyAlignment="1" applyProtection="1">
      <alignment horizontal="right" vertical="center"/>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pplyProtection="1">
      <alignment vertical="center"/>
    </xf>
    <xf numFmtId="3" fontId="13" fillId="3" borderId="1" xfId="0" applyNumberFormat="1" applyFont="1" applyFill="1" applyBorder="1" applyAlignment="1" applyProtection="1">
      <alignment horizontal="right" vertical="center"/>
    </xf>
    <xf numFmtId="3" fontId="13" fillId="3" borderId="13" xfId="0" applyNumberFormat="1" applyFont="1" applyFill="1" applyBorder="1" applyAlignment="1" applyProtection="1">
      <alignment horizontal="right" vertical="center"/>
    </xf>
    <xf numFmtId="0" fontId="13" fillId="0" borderId="0" xfId="0" applyFont="1" applyBorder="1" applyAlignment="1" applyProtection="1">
      <alignment vertical="center"/>
    </xf>
    <xf numFmtId="0" fontId="13" fillId="0" borderId="0" xfId="0" applyFont="1" applyAlignment="1" applyProtection="1">
      <alignment vertical="center"/>
    </xf>
    <xf numFmtId="3" fontId="13" fillId="0" borderId="5" xfId="0" applyNumberFormat="1" applyFont="1" applyBorder="1" applyAlignment="1" applyProtection="1">
      <alignment vertical="center"/>
    </xf>
    <xf numFmtId="3" fontId="13" fillId="3" borderId="5" xfId="0" applyNumberFormat="1" applyFont="1" applyFill="1" applyBorder="1" applyAlignment="1" applyProtection="1">
      <alignment horizontal="right" vertical="center"/>
    </xf>
    <xf numFmtId="3" fontId="13" fillId="0" borderId="7" xfId="0" applyNumberFormat="1" applyFont="1" applyBorder="1" applyAlignment="1" applyProtection="1">
      <alignment vertical="center"/>
    </xf>
    <xf numFmtId="0" fontId="13" fillId="0" borderId="0" xfId="0" applyFont="1" applyProtection="1"/>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3" fontId="13" fillId="0" borderId="0" xfId="0" applyNumberFormat="1" applyFont="1" applyBorder="1" applyAlignment="1" applyProtection="1">
      <alignment horizontal="centerContinuous"/>
    </xf>
    <xf numFmtId="0" fontId="10" fillId="0" borderId="0" xfId="0" applyFont="1" applyAlignment="1" applyProtection="1">
      <alignment horizontal="center" vertical="center"/>
    </xf>
    <xf numFmtId="3" fontId="8" fillId="0" borderId="0" xfId="0" applyNumberFormat="1" applyFont="1" applyBorder="1" applyAlignment="1" applyProtection="1">
      <alignment horizontal="centerContinuous"/>
    </xf>
    <xf numFmtId="3" fontId="10" fillId="0" borderId="1" xfId="0" applyNumberFormat="1" applyFont="1" applyBorder="1" applyAlignment="1" applyProtection="1">
      <alignment horizontal="centerContinuous"/>
    </xf>
    <xf numFmtId="167" fontId="13" fillId="0" borderId="0" xfId="3" applyNumberFormat="1" applyFont="1" applyAlignment="1" applyProtection="1">
      <alignment vertical="center"/>
    </xf>
    <xf numFmtId="0" fontId="13" fillId="4" borderId="0" xfId="0" applyFont="1" applyFill="1" applyAlignment="1" applyProtection="1">
      <alignment vertical="center"/>
    </xf>
    <xf numFmtId="0" fontId="10" fillId="0" borderId="0" xfId="0" applyFont="1" applyBorder="1" applyAlignment="1" applyProtection="1">
      <alignment horizontal="center" vertical="center"/>
    </xf>
    <xf numFmtId="0" fontId="13" fillId="0" borderId="0" xfId="0" applyFont="1" applyBorder="1" applyAlignment="1" applyProtection="1">
      <alignment vertical="center" wrapText="1"/>
    </xf>
    <xf numFmtId="0" fontId="13" fillId="0" borderId="0" xfId="0" applyFont="1" applyBorder="1" applyAlignment="1" applyProtection="1">
      <alignment horizontal="left" vertical="center" wrapText="1"/>
    </xf>
    <xf numFmtId="3" fontId="13" fillId="3" borderId="1" xfId="0" applyNumberFormat="1" applyFont="1" applyFill="1" applyBorder="1" applyAlignment="1" applyProtection="1">
      <alignment horizontal="center" vertical="center"/>
    </xf>
    <xf numFmtId="3" fontId="13" fillId="3" borderId="13" xfId="0" applyNumberFormat="1" applyFont="1" applyFill="1" applyBorder="1" applyAlignment="1" applyProtection="1">
      <alignment horizontal="center" vertical="center"/>
    </xf>
    <xf numFmtId="0" fontId="13" fillId="0" borderId="0" xfId="1" applyFont="1" applyAlignment="1" applyProtection="1">
      <alignment vertical="center"/>
    </xf>
    <xf numFmtId="0" fontId="13" fillId="0" borderId="0" xfId="1" applyFont="1" applyProtection="1"/>
    <xf numFmtId="3" fontId="8" fillId="0" borderId="0" xfId="0" applyNumberFormat="1" applyFont="1" applyBorder="1" applyAlignment="1" applyProtection="1">
      <alignment horizontal="center"/>
    </xf>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9" fontId="13" fillId="0" borderId="2" xfId="0" applyNumberFormat="1" applyFont="1" applyBorder="1" applyAlignment="1" applyProtection="1">
      <alignment horizontal="center" vertical="center"/>
    </xf>
    <xf numFmtId="169" fontId="13" fillId="0" borderId="2" xfId="0" applyNumberFormat="1" applyFont="1" applyBorder="1" applyAlignment="1" applyProtection="1">
      <alignment horizontal="center" vertical="center"/>
    </xf>
    <xf numFmtId="0" fontId="10" fillId="0" borderId="11" xfId="0" applyFont="1" applyBorder="1" applyAlignment="1" applyProtection="1">
      <alignment vertical="center"/>
    </xf>
    <xf numFmtId="0" fontId="10" fillId="0" borderId="14" xfId="0" applyFont="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pplyProtection="1">
      <alignment horizontal="left" vertical="center"/>
    </xf>
    <xf numFmtId="0" fontId="13" fillId="0" borderId="1" xfId="0" applyFont="1" applyBorder="1" applyAlignment="1" applyProtection="1">
      <alignment horizontal="center" vertical="center"/>
    </xf>
    <xf numFmtId="0" fontId="10" fillId="0" borderId="1" xfId="0" applyFont="1" applyBorder="1" applyAlignment="1" applyProtection="1">
      <alignment vertical="center"/>
    </xf>
    <xf numFmtId="9" fontId="13" fillId="0" borderId="1" xfId="0" applyNumberFormat="1" applyFont="1" applyBorder="1" applyAlignment="1" applyProtection="1">
      <alignment horizontal="center" vertical="center"/>
    </xf>
    <xf numFmtId="169" fontId="13" fillId="0" borderId="1" xfId="0" applyNumberFormat="1" applyFont="1" applyBorder="1" applyAlignment="1" applyProtection="1">
      <alignment horizontal="center" vertical="center"/>
    </xf>
    <xf numFmtId="0" fontId="10" fillId="0" borderId="5" xfId="0" applyFont="1" applyBorder="1" applyAlignment="1" applyProtection="1">
      <alignment vertical="center"/>
    </xf>
    <xf numFmtId="0" fontId="13" fillId="0" borderId="5" xfId="0" applyFont="1" applyBorder="1" applyAlignment="1" applyProtection="1">
      <alignment horizontal="center" vertical="center"/>
    </xf>
    <xf numFmtId="3" fontId="10" fillId="0" borderId="5" xfId="0" applyNumberFormat="1" applyFont="1" applyBorder="1" applyAlignment="1" applyProtection="1">
      <alignment horizontal="centerContinuous"/>
    </xf>
    <xf numFmtId="3" fontId="13" fillId="0" borderId="5" xfId="0" applyNumberFormat="1" applyFont="1" applyFill="1" applyBorder="1" applyAlignment="1" applyProtection="1">
      <alignment horizontal="right" vertical="center"/>
    </xf>
    <xf numFmtId="3" fontId="13" fillId="0" borderId="5" xfId="0" applyNumberFormat="1" applyFont="1" applyFill="1" applyBorder="1" applyAlignment="1" applyProtection="1">
      <alignment horizontal="right" vertical="center"/>
      <protection locked="0"/>
    </xf>
    <xf numFmtId="3" fontId="11" fillId="0" borderId="5" xfId="3" applyNumberFormat="1" applyFont="1" applyBorder="1" applyAlignment="1" applyProtection="1">
      <alignment horizontal="center" vertical="center"/>
    </xf>
    <xf numFmtId="0" fontId="11" fillId="0" borderId="4" xfId="0" applyFont="1" applyFill="1" applyBorder="1" applyAlignment="1" applyProtection="1">
      <alignment horizontal="center" vertical="center" wrapText="1"/>
    </xf>
    <xf numFmtId="3" fontId="22" fillId="0" borderId="5" xfId="3" applyNumberFormat="1" applyFont="1" applyFill="1" applyBorder="1" applyAlignment="1" applyProtection="1">
      <alignment horizontal="center" vertical="center" wrapText="1"/>
      <protection locked="0"/>
    </xf>
    <xf numFmtId="3" fontId="19" fillId="0" borderId="5" xfId="3" applyNumberFormat="1" applyFont="1" applyFill="1" applyBorder="1" applyAlignment="1" applyProtection="1">
      <alignment horizontal="center" vertical="center" wrapText="1"/>
    </xf>
    <xf numFmtId="0" fontId="22"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wrapText="1"/>
      <protection locked="0"/>
    </xf>
    <xf numFmtId="0" fontId="7"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wrapText="1"/>
    </xf>
    <xf numFmtId="3" fontId="7" fillId="0" borderId="5" xfId="3" applyNumberFormat="1" applyFont="1" applyFill="1" applyBorder="1" applyAlignment="1" applyProtection="1">
      <alignment horizontal="center" vertical="center" wrapText="1"/>
      <protection locked="0"/>
    </xf>
    <xf numFmtId="3" fontId="7" fillId="0" borderId="5" xfId="3" applyNumberFormat="1" applyFont="1" applyFill="1" applyBorder="1" applyAlignment="1" applyProtection="1">
      <alignment horizontal="center" wrapText="1"/>
      <protection locked="0"/>
    </xf>
    <xf numFmtId="3" fontId="7" fillId="0" borderId="5" xfId="3" applyNumberFormat="1"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xf>
    <xf numFmtId="3" fontId="19" fillId="0" borderId="5" xfId="3" applyNumberFormat="1" applyFont="1" applyBorder="1" applyAlignment="1" applyProtection="1">
      <alignment horizontal="center" vertical="center" wrapText="1"/>
    </xf>
    <xf numFmtId="10" fontId="19" fillId="0" borderId="5" xfId="2" applyNumberFormat="1" applyFont="1" applyFill="1" applyBorder="1" applyAlignment="1" applyProtection="1">
      <alignment horizontal="center" vertical="center"/>
    </xf>
    <xf numFmtId="10" fontId="19" fillId="0" borderId="7" xfId="2" applyNumberFormat="1" applyFont="1" applyFill="1" applyBorder="1" applyAlignment="1" applyProtection="1">
      <alignment horizontal="center" vertical="center"/>
    </xf>
    <xf numFmtId="0" fontId="19" fillId="0" borderId="26" xfId="0" applyFont="1" applyBorder="1" applyAlignment="1" applyProtection="1">
      <alignment horizontal="center" wrapText="1"/>
    </xf>
    <xf numFmtId="167" fontId="11" fillId="0" borderId="29" xfId="3" applyNumberFormat="1" applyFont="1" applyBorder="1" applyAlignment="1" applyProtection="1">
      <alignment horizontal="left" vertical="center"/>
    </xf>
    <xf numFmtId="3" fontId="20" fillId="2" borderId="31" xfId="0" applyNumberFormat="1" applyFont="1" applyFill="1" applyBorder="1" applyAlignment="1" applyProtection="1">
      <alignment horizontal="center" vertical="center" wrapText="1"/>
    </xf>
    <xf numFmtId="192" fontId="10" fillId="0" borderId="34"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32" xfId="0" applyNumberFormat="1" applyFont="1" applyFill="1" applyBorder="1" applyAlignment="1" applyProtection="1">
      <alignment horizontal="center" vertical="center" wrapText="1"/>
    </xf>
    <xf numFmtId="3" fontId="20" fillId="2" borderId="33"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28" xfId="0" applyFont="1" applyFill="1" applyBorder="1" applyAlignment="1" applyProtection="1">
      <alignment horizontal="center" vertical="center"/>
    </xf>
    <xf numFmtId="0" fontId="7" fillId="0" borderId="4"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4"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4" xfId="0" applyFont="1" applyFill="1" applyBorder="1" applyAlignment="1" applyProtection="1">
      <alignment horizontal="center" wrapText="1"/>
    </xf>
    <xf numFmtId="3" fontId="7" fillId="0" borderId="5" xfId="3" applyNumberFormat="1" applyFont="1" applyFill="1" applyBorder="1" applyAlignment="1" applyProtection="1">
      <alignment horizontal="center" wrapText="1"/>
    </xf>
    <xf numFmtId="0" fontId="19" fillId="0" borderId="4"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4"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0" fontId="19" fillId="0" borderId="4" xfId="0" applyFont="1" applyBorder="1" applyAlignment="1" applyProtection="1">
      <alignment horizontal="center" vertical="center" wrapText="1"/>
    </xf>
    <xf numFmtId="3" fontId="7" fillId="0" borderId="0" xfId="0" applyNumberFormat="1" applyFont="1" applyAlignment="1" applyProtection="1">
      <alignment vertical="center"/>
    </xf>
    <xf numFmtId="3" fontId="7" fillId="0" borderId="0" xfId="0" applyNumberFormat="1" applyFont="1" applyFill="1" applyAlignment="1" applyProtection="1">
      <alignment vertical="center"/>
    </xf>
    <xf numFmtId="166" fontId="22" fillId="0" borderId="0" xfId="3" applyFont="1" applyFill="1" applyBorder="1" applyAlignment="1" applyProtection="1">
      <alignment vertical="center"/>
    </xf>
    <xf numFmtId="3" fontId="22" fillId="0" borderId="0" xfId="0" applyNumberFormat="1" applyFont="1" applyFill="1" applyAlignment="1" applyProtection="1">
      <alignment vertical="center"/>
    </xf>
    <xf numFmtId="0" fontId="22" fillId="0" borderId="4" xfId="0" applyFont="1" applyBorder="1" applyAlignment="1" applyProtection="1">
      <alignment horizontal="center" vertical="center" wrapText="1"/>
    </xf>
    <xf numFmtId="166" fontId="22" fillId="0" borderId="0" xfId="3" applyFont="1" applyBorder="1" applyAlignment="1" applyProtection="1">
      <alignment vertical="center"/>
    </xf>
    <xf numFmtId="0" fontId="19" fillId="0" borderId="10" xfId="0" applyFont="1" applyBorder="1" applyAlignment="1" applyProtection="1">
      <alignment horizontal="center" vertical="center" wrapText="1"/>
    </xf>
    <xf numFmtId="0" fontId="19" fillId="0" borderId="13" xfId="0" applyFont="1" applyBorder="1" applyAlignment="1" applyProtection="1">
      <alignment horizontal="left" vertical="center" wrapText="1" indent="2"/>
    </xf>
    <xf numFmtId="167" fontId="7" fillId="0" borderId="0" xfId="3" applyNumberFormat="1" applyFont="1" applyProtection="1"/>
    <xf numFmtId="0" fontId="8" fillId="0" borderId="0" xfId="0" applyFont="1" applyAlignment="1" applyProtection="1">
      <alignment horizontal="center" vertical="center" wrapText="1"/>
    </xf>
    <xf numFmtId="15" fontId="0" fillId="0" borderId="0" xfId="0" applyNumberFormat="1" applyFont="1" applyBorder="1" applyAlignment="1" applyProtection="1">
      <alignment horizontal="center"/>
    </xf>
    <xf numFmtId="9" fontId="13" fillId="0" borderId="12" xfId="2" applyFont="1" applyBorder="1" applyAlignment="1" applyProtection="1">
      <alignment horizontal="center" vertical="center"/>
    </xf>
    <xf numFmtId="9" fontId="13" fillId="0" borderId="9" xfId="2" applyFont="1" applyBorder="1" applyAlignment="1" applyProtection="1">
      <alignment horizontal="center" vertical="center"/>
    </xf>
    <xf numFmtId="0" fontId="10" fillId="0" borderId="5" xfId="0" applyFont="1" applyBorder="1" applyAlignment="1" applyProtection="1">
      <alignment horizontal="center" vertical="center"/>
    </xf>
    <xf numFmtId="0" fontId="10" fillId="0" borderId="1" xfId="0" applyFont="1" applyBorder="1" applyAlignment="1" applyProtection="1">
      <alignment horizontal="right" vertical="center"/>
    </xf>
    <xf numFmtId="0" fontId="13" fillId="0" borderId="1" xfId="0" applyFont="1" applyFill="1" applyBorder="1" applyAlignment="1" applyProtection="1">
      <alignment vertical="center" wrapText="1"/>
    </xf>
    <xf numFmtId="0" fontId="10" fillId="0" borderId="10" xfId="0" applyFont="1" applyBorder="1" applyAlignment="1" applyProtection="1">
      <alignment horizontal="center" vertical="center"/>
    </xf>
    <xf numFmtId="0" fontId="10" fillId="0" borderId="1" xfId="0" applyFont="1" applyFill="1" applyBorder="1" applyAlignment="1" applyProtection="1">
      <alignment horizontal="center" vertical="center"/>
    </xf>
    <xf numFmtId="0" fontId="13" fillId="0" borderId="30" xfId="0" applyFont="1" applyBorder="1" applyAlignment="1" applyProtection="1">
      <alignment vertical="center"/>
    </xf>
    <xf numFmtId="0" fontId="10" fillId="0" borderId="10" xfId="0" applyFont="1" applyBorder="1" applyAlignment="1" applyProtection="1">
      <alignment horizontal="center" vertical="center" wrapText="1"/>
    </xf>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13" fillId="0" borderId="13" xfId="0" applyFont="1" applyFill="1" applyBorder="1" applyAlignment="1" applyProtection="1">
      <alignment vertical="center" wrapTex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193" fontId="81" fillId="0" borderId="0" xfId="3" applyNumberFormat="1" applyFont="1" applyProtection="1"/>
    <xf numFmtId="3" fontId="11" fillId="0" borderId="0" xfId="0" applyNumberFormat="1" applyFont="1" applyFill="1" applyAlignment="1" applyProtection="1">
      <alignment horizontal="center" vertical="center"/>
    </xf>
    <xf numFmtId="0" fontId="2" fillId="0" borderId="0" xfId="0" applyFont="1" applyBorder="1" applyProtection="1"/>
    <xf numFmtId="0" fontId="9" fillId="0" borderId="0" xfId="0" applyFont="1" applyBorder="1" applyProtection="1"/>
    <xf numFmtId="0" fontId="2" fillId="0" borderId="0" xfId="0" applyFont="1" applyProtection="1"/>
    <xf numFmtId="0" fontId="82"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0" fontId="83" fillId="0" borderId="0" xfId="0" applyFont="1" applyAlignment="1" applyProtection="1">
      <alignment horizontal="center"/>
    </xf>
    <xf numFmtId="192" fontId="10" fillId="0" borderId="34" xfId="4" applyNumberFormat="1" applyFont="1" applyFill="1" applyBorder="1" applyAlignment="1" applyProtection="1">
      <alignment vertical="center" wrapText="1"/>
    </xf>
    <xf numFmtId="3" fontId="13" fillId="0" borderId="5" xfId="0" applyNumberFormat="1" applyFont="1" applyBorder="1" applyAlignment="1" applyProtection="1">
      <alignment horizontal="right" vertical="center"/>
      <protection locked="0"/>
    </xf>
    <xf numFmtId="3" fontId="22" fillId="0" borderId="5" xfId="3" applyNumberFormat="1" applyFont="1" applyFill="1" applyBorder="1" applyAlignment="1" applyProtection="1">
      <alignment horizontal="center" vertical="center"/>
      <protection locked="0"/>
    </xf>
    <xf numFmtId="3" fontId="22" fillId="0" borderId="5" xfId="3" applyNumberFormat="1" applyFont="1" applyFill="1" applyBorder="1" applyAlignment="1" applyProtection="1">
      <alignment horizontal="center" vertical="center"/>
    </xf>
    <xf numFmtId="0" fontId="10" fillId="0" borderId="4"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4" xfId="0" applyFont="1" applyBorder="1" applyAlignment="1" applyProtection="1">
      <alignment horizontal="center" vertical="center" wrapText="1"/>
    </xf>
    <xf numFmtId="0" fontId="13" fillId="0" borderId="0" xfId="0" applyFont="1" applyAlignment="1" applyProtection="1">
      <alignment horizontal="center" vertical="center"/>
    </xf>
    <xf numFmtId="165" fontId="13" fillId="0" borderId="0" xfId="0" applyNumberFormat="1" applyFont="1" applyAlignment="1" applyProtection="1">
      <alignment vertical="center"/>
    </xf>
    <xf numFmtId="3" fontId="13" fillId="0" borderId="0" xfId="0" applyNumberFormat="1" applyFont="1" applyAlignment="1" applyProtection="1">
      <alignment vertical="center"/>
    </xf>
    <xf numFmtId="166" fontId="13" fillId="0" borderId="0" xfId="3" applyFont="1" applyAlignment="1" applyProtection="1">
      <alignment vertical="center"/>
    </xf>
    <xf numFmtId="167" fontId="13" fillId="0" borderId="0" xfId="0" applyNumberFormat="1" applyFont="1" applyAlignment="1" applyProtection="1">
      <alignment vertical="center"/>
    </xf>
    <xf numFmtId="170" fontId="20" fillId="41" borderId="0" xfId="3" applyNumberFormat="1" applyFont="1" applyFill="1" applyBorder="1" applyAlignment="1" applyProtection="1">
      <alignment horizontal="center" vertical="center" wrapText="1"/>
    </xf>
    <xf numFmtId="170" fontId="20" fillId="41" borderId="0" xfId="3" applyNumberFormat="1" applyFont="1" applyFill="1" applyBorder="1" applyAlignment="1" applyProtection="1">
      <alignment horizontal="center" vertical="center" wrapText="1"/>
      <protection locked="0"/>
    </xf>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2"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0" fontId="13" fillId="0" borderId="15" xfId="0" applyFont="1" applyFill="1" applyBorder="1" applyAlignment="1" applyProtection="1">
      <alignment horizontal="left" vertical="center" wrapText="1"/>
    </xf>
    <xf numFmtId="0" fontId="13" fillId="0" borderId="16" xfId="0" applyFont="1" applyFill="1" applyBorder="1" applyAlignment="1" applyProtection="1">
      <alignment horizontal="left" vertical="center" wrapText="1"/>
    </xf>
    <xf numFmtId="0" fontId="10" fillId="0" borderId="1" xfId="0" applyFont="1" applyBorder="1" applyAlignment="1" applyProtection="1">
      <alignment horizontal="center" vertical="center"/>
    </xf>
    <xf numFmtId="0" fontId="13" fillId="0" borderId="1" xfId="0" applyFont="1" applyFill="1" applyBorder="1" applyAlignment="1" applyProtection="1">
      <alignment horizontal="left" vertical="center" wrapText="1" indent="1"/>
    </xf>
    <xf numFmtId="0" fontId="13" fillId="0" borderId="1" xfId="0" applyFont="1" applyFill="1" applyBorder="1" applyAlignment="1" applyProtection="1">
      <alignment horizontal="left" vertical="center" wrapText="1"/>
    </xf>
    <xf numFmtId="0" fontId="13" fillId="0" borderId="1" xfId="0" applyFont="1" applyFill="1" applyBorder="1" applyAlignment="1" applyProtection="1">
      <alignment horizontal="left" vertical="center" wrapText="1" indent="2"/>
    </xf>
    <xf numFmtId="0" fontId="10" fillId="0" borderId="9"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12" xfId="0" applyFont="1" applyBorder="1" applyAlignment="1" applyProtection="1">
      <alignment horizontal="center" vertical="center"/>
    </xf>
    <xf numFmtId="192" fontId="10" fillId="0" borderId="35" xfId="4" applyNumberFormat="1" applyFont="1" applyFill="1" applyBorder="1" applyAlignment="1" applyProtection="1">
      <alignment horizontal="center" wrapText="1"/>
    </xf>
    <xf numFmtId="9" fontId="10" fillId="0" borderId="27" xfId="0" applyNumberFormat="1" applyFont="1" applyFill="1" applyBorder="1" applyAlignment="1" applyProtection="1">
      <alignment horizontal="center" vertical="center"/>
    </xf>
    <xf numFmtId="9" fontId="10" fillId="0" borderId="28" xfId="0" applyNumberFormat="1" applyFont="1" applyFill="1" applyBorder="1" applyAlignment="1" applyProtection="1">
      <alignment horizontal="center" vertical="center"/>
    </xf>
    <xf numFmtId="0" fontId="10" fillId="0" borderId="2" xfId="0" applyFont="1" applyBorder="1" applyAlignment="1" applyProtection="1">
      <alignment horizontal="center" vertical="center"/>
    </xf>
    <xf numFmtId="0" fontId="10" fillId="0" borderId="6" xfId="0" applyFont="1" applyBorder="1" applyAlignment="1" applyProtection="1">
      <alignment horizontal="center" vertical="center"/>
    </xf>
    <xf numFmtId="0" fontId="8" fillId="0" borderId="0" xfId="0" applyFont="1" applyBorder="1" applyAlignment="1" applyProtection="1">
      <alignment horizontal="center" vertical="center"/>
    </xf>
    <xf numFmtId="0" fontId="10" fillId="0" borderId="12" xfId="0"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0" fillId="0" borderId="8" xfId="0" applyFont="1" applyBorder="1" applyAlignment="1" applyProtection="1">
      <alignment horizontal="center" vertical="center"/>
    </xf>
    <xf numFmtId="0" fontId="10" fillId="0" borderId="4" xfId="0" applyFont="1" applyBorder="1" applyAlignment="1" applyProtection="1">
      <alignment horizontal="center" vertical="center"/>
    </xf>
    <xf numFmtId="0" fontId="10" fillId="0" borderId="8" xfId="0" applyFont="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10" fillId="0" borderId="0" xfId="1" applyFont="1" applyAlignment="1" applyProtection="1">
      <alignment horizontal="center" vertical="center"/>
    </xf>
  </cellXfs>
  <cellStyles count="1288">
    <cellStyle name="”ќђќ‘ћ‚›‰" xfId="11"/>
    <cellStyle name="”љ‘ђћ‚ђќќ›‰" xfId="12"/>
    <cellStyle name="„…ќ…†ќ›‰" xfId="13"/>
    <cellStyle name="‡ђѓћ‹ћ‚ћљ1" xfId="14"/>
    <cellStyle name="‡ђѓћ‹ћ‚ћљ2" xfId="15"/>
    <cellStyle name="’ћѓћ‚›‰" xfId="16"/>
    <cellStyle name="" xfId="17"/>
    <cellStyle name="" xfId="18"/>
    <cellStyle name="" xfId="19"/>
    <cellStyle name="" xfId="20"/>
    <cellStyle name="" xfId="21"/>
    <cellStyle name="1" xfId="22"/>
    <cellStyle name="2" xfId="23"/>
    <cellStyle name="1 indent" xfId="1226"/>
    <cellStyle name="2 indents" xfId="1227"/>
    <cellStyle name="20% - Accent1" xfId="1228"/>
    <cellStyle name="20% - Accent2" xfId="1229"/>
    <cellStyle name="20% - Accent3" xfId="1230"/>
    <cellStyle name="20% - Accent4" xfId="1231"/>
    <cellStyle name="20% - Accent5" xfId="1232"/>
    <cellStyle name="20% - Accent6" xfId="1233"/>
    <cellStyle name="20% - Акцент1 10" xfId="24"/>
    <cellStyle name="20% - Акцент1 11" xfId="25"/>
    <cellStyle name="20% - Акцент1 12" xfId="26"/>
    <cellStyle name="20% - Акцент1 13" xfId="27"/>
    <cellStyle name="20% - Акцент1 14" xfId="28"/>
    <cellStyle name="20% - Акцент1 15" xfId="29"/>
    <cellStyle name="20% - Акцент1 16" xfId="30"/>
    <cellStyle name="20% - Акцент1 17" xfId="31"/>
    <cellStyle name="20% - Акцент1 18" xfId="32"/>
    <cellStyle name="20% - Акцент1 19" xfId="33"/>
    <cellStyle name="20% - Акцент1 2" xfId="34"/>
    <cellStyle name="20% - Акцент1 20" xfId="35"/>
    <cellStyle name="20% - Акцент1 21" xfId="36"/>
    <cellStyle name="20% - Акцент1 22" xfId="37"/>
    <cellStyle name="20% - Акцент1 23" xfId="38"/>
    <cellStyle name="20% - Акцент1 24" xfId="39"/>
    <cellStyle name="20% - Акцент1 25" xfId="40"/>
    <cellStyle name="20% - Акцент1 26" xfId="41"/>
    <cellStyle name="20% - Акцент1 3" xfId="42"/>
    <cellStyle name="20% - Акцент1 4" xfId="43"/>
    <cellStyle name="20% - Акцент1 5" xfId="44"/>
    <cellStyle name="20% - Акцент1 6" xfId="45"/>
    <cellStyle name="20% - Акцент1 7" xfId="46"/>
    <cellStyle name="20% - Акцент1 8" xfId="47"/>
    <cellStyle name="20% - Акцент1 9" xfId="48"/>
    <cellStyle name="20% - Акцент2 10" xfId="49"/>
    <cellStyle name="20% - Акцент2 11" xfId="50"/>
    <cellStyle name="20% - Акцент2 12" xfId="51"/>
    <cellStyle name="20% - Акцент2 13" xfId="52"/>
    <cellStyle name="20% - Акцент2 14" xfId="53"/>
    <cellStyle name="20% - Акцент2 15" xfId="54"/>
    <cellStyle name="20% - Акцент2 16" xfId="55"/>
    <cellStyle name="20% - Акцент2 17" xfId="56"/>
    <cellStyle name="20% - Акцент2 18" xfId="57"/>
    <cellStyle name="20% - Акцент2 19" xfId="58"/>
    <cellStyle name="20% - Акцент2 2" xfId="59"/>
    <cellStyle name="20% - Акцент2 20" xfId="60"/>
    <cellStyle name="20% - Акцент2 21" xfId="61"/>
    <cellStyle name="20% - Акцент2 22" xfId="62"/>
    <cellStyle name="20% - Акцент2 23" xfId="63"/>
    <cellStyle name="20% - Акцент2 24" xfId="64"/>
    <cellStyle name="20% - Акцент2 25" xfId="65"/>
    <cellStyle name="20% - Акцент2 26" xfId="66"/>
    <cellStyle name="20% - Акцент2 3" xfId="67"/>
    <cellStyle name="20% - Акцент2 4" xfId="68"/>
    <cellStyle name="20% - Акцент2 5" xfId="69"/>
    <cellStyle name="20% - Акцент2 6" xfId="70"/>
    <cellStyle name="20% - Акцент2 7" xfId="71"/>
    <cellStyle name="20% - Акцент2 8" xfId="72"/>
    <cellStyle name="20% - Акцент2 9" xfId="73"/>
    <cellStyle name="20% - Акцент3 10" xfId="74"/>
    <cellStyle name="20% - Акцент3 11" xfId="75"/>
    <cellStyle name="20% - Акцент3 12" xfId="76"/>
    <cellStyle name="20% - Акцент3 13" xfId="77"/>
    <cellStyle name="20% - Акцент3 14" xfId="78"/>
    <cellStyle name="20% - Акцент3 15" xfId="79"/>
    <cellStyle name="20% - Акцент3 16" xfId="80"/>
    <cellStyle name="20% - Акцент3 17" xfId="81"/>
    <cellStyle name="20% - Акцент3 18" xfId="82"/>
    <cellStyle name="20% - Акцент3 19" xfId="83"/>
    <cellStyle name="20% - Акцент3 2" xfId="84"/>
    <cellStyle name="20% - Акцент3 20" xfId="85"/>
    <cellStyle name="20% - Акцент3 21" xfId="86"/>
    <cellStyle name="20% - Акцент3 22" xfId="87"/>
    <cellStyle name="20% - Акцент3 23" xfId="88"/>
    <cellStyle name="20% - Акцент3 24" xfId="89"/>
    <cellStyle name="20% - Акцент3 25" xfId="90"/>
    <cellStyle name="20% - Акцент3 26" xfId="91"/>
    <cellStyle name="20% - Акцент3 3" xfId="92"/>
    <cellStyle name="20% - Акцент3 4" xfId="93"/>
    <cellStyle name="20% - Акцент3 5" xfId="94"/>
    <cellStyle name="20% - Акцент3 6" xfId="95"/>
    <cellStyle name="20% - Акцент3 7" xfId="96"/>
    <cellStyle name="20% - Акцент3 8" xfId="97"/>
    <cellStyle name="20% - Акцент3 9" xfId="98"/>
    <cellStyle name="20% - Акцент4 10" xfId="99"/>
    <cellStyle name="20% - Акцент4 11" xfId="100"/>
    <cellStyle name="20% - Акцент4 12" xfId="101"/>
    <cellStyle name="20% - Акцент4 13" xfId="102"/>
    <cellStyle name="20% - Акцент4 14" xfId="103"/>
    <cellStyle name="20% - Акцент4 15" xfId="104"/>
    <cellStyle name="20% - Акцент4 16" xfId="105"/>
    <cellStyle name="20% - Акцент4 17" xfId="106"/>
    <cellStyle name="20% - Акцент4 18" xfId="107"/>
    <cellStyle name="20% - Акцент4 19" xfId="108"/>
    <cellStyle name="20% - Акцент4 2" xfId="109"/>
    <cellStyle name="20% - Акцент4 20" xfId="110"/>
    <cellStyle name="20% - Акцент4 21" xfId="111"/>
    <cellStyle name="20% - Акцент4 22" xfId="112"/>
    <cellStyle name="20% - Акцент4 23" xfId="113"/>
    <cellStyle name="20% - Акцент4 24" xfId="114"/>
    <cellStyle name="20% - Акцент4 25" xfId="115"/>
    <cellStyle name="20% - Акцент4 26" xfId="116"/>
    <cellStyle name="20% - Акцент4 3" xfId="117"/>
    <cellStyle name="20% - Акцент4 4" xfId="118"/>
    <cellStyle name="20% - Акцент4 5" xfId="119"/>
    <cellStyle name="20% - Акцент4 6" xfId="120"/>
    <cellStyle name="20% - Акцент4 7" xfId="121"/>
    <cellStyle name="20% - Акцент4 8" xfId="122"/>
    <cellStyle name="20% - Акцент4 9" xfId="123"/>
    <cellStyle name="20% - Акцент5 10" xfId="124"/>
    <cellStyle name="20% - Акцент5 11" xfId="125"/>
    <cellStyle name="20% - Акцент5 12" xfId="126"/>
    <cellStyle name="20% - Акцент5 13" xfId="127"/>
    <cellStyle name="20% - Акцент5 14" xfId="128"/>
    <cellStyle name="20% - Акцент5 15" xfId="129"/>
    <cellStyle name="20% - Акцент5 16" xfId="130"/>
    <cellStyle name="20% - Акцент5 17" xfId="131"/>
    <cellStyle name="20% - Акцент5 18" xfId="132"/>
    <cellStyle name="20% - Акцент5 19" xfId="133"/>
    <cellStyle name="20% - Акцент5 2" xfId="134"/>
    <cellStyle name="20% - Акцент5 20" xfId="135"/>
    <cellStyle name="20% - Акцент5 21" xfId="136"/>
    <cellStyle name="20% - Акцент5 22" xfId="137"/>
    <cellStyle name="20% - Акцент5 23" xfId="138"/>
    <cellStyle name="20% - Акцент5 24" xfId="139"/>
    <cellStyle name="20% - Акцент5 25" xfId="140"/>
    <cellStyle name="20% - Акцент5 26" xfId="141"/>
    <cellStyle name="20% - Акцент5 3" xfId="142"/>
    <cellStyle name="20% - Акцент5 4" xfId="143"/>
    <cellStyle name="20% - Акцент5 5" xfId="144"/>
    <cellStyle name="20% - Акцент5 6" xfId="145"/>
    <cellStyle name="20% - Акцент5 7" xfId="146"/>
    <cellStyle name="20% - Акцент5 8" xfId="147"/>
    <cellStyle name="20% - Акцент5 9" xfId="148"/>
    <cellStyle name="20% - Акцент6 10" xfId="149"/>
    <cellStyle name="20% - Акцент6 11" xfId="150"/>
    <cellStyle name="20% - Акцент6 12" xfId="151"/>
    <cellStyle name="20% - Акцент6 13" xfId="152"/>
    <cellStyle name="20% - Акцент6 14" xfId="153"/>
    <cellStyle name="20% - Акцент6 15" xfId="154"/>
    <cellStyle name="20% - Акцент6 16" xfId="155"/>
    <cellStyle name="20% - Акцент6 17" xfId="156"/>
    <cellStyle name="20% - Акцент6 18" xfId="157"/>
    <cellStyle name="20% - Акцент6 19" xfId="158"/>
    <cellStyle name="20% - Акцент6 2" xfId="159"/>
    <cellStyle name="20% - Акцент6 20" xfId="160"/>
    <cellStyle name="20% - Акцент6 21" xfId="161"/>
    <cellStyle name="20% - Акцент6 22" xfId="162"/>
    <cellStyle name="20% - Акцент6 23" xfId="163"/>
    <cellStyle name="20% - Акцент6 24" xfId="164"/>
    <cellStyle name="20% - Акцент6 25" xfId="165"/>
    <cellStyle name="20% - Акцент6 26" xfId="166"/>
    <cellStyle name="20% - Акцент6 3" xfId="167"/>
    <cellStyle name="20% - Акцент6 4" xfId="168"/>
    <cellStyle name="20% - Акцент6 5" xfId="169"/>
    <cellStyle name="20% - Акцент6 6" xfId="170"/>
    <cellStyle name="20% - Акцент6 7" xfId="171"/>
    <cellStyle name="20% - Акцент6 8" xfId="172"/>
    <cellStyle name="20% - Акцент6 9" xfId="173"/>
    <cellStyle name="4 indents" xfId="1234"/>
    <cellStyle name="40% - Accent1" xfId="1235"/>
    <cellStyle name="40% - Accent2" xfId="1236"/>
    <cellStyle name="40% - Accent3" xfId="1237"/>
    <cellStyle name="40% - Accent4" xfId="1238"/>
    <cellStyle name="40% - Accent5" xfId="1239"/>
    <cellStyle name="40% - Accent6" xfId="1240"/>
    <cellStyle name="40% - Акцент1 10" xfId="174"/>
    <cellStyle name="40% - Акцент1 11" xfId="175"/>
    <cellStyle name="40% - Акцент1 12" xfId="176"/>
    <cellStyle name="40% - Акцент1 13" xfId="177"/>
    <cellStyle name="40% - Акцент1 14" xfId="178"/>
    <cellStyle name="40% - Акцент1 15" xfId="179"/>
    <cellStyle name="40% - Акцент1 16" xfId="180"/>
    <cellStyle name="40% - Акцент1 17" xfId="181"/>
    <cellStyle name="40% - Акцент1 18" xfId="182"/>
    <cellStyle name="40% - Акцент1 19" xfId="183"/>
    <cellStyle name="40% - Акцент1 2" xfId="184"/>
    <cellStyle name="40% - Акцент1 20" xfId="185"/>
    <cellStyle name="40% - Акцент1 21" xfId="186"/>
    <cellStyle name="40% - Акцент1 22" xfId="187"/>
    <cellStyle name="40% - Акцент1 23" xfId="188"/>
    <cellStyle name="40% - Акцент1 24" xfId="189"/>
    <cellStyle name="40% - Акцент1 25" xfId="190"/>
    <cellStyle name="40% - Акцент1 26" xfId="191"/>
    <cellStyle name="40% - Акцент1 3" xfId="192"/>
    <cellStyle name="40% - Акцент1 4" xfId="193"/>
    <cellStyle name="40% - Акцент1 5" xfId="194"/>
    <cellStyle name="40% - Акцент1 6" xfId="195"/>
    <cellStyle name="40% - Акцент1 7" xfId="196"/>
    <cellStyle name="40% - Акцент1 8" xfId="197"/>
    <cellStyle name="40% - Акцент1 9" xfId="198"/>
    <cellStyle name="40% - Акцент2 10" xfId="199"/>
    <cellStyle name="40% - Акцент2 11" xfId="200"/>
    <cellStyle name="40% - Акцент2 12" xfId="201"/>
    <cellStyle name="40% - Акцент2 13" xfId="202"/>
    <cellStyle name="40% - Акцент2 14" xfId="203"/>
    <cellStyle name="40% - Акцент2 15" xfId="204"/>
    <cellStyle name="40% - Акцент2 16" xfId="205"/>
    <cellStyle name="40% - Акцент2 17" xfId="206"/>
    <cellStyle name="40% - Акцент2 18" xfId="207"/>
    <cellStyle name="40% - Акцент2 19" xfId="208"/>
    <cellStyle name="40% - Акцент2 2" xfId="209"/>
    <cellStyle name="40% - Акцент2 20" xfId="210"/>
    <cellStyle name="40% - Акцент2 21" xfId="211"/>
    <cellStyle name="40% - Акцент2 22" xfId="212"/>
    <cellStyle name="40% - Акцент2 23" xfId="213"/>
    <cellStyle name="40% - Акцент2 24" xfId="214"/>
    <cellStyle name="40% - Акцент2 25" xfId="215"/>
    <cellStyle name="40% - Акцент2 26" xfId="216"/>
    <cellStyle name="40% - Акцент2 3" xfId="217"/>
    <cellStyle name="40% - Акцент2 4" xfId="218"/>
    <cellStyle name="40% - Акцент2 5" xfId="219"/>
    <cellStyle name="40% - Акцент2 6" xfId="220"/>
    <cellStyle name="40% - Акцент2 7" xfId="221"/>
    <cellStyle name="40% - Акцент2 8" xfId="222"/>
    <cellStyle name="40% - Акцент2 9" xfId="223"/>
    <cellStyle name="40% - Акцент3 10" xfId="224"/>
    <cellStyle name="40% - Акцент3 11" xfId="225"/>
    <cellStyle name="40% - Акцент3 12" xfId="226"/>
    <cellStyle name="40% - Акцент3 13" xfId="227"/>
    <cellStyle name="40% - Акцент3 14" xfId="228"/>
    <cellStyle name="40% - Акцент3 15" xfId="229"/>
    <cellStyle name="40% - Акцент3 16" xfId="230"/>
    <cellStyle name="40% - Акцент3 17" xfId="231"/>
    <cellStyle name="40% - Акцент3 18" xfId="232"/>
    <cellStyle name="40% - Акцент3 19" xfId="233"/>
    <cellStyle name="40% - Акцент3 2" xfId="234"/>
    <cellStyle name="40% - Акцент3 20" xfId="235"/>
    <cellStyle name="40% - Акцент3 21" xfId="236"/>
    <cellStyle name="40% - Акцент3 22" xfId="237"/>
    <cellStyle name="40% - Акцент3 23" xfId="238"/>
    <cellStyle name="40% - Акцент3 24" xfId="239"/>
    <cellStyle name="40% - Акцент3 25" xfId="240"/>
    <cellStyle name="40% - Акцент3 26" xfId="241"/>
    <cellStyle name="40% - Акцент3 3" xfId="242"/>
    <cellStyle name="40% - Акцент3 4" xfId="243"/>
    <cellStyle name="40% - Акцент3 5" xfId="244"/>
    <cellStyle name="40% - Акцент3 6" xfId="245"/>
    <cellStyle name="40% - Акцент3 7" xfId="246"/>
    <cellStyle name="40% - Акцент3 8" xfId="247"/>
    <cellStyle name="40% - Акцент3 9" xfId="248"/>
    <cellStyle name="40% - Акцент4 10" xfId="249"/>
    <cellStyle name="40% - Акцент4 11" xfId="250"/>
    <cellStyle name="40% - Акцент4 12" xfId="251"/>
    <cellStyle name="40% - Акцент4 13" xfId="252"/>
    <cellStyle name="40% - Акцент4 14" xfId="253"/>
    <cellStyle name="40% - Акцент4 15" xfId="254"/>
    <cellStyle name="40% - Акцент4 16" xfId="255"/>
    <cellStyle name="40% - Акцент4 17" xfId="256"/>
    <cellStyle name="40% - Акцент4 18" xfId="257"/>
    <cellStyle name="40% - Акцент4 19" xfId="258"/>
    <cellStyle name="40% - Акцент4 2" xfId="259"/>
    <cellStyle name="40% - Акцент4 20" xfId="260"/>
    <cellStyle name="40% - Акцент4 21" xfId="261"/>
    <cellStyle name="40% - Акцент4 22" xfId="262"/>
    <cellStyle name="40% - Акцент4 23" xfId="263"/>
    <cellStyle name="40% - Акцент4 24" xfId="264"/>
    <cellStyle name="40% - Акцент4 25" xfId="265"/>
    <cellStyle name="40% - Акцент4 26" xfId="266"/>
    <cellStyle name="40% - Акцент4 3" xfId="267"/>
    <cellStyle name="40% - Акцент4 4" xfId="268"/>
    <cellStyle name="40% - Акцент4 5" xfId="269"/>
    <cellStyle name="40% - Акцент4 6" xfId="270"/>
    <cellStyle name="40% - Акцент4 7" xfId="271"/>
    <cellStyle name="40% - Акцент4 8" xfId="272"/>
    <cellStyle name="40% - Акцент4 9" xfId="273"/>
    <cellStyle name="40% - Акцент5 10" xfId="274"/>
    <cellStyle name="40% - Акцент5 11" xfId="275"/>
    <cellStyle name="40% - Акцент5 12" xfId="276"/>
    <cellStyle name="40% - Акцент5 13" xfId="277"/>
    <cellStyle name="40% - Акцент5 14" xfId="278"/>
    <cellStyle name="40% - Акцент5 15" xfId="279"/>
    <cellStyle name="40% - Акцент5 16" xfId="280"/>
    <cellStyle name="40% - Акцент5 17" xfId="281"/>
    <cellStyle name="40% - Акцент5 18" xfId="282"/>
    <cellStyle name="40% - Акцент5 19" xfId="283"/>
    <cellStyle name="40% - Акцент5 2" xfId="284"/>
    <cellStyle name="40% - Акцент5 20" xfId="285"/>
    <cellStyle name="40% - Акцент5 21" xfId="286"/>
    <cellStyle name="40% - Акцент5 22" xfId="287"/>
    <cellStyle name="40% - Акцент5 23" xfId="288"/>
    <cellStyle name="40% - Акцент5 24" xfId="289"/>
    <cellStyle name="40% - Акцент5 25" xfId="290"/>
    <cellStyle name="40% - Акцент5 26" xfId="291"/>
    <cellStyle name="40% - Акцент5 3" xfId="292"/>
    <cellStyle name="40% - Акцент5 4" xfId="293"/>
    <cellStyle name="40% - Акцент5 5" xfId="294"/>
    <cellStyle name="40% - Акцент5 6" xfId="295"/>
    <cellStyle name="40% - Акцент5 7" xfId="296"/>
    <cellStyle name="40% - Акцент5 8" xfId="297"/>
    <cellStyle name="40% - Акцент5 9" xfId="298"/>
    <cellStyle name="40% - Акцент6 10" xfId="299"/>
    <cellStyle name="40% - Акцент6 11" xfId="300"/>
    <cellStyle name="40% - Акцент6 12" xfId="301"/>
    <cellStyle name="40% - Акцент6 13" xfId="302"/>
    <cellStyle name="40% - Акцент6 14" xfId="303"/>
    <cellStyle name="40% - Акцент6 15" xfId="304"/>
    <cellStyle name="40% - Акцент6 16" xfId="305"/>
    <cellStyle name="40% - Акцент6 17" xfId="306"/>
    <cellStyle name="40% - Акцент6 18" xfId="307"/>
    <cellStyle name="40% - Акцент6 19" xfId="308"/>
    <cellStyle name="40% - Акцент6 2" xfId="309"/>
    <cellStyle name="40% - Акцент6 20" xfId="310"/>
    <cellStyle name="40% - Акцент6 21" xfId="311"/>
    <cellStyle name="40% - Акцент6 22" xfId="312"/>
    <cellStyle name="40% - Акцент6 23" xfId="313"/>
    <cellStyle name="40% - Акцент6 24" xfId="314"/>
    <cellStyle name="40% - Акцент6 25" xfId="315"/>
    <cellStyle name="40% - Акцент6 26" xfId="316"/>
    <cellStyle name="40% - Акцент6 3" xfId="317"/>
    <cellStyle name="40% - Акцент6 4" xfId="318"/>
    <cellStyle name="40% - Акцент6 5" xfId="319"/>
    <cellStyle name="40% - Акцент6 6" xfId="320"/>
    <cellStyle name="40% - Акцент6 7" xfId="321"/>
    <cellStyle name="40% - Акцент6 8" xfId="322"/>
    <cellStyle name="40% - Акцент6 9" xfId="323"/>
    <cellStyle name="60% - Accent1" xfId="1241"/>
    <cellStyle name="60% - Accent2" xfId="1242"/>
    <cellStyle name="60% - Accent3" xfId="1243"/>
    <cellStyle name="60% - Accent4" xfId="1244"/>
    <cellStyle name="60% - Accent5" xfId="1245"/>
    <cellStyle name="60% - Accent6" xfId="1246"/>
    <cellStyle name="Accent1" xfId="1247"/>
    <cellStyle name="Accent2" xfId="1248"/>
    <cellStyle name="Accent3" xfId="1249"/>
    <cellStyle name="Accent4" xfId="1250"/>
    <cellStyle name="Accent5" xfId="1251"/>
    <cellStyle name="Accent6" xfId="1252"/>
    <cellStyle name="Bad" xfId="1253"/>
    <cellStyle name="Calculation" xfId="1254"/>
    <cellStyle name="Check Cell" xfId="1255"/>
    <cellStyle name="Column_Title" xfId="324"/>
    <cellStyle name="Comma [0]_1 MAIN" xfId="325"/>
    <cellStyle name="Comma 2" xfId="1256"/>
    <cellStyle name="Comma_1 MAIN" xfId="326"/>
    <cellStyle name="Comma0" xfId="1257"/>
    <cellStyle name="common" xfId="1258"/>
    <cellStyle name="Currency_Copy of SEI1098d" xfId="1259"/>
    <cellStyle name="Currency0" xfId="1260"/>
    <cellStyle name="Date" xfId="1261"/>
    <cellStyle name="Euro" xfId="1262"/>
    <cellStyle name="Excel.Chart" xfId="1263"/>
    <cellStyle name="Explanatory Text" xfId="1264"/>
    <cellStyle name="Fixed" xfId="1265"/>
    <cellStyle name="Good" xfId="1266"/>
    <cellStyle name="Heading 1" xfId="1267"/>
    <cellStyle name="Heading 2" xfId="1268"/>
    <cellStyle name="Heading 3" xfId="1269"/>
    <cellStyle name="Heading 4" xfId="1270"/>
    <cellStyle name="imf-one decimal" xfId="1271"/>
    <cellStyle name="Input" xfId="1272"/>
    <cellStyle name="Linked Cell" xfId="1273"/>
    <cellStyle name="Millares [0]_11.1.3. bis" xfId="1274"/>
    <cellStyle name="Millares_11.1.3. bis" xfId="1275"/>
    <cellStyle name="Moneda [0]_11.1.3. bis" xfId="1276"/>
    <cellStyle name="Moneda_11.1.3. bis" xfId="1277"/>
    <cellStyle name="mystyle" xfId="1278"/>
    <cellStyle name="Neutral" xfId="1279"/>
    <cellStyle name="Normal - Style1" xfId="1280"/>
    <cellStyle name="Normal 2" xfId="327"/>
    <cellStyle name="Normal 2 2" xfId="1225"/>
    <cellStyle name="Normal_1 MAIN" xfId="328"/>
    <cellStyle name="Note" xfId="1281"/>
    <cellStyle name="Output" xfId="1282"/>
    <cellStyle name="Percent 2" xfId="329"/>
    <cellStyle name="Percent_Copy of SEI1098d" xfId="1283"/>
    <cellStyle name="percentage difference" xfId="1284"/>
    <cellStyle name="Title" xfId="1285"/>
    <cellStyle name="Total" xfId="1286"/>
    <cellStyle name="Warning Text" xfId="1287"/>
    <cellStyle name="Обычный" xfId="0" builtinId="0"/>
    <cellStyle name="Обычный 10" xfId="330"/>
    <cellStyle name="Обычный 10 10" xfId="331"/>
    <cellStyle name="Обычный 10 11" xfId="332"/>
    <cellStyle name="Обычный 10 2" xfId="333"/>
    <cellStyle name="Обычный 10 2 2" xfId="334"/>
    <cellStyle name="Обычный 10 2 2 2" xfId="335"/>
    <cellStyle name="Обычный 10 2 3" xfId="336"/>
    <cellStyle name="Обычный 10 3" xfId="337"/>
    <cellStyle name="Обычный 10 3 2" xfId="338"/>
    <cellStyle name="Обычный 10 3 3" xfId="339"/>
    <cellStyle name="Обычный 10 4" xfId="340"/>
    <cellStyle name="Обычный 10 5" xfId="341"/>
    <cellStyle name="Обычный 10 6" xfId="342"/>
    <cellStyle name="Обычный 10 7" xfId="343"/>
    <cellStyle name="Обычный 10 8" xfId="344"/>
    <cellStyle name="Обычный 10 9" xfId="345"/>
    <cellStyle name="Обычный 100" xfId="346"/>
    <cellStyle name="Обычный 100 2" xfId="347"/>
    <cellStyle name="Обычный 100 2 2" xfId="348"/>
    <cellStyle name="Обычный 101" xfId="349"/>
    <cellStyle name="Обычный 102" xfId="350"/>
    <cellStyle name="Обычный 103" xfId="351"/>
    <cellStyle name="Обычный 104" xfId="352"/>
    <cellStyle name="Обычный 106" xfId="353"/>
    <cellStyle name="Обычный 107" xfId="354"/>
    <cellStyle name="Обычный 109" xfId="355"/>
    <cellStyle name="Обычный 11" xfId="356"/>
    <cellStyle name="Обычный 11 2" xfId="357"/>
    <cellStyle name="Обычный 11 2 2" xfId="358"/>
    <cellStyle name="Обычный 11 3" xfId="359"/>
    <cellStyle name="Обычный 11 4" xfId="360"/>
    <cellStyle name="Обычный 11 6" xfId="361"/>
    <cellStyle name="Обычный 110" xfId="362"/>
    <cellStyle name="Обычный 112" xfId="363"/>
    <cellStyle name="Обычный 113" xfId="364"/>
    <cellStyle name="Обычный 115" xfId="365"/>
    <cellStyle name="Обычный 116" xfId="366"/>
    <cellStyle name="Обычный 118" xfId="367"/>
    <cellStyle name="Обычный 12" xfId="368"/>
    <cellStyle name="Обычный 12 2" xfId="369"/>
    <cellStyle name="Обычный 12 2 2" xfId="370"/>
    <cellStyle name="Обычный 12 3" xfId="371"/>
    <cellStyle name="Обычный 12 4" xfId="372"/>
    <cellStyle name="Обычный 12 5" xfId="373"/>
    <cellStyle name="Обычный 12 6" xfId="374"/>
    <cellStyle name="Обычный 12 7" xfId="375"/>
    <cellStyle name="Обычный 12 8" xfId="376"/>
    <cellStyle name="Обычный 120" xfId="377"/>
    <cellStyle name="Обычный 121" xfId="378"/>
    <cellStyle name="Обычный 122" xfId="379"/>
    <cellStyle name="Обычный 123" xfId="380"/>
    <cellStyle name="Обычный 13" xfId="381"/>
    <cellStyle name="Обычный 13 2" xfId="382"/>
    <cellStyle name="Обычный 13 2 2" xfId="383"/>
    <cellStyle name="Обычный 14" xfId="384"/>
    <cellStyle name="Обычный 14 2" xfId="385"/>
    <cellStyle name="Обычный 14 2 2" xfId="386"/>
    <cellStyle name="Обычный 14 3" xfId="387"/>
    <cellStyle name="Обычный 14 4" xfId="388"/>
    <cellStyle name="Обычный 14 5" xfId="389"/>
    <cellStyle name="Обычный 144" xfId="390"/>
    <cellStyle name="Обычный 147" xfId="391"/>
    <cellStyle name="Обычный 148" xfId="392"/>
    <cellStyle name="Обычный 15" xfId="393"/>
    <cellStyle name="Обычный 15 2" xfId="394"/>
    <cellStyle name="Обычный 15 2 2" xfId="395"/>
    <cellStyle name="Обычный 15 2 3" xfId="396"/>
    <cellStyle name="Обычный 15 2 4" xfId="397"/>
    <cellStyle name="Обычный 15 2 5" xfId="398"/>
    <cellStyle name="Обычный 15 2 6" xfId="399"/>
    <cellStyle name="Обычный 15 3" xfId="400"/>
    <cellStyle name="Обычный 15 4" xfId="401"/>
    <cellStyle name="Обычный 15 5" xfId="402"/>
    <cellStyle name="Обычный 16" xfId="403"/>
    <cellStyle name="Обычный 16 10" xfId="404"/>
    <cellStyle name="Обычный 16 11" xfId="405"/>
    <cellStyle name="Обычный 16 12" xfId="406"/>
    <cellStyle name="Обычный 16 13" xfId="407"/>
    <cellStyle name="Обычный 16 14" xfId="408"/>
    <cellStyle name="Обычный 16 2" xfId="409"/>
    <cellStyle name="Обычный 16 2 2" xfId="410"/>
    <cellStyle name="Обычный 16 3" xfId="411"/>
    <cellStyle name="Обычный 16 3 2" xfId="412"/>
    <cellStyle name="Обычный 16 4" xfId="413"/>
    <cellStyle name="Обычный 16 4 2" xfId="414"/>
    <cellStyle name="Обычный 16 5" xfId="415"/>
    <cellStyle name="Обычный 16 6" xfId="416"/>
    <cellStyle name="Обычный 16 7" xfId="417"/>
    <cellStyle name="Обычный 16 8" xfId="418"/>
    <cellStyle name="Обычный 16 9" xfId="419"/>
    <cellStyle name="Обычный 17" xfId="420"/>
    <cellStyle name="Обычный 17 2" xfId="421"/>
    <cellStyle name="Обычный 17 2 2" xfId="422"/>
    <cellStyle name="Обычный 17 3" xfId="423"/>
    <cellStyle name="Обычный 17 4" xfId="424"/>
    <cellStyle name="Обычный 18" xfId="425"/>
    <cellStyle name="Обычный 18 2" xfId="426"/>
    <cellStyle name="Обычный 18 2 2" xfId="427"/>
    <cellStyle name="Обычный 18 2 2 2" xfId="428"/>
    <cellStyle name="Обычный 18 2 3" xfId="429"/>
    <cellStyle name="Обычный 18 2 4" xfId="430"/>
    <cellStyle name="Обычный 18 3" xfId="431"/>
    <cellStyle name="Обычный 18 3 2" xfId="432"/>
    <cellStyle name="Обычный 18 4" xfId="433"/>
    <cellStyle name="Обычный 18 5" xfId="434"/>
    <cellStyle name="Обычный 18 6" xfId="435"/>
    <cellStyle name="Обычный 188" xfId="436"/>
    <cellStyle name="Обычный 19" xfId="437"/>
    <cellStyle name="Обычный 19 2" xfId="438"/>
    <cellStyle name="Обычный 19 2 2" xfId="439"/>
    <cellStyle name="Обычный 19 2 3" xfId="440"/>
    <cellStyle name="Обычный 19 3" xfId="441"/>
    <cellStyle name="Обычный 190" xfId="442"/>
    <cellStyle name="Обычный 2" xfId="1"/>
    <cellStyle name="Обычный 2 10" xfId="443"/>
    <cellStyle name="Обычный 2 11" xfId="444"/>
    <cellStyle name="Обычный 2 12" xfId="445"/>
    <cellStyle name="Обычный 2 13" xfId="446"/>
    <cellStyle name="Обычный 2 14" xfId="447"/>
    <cellStyle name="Обычный 2 15" xfId="448"/>
    <cellStyle name="Обычный 2 16" xfId="449"/>
    <cellStyle name="Обычный 2 17" xfId="450"/>
    <cellStyle name="Обычный 2 18" xfId="451"/>
    <cellStyle name="Обычный 2 19" xfId="452"/>
    <cellStyle name="Обычный 2 2" xfId="453"/>
    <cellStyle name="Обычный 2 2 10" xfId="454"/>
    <cellStyle name="Обычный 2 2 10 2" xfId="455"/>
    <cellStyle name="Обычный 2 2 11" xfId="456"/>
    <cellStyle name="Обычный 2 2 11 2" xfId="457"/>
    <cellStyle name="Обычный 2 2 12" xfId="458"/>
    <cellStyle name="Обычный 2 2 12 2" xfId="459"/>
    <cellStyle name="Обычный 2 2 13" xfId="460"/>
    <cellStyle name="Обычный 2 2 13 2" xfId="461"/>
    <cellStyle name="Обычный 2 2 14" xfId="462"/>
    <cellStyle name="Обычный 2 2 14 2" xfId="463"/>
    <cellStyle name="Обычный 2 2 15" xfId="464"/>
    <cellStyle name="Обычный 2 2 15 2" xfId="465"/>
    <cellStyle name="Обычный 2 2 16" xfId="466"/>
    <cellStyle name="Обычный 2 2 16 2" xfId="467"/>
    <cellStyle name="Обычный 2 2 17" xfId="468"/>
    <cellStyle name="Обычный 2 2 17 2" xfId="469"/>
    <cellStyle name="Обычный 2 2 18" xfId="470"/>
    <cellStyle name="Обычный 2 2 18 2" xfId="471"/>
    <cellStyle name="Обычный 2 2 19" xfId="472"/>
    <cellStyle name="Обычный 2 2 19 2" xfId="473"/>
    <cellStyle name="Обычный 2 2 2" xfId="474"/>
    <cellStyle name="Обычный 2 2 2 10" xfId="475"/>
    <cellStyle name="Обычный 2 2 2 11" xfId="476"/>
    <cellStyle name="Обычный 2 2 2 12" xfId="477"/>
    <cellStyle name="Обычный 2 2 2 13" xfId="478"/>
    <cellStyle name="Обычный 2 2 2 14" xfId="479"/>
    <cellStyle name="Обычный 2 2 2 15" xfId="480"/>
    <cellStyle name="Обычный 2 2 2 16" xfId="481"/>
    <cellStyle name="Обычный 2 2 2 17" xfId="482"/>
    <cellStyle name="Обычный 2 2 2 18" xfId="483"/>
    <cellStyle name="Обычный 2 2 2 19" xfId="484"/>
    <cellStyle name="Обычный 2 2 2 2" xfId="485"/>
    <cellStyle name="Обычный 2 2 2 2 10" xfId="486"/>
    <cellStyle name="Обычный 2 2 2 2 11" xfId="487"/>
    <cellStyle name="Обычный 2 2 2 2 12" xfId="488"/>
    <cellStyle name="Обычный 2 2 2 2 13" xfId="489"/>
    <cellStyle name="Обычный 2 2 2 2 14" xfId="490"/>
    <cellStyle name="Обычный 2 2 2 2 15" xfId="491"/>
    <cellStyle name="Обычный 2 2 2 2 16" xfId="492"/>
    <cellStyle name="Обычный 2 2 2 2 17" xfId="493"/>
    <cellStyle name="Обычный 2 2 2 2 18" xfId="494"/>
    <cellStyle name="Обычный 2 2 2 2 19" xfId="495"/>
    <cellStyle name="Обычный 2 2 2 2 2" xfId="496"/>
    <cellStyle name="Обычный 2 2 2 2 20" xfId="497"/>
    <cellStyle name="Обычный 2 2 2 2 21" xfId="498"/>
    <cellStyle name="Обычный 2 2 2 2 22" xfId="499"/>
    <cellStyle name="Обычный 2 2 2 2 23" xfId="500"/>
    <cellStyle name="Обычный 2 2 2 2 24" xfId="501"/>
    <cellStyle name="Обычный 2 2 2 2 25" xfId="502"/>
    <cellStyle name="Обычный 2 2 2 2 26" xfId="503"/>
    <cellStyle name="Обычный 2 2 2 2 27" xfId="504"/>
    <cellStyle name="Обычный 2 2 2 2 28" xfId="505"/>
    <cellStyle name="Обычный 2 2 2 2 29" xfId="506"/>
    <cellStyle name="Обычный 2 2 2 2 3" xfId="507"/>
    <cellStyle name="Обычный 2 2 2 2 30" xfId="508"/>
    <cellStyle name="Обычный 2 2 2 2 4" xfId="509"/>
    <cellStyle name="Обычный 2 2 2 2 5" xfId="510"/>
    <cellStyle name="Обычный 2 2 2 2 6" xfId="511"/>
    <cellStyle name="Обычный 2 2 2 2 7" xfId="512"/>
    <cellStyle name="Обычный 2 2 2 2 8" xfId="513"/>
    <cellStyle name="Обычный 2 2 2 2 9" xfId="514"/>
    <cellStyle name="Обычный 2 2 2 20" xfId="515"/>
    <cellStyle name="Обычный 2 2 2 21" xfId="516"/>
    <cellStyle name="Обычный 2 2 2 22" xfId="517"/>
    <cellStyle name="Обычный 2 2 2 23" xfId="518"/>
    <cellStyle name="Обычный 2 2 2 24" xfId="519"/>
    <cellStyle name="Обычный 2 2 2 25" xfId="520"/>
    <cellStyle name="Обычный 2 2 2 26" xfId="521"/>
    <cellStyle name="Обычный 2 2 2 27" xfId="522"/>
    <cellStyle name="Обычный 2 2 2 28" xfId="523"/>
    <cellStyle name="Обычный 2 2 2 29" xfId="524"/>
    <cellStyle name="Обычный 2 2 2 3" xfId="525"/>
    <cellStyle name="Обычный 2 2 2 30" xfId="526"/>
    <cellStyle name="Обычный 2 2 2 31" xfId="527"/>
    <cellStyle name="Обычный 2 2 2 4" xfId="528"/>
    <cellStyle name="Обычный 2 2 2 5" xfId="529"/>
    <cellStyle name="Обычный 2 2 2 6" xfId="530"/>
    <cellStyle name="Обычный 2 2 2 7" xfId="531"/>
    <cellStyle name="Обычный 2 2 2 8" xfId="532"/>
    <cellStyle name="Обычный 2 2 2 9" xfId="533"/>
    <cellStyle name="Обычный 2 2 20" xfId="534"/>
    <cellStyle name="Обычный 2 2 20 2" xfId="535"/>
    <cellStyle name="Обычный 2 2 21" xfId="536"/>
    <cellStyle name="Обычный 2 2 21 2" xfId="537"/>
    <cellStyle name="Обычный 2 2 22" xfId="538"/>
    <cellStyle name="Обычный 2 2 22 2" xfId="539"/>
    <cellStyle name="Обычный 2 2 23" xfId="540"/>
    <cellStyle name="Обычный 2 2 23 2" xfId="541"/>
    <cellStyle name="Обычный 2 2 24" xfId="542"/>
    <cellStyle name="Обычный 2 2 24 2" xfId="543"/>
    <cellStyle name="Обычный 2 2 25" xfId="544"/>
    <cellStyle name="Обычный 2 2 25 2" xfId="545"/>
    <cellStyle name="Обычный 2 2 26" xfId="546"/>
    <cellStyle name="Обычный 2 2 26 2" xfId="547"/>
    <cellStyle name="Обычный 2 2 27" xfId="548"/>
    <cellStyle name="Обычный 2 2 27 2" xfId="549"/>
    <cellStyle name="Обычный 2 2 28" xfId="550"/>
    <cellStyle name="Обычный 2 2 28 2" xfId="551"/>
    <cellStyle name="Обычный 2 2 29" xfId="552"/>
    <cellStyle name="Обычный 2 2 29 2" xfId="553"/>
    <cellStyle name="Обычный 2 2 3" xfId="554"/>
    <cellStyle name="Обычный 2 2 3 2" xfId="555"/>
    <cellStyle name="Обычный 2 2 30" xfId="556"/>
    <cellStyle name="Обычный 2 2 30 2" xfId="557"/>
    <cellStyle name="Обычный 2 2 31" xfId="558"/>
    <cellStyle name="Обычный 2 2 31 2" xfId="559"/>
    <cellStyle name="Обычный 2 2 32" xfId="560"/>
    <cellStyle name="Обычный 2 2 4" xfId="561"/>
    <cellStyle name="Обычный 2 2 4 2" xfId="562"/>
    <cellStyle name="Обычный 2 2 5" xfId="563"/>
    <cellStyle name="Обычный 2 2 5 2" xfId="564"/>
    <cellStyle name="Обычный 2 2 6" xfId="565"/>
    <cellStyle name="Обычный 2 2 6 2" xfId="566"/>
    <cellStyle name="Обычный 2 2 7" xfId="567"/>
    <cellStyle name="Обычный 2 2 7 2" xfId="568"/>
    <cellStyle name="Обычный 2 2 8" xfId="569"/>
    <cellStyle name="Обычный 2 2 8 2" xfId="570"/>
    <cellStyle name="Обычный 2 2 9" xfId="571"/>
    <cellStyle name="Обычный 2 2 9 2" xfId="572"/>
    <cellStyle name="Обычный 2 20" xfId="573"/>
    <cellStyle name="Обычный 2 21" xfId="574"/>
    <cellStyle name="Обычный 2 22" xfId="575"/>
    <cellStyle name="Обычный 2 23" xfId="576"/>
    <cellStyle name="Обычный 2 24" xfId="577"/>
    <cellStyle name="Обычный 2 25" xfId="578"/>
    <cellStyle name="Обычный 2 26" xfId="579"/>
    <cellStyle name="Обычный 2 27" xfId="580"/>
    <cellStyle name="Обычный 2 28" xfId="581"/>
    <cellStyle name="Обычный 2 29" xfId="582"/>
    <cellStyle name="Обычный 2 3" xfId="583"/>
    <cellStyle name="Обычный 2 3 2" xfId="584"/>
    <cellStyle name="Обычный 2 3 3" xfId="585"/>
    <cellStyle name="Обычный 2 30" xfId="586"/>
    <cellStyle name="Обычный 2 31" xfId="587"/>
    <cellStyle name="Обычный 2 32" xfId="588"/>
    <cellStyle name="Обычный 2 33" xfId="589"/>
    <cellStyle name="Обычный 2 34" xfId="590"/>
    <cellStyle name="Обычный 2 34 2" xfId="591"/>
    <cellStyle name="Обычный 2 35" xfId="592"/>
    <cellStyle name="Обычный 2 36" xfId="593"/>
    <cellStyle name="Обычный 2 4" xfId="594"/>
    <cellStyle name="Обычный 2 4 2" xfId="595"/>
    <cellStyle name="Обычный 2 4 3" xfId="596"/>
    <cellStyle name="Обычный 2 5" xfId="597"/>
    <cellStyle name="Обычный 2 5 2" xfId="598"/>
    <cellStyle name="Обычный 2 5 3" xfId="599"/>
    <cellStyle name="Обычный 2 6" xfId="600"/>
    <cellStyle name="Обычный 2 7" xfId="601"/>
    <cellStyle name="Обычный 2 8" xfId="602"/>
    <cellStyle name="Обычный 2 9" xfId="603"/>
    <cellStyle name="Обычный 20" xfId="604"/>
    <cellStyle name="Обычный 20 10" xfId="605"/>
    <cellStyle name="Обычный 20 11" xfId="606"/>
    <cellStyle name="Обычный 20 12" xfId="607"/>
    <cellStyle name="Обычный 20 13" xfId="608"/>
    <cellStyle name="Обычный 20 14" xfId="609"/>
    <cellStyle name="Обычный 20 15" xfId="610"/>
    <cellStyle name="Обычный 20 16" xfId="611"/>
    <cellStyle name="Обычный 20 17" xfId="612"/>
    <cellStyle name="Обычный 20 18" xfId="613"/>
    <cellStyle name="Обычный 20 19" xfId="614"/>
    <cellStyle name="Обычный 20 2" xfId="615"/>
    <cellStyle name="Обычный 20 2 2" xfId="616"/>
    <cellStyle name="Обычный 20 2 2 2" xfId="617"/>
    <cellStyle name="Обычный 20 2 3" xfId="618"/>
    <cellStyle name="Обычный 20 2 4" xfId="619"/>
    <cellStyle name="Обычный 20 20" xfId="620"/>
    <cellStyle name="Обычный 20 21" xfId="621"/>
    <cellStyle name="Обычный 20 22" xfId="622"/>
    <cellStyle name="Обычный 20 23" xfId="623"/>
    <cellStyle name="Обычный 20 24" xfId="624"/>
    <cellStyle name="Обычный 20 25" xfId="625"/>
    <cellStyle name="Обычный 20 26" xfId="626"/>
    <cellStyle name="Обычный 20 27" xfId="627"/>
    <cellStyle name="Обычный 20 28" xfId="628"/>
    <cellStyle name="Обычный 20 29" xfId="629"/>
    <cellStyle name="Обычный 20 3" xfId="630"/>
    <cellStyle name="Обычный 20 3 2" xfId="631"/>
    <cellStyle name="Обычный 20 30" xfId="632"/>
    <cellStyle name="Обычный 20 31" xfId="633"/>
    <cellStyle name="Обычный 20 32" xfId="634"/>
    <cellStyle name="Обычный 20 4" xfId="635"/>
    <cellStyle name="Обычный 20 5" xfId="636"/>
    <cellStyle name="Обычный 20 6" xfId="637"/>
    <cellStyle name="Обычный 20 7" xfId="638"/>
    <cellStyle name="Обычный 20 8" xfId="639"/>
    <cellStyle name="Обычный 20 9" xfId="640"/>
    <cellStyle name="Обычный 21" xfId="641"/>
    <cellStyle name="Обычный 21 2" xfId="642"/>
    <cellStyle name="Обычный 21 2 2" xfId="643"/>
    <cellStyle name="Обычный 21 2 3" xfId="644"/>
    <cellStyle name="Обычный 21 2 4" xfId="645"/>
    <cellStyle name="Обычный 22" xfId="646"/>
    <cellStyle name="Обычный 22 10" xfId="647"/>
    <cellStyle name="Обычный 22 11" xfId="648"/>
    <cellStyle name="Обычный 22 12" xfId="649"/>
    <cellStyle name="Обычный 22 13" xfId="650"/>
    <cellStyle name="Обычный 22 14" xfId="651"/>
    <cellStyle name="Обычный 22 15" xfId="652"/>
    <cellStyle name="Обычный 22 16" xfId="653"/>
    <cellStyle name="Обычный 22 17" xfId="654"/>
    <cellStyle name="Обычный 22 18" xfId="655"/>
    <cellStyle name="Обычный 22 19" xfId="656"/>
    <cellStyle name="Обычный 22 2" xfId="657"/>
    <cellStyle name="Обычный 22 2 2" xfId="658"/>
    <cellStyle name="Обычный 22 2 3" xfId="659"/>
    <cellStyle name="Обычный 22 20" xfId="660"/>
    <cellStyle name="Обычный 22 21" xfId="661"/>
    <cellStyle name="Обычный 22 22" xfId="662"/>
    <cellStyle name="Обычный 22 23" xfId="663"/>
    <cellStyle name="Обычный 22 24" xfId="664"/>
    <cellStyle name="Обычный 22 25" xfId="665"/>
    <cellStyle name="Обычный 22 26" xfId="666"/>
    <cellStyle name="Обычный 22 27" xfId="667"/>
    <cellStyle name="Обычный 22 28" xfId="668"/>
    <cellStyle name="Обычный 22 29" xfId="669"/>
    <cellStyle name="Обычный 22 3" xfId="670"/>
    <cellStyle name="Обычный 22 30" xfId="671"/>
    <cellStyle name="Обычный 22 31" xfId="672"/>
    <cellStyle name="Обычный 22 32" xfId="673"/>
    <cellStyle name="Обычный 22 4" xfId="674"/>
    <cellStyle name="Обычный 22 5" xfId="675"/>
    <cellStyle name="Обычный 22 6" xfId="676"/>
    <cellStyle name="Обычный 22 7" xfId="677"/>
    <cellStyle name="Обычный 22 8" xfId="678"/>
    <cellStyle name="Обычный 22 9" xfId="679"/>
    <cellStyle name="Обычный 23" xfId="680"/>
    <cellStyle name="Обычный 24" xfId="681"/>
    <cellStyle name="Обычный 24 2" xfId="682"/>
    <cellStyle name="Обычный 24 3" xfId="683"/>
    <cellStyle name="Обычный 24 4" xfId="684"/>
    <cellStyle name="Обычный 25" xfId="685"/>
    <cellStyle name="Обычный 25 2" xfId="686"/>
    <cellStyle name="Обычный 256" xfId="687"/>
    <cellStyle name="Обычный 256 2" xfId="688"/>
    <cellStyle name="Обычный 26" xfId="689"/>
    <cellStyle name="Обычный 26 10" xfId="690"/>
    <cellStyle name="Обычный 26 11" xfId="691"/>
    <cellStyle name="Обычный 26 12" xfId="692"/>
    <cellStyle name="Обычный 26 13" xfId="693"/>
    <cellStyle name="Обычный 26 14" xfId="694"/>
    <cellStyle name="Обычный 26 15" xfId="695"/>
    <cellStyle name="Обычный 26 16" xfId="696"/>
    <cellStyle name="Обычный 26 17" xfId="697"/>
    <cellStyle name="Обычный 26 18" xfId="698"/>
    <cellStyle name="Обычный 26 19" xfId="699"/>
    <cellStyle name="Обычный 26 2" xfId="700"/>
    <cellStyle name="Обычный 26 20" xfId="701"/>
    <cellStyle name="Обычный 26 21" xfId="702"/>
    <cellStyle name="Обычный 26 22" xfId="703"/>
    <cellStyle name="Обычный 26 23" xfId="704"/>
    <cellStyle name="Обычный 26 24" xfId="705"/>
    <cellStyle name="Обычный 26 25" xfId="706"/>
    <cellStyle name="Обычный 26 26" xfId="707"/>
    <cellStyle name="Обычный 26 27" xfId="708"/>
    <cellStyle name="Обычный 26 28" xfId="709"/>
    <cellStyle name="Обычный 26 29" xfId="710"/>
    <cellStyle name="Обычный 26 3" xfId="711"/>
    <cellStyle name="Обычный 26 3 2" xfId="712"/>
    <cellStyle name="Обычный 26 30" xfId="713"/>
    <cellStyle name="Обычный 26 31" xfId="714"/>
    <cellStyle name="Обычный 26 32" xfId="715"/>
    <cellStyle name="Обычный 26 4" xfId="716"/>
    <cellStyle name="Обычный 26 5" xfId="717"/>
    <cellStyle name="Обычный 26 6" xfId="718"/>
    <cellStyle name="Обычный 26 7" xfId="719"/>
    <cellStyle name="Обычный 26 8" xfId="720"/>
    <cellStyle name="Обычный 26 9" xfId="721"/>
    <cellStyle name="Обычный 27" xfId="722"/>
    <cellStyle name="Обычный 27 2" xfId="723"/>
    <cellStyle name="Обычный 28" xfId="724"/>
    <cellStyle name="Обычный 29" xfId="725"/>
    <cellStyle name="Обычный 3" xfId="5"/>
    <cellStyle name="Обычный 3 2" xfId="726"/>
    <cellStyle name="Обычный 3 2 2" xfId="727"/>
    <cellStyle name="Обычный 3 2 2 2" xfId="728"/>
    <cellStyle name="Обычный 3 2 3" xfId="729"/>
    <cellStyle name="Обычный 3 2 4" xfId="730"/>
    <cellStyle name="Обычный 3 3" xfId="731"/>
    <cellStyle name="Обычный 3 3 2" xfId="732"/>
    <cellStyle name="Обычный 3 3 2 2" xfId="733"/>
    <cellStyle name="Обычный 3 3 3" xfId="734"/>
    <cellStyle name="Обычный 3 4" xfId="735"/>
    <cellStyle name="Обычный 3 5" xfId="736"/>
    <cellStyle name="Обычный 3 5 2" xfId="737"/>
    <cellStyle name="Обычный 3 6" xfId="738"/>
    <cellStyle name="Обычный 3 7" xfId="739"/>
    <cellStyle name="Обычный 3 8" xfId="9"/>
    <cellStyle name="Обычный 30" xfId="740"/>
    <cellStyle name="Обычный 30 2" xfId="741"/>
    <cellStyle name="Обычный 31" xfId="742"/>
    <cellStyle name="Обычный 31 2" xfId="743"/>
    <cellStyle name="Обычный 32" xfId="744"/>
    <cellStyle name="Обычный 32 2" xfId="745"/>
    <cellStyle name="Обычный 33" xfId="746"/>
    <cellStyle name="Обычный 33 2" xfId="747"/>
    <cellStyle name="Обычный 34" xfId="748"/>
    <cellStyle name="Обычный 34 2" xfId="749"/>
    <cellStyle name="Обычный 35" xfId="750"/>
    <cellStyle name="Обычный 35 10" xfId="751"/>
    <cellStyle name="Обычный 35 11" xfId="752"/>
    <cellStyle name="Обычный 35 12" xfId="753"/>
    <cellStyle name="Обычный 35 13" xfId="754"/>
    <cellStyle name="Обычный 35 14" xfId="755"/>
    <cellStyle name="Обычный 35 15" xfId="756"/>
    <cellStyle name="Обычный 35 16" xfId="757"/>
    <cellStyle name="Обычный 35 17" xfId="758"/>
    <cellStyle name="Обычный 35 18" xfId="759"/>
    <cellStyle name="Обычный 35 19" xfId="760"/>
    <cellStyle name="Обычный 35 2" xfId="761"/>
    <cellStyle name="Обычный 35 2 2" xfId="762"/>
    <cellStyle name="Обычный 35 20" xfId="763"/>
    <cellStyle name="Обычный 35 21" xfId="764"/>
    <cellStyle name="Обычный 35 22" xfId="765"/>
    <cellStyle name="Обычный 35 23" xfId="766"/>
    <cellStyle name="Обычный 35 24" xfId="767"/>
    <cellStyle name="Обычный 35 25" xfId="768"/>
    <cellStyle name="Обычный 35 26" xfId="769"/>
    <cellStyle name="Обычный 35 27" xfId="770"/>
    <cellStyle name="Обычный 35 28" xfId="771"/>
    <cellStyle name="Обычный 35 29" xfId="772"/>
    <cellStyle name="Обычный 35 3" xfId="773"/>
    <cellStyle name="Обычный 35 30" xfId="774"/>
    <cellStyle name="Обычный 35 31" xfId="775"/>
    <cellStyle name="Обычный 35 4" xfId="776"/>
    <cellStyle name="Обычный 35 5" xfId="777"/>
    <cellStyle name="Обычный 35 6" xfId="778"/>
    <cellStyle name="Обычный 35 7" xfId="779"/>
    <cellStyle name="Обычный 35 8" xfId="780"/>
    <cellStyle name="Обычный 35 9" xfId="781"/>
    <cellStyle name="Обычный 36" xfId="782"/>
    <cellStyle name="Обычный 36 2" xfId="783"/>
    <cellStyle name="Обычный 37" xfId="784"/>
    <cellStyle name="Обычный 37 2" xfId="785"/>
    <cellStyle name="Обычный 38" xfId="786"/>
    <cellStyle name="Обычный 38 2" xfId="787"/>
    <cellStyle name="Обычный 39" xfId="788"/>
    <cellStyle name="Обычный 39 2" xfId="789"/>
    <cellStyle name="Обычный 4" xfId="6"/>
    <cellStyle name="Обычный 4 2" xfId="4"/>
    <cellStyle name="Обычный 4 2 2" xfId="790"/>
    <cellStyle name="Обычный 4 2 3" xfId="791"/>
    <cellStyle name="Обычный 4 3" xfId="792"/>
    <cellStyle name="Обычный 4 3 2" xfId="793"/>
    <cellStyle name="Обычный 4 4" xfId="794"/>
    <cellStyle name="Обычный 4 4 2" xfId="795"/>
    <cellStyle name="Обычный 4 5" xfId="796"/>
    <cellStyle name="Обычный 40" xfId="797"/>
    <cellStyle name="Обычный 40 10" xfId="798"/>
    <cellStyle name="Обычный 40 11" xfId="799"/>
    <cellStyle name="Обычный 40 12" xfId="800"/>
    <cellStyle name="Обычный 40 13" xfId="801"/>
    <cellStyle name="Обычный 40 14" xfId="802"/>
    <cellStyle name="Обычный 40 15" xfId="803"/>
    <cellStyle name="Обычный 40 16" xfId="804"/>
    <cellStyle name="Обычный 40 17" xfId="805"/>
    <cellStyle name="Обычный 40 18" xfId="806"/>
    <cellStyle name="Обычный 40 19" xfId="807"/>
    <cellStyle name="Обычный 40 2" xfId="808"/>
    <cellStyle name="Обычный 40 2 2" xfId="809"/>
    <cellStyle name="Обычный 40 20" xfId="810"/>
    <cellStyle name="Обычный 40 21" xfId="811"/>
    <cellStyle name="Обычный 40 22" xfId="812"/>
    <cellStyle name="Обычный 40 23" xfId="813"/>
    <cellStyle name="Обычный 40 24" xfId="814"/>
    <cellStyle name="Обычный 40 25" xfId="815"/>
    <cellStyle name="Обычный 40 26" xfId="816"/>
    <cellStyle name="Обычный 40 27" xfId="817"/>
    <cellStyle name="Обычный 40 28" xfId="818"/>
    <cellStyle name="Обычный 40 29" xfId="819"/>
    <cellStyle name="Обычный 40 3" xfId="820"/>
    <cellStyle name="Обычный 40 30" xfId="821"/>
    <cellStyle name="Обычный 40 31" xfId="822"/>
    <cellStyle name="Обычный 40 32" xfId="823"/>
    <cellStyle name="Обычный 40 4" xfId="824"/>
    <cellStyle name="Обычный 40 5" xfId="825"/>
    <cellStyle name="Обычный 40 6" xfId="826"/>
    <cellStyle name="Обычный 40 7" xfId="827"/>
    <cellStyle name="Обычный 40 8" xfId="828"/>
    <cellStyle name="Обычный 40 9" xfId="829"/>
    <cellStyle name="Обычный 41" xfId="830"/>
    <cellStyle name="Обычный 41 10" xfId="831"/>
    <cellStyle name="Обычный 41 11" xfId="832"/>
    <cellStyle name="Обычный 41 12" xfId="833"/>
    <cellStyle name="Обычный 41 13" xfId="834"/>
    <cellStyle name="Обычный 41 14" xfId="835"/>
    <cellStyle name="Обычный 41 15" xfId="836"/>
    <cellStyle name="Обычный 41 16" xfId="837"/>
    <cellStyle name="Обычный 41 17" xfId="838"/>
    <cellStyle name="Обычный 41 18" xfId="839"/>
    <cellStyle name="Обычный 41 19" xfId="840"/>
    <cellStyle name="Обычный 41 2" xfId="841"/>
    <cellStyle name="Обычный 41 2 2" xfId="842"/>
    <cellStyle name="Обычный 41 20" xfId="843"/>
    <cellStyle name="Обычный 41 21" xfId="844"/>
    <cellStyle name="Обычный 41 22" xfId="845"/>
    <cellStyle name="Обычный 41 23" xfId="846"/>
    <cellStyle name="Обычный 41 24" xfId="847"/>
    <cellStyle name="Обычный 41 25" xfId="848"/>
    <cellStyle name="Обычный 41 26" xfId="849"/>
    <cellStyle name="Обычный 41 27" xfId="850"/>
    <cellStyle name="Обычный 41 28" xfId="851"/>
    <cellStyle name="Обычный 41 29" xfId="852"/>
    <cellStyle name="Обычный 41 3" xfId="853"/>
    <cellStyle name="Обычный 41 30" xfId="854"/>
    <cellStyle name="Обычный 41 31" xfId="855"/>
    <cellStyle name="Обычный 41 32" xfId="856"/>
    <cellStyle name="Обычный 41 4" xfId="857"/>
    <cellStyle name="Обычный 41 5" xfId="858"/>
    <cellStyle name="Обычный 41 6" xfId="859"/>
    <cellStyle name="Обычный 41 7" xfId="860"/>
    <cellStyle name="Обычный 41 8" xfId="861"/>
    <cellStyle name="Обычный 41 9" xfId="862"/>
    <cellStyle name="Обычный 42" xfId="863"/>
    <cellStyle name="Обычный 43" xfId="864"/>
    <cellStyle name="Обычный 44" xfId="865"/>
    <cellStyle name="Обычный 45" xfId="866"/>
    <cellStyle name="Обычный 46" xfId="867"/>
    <cellStyle name="Обычный 47" xfId="868"/>
    <cellStyle name="Обычный 47 2" xfId="869"/>
    <cellStyle name="Обычный 47 3" xfId="870"/>
    <cellStyle name="Обычный 47 4" xfId="871"/>
    <cellStyle name="Обычный 47 5" xfId="872"/>
    <cellStyle name="Обычный 47 6" xfId="873"/>
    <cellStyle name="Обычный 47 7" xfId="874"/>
    <cellStyle name="Обычный 48" xfId="875"/>
    <cellStyle name="Обычный 48 2" xfId="876"/>
    <cellStyle name="Обычный 48 3" xfId="877"/>
    <cellStyle name="Обычный 49" xfId="878"/>
    <cellStyle name="Обычный 5" xfId="879"/>
    <cellStyle name="Обычный 5 2" xfId="880"/>
    <cellStyle name="Обычный 5 2 2" xfId="881"/>
    <cellStyle name="Обычный 5 2 2 2" xfId="882"/>
    <cellStyle name="Обычный 5 2 3" xfId="883"/>
    <cellStyle name="Обычный 5 3" xfId="884"/>
    <cellStyle name="Обычный 5 3 2" xfId="885"/>
    <cellStyle name="Обычный 5 3 2 2" xfId="886"/>
    <cellStyle name="Обычный 5 3 3" xfId="887"/>
    <cellStyle name="Обычный 5 3 4" xfId="888"/>
    <cellStyle name="Обычный 5 4" xfId="889"/>
    <cellStyle name="Обычный 5 4 2" xfId="890"/>
    <cellStyle name="Обычный 5 5" xfId="891"/>
    <cellStyle name="Обычный 5 5 2" xfId="892"/>
    <cellStyle name="Обычный 5 6" xfId="893"/>
    <cellStyle name="Обычный 5 6 2" xfId="894"/>
    <cellStyle name="Обычный 5 7" xfId="895"/>
    <cellStyle name="Обычный 5 7 2" xfId="896"/>
    <cellStyle name="Обычный 5 8" xfId="897"/>
    <cellStyle name="Обычный 5 8 2" xfId="898"/>
    <cellStyle name="Обычный 50" xfId="899"/>
    <cellStyle name="Обычный 51" xfId="900"/>
    <cellStyle name="Обычный 52" xfId="901"/>
    <cellStyle name="Обычный 53" xfId="902"/>
    <cellStyle name="Обычный 54" xfId="903"/>
    <cellStyle name="Обычный 55" xfId="904"/>
    <cellStyle name="Обычный 56" xfId="905"/>
    <cellStyle name="Обычный 57" xfId="906"/>
    <cellStyle name="Обычный 58" xfId="907"/>
    <cellStyle name="Обычный 59" xfId="908"/>
    <cellStyle name="Обычный 6" xfId="909"/>
    <cellStyle name="Обычный 6 2" xfId="910"/>
    <cellStyle name="Обычный 6 2 2" xfId="911"/>
    <cellStyle name="Обычный 6 2 3" xfId="912"/>
    <cellStyle name="Обычный 6 3" xfId="913"/>
    <cellStyle name="Обычный 6 3 2" xfId="914"/>
    <cellStyle name="Обычный 6 4" xfId="915"/>
    <cellStyle name="Обычный 6 5" xfId="916"/>
    <cellStyle name="Обычный 6 6" xfId="917"/>
    <cellStyle name="Обычный 60" xfId="918"/>
    <cellStyle name="Обычный 61" xfId="919"/>
    <cellStyle name="Обычный 62" xfId="920"/>
    <cellStyle name="Обычный 63" xfId="921"/>
    <cellStyle name="Обычный 64" xfId="922"/>
    <cellStyle name="Обычный 65" xfId="923"/>
    <cellStyle name="Обычный 65 2" xfId="924"/>
    <cellStyle name="Обычный 66" xfId="925"/>
    <cellStyle name="Обычный 66 2" xfId="926"/>
    <cellStyle name="Обычный 66 3" xfId="927"/>
    <cellStyle name="Обычный 67" xfId="928"/>
    <cellStyle name="Обычный 68" xfId="929"/>
    <cellStyle name="Обычный 69" xfId="930"/>
    <cellStyle name="Обычный 7" xfId="931"/>
    <cellStyle name="Обычный 7 2" xfId="932"/>
    <cellStyle name="Обычный 7 2 2" xfId="933"/>
    <cellStyle name="Обычный 7 2 3" xfId="934"/>
    <cellStyle name="Обычный 7 3" xfId="935"/>
    <cellStyle name="Обычный 7 3 2" xfId="936"/>
    <cellStyle name="Обычный 7 4" xfId="937"/>
    <cellStyle name="Обычный 7 4 2" xfId="938"/>
    <cellStyle name="Обычный 7 5" xfId="939"/>
    <cellStyle name="Обычный 70" xfId="940"/>
    <cellStyle name="Обычный 71" xfId="941"/>
    <cellStyle name="Обычный 72" xfId="942"/>
    <cellStyle name="Обычный 73" xfId="943"/>
    <cellStyle name="Обычный 73 2" xfId="944"/>
    <cellStyle name="Обычный 73 3" xfId="945"/>
    <cellStyle name="Обычный 73 4" xfId="946"/>
    <cellStyle name="Обычный 74" xfId="947"/>
    <cellStyle name="Обычный 75" xfId="948"/>
    <cellStyle name="Обычный 75 2" xfId="949"/>
    <cellStyle name="Обычный 76" xfId="950"/>
    <cellStyle name="Обычный 77" xfId="951"/>
    <cellStyle name="Обычный 78" xfId="952"/>
    <cellStyle name="Обычный 78 2" xfId="953"/>
    <cellStyle name="Обычный 78 3" xfId="954"/>
    <cellStyle name="Обычный 79" xfId="955"/>
    <cellStyle name="Обычный 8" xfId="956"/>
    <cellStyle name="Обычный 8 2" xfId="957"/>
    <cellStyle name="Обычный 8 2 2" xfId="958"/>
    <cellStyle name="Обычный 8 2 3" xfId="959"/>
    <cellStyle name="Обычный 8 3" xfId="960"/>
    <cellStyle name="Обычный 8 3 2" xfId="961"/>
    <cellStyle name="Обычный 8 4" xfId="962"/>
    <cellStyle name="Обычный 8 5" xfId="963"/>
    <cellStyle name="Обычный 8 6" xfId="964"/>
    <cellStyle name="Обычный 80" xfId="965"/>
    <cellStyle name="Обычный 81" xfId="966"/>
    <cellStyle name="Обычный 82" xfId="967"/>
    <cellStyle name="Обычный 83" xfId="968"/>
    <cellStyle name="Обычный 84" xfId="969"/>
    <cellStyle name="Обычный 85" xfId="970"/>
    <cellStyle name="Обычный 86" xfId="971"/>
    <cellStyle name="Обычный 87" xfId="972"/>
    <cellStyle name="Обычный 87 2" xfId="973"/>
    <cellStyle name="Обычный 87 3" xfId="974"/>
    <cellStyle name="Обычный 88" xfId="975"/>
    <cellStyle name="Обычный 88 2" xfId="976"/>
    <cellStyle name="Обычный 88 3" xfId="977"/>
    <cellStyle name="Обычный 89" xfId="978"/>
    <cellStyle name="Обычный 9" xfId="979"/>
    <cellStyle name="Обычный 9 2" xfId="980"/>
    <cellStyle name="Обычный 9 2 2" xfId="981"/>
    <cellStyle name="Обычный 9 2 3" xfId="982"/>
    <cellStyle name="Обычный 9 3" xfId="983"/>
    <cellStyle name="Обычный 9 3 2" xfId="984"/>
    <cellStyle name="Обычный 9 4" xfId="985"/>
    <cellStyle name="Обычный 90" xfId="986"/>
    <cellStyle name="Обычный 90 2" xfId="987"/>
    <cellStyle name="Обычный 91" xfId="988"/>
    <cellStyle name="Обычный 92" xfId="989"/>
    <cellStyle name="Обычный 92 2" xfId="990"/>
    <cellStyle name="Обычный 93" xfId="991"/>
    <cellStyle name="Обычный 93 2" xfId="992"/>
    <cellStyle name="Обычный 93 3" xfId="993"/>
    <cellStyle name="Обычный 94" xfId="994"/>
    <cellStyle name="Обычный 94 2" xfId="995"/>
    <cellStyle name="Обычный 94 3" xfId="996"/>
    <cellStyle name="Обычный 95" xfId="997"/>
    <cellStyle name="Обычный 95 2" xfId="998"/>
    <cellStyle name="Обычный 96" xfId="999"/>
    <cellStyle name="Обычный 97" xfId="1000"/>
    <cellStyle name="Обычный 97 2" xfId="1001"/>
    <cellStyle name="Обычный 98" xfId="1002"/>
    <cellStyle name="Обычный 99" xfId="1003"/>
    <cellStyle name="Обычный 99 2" xfId="1004"/>
    <cellStyle name="Обычный 99 2 2" xfId="1005"/>
    <cellStyle name="Примечание 10" xfId="1006"/>
    <cellStyle name="Примечание 11" xfId="1007"/>
    <cellStyle name="Примечание 12" xfId="1008"/>
    <cellStyle name="Примечание 13" xfId="1009"/>
    <cellStyle name="Примечание 14" xfId="1010"/>
    <cellStyle name="Примечание 15" xfId="1011"/>
    <cellStyle name="Примечание 16" xfId="1012"/>
    <cellStyle name="Примечание 17" xfId="1013"/>
    <cellStyle name="Примечание 18" xfId="1014"/>
    <cellStyle name="Примечание 19" xfId="1015"/>
    <cellStyle name="Примечание 2" xfId="1016"/>
    <cellStyle name="Примечание 2 2" xfId="1017"/>
    <cellStyle name="Примечание 2 3" xfId="1018"/>
    <cellStyle name="Примечание 20" xfId="1019"/>
    <cellStyle name="Примечание 21" xfId="1020"/>
    <cellStyle name="Примечание 22" xfId="1021"/>
    <cellStyle name="Примечание 23" xfId="1022"/>
    <cellStyle name="Примечание 24" xfId="1023"/>
    <cellStyle name="Примечание 25" xfId="1024"/>
    <cellStyle name="Примечание 26" xfId="1025"/>
    <cellStyle name="Примечание 27" xfId="1026"/>
    <cellStyle name="Примечание 28" xfId="1027"/>
    <cellStyle name="Примечание 29" xfId="1028"/>
    <cellStyle name="Примечание 3" xfId="1029"/>
    <cellStyle name="Примечание 3 2" xfId="1030"/>
    <cellStyle name="Примечание 3 3" xfId="1031"/>
    <cellStyle name="Примечание 30" xfId="1032"/>
    <cellStyle name="Примечание 4" xfId="1033"/>
    <cellStyle name="Примечание 4 2" xfId="1034"/>
    <cellStyle name="Примечание 4 3" xfId="1035"/>
    <cellStyle name="Примечание 5" xfId="1036"/>
    <cellStyle name="Примечание 5 2" xfId="1037"/>
    <cellStyle name="Примечание 5 3" xfId="1038"/>
    <cellStyle name="Примечание 6" xfId="1039"/>
    <cellStyle name="Примечание 6 2" xfId="1040"/>
    <cellStyle name="Примечание 6 3" xfId="1041"/>
    <cellStyle name="Примечание 7" xfId="1042"/>
    <cellStyle name="Примечание 7 2" xfId="1043"/>
    <cellStyle name="Примечание 7 3" xfId="1044"/>
    <cellStyle name="Примечание 8" xfId="1045"/>
    <cellStyle name="Примечание 8 2" xfId="1046"/>
    <cellStyle name="Примечание 8 3" xfId="1047"/>
    <cellStyle name="Примечание 9" xfId="1048"/>
    <cellStyle name="Примечание 9 2" xfId="1049"/>
    <cellStyle name="Процентный" xfId="2" builtinId="5"/>
    <cellStyle name="Процентный 2" xfId="8"/>
    <cellStyle name="Процентный 2 2" xfId="1050"/>
    <cellStyle name="Процентный 2 2 2" xfId="10"/>
    <cellStyle name="Процентный 2 2 3" xfId="1051"/>
    <cellStyle name="Процентный 2 3" xfId="1052"/>
    <cellStyle name="Процентный 2 4" xfId="1053"/>
    <cellStyle name="Процентный 2 5" xfId="1054"/>
    <cellStyle name="Процентный 2 6" xfId="1055"/>
    <cellStyle name="Процентный 2 7" xfId="1056"/>
    <cellStyle name="Процентный 3" xfId="1057"/>
    <cellStyle name="Процентный 4" xfId="1058"/>
    <cellStyle name="Стиль 1" xfId="1059"/>
    <cellStyle name="Финансовый" xfId="3" builtinId="3"/>
    <cellStyle name="Финансовый [0] 2" xfId="1060"/>
    <cellStyle name="Финансовый [0] 2 2" xfId="1061"/>
    <cellStyle name="Финансовый [0] 67" xfId="1062"/>
    <cellStyle name="Финансовый 10" xfId="1063"/>
    <cellStyle name="Финансовый 10 2" xfId="1064"/>
    <cellStyle name="Финансовый 11" xfId="1065"/>
    <cellStyle name="Финансовый 11 2" xfId="1066"/>
    <cellStyle name="Финансовый 13" xfId="1067"/>
    <cellStyle name="Финансовый 13 2" xfId="1068"/>
    <cellStyle name="Финансовый 13 3" xfId="1069"/>
    <cellStyle name="Финансовый 17" xfId="1070"/>
    <cellStyle name="Финансовый 19" xfId="1071"/>
    <cellStyle name="Финансовый 19 2" xfId="1072"/>
    <cellStyle name="Финансовый 19 3" xfId="1073"/>
    <cellStyle name="Финансовый 2" xfId="7"/>
    <cellStyle name="Финансовый 2 10" xfId="1074"/>
    <cellStyle name="Финансовый 2 11" xfId="1075"/>
    <cellStyle name="Финансовый 2 12" xfId="1076"/>
    <cellStyle name="Финансовый 2 13" xfId="1077"/>
    <cellStyle name="Финансовый 2 14" xfId="1078"/>
    <cellStyle name="Финансовый 2 15" xfId="1079"/>
    <cellStyle name="Финансовый 2 16" xfId="1080"/>
    <cellStyle name="Финансовый 2 17" xfId="1081"/>
    <cellStyle name="Финансовый 2 18" xfId="1082"/>
    <cellStyle name="Финансовый 2 19" xfId="1083"/>
    <cellStyle name="Финансовый 2 2" xfId="1084"/>
    <cellStyle name="Финансовый 2 2 2" xfId="1085"/>
    <cellStyle name="Финансовый 2 2 2 2" xfId="1086"/>
    <cellStyle name="Финансовый 2 2 2 3" xfId="1087"/>
    <cellStyle name="Финансовый 2 2 3" xfId="1088"/>
    <cellStyle name="Финансовый 2 2 4" xfId="1089"/>
    <cellStyle name="Финансовый 2 20" xfId="1090"/>
    <cellStyle name="Финансовый 2 21" xfId="1091"/>
    <cellStyle name="Финансовый 2 22" xfId="1092"/>
    <cellStyle name="Финансовый 2 23" xfId="1093"/>
    <cellStyle name="Финансовый 2 24" xfId="1094"/>
    <cellStyle name="Финансовый 2 25" xfId="1095"/>
    <cellStyle name="Финансовый 2 26" xfId="1096"/>
    <cellStyle name="Финансовый 2 27" xfId="1097"/>
    <cellStyle name="Финансовый 2 28" xfId="1098"/>
    <cellStyle name="Финансовый 2 29" xfId="1099"/>
    <cellStyle name="Финансовый 2 3" xfId="1100"/>
    <cellStyle name="Финансовый 2 3 2" xfId="1101"/>
    <cellStyle name="Финансовый 2 3 3" xfId="1102"/>
    <cellStyle name="Финансовый 2 3 4" xfId="1103"/>
    <cellStyle name="Финансовый 2 30" xfId="1104"/>
    <cellStyle name="Финансовый 2 4" xfId="1105"/>
    <cellStyle name="Финансовый 2 4 2" xfId="1106"/>
    <cellStyle name="Финансовый 2 4 3" xfId="1107"/>
    <cellStyle name="Финансовый 2 4 4" xfId="1108"/>
    <cellStyle name="Финансовый 2 5" xfId="1109"/>
    <cellStyle name="Финансовый 2 5 2" xfId="1110"/>
    <cellStyle name="Финансовый 2 6" xfId="1111"/>
    <cellStyle name="Финансовый 2 6 2" xfId="1112"/>
    <cellStyle name="Финансовый 2 7" xfId="1113"/>
    <cellStyle name="Финансовый 2 8" xfId="1114"/>
    <cellStyle name="Финансовый 2 9" xfId="1115"/>
    <cellStyle name="Финансовый 20" xfId="1116"/>
    <cellStyle name="Финансовый 21" xfId="1117"/>
    <cellStyle name="Финансовый 23" xfId="1118"/>
    <cellStyle name="Финансовый 24" xfId="1119"/>
    <cellStyle name="Финансовый 25" xfId="1120"/>
    <cellStyle name="Финансовый 26" xfId="1121"/>
    <cellStyle name="Финансовый 27" xfId="1122"/>
    <cellStyle name="Финансовый 28" xfId="1123"/>
    <cellStyle name="Финансовый 3" xfId="1124"/>
    <cellStyle name="Финансовый 3 10" xfId="1125"/>
    <cellStyle name="Финансовый 3 11" xfId="1126"/>
    <cellStyle name="Финансовый 3 12" xfId="1127"/>
    <cellStyle name="Финансовый 3 13" xfId="1128"/>
    <cellStyle name="Финансовый 3 14" xfId="1129"/>
    <cellStyle name="Финансовый 3 15" xfId="1130"/>
    <cellStyle name="Финансовый 3 16" xfId="1131"/>
    <cellStyle name="Финансовый 3 17" xfId="1132"/>
    <cellStyle name="Финансовый 3 18" xfId="1133"/>
    <cellStyle name="Финансовый 3 19" xfId="1134"/>
    <cellStyle name="Финансовый 3 2" xfId="1135"/>
    <cellStyle name="Финансовый 3 2 2" xfId="1136"/>
    <cellStyle name="Финансовый 3 2 2 2" xfId="1137"/>
    <cellStyle name="Финансовый 3 2 2 3" xfId="1138"/>
    <cellStyle name="Финансовый 3 2 3" xfId="1139"/>
    <cellStyle name="Финансовый 3 2 3 2" xfId="1140"/>
    <cellStyle name="Финансовый 3 2 4" xfId="1141"/>
    <cellStyle name="Финансовый 3 2 5" xfId="1142"/>
    <cellStyle name="Финансовый 3 2 6" xfId="1143"/>
    <cellStyle name="Финансовый 3 20" xfId="1144"/>
    <cellStyle name="Финансовый 3 21" xfId="1145"/>
    <cellStyle name="Финансовый 3 22" xfId="1146"/>
    <cellStyle name="Финансовый 3 3" xfId="1147"/>
    <cellStyle name="Финансовый 3 3 2" xfId="1148"/>
    <cellStyle name="Финансовый 3 3 3" xfId="1149"/>
    <cellStyle name="Финансовый 3 4" xfId="1150"/>
    <cellStyle name="Финансовый 3 4 2" xfId="1151"/>
    <cellStyle name="Финансовый 3 4 3" xfId="1152"/>
    <cellStyle name="Финансовый 3 5" xfId="1153"/>
    <cellStyle name="Финансовый 3 5 2" xfId="1154"/>
    <cellStyle name="Финансовый 3 5 3" xfId="1155"/>
    <cellStyle name="Финансовый 3 5 4" xfId="1156"/>
    <cellStyle name="Финансовый 3 6" xfId="1157"/>
    <cellStyle name="Финансовый 3 6 2" xfId="1158"/>
    <cellStyle name="Финансовый 3 7" xfId="1159"/>
    <cellStyle name="Финансовый 3 7 2" xfId="1160"/>
    <cellStyle name="Финансовый 3 8" xfId="1161"/>
    <cellStyle name="Финансовый 3 9" xfId="1162"/>
    <cellStyle name="Финансовый 30" xfId="1163"/>
    <cellStyle name="Финансовый 31" xfId="1164"/>
    <cellStyle name="Финансовый 31 2" xfId="1165"/>
    <cellStyle name="Финансовый 32" xfId="1166"/>
    <cellStyle name="Финансовый 32 2" xfId="1167"/>
    <cellStyle name="Финансовый 33" xfId="1168"/>
    <cellStyle name="Финансовый 33 2" xfId="1169"/>
    <cellStyle name="Финансовый 34" xfId="1170"/>
    <cellStyle name="Финансовый 34 2" xfId="1171"/>
    <cellStyle name="Финансовый 35" xfId="1172"/>
    <cellStyle name="Финансовый 35 2" xfId="1173"/>
    <cellStyle name="Финансовый 36" xfId="1174"/>
    <cellStyle name="Финансовый 36 2" xfId="1175"/>
    <cellStyle name="Финансовый 37" xfId="1176"/>
    <cellStyle name="Финансовый 37 2" xfId="1177"/>
    <cellStyle name="Финансовый 38" xfId="1178"/>
    <cellStyle name="Финансовый 38 2" xfId="1179"/>
    <cellStyle name="Финансовый 39" xfId="1180"/>
    <cellStyle name="Финансовый 4" xfId="1181"/>
    <cellStyle name="Финансовый 4 2" xfId="1182"/>
    <cellStyle name="Финансовый 4 2 2" xfId="1183"/>
    <cellStyle name="Финансовый 4 2 2 2" xfId="1184"/>
    <cellStyle name="Финансовый 4 2 3" xfId="1185"/>
    <cellStyle name="Финансовый 4 3" xfId="1186"/>
    <cellStyle name="Финансовый 4 3 2" xfId="1187"/>
    <cellStyle name="Финансовый 4 4" xfId="1188"/>
    <cellStyle name="Финансовый 4 4 2" xfId="1189"/>
    <cellStyle name="Финансовый 4 5" xfId="1190"/>
    <cellStyle name="Финансовый 4 6" xfId="1191"/>
    <cellStyle name="Финансовый 4 7" xfId="1192"/>
    <cellStyle name="Финансовый 4 8" xfId="1193"/>
    <cellStyle name="Финансовый 4 9" xfId="1194"/>
    <cellStyle name="Финансовый 40" xfId="1195"/>
    <cellStyle name="Финансовый 41" xfId="1196"/>
    <cellStyle name="Финансовый 42" xfId="1197"/>
    <cellStyle name="Финансовый 42 2" xfId="1198"/>
    <cellStyle name="Финансовый 44" xfId="1199"/>
    <cellStyle name="Финансовый 46" xfId="1200"/>
    <cellStyle name="Финансовый 47" xfId="1201"/>
    <cellStyle name="Финансовый 5" xfId="1202"/>
    <cellStyle name="Финансовый 5 2" xfId="1203"/>
    <cellStyle name="Финансовый 5 2 2" xfId="1204"/>
    <cellStyle name="Финансовый 5 3" xfId="1205"/>
    <cellStyle name="Финансовый 5 3 2" xfId="1206"/>
    <cellStyle name="Финансовый 5 3 3" xfId="1207"/>
    <cellStyle name="Финансовый 5 4" xfId="1208"/>
    <cellStyle name="Финансовый 5 5" xfId="1209"/>
    <cellStyle name="Финансовый 6" xfId="1210"/>
    <cellStyle name="Финансовый 6 2" xfId="1211"/>
    <cellStyle name="Финансовый 6 2 2" xfId="1212"/>
    <cellStyle name="Финансовый 6 2 3" xfId="1213"/>
    <cellStyle name="Финансовый 6 3" xfId="1214"/>
    <cellStyle name="Финансовый 6 4" xfId="1215"/>
    <cellStyle name="Финансовый 7" xfId="1216"/>
    <cellStyle name="Финансовый 7 2" xfId="1217"/>
    <cellStyle name="Финансовый 7 2 2" xfId="1218"/>
    <cellStyle name="Финансовый 7 2 3" xfId="1219"/>
    <cellStyle name="Финансовый 7 3" xfId="1220"/>
    <cellStyle name="Финансовый 8" xfId="1221"/>
    <cellStyle name="Финансовый 8 2" xfId="1222"/>
    <cellStyle name="Финансовый 9" xfId="1223"/>
    <cellStyle name="Џђћ–…ќ’ќ›‰" xfId="1224"/>
  </cellStyles>
  <dxfs count="25">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s>
  <tableStyles count="0" defaultTableStyle="TableStyleMedium9" defaultPivotStyle="PivotStyleLight16"/>
  <colors>
    <mruColors>
      <color rgb="FFFF00FF"/>
      <color rgb="FF35E2EB"/>
      <color rgb="FFD9F29C"/>
      <color rgb="FFFF33CC"/>
      <color rgb="FFFF66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1059;&#1061;&#1056;&#1054;&#1041;\&#1069;&#1089;&#1082;&#1080;%20&#1085;&#1086;&#1088;&#1084;&#1072;&#1090;&#1080;&#1074;&#1083;&#1072;&#1088;\2023\01.01.2023\crs005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1059;&#1061;&#1056;&#1054;&#1041;\&#1069;&#1089;&#1082;&#1080;%20&#1085;&#1086;&#1088;&#1084;&#1072;&#1090;&#1080;&#1074;&#1083;&#1072;&#1088;\2023\01.01.2023\crs005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Сабаб"/>
      <sheetName val="Sheet"/>
      <sheetName val="tab31_old"/>
      <sheetName val="Пост_по_регион_(2)"/>
      <sheetName val="Лист2"/>
      <sheetName val="UZB redtab Jan 04"/>
      <sheetName val="tab 19"/>
      <sheetName val="жадвал"/>
      <sheetName val="Танишиб чиқиш учу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1124941.1767999998</v>
          </cell>
        </row>
        <row r="90">
          <cell r="Z90">
            <v>423961.95137999998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48718159</v>
          </cell>
          <cell r="D39">
            <v>48718159</v>
          </cell>
          <cell r="E39">
            <v>0</v>
          </cell>
        </row>
        <row r="47">
          <cell r="C47">
            <v>16782496965</v>
          </cell>
          <cell r="D47">
            <v>12078383242</v>
          </cell>
          <cell r="E47">
            <v>4704113723</v>
          </cell>
        </row>
        <row r="61">
          <cell r="C61">
            <v>0</v>
          </cell>
        </row>
        <row r="73">
          <cell r="C73">
            <v>0</v>
          </cell>
        </row>
      </sheetData>
      <sheetData sheetId="1"/>
      <sheetData sheetId="2"/>
      <sheetData sheetId="3"/>
      <sheetData sheetId="4"/>
      <sheetData sheetId="5"/>
      <sheetData sheetId="6"/>
      <sheetData sheetId="7">
        <row r="4">
          <cell r="C4">
            <v>203282142</v>
          </cell>
          <cell r="D4">
            <v>184688515</v>
          </cell>
          <cell r="E4">
            <v>18593627</v>
          </cell>
        </row>
        <row r="7">
          <cell r="C7">
            <v>337713066</v>
          </cell>
          <cell r="D7">
            <v>3270844</v>
          </cell>
          <cell r="E7">
            <v>334442222</v>
          </cell>
        </row>
        <row r="10">
          <cell r="C10">
            <v>22871109</v>
          </cell>
          <cell r="D10">
            <v>0</v>
          </cell>
          <cell r="E10">
            <v>22871109</v>
          </cell>
        </row>
        <row r="19">
          <cell r="C19">
            <v>0</v>
          </cell>
          <cell r="D19">
            <v>0</v>
          </cell>
          <cell r="E19">
            <v>0</v>
          </cell>
        </row>
        <row r="20">
          <cell r="C20">
            <v>0</v>
          </cell>
          <cell r="D20">
            <v>0</v>
          </cell>
          <cell r="E20">
            <v>0</v>
          </cell>
        </row>
        <row r="21">
          <cell r="C21">
            <v>0</v>
          </cell>
          <cell r="D21">
            <v>0</v>
          </cell>
          <cell r="E21">
            <v>0</v>
          </cell>
        </row>
        <row r="22">
          <cell r="C22">
            <v>0</v>
          </cell>
          <cell r="D22">
            <v>0</v>
          </cell>
          <cell r="E22">
            <v>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AD62"/>
  <sheetViews>
    <sheetView view="pageBreakPreview" zoomScaleNormal="100" zoomScaleSheetLayoutView="100" workbookViewId="0">
      <pane xSplit="2" ySplit="4" topLeftCell="C51" activePane="bottomRight" state="frozen"/>
      <selection activeCell="B54" sqref="B54:C54"/>
      <selection pane="topRight" activeCell="B54" sqref="B54:C54"/>
      <selection pane="bottomLeft" activeCell="B54" sqref="B54:C54"/>
      <selection pane="bottomRight" activeCell="C37" sqref="C37"/>
    </sheetView>
  </sheetViews>
  <sheetFormatPr defaultRowHeight="12.75"/>
  <cols>
    <col min="1" max="1" width="6" style="156" customWidth="1"/>
    <col min="2" max="2" width="105.140625" style="156" customWidth="1"/>
    <col min="3" max="3" width="19.7109375" style="189" customWidth="1"/>
    <col min="4" max="4" width="14.5703125" style="156" customWidth="1"/>
    <col min="5" max="5" width="27.42578125" style="158" customWidth="1"/>
    <col min="6" max="6" width="14.140625" style="156" customWidth="1"/>
    <col min="7" max="7" width="9.140625" style="156"/>
    <col min="8" max="8" width="17.42578125" style="156" bestFit="1" customWidth="1"/>
    <col min="9" max="16384" width="9.140625" style="156"/>
  </cols>
  <sheetData>
    <row r="1" spans="1:5" ht="23.25" customHeight="1">
      <c r="A1" s="256" t="s">
        <v>129</v>
      </c>
      <c r="B1" s="257"/>
      <c r="C1" s="7" t="s">
        <v>130</v>
      </c>
      <c r="E1" s="241" t="s">
        <v>294</v>
      </c>
    </row>
    <row r="2" spans="1:5">
      <c r="A2" s="157"/>
      <c r="B2" s="157"/>
      <c r="C2" s="157"/>
    </row>
    <row r="3" spans="1:5" ht="16.5" thickBot="1">
      <c r="A3" s="159"/>
      <c r="B3" s="240" t="s">
        <v>295</v>
      </c>
      <c r="C3" s="155">
        <v>44926</v>
      </c>
    </row>
    <row r="4" spans="1:5" s="162" customFormat="1" ht="43.5" customHeight="1" thickBot="1">
      <c r="A4" s="154" t="s">
        <v>52</v>
      </c>
      <c r="B4" s="160" t="s">
        <v>131</v>
      </c>
      <c r="C4" s="161" t="s">
        <v>132</v>
      </c>
      <c r="E4" s="163"/>
    </row>
    <row r="5" spans="1:5" ht="12.75" customHeight="1">
      <c r="A5" s="152" t="s">
        <v>30</v>
      </c>
      <c r="B5" s="164" t="s">
        <v>133</v>
      </c>
      <c r="C5" s="153"/>
    </row>
    <row r="6" spans="1:5" ht="12.75" customHeight="1">
      <c r="A6" s="165">
        <v>1</v>
      </c>
      <c r="B6" s="166" t="s">
        <v>134</v>
      </c>
      <c r="C6" s="137"/>
    </row>
    <row r="7" spans="1:5" s="21" customFormat="1" ht="18" customHeight="1">
      <c r="A7" s="138" t="s">
        <v>86</v>
      </c>
      <c r="B7" s="19" t="s">
        <v>135</v>
      </c>
      <c r="C7" s="137">
        <f>+C8-C9</f>
        <v>3547189199</v>
      </c>
      <c r="E7" s="167"/>
    </row>
    <row r="8" spans="1:5" s="162" customFormat="1" ht="18" customHeight="1">
      <c r="A8" s="168" t="s">
        <v>31</v>
      </c>
      <c r="B8" s="169" t="s">
        <v>136</v>
      </c>
      <c r="C8" s="139">
        <v>3547189199</v>
      </c>
      <c r="E8" s="163"/>
    </row>
    <row r="9" spans="1:5" s="162" customFormat="1" ht="18" customHeight="1">
      <c r="A9" s="168" t="s">
        <v>33</v>
      </c>
      <c r="B9" s="169" t="s">
        <v>137</v>
      </c>
      <c r="C9" s="139">
        <v>0</v>
      </c>
      <c r="E9" s="163"/>
    </row>
    <row r="10" spans="1:5" s="21" customFormat="1" ht="18" customHeight="1">
      <c r="A10" s="138" t="s">
        <v>87</v>
      </c>
      <c r="B10" s="19" t="s">
        <v>138</v>
      </c>
      <c r="C10" s="139"/>
      <c r="E10" s="167"/>
    </row>
    <row r="11" spans="1:5" s="162" customFormat="1" ht="18" customHeight="1">
      <c r="A11" s="168" t="s">
        <v>88</v>
      </c>
      <c r="B11" s="170" t="s">
        <v>139</v>
      </c>
      <c r="C11" s="140">
        <f>+C12+C13-C14-C15</f>
        <v>67730388</v>
      </c>
      <c r="E11" s="163"/>
    </row>
    <row r="12" spans="1:5" s="162" customFormat="1" ht="18" customHeight="1">
      <c r="A12" s="168" t="s">
        <v>37</v>
      </c>
      <c r="B12" s="170" t="s">
        <v>140</v>
      </c>
      <c r="C12" s="139">
        <v>25023773</v>
      </c>
      <c r="E12" s="163"/>
    </row>
    <row r="13" spans="1:5" s="162" customFormat="1" ht="18" customHeight="1">
      <c r="A13" s="143" t="s">
        <v>33</v>
      </c>
      <c r="B13" s="169" t="s">
        <v>141</v>
      </c>
      <c r="C13" s="139">
        <v>42706615</v>
      </c>
      <c r="E13" s="163"/>
    </row>
    <row r="14" spans="1:5" s="21" customFormat="1" ht="18" customHeight="1">
      <c r="A14" s="141" t="s">
        <v>35</v>
      </c>
      <c r="B14" s="169" t="s">
        <v>142</v>
      </c>
      <c r="C14" s="139">
        <v>0</v>
      </c>
      <c r="E14" s="167"/>
    </row>
    <row r="15" spans="1:5" s="21" customFormat="1" ht="18" customHeight="1">
      <c r="A15" s="141" t="s">
        <v>42</v>
      </c>
      <c r="B15" s="169" t="s">
        <v>143</v>
      </c>
      <c r="C15" s="139">
        <v>0</v>
      </c>
      <c r="E15" s="167"/>
    </row>
    <row r="16" spans="1:5" s="162" customFormat="1" ht="18" customHeight="1">
      <c r="A16" s="143" t="s">
        <v>92</v>
      </c>
      <c r="B16" s="169" t="s">
        <v>144</v>
      </c>
      <c r="C16" s="142">
        <v>0</v>
      </c>
      <c r="E16" s="216"/>
    </row>
    <row r="17" spans="1:6" s="162" customFormat="1" ht="18" customHeight="1">
      <c r="A17" s="143" t="s">
        <v>93</v>
      </c>
      <c r="B17" s="169" t="s">
        <v>145</v>
      </c>
      <c r="C17" s="142">
        <v>0</v>
      </c>
    </row>
    <row r="18" spans="1:6" s="162" customFormat="1" ht="18" customHeight="1">
      <c r="A18" s="143" t="s">
        <v>122</v>
      </c>
      <c r="B18" s="169" t="s">
        <v>146</v>
      </c>
      <c r="C18" s="140">
        <f>+C7+C10+C11+C16+C17</f>
        <v>3614919587</v>
      </c>
      <c r="E18" s="216"/>
    </row>
    <row r="19" spans="1:6" s="162" customFormat="1" ht="18" customHeight="1">
      <c r="A19" s="143" t="s">
        <v>147</v>
      </c>
      <c r="B19" s="169" t="s">
        <v>148</v>
      </c>
      <c r="C19" s="140">
        <f>C20+C21+C22+C23+C24</f>
        <v>2903861</v>
      </c>
      <c r="E19" s="216"/>
    </row>
    <row r="20" spans="1:6" s="162" customFormat="1" ht="22.5" customHeight="1">
      <c r="A20" s="143" t="s">
        <v>37</v>
      </c>
      <c r="B20" s="169" t="s">
        <v>149</v>
      </c>
      <c r="C20" s="139">
        <v>2796641</v>
      </c>
      <c r="E20" s="163"/>
    </row>
    <row r="21" spans="1:6" s="162" customFormat="1" ht="29.25" customHeight="1">
      <c r="A21" s="143" t="s">
        <v>33</v>
      </c>
      <c r="B21" s="169" t="s">
        <v>150</v>
      </c>
      <c r="C21" s="139">
        <v>107220</v>
      </c>
      <c r="E21" s="163"/>
    </row>
    <row r="22" spans="1:6" s="162" customFormat="1" ht="22.5" customHeight="1">
      <c r="A22" s="143" t="s">
        <v>35</v>
      </c>
      <c r="B22" s="169" t="s">
        <v>151</v>
      </c>
      <c r="C22" s="142">
        <v>0</v>
      </c>
      <c r="E22" s="163"/>
    </row>
    <row r="23" spans="1:6" s="120" customFormat="1" ht="22.5" customHeight="1">
      <c r="A23" s="143" t="s">
        <v>42</v>
      </c>
      <c r="B23" s="169" t="s">
        <v>152</v>
      </c>
      <c r="C23" s="142">
        <v>0</v>
      </c>
      <c r="E23" s="121"/>
    </row>
    <row r="24" spans="1:6" s="120" customFormat="1" ht="22.5" customHeight="1">
      <c r="A24" s="143" t="s">
        <v>128</v>
      </c>
      <c r="B24" s="169" t="s">
        <v>153</v>
      </c>
      <c r="C24" s="142">
        <f>+IF(MAX('[6]Transactions of related parties'!$Z$90-E25*25%,'[6]Transactions of related parties'!$Z$89-E25*50%)&lt;0,0,MAX('[6]Transactions of related parties'!$Z$90-E25*25%,'[6]Transactions of related parties'!$Z$89-E25*50%))</f>
        <v>0</v>
      </c>
      <c r="E24" s="216">
        <f>+'[6]Transactions of related parties'!$Z$89</f>
        <v>1124941.1767999998</v>
      </c>
      <c r="F24" s="182"/>
    </row>
    <row r="25" spans="1:6" s="21" customFormat="1" ht="15" customHeight="1">
      <c r="A25" s="138" t="s">
        <v>96</v>
      </c>
      <c r="B25" s="19" t="s">
        <v>134</v>
      </c>
      <c r="C25" s="144">
        <f>+C18-C19</f>
        <v>3612015726</v>
      </c>
      <c r="E25" s="216">
        <f>C18-C20-C21-C22-C23</f>
        <v>3612015726</v>
      </c>
    </row>
    <row r="26" spans="1:6" ht="16.5" customHeight="1">
      <c r="A26" s="171">
        <v>2</v>
      </c>
      <c r="B26" s="22" t="s">
        <v>154</v>
      </c>
      <c r="C26" s="172"/>
    </row>
    <row r="27" spans="1:6" s="21" customFormat="1" ht="18" customHeight="1">
      <c r="A27" s="141" t="s">
        <v>99</v>
      </c>
      <c r="B27" s="63" t="s">
        <v>155</v>
      </c>
      <c r="C27" s="137">
        <f>+C28-C29</f>
        <v>144180</v>
      </c>
      <c r="E27" s="167"/>
    </row>
    <row r="28" spans="1:6" s="21" customFormat="1" ht="18" customHeight="1">
      <c r="A28" s="141" t="s">
        <v>37</v>
      </c>
      <c r="B28" s="63" t="s">
        <v>156</v>
      </c>
      <c r="C28" s="145">
        <v>144180</v>
      </c>
      <c r="E28" s="167"/>
    </row>
    <row r="29" spans="1:6" s="21" customFormat="1" ht="18" customHeight="1">
      <c r="A29" s="141" t="s">
        <v>33</v>
      </c>
      <c r="B29" s="63" t="s">
        <v>157</v>
      </c>
      <c r="C29" s="145">
        <v>0</v>
      </c>
      <c r="E29" s="167"/>
    </row>
    <row r="30" spans="1:6" s="21" customFormat="1" ht="18" customHeight="1">
      <c r="A30" s="141" t="s">
        <v>100</v>
      </c>
      <c r="B30" s="63" t="s">
        <v>158</v>
      </c>
      <c r="C30" s="145">
        <v>0</v>
      </c>
      <c r="E30" s="167"/>
    </row>
    <row r="31" spans="1:6">
      <c r="A31" s="141" t="s">
        <v>102</v>
      </c>
      <c r="B31" s="64" t="s">
        <v>144</v>
      </c>
      <c r="C31" s="146">
        <v>0</v>
      </c>
    </row>
    <row r="32" spans="1:6" s="21" customFormat="1" ht="29.25" customHeight="1">
      <c r="A32" s="141" t="s">
        <v>104</v>
      </c>
      <c r="B32" s="63" t="s">
        <v>159</v>
      </c>
      <c r="C32" s="145">
        <v>0</v>
      </c>
      <c r="E32" s="167"/>
    </row>
    <row r="33" spans="1:8" s="25" customFormat="1">
      <c r="A33" s="173" t="s">
        <v>44</v>
      </c>
      <c r="B33" s="55" t="s">
        <v>160</v>
      </c>
      <c r="C33" s="140">
        <f>+C27+C30+C31+C32</f>
        <v>144180</v>
      </c>
      <c r="D33" s="174"/>
      <c r="E33" s="175"/>
    </row>
    <row r="34" spans="1:8" s="25" customFormat="1" ht="16.5" customHeight="1">
      <c r="A34" s="173" t="s">
        <v>46</v>
      </c>
      <c r="B34" s="68" t="s">
        <v>161</v>
      </c>
      <c r="C34" s="144">
        <f>+C25+C33</f>
        <v>3612159906</v>
      </c>
      <c r="E34" s="175"/>
    </row>
    <row r="35" spans="1:8" s="27" customFormat="1" ht="13.5" customHeight="1">
      <c r="A35" s="176"/>
      <c r="B35" s="26" t="s">
        <v>162</v>
      </c>
      <c r="C35" s="144"/>
      <c r="E35" s="177"/>
      <c r="H35" s="178"/>
    </row>
    <row r="36" spans="1:8" s="21" customFormat="1" ht="18" customHeight="1">
      <c r="A36" s="141" t="s">
        <v>107</v>
      </c>
      <c r="B36" s="63" t="s">
        <v>163</v>
      </c>
      <c r="C36" s="145">
        <v>21314665</v>
      </c>
      <c r="E36" s="167"/>
    </row>
    <row r="37" spans="1:8" s="21" customFormat="1" ht="25.5">
      <c r="A37" s="141" t="s">
        <v>108</v>
      </c>
      <c r="B37" s="63" t="s">
        <v>164</v>
      </c>
      <c r="C37" s="147">
        <f>IF(F37&lt;(C45*1.25%),F37,(C45*1.25%))</f>
        <v>48718159</v>
      </c>
      <c r="E37" s="179" t="s">
        <v>124</v>
      </c>
      <c r="F37" s="255">
        <f>+[7]Balance!$C$39+[7]Balance!$C$61+[7]Balance!$C$73</f>
        <v>48718159</v>
      </c>
    </row>
    <row r="38" spans="1:8" s="21" customFormat="1" ht="18" customHeight="1">
      <c r="A38" s="141" t="s">
        <v>109</v>
      </c>
      <c r="B38" s="63" t="s">
        <v>165</v>
      </c>
      <c r="C38" s="139">
        <v>0</v>
      </c>
      <c r="E38" s="167"/>
      <c r="F38" s="254">
        <f>+[7]Balance!$C$39+[7]Balance!$C$61+[7]Balance!$C$73</f>
        <v>48718159</v>
      </c>
    </row>
    <row r="39" spans="1:8" s="21" customFormat="1" ht="18" customHeight="1">
      <c r="A39" s="141" t="s">
        <v>110</v>
      </c>
      <c r="B39" s="63" t="s">
        <v>166</v>
      </c>
      <c r="C39" s="139">
        <v>50000000</v>
      </c>
      <c r="E39" s="167"/>
      <c r="F39" s="234">
        <f>+F37-F38</f>
        <v>0</v>
      </c>
    </row>
    <row r="40" spans="1:8" s="21" customFormat="1" ht="18" customHeight="1">
      <c r="A40" s="141" t="s">
        <v>112</v>
      </c>
      <c r="B40" s="63" t="s">
        <v>167</v>
      </c>
      <c r="C40" s="145">
        <v>3389692</v>
      </c>
      <c r="E40" s="167"/>
    </row>
    <row r="41" spans="1:8" s="21" customFormat="1" ht="18" customHeight="1">
      <c r="A41" s="141" t="s">
        <v>113</v>
      </c>
      <c r="B41" s="63" t="s">
        <v>168</v>
      </c>
      <c r="C41" s="147">
        <f>IF(C42&lt;(C34/3),0,(C42-C34/3)*-1)</f>
        <v>0</v>
      </c>
      <c r="E41" s="167"/>
    </row>
    <row r="42" spans="1:8" ht="18.75" customHeight="1">
      <c r="A42" s="168"/>
      <c r="B42" s="29" t="s">
        <v>169</v>
      </c>
      <c r="C42" s="144">
        <f>SUM(C36:C40)</f>
        <v>123422516</v>
      </c>
      <c r="D42" s="174"/>
    </row>
    <row r="43" spans="1:8" s="162" customFormat="1" ht="22.5" customHeight="1">
      <c r="A43" s="180" t="s">
        <v>47</v>
      </c>
      <c r="B43" s="48" t="s">
        <v>170</v>
      </c>
      <c r="C43" s="148">
        <f>+C41+C42</f>
        <v>123422516</v>
      </c>
      <c r="D43" s="181"/>
      <c r="E43" s="163"/>
    </row>
    <row r="44" spans="1:8" s="162" customFormat="1" ht="15.75" customHeight="1">
      <c r="A44" s="176" t="s">
        <v>50</v>
      </c>
      <c r="B44" s="48" t="s">
        <v>171</v>
      </c>
      <c r="C44" s="149">
        <f>+C34+C41+C42</f>
        <v>3735582422</v>
      </c>
      <c r="D44" s="181"/>
      <c r="E44" s="163"/>
    </row>
    <row r="45" spans="1:8" s="162" customFormat="1" ht="21.75" customHeight="1">
      <c r="A45" s="176" t="s">
        <v>9</v>
      </c>
      <c r="B45" s="68" t="s">
        <v>172</v>
      </c>
      <c r="C45" s="149">
        <f>+C46+C47+C48</f>
        <v>18033520124.090736</v>
      </c>
      <c r="E45" s="163"/>
    </row>
    <row r="46" spans="1:8" s="21" customFormat="1" ht="18" customHeight="1">
      <c r="A46" s="141" t="s">
        <v>37</v>
      </c>
      <c r="B46" s="63" t="s">
        <v>173</v>
      </c>
      <c r="C46" s="147">
        <f>+'Calculation of Risk Weighted As'!I73</f>
        <v>17368936824.049999</v>
      </c>
      <c r="E46" s="167"/>
    </row>
    <row r="47" spans="1:8" s="21" customFormat="1" ht="18" customHeight="1">
      <c r="A47" s="141" t="s">
        <v>33</v>
      </c>
      <c r="B47" s="63" t="s">
        <v>174</v>
      </c>
      <c r="C47" s="147">
        <f>+'Calculation of Risk'!C21</f>
        <v>457140526.96381527</v>
      </c>
      <c r="E47" s="167"/>
    </row>
    <row r="48" spans="1:8" s="21" customFormat="1" ht="18" customHeight="1">
      <c r="A48" s="141" t="s">
        <v>35</v>
      </c>
      <c r="B48" s="63" t="s">
        <v>175</v>
      </c>
      <c r="C48" s="147">
        <f>+'Calculation of Risk'!C27</f>
        <v>207442773.07692307</v>
      </c>
      <c r="E48" s="167"/>
    </row>
    <row r="49" spans="1:30" s="27" customFormat="1" ht="21.75" customHeight="1">
      <c r="A49" s="180" t="s">
        <v>10</v>
      </c>
      <c r="B49" s="48" t="s">
        <v>176</v>
      </c>
      <c r="C49" s="150">
        <f>IFERROR((+C25/C45),0)</f>
        <v>0.20029454599796948</v>
      </c>
      <c r="E49" s="177"/>
    </row>
    <row r="50" spans="1:30" s="27" customFormat="1" ht="21.75" customHeight="1">
      <c r="A50" s="180" t="s">
        <v>51</v>
      </c>
      <c r="B50" s="48" t="s">
        <v>177</v>
      </c>
      <c r="C50" s="150">
        <f>IFERROR((+C34/C45),0)</f>
        <v>0.20030254110924048</v>
      </c>
      <c r="E50" s="177"/>
    </row>
    <row r="51" spans="1:30" s="27" customFormat="1" ht="21.75" customHeight="1">
      <c r="A51" s="180" t="s">
        <v>20</v>
      </c>
      <c r="B51" s="48" t="s">
        <v>178</v>
      </c>
      <c r="C51" s="150">
        <f>IFERROR((+C44/C45),0)</f>
        <v>0.20714660234358159</v>
      </c>
      <c r="E51" s="177"/>
    </row>
    <row r="52" spans="1:30" s="120" customFormat="1" ht="21.75" customHeight="1">
      <c r="A52" s="176" t="s">
        <v>21</v>
      </c>
      <c r="B52" s="68" t="s">
        <v>179</v>
      </c>
      <c r="C52" s="148">
        <f>SUM(C53:C55)-C56</f>
        <v>17343459421</v>
      </c>
      <c r="E52" s="121"/>
      <c r="F52" s="182"/>
    </row>
    <row r="53" spans="1:30" s="36" customFormat="1" ht="21.75" customHeight="1">
      <c r="A53" s="141" t="s">
        <v>37</v>
      </c>
      <c r="B53" s="34" t="s">
        <v>180</v>
      </c>
      <c r="C53" s="245">
        <f>+[7]Balance!$C$47</f>
        <v>16782496965</v>
      </c>
      <c r="E53" s="183"/>
      <c r="F53" s="184"/>
    </row>
    <row r="54" spans="1:30" s="36" customFormat="1" ht="21.75" customHeight="1">
      <c r="A54" s="141" t="s">
        <v>33</v>
      </c>
      <c r="B54" s="34" t="s">
        <v>181</v>
      </c>
      <c r="C54" s="244">
        <f>+'Calculation of Risk Weighted As'!E53+'Calculation of Risk Weighted As'!F53+'Calculation of Risk Weighted As'!G53+'Calculation of Risk Weighted As'!H53+'Calculation of Risk Weighted As'!E54+'Calculation of Risk Weighted As'!F54+'Calculation of Risk Weighted As'!G54+'Calculation of Risk Weighted As'!H54+'Calculation of Risk Weighted As'!E55+'Calculation of Risk Weighted As'!F55+'Calculation of Risk Weighted As'!G55+'Calculation of Risk Weighted As'!H55+'Calculation of Risk Weighted As'!E56+'Calculation of Risk Weighted As'!F56+'Calculation of Risk Weighted As'!H56+'Calculation of Risk Weighted As'!E58+'Calculation of Risk Weighted As'!F58+'Calculation of Risk Weighted As'!G58+'Calculation of Risk Weighted As'!H58+'Calculation of Risk Weighted As'!E59+'Calculation of Risk Weighted As'!F59+'Calculation of Risk Weighted As'!G59+'Calculation of Risk Weighted As'!H59+'Calculation of Risk Weighted As'!E60+'Calculation of Risk Weighted As'!F60+'Calculation of Risk Weighted As'!G60+'Calculation of Risk Weighted As'!H60+'Calculation of Risk Weighted As'!E61+'Calculation of Risk Weighted As'!F61+'Calculation of Risk Weighted As'!H61</f>
        <v>563866317</v>
      </c>
      <c r="D54" s="86">
        <f>+'Calculation of Risk Weighted As'!I73</f>
        <v>17368936824.049999</v>
      </c>
      <c r="E54" s="183"/>
      <c r="F54" s="184"/>
    </row>
    <row r="55" spans="1:30" s="39" customFormat="1" ht="21.75" customHeight="1">
      <c r="A55" s="185" t="s">
        <v>35</v>
      </c>
      <c r="B55" s="38" t="s">
        <v>182</v>
      </c>
      <c r="C55" s="245">
        <f>SUM('Calculation of Risk Weighted As'!I64:I70)</f>
        <v>0</v>
      </c>
      <c r="E55" s="186"/>
    </row>
    <row r="56" spans="1:30" s="39" customFormat="1" ht="21.75" customHeight="1">
      <c r="A56" s="185" t="s">
        <v>42</v>
      </c>
      <c r="B56" s="38" t="s">
        <v>183</v>
      </c>
      <c r="C56" s="245">
        <f>+C19</f>
        <v>2903861</v>
      </c>
      <c r="E56" s="186"/>
    </row>
    <row r="57" spans="1:30" s="27" customFormat="1" ht="21.75" customHeight="1" thickBot="1">
      <c r="A57" s="187" t="s">
        <v>22</v>
      </c>
      <c r="B57" s="188" t="s">
        <v>184</v>
      </c>
      <c r="C57" s="151">
        <f>IFERROR((+C34/C52),0)</f>
        <v>0.20827216867854428</v>
      </c>
      <c r="E57" s="177"/>
    </row>
    <row r="58" spans="1:30">
      <c r="B58" s="40"/>
    </row>
    <row r="59" spans="1:30" s="237" customFormat="1" ht="18" customHeight="1">
      <c r="A59" s="235"/>
      <c r="B59" s="215" t="s">
        <v>278</v>
      </c>
      <c r="C59" s="235"/>
      <c r="D59" s="235"/>
      <c r="E59" s="235"/>
      <c r="F59" s="236"/>
      <c r="G59" s="236"/>
      <c r="H59" s="236"/>
      <c r="I59" s="236"/>
      <c r="J59" s="236"/>
      <c r="K59" s="236"/>
      <c r="L59" s="236"/>
      <c r="M59" s="236"/>
      <c r="N59" s="235"/>
      <c r="O59" s="235"/>
      <c r="P59" s="235"/>
      <c r="Q59" s="235"/>
      <c r="R59" s="235"/>
      <c r="S59" s="235"/>
      <c r="T59" s="235"/>
      <c r="U59" s="235"/>
      <c r="V59" s="235"/>
      <c r="W59" s="235"/>
      <c r="X59" s="235"/>
      <c r="Y59" s="235"/>
      <c r="Z59" s="235"/>
      <c r="AA59" s="235"/>
      <c r="AB59" s="235"/>
      <c r="AC59" s="235"/>
      <c r="AD59" s="235"/>
    </row>
    <row r="60" spans="1:30" s="237" customFormat="1" ht="14.25" customHeight="1">
      <c r="A60" s="235"/>
      <c r="B60" s="215"/>
      <c r="C60" s="235"/>
      <c r="D60" s="235"/>
      <c r="E60" s="235"/>
      <c r="F60" s="236"/>
      <c r="G60" s="236"/>
      <c r="H60" s="236"/>
      <c r="I60" s="236"/>
      <c r="J60" s="236"/>
      <c r="K60" s="236"/>
      <c r="L60" s="236"/>
      <c r="M60" s="236"/>
      <c r="N60" s="235"/>
      <c r="O60" s="235"/>
      <c r="P60" s="235"/>
      <c r="Q60" s="235"/>
      <c r="R60" s="235"/>
      <c r="S60" s="235"/>
      <c r="T60" s="235"/>
      <c r="U60" s="235"/>
      <c r="V60" s="235"/>
      <c r="W60" s="235"/>
      <c r="X60" s="235"/>
      <c r="Y60" s="235"/>
      <c r="Z60" s="235"/>
      <c r="AA60" s="235"/>
      <c r="AB60" s="235"/>
      <c r="AC60" s="235"/>
      <c r="AD60" s="235"/>
    </row>
    <row r="61" spans="1:30" s="237" customFormat="1" ht="18" customHeight="1">
      <c r="A61" s="235"/>
      <c r="B61" s="215" t="s">
        <v>279</v>
      </c>
      <c r="C61" s="235"/>
      <c r="D61" s="235"/>
      <c r="E61" s="235"/>
      <c r="F61" s="236"/>
      <c r="G61" s="236"/>
      <c r="H61" s="236"/>
      <c r="I61" s="236"/>
      <c r="J61" s="236"/>
      <c r="K61" s="236"/>
      <c r="L61" s="236"/>
      <c r="M61" s="236"/>
      <c r="N61" s="235"/>
      <c r="O61" s="235"/>
      <c r="P61" s="235"/>
      <c r="Q61" s="235"/>
      <c r="R61" s="235"/>
      <c r="S61" s="235"/>
      <c r="T61" s="235"/>
      <c r="U61" s="235"/>
      <c r="V61" s="235"/>
      <c r="W61" s="235"/>
      <c r="X61" s="235"/>
      <c r="Y61" s="235"/>
      <c r="Z61" s="235"/>
      <c r="AA61" s="235"/>
      <c r="AB61" s="235"/>
      <c r="AC61" s="235"/>
      <c r="AD61" s="235"/>
    </row>
    <row r="62" spans="1:30">
      <c r="B62" s="42"/>
    </row>
  </sheetData>
  <sheetProtection password="CACA" sheet="1" objects="1" scenarios="1"/>
  <mergeCells count="1">
    <mergeCell ref="A1:B1"/>
  </mergeCells>
  <dataValidations count="1">
    <dataValidation type="date" operator="greaterThan" allowBlank="1" showInputMessage="1" showErrorMessage="1" prompt="Введите дату в формате ЧЧ.ММ.ГГГГ" sqref="C3">
      <formula1>DATE(96,1,1)</formula1>
    </dataValidation>
  </dataValidations>
  <printOptions horizontalCentered="1"/>
  <pageMargins left="0.19685039370078741" right="0.19685039370078741" top="0.39370078740157483" bottom="0.39370078740157483" header="0.15748031496062992" footer="0.51181102362204722"/>
  <pageSetup paperSize="9" scale="69" orientation="portrait" r:id="rId1"/>
  <headerFooter alignWithMargins="0"/>
  <ignoredErrors>
    <ignoredError sqref="C5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8" customWidth="1"/>
    <col min="2" max="2" width="105.140625" style="8" customWidth="1"/>
    <col min="3" max="3" width="19.7109375" style="41" customWidth="1"/>
    <col min="4" max="4" width="10.28515625" style="69" bestFit="1" customWidth="1"/>
    <col min="5" max="5" width="19.42578125" style="70" bestFit="1" customWidth="1"/>
    <col min="6" max="6" width="9.28515625" style="69" bestFit="1" customWidth="1"/>
    <col min="7" max="7" width="9.140625" style="69"/>
    <col min="8" max="8" width="17.42578125" style="69" bestFit="1" customWidth="1"/>
    <col min="9" max="16384" width="9.140625" style="8"/>
  </cols>
  <sheetData>
    <row r="1" spans="1:8" ht="23.25" customHeight="1">
      <c r="A1" s="256" t="s">
        <v>126</v>
      </c>
      <c r="B1" s="257"/>
      <c r="C1" s="7" t="s">
        <v>125</v>
      </c>
    </row>
    <row r="2" spans="1:8">
      <c r="A2" s="43"/>
      <c r="B2" s="43"/>
      <c r="C2" s="43"/>
    </row>
    <row r="3" spans="1:8" ht="15.75">
      <c r="A3" s="9"/>
      <c r="B3" s="58" t="e">
        <f>#REF!</f>
        <v>#REF!</v>
      </c>
      <c r="C3" s="57" t="e">
        <f>+#REF!</f>
        <v>#REF!</v>
      </c>
    </row>
    <row r="4" spans="1:8" s="10" customFormat="1" ht="43.5" customHeight="1">
      <c r="A4" s="67" t="s">
        <v>52</v>
      </c>
      <c r="B4" s="67" t="s">
        <v>25</v>
      </c>
      <c r="C4" s="67" t="s">
        <v>2</v>
      </c>
      <c r="D4" s="71"/>
      <c r="E4" s="72"/>
      <c r="F4" s="71"/>
      <c r="G4" s="71"/>
      <c r="H4" s="71"/>
    </row>
    <row r="5" spans="1:8" ht="12.75" customHeight="1">
      <c r="A5" s="60" t="s">
        <v>30</v>
      </c>
      <c r="B5" s="12" t="s">
        <v>82</v>
      </c>
      <c r="C5" s="13"/>
    </row>
    <row r="6" spans="1:8" ht="12.75" customHeight="1">
      <c r="A6" s="11">
        <v>1</v>
      </c>
      <c r="B6" s="12" t="s">
        <v>83</v>
      </c>
      <c r="C6" s="14"/>
    </row>
    <row r="7" spans="1:8" s="21" customFormat="1" ht="18" customHeight="1">
      <c r="A7" s="18" t="s">
        <v>86</v>
      </c>
      <c r="B7" s="19" t="s">
        <v>84</v>
      </c>
      <c r="C7" s="49" t="s">
        <v>81</v>
      </c>
      <c r="D7" s="73"/>
      <c r="E7" s="54"/>
      <c r="F7" s="73"/>
      <c r="G7" s="73"/>
      <c r="H7" s="73"/>
    </row>
    <row r="8" spans="1:8" s="10" customFormat="1" ht="18" customHeight="1">
      <c r="A8" s="28" t="s">
        <v>31</v>
      </c>
      <c r="B8" s="65" t="s">
        <v>32</v>
      </c>
      <c r="C8" s="44"/>
      <c r="D8" s="71"/>
      <c r="E8" s="72"/>
      <c r="F8" s="71"/>
      <c r="G8" s="71"/>
      <c r="H8" s="71"/>
    </row>
    <row r="9" spans="1:8" s="10" customFormat="1" ht="18" customHeight="1">
      <c r="A9" s="28" t="s">
        <v>33</v>
      </c>
      <c r="B9" s="65" t="s">
        <v>34</v>
      </c>
      <c r="C9" s="45"/>
      <c r="D9" s="71"/>
      <c r="E9" s="72"/>
      <c r="F9" s="71"/>
      <c r="G9" s="71"/>
      <c r="H9" s="71"/>
    </row>
    <row r="10" spans="1:8" s="21" customFormat="1" ht="18" customHeight="1">
      <c r="A10" s="18" t="s">
        <v>87</v>
      </c>
      <c r="B10" s="19" t="s">
        <v>85</v>
      </c>
      <c r="C10" s="51">
        <v>0</v>
      </c>
      <c r="D10" s="73"/>
      <c r="E10" s="54"/>
      <c r="F10" s="73"/>
      <c r="G10" s="73"/>
      <c r="H10" s="73"/>
    </row>
    <row r="11" spans="1:8" s="10" customFormat="1" ht="18" customHeight="1">
      <c r="A11" s="28" t="s">
        <v>88</v>
      </c>
      <c r="B11" s="65" t="s">
        <v>89</v>
      </c>
      <c r="C11" s="49" t="s">
        <v>81</v>
      </c>
      <c r="D11" s="71"/>
      <c r="E11" s="72"/>
      <c r="F11" s="71"/>
      <c r="G11" s="71"/>
      <c r="H11" s="71"/>
    </row>
    <row r="12" spans="1:8" s="10" customFormat="1" ht="18" customHeight="1">
      <c r="A12" s="28" t="s">
        <v>37</v>
      </c>
      <c r="B12" s="65" t="s">
        <v>40</v>
      </c>
      <c r="C12" s="53"/>
      <c r="D12" s="71"/>
      <c r="E12" s="72"/>
      <c r="F12" s="71"/>
      <c r="G12" s="71"/>
      <c r="H12" s="71"/>
    </row>
    <row r="13" spans="1:8" s="10" customFormat="1" ht="18" customHeight="1">
      <c r="A13" s="23" t="s">
        <v>33</v>
      </c>
      <c r="B13" s="66" t="s">
        <v>41</v>
      </c>
      <c r="C13" s="53"/>
      <c r="D13" s="71"/>
      <c r="E13" s="72"/>
      <c r="F13" s="71"/>
      <c r="G13" s="71"/>
      <c r="H13" s="71"/>
    </row>
    <row r="14" spans="1:8" s="21" customFormat="1" ht="18" customHeight="1">
      <c r="A14" s="33" t="s">
        <v>35</v>
      </c>
      <c r="B14" s="63" t="s">
        <v>90</v>
      </c>
      <c r="C14" s="50"/>
      <c r="D14" s="73"/>
      <c r="E14" s="54"/>
      <c r="F14" s="73"/>
      <c r="G14" s="73"/>
      <c r="H14" s="73"/>
    </row>
    <row r="15" spans="1:8" s="21" customFormat="1" ht="18" customHeight="1">
      <c r="A15" s="33" t="s">
        <v>42</v>
      </c>
      <c r="B15" s="63" t="s">
        <v>91</v>
      </c>
      <c r="C15" s="50"/>
      <c r="D15" s="73"/>
      <c r="E15" s="54"/>
      <c r="F15" s="73"/>
      <c r="G15" s="73"/>
      <c r="H15" s="73"/>
    </row>
    <row r="16" spans="1:8" s="10" customFormat="1" ht="18" customHeight="1">
      <c r="A16" s="23" t="s">
        <v>92</v>
      </c>
      <c r="B16" s="66" t="s">
        <v>43</v>
      </c>
      <c r="C16" s="51"/>
      <c r="D16" s="71"/>
      <c r="E16" s="72"/>
      <c r="F16" s="71"/>
      <c r="G16" s="71"/>
      <c r="H16" s="71"/>
    </row>
    <row r="17" spans="1:8" s="10" customFormat="1" ht="18" customHeight="1">
      <c r="A17" s="23" t="s">
        <v>93</v>
      </c>
      <c r="B17" s="66" t="s">
        <v>3</v>
      </c>
      <c r="C17" s="51"/>
      <c r="D17" s="71"/>
      <c r="E17" s="72"/>
      <c r="F17" s="71"/>
      <c r="G17" s="71"/>
      <c r="H17" s="71"/>
    </row>
    <row r="18" spans="1:8" s="10" customFormat="1" ht="18" customHeight="1">
      <c r="A18" s="23"/>
      <c r="B18" s="66" t="s">
        <v>94</v>
      </c>
      <c r="C18" s="49" t="s">
        <v>81</v>
      </c>
      <c r="D18" s="71"/>
      <c r="E18" s="72"/>
      <c r="F18" s="71"/>
      <c r="G18" s="71"/>
      <c r="H18" s="71"/>
    </row>
    <row r="19" spans="1:8" s="10" customFormat="1" ht="18" customHeight="1">
      <c r="A19" s="23" t="s">
        <v>122</v>
      </c>
      <c r="B19" s="66" t="s">
        <v>95</v>
      </c>
      <c r="C19" s="49" t="s">
        <v>81</v>
      </c>
      <c r="D19" s="71"/>
      <c r="E19" s="72"/>
      <c r="F19" s="71"/>
      <c r="G19" s="71"/>
      <c r="H19" s="71"/>
    </row>
    <row r="20" spans="1:8" s="21" customFormat="1" ht="18" customHeight="1">
      <c r="A20" s="59" t="s">
        <v>37</v>
      </c>
      <c r="B20" s="104" t="s">
        <v>45</v>
      </c>
      <c r="C20" s="50"/>
      <c r="D20" s="73"/>
      <c r="E20" s="54"/>
      <c r="F20" s="73"/>
      <c r="G20" s="73"/>
      <c r="H20" s="73"/>
    </row>
    <row r="21" spans="1:8" s="20" customFormat="1" ht="25.5">
      <c r="A21" s="59" t="s">
        <v>33</v>
      </c>
      <c r="B21" s="63" t="s">
        <v>12</v>
      </c>
      <c r="C21" s="50"/>
      <c r="D21" s="73"/>
      <c r="E21" s="54"/>
      <c r="F21" s="73"/>
      <c r="G21" s="73"/>
      <c r="H21" s="73"/>
    </row>
    <row r="22" spans="1:8" s="21" customFormat="1" ht="18" customHeight="1">
      <c r="A22" s="59" t="s">
        <v>35</v>
      </c>
      <c r="B22" s="63" t="s">
        <v>4</v>
      </c>
      <c r="C22" s="50"/>
      <c r="D22" s="73"/>
      <c r="E22" s="54"/>
      <c r="F22" s="73"/>
      <c r="G22" s="73"/>
      <c r="H22" s="73"/>
    </row>
    <row r="23" spans="1:8" s="21" customFormat="1" ht="15" customHeight="1">
      <c r="A23" s="18" t="s">
        <v>96</v>
      </c>
      <c r="B23" s="19" t="s">
        <v>97</v>
      </c>
      <c r="C23" s="49" t="s">
        <v>81</v>
      </c>
      <c r="D23" s="73"/>
      <c r="E23" s="54"/>
      <c r="F23" s="73"/>
      <c r="G23" s="73"/>
      <c r="H23" s="73"/>
    </row>
    <row r="24" spans="1:8" ht="16.5" customHeight="1">
      <c r="A24" s="15">
        <v>2</v>
      </c>
      <c r="B24" s="22" t="s">
        <v>98</v>
      </c>
      <c r="C24" s="16"/>
    </row>
    <row r="25" spans="1:8" s="21" customFormat="1" ht="18" customHeight="1">
      <c r="A25" s="33" t="s">
        <v>99</v>
      </c>
      <c r="B25" s="63" t="s">
        <v>36</v>
      </c>
      <c r="C25" s="61">
        <f>+C26+C27</f>
        <v>0</v>
      </c>
      <c r="D25" s="73"/>
      <c r="E25" s="54"/>
      <c r="F25" s="73"/>
      <c r="G25" s="73"/>
      <c r="H25" s="73"/>
    </row>
    <row r="26" spans="1:8" s="21" customFormat="1" ht="18" customHeight="1">
      <c r="A26" s="33" t="s">
        <v>37</v>
      </c>
      <c r="B26" s="63" t="s">
        <v>38</v>
      </c>
      <c r="C26" s="50"/>
      <c r="D26" s="73"/>
      <c r="E26" s="54"/>
      <c r="F26" s="73"/>
      <c r="G26" s="73"/>
      <c r="H26" s="73"/>
    </row>
    <row r="27" spans="1:8" s="21" customFormat="1" ht="18" customHeight="1">
      <c r="A27" s="33" t="s">
        <v>33</v>
      </c>
      <c r="B27" s="63" t="s">
        <v>39</v>
      </c>
      <c r="C27" s="50"/>
      <c r="D27" s="73"/>
      <c r="E27" s="54"/>
      <c r="F27" s="73"/>
      <c r="G27" s="73"/>
      <c r="H27" s="73"/>
    </row>
    <row r="28" spans="1:8" s="21" customFormat="1" ht="18" customHeight="1">
      <c r="A28" s="33" t="s">
        <v>100</v>
      </c>
      <c r="B28" s="63" t="s">
        <v>101</v>
      </c>
      <c r="C28" s="50">
        <v>0</v>
      </c>
      <c r="D28" s="73"/>
      <c r="E28" s="54"/>
      <c r="F28" s="73"/>
      <c r="G28" s="73"/>
      <c r="H28" s="73"/>
    </row>
    <row r="29" spans="1:8">
      <c r="A29" s="23" t="s">
        <v>102</v>
      </c>
      <c r="B29" s="64" t="s">
        <v>103</v>
      </c>
      <c r="C29" s="46">
        <v>0</v>
      </c>
    </row>
    <row r="30" spans="1:8" s="21" customFormat="1" ht="29.25" customHeight="1">
      <c r="A30" s="33" t="s">
        <v>104</v>
      </c>
      <c r="B30" s="63" t="s">
        <v>11</v>
      </c>
      <c r="C30" s="50">
        <v>0</v>
      </c>
      <c r="D30" s="73"/>
      <c r="E30" s="54"/>
      <c r="F30" s="73"/>
      <c r="G30" s="73"/>
      <c r="H30" s="73"/>
    </row>
    <row r="31" spans="1:8" s="25" customFormat="1">
      <c r="A31" s="24" t="s">
        <v>44</v>
      </c>
      <c r="B31" s="55" t="s">
        <v>105</v>
      </c>
      <c r="C31" s="52">
        <f>+C25+C28+C29+C30</f>
        <v>0</v>
      </c>
      <c r="D31" s="74"/>
      <c r="E31" s="75"/>
      <c r="F31" s="76"/>
      <c r="G31" s="76"/>
      <c r="H31" s="76"/>
    </row>
    <row r="32" spans="1:8" s="25" customFormat="1" ht="16.5" customHeight="1">
      <c r="A32" s="24" t="s">
        <v>46</v>
      </c>
      <c r="B32" s="68" t="s">
        <v>106</v>
      </c>
      <c r="C32" s="49" t="s">
        <v>81</v>
      </c>
      <c r="D32" s="76"/>
      <c r="E32" s="75"/>
      <c r="F32" s="76"/>
      <c r="G32" s="76"/>
      <c r="H32" s="76"/>
    </row>
    <row r="33" spans="1:8" s="27" customFormat="1" ht="13.5" customHeight="1">
      <c r="A33" s="26"/>
      <c r="B33" s="26" t="s">
        <v>48</v>
      </c>
      <c r="C33" s="17"/>
      <c r="D33" s="77"/>
      <c r="E33" s="78"/>
      <c r="F33" s="77"/>
      <c r="G33" s="77"/>
      <c r="H33" s="79"/>
    </row>
    <row r="34" spans="1:8" s="21" customFormat="1" ht="18" customHeight="1">
      <c r="A34" s="33" t="s">
        <v>107</v>
      </c>
      <c r="B34" s="103" t="s">
        <v>127</v>
      </c>
      <c r="C34" s="50"/>
      <c r="D34" s="73"/>
      <c r="E34" s="54"/>
      <c r="F34" s="73"/>
      <c r="G34" s="73"/>
      <c r="H34" s="73"/>
    </row>
    <row r="35" spans="1:8" s="21" customFormat="1" ht="25.5">
      <c r="A35" s="33" t="s">
        <v>108</v>
      </c>
      <c r="B35" s="63" t="s">
        <v>13</v>
      </c>
      <c r="C35" s="93" t="e">
        <f>IF(#REF!&lt;(C43*1.25%),#REF!,(C43*1.25%))</f>
        <v>#REF!</v>
      </c>
      <c r="D35" s="73"/>
      <c r="E35" s="54"/>
      <c r="F35" s="73"/>
      <c r="G35" s="73"/>
      <c r="H35" s="73"/>
    </row>
    <row r="36" spans="1:8" s="21" customFormat="1" ht="18" customHeight="1">
      <c r="A36" s="33" t="s">
        <v>109</v>
      </c>
      <c r="B36" s="63" t="s">
        <v>5</v>
      </c>
      <c r="C36" s="50"/>
      <c r="D36" s="73"/>
      <c r="E36" s="54"/>
      <c r="F36" s="73"/>
      <c r="G36" s="73"/>
      <c r="H36" s="73"/>
    </row>
    <row r="37" spans="1:8" s="21" customFormat="1" ht="18" customHeight="1">
      <c r="A37" s="33" t="s">
        <v>110</v>
      </c>
      <c r="B37" s="63" t="s">
        <v>111</v>
      </c>
      <c r="C37" s="50"/>
      <c r="D37" s="73"/>
      <c r="E37" s="54"/>
      <c r="F37" s="73"/>
      <c r="G37" s="73"/>
      <c r="H37" s="73"/>
    </row>
    <row r="38" spans="1:8" s="21" customFormat="1" ht="18" customHeight="1">
      <c r="A38" s="33" t="s">
        <v>112</v>
      </c>
      <c r="B38" s="63" t="s">
        <v>6</v>
      </c>
      <c r="C38" s="50"/>
      <c r="D38" s="73"/>
      <c r="E38" s="54"/>
      <c r="F38" s="73"/>
      <c r="G38" s="73"/>
      <c r="H38" s="73"/>
    </row>
    <row r="39" spans="1:8" s="21" customFormat="1" ht="18" customHeight="1">
      <c r="A39" s="33" t="s">
        <v>113</v>
      </c>
      <c r="B39" s="63" t="s">
        <v>49</v>
      </c>
      <c r="C39" s="49" t="s">
        <v>81</v>
      </c>
      <c r="D39" s="73"/>
      <c r="E39" s="54"/>
      <c r="F39" s="73"/>
      <c r="G39" s="73"/>
      <c r="H39" s="73"/>
    </row>
    <row r="40" spans="1:8" ht="18.75" customHeight="1">
      <c r="A40" s="28"/>
      <c r="B40" s="29" t="s">
        <v>18</v>
      </c>
      <c r="C40" s="17" t="e">
        <f>SUM(C34:C38)</f>
        <v>#REF!</v>
      </c>
      <c r="D40" s="74"/>
    </row>
    <row r="41" spans="1:8" s="10" customFormat="1" ht="22.5" customHeight="1">
      <c r="A41" s="47" t="s">
        <v>47</v>
      </c>
      <c r="B41" s="30" t="s">
        <v>19</v>
      </c>
      <c r="C41" s="49" t="s">
        <v>81</v>
      </c>
      <c r="D41" s="80"/>
      <c r="E41" s="72"/>
      <c r="F41" s="71"/>
      <c r="G41" s="71"/>
      <c r="H41" s="71"/>
    </row>
    <row r="42" spans="1:8" s="10" customFormat="1" ht="15.75" customHeight="1">
      <c r="A42" s="26" t="s">
        <v>50</v>
      </c>
      <c r="B42" s="30" t="s">
        <v>114</v>
      </c>
      <c r="C42" s="49" t="s">
        <v>81</v>
      </c>
      <c r="D42" s="80"/>
      <c r="E42" s="72"/>
      <c r="F42" s="71"/>
      <c r="G42" s="71"/>
      <c r="H42" s="71"/>
    </row>
    <row r="43" spans="1:8" s="10" customFormat="1" ht="21.75" customHeight="1">
      <c r="A43" s="26" t="s">
        <v>9</v>
      </c>
      <c r="B43" s="19" t="s">
        <v>115</v>
      </c>
      <c r="C43" s="31">
        <f>+C44+C45+C46</f>
        <v>18033520124.090736</v>
      </c>
      <c r="D43" s="71"/>
      <c r="E43" s="72"/>
      <c r="F43" s="71"/>
      <c r="G43" s="71"/>
      <c r="H43" s="71"/>
    </row>
    <row r="44" spans="1:8" s="21" customFormat="1" ht="18" customHeight="1">
      <c r="A44" s="33" t="s">
        <v>37</v>
      </c>
      <c r="B44" s="63" t="s">
        <v>14</v>
      </c>
      <c r="C44" s="61">
        <f>+'Calculation of Risk Weighted As'!I73</f>
        <v>17368936824.049999</v>
      </c>
      <c r="D44" s="73"/>
      <c r="E44" s="54"/>
      <c r="F44" s="73"/>
      <c r="G44" s="73"/>
      <c r="H44" s="73"/>
    </row>
    <row r="45" spans="1:8" s="21" customFormat="1" ht="18" customHeight="1">
      <c r="A45" s="33" t="s">
        <v>33</v>
      </c>
      <c r="B45" s="63" t="s">
        <v>7</v>
      </c>
      <c r="C45" s="61">
        <f>+'Calculation of Risk'!C21</f>
        <v>457140526.96381527</v>
      </c>
      <c r="D45" s="73"/>
      <c r="E45" s="54"/>
      <c r="F45" s="73"/>
      <c r="G45" s="73"/>
      <c r="H45" s="73"/>
    </row>
    <row r="46" spans="1:8" s="21" customFormat="1" ht="18" customHeight="1">
      <c r="A46" s="33" t="s">
        <v>35</v>
      </c>
      <c r="B46" s="63" t="s">
        <v>8</v>
      </c>
      <c r="C46" s="61">
        <f>+'Calculation of Risk'!C27</f>
        <v>207442773.07692307</v>
      </c>
      <c r="D46" s="73"/>
      <c r="E46" s="54">
        <f>+'Calculation of Risk'!G12</f>
        <v>0</v>
      </c>
      <c r="F46" s="73"/>
      <c r="G46" s="73"/>
      <c r="H46" s="73"/>
    </row>
    <row r="47" spans="1:8" s="27" customFormat="1" ht="21.75" customHeight="1">
      <c r="A47" s="47" t="s">
        <v>10</v>
      </c>
      <c r="B47" s="48" t="s">
        <v>116</v>
      </c>
      <c r="C47" s="49" t="s">
        <v>81</v>
      </c>
      <c r="D47" s="77"/>
      <c r="E47" s="78"/>
      <c r="F47" s="77"/>
      <c r="G47" s="77"/>
      <c r="H47" s="77"/>
    </row>
    <row r="48" spans="1:8" s="27" customFormat="1" ht="21.75" customHeight="1">
      <c r="A48" s="47" t="s">
        <v>51</v>
      </c>
      <c r="B48" s="48" t="s">
        <v>117</v>
      </c>
      <c r="C48" s="49" t="s">
        <v>81</v>
      </c>
      <c r="D48" s="77"/>
      <c r="E48" s="78"/>
      <c r="F48" s="77"/>
      <c r="G48" s="77"/>
      <c r="H48" s="77"/>
    </row>
    <row r="49" spans="1:8" s="27" customFormat="1" ht="21.75" customHeight="1">
      <c r="A49" s="47" t="s">
        <v>20</v>
      </c>
      <c r="B49" s="48" t="s">
        <v>118</v>
      </c>
      <c r="C49" s="49" t="s">
        <v>81</v>
      </c>
      <c r="D49" s="77"/>
      <c r="E49" s="78"/>
      <c r="F49" s="77"/>
      <c r="G49" s="77"/>
      <c r="H49" s="77"/>
    </row>
    <row r="50" spans="1:8" s="32" customFormat="1" ht="21.75" customHeight="1">
      <c r="A50" s="26" t="s">
        <v>21</v>
      </c>
      <c r="B50" s="19" t="s">
        <v>17</v>
      </c>
      <c r="C50" s="49" t="s">
        <v>81</v>
      </c>
      <c r="D50" s="81"/>
      <c r="E50" s="82"/>
      <c r="F50" s="83"/>
      <c r="G50" s="81"/>
      <c r="H50" s="81"/>
    </row>
    <row r="51" spans="1:8" s="36" customFormat="1" ht="21.75" customHeight="1">
      <c r="A51" s="33" t="s">
        <v>37</v>
      </c>
      <c r="B51" s="34" t="s">
        <v>23</v>
      </c>
      <c r="C51" s="35" t="e">
        <f>+#REF!</f>
        <v>#REF!</v>
      </c>
      <c r="D51" s="84"/>
      <c r="E51" s="85"/>
      <c r="F51" s="86"/>
      <c r="G51" s="84"/>
      <c r="H51" s="84"/>
    </row>
    <row r="52" spans="1:8" s="36" customFormat="1" ht="21.75" customHeight="1">
      <c r="A52" s="33" t="s">
        <v>33</v>
      </c>
      <c r="B52" s="34" t="s">
        <v>119</v>
      </c>
      <c r="C52" s="90">
        <f>SUM('Calculation of Risk Weighted As'!E53:H61)</f>
        <v>563866317</v>
      </c>
      <c r="D52" s="86">
        <f>+'Calculation of Risk Weighted As'!I73</f>
        <v>17368936824.049999</v>
      </c>
      <c r="E52" s="85"/>
      <c r="F52" s="86"/>
      <c r="G52" s="84"/>
      <c r="H52" s="84"/>
    </row>
    <row r="53" spans="1:8" s="39" customFormat="1" ht="21.75" customHeight="1">
      <c r="A53" s="37" t="s">
        <v>35</v>
      </c>
      <c r="B53" s="38" t="s">
        <v>120</v>
      </c>
      <c r="C53" s="92">
        <f>SUM('Calculation of Risk Weighted As'!I64:I70)</f>
        <v>0</v>
      </c>
      <c r="D53" s="89"/>
      <c r="E53" s="91"/>
      <c r="F53" s="87"/>
      <c r="G53" s="87"/>
      <c r="H53" s="87"/>
    </row>
    <row r="54" spans="1:8" s="39" customFormat="1" ht="21.75" customHeight="1">
      <c r="A54" s="37" t="s">
        <v>42</v>
      </c>
      <c r="B54" s="38" t="s">
        <v>121</v>
      </c>
      <c r="C54" s="56" t="str">
        <f>+C19</f>
        <v>Формула</v>
      </c>
      <c r="D54" s="87"/>
      <c r="E54" s="88"/>
      <c r="F54" s="87"/>
      <c r="G54" s="87"/>
      <c r="H54" s="87"/>
    </row>
    <row r="55" spans="1:8" s="27" customFormat="1" ht="21.75" customHeight="1">
      <c r="A55" s="47" t="s">
        <v>22</v>
      </c>
      <c r="B55" s="48" t="s">
        <v>24</v>
      </c>
      <c r="C55" s="49" t="s">
        <v>81</v>
      </c>
      <c r="D55" s="77"/>
      <c r="E55" s="78"/>
      <c r="F55" s="77"/>
      <c r="G55" s="77"/>
      <c r="H55" s="77"/>
    </row>
    <row r="56" spans="1:8">
      <c r="B56" s="40"/>
    </row>
    <row r="57" spans="1:8" s="1" customFormat="1">
      <c r="A57" s="3"/>
      <c r="B57" s="2" t="s">
        <v>0</v>
      </c>
      <c r="D57" s="6"/>
      <c r="E57" s="6"/>
      <c r="F57" s="6"/>
      <c r="G57" s="6"/>
      <c r="H57" s="6"/>
    </row>
    <row r="58" spans="1:8" s="1" customFormat="1">
      <c r="A58" s="3"/>
      <c r="B58" s="2"/>
      <c r="D58" s="6"/>
      <c r="E58" s="6"/>
      <c r="F58" s="6"/>
      <c r="G58" s="6"/>
      <c r="H58" s="6"/>
    </row>
    <row r="59" spans="1:8" s="1" customFormat="1">
      <c r="A59" s="3"/>
      <c r="B59" s="2" t="s">
        <v>1</v>
      </c>
      <c r="D59" s="6"/>
      <c r="E59" s="6"/>
      <c r="F59" s="6"/>
      <c r="G59" s="6"/>
      <c r="H59" s="6"/>
    </row>
    <row r="60" spans="1:8">
      <c r="B60" s="4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XFC77"/>
  <sheetViews>
    <sheetView view="pageBreakPreview" zoomScale="85" zoomScaleNormal="85" zoomScaleSheetLayoutView="85" workbookViewId="0">
      <pane xSplit="2" ySplit="7" topLeftCell="C45" activePane="bottomRight" state="frozen"/>
      <selection activeCell="B54" sqref="B54:C54"/>
      <selection pane="topRight" activeCell="B54" sqref="B54:C54"/>
      <selection pane="bottomLeft" activeCell="B54" sqref="B54:C54"/>
      <selection pane="bottomRight" activeCell="H60" sqref="H60"/>
    </sheetView>
  </sheetViews>
  <sheetFormatPr defaultRowHeight="12.75"/>
  <cols>
    <col min="1" max="1" width="5.42578125" style="106" customWidth="1"/>
    <col min="2" max="2" width="67" style="102" customWidth="1"/>
    <col min="3" max="3" width="12.5703125" style="102" customWidth="1"/>
    <col min="4" max="5" width="14.7109375" style="102" customWidth="1"/>
    <col min="6" max="8" width="15.28515625" style="102" customWidth="1"/>
    <col min="9" max="9" width="18.140625" style="126" customWidth="1"/>
    <col min="10" max="11" width="16.42578125" style="102" customWidth="1"/>
    <col min="12" max="12" width="16" style="102" customWidth="1"/>
    <col min="13" max="15" width="10.28515625" style="102" customWidth="1"/>
    <col min="16" max="16384" width="9.140625" style="102"/>
  </cols>
  <sheetData>
    <row r="1" spans="1:11" ht="26.25" customHeight="1">
      <c r="A1" s="274" t="s">
        <v>186</v>
      </c>
      <c r="B1" s="274"/>
      <c r="C1" s="274"/>
      <c r="D1" s="274"/>
      <c r="E1" s="274"/>
      <c r="F1" s="274"/>
      <c r="G1" s="274"/>
      <c r="H1" s="274"/>
      <c r="I1" s="190" t="s">
        <v>185</v>
      </c>
    </row>
    <row r="2" spans="1:11" ht="25.5" customHeight="1" thickBot="1">
      <c r="B2" s="107" t="str">
        <f>+'Bank Capital Calc'!B3</f>
        <v xml:space="preserve">МКБАНК </v>
      </c>
      <c r="D2" s="105"/>
      <c r="E2" s="105"/>
      <c r="G2" s="269">
        <f>+'Bank Capital Calc'!C3</f>
        <v>44926</v>
      </c>
      <c r="H2" s="269"/>
      <c r="I2" s="191" t="s">
        <v>271</v>
      </c>
      <c r="J2" s="126"/>
    </row>
    <row r="3" spans="1:11">
      <c r="A3" s="277" t="s">
        <v>52</v>
      </c>
      <c r="B3" s="268" t="s">
        <v>131</v>
      </c>
      <c r="C3" s="192">
        <v>0</v>
      </c>
      <c r="D3" s="192">
        <v>0.2</v>
      </c>
      <c r="E3" s="192">
        <v>0.35</v>
      </c>
      <c r="F3" s="192">
        <v>0.5</v>
      </c>
      <c r="G3" s="192">
        <v>1</v>
      </c>
      <c r="H3" s="192">
        <v>1.5</v>
      </c>
      <c r="I3" s="193">
        <v>2</v>
      </c>
      <c r="J3" s="249"/>
      <c r="K3" s="126"/>
    </row>
    <row r="4" spans="1:11" ht="20.25" customHeight="1">
      <c r="A4" s="278"/>
      <c r="B4" s="262"/>
      <c r="C4" s="247" t="s">
        <v>187</v>
      </c>
      <c r="D4" s="247" t="s">
        <v>187</v>
      </c>
      <c r="E4" s="247" t="s">
        <v>187</v>
      </c>
      <c r="F4" s="247" t="s">
        <v>187</v>
      </c>
      <c r="G4" s="247" t="s">
        <v>187</v>
      </c>
      <c r="H4" s="247" t="s">
        <v>187</v>
      </c>
      <c r="I4" s="194" t="s">
        <v>187</v>
      </c>
      <c r="K4" s="126"/>
    </row>
    <row r="5" spans="1:11" ht="20.25" customHeight="1">
      <c r="A5" s="278"/>
      <c r="B5" s="262"/>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4">
        <v>399618559</v>
      </c>
      <c r="D8" s="95"/>
      <c r="E8" s="95"/>
      <c r="F8" s="95"/>
      <c r="G8" s="95"/>
      <c r="H8" s="95"/>
      <c r="I8" s="100"/>
      <c r="J8" s="250"/>
      <c r="K8" s="109"/>
    </row>
    <row r="9" spans="1:11" s="98" customFormat="1">
      <c r="A9" s="246" t="s">
        <v>65</v>
      </c>
      <c r="B9" s="196" t="s">
        <v>197</v>
      </c>
      <c r="C9" s="95"/>
      <c r="D9" s="4">
        <v>150414947</v>
      </c>
      <c r="E9" s="95"/>
      <c r="F9" s="95"/>
      <c r="G9" s="95"/>
      <c r="H9" s="95"/>
      <c r="I9" s="100"/>
      <c r="J9" s="250"/>
      <c r="K9" s="109"/>
    </row>
    <row r="10" spans="1:11" s="98" customFormat="1">
      <c r="A10" s="246" t="s">
        <v>66</v>
      </c>
      <c r="B10" s="196" t="s">
        <v>198</v>
      </c>
      <c r="C10" s="4">
        <v>425539396</v>
      </c>
      <c r="D10" s="4"/>
      <c r="E10" s="95"/>
      <c r="F10" s="95"/>
      <c r="G10" s="95"/>
      <c r="H10" s="95"/>
      <c r="I10" s="100"/>
      <c r="J10" s="250"/>
      <c r="K10" s="109"/>
    </row>
    <row r="11" spans="1:11" s="98" customFormat="1" ht="25.5">
      <c r="A11" s="246" t="s">
        <v>67</v>
      </c>
      <c r="B11" s="196" t="s">
        <v>286</v>
      </c>
      <c r="C11" s="95"/>
      <c r="D11" s="4"/>
      <c r="E11" s="95"/>
      <c r="F11" s="4">
        <v>700292075</v>
      </c>
      <c r="G11" s="4"/>
      <c r="H11" s="4"/>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4">
        <v>454589346</v>
      </c>
      <c r="D13" s="4"/>
      <c r="E13" s="95"/>
      <c r="F13" s="95"/>
      <c r="G13" s="95"/>
      <c r="H13" s="95"/>
      <c r="I13" s="100"/>
      <c r="J13" s="250"/>
      <c r="K13" s="109"/>
    </row>
    <row r="14" spans="1:11" s="98" customFormat="1" ht="25.5">
      <c r="A14" s="246" t="s">
        <v>33</v>
      </c>
      <c r="B14" s="196" t="s">
        <v>288</v>
      </c>
      <c r="C14" s="4"/>
      <c r="D14" s="4"/>
      <c r="E14" s="95"/>
      <c r="F14" s="95"/>
      <c r="G14" s="95"/>
      <c r="H14" s="95"/>
      <c r="I14" s="100"/>
      <c r="J14" s="250"/>
      <c r="K14" s="109"/>
    </row>
    <row r="15" spans="1:11" s="98" customFormat="1" ht="38.25">
      <c r="A15" s="246" t="s">
        <v>35</v>
      </c>
      <c r="B15" s="196" t="s">
        <v>201</v>
      </c>
      <c r="C15" s="4"/>
      <c r="D15" s="4"/>
      <c r="E15" s="95"/>
      <c r="F15" s="4"/>
      <c r="G15" s="4"/>
      <c r="H15" s="4"/>
      <c r="I15" s="100"/>
      <c r="J15" s="250"/>
      <c r="K15" s="109"/>
    </row>
    <row r="16" spans="1:11" s="98" customFormat="1">
      <c r="A16" s="246" t="s">
        <v>42</v>
      </c>
      <c r="B16" s="196" t="s">
        <v>202</v>
      </c>
      <c r="C16" s="4"/>
      <c r="D16" s="4"/>
      <c r="E16" s="95"/>
      <c r="F16" s="4"/>
      <c r="G16" s="4"/>
      <c r="H16" s="4"/>
      <c r="I16" s="100"/>
      <c r="J16" s="250"/>
      <c r="K16" s="109"/>
    </row>
    <row r="17" spans="1:16383" s="98" customFormat="1">
      <c r="A17" s="246" t="s">
        <v>128</v>
      </c>
      <c r="B17" s="196" t="s">
        <v>203</v>
      </c>
      <c r="C17" s="4"/>
      <c r="D17" s="4"/>
      <c r="E17" s="95"/>
      <c r="F17" s="4"/>
      <c r="G17" s="4"/>
      <c r="H17" s="4"/>
      <c r="I17" s="100"/>
      <c r="J17" s="250"/>
      <c r="K17" s="109"/>
    </row>
    <row r="18" spans="1:16383" s="98" customFormat="1">
      <c r="A18" s="246" t="s">
        <v>211</v>
      </c>
      <c r="B18" s="196" t="s">
        <v>284</v>
      </c>
      <c r="C18" s="4"/>
      <c r="D18" s="4"/>
      <c r="E18" s="95"/>
      <c r="F18" s="4"/>
      <c r="G18" s="4"/>
      <c r="H18" s="4"/>
      <c r="I18" s="100"/>
      <c r="J18" s="250"/>
      <c r="K18" s="109"/>
    </row>
    <row r="19" spans="1:16383" s="98" customFormat="1" ht="25.5">
      <c r="A19" s="246" t="s">
        <v>69</v>
      </c>
      <c r="B19" s="196" t="s">
        <v>204</v>
      </c>
      <c r="C19" s="95"/>
      <c r="D19" s="95"/>
      <c r="E19" s="95"/>
      <c r="F19" s="95"/>
      <c r="G19" s="4"/>
      <c r="H19" s="95"/>
      <c r="I19" s="100"/>
      <c r="J19" s="250"/>
      <c r="K19" s="109"/>
    </row>
    <row r="20" spans="1:16383" s="98" customFormat="1" ht="51">
      <c r="A20" s="246" t="s">
        <v>70</v>
      </c>
      <c r="B20" s="196" t="s">
        <v>205</v>
      </c>
      <c r="C20" s="4"/>
      <c r="D20" s="4"/>
      <c r="E20" s="95"/>
      <c r="F20" s="4"/>
      <c r="G20" s="4"/>
      <c r="H20" s="4"/>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4"/>
      <c r="D22" s="95"/>
      <c r="E22" s="95"/>
      <c r="F22" s="95"/>
      <c r="G22" s="95"/>
      <c r="H22" s="95"/>
      <c r="I22" s="100"/>
      <c r="J22" s="250"/>
      <c r="K22" s="109"/>
    </row>
    <row r="23" spans="1:16383" s="98" customFormat="1" ht="38.25">
      <c r="A23" s="246" t="s">
        <v>33</v>
      </c>
      <c r="B23" s="196" t="s">
        <v>285</v>
      </c>
      <c r="C23" s="4"/>
      <c r="D23" s="95"/>
      <c r="E23" s="95"/>
      <c r="F23" s="95"/>
      <c r="G23" s="95"/>
      <c r="H23" s="95"/>
      <c r="I23" s="100"/>
      <c r="J23" s="250"/>
      <c r="K23" s="109"/>
    </row>
    <row r="24" spans="1:16383" s="98" customFormat="1">
      <c r="A24" s="246" t="s">
        <v>35</v>
      </c>
      <c r="B24" s="196" t="s">
        <v>208</v>
      </c>
      <c r="C24" s="4"/>
      <c r="D24" s="4"/>
      <c r="E24" s="95"/>
      <c r="F24" s="95"/>
      <c r="G24" s="95"/>
      <c r="H24" s="95"/>
      <c r="I24" s="100"/>
      <c r="J24" s="250"/>
      <c r="K24" s="109"/>
    </row>
    <row r="25" spans="1:16383" s="98" customFormat="1" ht="51">
      <c r="A25" s="246" t="s">
        <v>42</v>
      </c>
      <c r="B25" s="196" t="s">
        <v>293</v>
      </c>
      <c r="C25" s="4"/>
      <c r="D25" s="95"/>
      <c r="E25" s="95"/>
      <c r="F25" s="95"/>
      <c r="G25" s="95"/>
      <c r="H25" s="95"/>
      <c r="I25" s="100"/>
      <c r="J25" s="250"/>
      <c r="K25" s="109"/>
    </row>
    <row r="26" spans="1:16383" s="98" customFormat="1">
      <c r="A26" s="246" t="s">
        <v>128</v>
      </c>
      <c r="B26" s="196" t="s">
        <v>210</v>
      </c>
      <c r="C26" s="95"/>
      <c r="D26" s="95"/>
      <c r="E26" s="95"/>
      <c r="F26" s="95"/>
      <c r="G26" s="4"/>
      <c r="H26" s="95"/>
      <c r="I26" s="100"/>
      <c r="J26" s="250"/>
      <c r="K26" s="109"/>
    </row>
    <row r="27" spans="1:16383" s="98" customFormat="1" ht="25.5">
      <c r="A27" s="246" t="s">
        <v>211</v>
      </c>
      <c r="B27" s="196" t="s">
        <v>212</v>
      </c>
      <c r="C27" s="95"/>
      <c r="D27" s="95"/>
      <c r="E27" s="5">
        <v>22227499</v>
      </c>
      <c r="F27" s="5">
        <v>62006394</v>
      </c>
      <c r="G27" s="5">
        <v>628008886</v>
      </c>
      <c r="H27" s="5">
        <v>55840466</v>
      </c>
      <c r="I27" s="100"/>
      <c r="J27" s="250"/>
      <c r="K27" s="109"/>
    </row>
    <row r="28" spans="1:16383" s="98" customFormat="1">
      <c r="A28" s="246" t="s">
        <v>213</v>
      </c>
      <c r="B28" s="196" t="s">
        <v>214</v>
      </c>
      <c r="C28" s="95"/>
      <c r="D28" s="95"/>
      <c r="E28" s="95"/>
      <c r="F28" s="95"/>
      <c r="G28" s="5">
        <v>2795511905</v>
      </c>
      <c r="H28" s="5">
        <v>244422180</v>
      </c>
      <c r="I28" s="243">
        <v>373707139</v>
      </c>
      <c r="J28" s="250"/>
      <c r="K28" s="109"/>
    </row>
    <row r="29" spans="1:16383" s="98" customFormat="1">
      <c r="A29" s="246" t="s">
        <v>215</v>
      </c>
      <c r="B29" s="196" t="s">
        <v>216</v>
      </c>
      <c r="C29" s="95"/>
      <c r="D29" s="95"/>
      <c r="E29" s="95"/>
      <c r="F29" s="95"/>
      <c r="G29" s="4">
        <v>7349924903</v>
      </c>
      <c r="H29" s="4">
        <v>320636204</v>
      </c>
      <c r="I29" s="243">
        <v>655124974</v>
      </c>
      <c r="J29" s="250"/>
      <c r="K29" s="109"/>
    </row>
    <row r="30" spans="1:16383" s="98" customFormat="1">
      <c r="A30" s="246" t="s">
        <v>217</v>
      </c>
      <c r="B30" s="196" t="s">
        <v>287</v>
      </c>
      <c r="C30" s="95"/>
      <c r="D30" s="95"/>
      <c r="E30" s="95"/>
      <c r="F30" s="95"/>
      <c r="G30" s="95"/>
      <c r="H30" s="95"/>
      <c r="I30" s="243">
        <v>457001984</v>
      </c>
      <c r="J30" s="250"/>
      <c r="K30" s="250"/>
      <c r="L30" s="250"/>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4">
        <v>413614891</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4"/>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4">
        <v>155586321</v>
      </c>
      <c r="I34" s="243"/>
      <c r="J34" s="250"/>
      <c r="K34" s="109"/>
    </row>
    <row r="35" spans="1:16383" s="98" customFormat="1" ht="25.5">
      <c r="A35" s="246" t="s">
        <v>42</v>
      </c>
      <c r="B35" s="196" t="s">
        <v>222</v>
      </c>
      <c r="C35" s="95"/>
      <c r="D35" s="95"/>
      <c r="E35" s="95"/>
      <c r="F35" s="95"/>
      <c r="G35" s="95"/>
      <c r="H35" s="4"/>
      <c r="I35" s="243"/>
      <c r="J35" s="250"/>
      <c r="K35" s="109"/>
    </row>
    <row r="36" spans="1:16383" s="98" customFormat="1" ht="51">
      <c r="A36" s="246" t="s">
        <v>79</v>
      </c>
      <c r="B36" s="196" t="s">
        <v>223</v>
      </c>
      <c r="C36" s="4">
        <v>107220</v>
      </c>
      <c r="D36" s="95"/>
      <c r="E36" s="95"/>
      <c r="F36" s="95"/>
      <c r="G36" s="95"/>
      <c r="H36" s="95"/>
      <c r="I36" s="100"/>
      <c r="J36" s="250"/>
      <c r="K36" s="109"/>
    </row>
    <row r="37" spans="1:16383" s="98" customFormat="1" ht="21" customHeight="1">
      <c r="A37" s="246" t="s">
        <v>80</v>
      </c>
      <c r="B37" s="196" t="s">
        <v>292</v>
      </c>
      <c r="C37" s="95"/>
      <c r="D37" s="127"/>
      <c r="E37" s="95"/>
      <c r="F37" s="95"/>
      <c r="G37" s="4"/>
      <c r="H37" s="95"/>
      <c r="I37" s="100"/>
      <c r="J37" s="250"/>
      <c r="K37" s="109"/>
    </row>
    <row r="38" spans="1:16383" s="98" customFormat="1" ht="21" customHeight="1">
      <c r="A38" s="246" t="s">
        <v>73</v>
      </c>
      <c r="B38" s="196" t="s">
        <v>224</v>
      </c>
      <c r="C38" s="4">
        <v>2796641</v>
      </c>
      <c r="D38" s="127"/>
      <c r="E38" s="95"/>
      <c r="F38" s="95"/>
      <c r="G38" s="4"/>
      <c r="H38" s="95"/>
      <c r="I38" s="100"/>
      <c r="J38" s="250"/>
      <c r="K38" s="109"/>
    </row>
    <row r="39" spans="1:16383" s="98" customFormat="1" ht="21" customHeight="1">
      <c r="A39" s="246" t="s">
        <v>74</v>
      </c>
      <c r="B39" s="196" t="s">
        <v>290</v>
      </c>
      <c r="C39" s="4"/>
      <c r="D39" s="127"/>
      <c r="E39" s="95"/>
      <c r="F39" s="95"/>
      <c r="G39" s="4"/>
      <c r="H39" s="95"/>
      <c r="I39" s="243"/>
      <c r="J39" s="250"/>
      <c r="K39" s="109"/>
    </row>
    <row r="40" spans="1:16383" s="98" customFormat="1">
      <c r="A40" s="246" t="s">
        <v>75</v>
      </c>
      <c r="B40" s="196" t="s">
        <v>291</v>
      </c>
      <c r="C40" s="95"/>
      <c r="D40" s="95"/>
      <c r="E40" s="95"/>
      <c r="F40" s="95"/>
      <c r="G40" s="95"/>
      <c r="H40" s="95"/>
      <c r="I40" s="243"/>
      <c r="J40" s="250"/>
      <c r="K40" s="109"/>
    </row>
    <row r="41" spans="1:16383" s="98" customFormat="1">
      <c r="A41" s="246" t="s">
        <v>76</v>
      </c>
      <c r="B41" s="196" t="s">
        <v>225</v>
      </c>
      <c r="C41" s="4"/>
      <c r="D41" s="4"/>
      <c r="E41" s="4"/>
      <c r="F41" s="4"/>
      <c r="G41" s="4">
        <v>1164243194</v>
      </c>
      <c r="H41" s="4"/>
      <c r="I41" s="243"/>
      <c r="J41" s="250"/>
      <c r="K41" s="109"/>
    </row>
    <row r="42" spans="1:16383" s="98" customFormat="1">
      <c r="A42" s="246" t="s">
        <v>77</v>
      </c>
      <c r="B42" s="196" t="s">
        <v>226</v>
      </c>
      <c r="C42" s="94">
        <f t="shared" ref="C42:I42" si="0">SUM(C8:C41)</f>
        <v>1282651162</v>
      </c>
      <c r="D42" s="94">
        <f t="shared" si="0"/>
        <v>150414947</v>
      </c>
      <c r="E42" s="94">
        <f t="shared" si="0"/>
        <v>22227499</v>
      </c>
      <c r="F42" s="94">
        <f t="shared" si="0"/>
        <v>762298469</v>
      </c>
      <c r="G42" s="94">
        <f t="shared" si="0"/>
        <v>12351303779</v>
      </c>
      <c r="H42" s="94">
        <f t="shared" si="0"/>
        <v>776485171</v>
      </c>
      <c r="I42" s="99">
        <f t="shared" si="0"/>
        <v>1485834097</v>
      </c>
      <c r="J42" s="250">
        <f>SUM(C42:I42)</f>
        <v>16831215124</v>
      </c>
      <c r="K42" s="109">
        <f>+[7]Balance!$C$47+[7]Balance!$C$39</f>
        <v>16831215124</v>
      </c>
      <c r="L42" s="250">
        <f>+J42-K42</f>
        <v>0</v>
      </c>
    </row>
    <row r="43" spans="1:16383" s="98" customFormat="1" ht="25.5">
      <c r="A43" s="246" t="s">
        <v>78</v>
      </c>
      <c r="B43" s="196" t="s">
        <v>227</v>
      </c>
      <c r="C43" s="95"/>
      <c r="D43" s="94">
        <f t="shared" ref="D43:I43" si="1">D42*D3</f>
        <v>30082989.400000002</v>
      </c>
      <c r="E43" s="94">
        <f t="shared" si="1"/>
        <v>7779624.6499999994</v>
      </c>
      <c r="F43" s="94">
        <f t="shared" si="1"/>
        <v>381149234.5</v>
      </c>
      <c r="G43" s="94">
        <f t="shared" si="1"/>
        <v>12351303779</v>
      </c>
      <c r="H43" s="94">
        <f t="shared" si="1"/>
        <v>1164727756.5</v>
      </c>
      <c r="I43" s="99">
        <f t="shared" si="1"/>
        <v>2971668194</v>
      </c>
      <c r="J43" s="250"/>
      <c r="K43" s="109"/>
    </row>
    <row r="44" spans="1:16383" s="98" customFormat="1" ht="13.5" thickBot="1">
      <c r="A44" s="197" t="s">
        <v>289</v>
      </c>
      <c r="B44" s="225" t="s">
        <v>228</v>
      </c>
      <c r="C44" s="96"/>
      <c r="D44" s="96"/>
      <c r="E44" s="96"/>
      <c r="F44" s="96"/>
      <c r="G44" s="96"/>
      <c r="H44" s="96"/>
      <c r="I44" s="101">
        <f>SUM(D43:I43)</f>
        <v>16906711578.049999</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79" t="s">
        <v>52</v>
      </c>
      <c r="B47" s="268" t="s">
        <v>131</v>
      </c>
      <c r="C47" s="268"/>
      <c r="D47" s="275" t="s">
        <v>229</v>
      </c>
      <c r="E47" s="270">
        <v>0</v>
      </c>
      <c r="F47" s="270">
        <v>0.2</v>
      </c>
      <c r="G47" s="270">
        <v>0.5</v>
      </c>
      <c r="H47" s="270">
        <v>1</v>
      </c>
      <c r="I47" s="266" t="s">
        <v>230</v>
      </c>
      <c r="J47" s="109"/>
    </row>
    <row r="48" spans="1:16383" s="98" customFormat="1" ht="9.75" customHeight="1">
      <c r="A48" s="280"/>
      <c r="B48" s="262"/>
      <c r="C48" s="262"/>
      <c r="D48" s="276"/>
      <c r="E48" s="271"/>
      <c r="F48" s="271"/>
      <c r="G48" s="271"/>
      <c r="H48" s="271"/>
      <c r="I48" s="267"/>
      <c r="J48" s="109"/>
    </row>
    <row r="49" spans="1:12" s="98" customFormat="1" ht="17.25" customHeight="1">
      <c r="A49" s="280"/>
      <c r="B49" s="262"/>
      <c r="C49" s="262"/>
      <c r="D49" s="276"/>
      <c r="E49" s="198" t="s">
        <v>187</v>
      </c>
      <c r="F49" s="198" t="s">
        <v>187</v>
      </c>
      <c r="G49" s="198" t="s">
        <v>187</v>
      </c>
      <c r="H49" s="198" t="s">
        <v>187</v>
      </c>
      <c r="I49" s="267"/>
      <c r="J49" s="109"/>
    </row>
    <row r="50" spans="1:12" s="98" customFormat="1">
      <c r="A50" s="280"/>
      <c r="B50" s="262" t="s">
        <v>26</v>
      </c>
      <c r="C50" s="262"/>
      <c r="D50" s="247" t="s">
        <v>27</v>
      </c>
      <c r="E50" s="198" t="s">
        <v>28</v>
      </c>
      <c r="F50" s="247" t="s">
        <v>29</v>
      </c>
      <c r="G50" s="247" t="s">
        <v>53</v>
      </c>
      <c r="H50" s="247" t="s">
        <v>54</v>
      </c>
      <c r="I50" s="194" t="s">
        <v>57</v>
      </c>
      <c r="J50" s="109"/>
    </row>
    <row r="51" spans="1:12" s="98" customFormat="1">
      <c r="A51" s="199"/>
      <c r="B51" s="272" t="s">
        <v>231</v>
      </c>
      <c r="C51" s="273"/>
      <c r="D51" s="129"/>
      <c r="E51" s="129"/>
      <c r="F51" s="129"/>
      <c r="G51" s="129"/>
      <c r="H51" s="129"/>
      <c r="I51" s="132"/>
      <c r="J51" s="109"/>
    </row>
    <row r="52" spans="1:12" s="98" customFormat="1">
      <c r="A52" s="248">
        <v>1</v>
      </c>
      <c r="B52" s="264" t="s">
        <v>232</v>
      </c>
      <c r="C52" s="264"/>
      <c r="D52" s="95"/>
      <c r="E52" s="95"/>
      <c r="F52" s="95"/>
      <c r="G52" s="95"/>
      <c r="H52" s="95"/>
      <c r="I52" s="100"/>
      <c r="J52" s="109"/>
    </row>
    <row r="53" spans="1:12" s="98" customFormat="1">
      <c r="A53" s="248" t="s">
        <v>31</v>
      </c>
      <c r="B53" s="263" t="s">
        <v>233</v>
      </c>
      <c r="C53" s="263"/>
      <c r="D53" s="130">
        <v>0.5</v>
      </c>
      <c r="E53" s="5"/>
      <c r="F53" s="5"/>
      <c r="G53" s="5"/>
      <c r="H53" s="5">
        <v>203282142</v>
      </c>
      <c r="I53" s="99">
        <f>(F53*0.1)+(G53*0.25)+(H53*0.5)</f>
        <v>101641071</v>
      </c>
      <c r="J53" s="109"/>
    </row>
    <row r="54" spans="1:12" s="98" customFormat="1">
      <c r="A54" s="248" t="s">
        <v>33</v>
      </c>
      <c r="B54" s="263" t="s">
        <v>234</v>
      </c>
      <c r="C54" s="263"/>
      <c r="D54" s="130">
        <v>0.2</v>
      </c>
      <c r="E54" s="5"/>
      <c r="F54" s="5"/>
      <c r="G54" s="5"/>
      <c r="H54" s="5"/>
      <c r="I54" s="99">
        <f>(F54*0.04)+(G54*0.1)+(H54*0.2)</f>
        <v>0</v>
      </c>
      <c r="J54" s="250">
        <f>SUM(E53:H54)</f>
        <v>203282142</v>
      </c>
      <c r="K54" s="251">
        <f>+[7]Commitments!$C$4</f>
        <v>203282142</v>
      </c>
      <c r="L54" s="252">
        <f>+J54-K54</f>
        <v>0</v>
      </c>
    </row>
    <row r="55" spans="1:12" s="98" customFormat="1" ht="26.25" customHeight="1">
      <c r="A55" s="248">
        <v>2</v>
      </c>
      <c r="B55" s="264" t="s">
        <v>235</v>
      </c>
      <c r="C55" s="264"/>
      <c r="D55" s="130">
        <v>1</v>
      </c>
      <c r="E55" s="5"/>
      <c r="F55" s="5"/>
      <c r="G55" s="5"/>
      <c r="H55" s="5"/>
      <c r="I55" s="99">
        <f>(F55*0.2)+(G55*0.5)+(H55*1)</f>
        <v>0</v>
      </c>
      <c r="J55" s="109"/>
      <c r="L55" s="252"/>
    </row>
    <row r="56" spans="1:12" s="98" customFormat="1">
      <c r="A56" s="248">
        <v>3</v>
      </c>
      <c r="B56" s="264" t="s">
        <v>236</v>
      </c>
      <c r="C56" s="264"/>
      <c r="D56" s="130">
        <v>1</v>
      </c>
      <c r="E56" s="5"/>
      <c r="F56" s="5"/>
      <c r="G56" s="95"/>
      <c r="H56" s="5">
        <v>337713066</v>
      </c>
      <c r="I56" s="99">
        <f>(F56*0.2)+(G56*0.5)+(H56*1)</f>
        <v>337713066</v>
      </c>
      <c r="J56" s="250">
        <f>SUM(E56:H56)</f>
        <v>337713066</v>
      </c>
      <c r="K56" s="251">
        <f>+[7]Commitments!$C$7</f>
        <v>337713066</v>
      </c>
      <c r="L56" s="252">
        <f>+J56-K56</f>
        <v>0</v>
      </c>
    </row>
    <row r="57" spans="1:12" s="98" customFormat="1">
      <c r="A57" s="248">
        <v>4</v>
      </c>
      <c r="B57" s="264" t="s">
        <v>237</v>
      </c>
      <c r="C57" s="264"/>
      <c r="D57" s="114"/>
      <c r="E57" s="95"/>
      <c r="F57" s="95"/>
      <c r="G57" s="95"/>
      <c r="H57" s="95"/>
      <c r="I57" s="100"/>
      <c r="J57" s="109"/>
      <c r="L57" s="252"/>
    </row>
    <row r="58" spans="1:12" s="98" customFormat="1">
      <c r="A58" s="248" t="s">
        <v>31</v>
      </c>
      <c r="B58" s="263" t="s">
        <v>238</v>
      </c>
      <c r="C58" s="263"/>
      <c r="D58" s="130">
        <v>1</v>
      </c>
      <c r="E58" s="5"/>
      <c r="F58" s="5"/>
      <c r="G58" s="5"/>
      <c r="H58" s="5"/>
      <c r="I58" s="99">
        <f>(F58*0.2)+(G58*0.5)+(H58*1)</f>
        <v>0</v>
      </c>
      <c r="J58" s="109"/>
      <c r="L58" s="252"/>
    </row>
    <row r="59" spans="1:12" s="98" customFormat="1">
      <c r="A59" s="248" t="s">
        <v>33</v>
      </c>
      <c r="B59" s="263" t="s">
        <v>239</v>
      </c>
      <c r="C59" s="263"/>
      <c r="D59" s="130">
        <v>0.5</v>
      </c>
      <c r="E59" s="5"/>
      <c r="F59" s="5"/>
      <c r="G59" s="5"/>
      <c r="H59" s="5"/>
      <c r="I59" s="99">
        <f>(F59*0.1)+(G59*0.25)+(H59*0.5)</f>
        <v>0</v>
      </c>
      <c r="J59" s="109"/>
      <c r="L59" s="252"/>
    </row>
    <row r="60" spans="1:12" s="98" customFormat="1" ht="12.75" customHeight="1">
      <c r="A60" s="248" t="s">
        <v>35</v>
      </c>
      <c r="B60" s="263" t="s">
        <v>240</v>
      </c>
      <c r="C60" s="263"/>
      <c r="D60" s="130">
        <v>0.2</v>
      </c>
      <c r="E60" s="5"/>
      <c r="F60" s="5"/>
      <c r="G60" s="5"/>
      <c r="H60" s="5"/>
      <c r="I60" s="99">
        <f>(F60*0.04)+(G60*0.1)+(H60*0.2)</f>
        <v>0</v>
      </c>
      <c r="L60" s="252"/>
    </row>
    <row r="61" spans="1:12" s="98" customFormat="1">
      <c r="A61" s="248" t="s">
        <v>42</v>
      </c>
      <c r="B61" s="263" t="s">
        <v>241</v>
      </c>
      <c r="C61" s="263"/>
      <c r="D61" s="130">
        <v>1</v>
      </c>
      <c r="E61" s="5"/>
      <c r="F61" s="5"/>
      <c r="G61" s="95"/>
      <c r="H61" s="5">
        <v>22871109</v>
      </c>
      <c r="I61" s="99">
        <f>(F61*0.2)+(G61*0.5)+(H61*1)</f>
        <v>22871109</v>
      </c>
      <c r="J61" s="250">
        <f>SUM(E58:H61)</f>
        <v>22871109</v>
      </c>
      <c r="K61" s="251">
        <f>+[7]Commitments!$C$10</f>
        <v>22871109</v>
      </c>
      <c r="L61" s="252">
        <f>+J61-K61</f>
        <v>0</v>
      </c>
    </row>
    <row r="62" spans="1:12" s="98" customFormat="1" ht="16.5" customHeight="1">
      <c r="A62" s="248">
        <v>5</v>
      </c>
      <c r="B62" s="263" t="s">
        <v>277</v>
      </c>
      <c r="C62" s="263"/>
      <c r="D62" s="114"/>
      <c r="E62" s="95"/>
      <c r="F62" s="95"/>
      <c r="G62" s="95"/>
      <c r="H62" s="95"/>
      <c r="I62" s="100"/>
      <c r="J62" s="109"/>
      <c r="L62" s="252"/>
    </row>
    <row r="63" spans="1:12" s="98" customFormat="1">
      <c r="A63" s="248" t="s">
        <v>31</v>
      </c>
      <c r="B63" s="263" t="s">
        <v>242</v>
      </c>
      <c r="C63" s="263"/>
      <c r="D63" s="114"/>
      <c r="E63" s="95"/>
      <c r="F63" s="95"/>
      <c r="G63" s="95"/>
      <c r="H63" s="95"/>
      <c r="I63" s="100"/>
      <c r="J63" s="109"/>
      <c r="L63" s="252"/>
    </row>
    <row r="64" spans="1:12" s="98" customFormat="1">
      <c r="A64" s="248" t="s">
        <v>58</v>
      </c>
      <c r="B64" s="265" t="s">
        <v>243</v>
      </c>
      <c r="C64" s="265"/>
      <c r="D64" s="131">
        <v>5.0000000000000001E-3</v>
      </c>
      <c r="E64" s="5"/>
      <c r="F64" s="5"/>
      <c r="G64" s="5"/>
      <c r="H64" s="5"/>
      <c r="I64" s="99">
        <f>(F64*0.001)+(G64*0.0025)+(H64*0.005)</f>
        <v>0</v>
      </c>
      <c r="J64" s="109"/>
      <c r="L64" s="252"/>
    </row>
    <row r="65" spans="1:30" s="98" customFormat="1">
      <c r="A65" s="248" t="s">
        <v>59</v>
      </c>
      <c r="B65" s="265" t="s">
        <v>244</v>
      </c>
      <c r="C65" s="265"/>
      <c r="D65" s="130">
        <v>0.01</v>
      </c>
      <c r="E65" s="5"/>
      <c r="F65" s="5"/>
      <c r="G65" s="5"/>
      <c r="H65" s="5"/>
      <c r="I65" s="99">
        <f>(F65*0.002)+(G65*0.005)+(H65*0.01)</f>
        <v>0</v>
      </c>
      <c r="J65" s="109"/>
      <c r="L65" s="252"/>
    </row>
    <row r="66" spans="1:30" s="98" customFormat="1">
      <c r="A66" s="248" t="s">
        <v>60</v>
      </c>
      <c r="B66" s="265" t="s">
        <v>245</v>
      </c>
      <c r="C66" s="265"/>
      <c r="D66" s="130">
        <v>0.02</v>
      </c>
      <c r="E66" s="5"/>
      <c r="F66" s="5"/>
      <c r="G66" s="5"/>
      <c r="H66" s="5"/>
      <c r="I66" s="99">
        <f>(F66*0.004)+(G66*0.01)+(H66*0.02)</f>
        <v>0</v>
      </c>
      <c r="J66" s="109"/>
      <c r="L66" s="252"/>
    </row>
    <row r="67" spans="1:30" s="98" customFormat="1">
      <c r="A67" s="248" t="s">
        <v>33</v>
      </c>
      <c r="B67" s="263" t="s">
        <v>246</v>
      </c>
      <c r="C67" s="263"/>
      <c r="D67" s="114"/>
      <c r="E67" s="95"/>
      <c r="F67" s="95"/>
      <c r="G67" s="95"/>
      <c r="H67" s="95"/>
      <c r="I67" s="100"/>
      <c r="J67" s="109"/>
      <c r="L67" s="252"/>
    </row>
    <row r="68" spans="1:30" s="98" customFormat="1">
      <c r="A68" s="248" t="s">
        <v>61</v>
      </c>
      <c r="B68" s="265" t="s">
        <v>247</v>
      </c>
      <c r="C68" s="265"/>
      <c r="D68" s="130">
        <v>0.02</v>
      </c>
      <c r="E68" s="5"/>
      <c r="F68" s="5"/>
      <c r="G68" s="5"/>
      <c r="H68" s="5">
        <v>0</v>
      </c>
      <c r="I68" s="99">
        <f>(F68*0.004)+(G68*0.01)+(H68*0.02)</f>
        <v>0</v>
      </c>
      <c r="J68" s="250"/>
      <c r="K68" s="251"/>
      <c r="L68" s="109"/>
    </row>
    <row r="69" spans="1:30" s="98" customFormat="1">
      <c r="A69" s="248" t="s">
        <v>62</v>
      </c>
      <c r="B69" s="265" t="s">
        <v>248</v>
      </c>
      <c r="C69" s="265"/>
      <c r="D69" s="130">
        <v>0.05</v>
      </c>
      <c r="E69" s="5"/>
      <c r="F69" s="5"/>
      <c r="G69" s="5"/>
      <c r="H69" s="5"/>
      <c r="I69" s="99">
        <f>(F69*0.01)+(G69*0.025)+(H69*0.05)</f>
        <v>0</v>
      </c>
      <c r="J69" s="109"/>
    </row>
    <row r="70" spans="1:30" s="98" customFormat="1">
      <c r="A70" s="248" t="s">
        <v>63</v>
      </c>
      <c r="B70" s="265" t="s">
        <v>249</v>
      </c>
      <c r="C70" s="265"/>
      <c r="D70" s="130">
        <v>0.08</v>
      </c>
      <c r="E70" s="5"/>
      <c r="F70" s="5"/>
      <c r="G70" s="5"/>
      <c r="H70" s="5"/>
      <c r="I70" s="99">
        <f>(F70*0.016)+(G70*0.04)+(H70*0.08)</f>
        <v>0</v>
      </c>
      <c r="J70" s="109"/>
    </row>
    <row r="71" spans="1:30" s="98" customFormat="1">
      <c r="A71" s="248">
        <v>6</v>
      </c>
      <c r="B71" s="258" t="s">
        <v>250</v>
      </c>
      <c r="C71" s="259"/>
      <c r="D71" s="114"/>
      <c r="E71" s="94">
        <f>SUM(E53:E70)</f>
        <v>0</v>
      </c>
      <c r="F71" s="94">
        <f>SUM(F53:F70)</f>
        <v>0</v>
      </c>
      <c r="G71" s="94">
        <f>SUM(G53:G70)</f>
        <v>0</v>
      </c>
      <c r="H71" s="94">
        <f>SUM(H53:H70)</f>
        <v>563866317</v>
      </c>
      <c r="I71" s="100"/>
      <c r="J71" s="251">
        <f>SUM(E71:H71)</f>
        <v>563866317</v>
      </c>
      <c r="K71" s="251">
        <f>+[7]Commitments!$C$4+[7]Commitments!$C$7+[7]Commitments!$C$10+[7]Commitments!$C$19+[7]Commitments!$C$20+[7]Commitments!$C$21+[7]Commitments!$C$22</f>
        <v>563866317</v>
      </c>
      <c r="L71" s="253">
        <f>+J71-K71</f>
        <v>0</v>
      </c>
    </row>
    <row r="72" spans="1:30" s="98" customFormat="1">
      <c r="A72" s="248">
        <v>7</v>
      </c>
      <c r="B72" s="258" t="s">
        <v>251</v>
      </c>
      <c r="C72" s="259"/>
      <c r="D72" s="114"/>
      <c r="E72" s="95"/>
      <c r="F72" s="95"/>
      <c r="G72" s="95"/>
      <c r="H72" s="95"/>
      <c r="I72" s="99">
        <f>SUM(I53:I70)</f>
        <v>462225246</v>
      </c>
      <c r="J72" s="109"/>
    </row>
    <row r="73" spans="1:30" s="98" customFormat="1" ht="13.5" thickBot="1">
      <c r="A73" s="200">
        <v>8</v>
      </c>
      <c r="B73" s="260" t="s">
        <v>252</v>
      </c>
      <c r="C73" s="261"/>
      <c r="D73" s="115"/>
      <c r="E73" s="96"/>
      <c r="F73" s="96"/>
      <c r="G73" s="96"/>
      <c r="H73" s="96"/>
      <c r="I73" s="101">
        <f>SUM(I72+I44)</f>
        <v>17368936824.049999</v>
      </c>
      <c r="J73" s="109">
        <f>+I73*0.15</f>
        <v>2605340523.6074996</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A1:H1"/>
    <mergeCell ref="D47:D49"/>
    <mergeCell ref="A3:A5"/>
    <mergeCell ref="B3:B5"/>
    <mergeCell ref="A47:A50"/>
    <mergeCell ref="I47:I49"/>
    <mergeCell ref="B47:C49"/>
    <mergeCell ref="G2:H2"/>
    <mergeCell ref="B71:C71"/>
    <mergeCell ref="E47:E48"/>
    <mergeCell ref="F47:F48"/>
    <mergeCell ref="G47:G48"/>
    <mergeCell ref="H47:H48"/>
    <mergeCell ref="B51:C51"/>
    <mergeCell ref="B62:C62"/>
    <mergeCell ref="B63:C63"/>
    <mergeCell ref="B64:C64"/>
    <mergeCell ref="B65:C65"/>
    <mergeCell ref="B66:C66"/>
    <mergeCell ref="B67:C67"/>
    <mergeCell ref="B68:C68"/>
    <mergeCell ref="B72:C72"/>
    <mergeCell ref="B73:C73"/>
    <mergeCell ref="B50:C50"/>
    <mergeCell ref="B60:C60"/>
    <mergeCell ref="B61:C61"/>
    <mergeCell ref="B55:C55"/>
    <mergeCell ref="B56:C56"/>
    <mergeCell ref="B57:C57"/>
    <mergeCell ref="B58:C58"/>
    <mergeCell ref="B59:C59"/>
    <mergeCell ref="B52:C52"/>
    <mergeCell ref="B53:C53"/>
    <mergeCell ref="B54:C54"/>
    <mergeCell ref="B69:C69"/>
    <mergeCell ref="B70:C70"/>
  </mergeCells>
  <phoneticPr fontId="9" type="noConversion"/>
  <conditionalFormatting sqref="J42">
    <cfRule type="cellIs" dxfId="24" priority="7" operator="notEqual">
      <formula>K42</formula>
    </cfRule>
  </conditionalFormatting>
  <conditionalFormatting sqref="J54">
    <cfRule type="cellIs" dxfId="23" priority="4" operator="notEqual">
      <formula>K54</formula>
    </cfRule>
  </conditionalFormatting>
  <conditionalFormatting sqref="J56">
    <cfRule type="cellIs" dxfId="22" priority="3" operator="notEqual">
      <formula>K56</formula>
    </cfRule>
  </conditionalFormatting>
  <conditionalFormatting sqref="J61">
    <cfRule type="cellIs" dxfId="21" priority="2" operator="notEqual">
      <formula>K61</formula>
    </cfRule>
  </conditionalFormatting>
  <conditionalFormatting sqref="J68">
    <cfRule type="cellIs" dxfId="20" priority="1" operator="notEqual">
      <formula>K68</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58:H59 E27:F27 H17:H18 E64:H66 H60:H61 G53:G55 F17:F18 E53:F56 C8 G17:G20 F20 D11 D9 C20:D20 H20 E60:G60 E68:H70 I26:I30 F11:H11 C10:D10 C13:D18 G37:G39 G26:H29 C36 G31:G35 D24 H53:H56 F15:H16 E61:F61 C22:C25 C38:C39 C41:I41 I39:I40 H34:I35">
      <formula1>-1E+22</formula1>
      <formula2>1E+22</formula2>
    </dataValidation>
    <dataValidation type="whole" operator="greaterThanOrEqual" allowBlank="1" showInputMessage="1" showErrorMessage="1" sqref="E57:H57 G56 E67:H67 E62:H63 G6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H57:I59 I54:I56 I6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pageSetUpPr fitToPage="1"/>
  </sheetPr>
  <dimension ref="A1:XFC77"/>
  <sheetViews>
    <sheetView view="pageBreakPreview" zoomScale="85" zoomScaleNormal="85" zoomScaleSheetLayoutView="85" workbookViewId="0">
      <pane xSplit="2" ySplit="6" topLeftCell="C55" activePane="bottomRight" state="frozen"/>
      <selection activeCell="B54" sqref="B54:C54"/>
      <selection pane="topRight" activeCell="B54" sqref="B54:C54"/>
      <selection pane="bottomLeft" activeCell="B54" sqref="B54:C54"/>
      <selection pane="bottomRight" activeCell="H36" sqref="H36"/>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1" width="16.42578125" style="102" customWidth="1"/>
    <col min="12" max="12" width="15.28515625" style="102" customWidth="1"/>
    <col min="13" max="15" width="10.28515625" style="102" customWidth="1"/>
    <col min="16" max="16384" width="9.140625" style="102"/>
  </cols>
  <sheetData>
    <row r="1" spans="1:11" ht="26.25" customHeight="1">
      <c r="A1" s="274" t="s">
        <v>253</v>
      </c>
      <c r="B1" s="274"/>
      <c r="C1" s="274"/>
      <c r="D1" s="274"/>
      <c r="E1" s="274"/>
      <c r="F1" s="274"/>
      <c r="G1" s="274"/>
      <c r="H1" s="274"/>
      <c r="I1" s="190" t="s">
        <v>256</v>
      </c>
    </row>
    <row r="2" spans="1:11" ht="25.5" customHeight="1" thickBot="1">
      <c r="B2" s="118" t="str">
        <f>+'Bank Capital Calc'!B3</f>
        <v xml:space="preserve">МКБАНК </v>
      </c>
      <c r="D2" s="105"/>
      <c r="E2" s="105"/>
      <c r="G2" s="269">
        <f>+'Bank Capital Calc'!C3</f>
        <v>44926</v>
      </c>
      <c r="H2" s="269"/>
      <c r="I2" s="191" t="s">
        <v>271</v>
      </c>
      <c r="J2" s="126"/>
    </row>
    <row r="3" spans="1:11">
      <c r="A3" s="277" t="s">
        <v>52</v>
      </c>
      <c r="B3" s="268" t="s">
        <v>131</v>
      </c>
      <c r="C3" s="192">
        <v>0</v>
      </c>
      <c r="D3" s="192">
        <v>0.2</v>
      </c>
      <c r="E3" s="192">
        <v>0.35</v>
      </c>
      <c r="F3" s="192">
        <v>0.5</v>
      </c>
      <c r="G3" s="192">
        <v>1</v>
      </c>
      <c r="H3" s="192">
        <v>1.5</v>
      </c>
      <c r="I3" s="193">
        <v>2</v>
      </c>
      <c r="J3" s="249"/>
      <c r="K3" s="126"/>
    </row>
    <row r="4" spans="1:11" ht="20.25" customHeight="1">
      <c r="A4" s="278"/>
      <c r="B4" s="262"/>
      <c r="C4" s="247" t="s">
        <v>187</v>
      </c>
      <c r="D4" s="247" t="s">
        <v>187</v>
      </c>
      <c r="E4" s="247" t="s">
        <v>187</v>
      </c>
      <c r="F4" s="247" t="s">
        <v>187</v>
      </c>
      <c r="G4" s="247" t="s">
        <v>187</v>
      </c>
      <c r="H4" s="247" t="s">
        <v>187</v>
      </c>
      <c r="I4" s="194" t="s">
        <v>187</v>
      </c>
      <c r="K4" s="126"/>
    </row>
    <row r="5" spans="1:11" ht="20.25" customHeight="1">
      <c r="A5" s="278"/>
      <c r="B5" s="262"/>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4">
        <v>205550314</v>
      </c>
      <c r="D8" s="95"/>
      <c r="E8" s="95"/>
      <c r="F8" s="95"/>
      <c r="G8" s="95"/>
      <c r="H8" s="95"/>
      <c r="I8" s="100"/>
      <c r="J8" s="250"/>
      <c r="K8" s="109"/>
    </row>
    <row r="9" spans="1:11" s="98" customFormat="1">
      <c r="A9" s="246" t="s">
        <v>65</v>
      </c>
      <c r="B9" s="196" t="s">
        <v>197</v>
      </c>
      <c r="C9" s="95"/>
      <c r="D9" s="4">
        <v>90203165</v>
      </c>
      <c r="E9" s="95"/>
      <c r="F9" s="95"/>
      <c r="G9" s="95"/>
      <c r="H9" s="95"/>
      <c r="I9" s="100"/>
      <c r="J9" s="250"/>
      <c r="K9" s="109"/>
    </row>
    <row r="10" spans="1:11" s="98" customFormat="1">
      <c r="A10" s="246" t="s">
        <v>66</v>
      </c>
      <c r="B10" s="196" t="s">
        <v>198</v>
      </c>
      <c r="C10" s="4">
        <v>425539396</v>
      </c>
      <c r="D10" s="4"/>
      <c r="E10" s="95"/>
      <c r="F10" s="95"/>
      <c r="G10" s="95"/>
      <c r="H10" s="95"/>
      <c r="I10" s="100"/>
      <c r="J10" s="250"/>
      <c r="K10" s="109"/>
    </row>
    <row r="11" spans="1:11" s="98" customFormat="1" ht="25.5">
      <c r="A11" s="246" t="s">
        <v>67</v>
      </c>
      <c r="B11" s="196" t="s">
        <v>286</v>
      </c>
      <c r="C11" s="95"/>
      <c r="D11" s="4"/>
      <c r="E11" s="95"/>
      <c r="F11" s="4">
        <v>111154310</v>
      </c>
      <c r="G11" s="4"/>
      <c r="H11" s="4"/>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4">
        <v>454589171</v>
      </c>
      <c r="D13" s="4"/>
      <c r="E13" s="95"/>
      <c r="F13" s="95"/>
      <c r="G13" s="95"/>
      <c r="H13" s="95"/>
      <c r="I13" s="100"/>
      <c r="J13" s="250"/>
      <c r="K13" s="109"/>
    </row>
    <row r="14" spans="1:11" s="98" customFormat="1" ht="25.5">
      <c r="A14" s="246" t="s">
        <v>33</v>
      </c>
      <c r="B14" s="196" t="s">
        <v>288</v>
      </c>
      <c r="C14" s="4"/>
      <c r="D14" s="4"/>
      <c r="E14" s="95"/>
      <c r="F14" s="95"/>
      <c r="G14" s="95"/>
      <c r="H14" s="95"/>
      <c r="I14" s="100"/>
      <c r="J14" s="250"/>
      <c r="K14" s="109"/>
    </row>
    <row r="15" spans="1:11" s="98" customFormat="1" ht="38.25">
      <c r="A15" s="246" t="s">
        <v>35</v>
      </c>
      <c r="B15" s="196" t="s">
        <v>201</v>
      </c>
      <c r="C15" s="4"/>
      <c r="D15" s="4"/>
      <c r="E15" s="95"/>
      <c r="F15" s="4"/>
      <c r="G15" s="4"/>
      <c r="H15" s="4"/>
      <c r="I15" s="100"/>
      <c r="J15" s="250"/>
      <c r="K15" s="109"/>
    </row>
    <row r="16" spans="1:11" s="98" customFormat="1">
      <c r="A16" s="246" t="s">
        <v>42</v>
      </c>
      <c r="B16" s="196" t="s">
        <v>202</v>
      </c>
      <c r="C16" s="4"/>
      <c r="D16" s="4"/>
      <c r="E16" s="95"/>
      <c r="F16" s="4"/>
      <c r="G16" s="4"/>
      <c r="H16" s="4"/>
      <c r="I16" s="100"/>
      <c r="J16" s="250"/>
      <c r="K16" s="109"/>
    </row>
    <row r="17" spans="1:16383" s="98" customFormat="1">
      <c r="A17" s="246" t="s">
        <v>128</v>
      </c>
      <c r="B17" s="196" t="s">
        <v>203</v>
      </c>
      <c r="C17" s="4"/>
      <c r="D17" s="4"/>
      <c r="E17" s="95"/>
      <c r="F17" s="4"/>
      <c r="G17" s="4"/>
      <c r="H17" s="4"/>
      <c r="I17" s="100"/>
      <c r="J17" s="250"/>
      <c r="K17" s="109"/>
    </row>
    <row r="18" spans="1:16383" s="98" customFormat="1">
      <c r="A18" s="246" t="s">
        <v>211</v>
      </c>
      <c r="B18" s="196" t="s">
        <v>284</v>
      </c>
      <c r="C18" s="4"/>
      <c r="D18" s="4"/>
      <c r="E18" s="95"/>
      <c r="F18" s="4"/>
      <c r="G18" s="4"/>
      <c r="H18" s="4"/>
      <c r="I18" s="100"/>
      <c r="J18" s="250"/>
      <c r="K18" s="109"/>
    </row>
    <row r="19" spans="1:16383" s="98" customFormat="1" ht="25.5">
      <c r="A19" s="246" t="s">
        <v>69</v>
      </c>
      <c r="B19" s="196" t="s">
        <v>204</v>
      </c>
      <c r="C19" s="95"/>
      <c r="D19" s="95"/>
      <c r="E19" s="95"/>
      <c r="F19" s="95"/>
      <c r="G19" s="4"/>
      <c r="H19" s="95"/>
      <c r="I19" s="100"/>
      <c r="J19" s="250"/>
      <c r="K19" s="109"/>
    </row>
    <row r="20" spans="1:16383" s="98" customFormat="1" ht="51">
      <c r="A20" s="246" t="s">
        <v>70</v>
      </c>
      <c r="B20" s="196" t="s">
        <v>205</v>
      </c>
      <c r="C20" s="4"/>
      <c r="D20" s="4"/>
      <c r="E20" s="95"/>
      <c r="F20" s="4"/>
      <c r="G20" s="4"/>
      <c r="H20" s="4"/>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4"/>
      <c r="D22" s="95"/>
      <c r="E22" s="95"/>
      <c r="F22" s="95"/>
      <c r="G22" s="95"/>
      <c r="H22" s="95"/>
      <c r="I22" s="100"/>
      <c r="J22" s="250"/>
      <c r="K22" s="109"/>
    </row>
    <row r="23" spans="1:16383" s="98" customFormat="1" ht="38.25">
      <c r="A23" s="246" t="s">
        <v>33</v>
      </c>
      <c r="B23" s="196" t="s">
        <v>285</v>
      </c>
      <c r="C23" s="4"/>
      <c r="D23" s="95"/>
      <c r="E23" s="95"/>
      <c r="F23" s="95"/>
      <c r="G23" s="95"/>
      <c r="H23" s="95"/>
      <c r="I23" s="100"/>
      <c r="J23" s="250"/>
      <c r="K23" s="109"/>
    </row>
    <row r="24" spans="1:16383" s="98" customFormat="1">
      <c r="A24" s="246" t="s">
        <v>35</v>
      </c>
      <c r="B24" s="196" t="s">
        <v>208</v>
      </c>
      <c r="C24" s="4"/>
      <c r="D24" s="4"/>
      <c r="E24" s="95"/>
      <c r="F24" s="95"/>
      <c r="G24" s="95"/>
      <c r="H24" s="95"/>
      <c r="I24" s="100"/>
      <c r="J24" s="250"/>
      <c r="K24" s="109"/>
    </row>
    <row r="25" spans="1:16383" s="98" customFormat="1" ht="51">
      <c r="A25" s="246" t="s">
        <v>42</v>
      </c>
      <c r="B25" s="196" t="s">
        <v>209</v>
      </c>
      <c r="C25" s="4"/>
      <c r="D25" s="95"/>
      <c r="E25" s="95"/>
      <c r="F25" s="95"/>
      <c r="G25" s="95"/>
      <c r="H25" s="95"/>
      <c r="I25" s="100"/>
      <c r="J25" s="250"/>
      <c r="K25" s="109"/>
    </row>
    <row r="26" spans="1:16383" s="98" customFormat="1">
      <c r="A26" s="246" t="s">
        <v>128</v>
      </c>
      <c r="B26" s="196" t="s">
        <v>210</v>
      </c>
      <c r="C26" s="95"/>
      <c r="D26" s="95"/>
      <c r="E26" s="95"/>
      <c r="F26" s="95"/>
      <c r="G26" s="4"/>
      <c r="H26" s="95"/>
      <c r="I26" s="100"/>
      <c r="J26" s="250"/>
      <c r="K26" s="109"/>
    </row>
    <row r="27" spans="1:16383" s="98" customFormat="1" ht="25.5">
      <c r="A27" s="246" t="s">
        <v>211</v>
      </c>
      <c r="B27" s="196" t="s">
        <v>212</v>
      </c>
      <c r="C27" s="95"/>
      <c r="D27" s="95"/>
      <c r="E27" s="5">
        <v>22227499</v>
      </c>
      <c r="F27" s="5">
        <v>62006394</v>
      </c>
      <c r="G27" s="5">
        <v>628008886</v>
      </c>
      <c r="H27" s="5">
        <v>55840466</v>
      </c>
      <c r="I27" s="100"/>
      <c r="J27" s="250"/>
      <c r="K27" s="109"/>
    </row>
    <row r="28" spans="1:16383" s="98" customFormat="1">
      <c r="A28" s="246" t="s">
        <v>213</v>
      </c>
      <c r="B28" s="196" t="s">
        <v>214</v>
      </c>
      <c r="C28" s="95"/>
      <c r="D28" s="95"/>
      <c r="E28" s="95"/>
      <c r="F28" s="95"/>
      <c r="G28" s="5">
        <v>2795511905</v>
      </c>
      <c r="H28" s="5">
        <v>244422180</v>
      </c>
      <c r="I28" s="243">
        <v>373707139</v>
      </c>
      <c r="J28" s="250"/>
      <c r="K28" s="109"/>
    </row>
    <row r="29" spans="1:16383" s="98" customFormat="1">
      <c r="A29" s="246" t="s">
        <v>215</v>
      </c>
      <c r="B29" s="196" t="s">
        <v>216</v>
      </c>
      <c r="C29" s="95"/>
      <c r="D29" s="95"/>
      <c r="E29" s="95"/>
      <c r="F29" s="95"/>
      <c r="G29" s="4">
        <v>3793274195</v>
      </c>
      <c r="H29" s="4">
        <v>242795622</v>
      </c>
      <c r="I29" s="136">
        <v>635861411</v>
      </c>
      <c r="J29" s="250"/>
      <c r="K29" s="109"/>
    </row>
    <row r="30" spans="1:16383" s="98" customFormat="1">
      <c r="A30" s="246" t="s">
        <v>217</v>
      </c>
      <c r="B30" s="196" t="s">
        <v>287</v>
      </c>
      <c r="C30" s="95"/>
      <c r="D30" s="95"/>
      <c r="E30" s="95"/>
      <c r="F30" s="95"/>
      <c r="G30" s="95"/>
      <c r="H30" s="95"/>
      <c r="I30" s="136">
        <v>454515112</v>
      </c>
      <c r="J30" s="250"/>
      <c r="K30" s="109"/>
      <c r="L30" s="250"/>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4">
        <v>413614891</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4"/>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4">
        <v>155586321</v>
      </c>
      <c r="I34" s="136"/>
      <c r="J34" s="250"/>
      <c r="K34" s="109"/>
    </row>
    <row r="35" spans="1:16383" s="98" customFormat="1" ht="25.5">
      <c r="A35" s="246" t="s">
        <v>42</v>
      </c>
      <c r="B35" s="196" t="s">
        <v>222</v>
      </c>
      <c r="C35" s="95"/>
      <c r="D35" s="95"/>
      <c r="E35" s="95"/>
      <c r="F35" s="95"/>
      <c r="G35" s="95"/>
      <c r="H35" s="4"/>
      <c r="I35" s="136"/>
      <c r="J35" s="250"/>
      <c r="K35" s="109"/>
    </row>
    <row r="36" spans="1:16383" s="98" customFormat="1" ht="51">
      <c r="A36" s="246" t="s">
        <v>79</v>
      </c>
      <c r="B36" s="196" t="s">
        <v>223</v>
      </c>
      <c r="C36" s="4">
        <v>107220</v>
      </c>
      <c r="D36" s="95"/>
      <c r="E36" s="95"/>
      <c r="F36" s="95"/>
      <c r="G36" s="95"/>
      <c r="H36" s="95"/>
      <c r="I36" s="100"/>
      <c r="J36" s="250"/>
      <c r="K36" s="109"/>
    </row>
    <row r="37" spans="1:16383" s="98" customFormat="1" ht="18.75" customHeight="1">
      <c r="A37" s="246" t="s">
        <v>80</v>
      </c>
      <c r="B37" s="196" t="s">
        <v>292</v>
      </c>
      <c r="C37" s="95"/>
      <c r="D37" s="127"/>
      <c r="E37" s="95"/>
      <c r="F37" s="95"/>
      <c r="G37" s="4"/>
      <c r="H37" s="95"/>
      <c r="I37" s="100"/>
      <c r="J37" s="250"/>
      <c r="K37" s="109"/>
    </row>
    <row r="38" spans="1:16383" s="98" customFormat="1" ht="18.75" customHeight="1">
      <c r="A38" s="246" t="s">
        <v>73</v>
      </c>
      <c r="B38" s="196" t="s">
        <v>224</v>
      </c>
      <c r="C38" s="4">
        <v>2796641</v>
      </c>
      <c r="D38" s="127"/>
      <c r="E38" s="95"/>
      <c r="F38" s="95"/>
      <c r="G38" s="4"/>
      <c r="H38" s="95"/>
      <c r="I38" s="100"/>
      <c r="J38" s="250"/>
      <c r="K38" s="109"/>
    </row>
    <row r="39" spans="1:16383" s="98" customFormat="1" ht="17.25" customHeight="1">
      <c r="A39" s="246" t="s">
        <v>74</v>
      </c>
      <c r="B39" s="196" t="s">
        <v>290</v>
      </c>
      <c r="C39" s="4"/>
      <c r="D39" s="127"/>
      <c r="E39" s="95"/>
      <c r="F39" s="95"/>
      <c r="G39" s="4"/>
      <c r="H39" s="95"/>
      <c r="I39" s="136"/>
      <c r="J39" s="250"/>
      <c r="K39" s="109"/>
    </row>
    <row r="40" spans="1:16383" s="98" customFormat="1">
      <c r="A40" s="246" t="s">
        <v>75</v>
      </c>
      <c r="B40" s="196" t="s">
        <v>291</v>
      </c>
      <c r="C40" s="95"/>
      <c r="D40" s="95"/>
      <c r="E40" s="95"/>
      <c r="F40" s="95"/>
      <c r="G40" s="95"/>
      <c r="H40" s="95"/>
      <c r="I40" s="136"/>
      <c r="J40" s="250"/>
      <c r="K40" s="109"/>
    </row>
    <row r="41" spans="1:16383" s="98" customFormat="1">
      <c r="A41" s="246" t="s">
        <v>76</v>
      </c>
      <c r="B41" s="196" t="s">
        <v>225</v>
      </c>
      <c r="C41" s="4"/>
      <c r="D41" s="4"/>
      <c r="E41" s="4"/>
      <c r="F41" s="4"/>
      <c r="G41" s="4">
        <v>959789163</v>
      </c>
      <c r="H41" s="4"/>
      <c r="I41" s="136"/>
      <c r="J41" s="250"/>
      <c r="K41" s="109"/>
    </row>
    <row r="42" spans="1:16383" s="98" customFormat="1">
      <c r="A42" s="246" t="s">
        <v>77</v>
      </c>
      <c r="B42" s="196" t="s">
        <v>226</v>
      </c>
      <c r="C42" s="94">
        <f t="shared" ref="C42:I42" si="0">SUM(C8:C41)</f>
        <v>1088582742</v>
      </c>
      <c r="D42" s="94">
        <f t="shared" si="0"/>
        <v>90203165</v>
      </c>
      <c r="E42" s="94">
        <f t="shared" si="0"/>
        <v>22227499</v>
      </c>
      <c r="F42" s="94">
        <f t="shared" si="0"/>
        <v>173160704</v>
      </c>
      <c r="G42" s="94">
        <f t="shared" si="0"/>
        <v>8590199040</v>
      </c>
      <c r="H42" s="94">
        <f t="shared" si="0"/>
        <v>698644589</v>
      </c>
      <c r="I42" s="99">
        <f t="shared" si="0"/>
        <v>1464083662</v>
      </c>
      <c r="J42" s="250">
        <f>SUM(C42:I42)</f>
        <v>12127101401</v>
      </c>
      <c r="K42" s="109">
        <f>+[7]Balance!$D$47+[7]Balance!$D$39</f>
        <v>12127101401</v>
      </c>
      <c r="L42" s="250">
        <f>+J42-K42</f>
        <v>0</v>
      </c>
    </row>
    <row r="43" spans="1:16383" s="98" customFormat="1" ht="25.5">
      <c r="A43" s="246" t="s">
        <v>78</v>
      </c>
      <c r="B43" s="196" t="s">
        <v>227</v>
      </c>
      <c r="C43" s="95"/>
      <c r="D43" s="94">
        <f t="shared" ref="D43:I43" si="1">D42*D3</f>
        <v>18040633</v>
      </c>
      <c r="E43" s="94">
        <f t="shared" si="1"/>
        <v>7779624.6499999994</v>
      </c>
      <c r="F43" s="94">
        <f t="shared" si="1"/>
        <v>86580352</v>
      </c>
      <c r="G43" s="94">
        <f t="shared" si="1"/>
        <v>8590199040</v>
      </c>
      <c r="H43" s="94">
        <f t="shared" si="1"/>
        <v>1047966883.5</v>
      </c>
      <c r="I43" s="99">
        <f t="shared" si="1"/>
        <v>2928167324</v>
      </c>
      <c r="J43" s="250"/>
      <c r="K43" s="109"/>
    </row>
    <row r="44" spans="1:16383" s="98" customFormat="1" ht="13.5" thickBot="1">
      <c r="A44" s="197" t="s">
        <v>289</v>
      </c>
      <c r="B44" s="225" t="s">
        <v>228</v>
      </c>
      <c r="C44" s="96"/>
      <c r="D44" s="96"/>
      <c r="E44" s="96"/>
      <c r="F44" s="96"/>
      <c r="G44" s="96"/>
      <c r="H44" s="96"/>
      <c r="I44" s="101">
        <f>SUM(D43:I43)</f>
        <v>12678733857.15</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79" t="s">
        <v>52</v>
      </c>
      <c r="B47" s="268" t="s">
        <v>131</v>
      </c>
      <c r="C47" s="268"/>
      <c r="D47" s="275" t="s">
        <v>229</v>
      </c>
      <c r="E47" s="270">
        <v>0</v>
      </c>
      <c r="F47" s="270">
        <v>0.2</v>
      </c>
      <c r="G47" s="270">
        <v>0.5</v>
      </c>
      <c r="H47" s="270">
        <v>1</v>
      </c>
      <c r="I47" s="266" t="s">
        <v>230</v>
      </c>
      <c r="J47" s="109"/>
    </row>
    <row r="48" spans="1:16383" s="98" customFormat="1" ht="9.75" customHeight="1">
      <c r="A48" s="280"/>
      <c r="B48" s="262"/>
      <c r="C48" s="262"/>
      <c r="D48" s="276"/>
      <c r="E48" s="271"/>
      <c r="F48" s="271"/>
      <c r="G48" s="271"/>
      <c r="H48" s="271"/>
      <c r="I48" s="267"/>
      <c r="J48" s="109"/>
    </row>
    <row r="49" spans="1:12" s="98" customFormat="1" ht="17.25" customHeight="1">
      <c r="A49" s="280"/>
      <c r="B49" s="262"/>
      <c r="C49" s="262"/>
      <c r="D49" s="276"/>
      <c r="E49" s="198" t="s">
        <v>187</v>
      </c>
      <c r="F49" s="198" t="s">
        <v>187</v>
      </c>
      <c r="G49" s="198" t="s">
        <v>187</v>
      </c>
      <c r="H49" s="198" t="s">
        <v>187</v>
      </c>
      <c r="I49" s="267"/>
      <c r="J49" s="109"/>
    </row>
    <row r="50" spans="1:12" s="98" customFormat="1">
      <c r="A50" s="280"/>
      <c r="B50" s="262" t="s">
        <v>26</v>
      </c>
      <c r="C50" s="262"/>
      <c r="D50" s="247" t="s">
        <v>27</v>
      </c>
      <c r="E50" s="198" t="s">
        <v>28</v>
      </c>
      <c r="F50" s="247" t="s">
        <v>29</v>
      </c>
      <c r="G50" s="247" t="s">
        <v>53</v>
      </c>
      <c r="H50" s="247" t="s">
        <v>54</v>
      </c>
      <c r="I50" s="194" t="s">
        <v>57</v>
      </c>
      <c r="J50" s="109"/>
    </row>
    <row r="51" spans="1:12" s="98" customFormat="1">
      <c r="A51" s="199"/>
      <c r="B51" s="272" t="s">
        <v>231</v>
      </c>
      <c r="C51" s="273"/>
      <c r="D51" s="124"/>
      <c r="E51" s="124"/>
      <c r="F51" s="124"/>
      <c r="G51" s="124"/>
      <c r="H51" s="124"/>
      <c r="I51" s="125"/>
      <c r="J51" s="109"/>
    </row>
    <row r="52" spans="1:12" s="98" customFormat="1">
      <c r="A52" s="248">
        <v>1</v>
      </c>
      <c r="B52" s="264" t="s">
        <v>232</v>
      </c>
      <c r="C52" s="264"/>
      <c r="D52" s="95"/>
      <c r="E52" s="95"/>
      <c r="F52" s="95"/>
      <c r="G52" s="95"/>
      <c r="H52" s="95"/>
      <c r="I52" s="100"/>
      <c r="J52" s="109"/>
    </row>
    <row r="53" spans="1:12" s="98" customFormat="1">
      <c r="A53" s="248" t="s">
        <v>31</v>
      </c>
      <c r="B53" s="263" t="s">
        <v>233</v>
      </c>
      <c r="C53" s="263"/>
      <c r="D53" s="122">
        <v>0.5</v>
      </c>
      <c r="E53" s="5"/>
      <c r="F53" s="5"/>
      <c r="G53" s="5"/>
      <c r="H53" s="4">
        <v>184688515</v>
      </c>
      <c r="I53" s="99">
        <f>(F53*0.1)+(G53*0.25)+(H53*0.5)</f>
        <v>92344257.5</v>
      </c>
      <c r="J53" s="109"/>
    </row>
    <row r="54" spans="1:12" s="98" customFormat="1">
      <c r="A54" s="248" t="s">
        <v>33</v>
      </c>
      <c r="B54" s="263" t="s">
        <v>234</v>
      </c>
      <c r="C54" s="263"/>
      <c r="D54" s="122">
        <v>0.2</v>
      </c>
      <c r="E54" s="5"/>
      <c r="F54" s="5"/>
      <c r="G54" s="5"/>
      <c r="H54" s="4"/>
      <c r="I54" s="99">
        <f>(F54*0.04)+(G54*0.1)+(H54*0.2)</f>
        <v>0</v>
      </c>
      <c r="J54" s="250">
        <f>SUM(E53:H54)</f>
        <v>184688515</v>
      </c>
      <c r="K54" s="251">
        <f>+[7]Commitments!$D$4</f>
        <v>184688515</v>
      </c>
      <c r="L54" s="252">
        <f>+J54-K54</f>
        <v>0</v>
      </c>
    </row>
    <row r="55" spans="1:12" s="98" customFormat="1" ht="26.25" customHeight="1">
      <c r="A55" s="248">
        <v>2</v>
      </c>
      <c r="B55" s="264" t="s">
        <v>235</v>
      </c>
      <c r="C55" s="264"/>
      <c r="D55" s="122">
        <v>1</v>
      </c>
      <c r="E55" s="5"/>
      <c r="F55" s="5"/>
      <c r="G55" s="5"/>
      <c r="H55" s="4"/>
      <c r="I55" s="99">
        <f>(F55*0.2)+(G55*0.5)+(H55*1)</f>
        <v>0</v>
      </c>
      <c r="J55" s="109"/>
      <c r="L55" s="252"/>
    </row>
    <row r="56" spans="1:12" s="98" customFormat="1">
      <c r="A56" s="248">
        <v>3</v>
      </c>
      <c r="B56" s="264" t="s">
        <v>236</v>
      </c>
      <c r="C56" s="264"/>
      <c r="D56" s="122">
        <v>1</v>
      </c>
      <c r="E56" s="4">
        <v>0</v>
      </c>
      <c r="F56" s="5">
        <v>0</v>
      </c>
      <c r="G56" s="95"/>
      <c r="H56" s="4">
        <v>3270844</v>
      </c>
      <c r="I56" s="99">
        <f>(F56*0.2)+(G56*0.5)+(H56*1)</f>
        <v>3270844</v>
      </c>
      <c r="J56" s="250">
        <f>SUM(E56:H56)</f>
        <v>3270844</v>
      </c>
      <c r="K56" s="251">
        <f>+[7]Commitments!$D$7</f>
        <v>3270844</v>
      </c>
      <c r="L56" s="252">
        <f>+J56-K56</f>
        <v>0</v>
      </c>
    </row>
    <row r="57" spans="1:12" s="98" customFormat="1">
      <c r="A57" s="248">
        <v>4</v>
      </c>
      <c r="B57" s="264" t="s">
        <v>237</v>
      </c>
      <c r="C57" s="264"/>
      <c r="D57" s="114"/>
      <c r="E57" s="95"/>
      <c r="F57" s="95"/>
      <c r="G57" s="95"/>
      <c r="H57" s="95"/>
      <c r="I57" s="100"/>
      <c r="J57" s="109"/>
      <c r="L57" s="252"/>
    </row>
    <row r="58" spans="1:12" s="98" customFormat="1">
      <c r="A58" s="248" t="s">
        <v>31</v>
      </c>
      <c r="B58" s="263" t="s">
        <v>238</v>
      </c>
      <c r="C58" s="263"/>
      <c r="D58" s="122">
        <v>1</v>
      </c>
      <c r="E58" s="5"/>
      <c r="F58" s="5"/>
      <c r="G58" s="5"/>
      <c r="H58" s="5"/>
      <c r="I58" s="99">
        <f>(F58*0.2)+(G58*0.5)+(H58*1)</f>
        <v>0</v>
      </c>
      <c r="J58" s="109"/>
      <c r="L58" s="252"/>
    </row>
    <row r="59" spans="1:12" s="98" customFormat="1">
      <c r="A59" s="248" t="s">
        <v>33</v>
      </c>
      <c r="B59" s="263" t="s">
        <v>239</v>
      </c>
      <c r="C59" s="263"/>
      <c r="D59" s="122">
        <v>0.5</v>
      </c>
      <c r="E59" s="5"/>
      <c r="F59" s="5"/>
      <c r="G59" s="5"/>
      <c r="H59" s="5"/>
      <c r="I59" s="99">
        <f>(F59*0.1)+(G59*0.25)+(H59*0.5)</f>
        <v>0</v>
      </c>
      <c r="J59" s="109"/>
      <c r="L59" s="252"/>
    </row>
    <row r="60" spans="1:12" s="98" customFormat="1" ht="12.75" customHeight="1">
      <c r="A60" s="248" t="s">
        <v>35</v>
      </c>
      <c r="B60" s="263" t="s">
        <v>240</v>
      </c>
      <c r="C60" s="263"/>
      <c r="D60" s="122">
        <v>0.2</v>
      </c>
      <c r="E60" s="5">
        <v>0</v>
      </c>
      <c r="F60" s="5"/>
      <c r="G60" s="5"/>
      <c r="H60" s="5">
        <v>0</v>
      </c>
      <c r="I60" s="99">
        <f>(F60*0.04)+(G60*0.1)+(H60*0.2)</f>
        <v>0</v>
      </c>
      <c r="L60" s="252"/>
    </row>
    <row r="61" spans="1:12" s="98" customFormat="1">
      <c r="A61" s="248" t="s">
        <v>42</v>
      </c>
      <c r="B61" s="263" t="s">
        <v>241</v>
      </c>
      <c r="C61" s="263"/>
      <c r="D61" s="122">
        <v>1</v>
      </c>
      <c r="E61" s="5"/>
      <c r="F61" s="5"/>
      <c r="G61" s="95"/>
      <c r="H61" s="5"/>
      <c r="I61" s="99">
        <f>(F61*0.2)+(G61*0.5)+(H61*1)</f>
        <v>0</v>
      </c>
      <c r="J61" s="250">
        <f>SUM(E58:H61)</f>
        <v>0</v>
      </c>
      <c r="K61" s="252">
        <f>+[7]Commitments!$D$10</f>
        <v>0</v>
      </c>
      <c r="L61" s="252">
        <f>+J61-K61</f>
        <v>0</v>
      </c>
    </row>
    <row r="62" spans="1:12" s="98" customFormat="1">
      <c r="A62" s="248">
        <v>5</v>
      </c>
      <c r="B62" s="263" t="s">
        <v>277</v>
      </c>
      <c r="C62" s="263"/>
      <c r="D62" s="114"/>
      <c r="E62" s="95"/>
      <c r="F62" s="95"/>
      <c r="G62" s="95"/>
      <c r="H62" s="95"/>
      <c r="I62" s="100"/>
      <c r="J62" s="109"/>
      <c r="L62" s="252"/>
    </row>
    <row r="63" spans="1:12" s="98" customFormat="1">
      <c r="A63" s="248" t="s">
        <v>31</v>
      </c>
      <c r="B63" s="263" t="s">
        <v>242</v>
      </c>
      <c r="C63" s="263"/>
      <c r="D63" s="114"/>
      <c r="E63" s="95"/>
      <c r="F63" s="95"/>
      <c r="G63" s="95"/>
      <c r="H63" s="95"/>
      <c r="I63" s="100"/>
      <c r="J63" s="109"/>
      <c r="L63" s="252"/>
    </row>
    <row r="64" spans="1:12" s="98" customFormat="1">
      <c r="A64" s="248" t="s">
        <v>58</v>
      </c>
      <c r="B64" s="265" t="s">
        <v>243</v>
      </c>
      <c r="C64" s="265"/>
      <c r="D64" s="123">
        <v>5.0000000000000001E-3</v>
      </c>
      <c r="E64" s="5"/>
      <c r="F64" s="5"/>
      <c r="G64" s="5"/>
      <c r="H64" s="5"/>
      <c r="I64" s="99">
        <f>(F64*0.001)+(G64*0.0025)+(H64*0.005)</f>
        <v>0</v>
      </c>
      <c r="J64" s="109"/>
      <c r="L64" s="252"/>
    </row>
    <row r="65" spans="1:30" s="98" customFormat="1">
      <c r="A65" s="248" t="s">
        <v>59</v>
      </c>
      <c r="B65" s="265" t="s">
        <v>244</v>
      </c>
      <c r="C65" s="265"/>
      <c r="D65" s="122">
        <v>0.01</v>
      </c>
      <c r="E65" s="5"/>
      <c r="F65" s="5"/>
      <c r="G65" s="5"/>
      <c r="H65" s="5"/>
      <c r="I65" s="99">
        <f>(F65*0.002)+(G65*0.005)+(H65*0.01)</f>
        <v>0</v>
      </c>
      <c r="J65" s="109"/>
      <c r="L65" s="252"/>
    </row>
    <row r="66" spans="1:30" s="98" customFormat="1">
      <c r="A66" s="248" t="s">
        <v>60</v>
      </c>
      <c r="B66" s="265" t="s">
        <v>245</v>
      </c>
      <c r="C66" s="265"/>
      <c r="D66" s="122">
        <v>0.02</v>
      </c>
      <c r="E66" s="5"/>
      <c r="F66" s="5"/>
      <c r="G66" s="5"/>
      <c r="H66" s="5"/>
      <c r="I66" s="99">
        <f>(F66*0.004)+(G66*0.01)+(H66*0.02)</f>
        <v>0</v>
      </c>
      <c r="J66" s="109"/>
      <c r="L66" s="252"/>
    </row>
    <row r="67" spans="1:30" s="98" customFormat="1">
      <c r="A67" s="248" t="s">
        <v>33</v>
      </c>
      <c r="B67" s="263" t="s">
        <v>246</v>
      </c>
      <c r="C67" s="263"/>
      <c r="D67" s="114"/>
      <c r="E67" s="95"/>
      <c r="F67" s="95"/>
      <c r="G67" s="95"/>
      <c r="H67" s="95"/>
      <c r="I67" s="100"/>
      <c r="J67" s="109"/>
      <c r="L67" s="252"/>
    </row>
    <row r="68" spans="1:30" s="98" customFormat="1">
      <c r="A68" s="248" t="s">
        <v>61</v>
      </c>
      <c r="B68" s="265" t="s">
        <v>247</v>
      </c>
      <c r="C68" s="265"/>
      <c r="D68" s="122">
        <v>0.02</v>
      </c>
      <c r="E68" s="5"/>
      <c r="F68" s="5"/>
      <c r="G68" s="5"/>
      <c r="H68" s="5">
        <v>0</v>
      </c>
      <c r="I68" s="99">
        <f>(F68*0.004)+(G68*0.01)+(H68*0.02)</f>
        <v>0</v>
      </c>
      <c r="J68" s="250"/>
      <c r="K68" s="251"/>
      <c r="L68" s="252"/>
    </row>
    <row r="69" spans="1:30" s="98" customFormat="1">
      <c r="A69" s="248" t="s">
        <v>62</v>
      </c>
      <c r="B69" s="265" t="s">
        <v>248</v>
      </c>
      <c r="C69" s="265"/>
      <c r="D69" s="122">
        <v>0.05</v>
      </c>
      <c r="E69" s="5"/>
      <c r="F69" s="5"/>
      <c r="G69" s="5"/>
      <c r="H69" s="5"/>
      <c r="I69" s="99">
        <f>(F69*0.01)+(G69*0.025)+(H69*0.05)</f>
        <v>0</v>
      </c>
      <c r="J69" s="109"/>
    </row>
    <row r="70" spans="1:30" s="98" customFormat="1">
      <c r="A70" s="248" t="s">
        <v>63</v>
      </c>
      <c r="B70" s="265" t="s">
        <v>249</v>
      </c>
      <c r="C70" s="265"/>
      <c r="D70" s="122">
        <v>0.08</v>
      </c>
      <c r="E70" s="5"/>
      <c r="F70" s="5"/>
      <c r="G70" s="5"/>
      <c r="H70" s="5"/>
      <c r="I70" s="99">
        <f>(F70*0.016)+(G70*0.04)+(H70*0.08)</f>
        <v>0</v>
      </c>
      <c r="J70" s="109"/>
    </row>
    <row r="71" spans="1:30" s="98" customFormat="1">
      <c r="A71" s="248">
        <v>6</v>
      </c>
      <c r="B71" s="258" t="s">
        <v>250</v>
      </c>
      <c r="C71" s="259"/>
      <c r="D71" s="114"/>
      <c r="E71" s="94">
        <f>SUM(E53:E70)</f>
        <v>0</v>
      </c>
      <c r="F71" s="94">
        <f>SUM(F53:F70)</f>
        <v>0</v>
      </c>
      <c r="G71" s="94">
        <f>SUM(G53:G70)</f>
        <v>0</v>
      </c>
      <c r="H71" s="94">
        <f>SUM(H53:H70)</f>
        <v>187959359</v>
      </c>
      <c r="I71" s="100"/>
      <c r="J71" s="251">
        <f>SUM(E71:H71)</f>
        <v>187959359</v>
      </c>
      <c r="K71" s="251">
        <f>+[7]Commitments!$D$4+[7]Commitments!$D$7+[7]Commitments!$D$10+[7]Commitments!$D$19+[7]Commitments!$D$20+[7]Commitments!$D$21+[7]Commitments!$D$22</f>
        <v>187959359</v>
      </c>
      <c r="L71" s="253">
        <f>+J71-K71</f>
        <v>0</v>
      </c>
    </row>
    <row r="72" spans="1:30" s="98" customFormat="1">
      <c r="A72" s="248">
        <v>7</v>
      </c>
      <c r="B72" s="258" t="s">
        <v>251</v>
      </c>
      <c r="C72" s="259"/>
      <c r="D72" s="114"/>
      <c r="E72" s="95"/>
      <c r="F72" s="95"/>
      <c r="G72" s="95"/>
      <c r="H72" s="95"/>
      <c r="I72" s="99">
        <f>SUM(I53:I70)</f>
        <v>95615101.5</v>
      </c>
      <c r="J72" s="109"/>
    </row>
    <row r="73" spans="1:30" s="98" customFormat="1" ht="13.5" thickBot="1">
      <c r="A73" s="200">
        <v>8</v>
      </c>
      <c r="B73" s="260" t="s">
        <v>252</v>
      </c>
      <c r="C73" s="261"/>
      <c r="D73" s="115"/>
      <c r="E73" s="96"/>
      <c r="F73" s="96"/>
      <c r="G73" s="96"/>
      <c r="H73" s="96"/>
      <c r="I73" s="101">
        <f>SUM(I72+I44)</f>
        <v>12774348958.65</v>
      </c>
      <c r="J73" s="109">
        <f>+I73*0.15</f>
        <v>1916152343.7974999</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B60:C60"/>
    <mergeCell ref="B61:C61"/>
    <mergeCell ref="B71:C71"/>
    <mergeCell ref="B72:C72"/>
    <mergeCell ref="B73:C73"/>
    <mergeCell ref="B62:C62"/>
    <mergeCell ref="B63:C63"/>
    <mergeCell ref="B64:C64"/>
    <mergeCell ref="B65:C65"/>
    <mergeCell ref="B66:C66"/>
    <mergeCell ref="B67:C67"/>
    <mergeCell ref="B68:C68"/>
    <mergeCell ref="B69:C69"/>
    <mergeCell ref="B70:C70"/>
    <mergeCell ref="B55:C55"/>
    <mergeCell ref="B56:C56"/>
    <mergeCell ref="B57:C57"/>
    <mergeCell ref="B58:C58"/>
    <mergeCell ref="B59:C59"/>
    <mergeCell ref="I47:I49"/>
    <mergeCell ref="B50:C50"/>
    <mergeCell ref="B53:C53"/>
    <mergeCell ref="B54:C54"/>
    <mergeCell ref="D47:D49"/>
    <mergeCell ref="B51:C51"/>
    <mergeCell ref="A3:A5"/>
    <mergeCell ref="B3:B5"/>
    <mergeCell ref="B52:C52"/>
    <mergeCell ref="A1:H1"/>
    <mergeCell ref="G2:H2"/>
    <mergeCell ref="A47:A50"/>
    <mergeCell ref="B47:C49"/>
    <mergeCell ref="E47:E48"/>
    <mergeCell ref="F47:F48"/>
    <mergeCell ref="G47:G48"/>
    <mergeCell ref="H47:H48"/>
  </mergeCells>
  <conditionalFormatting sqref="J30">
    <cfRule type="cellIs" dxfId="19" priority="6" operator="notEqual">
      <formula>K30</formula>
    </cfRule>
  </conditionalFormatting>
  <conditionalFormatting sqref="J54">
    <cfRule type="cellIs" dxfId="18" priority="5" operator="notEqual">
      <formula>K54</formula>
    </cfRule>
  </conditionalFormatting>
  <conditionalFormatting sqref="J56">
    <cfRule type="cellIs" dxfId="17" priority="4" operator="notEqual">
      <formula>K56</formula>
    </cfRule>
  </conditionalFormatting>
  <conditionalFormatting sqref="J61">
    <cfRule type="cellIs" dxfId="16" priority="3" operator="notEqual">
      <formula>K61</formula>
    </cfRule>
  </conditionalFormatting>
  <conditionalFormatting sqref="J68">
    <cfRule type="cellIs" dxfId="15" priority="2" operator="notEqual">
      <formula>K68</formula>
    </cfRule>
  </conditionalFormatting>
  <conditionalFormatting sqref="J42">
    <cfRule type="cellIs" dxfId="14" priority="1" operator="notEqual">
      <formula>K42</formula>
    </cfRule>
  </conditionalFormatting>
  <dataValidations count="2">
    <dataValidation type="whole" operator="greaterThanOrEqual" allowBlank="1" showInputMessage="1" showErrorMessage="1" sqref="E57:H57 G56 E67:H67 E62:H63 G61">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3:H55 E61:F61 E53:E56 H58:H61 E58:G60 E68:H70 H56 E64:H66 C20:D20 G26:I26 D11 C8 F20:H20 D9 G17:G19 F17:F18 C10:D10 E27:F27 F56 H17:H18 C38:C39 F11:H11 C22:C25 C41:I41 C13:D18 D24 G31:G34 G35:I35 H34:I34 C36 F15:H16 G27:H29 G37:G39 I27:I30 I39:I40">
      <formula1>-1E+22</formula1>
      <formula2>1E+22</formula2>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J5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pageSetUpPr fitToPage="1"/>
  </sheetPr>
  <dimension ref="A1:XFC77"/>
  <sheetViews>
    <sheetView view="pageBreakPreview" zoomScale="70" zoomScaleNormal="75" zoomScaleSheetLayoutView="70" workbookViewId="0">
      <pane xSplit="2" ySplit="6" topLeftCell="C49" activePane="bottomRight" state="frozen"/>
      <selection activeCell="B54" sqref="B54:C54"/>
      <selection pane="topRight" activeCell="B54" sqref="B54:C54"/>
      <selection pane="bottomLeft" activeCell="B54" sqref="B54:C54"/>
      <selection pane="bottomRight" activeCell="C7" sqref="C7"/>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2" width="16.42578125" style="102" customWidth="1"/>
    <col min="13" max="13" width="11.28515625" style="102" bestFit="1" customWidth="1"/>
    <col min="14" max="15" width="10.28515625" style="102" customWidth="1"/>
    <col min="16" max="16384" width="9.140625" style="102"/>
  </cols>
  <sheetData>
    <row r="1" spans="1:11" ht="26.25" customHeight="1">
      <c r="A1" s="274" t="s">
        <v>254</v>
      </c>
      <c r="B1" s="274"/>
      <c r="C1" s="274"/>
      <c r="D1" s="274"/>
      <c r="E1" s="274"/>
      <c r="F1" s="274"/>
      <c r="G1" s="274"/>
      <c r="H1" s="274"/>
      <c r="I1" s="190" t="s">
        <v>255</v>
      </c>
    </row>
    <row r="2" spans="1:11" ht="25.5" customHeight="1" thickBot="1">
      <c r="B2" s="118" t="str">
        <f>+'Bank Capital Calc'!B3</f>
        <v xml:space="preserve">МКБАНК </v>
      </c>
      <c r="D2" s="105"/>
      <c r="E2" s="105"/>
      <c r="G2" s="269">
        <f>+'Bank Capital Calc'!C3</f>
        <v>44926</v>
      </c>
      <c r="H2" s="269"/>
      <c r="I2" s="191" t="s">
        <v>271</v>
      </c>
      <c r="J2" s="126"/>
    </row>
    <row r="3" spans="1:11">
      <c r="A3" s="277" t="s">
        <v>52</v>
      </c>
      <c r="B3" s="268" t="s">
        <v>131</v>
      </c>
      <c r="C3" s="192">
        <v>0</v>
      </c>
      <c r="D3" s="192">
        <v>0.2</v>
      </c>
      <c r="E3" s="192">
        <v>0.35</v>
      </c>
      <c r="F3" s="192">
        <v>0.5</v>
      </c>
      <c r="G3" s="192">
        <v>1</v>
      </c>
      <c r="H3" s="192">
        <v>1.5</v>
      </c>
      <c r="I3" s="193">
        <v>2</v>
      </c>
      <c r="J3" s="249"/>
      <c r="K3" s="126"/>
    </row>
    <row r="4" spans="1:11" ht="20.25" customHeight="1">
      <c r="A4" s="278"/>
      <c r="B4" s="262"/>
      <c r="C4" s="247" t="s">
        <v>187</v>
      </c>
      <c r="D4" s="247" t="s">
        <v>187</v>
      </c>
      <c r="E4" s="247" t="s">
        <v>187</v>
      </c>
      <c r="F4" s="247" t="s">
        <v>187</v>
      </c>
      <c r="G4" s="247" t="s">
        <v>187</v>
      </c>
      <c r="H4" s="247" t="s">
        <v>187</v>
      </c>
      <c r="I4" s="194" t="s">
        <v>187</v>
      </c>
      <c r="K4" s="126"/>
    </row>
    <row r="5" spans="1:11" ht="20.25" customHeight="1">
      <c r="A5" s="278"/>
      <c r="B5" s="262"/>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62">
        <f>+'Calculation of Risk Weighted As'!C8-'Calculation of Risk Weighte нац'!C8</f>
        <v>194068245</v>
      </c>
      <c r="D8" s="95"/>
      <c r="E8" s="95"/>
      <c r="F8" s="95"/>
      <c r="G8" s="95"/>
      <c r="H8" s="95"/>
      <c r="I8" s="100"/>
      <c r="J8" s="250"/>
      <c r="K8" s="109"/>
    </row>
    <row r="9" spans="1:11" s="98" customFormat="1">
      <c r="A9" s="246" t="s">
        <v>65</v>
      </c>
      <c r="B9" s="196" t="s">
        <v>197</v>
      </c>
      <c r="C9" s="95"/>
      <c r="D9" s="62">
        <f>+'Calculation of Risk Weighted As'!D9-'Calculation of Risk Weighte нац'!D9</f>
        <v>60211782</v>
      </c>
      <c r="E9" s="95"/>
      <c r="F9" s="95"/>
      <c r="G9" s="95"/>
      <c r="H9" s="95"/>
      <c r="I9" s="100"/>
      <c r="J9" s="250"/>
      <c r="K9" s="109"/>
    </row>
    <row r="10" spans="1:11" s="98" customFormat="1">
      <c r="A10" s="246" t="s">
        <v>66</v>
      </c>
      <c r="B10" s="196" t="s">
        <v>198</v>
      </c>
      <c r="C10" s="62">
        <f>+'Calculation of Risk Weighted As'!C10-'Calculation of Risk Weighte нац'!C10</f>
        <v>0</v>
      </c>
      <c r="D10" s="62">
        <f>+'Calculation of Risk Weighted As'!D10-'Calculation of Risk Weighte нац'!D10</f>
        <v>0</v>
      </c>
      <c r="E10" s="95"/>
      <c r="F10" s="95"/>
      <c r="G10" s="95"/>
      <c r="H10" s="95"/>
      <c r="I10" s="100"/>
      <c r="J10" s="250"/>
      <c r="K10" s="109"/>
    </row>
    <row r="11" spans="1:11" s="98" customFormat="1" ht="25.5">
      <c r="A11" s="246" t="s">
        <v>67</v>
      </c>
      <c r="B11" s="196" t="s">
        <v>286</v>
      </c>
      <c r="C11" s="95"/>
      <c r="D11" s="62">
        <f>+'Calculation of Risk Weighted As'!D11-'Calculation of Risk Weighte нац'!D11</f>
        <v>0</v>
      </c>
      <c r="E11" s="95"/>
      <c r="F11" s="62">
        <f>+'Calculation of Risk Weighted As'!F11-'Calculation of Risk Weighte нац'!F11</f>
        <v>589137765</v>
      </c>
      <c r="G11" s="62">
        <f>+'Calculation of Risk Weighted As'!G11-'Calculation of Risk Weighte нац'!G11</f>
        <v>0</v>
      </c>
      <c r="H11" s="62">
        <f>+'Calculation of Risk Weighted As'!H11-'Calculation of Risk Weighte нац'!H11</f>
        <v>0</v>
      </c>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62">
        <f>+'Calculation of Risk Weighted As'!C13-'Calculation of Risk Weighte нац'!C13</f>
        <v>175</v>
      </c>
      <c r="D13" s="62">
        <f>+'Calculation of Risk Weighted As'!D13-'Calculation of Risk Weighte нац'!D13</f>
        <v>0</v>
      </c>
      <c r="E13" s="95"/>
      <c r="F13" s="95"/>
      <c r="G13" s="95"/>
      <c r="H13" s="95"/>
      <c r="I13" s="100"/>
      <c r="J13" s="250"/>
      <c r="K13" s="109"/>
    </row>
    <row r="14" spans="1:11" s="98" customFormat="1" ht="25.5">
      <c r="A14" s="246" t="s">
        <v>33</v>
      </c>
      <c r="B14" s="196" t="s">
        <v>288</v>
      </c>
      <c r="C14" s="62">
        <f>+'Calculation of Risk Weighted As'!C14-'Calculation of Risk Weighte нац'!C14</f>
        <v>0</v>
      </c>
      <c r="D14" s="62">
        <f>+'Calculation of Risk Weighted As'!D14-'Calculation of Risk Weighte нац'!D14</f>
        <v>0</v>
      </c>
      <c r="E14" s="95"/>
      <c r="F14" s="95"/>
      <c r="G14" s="95"/>
      <c r="H14" s="95"/>
      <c r="I14" s="100"/>
      <c r="J14" s="250"/>
      <c r="K14" s="109"/>
    </row>
    <row r="15" spans="1:11" s="98" customFormat="1" ht="38.25">
      <c r="A15" s="246" t="s">
        <v>35</v>
      </c>
      <c r="B15" s="196" t="s">
        <v>201</v>
      </c>
      <c r="C15" s="62">
        <f>+'Calculation of Risk Weighted As'!C15-'Calculation of Risk Weighte нац'!C15</f>
        <v>0</v>
      </c>
      <c r="D15" s="62">
        <f>+'Calculation of Risk Weighted As'!D15-'Calculation of Risk Weighte нац'!D15</f>
        <v>0</v>
      </c>
      <c r="E15" s="95"/>
      <c r="F15" s="62">
        <f>+'Calculation of Risk Weighted As'!F15-'Calculation of Risk Weighte нац'!F15</f>
        <v>0</v>
      </c>
      <c r="G15" s="62">
        <f>+'Calculation of Risk Weighted As'!G15-'Calculation of Risk Weighte нац'!G15</f>
        <v>0</v>
      </c>
      <c r="H15" s="62">
        <f>+'Calculation of Risk Weighted As'!H15-'Calculation of Risk Weighte нац'!H15</f>
        <v>0</v>
      </c>
      <c r="I15" s="100"/>
      <c r="J15" s="250"/>
      <c r="K15" s="109"/>
    </row>
    <row r="16" spans="1:11" s="98" customFormat="1">
      <c r="A16" s="246" t="s">
        <v>42</v>
      </c>
      <c r="B16" s="196" t="s">
        <v>202</v>
      </c>
      <c r="C16" s="62">
        <f>+'Calculation of Risk Weighted As'!C16-'Calculation of Risk Weighte нац'!C16</f>
        <v>0</v>
      </c>
      <c r="D16" s="62">
        <f>+'Calculation of Risk Weighted As'!D16-'Calculation of Risk Weighte нац'!D16</f>
        <v>0</v>
      </c>
      <c r="E16" s="95"/>
      <c r="F16" s="62">
        <f>+'Calculation of Risk Weighted As'!F16-'Calculation of Risk Weighte нац'!F16</f>
        <v>0</v>
      </c>
      <c r="G16" s="62">
        <f>+'Calculation of Risk Weighted As'!G16-'Calculation of Risk Weighte нац'!G16</f>
        <v>0</v>
      </c>
      <c r="H16" s="62">
        <f>+'Calculation of Risk Weighted As'!H16-'Calculation of Risk Weighte нац'!H16</f>
        <v>0</v>
      </c>
      <c r="I16" s="100"/>
      <c r="J16" s="250"/>
      <c r="K16" s="109"/>
    </row>
    <row r="17" spans="1:16383" s="98" customFormat="1">
      <c r="A17" s="246" t="s">
        <v>128</v>
      </c>
      <c r="B17" s="196" t="s">
        <v>203</v>
      </c>
      <c r="C17" s="62">
        <f>+'Calculation of Risk Weighted As'!C17-'Calculation of Risk Weighte нац'!C17</f>
        <v>0</v>
      </c>
      <c r="D17" s="62">
        <f>+'Calculation of Risk Weighted As'!D17-'Calculation of Risk Weighte нац'!D17</f>
        <v>0</v>
      </c>
      <c r="E17" s="95"/>
      <c r="F17" s="62">
        <f>+'Calculation of Risk Weighted As'!F17-'Calculation of Risk Weighte нац'!F17</f>
        <v>0</v>
      </c>
      <c r="G17" s="62">
        <f>+'Calculation of Risk Weighted As'!G17-'Calculation of Risk Weighte нац'!G17</f>
        <v>0</v>
      </c>
      <c r="H17" s="62">
        <f>+'Calculation of Risk Weighted As'!H17-'Calculation of Risk Weighte нац'!H17</f>
        <v>0</v>
      </c>
      <c r="I17" s="100"/>
      <c r="J17" s="250"/>
      <c r="K17" s="109"/>
    </row>
    <row r="18" spans="1:16383" s="98" customFormat="1">
      <c r="A18" s="246" t="s">
        <v>211</v>
      </c>
      <c r="B18" s="196" t="s">
        <v>284</v>
      </c>
      <c r="C18" s="62">
        <f>+'Calculation of Risk Weighted As'!C18-'Calculation of Risk Weighte нац'!C18</f>
        <v>0</v>
      </c>
      <c r="D18" s="62">
        <f>+'Calculation of Risk Weighted As'!D18-'Calculation of Risk Weighte нац'!D18</f>
        <v>0</v>
      </c>
      <c r="E18" s="95"/>
      <c r="F18" s="62">
        <f>+'Calculation of Risk Weighted As'!F18-'Calculation of Risk Weighte нац'!F18</f>
        <v>0</v>
      </c>
      <c r="G18" s="62">
        <f>+'Calculation of Risk Weighted As'!G18-'Calculation of Risk Weighte нац'!G18</f>
        <v>0</v>
      </c>
      <c r="H18" s="62">
        <f>+'Calculation of Risk Weighted As'!H18-'Calculation of Risk Weighte нац'!H18</f>
        <v>0</v>
      </c>
      <c r="I18" s="100"/>
      <c r="J18" s="250"/>
      <c r="K18" s="109"/>
    </row>
    <row r="19" spans="1:16383" s="98" customFormat="1" ht="25.5">
      <c r="A19" s="246" t="s">
        <v>69</v>
      </c>
      <c r="B19" s="196" t="s">
        <v>204</v>
      </c>
      <c r="C19" s="95"/>
      <c r="D19" s="95"/>
      <c r="E19" s="95"/>
      <c r="F19" s="95"/>
      <c r="G19" s="62">
        <f>+'Calculation of Risk Weighted As'!G19-'Calculation of Risk Weighte нац'!G19</f>
        <v>0</v>
      </c>
      <c r="H19" s="95"/>
      <c r="I19" s="100"/>
      <c r="J19" s="250"/>
      <c r="K19" s="109"/>
    </row>
    <row r="20" spans="1:16383" s="98" customFormat="1" ht="51">
      <c r="A20" s="246" t="s">
        <v>70</v>
      </c>
      <c r="B20" s="196" t="s">
        <v>205</v>
      </c>
      <c r="C20" s="62">
        <f>+'Calculation of Risk Weighted As'!C20-'Calculation of Risk Weighte нац'!C20</f>
        <v>0</v>
      </c>
      <c r="D20" s="62">
        <f>+'Calculation of Risk Weighted As'!D20-'Calculation of Risk Weighte нац'!D20</f>
        <v>0</v>
      </c>
      <c r="E20" s="95"/>
      <c r="F20" s="62">
        <f>+'Calculation of Risk Weighted As'!F20-'Calculation of Risk Weighte нац'!F20</f>
        <v>0</v>
      </c>
      <c r="G20" s="62">
        <f>+'Calculation of Risk Weighted As'!G20-'Calculation of Risk Weighte нац'!G20</f>
        <v>0</v>
      </c>
      <c r="H20" s="62">
        <f>+'Calculation of Risk Weighted As'!H20-'Calculation of Risk Weighte нац'!H20</f>
        <v>0</v>
      </c>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62">
        <f>+'Calculation of Risk Weighted As'!C22-'Calculation of Risk Weighte нац'!C22</f>
        <v>0</v>
      </c>
      <c r="D22" s="95"/>
      <c r="E22" s="95"/>
      <c r="F22" s="95"/>
      <c r="G22" s="95"/>
      <c r="H22" s="95"/>
      <c r="I22" s="100"/>
      <c r="J22" s="250"/>
      <c r="K22" s="109"/>
    </row>
    <row r="23" spans="1:16383" s="98" customFormat="1" ht="38.25">
      <c r="A23" s="246" t="s">
        <v>33</v>
      </c>
      <c r="B23" s="196" t="s">
        <v>285</v>
      </c>
      <c r="C23" s="62">
        <f>+'Calculation of Risk Weighted As'!C23-'Calculation of Risk Weighte нац'!C23</f>
        <v>0</v>
      </c>
      <c r="D23" s="95"/>
      <c r="E23" s="95"/>
      <c r="F23" s="95"/>
      <c r="G23" s="95"/>
      <c r="H23" s="95"/>
      <c r="I23" s="100"/>
      <c r="J23" s="250"/>
      <c r="K23" s="109"/>
    </row>
    <row r="24" spans="1:16383" s="98" customFormat="1">
      <c r="A24" s="246" t="s">
        <v>35</v>
      </c>
      <c r="B24" s="196" t="s">
        <v>208</v>
      </c>
      <c r="C24" s="62">
        <f>+'Calculation of Risk Weighted As'!C24-'Calculation of Risk Weighte нац'!C24</f>
        <v>0</v>
      </c>
      <c r="D24" s="62">
        <f>+'Calculation of Risk Weighted As'!D24-'Calculation of Risk Weighte нац'!D24</f>
        <v>0</v>
      </c>
      <c r="E24" s="95"/>
      <c r="F24" s="95"/>
      <c r="G24" s="95"/>
      <c r="H24" s="95"/>
      <c r="I24" s="100"/>
      <c r="J24" s="250"/>
      <c r="K24" s="109"/>
    </row>
    <row r="25" spans="1:16383" s="98" customFormat="1" ht="51">
      <c r="A25" s="246" t="s">
        <v>42</v>
      </c>
      <c r="B25" s="196" t="s">
        <v>209</v>
      </c>
      <c r="C25" s="62">
        <f>+'Calculation of Risk Weighted As'!C25-'Calculation of Risk Weighte нац'!C25</f>
        <v>0</v>
      </c>
      <c r="D25" s="95"/>
      <c r="E25" s="95"/>
      <c r="F25" s="95"/>
      <c r="G25" s="95"/>
      <c r="H25" s="95"/>
      <c r="I25" s="100"/>
      <c r="J25" s="250"/>
      <c r="K25" s="109"/>
    </row>
    <row r="26" spans="1:16383" s="98" customFormat="1">
      <c r="A26" s="246" t="s">
        <v>128</v>
      </c>
      <c r="B26" s="196" t="s">
        <v>210</v>
      </c>
      <c r="C26" s="95"/>
      <c r="D26" s="95"/>
      <c r="E26" s="95"/>
      <c r="F26" s="95"/>
      <c r="G26" s="62">
        <f>+'Calculation of Risk Weighted As'!G26-'Calculation of Risk Weighte нац'!G26</f>
        <v>0</v>
      </c>
      <c r="H26" s="95"/>
      <c r="I26" s="100"/>
      <c r="J26" s="250"/>
      <c r="K26" s="109"/>
    </row>
    <row r="27" spans="1:16383" s="98" customFormat="1" ht="25.5">
      <c r="A27" s="246" t="s">
        <v>211</v>
      </c>
      <c r="B27" s="196" t="s">
        <v>212</v>
      </c>
      <c r="C27" s="95"/>
      <c r="D27" s="95"/>
      <c r="E27" s="62">
        <f>+'Calculation of Risk Weighted As'!E27-'Calculation of Risk Weighte нац'!E27</f>
        <v>0</v>
      </c>
      <c r="F27" s="62">
        <f>+'Calculation of Risk Weighted As'!F27-'Calculation of Risk Weighte нац'!F27</f>
        <v>0</v>
      </c>
      <c r="G27" s="62">
        <f>+'Calculation of Risk Weighted As'!G27-'Calculation of Risk Weighte нац'!G27</f>
        <v>0</v>
      </c>
      <c r="H27" s="62">
        <f>+'Calculation of Risk Weighted As'!H27-'Calculation of Risk Weighte нац'!H27</f>
        <v>0</v>
      </c>
      <c r="I27" s="100"/>
      <c r="J27" s="250"/>
      <c r="K27" s="109"/>
    </row>
    <row r="28" spans="1:16383" s="98" customFormat="1">
      <c r="A28" s="246" t="s">
        <v>213</v>
      </c>
      <c r="B28" s="196" t="s">
        <v>214</v>
      </c>
      <c r="C28" s="95"/>
      <c r="D28" s="95"/>
      <c r="E28" s="95"/>
      <c r="F28" s="95"/>
      <c r="G28" s="62">
        <f>+'Calculation of Risk Weighted As'!G28-'Calculation of Risk Weighte нац'!G28</f>
        <v>0</v>
      </c>
      <c r="H28" s="62">
        <f>+'Calculation of Risk Weighted As'!H28-'Calculation of Risk Weighte нац'!H28</f>
        <v>0</v>
      </c>
      <c r="I28" s="135">
        <f>+'Calculation of Risk Weighted As'!I28-'Calculation of Risk Weighte нац'!I28</f>
        <v>0</v>
      </c>
      <c r="J28" s="250"/>
      <c r="K28" s="109"/>
    </row>
    <row r="29" spans="1:16383" s="98" customFormat="1">
      <c r="A29" s="246" t="s">
        <v>215</v>
      </c>
      <c r="B29" s="196" t="s">
        <v>216</v>
      </c>
      <c r="C29" s="95"/>
      <c r="D29" s="95"/>
      <c r="E29" s="95"/>
      <c r="F29" s="95"/>
      <c r="G29" s="62">
        <f>+'Calculation of Risk Weighted As'!G29-'Calculation of Risk Weighte нац'!G29</f>
        <v>3556650708</v>
      </c>
      <c r="H29" s="62">
        <f>+'Calculation of Risk Weighted As'!H29-'Calculation of Risk Weighte нац'!H29</f>
        <v>77840582</v>
      </c>
      <c r="I29" s="135">
        <f>+'Calculation of Risk Weighted As'!I29-'Calculation of Risk Weighte нац'!I29</f>
        <v>19263563</v>
      </c>
      <c r="J29" s="250"/>
      <c r="K29" s="109"/>
    </row>
    <row r="30" spans="1:16383" s="98" customFormat="1">
      <c r="A30" s="246" t="s">
        <v>217</v>
      </c>
      <c r="B30" s="196" t="s">
        <v>287</v>
      </c>
      <c r="C30" s="95"/>
      <c r="D30" s="95"/>
      <c r="E30" s="95"/>
      <c r="F30" s="95"/>
      <c r="G30" s="95"/>
      <c r="H30" s="95"/>
      <c r="I30" s="135">
        <f>+'Calculation of Risk Weighted As'!I30-'Calculation of Risk Weighte нац'!I30</f>
        <v>2486872</v>
      </c>
      <c r="J30" s="250"/>
      <c r="K30" s="109"/>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62">
        <f>+'Calculation of Risk Weighted As'!G32-'Calculation of Risk Weighte нац'!G32</f>
        <v>0</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62">
        <f>+'Calculation of Risk Weighted As'!G33-'Calculation of Risk Weighte нац'!G33</f>
        <v>0</v>
      </c>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62">
        <f>+'Calculation of Risk Weighted As'!H34-'Calculation of Risk Weighte нац'!H34</f>
        <v>0</v>
      </c>
      <c r="I34" s="135">
        <f>+'Calculation of Risk Weighted As'!I34-'Calculation of Risk Weighte нац'!I34</f>
        <v>0</v>
      </c>
      <c r="J34" s="250"/>
      <c r="K34" s="109"/>
    </row>
    <row r="35" spans="1:16383" s="98" customFormat="1" ht="25.5">
      <c r="A35" s="246" t="s">
        <v>42</v>
      </c>
      <c r="B35" s="196" t="s">
        <v>222</v>
      </c>
      <c r="C35" s="95"/>
      <c r="D35" s="95"/>
      <c r="E35" s="95"/>
      <c r="F35" s="95"/>
      <c r="G35" s="95"/>
      <c r="H35" s="62">
        <f>+'Calculation of Risk Weighted As'!H35-'Calculation of Risk Weighte нац'!H35</f>
        <v>0</v>
      </c>
      <c r="I35" s="135">
        <f>+'Calculation of Risk Weighted As'!I35-'Calculation of Risk Weighte нац'!I35</f>
        <v>0</v>
      </c>
      <c r="J35" s="250"/>
      <c r="K35" s="109"/>
    </row>
    <row r="36" spans="1:16383" s="98" customFormat="1" ht="51">
      <c r="A36" s="246" t="s">
        <v>79</v>
      </c>
      <c r="B36" s="196" t="s">
        <v>223</v>
      </c>
      <c r="C36" s="62">
        <f>+'Calculation of Risk Weighted As'!C36-'Calculation of Risk Weighte нац'!C36</f>
        <v>0</v>
      </c>
      <c r="D36" s="95"/>
      <c r="E36" s="95"/>
      <c r="F36" s="95"/>
      <c r="G36" s="95"/>
      <c r="H36" s="95"/>
      <c r="I36" s="100"/>
      <c r="J36" s="250"/>
      <c r="K36" s="109"/>
    </row>
    <row r="37" spans="1:16383" s="98" customFormat="1" ht="19.5" customHeight="1">
      <c r="A37" s="246" t="s">
        <v>80</v>
      </c>
      <c r="B37" s="196" t="s">
        <v>292</v>
      </c>
      <c r="C37" s="95"/>
      <c r="D37" s="127"/>
      <c r="E37" s="95"/>
      <c r="F37" s="95"/>
      <c r="G37" s="62">
        <f>+'Calculation of Risk Weighted As'!G37-'Calculation of Risk Weighte нац'!G37</f>
        <v>0</v>
      </c>
      <c r="H37" s="95"/>
      <c r="I37" s="100"/>
      <c r="J37" s="250"/>
      <c r="K37" s="109"/>
    </row>
    <row r="38" spans="1:16383" s="98" customFormat="1" ht="19.5" customHeight="1">
      <c r="A38" s="246" t="s">
        <v>73</v>
      </c>
      <c r="B38" s="196" t="s">
        <v>224</v>
      </c>
      <c r="C38" s="62">
        <f>+'Calculation of Risk Weighted As'!C38-'Calculation of Risk Weighte нац'!C38</f>
        <v>0</v>
      </c>
      <c r="D38" s="127"/>
      <c r="E38" s="95"/>
      <c r="F38" s="95"/>
      <c r="G38" s="62">
        <f>+'Calculation of Risk Weighted As'!G38-'Calculation of Risk Weighte нац'!G38</f>
        <v>0</v>
      </c>
      <c r="H38" s="95"/>
      <c r="I38" s="100"/>
      <c r="J38" s="250"/>
      <c r="K38" s="109"/>
    </row>
    <row r="39" spans="1:16383" s="98" customFormat="1" ht="19.5" customHeight="1">
      <c r="A39" s="246" t="s">
        <v>74</v>
      </c>
      <c r="B39" s="196" t="s">
        <v>290</v>
      </c>
      <c r="C39" s="62">
        <f>+'Calculation of Risk Weighted As'!C39-'Calculation of Risk Weighte нац'!C39</f>
        <v>0</v>
      </c>
      <c r="D39" s="127"/>
      <c r="E39" s="95"/>
      <c r="F39" s="95"/>
      <c r="G39" s="62">
        <f>+'Calculation of Risk Weighted As'!G39-'Calculation of Risk Weighte нац'!G39</f>
        <v>0</v>
      </c>
      <c r="H39" s="95"/>
      <c r="I39" s="135">
        <f>+'Calculation of Risk Weighted As'!I39-'Calculation of Risk Weighte нац'!I39</f>
        <v>0</v>
      </c>
      <c r="J39" s="250"/>
      <c r="K39" s="109"/>
    </row>
    <row r="40" spans="1:16383" s="98" customFormat="1" ht="19.5" customHeight="1">
      <c r="A40" s="246" t="s">
        <v>75</v>
      </c>
      <c r="B40" s="196" t="s">
        <v>291</v>
      </c>
      <c r="C40" s="95"/>
      <c r="D40" s="95"/>
      <c r="E40" s="95"/>
      <c r="F40" s="95"/>
      <c r="G40" s="95"/>
      <c r="H40" s="95"/>
      <c r="I40" s="135">
        <f>+'Calculation of Risk Weighted As'!I40-'Calculation of Risk Weighte нац'!I40</f>
        <v>0</v>
      </c>
      <c r="J40" s="250"/>
      <c r="K40" s="109"/>
    </row>
    <row r="41" spans="1:16383" s="98" customFormat="1">
      <c r="A41" s="246" t="s">
        <v>76</v>
      </c>
      <c r="B41" s="196" t="s">
        <v>225</v>
      </c>
      <c r="C41" s="62">
        <f>+'Calculation of Risk Weighted As'!C41-'Calculation of Risk Weighte нац'!C41</f>
        <v>0</v>
      </c>
      <c r="D41" s="62">
        <f>+'Calculation of Risk Weighted As'!D41-'Calculation of Risk Weighte нац'!D41</f>
        <v>0</v>
      </c>
      <c r="E41" s="62">
        <f>+'Calculation of Risk Weighted As'!E41-'Calculation of Risk Weighte нац'!E41</f>
        <v>0</v>
      </c>
      <c r="F41" s="62">
        <f>+'Calculation of Risk Weighted As'!F41-'Calculation of Risk Weighte нац'!F41</f>
        <v>0</v>
      </c>
      <c r="G41" s="62">
        <f>+'Calculation of Risk Weighted As'!G41-'Calculation of Risk Weighte нац'!G41</f>
        <v>204454031</v>
      </c>
      <c r="H41" s="62">
        <f>+'Calculation of Risk Weighted As'!H41-'Calculation of Risk Weighte нац'!H41</f>
        <v>0</v>
      </c>
      <c r="I41" s="62">
        <f>+'Calculation of Risk Weighted As'!I41-'Calculation of Risk Weighte нац'!I41</f>
        <v>0</v>
      </c>
      <c r="J41" s="250"/>
      <c r="K41" s="109"/>
    </row>
    <row r="42" spans="1:16383" s="98" customFormat="1">
      <c r="A42" s="246" t="s">
        <v>77</v>
      </c>
      <c r="B42" s="196" t="s">
        <v>226</v>
      </c>
      <c r="C42" s="94">
        <f t="shared" ref="C42:I42" si="0">SUM(C8:C41)</f>
        <v>194068420</v>
      </c>
      <c r="D42" s="94">
        <f t="shared" si="0"/>
        <v>60211782</v>
      </c>
      <c r="E42" s="94">
        <f t="shared" si="0"/>
        <v>0</v>
      </c>
      <c r="F42" s="94">
        <f t="shared" si="0"/>
        <v>589137765</v>
      </c>
      <c r="G42" s="94">
        <f t="shared" si="0"/>
        <v>3761104739</v>
      </c>
      <c r="H42" s="94">
        <f t="shared" si="0"/>
        <v>77840582</v>
      </c>
      <c r="I42" s="99">
        <f t="shared" si="0"/>
        <v>21750435</v>
      </c>
      <c r="J42" s="250">
        <f>SUM(C42:I42)</f>
        <v>4704113723</v>
      </c>
      <c r="K42" s="109">
        <f>+[7]Balance!$E$47+[7]Balance!$E$39</f>
        <v>4704113723</v>
      </c>
      <c r="L42" s="250">
        <f>+J42-K42</f>
        <v>0</v>
      </c>
    </row>
    <row r="43" spans="1:16383" s="98" customFormat="1" ht="25.5">
      <c r="A43" s="246" t="s">
        <v>78</v>
      </c>
      <c r="B43" s="196" t="s">
        <v>227</v>
      </c>
      <c r="C43" s="95"/>
      <c r="D43" s="94">
        <f t="shared" ref="D43:I43" si="1">D42*D3</f>
        <v>12042356.4</v>
      </c>
      <c r="E43" s="94">
        <f t="shared" si="1"/>
        <v>0</v>
      </c>
      <c r="F43" s="94">
        <f t="shared" si="1"/>
        <v>294568882.5</v>
      </c>
      <c r="G43" s="94">
        <f t="shared" si="1"/>
        <v>3761104739</v>
      </c>
      <c r="H43" s="94">
        <f t="shared" si="1"/>
        <v>116760873</v>
      </c>
      <c r="I43" s="99">
        <f t="shared" si="1"/>
        <v>43500870</v>
      </c>
      <c r="J43" s="250"/>
      <c r="K43" s="109"/>
    </row>
    <row r="44" spans="1:16383" s="98" customFormat="1" ht="13.5" thickBot="1">
      <c r="A44" s="197" t="s">
        <v>289</v>
      </c>
      <c r="B44" s="225" t="s">
        <v>228</v>
      </c>
      <c r="C44" s="96"/>
      <c r="D44" s="96"/>
      <c r="E44" s="96"/>
      <c r="F44" s="96"/>
      <c r="G44" s="96"/>
      <c r="H44" s="96"/>
      <c r="I44" s="101">
        <f>SUM(D43:I43)</f>
        <v>4227977720.9000001</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79" t="s">
        <v>52</v>
      </c>
      <c r="B47" s="268" t="s">
        <v>131</v>
      </c>
      <c r="C47" s="268"/>
      <c r="D47" s="275" t="s">
        <v>229</v>
      </c>
      <c r="E47" s="270">
        <v>0</v>
      </c>
      <c r="F47" s="270">
        <v>0.2</v>
      </c>
      <c r="G47" s="270">
        <v>0.5</v>
      </c>
      <c r="H47" s="270">
        <v>1</v>
      </c>
      <c r="I47" s="266" t="s">
        <v>230</v>
      </c>
      <c r="J47" s="109"/>
    </row>
    <row r="48" spans="1:16383" s="98" customFormat="1" ht="9.75" customHeight="1">
      <c r="A48" s="280"/>
      <c r="B48" s="262"/>
      <c r="C48" s="262"/>
      <c r="D48" s="276"/>
      <c r="E48" s="271"/>
      <c r="F48" s="271"/>
      <c r="G48" s="271"/>
      <c r="H48" s="271"/>
      <c r="I48" s="267"/>
      <c r="J48" s="109"/>
    </row>
    <row r="49" spans="1:12" s="98" customFormat="1" ht="17.25" customHeight="1">
      <c r="A49" s="280"/>
      <c r="B49" s="262"/>
      <c r="C49" s="262"/>
      <c r="D49" s="276"/>
      <c r="E49" s="198" t="s">
        <v>187</v>
      </c>
      <c r="F49" s="198" t="s">
        <v>187</v>
      </c>
      <c r="G49" s="198" t="s">
        <v>187</v>
      </c>
      <c r="H49" s="198" t="s">
        <v>187</v>
      </c>
      <c r="I49" s="267"/>
      <c r="J49" s="109"/>
    </row>
    <row r="50" spans="1:12" s="98" customFormat="1">
      <c r="A50" s="280"/>
      <c r="B50" s="262" t="s">
        <v>26</v>
      </c>
      <c r="C50" s="262"/>
      <c r="D50" s="247" t="s">
        <v>27</v>
      </c>
      <c r="E50" s="198" t="s">
        <v>28</v>
      </c>
      <c r="F50" s="247" t="s">
        <v>29</v>
      </c>
      <c r="G50" s="247" t="s">
        <v>53</v>
      </c>
      <c r="H50" s="247" t="s">
        <v>54</v>
      </c>
      <c r="I50" s="194" t="s">
        <v>57</v>
      </c>
      <c r="J50" s="109"/>
    </row>
    <row r="51" spans="1:12" s="98" customFormat="1">
      <c r="A51" s="199"/>
      <c r="B51" s="272" t="s">
        <v>231</v>
      </c>
      <c r="C51" s="273"/>
      <c r="D51" s="124"/>
      <c r="E51" s="124"/>
      <c r="F51" s="124"/>
      <c r="G51" s="124"/>
      <c r="H51" s="124"/>
      <c r="I51" s="125"/>
      <c r="J51" s="109"/>
    </row>
    <row r="52" spans="1:12" s="98" customFormat="1">
      <c r="A52" s="248">
        <v>1</v>
      </c>
      <c r="B52" s="264" t="s">
        <v>232</v>
      </c>
      <c r="C52" s="264"/>
      <c r="D52" s="95"/>
      <c r="E52" s="95"/>
      <c r="F52" s="95"/>
      <c r="G52" s="95"/>
      <c r="H52" s="95"/>
      <c r="I52" s="100"/>
      <c r="J52" s="109"/>
    </row>
    <row r="53" spans="1:12" s="98" customFormat="1">
      <c r="A53" s="248" t="s">
        <v>31</v>
      </c>
      <c r="B53" s="263" t="s">
        <v>233</v>
      </c>
      <c r="C53" s="263"/>
      <c r="D53" s="122">
        <v>0.5</v>
      </c>
      <c r="E53" s="62">
        <f>+'Calculation of Risk Weighted As'!E53-'Calculation of Risk Weighte нац'!E53</f>
        <v>0</v>
      </c>
      <c r="F53" s="62">
        <f>+'Calculation of Risk Weighted As'!F53-'Calculation of Risk Weighte нац'!F53</f>
        <v>0</v>
      </c>
      <c r="G53" s="62">
        <f>+'Calculation of Risk Weighted As'!G53-'Calculation of Risk Weighte нац'!G53</f>
        <v>0</v>
      </c>
      <c r="H53" s="62">
        <f>+'Calculation of Risk Weighted As'!H53-'Calculation of Risk Weighte нац'!H53</f>
        <v>18593627</v>
      </c>
      <c r="I53" s="99">
        <f>(F53*0.1)+(G53*0.25)+(H53*0.5)</f>
        <v>9296813.5</v>
      </c>
      <c r="J53" s="109"/>
    </row>
    <row r="54" spans="1:12" s="98" customFormat="1">
      <c r="A54" s="248" t="s">
        <v>33</v>
      </c>
      <c r="B54" s="263" t="s">
        <v>234</v>
      </c>
      <c r="C54" s="263"/>
      <c r="D54" s="122">
        <v>0.2</v>
      </c>
      <c r="E54" s="62">
        <f>+'Calculation of Risk Weighted As'!E54-'Calculation of Risk Weighte нац'!E54</f>
        <v>0</v>
      </c>
      <c r="F54" s="62">
        <f>+'Calculation of Risk Weighted As'!F54-'Calculation of Risk Weighte нац'!F54</f>
        <v>0</v>
      </c>
      <c r="G54" s="62">
        <f>+'Calculation of Risk Weighted As'!G54-'Calculation of Risk Weighte нац'!G54</f>
        <v>0</v>
      </c>
      <c r="H54" s="62">
        <f>+'Calculation of Risk Weighted As'!H54-'Calculation of Risk Weighte нац'!H54</f>
        <v>0</v>
      </c>
      <c r="I54" s="99">
        <f>(F54*0.04)+(G54*0.1)+(H54*0.2)</f>
        <v>0</v>
      </c>
      <c r="J54" s="250">
        <f>SUM(E53:H54)</f>
        <v>18593627</v>
      </c>
      <c r="K54" s="251">
        <f>+[7]Commitments!$E$4</f>
        <v>18593627</v>
      </c>
      <c r="L54" s="252">
        <f>+J54-K54</f>
        <v>0</v>
      </c>
    </row>
    <row r="55" spans="1:12" s="98" customFormat="1" ht="26.25" customHeight="1">
      <c r="A55" s="248">
        <v>2</v>
      </c>
      <c r="B55" s="264" t="s">
        <v>235</v>
      </c>
      <c r="C55" s="264"/>
      <c r="D55" s="122">
        <v>1</v>
      </c>
      <c r="E55" s="62">
        <f>+'Calculation of Risk Weighted As'!E55-'Calculation of Risk Weighte нац'!E55</f>
        <v>0</v>
      </c>
      <c r="F55" s="62">
        <f>+'Calculation of Risk Weighted As'!F55-'Calculation of Risk Weighte нац'!F55</f>
        <v>0</v>
      </c>
      <c r="G55" s="62">
        <f>+'Calculation of Risk Weighted As'!G55-'Calculation of Risk Weighte нац'!G55</f>
        <v>0</v>
      </c>
      <c r="H55" s="62">
        <f>+'Calculation of Risk Weighted As'!H55-'Calculation of Risk Weighte нац'!H55</f>
        <v>0</v>
      </c>
      <c r="I55" s="99">
        <f>(F55*0.2)+(G55*0.5)+(H55*1)</f>
        <v>0</v>
      </c>
      <c r="J55" s="109"/>
      <c r="L55" s="252"/>
    </row>
    <row r="56" spans="1:12" s="98" customFormat="1">
      <c r="A56" s="248">
        <v>3</v>
      </c>
      <c r="B56" s="264" t="s">
        <v>236</v>
      </c>
      <c r="C56" s="264"/>
      <c r="D56" s="122">
        <v>1</v>
      </c>
      <c r="E56" s="62">
        <f>+'Calculation of Risk Weighted As'!E56-'Calculation of Risk Weighte нац'!E56</f>
        <v>0</v>
      </c>
      <c r="F56" s="62">
        <f>+'Calculation of Risk Weighted As'!F56-'Calculation of Risk Weighte нац'!F56</f>
        <v>0</v>
      </c>
      <c r="G56" s="95"/>
      <c r="H56" s="62">
        <f>+'Calculation of Risk Weighted As'!H56-'Calculation of Risk Weighte нац'!H56</f>
        <v>334442222</v>
      </c>
      <c r="I56" s="99">
        <f>(F56*0.2)+(G56*0.5)+(H56*1)</f>
        <v>334442222</v>
      </c>
      <c r="J56" s="250">
        <f>SUM(E56:H56)</f>
        <v>334442222</v>
      </c>
      <c r="K56" s="251">
        <f>+[7]Commitments!$E$7</f>
        <v>334442222</v>
      </c>
      <c r="L56" s="252">
        <f>+J56-K56</f>
        <v>0</v>
      </c>
    </row>
    <row r="57" spans="1:12" s="98" customFormat="1">
      <c r="A57" s="248">
        <v>4</v>
      </c>
      <c r="B57" s="264" t="s">
        <v>237</v>
      </c>
      <c r="C57" s="264"/>
      <c r="D57" s="114"/>
      <c r="E57" s="95"/>
      <c r="F57" s="95"/>
      <c r="G57" s="95"/>
      <c r="H57" s="95"/>
      <c r="I57" s="100"/>
      <c r="J57" s="109"/>
      <c r="L57" s="252"/>
    </row>
    <row r="58" spans="1:12" s="98" customFormat="1">
      <c r="A58" s="248" t="s">
        <v>31</v>
      </c>
      <c r="B58" s="263" t="s">
        <v>238</v>
      </c>
      <c r="C58" s="263"/>
      <c r="D58" s="122">
        <v>1</v>
      </c>
      <c r="E58" s="62">
        <f>+'Calculation of Risk Weighted As'!E58-'Calculation of Risk Weighte нац'!E58</f>
        <v>0</v>
      </c>
      <c r="F58" s="62">
        <f>+'Calculation of Risk Weighted As'!F58-'Calculation of Risk Weighte нац'!F58</f>
        <v>0</v>
      </c>
      <c r="G58" s="62">
        <f>+'Calculation of Risk Weighted As'!G58-'Calculation of Risk Weighte нац'!G58</f>
        <v>0</v>
      </c>
      <c r="H58" s="62">
        <f>+'Calculation of Risk Weighted As'!H58-'Calculation of Risk Weighte нац'!H58</f>
        <v>0</v>
      </c>
      <c r="I58" s="99">
        <f>(F58*0.2)+(G58*0.5)+(H58*1)</f>
        <v>0</v>
      </c>
      <c r="J58" s="109"/>
      <c r="L58" s="252"/>
    </row>
    <row r="59" spans="1:12" s="98" customFormat="1">
      <c r="A59" s="248" t="s">
        <v>33</v>
      </c>
      <c r="B59" s="263" t="s">
        <v>239</v>
      </c>
      <c r="C59" s="263"/>
      <c r="D59" s="122">
        <v>0.5</v>
      </c>
      <c r="E59" s="62">
        <f>+'Calculation of Risk Weighted As'!E59-'Calculation of Risk Weighte нац'!E59</f>
        <v>0</v>
      </c>
      <c r="F59" s="62">
        <f>+'Calculation of Risk Weighted As'!F59-'Calculation of Risk Weighte нац'!F59</f>
        <v>0</v>
      </c>
      <c r="G59" s="62">
        <f>+'Calculation of Risk Weighted As'!G59-'Calculation of Risk Weighte нац'!G59</f>
        <v>0</v>
      </c>
      <c r="H59" s="62">
        <f>+'Calculation of Risk Weighted As'!H59-'Calculation of Risk Weighte нац'!H59</f>
        <v>0</v>
      </c>
      <c r="I59" s="99">
        <f>(F59*0.1)+(G59*0.25)+(H59*0.5)</f>
        <v>0</v>
      </c>
      <c r="J59" s="109"/>
      <c r="L59" s="252"/>
    </row>
    <row r="60" spans="1:12" s="98" customFormat="1" ht="12.75" customHeight="1">
      <c r="A60" s="248" t="s">
        <v>35</v>
      </c>
      <c r="B60" s="263" t="s">
        <v>240</v>
      </c>
      <c r="C60" s="263"/>
      <c r="D60" s="122">
        <v>0.2</v>
      </c>
      <c r="E60" s="62">
        <f>+'Calculation of Risk Weighted As'!E60-'Calculation of Risk Weighte нац'!E60</f>
        <v>0</v>
      </c>
      <c r="F60" s="62">
        <f>+'Calculation of Risk Weighted As'!F60-'Calculation of Risk Weighte нац'!F60</f>
        <v>0</v>
      </c>
      <c r="G60" s="62">
        <f>+'Calculation of Risk Weighted As'!G60-'Calculation of Risk Weighte нац'!G60</f>
        <v>0</v>
      </c>
      <c r="H60" s="62">
        <f>+'Calculation of Risk Weighted As'!H60-'Calculation of Risk Weighte нац'!H60</f>
        <v>0</v>
      </c>
      <c r="I60" s="99">
        <f>(F60*0.04)+(G60*0.1)+(H60*0.2)</f>
        <v>0</v>
      </c>
      <c r="L60" s="252"/>
    </row>
    <row r="61" spans="1:12" s="98" customFormat="1">
      <c r="A61" s="248" t="s">
        <v>42</v>
      </c>
      <c r="B61" s="263" t="s">
        <v>241</v>
      </c>
      <c r="C61" s="263"/>
      <c r="D61" s="122">
        <v>1</v>
      </c>
      <c r="E61" s="62">
        <f>+'Calculation of Risk Weighted As'!E61-'Calculation of Risk Weighte нац'!E61</f>
        <v>0</v>
      </c>
      <c r="F61" s="62">
        <f>+'Calculation of Risk Weighted As'!F61-'Calculation of Risk Weighte нац'!F61</f>
        <v>0</v>
      </c>
      <c r="G61" s="95"/>
      <c r="H61" s="62">
        <f>+'Calculation of Risk Weighted As'!H61-'Calculation of Risk Weighte нац'!H61</f>
        <v>22871109</v>
      </c>
      <c r="I61" s="99">
        <f>(F61*0.2)+(G61*0.5)+(H61*1)</f>
        <v>22871109</v>
      </c>
      <c r="J61" s="250">
        <f>SUM(E58:H61)</f>
        <v>22871109</v>
      </c>
      <c r="K61" s="251">
        <f>+[7]Commitments!$E$10</f>
        <v>22871109</v>
      </c>
      <c r="L61" s="252">
        <f>+J61-K61</f>
        <v>0</v>
      </c>
    </row>
    <row r="62" spans="1:12" s="98" customFormat="1">
      <c r="A62" s="248">
        <v>5</v>
      </c>
      <c r="B62" s="263" t="s">
        <v>277</v>
      </c>
      <c r="C62" s="263"/>
      <c r="D62" s="114"/>
      <c r="E62" s="95"/>
      <c r="F62" s="95"/>
      <c r="G62" s="95"/>
      <c r="H62" s="95"/>
      <c r="I62" s="100"/>
      <c r="J62" s="109"/>
      <c r="L62" s="252"/>
    </row>
    <row r="63" spans="1:12" s="98" customFormat="1">
      <c r="A63" s="248" t="s">
        <v>31</v>
      </c>
      <c r="B63" s="263" t="s">
        <v>242</v>
      </c>
      <c r="C63" s="263"/>
      <c r="D63" s="114"/>
      <c r="E63" s="95"/>
      <c r="F63" s="95"/>
      <c r="G63" s="95"/>
      <c r="H63" s="95"/>
      <c r="I63" s="100"/>
      <c r="J63" s="109"/>
      <c r="L63" s="252"/>
    </row>
    <row r="64" spans="1:12" s="98" customFormat="1">
      <c r="A64" s="248" t="s">
        <v>58</v>
      </c>
      <c r="B64" s="265" t="s">
        <v>243</v>
      </c>
      <c r="C64" s="265"/>
      <c r="D64" s="123">
        <v>5.0000000000000001E-3</v>
      </c>
      <c r="E64" s="62">
        <f>+'Calculation of Risk Weighted As'!E64-'Calculation of Risk Weighte нац'!E64</f>
        <v>0</v>
      </c>
      <c r="F64" s="62">
        <f>+'Calculation of Risk Weighted As'!F64-'Calculation of Risk Weighte нац'!F64</f>
        <v>0</v>
      </c>
      <c r="G64" s="62">
        <f>+'Calculation of Risk Weighted As'!G64-'Calculation of Risk Weighte нац'!G64</f>
        <v>0</v>
      </c>
      <c r="H64" s="62">
        <f>+'Calculation of Risk Weighted As'!H64-'Calculation of Risk Weighte нац'!H64</f>
        <v>0</v>
      </c>
      <c r="I64" s="99">
        <f>(F64*0.001)+(G64*0.0025)+(H64*0.005)</f>
        <v>0</v>
      </c>
      <c r="J64" s="109"/>
      <c r="L64" s="252"/>
    </row>
    <row r="65" spans="1:30" s="98" customFormat="1">
      <c r="A65" s="248" t="s">
        <v>59</v>
      </c>
      <c r="B65" s="265" t="s">
        <v>244</v>
      </c>
      <c r="C65" s="265"/>
      <c r="D65" s="122">
        <v>0.01</v>
      </c>
      <c r="E65" s="62">
        <f>+'Calculation of Risk Weighted As'!E65-'Calculation of Risk Weighte нац'!E65</f>
        <v>0</v>
      </c>
      <c r="F65" s="62">
        <f>+'Calculation of Risk Weighted As'!F65-'Calculation of Risk Weighte нац'!F65</f>
        <v>0</v>
      </c>
      <c r="G65" s="62">
        <f>+'Calculation of Risk Weighted As'!G65-'Calculation of Risk Weighte нац'!G65</f>
        <v>0</v>
      </c>
      <c r="H65" s="62">
        <f>+'Calculation of Risk Weighted As'!H65-'Calculation of Risk Weighte нац'!H65</f>
        <v>0</v>
      </c>
      <c r="I65" s="99">
        <f>(F65*0.002)+(G65*0.005)+(H65*0.01)</f>
        <v>0</v>
      </c>
      <c r="J65" s="109"/>
      <c r="L65" s="252"/>
    </row>
    <row r="66" spans="1:30" s="98" customFormat="1">
      <c r="A66" s="248" t="s">
        <v>60</v>
      </c>
      <c r="B66" s="265" t="s">
        <v>245</v>
      </c>
      <c r="C66" s="265"/>
      <c r="D66" s="122">
        <v>0.02</v>
      </c>
      <c r="E66" s="62">
        <f>+'Calculation of Risk Weighted As'!E66-'Calculation of Risk Weighte нац'!E66</f>
        <v>0</v>
      </c>
      <c r="F66" s="62">
        <f>+'Calculation of Risk Weighted As'!F66-'Calculation of Risk Weighte нац'!F66</f>
        <v>0</v>
      </c>
      <c r="G66" s="62">
        <f>+'Calculation of Risk Weighted As'!G66-'Calculation of Risk Weighte нац'!G66</f>
        <v>0</v>
      </c>
      <c r="H66" s="62">
        <f>+'Calculation of Risk Weighted As'!H66-'Calculation of Risk Weighte нац'!H66</f>
        <v>0</v>
      </c>
      <c r="I66" s="99">
        <f>(F66*0.004)+(G66*0.01)+(H66*0.02)</f>
        <v>0</v>
      </c>
      <c r="J66" s="109"/>
      <c r="L66" s="252"/>
    </row>
    <row r="67" spans="1:30" s="98" customFormat="1">
      <c r="A67" s="248" t="s">
        <v>33</v>
      </c>
      <c r="B67" s="263" t="s">
        <v>246</v>
      </c>
      <c r="C67" s="263"/>
      <c r="D67" s="114"/>
      <c r="E67" s="95"/>
      <c r="F67" s="95"/>
      <c r="G67" s="95"/>
      <c r="H67" s="95"/>
      <c r="I67" s="100"/>
      <c r="J67" s="109"/>
      <c r="L67" s="252"/>
    </row>
    <row r="68" spans="1:30" s="98" customFormat="1">
      <c r="A68" s="248" t="s">
        <v>61</v>
      </c>
      <c r="B68" s="265" t="s">
        <v>247</v>
      </c>
      <c r="C68" s="265"/>
      <c r="D68" s="122">
        <v>0.02</v>
      </c>
      <c r="E68" s="62">
        <f>+'Calculation of Risk Weighted As'!E68-'Calculation of Risk Weighte нац'!E68</f>
        <v>0</v>
      </c>
      <c r="F68" s="62">
        <f>+'Calculation of Risk Weighted As'!F68-'Calculation of Risk Weighte нац'!F68</f>
        <v>0</v>
      </c>
      <c r="G68" s="62">
        <f>+'Calculation of Risk Weighted As'!G68-'Calculation of Risk Weighte нац'!G68</f>
        <v>0</v>
      </c>
      <c r="H68" s="62">
        <f>+'Calculation of Risk Weighted As'!H68-'Calculation of Risk Weighte нац'!H68</f>
        <v>0</v>
      </c>
      <c r="I68" s="99">
        <f>(F68*0.004)+(G68*0.01)+(H68*0.02)</f>
        <v>0</v>
      </c>
      <c r="J68" s="250"/>
      <c r="K68" s="251"/>
      <c r="L68" s="252"/>
    </row>
    <row r="69" spans="1:30" s="98" customFormat="1">
      <c r="A69" s="248" t="s">
        <v>62</v>
      </c>
      <c r="B69" s="265" t="s">
        <v>248</v>
      </c>
      <c r="C69" s="265"/>
      <c r="D69" s="122">
        <v>0.05</v>
      </c>
      <c r="E69" s="62">
        <f>+'Calculation of Risk Weighted As'!E69-'Calculation of Risk Weighte нац'!E69</f>
        <v>0</v>
      </c>
      <c r="F69" s="62">
        <f>+'Calculation of Risk Weighted As'!F69-'Calculation of Risk Weighte нац'!F69</f>
        <v>0</v>
      </c>
      <c r="G69" s="62">
        <f>+'Calculation of Risk Weighted As'!G69-'Calculation of Risk Weighte нац'!G69</f>
        <v>0</v>
      </c>
      <c r="H69" s="62">
        <f>+'Calculation of Risk Weighted As'!H69-'Calculation of Risk Weighte нац'!H69</f>
        <v>0</v>
      </c>
      <c r="I69" s="99">
        <f>(F69*0.01)+(G69*0.025)+(H69*0.05)</f>
        <v>0</v>
      </c>
      <c r="J69" s="109"/>
    </row>
    <row r="70" spans="1:30" s="98" customFormat="1">
      <c r="A70" s="248" t="s">
        <v>63</v>
      </c>
      <c r="B70" s="265" t="s">
        <v>249</v>
      </c>
      <c r="C70" s="265"/>
      <c r="D70" s="122">
        <v>0.08</v>
      </c>
      <c r="E70" s="62">
        <f>+'Calculation of Risk Weighted As'!E70-'Calculation of Risk Weighte нац'!E70</f>
        <v>0</v>
      </c>
      <c r="F70" s="62">
        <f>+'Calculation of Risk Weighted As'!F70-'Calculation of Risk Weighte нац'!F70</f>
        <v>0</v>
      </c>
      <c r="G70" s="62">
        <f>+'Calculation of Risk Weighted As'!G70-'Calculation of Risk Weighte нац'!G70</f>
        <v>0</v>
      </c>
      <c r="H70" s="62">
        <f>+'Calculation of Risk Weighted As'!H70-'Calculation of Risk Weighte нац'!H70</f>
        <v>0</v>
      </c>
      <c r="I70" s="99">
        <f>(F70*0.016)+(G70*0.04)+(H70*0.08)</f>
        <v>0</v>
      </c>
      <c r="J70" s="109"/>
    </row>
    <row r="71" spans="1:30" s="98" customFormat="1">
      <c r="A71" s="248">
        <v>6</v>
      </c>
      <c r="B71" s="258" t="s">
        <v>250</v>
      </c>
      <c r="C71" s="259"/>
      <c r="D71" s="114"/>
      <c r="E71" s="94">
        <f>SUM(E53:E70)</f>
        <v>0</v>
      </c>
      <c r="F71" s="94">
        <f>SUM(F53:F70)</f>
        <v>0</v>
      </c>
      <c r="G71" s="94">
        <f>SUM(G53:G70)</f>
        <v>0</v>
      </c>
      <c r="H71" s="94">
        <f>SUM(H53:H70)</f>
        <v>375906958</v>
      </c>
      <c r="I71" s="100"/>
      <c r="J71" s="251">
        <f>+E71+F71+G71+H71</f>
        <v>375906958</v>
      </c>
      <c r="K71" s="251">
        <f>+[7]Commitments!$E$4+[7]Commitments!$E$7+[7]Commitments!$E$10+[7]Commitments!$E$19+[7]Commitments!$E$20+[7]Commitments!$E$21+[7]Commitments!$E$22</f>
        <v>375906958</v>
      </c>
      <c r="L71" s="253">
        <f>+J71-K71</f>
        <v>0</v>
      </c>
      <c r="M71" s="251"/>
    </row>
    <row r="72" spans="1:30" s="98" customFormat="1">
      <c r="A72" s="248">
        <v>7</v>
      </c>
      <c r="B72" s="258" t="s">
        <v>251</v>
      </c>
      <c r="C72" s="259"/>
      <c r="D72" s="114"/>
      <c r="E72" s="95"/>
      <c r="F72" s="95"/>
      <c r="G72" s="95"/>
      <c r="H72" s="95"/>
      <c r="I72" s="99">
        <f>SUM(I53:I70)</f>
        <v>366610144.5</v>
      </c>
      <c r="J72" s="109"/>
    </row>
    <row r="73" spans="1:30" s="98" customFormat="1" ht="13.5" thickBot="1">
      <c r="A73" s="200">
        <v>8</v>
      </c>
      <c r="B73" s="260" t="s">
        <v>252</v>
      </c>
      <c r="C73" s="261"/>
      <c r="D73" s="115"/>
      <c r="E73" s="96"/>
      <c r="F73" s="96"/>
      <c r="G73" s="96"/>
      <c r="H73" s="96"/>
      <c r="I73" s="101">
        <f>SUM(I72+I44)</f>
        <v>4594587865.3999996</v>
      </c>
      <c r="J73" s="109">
        <f>+I73*0.15</f>
        <v>689188179.80999994</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B59:C59"/>
    <mergeCell ref="B71:C71"/>
    <mergeCell ref="B72:C72"/>
    <mergeCell ref="B73:C73"/>
    <mergeCell ref="B60:C60"/>
    <mergeCell ref="B61:C61"/>
    <mergeCell ref="B62:C62"/>
    <mergeCell ref="B63:C63"/>
    <mergeCell ref="B64:C64"/>
    <mergeCell ref="B65:C65"/>
    <mergeCell ref="B66:C66"/>
    <mergeCell ref="B67:C67"/>
    <mergeCell ref="B68:C68"/>
    <mergeCell ref="B69:C69"/>
    <mergeCell ref="B70:C70"/>
    <mergeCell ref="I47:I49"/>
    <mergeCell ref="B50:C50"/>
    <mergeCell ref="B56:C56"/>
    <mergeCell ref="B57:C57"/>
    <mergeCell ref="B58:C58"/>
    <mergeCell ref="B53:C53"/>
    <mergeCell ref="B54:C54"/>
    <mergeCell ref="B55:C55"/>
    <mergeCell ref="B51:C51"/>
    <mergeCell ref="A3:A5"/>
    <mergeCell ref="B3:B5"/>
    <mergeCell ref="B52:C52"/>
    <mergeCell ref="A1:H1"/>
    <mergeCell ref="G2:H2"/>
    <mergeCell ref="A47:A50"/>
    <mergeCell ref="B47:C49"/>
    <mergeCell ref="D47:D49"/>
    <mergeCell ref="H47:H48"/>
    <mergeCell ref="G47:G48"/>
    <mergeCell ref="F47:F48"/>
    <mergeCell ref="E47:E48"/>
  </mergeCells>
  <conditionalFormatting sqref="J42">
    <cfRule type="cellIs" dxfId="13" priority="17" operator="notEqual">
      <formula>K42</formula>
    </cfRule>
  </conditionalFormatting>
  <conditionalFormatting sqref="J54">
    <cfRule type="cellIs" dxfId="12" priority="15" operator="notEqual">
      <formula>K54</formula>
    </cfRule>
  </conditionalFormatting>
  <conditionalFormatting sqref="J56">
    <cfRule type="cellIs" dxfId="11" priority="14" operator="notEqual">
      <formula>K56</formula>
    </cfRule>
  </conditionalFormatting>
  <conditionalFormatting sqref="J61">
    <cfRule type="cellIs" dxfId="10" priority="13" operator="notEqual">
      <formula>K61</formula>
    </cfRule>
  </conditionalFormatting>
  <conditionalFormatting sqref="J68">
    <cfRule type="cellIs" dxfId="9" priority="12" operator="notEqual">
      <formula>K68</formula>
    </cfRule>
  </conditionalFormatting>
  <conditionalFormatting sqref="C8:I13 C14 E14:I14 C41:I44 C30:G30 I30 C40:G40 C15:I29 I40 C31:I38">
    <cfRule type="cellIs" dxfId="8" priority="11" operator="lessThan">
      <formula>0</formula>
    </cfRule>
  </conditionalFormatting>
  <conditionalFormatting sqref="E53:I73">
    <cfRule type="cellIs" dxfId="7" priority="10" operator="lessThan">
      <formula>0</formula>
    </cfRule>
  </conditionalFormatting>
  <conditionalFormatting sqref="D39:F39 H39">
    <cfRule type="cellIs" dxfId="6" priority="8" operator="lessThan">
      <formula>0</formula>
    </cfRule>
  </conditionalFormatting>
  <conditionalFormatting sqref="D14">
    <cfRule type="cellIs" dxfId="5" priority="6" operator="lessThan">
      <formula>0</formula>
    </cfRule>
  </conditionalFormatting>
  <conditionalFormatting sqref="H30">
    <cfRule type="cellIs" dxfId="4" priority="5" operator="lessThan">
      <formula>0</formula>
    </cfRule>
  </conditionalFormatting>
  <conditionalFormatting sqref="H40">
    <cfRule type="cellIs" dxfId="3" priority="4" operator="lessThan">
      <formula>0</formula>
    </cfRule>
  </conditionalFormatting>
  <conditionalFormatting sqref="I39">
    <cfRule type="cellIs" dxfId="2" priority="3" operator="lessThan">
      <formula>0</formula>
    </cfRule>
  </conditionalFormatting>
  <conditionalFormatting sqref="G39">
    <cfRule type="cellIs" dxfId="1" priority="2" operator="lessThan">
      <formula>0</formula>
    </cfRule>
  </conditionalFormatting>
  <conditionalFormatting sqref="C39">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5:G55 H60:H61 E58:H59 C8 E68:H70 E64:H66 E55:E56 E60:E61 F60:G60 E53:H54 H55:H56 H17:H18 E27:G27 F17:F18 C10 G35:I35 H27:H29 F20 F61 H34:I34 C20:D20 D9:D11 F11:H11 G37:G39 D24 C36 C13:D18 F56 G31:G34 H20 F15:H16 C41:H41 G28:G29 G26:I26 G17:G20 I39:I41 I27:I30 C22:C25 C38:C39">
      <formula1>-1E+22</formula1>
      <formula2>1E+22</formula2>
    </dataValidation>
    <dataValidation type="whole" operator="greaterThanOrEqual" allowBlank="1" showInputMessage="1" showErrorMessage="1" sqref="E57:H57 G56 E67:H67 E62:H63 G6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AD32"/>
  <sheetViews>
    <sheetView tabSelected="1" view="pageBreakPreview" zoomScaleSheetLayoutView="100" workbookViewId="0">
      <selection activeCell="C23" sqref="C23"/>
    </sheetView>
  </sheetViews>
  <sheetFormatPr defaultRowHeight="12.75"/>
  <cols>
    <col min="1" max="1" width="8.85546875" style="117" customWidth="1"/>
    <col min="2" max="2" width="58.42578125" style="117" bestFit="1" customWidth="1"/>
    <col min="3" max="3" width="21.28515625" style="202" customWidth="1"/>
    <col min="4" max="4" width="15.5703125" style="218" customWidth="1"/>
    <col min="5" max="5" width="42" style="218" bestFit="1" customWidth="1"/>
    <col min="6" max="6" width="9.140625" style="218"/>
    <col min="7" max="7" width="10.5703125" style="218" bestFit="1" customWidth="1"/>
    <col min="8" max="8" width="9.140625" style="221"/>
    <col min="9" max="13" width="15.7109375" style="221" customWidth="1"/>
    <col min="14" max="14" width="9.140625" style="218"/>
    <col min="15" max="16384" width="9.140625" style="117"/>
  </cols>
  <sheetData>
    <row r="1" spans="1:15" s="116" customFormat="1" ht="48.75" customHeight="1">
      <c r="A1" s="281" t="s">
        <v>258</v>
      </c>
      <c r="B1" s="281"/>
      <c r="C1" s="201" t="s">
        <v>257</v>
      </c>
      <c r="D1" s="217"/>
      <c r="E1" s="226"/>
      <c r="F1" s="226"/>
      <c r="G1" s="226"/>
      <c r="H1" s="227"/>
      <c r="I1" s="228" t="s">
        <v>272</v>
      </c>
      <c r="J1" s="228" t="s">
        <v>273</v>
      </c>
      <c r="K1" s="228" t="s">
        <v>274</v>
      </c>
      <c r="L1" s="228" t="s">
        <v>275</v>
      </c>
      <c r="M1" s="228" t="s">
        <v>276</v>
      </c>
      <c r="N1" s="229"/>
      <c r="O1" s="226"/>
    </row>
    <row r="2" spans="1:15" ht="7.5" customHeight="1">
      <c r="B2" s="119" t="str">
        <f>IF(C3&gt;0," "&amp;TEXT(C3,"д ММММ, гггг"),"Число,Месяц,Год")</f>
        <v xml:space="preserve"> 31 Декабрь, 2022</v>
      </c>
      <c r="E2" s="230"/>
      <c r="F2" s="230"/>
      <c r="G2" s="230"/>
      <c r="H2" s="231"/>
      <c r="I2" s="231"/>
      <c r="J2" s="231"/>
      <c r="K2" s="231"/>
      <c r="L2" s="231"/>
      <c r="M2" s="231"/>
      <c r="N2" s="230"/>
      <c r="O2" s="230"/>
    </row>
    <row r="3" spans="1:15" ht="15.75" customHeight="1">
      <c r="B3" s="203" t="str">
        <f>+'Bank Capital Calc'!B3</f>
        <v xml:space="preserve">МКБАНК </v>
      </c>
      <c r="C3" s="242">
        <f>+'Bank Capital Calc'!C3</f>
        <v>44926</v>
      </c>
      <c r="E3" s="230"/>
      <c r="F3" s="230"/>
      <c r="G3" s="230"/>
      <c r="H3" s="232"/>
      <c r="I3" s="231"/>
      <c r="J3" s="231"/>
      <c r="K3" s="231"/>
      <c r="L3" s="231"/>
      <c r="M3" s="231"/>
      <c r="N3" s="230"/>
      <c r="O3" s="230"/>
    </row>
    <row r="4" spans="1:15" ht="43.5" customHeight="1">
      <c r="A4" s="67" t="s">
        <v>52</v>
      </c>
      <c r="B4" s="67" t="s">
        <v>259</v>
      </c>
      <c r="C4" s="67" t="s">
        <v>271</v>
      </c>
      <c r="E4" s="230"/>
      <c r="F4" s="230"/>
      <c r="G4" s="230"/>
      <c r="H4" s="232"/>
      <c r="I4" s="231"/>
      <c r="J4" s="231"/>
      <c r="K4" s="231"/>
      <c r="L4" s="231"/>
      <c r="M4" s="231"/>
      <c r="N4" s="230"/>
      <c r="O4" s="230"/>
    </row>
    <row r="5" spans="1:15" ht="21.75" customHeight="1">
      <c r="A5" s="204" t="s">
        <v>55</v>
      </c>
      <c r="B5" s="205" t="str">
        <f>+""&amp;(E$10-3)&amp;" йилдаги банкнинг ялпи  даромади"</f>
        <v>2019 йилдаги банкнинг ялпи  даромади</v>
      </c>
      <c r="C5" s="206">
        <f>+C6+C8-C7-C9</f>
        <v>442429704</v>
      </c>
      <c r="E5" s="230"/>
      <c r="F5" s="230"/>
      <c r="G5" s="230"/>
      <c r="H5" s="232"/>
      <c r="I5" s="231"/>
      <c r="J5" s="231"/>
      <c r="K5" s="231"/>
      <c r="L5" s="231"/>
      <c r="M5" s="231"/>
      <c r="N5" s="230"/>
      <c r="O5" s="230"/>
    </row>
    <row r="6" spans="1:15" ht="21.75" customHeight="1">
      <c r="A6" s="204" t="s">
        <v>56</v>
      </c>
      <c r="B6" s="207" t="s">
        <v>260</v>
      </c>
      <c r="C6" s="208">
        <v>721477049</v>
      </c>
      <c r="E6" s="230"/>
      <c r="F6" s="230"/>
      <c r="G6" s="230"/>
      <c r="H6" s="232"/>
      <c r="I6" s="231"/>
      <c r="J6" s="231"/>
      <c r="K6" s="231"/>
      <c r="L6" s="231"/>
      <c r="M6" s="231"/>
      <c r="N6" s="230"/>
      <c r="O6" s="230"/>
    </row>
    <row r="7" spans="1:15" ht="21.75" customHeight="1">
      <c r="A7" s="204" t="s">
        <v>15</v>
      </c>
      <c r="B7" s="207" t="s">
        <v>261</v>
      </c>
      <c r="C7" s="208">
        <v>403296964</v>
      </c>
      <c r="E7" s="230"/>
      <c r="F7" s="230"/>
      <c r="G7" s="230"/>
      <c r="H7" s="232"/>
      <c r="I7" s="231"/>
      <c r="J7" s="231"/>
      <c r="K7" s="231"/>
      <c r="L7" s="231"/>
      <c r="M7" s="231"/>
      <c r="N7" s="230"/>
      <c r="O7" s="230"/>
    </row>
    <row r="8" spans="1:15" ht="21.75" customHeight="1">
      <c r="A8" s="204" t="s">
        <v>16</v>
      </c>
      <c r="B8" s="207" t="s">
        <v>262</v>
      </c>
      <c r="C8" s="208">
        <v>216790378</v>
      </c>
      <c r="E8" s="230">
        <v>2022</v>
      </c>
      <c r="F8" s="230"/>
      <c r="G8" s="230"/>
      <c r="H8" s="231"/>
      <c r="I8" s="231"/>
      <c r="J8" s="231"/>
      <c r="K8" s="231"/>
      <c r="L8" s="231"/>
      <c r="M8" s="231"/>
      <c r="N8" s="230"/>
      <c r="O8" s="230"/>
    </row>
    <row r="9" spans="1:15" ht="21.75" customHeight="1">
      <c r="A9" s="204" t="s">
        <v>123</v>
      </c>
      <c r="B9" s="207" t="s">
        <v>263</v>
      </c>
      <c r="C9" s="208">
        <v>92540759</v>
      </c>
      <c r="E9" s="230"/>
      <c r="F9" s="230"/>
      <c r="G9" s="230"/>
      <c r="H9" s="231"/>
      <c r="I9" s="231"/>
      <c r="J9" s="231"/>
      <c r="K9" s="231"/>
      <c r="L9" s="231"/>
      <c r="M9" s="231"/>
      <c r="N9" s="230"/>
      <c r="O9" s="230"/>
    </row>
    <row r="10" spans="1:15" ht="21.75" customHeight="1">
      <c r="A10" s="204" t="s">
        <v>65</v>
      </c>
      <c r="B10" s="205" t="str">
        <f>+""&amp;(E$10-2)&amp;" йилдаги банкнинг ялпи  даромади"</f>
        <v>2020 йилдаги банкнинг ялпи  даромади</v>
      </c>
      <c r="C10" s="206">
        <f>+C11+C13-C12-C14</f>
        <v>707692580</v>
      </c>
      <c r="E10" s="230">
        <f>IF(E8&gt;H10,H9,E8)</f>
        <v>2022</v>
      </c>
      <c r="F10" s="230"/>
      <c r="G10" s="230"/>
      <c r="H10" s="231">
        <v>2022</v>
      </c>
      <c r="I10" s="231">
        <v>13</v>
      </c>
      <c r="J10" s="231">
        <v>10</v>
      </c>
      <c r="K10" s="231">
        <v>0.8</v>
      </c>
      <c r="L10" s="231">
        <v>100</v>
      </c>
      <c r="M10" s="231">
        <v>100</v>
      </c>
      <c r="N10" s="230"/>
      <c r="O10" s="230"/>
    </row>
    <row r="11" spans="1:15" ht="21.75" customHeight="1">
      <c r="A11" s="204" t="s">
        <v>56</v>
      </c>
      <c r="B11" s="207" t="s">
        <v>264</v>
      </c>
      <c r="C11" s="208">
        <v>1400863007</v>
      </c>
      <c r="E11" s="230"/>
      <c r="F11" s="230"/>
      <c r="G11" s="230"/>
      <c r="H11" s="231"/>
      <c r="I11" s="231"/>
      <c r="J11" s="231"/>
      <c r="K11" s="231"/>
      <c r="L11" s="231"/>
      <c r="M11" s="231"/>
      <c r="N11" s="230"/>
      <c r="O11" s="230"/>
    </row>
    <row r="12" spans="1:15" ht="21.75" customHeight="1">
      <c r="A12" s="204" t="s">
        <v>15</v>
      </c>
      <c r="B12" s="207" t="s">
        <v>261</v>
      </c>
      <c r="C12" s="208">
        <v>874004311</v>
      </c>
      <c r="E12" s="230"/>
      <c r="F12" s="230"/>
      <c r="G12" s="230"/>
      <c r="H12" s="231"/>
      <c r="I12" s="231"/>
      <c r="J12" s="231"/>
      <c r="K12" s="231"/>
      <c r="L12" s="231"/>
      <c r="M12" s="231"/>
      <c r="N12" s="230"/>
      <c r="O12" s="230"/>
    </row>
    <row r="13" spans="1:15" ht="21.75" customHeight="1">
      <c r="A13" s="204" t="s">
        <v>16</v>
      </c>
      <c r="B13" s="207" t="s">
        <v>262</v>
      </c>
      <c r="C13" s="208">
        <v>323147403</v>
      </c>
      <c r="E13" s="230"/>
      <c r="F13" s="230"/>
      <c r="G13" s="230"/>
      <c r="H13" s="231"/>
      <c r="I13" s="231"/>
      <c r="J13" s="231"/>
      <c r="K13" s="231"/>
      <c r="L13" s="231"/>
      <c r="M13" s="231"/>
      <c r="N13" s="230"/>
      <c r="O13" s="230"/>
    </row>
    <row r="14" spans="1:15" ht="21.75" customHeight="1">
      <c r="A14" s="204" t="s">
        <v>123</v>
      </c>
      <c r="B14" s="207" t="s">
        <v>263</v>
      </c>
      <c r="C14" s="208">
        <v>142313519</v>
      </c>
      <c r="E14" s="230"/>
      <c r="F14" s="230"/>
      <c r="G14" s="230"/>
      <c r="H14" s="231"/>
      <c r="I14" s="231"/>
      <c r="J14" s="231"/>
      <c r="K14" s="231"/>
      <c r="L14" s="231"/>
      <c r="M14" s="231"/>
      <c r="N14" s="230"/>
      <c r="O14" s="230"/>
    </row>
    <row r="15" spans="1:15" ht="21.75" customHeight="1">
      <c r="A15" s="204" t="s">
        <v>66</v>
      </c>
      <c r="B15" s="205" t="str">
        <f>+""&amp;(E$10-1)&amp;" йилдаги банкнинг ялпи  даромади"</f>
        <v>2021 йилдаги банкнинг ялпи  даромади</v>
      </c>
      <c r="C15" s="206">
        <f>+C16+C18-C17-C19</f>
        <v>38443086.105919838</v>
      </c>
      <c r="E15" s="230"/>
      <c r="F15" s="230"/>
      <c r="G15" s="230"/>
      <c r="H15" s="231"/>
      <c r="I15" s="231"/>
      <c r="J15" s="231"/>
      <c r="K15" s="231"/>
      <c r="L15" s="231"/>
      <c r="M15" s="231"/>
      <c r="N15" s="230"/>
      <c r="O15" s="230"/>
    </row>
    <row r="16" spans="1:15" ht="21.75" customHeight="1">
      <c r="A16" s="204" t="s">
        <v>56</v>
      </c>
      <c r="B16" s="207" t="s">
        <v>264</v>
      </c>
      <c r="C16" s="208">
        <v>2192794900</v>
      </c>
    </row>
    <row r="17" spans="1:30" ht="21.75" customHeight="1">
      <c r="A17" s="204" t="s">
        <v>15</v>
      </c>
      <c r="B17" s="207" t="s">
        <v>261</v>
      </c>
      <c r="C17" s="208">
        <v>1567535673</v>
      </c>
    </row>
    <row r="18" spans="1:30" ht="21.75" customHeight="1">
      <c r="A18" s="204" t="s">
        <v>16</v>
      </c>
      <c r="B18" s="207" t="s">
        <v>262</v>
      </c>
      <c r="C18" s="208">
        <v>548462656</v>
      </c>
    </row>
    <row r="19" spans="1:30" ht="21.75" customHeight="1">
      <c r="A19" s="204" t="s">
        <v>123</v>
      </c>
      <c r="B19" s="207" t="s">
        <v>263</v>
      </c>
      <c r="C19" s="208">
        <v>1135278796.8940802</v>
      </c>
    </row>
    <row r="20" spans="1:30" ht="31.5" customHeight="1">
      <c r="A20" s="204" t="s">
        <v>67</v>
      </c>
      <c r="B20" s="209" t="s">
        <v>265</v>
      </c>
      <c r="C20" s="206">
        <f>(C5+C10+C15)/3</f>
        <v>396188456.70197326</v>
      </c>
    </row>
    <row r="21" spans="1:30" ht="22.5" customHeight="1">
      <c r="A21" s="204" t="s">
        <v>68</v>
      </c>
      <c r="B21" s="209" t="s">
        <v>266</v>
      </c>
      <c r="C21" s="210">
        <f>+(100/C28)*C20*15%</f>
        <v>457140526.96381527</v>
      </c>
    </row>
    <row r="22" spans="1:30" ht="13.5" customHeight="1">
      <c r="A22" s="67"/>
      <c r="B22" s="67"/>
      <c r="C22" s="67"/>
    </row>
    <row r="23" spans="1:30" ht="21.75" customHeight="1">
      <c r="A23" s="204" t="s">
        <v>69</v>
      </c>
      <c r="B23" s="207" t="s">
        <v>267</v>
      </c>
      <c r="C23" s="208">
        <v>269675605</v>
      </c>
    </row>
    <row r="24" spans="1:30" ht="21.75" customHeight="1">
      <c r="A24" s="204" t="s">
        <v>70</v>
      </c>
      <c r="B24" s="207" t="s">
        <v>280</v>
      </c>
      <c r="C24" s="208">
        <v>0</v>
      </c>
      <c r="D24" s="239" t="s">
        <v>282</v>
      </c>
    </row>
    <row r="25" spans="1:30" ht="22.5" customHeight="1">
      <c r="A25" s="204" t="s">
        <v>71</v>
      </c>
      <c r="B25" s="207" t="s">
        <v>281</v>
      </c>
      <c r="C25" s="208">
        <v>0</v>
      </c>
      <c r="D25" s="239" t="s">
        <v>283</v>
      </c>
    </row>
    <row r="26" spans="1:30" ht="22.5" customHeight="1">
      <c r="A26" s="204" t="s">
        <v>72</v>
      </c>
      <c r="B26" s="211" t="s">
        <v>268</v>
      </c>
      <c r="C26" s="206">
        <f>ABS(C23+(C24-C25))</f>
        <v>269675605</v>
      </c>
      <c r="D26" s="233">
        <f>+C26*0.1</f>
        <v>26967560.5</v>
      </c>
      <c r="E26" s="219"/>
      <c r="F26" s="219"/>
      <c r="G26" s="219"/>
      <c r="H26" s="222"/>
      <c r="I26" s="222"/>
      <c r="J26" s="222"/>
      <c r="K26" s="222"/>
      <c r="L26" s="222"/>
      <c r="M26" s="222"/>
      <c r="N26" s="219"/>
      <c r="O26" s="212"/>
      <c r="P26" s="212"/>
    </row>
    <row r="27" spans="1:30" ht="22.5" customHeight="1">
      <c r="A27" s="204" t="s">
        <v>79</v>
      </c>
      <c r="B27" s="213" t="s">
        <v>269</v>
      </c>
      <c r="C27" s="206">
        <f>+(100/C28)*(C26*10%)</f>
        <v>207442773.07692307</v>
      </c>
    </row>
    <row r="28" spans="1:30" s="214" customFormat="1" ht="14.25">
      <c r="A28" s="204" t="s">
        <v>80</v>
      </c>
      <c r="B28" s="207" t="s">
        <v>270</v>
      </c>
      <c r="C28" s="224">
        <f>VLOOKUP($E$10,$H$3:$I$10,2,0)</f>
        <v>13</v>
      </c>
      <c r="D28" s="218"/>
      <c r="E28" s="218"/>
      <c r="F28" s="218"/>
      <c r="G28" s="218"/>
      <c r="H28" s="221"/>
      <c r="I28" s="221"/>
      <c r="J28" s="221"/>
      <c r="K28" s="221"/>
      <c r="L28" s="221"/>
      <c r="M28" s="221"/>
      <c r="N28" s="218"/>
      <c r="O28" s="117"/>
      <c r="P28" s="117"/>
    </row>
    <row r="29" spans="1:30" ht="17.25" customHeight="1">
      <c r="D29" s="220"/>
      <c r="E29" s="220"/>
      <c r="F29" s="220"/>
      <c r="G29" s="220"/>
      <c r="H29" s="223"/>
      <c r="I29" s="223"/>
      <c r="J29" s="223"/>
      <c r="K29" s="223"/>
      <c r="L29" s="223"/>
      <c r="M29" s="223"/>
      <c r="N29" s="220"/>
      <c r="O29" s="214"/>
      <c r="P29" s="214"/>
    </row>
    <row r="30" spans="1:30" s="237" customFormat="1" ht="15" customHeight="1">
      <c r="A30" s="235"/>
      <c r="B30" s="238" t="s">
        <v>278</v>
      </c>
      <c r="C30" s="235"/>
      <c r="D30" s="235"/>
      <c r="E30" s="235"/>
      <c r="F30" s="236"/>
      <c r="G30" s="236"/>
      <c r="H30" s="236"/>
      <c r="I30" s="236"/>
      <c r="J30" s="236"/>
      <c r="K30" s="236"/>
      <c r="L30" s="236"/>
      <c r="M30" s="236"/>
      <c r="N30" s="235"/>
      <c r="O30" s="235"/>
      <c r="P30" s="235"/>
      <c r="Q30" s="235"/>
      <c r="R30" s="235"/>
      <c r="S30" s="235"/>
      <c r="T30" s="235"/>
      <c r="U30" s="235"/>
      <c r="V30" s="235"/>
      <c r="W30" s="235"/>
      <c r="X30" s="235"/>
      <c r="Y30" s="235"/>
      <c r="Z30" s="235"/>
      <c r="AA30" s="235"/>
      <c r="AB30" s="235"/>
      <c r="AC30" s="235"/>
      <c r="AD30" s="235"/>
    </row>
    <row r="31" spans="1:30" s="237" customFormat="1" ht="11.25" customHeight="1">
      <c r="A31" s="235"/>
      <c r="B31" s="238"/>
      <c r="C31" s="235"/>
      <c r="D31" s="235"/>
      <c r="E31" s="235"/>
      <c r="F31" s="236"/>
      <c r="G31" s="236"/>
      <c r="H31" s="236"/>
      <c r="I31" s="236"/>
      <c r="J31" s="236"/>
      <c r="K31" s="236"/>
      <c r="L31" s="236"/>
      <c r="M31" s="236"/>
      <c r="N31" s="235"/>
      <c r="O31" s="235"/>
      <c r="P31" s="235"/>
      <c r="Q31" s="235"/>
      <c r="R31" s="235"/>
      <c r="S31" s="235"/>
      <c r="T31" s="235"/>
      <c r="U31" s="235"/>
      <c r="V31" s="235"/>
      <c r="W31" s="235"/>
      <c r="X31" s="235"/>
      <c r="Y31" s="235"/>
      <c r="Z31" s="235"/>
      <c r="AA31" s="235"/>
      <c r="AB31" s="235"/>
      <c r="AC31" s="235"/>
      <c r="AD31" s="235"/>
    </row>
    <row r="32" spans="1:30" s="237" customFormat="1" ht="15" customHeight="1">
      <c r="A32" s="235"/>
      <c r="B32" s="238" t="s">
        <v>279</v>
      </c>
      <c r="C32" s="235"/>
      <c r="D32" s="235"/>
      <c r="E32" s="235"/>
      <c r="F32" s="236"/>
      <c r="G32" s="236"/>
      <c r="H32" s="236"/>
      <c r="I32" s="236"/>
      <c r="J32" s="236"/>
      <c r="K32" s="236"/>
      <c r="L32" s="236"/>
      <c r="M32" s="236"/>
      <c r="N32" s="235"/>
      <c r="O32" s="235"/>
      <c r="P32" s="235"/>
      <c r="Q32" s="235"/>
      <c r="R32" s="235"/>
      <c r="S32" s="235"/>
      <c r="T32" s="235"/>
      <c r="U32" s="235"/>
      <c r="V32" s="235"/>
      <c r="W32" s="235"/>
      <c r="X32" s="235"/>
      <c r="Y32" s="235"/>
      <c r="Z32" s="235"/>
      <c r="AA32" s="235"/>
      <c r="AB32" s="235"/>
      <c r="AC32" s="235"/>
      <c r="AD32" s="235"/>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Ulugbek Abrahmatov</cp:lastModifiedBy>
  <cp:lastPrinted>2023-06-12T12:14:46Z</cp:lastPrinted>
  <dcterms:created xsi:type="dcterms:W3CDTF">2014-01-27T05:06:32Z</dcterms:created>
  <dcterms:modified xsi:type="dcterms:W3CDTF">2024-11-15T11:55:45Z</dcterms:modified>
</cp:coreProperties>
</file>