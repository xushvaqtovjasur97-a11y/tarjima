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услан\ҳРуслан-Академия-05.04.2023\Руслан-2023\Докторлик диссертация\Докторлик дис-14.06.2023\Банклар маълумоти\Микрокредитбанк-31.12.2016-31.12.2023\2022-йўқ\"/>
    </mc:Choice>
  </mc:AlternateContent>
  <xr:revisionPtr revIDLastSave="0" documentId="13_ncr:1_{8E4A4C7C-ACF1-44FD-B875-639BB195AFC4}" xr6:coauthVersionLast="47" xr6:coauthVersionMax="47" xr10:uidLastSave="{00000000-0000-0000-0000-000000000000}"/>
  <bookViews>
    <workbookView xWindow="1920" yWindow="345" windowWidth="13470" windowHeight="10455" xr2:uid="{00000000-000D-0000-FFFF-FFFF00000000}"/>
  </bookViews>
  <sheets>
    <sheet name="баланс" sheetId="6" r:id="rId1"/>
    <sheet name="Income" sheetId="9" r:id="rId2"/>
    <sheet name="17" sheetId="7" r:id="rId3"/>
    <sheet name="Мажбуриятлар тарикиби" sheetId="8" r:id="rId4"/>
    <sheet name="Иқт. норм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<sst xmlns="http://schemas.openxmlformats.org/spreadsheetml/2006/main" count="690" uniqueCount="449">
  <si>
    <t>БАНК БАЛАНСИ ТАРКИБИ</t>
  </si>
  <si>
    <t>1-жадвал</t>
  </si>
  <si>
    <t>минг сўмда</t>
  </si>
  <si>
    <t>№</t>
  </si>
  <si>
    <t>АКТИВЛАР</t>
  </si>
  <si>
    <t>Жами</t>
  </si>
  <si>
    <t>Миллий валютада</t>
  </si>
  <si>
    <t>Хорижий валютада
(сўм экв.)</t>
  </si>
  <si>
    <t>Кассадаги нақд пул ва бошқа тўлов ҳужжатлари</t>
  </si>
  <si>
    <t>Банкнинг Марказий банкдаги маблағлари</t>
  </si>
  <si>
    <t>Бошқа банклар ва молиявий ташкилотлардан олиниши лозим бўлган маблағлар, соф</t>
  </si>
  <si>
    <t>3.1</t>
  </si>
  <si>
    <t>Бошқа банклар ва молиявий ташкилотлардан олиниши лозим бўлган маблағлар, брутто</t>
  </si>
  <si>
    <t>3.2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</si>
  <si>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</si>
  <si>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</si>
  <si>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4.1</t>
  </si>
  <si>
    <t>Қимматли қоғозлар ва уларга қилинган  инвестициялар, брутто</t>
  </si>
  <si>
    <t>4.2</t>
  </si>
  <si>
    <t>Қимматли қоғозлар бўйича харажатлар, дисконт, мукофот ва уларнинг ҳаққоний қийматининг ўзгариши</t>
  </si>
  <si>
    <t>4.3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</si>
  <si>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</si>
  <si>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</si>
  <si>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</si>
  <si>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</si>
  <si>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</si>
  <si>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</si>
  <si>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</si>
  <si>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</si>
  <si>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</si>
  <si>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Инвестициялар бўйича харажатлар, дисконт ва мукофот</t>
  </si>
  <si>
    <t>6.3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</si>
  <si>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</si>
  <si>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</si>
  <si>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</si>
  <si>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</si>
  <si>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</si>
  <si>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</si>
  <si>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</si>
  <si>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</si>
  <si>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</si>
  <si>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</si>
  <si>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</si>
  <si>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</si>
  <si>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</si>
  <si>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</si>
  <si>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</si>
  <si>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</si>
  <si>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</si>
  <si>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</si>
  <si>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</si>
  <si>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</si>
  <si>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</si>
  <si>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</si>
  <si>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</si>
  <si>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</si>
  <si>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</si>
  <si>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Минус: Йиғилган эскириш суммаси ва кўрилиши мумкин бўлган зарарларни қоплаш захираси</t>
  </si>
  <si>
    <t>Стандарт деб таснифланган активлар бўйича яратилган захиралар</t>
  </si>
  <si>
    <t>13.1</t>
  </si>
  <si>
    <t>Стандарт деб таснифланган кредитлар, лизинг ва факторинг бўйича захира</t>
  </si>
  <si>
    <t>13.2</t>
  </si>
  <si>
    <t>Стандарт деб таснифланган бошқа активлар бўйича захира</t>
  </si>
  <si>
    <t>13.3</t>
  </si>
  <si>
    <t xml:space="preserve">Стандарт деб таснифланган активлар бўйича фоизлар ва воситачилик ҳақларига оид захира 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</si>
  <si>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</si>
  <si>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</si>
  <si>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</si>
  <si>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</si>
  <si>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</si>
  <si>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</si>
  <si>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</si>
  <si>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</si>
  <si>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</si>
  <si>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</si>
  <si>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</si>
  <si>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</si>
  <si>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</si>
  <si>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</si>
  <si>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</si>
  <si>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</si>
  <si>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</si>
  <si>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</si>
  <si>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</si>
  <si>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</si>
  <si>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</si>
  <si>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</si>
  <si>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</si>
  <si>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</si>
  <si>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 xml:space="preserve">Субординар қарз 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</si>
  <si>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</si>
  <si>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</si>
  <si>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</si>
  <si>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</si>
  <si>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</si>
  <si>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</si>
  <si>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</si>
  <si>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</si>
  <si>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</si>
  <si>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</si>
  <si>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</si>
  <si>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</si>
  <si>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</si>
  <si>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</si>
  <si>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</si>
  <si>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</si>
  <si>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</si>
  <si>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</si>
  <si>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</si>
  <si>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</si>
  <si>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 xml:space="preserve">Қўшилган капитал </t>
  </si>
  <si>
    <t>32</t>
  </si>
  <si>
    <t>Захира капитали</t>
  </si>
  <si>
    <t>32.1</t>
  </si>
  <si>
    <t>Умумий захира фонди</t>
  </si>
  <si>
    <t>32.2</t>
  </si>
  <si>
    <t>Стандарт активлар бўйича захира</t>
  </si>
  <si>
    <t>32.3</t>
  </si>
  <si>
    <t>Девальвация учун захира</t>
  </si>
  <si>
    <t>32.4</t>
  </si>
  <si>
    <t>Бошқа захира фондлари</t>
  </si>
  <si>
    <t>33</t>
  </si>
  <si>
    <t>Тақсимланмаган фойда</t>
  </si>
  <si>
    <t>33.1</t>
  </si>
  <si>
    <t>шундан, жорий йил соф фойдаси (зарари)</t>
  </si>
  <si>
    <t>34</t>
  </si>
  <si>
    <t>Жами хусусий капитал</t>
  </si>
  <si>
    <t>35</t>
  </si>
  <si>
    <t>Жами мажбуриятлар ва хусусий капитал</t>
  </si>
  <si>
    <t>Бошқарув Раис имзоси:</t>
  </si>
  <si>
    <t>Бош бухгалтер имзоси: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</si>
  <si>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</si>
  <si>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</si>
  <si>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</si>
  <si>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</si>
  <si>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</si>
  <si>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</si>
  <si>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</si>
  <si>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</si>
  <si>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</si>
  <si>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</si>
  <si>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</si>
  <si>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</si>
  <si>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</si>
  <si>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</si>
  <si>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Сумма</t>
  </si>
  <si>
    <t>шундан, хорижий валютада 
(сўм экв.)</t>
  </si>
  <si>
    <t>миллий валютада</t>
  </si>
  <si>
    <t>хорижий валютада 
(сўм экв.)</t>
  </si>
  <si>
    <t>Коэффициент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</si>
  <si>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</si>
  <si>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</si>
  <si>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</si>
  <si>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</si>
  <si>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</si>
  <si>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</si>
  <si>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маблағлари (мажбурий захирасиз)</t>
  </si>
  <si>
    <t>2.1</t>
  </si>
  <si>
    <t>Банкнинг Марказий банкдаги мажбурий захира ҳисобварағидаги маблағлар</t>
  </si>
  <si>
    <t>3</t>
  </si>
  <si>
    <t>Бошқа банклар ва молиявий ташкилотлардан олиниши лозим бўлган маблағлар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</si>
  <si>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</si>
  <si>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</si>
  <si>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3.3</t>
  </si>
  <si>
    <t>Овернайт шарти билан жойлаштирилган депозитлар</t>
  </si>
  <si>
    <t>3.3.1.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</si>
  <si>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</si>
  <si>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3.4</t>
  </si>
  <si>
    <t xml:space="preserve">Банкнинг бошқа банклар/молиявий ташкилотлардаги ҳисобварақлари </t>
  </si>
  <si>
    <t>3.5</t>
  </si>
  <si>
    <t>Пластик карталардан амалга оширилган тўловлар бўйича бошқа банклардан олиниши лозим бўлган маблағлар</t>
  </si>
  <si>
    <t>3.6</t>
  </si>
  <si>
    <t xml:space="preserve">Бошқа моддалар </t>
  </si>
  <si>
    <t>4</t>
  </si>
  <si>
    <t>4a</t>
  </si>
  <si>
    <t xml:space="preserve">шу жумладан, таъминот остидаги юқори ликвидли қимматли қоғозлар 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</si>
  <si>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</si>
  <si>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</si>
  <si>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</si>
  <si>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4.4</t>
  </si>
  <si>
    <t>Таваккалчилик даражаси паст бўлган мамлакатларнинг етакчи компаниялари қимматли қоғозлари</t>
  </si>
  <si>
    <t>4.5</t>
  </si>
  <si>
    <t>Ипотекани қайта молиялаштириш ташкилотлари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</si>
  <si>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</si>
  <si>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</si>
  <si>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</si>
  <si>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</si>
  <si>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</si>
  <si>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</si>
  <si>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</si>
  <si>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</si>
  <si>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</si>
  <si>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</si>
  <si>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</si>
  <si>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Мижозларга берилган кредит ва лизинглар, соф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</si>
  <si>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</si>
  <si>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</si>
  <si>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</si>
  <si>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</si>
  <si>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 xml:space="preserve">РЕПО битимлари бўйича сотиб олинган қимматли қоғозлар </t>
  </si>
  <si>
    <t xml:space="preserve">РЕПО битимлари бўйича сотиб олинган юқори ликвидли қимматли қоғозлар </t>
  </si>
  <si>
    <t>РЕПО битимлари бўйича сотиб олинган бошқа қимматли қоғозлар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</si>
  <si>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</si>
  <si>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</si>
  <si>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</si>
  <si>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</si>
  <si>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</si>
  <si>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</si>
  <si>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</si>
  <si>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</si>
  <si>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4a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</si>
  <si>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</si>
  <si>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</si>
  <si>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</si>
  <si>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</si>
  <si>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</si>
  <si>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</si>
  <si>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</si>
  <si>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</si>
  <si>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>По новым расчетам</t>
  </si>
  <si>
    <t>Всего</t>
  </si>
  <si>
    <t>Ин вал</t>
  </si>
  <si>
    <t>Приток</t>
  </si>
  <si>
    <t xml:space="preserve">Высоко-ликвидные активы </t>
  </si>
  <si>
    <t>Чистый отток за 30 дней</t>
  </si>
  <si>
    <t>Всего отток</t>
  </si>
  <si>
    <t>Отток</t>
  </si>
  <si>
    <t>в том числе отток по внебалансу</t>
  </si>
  <si>
    <t>Приток по положению</t>
  </si>
  <si>
    <t>БАНК МАЖБУРИЯТЛАРИ ТАҲЛИЛИ</t>
  </si>
  <si>
    <t>18-жадвал</t>
  </si>
  <si>
    <t>30 кунлик чиқим суммаси</t>
  </si>
  <si>
    <t>30 кунлик чиқим суммаси
(хорижий валютада)</t>
  </si>
  <si>
    <t>1.</t>
  </si>
  <si>
    <t>ДЕПОЗИТЛАР</t>
  </si>
  <si>
    <t>1.1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</si>
  <si>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</si>
  <si>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</si>
  <si>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</si>
  <si>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</si>
  <si>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Кредит таъминоти сифатида жалб этилган aҳоли омонатлари</t>
  </si>
  <si>
    <t>1.1.3</t>
  </si>
  <si>
    <t>Кредит таъминоти сифатида жалб этилган бошқа депозитлар</t>
  </si>
  <si>
    <t>1.1.4</t>
  </si>
  <si>
    <t>Талаб қилиб олингунча бошқа депозитлар</t>
  </si>
  <si>
    <t>1.2</t>
  </si>
  <si>
    <t>1.2.1</t>
  </si>
  <si>
    <t>Аҳоли омонатлари</t>
  </si>
  <si>
    <t>1.2.2</t>
  </si>
  <si>
    <t>Чиқарилган депозит сертификатлари</t>
  </si>
  <si>
    <t>1.3</t>
  </si>
  <si>
    <t>Мижозларнинг бошқа депозитлари</t>
  </si>
  <si>
    <t>1.3.1</t>
  </si>
  <si>
    <t>Жисмоний шахсларнинг банк пластик карталаридаги маблағлари</t>
  </si>
  <si>
    <t>1.3.2</t>
  </si>
  <si>
    <t>Бошқа мижозларнинг банк пластик карталаридаги маблағлари</t>
  </si>
  <si>
    <t>1.3.3</t>
  </si>
  <si>
    <t>Мижозларнинг аккредитив бўйича депозитлари</t>
  </si>
  <si>
    <t>1.3.4</t>
  </si>
  <si>
    <t>1.4</t>
  </si>
  <si>
    <t>Жами депозитлар</t>
  </si>
  <si>
    <t>2.</t>
  </si>
  <si>
    <t>2.1.</t>
  </si>
  <si>
    <t>шу жумладан, Марказий банкка тўланиши лозим бўлган маблағлар -Тезкор тўловлар ҳамда клиринг тизимлари</t>
  </si>
  <si>
    <t>3.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</si>
  <si>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</si>
  <si>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</si>
  <si>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3.1.1</t>
  </si>
  <si>
    <t>шу жумладан, махаллий банкларнинг вакиллик ҳисобварақларига тўланиши лозим бўлган маблағлар</t>
  </si>
  <si>
    <t>Бошқа банкларнинг ҳисобварақлари - Депозитлар</t>
  </si>
  <si>
    <t>Банк карталаридан амалга оширилган тўловлар бўйича банкларга тўланиши лозим бўлган маблағлар</t>
  </si>
  <si>
    <t>Бошқа моддалар</t>
  </si>
  <si>
    <t>4.</t>
  </si>
  <si>
    <t>Банкнинг тўланмаган акцептлари</t>
  </si>
  <si>
    <t>5.</t>
  </si>
  <si>
    <t>Олинган кредит ва лизинглар (молиявий ижара) бўйича мажбуриятлар</t>
  </si>
  <si>
    <t>6.</t>
  </si>
  <si>
    <t>7.</t>
  </si>
  <si>
    <t>Субординар қарз мажбуриятлари</t>
  </si>
  <si>
    <t>8.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</si>
  <si>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</si>
  <si>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</si>
  <si>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>9.</t>
  </si>
  <si>
    <t>Ҳосилавий инструментлар бўйича ревальвация натижасида амалга ошмаган зарарлар ва бошқа муддати узайтирилган даромадлар</t>
  </si>
  <si>
    <t>10.</t>
  </si>
  <si>
    <t>11.</t>
  </si>
  <si>
    <t>12.</t>
  </si>
  <si>
    <t>ЖАМИ МАЖБУРИЯТЛАР</t>
  </si>
  <si>
    <t>отток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</si>
  <si>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</si>
  <si>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</si>
  <si>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</si>
  <si>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20202,20204,20602</t>
  </si>
  <si>
    <t>Бюджетдан ташқари фондларнинг маблағлари, шундан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</si>
  <si>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</si>
  <si>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</si>
  <si>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</si>
  <si>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МОЛИЯВИЙ НАТИЖАЛАР ТЎҒРИСИДА ҲИСОБОТ</t>
  </si>
  <si>
    <t>3-жадвал</t>
  </si>
  <si>
    <t>миллий 
валютада</t>
  </si>
  <si>
    <t>хорижий валютада
(экв. сўмда)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</si>
  <si>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</si>
  <si>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</si>
  <si>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</si>
  <si>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</si>
  <si>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</si>
  <si>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</si>
  <si>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</si>
  <si>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</si>
  <si>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</si>
  <si>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</si>
  <si>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</si>
  <si>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</si>
  <si>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</si>
  <si>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</si>
  <si>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</si>
  <si>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</si>
  <si>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</si>
  <si>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</si>
  <si>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</si>
  <si>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</si>
  <si>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</si>
  <si>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</si>
  <si>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</si>
  <si>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</si>
  <si>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</si>
  <si>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</si>
  <si>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</si>
  <si>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</si>
  <si>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</si>
  <si>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</si>
  <si>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</si>
  <si>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</si>
  <si>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</si>
  <si>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</si>
  <si>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</si>
  <si>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</si>
  <si>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</si>
  <si>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</si>
  <si>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</si>
  <si>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ФОИЗСИЗ ДАРОМАДЛАР</t>
  </si>
  <si>
    <t>Кўрсатилган хизматлар ва воситачилик учун олинган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</si>
  <si>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</si>
  <si>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</si>
  <si>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</si>
  <si>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</si>
  <si>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</si>
  <si>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д1.</t>
  </si>
  <si>
    <t>Активлар бўйича эҳтимолий йўқотишларга қарши яратилган захираларни қайтарилиши</t>
  </si>
  <si>
    <t>д2.</t>
  </si>
  <si>
    <t>Ҳисобдан чиқарилган кредитлар қайтарилиши билан боғлиқ даромадлар</t>
  </si>
  <si>
    <t>Жами фоизсиз даромадлар</t>
  </si>
  <si>
    <t>ФОИЗСИЗ ХАРАЖАТЛАР</t>
  </si>
  <si>
    <t>Воситачилик ва кўрсатилган хизматлар учун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</si>
  <si>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</si>
  <si>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</si>
  <si>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</si>
  <si>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</si>
  <si>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</si>
  <si>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ОПЕРАЦИОН ХАРАЖАТЛАРДАН ОЛДИНГИ СОФ ДАРОМАД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</si>
  <si>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</si>
  <si>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</si>
  <si>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</si>
  <si>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</si>
  <si>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</si>
  <si>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</si>
  <si>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</si>
  <si>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</si>
  <si>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</si>
  <si>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</si>
  <si>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</si>
  <si>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</si>
  <si>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</si>
  <si>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</si>
  <si>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</si>
  <si>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 xml:space="preserve">  </t>
  </si>
  <si>
    <t xml:space="preserve">Солиқ тўлангунга қадар соф фойда ва бошқа тузатишлар </t>
  </si>
  <si>
    <t>Фойда солиғини баҳолаш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</si>
  <si>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</si>
  <si>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</si>
  <si>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</si>
  <si>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СОФ ФОЙДА (ЗАРАР)</t>
  </si>
  <si>
    <t>ПРУДЕНЦИАЛ МЕЪЁРЛАР ҲИСОБ-КИТОБИ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</si>
  <si>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</si>
  <si>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</si>
  <si>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</si>
  <si>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</si>
  <si>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</si>
  <si>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Фарқи</t>
  </si>
  <si>
    <t xml:space="preserve">                              A</t>
  </si>
  <si>
    <t>Б</t>
  </si>
  <si>
    <t>В</t>
  </si>
  <si>
    <t>Г</t>
  </si>
  <si>
    <t>Д</t>
  </si>
  <si>
    <t>Капитал монандлик кўрсаткичлари</t>
  </si>
  <si>
    <t>Регулятив капиталнинг монандлик коэффициенти</t>
  </si>
  <si>
    <t>Жами регулятив капитал</t>
  </si>
  <si>
    <t>Мин</t>
  </si>
  <si>
    <t>Таваккалчиликка тортилган активлар</t>
  </si>
  <si>
    <t>I даражали капиталнинг монандлик коэффициенти</t>
  </si>
  <si>
    <t>I даражали капитал</t>
  </si>
  <si>
    <t>I даражали асосий капиталнинг монандлик коэффициенти</t>
  </si>
  <si>
    <t>I даражали асосий капитал</t>
  </si>
  <si>
    <t>Левераж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</si>
  <si>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</si>
  <si>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</si>
  <si>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</si>
  <si>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Юқори ликвидли активлар</t>
  </si>
  <si>
    <t>2.2</t>
  </si>
  <si>
    <t>Ликвидликни қоплаш меъёри коэффициенти</t>
  </si>
  <si>
    <t>хорижий валютада</t>
  </si>
  <si>
    <t>Кейинги 30 кун ичида соф чиқим</t>
  </si>
  <si>
    <t>2.3</t>
  </si>
  <si>
    <t>Соф барқарор молиялаштириш меъёри коэффициенти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</si>
  <si>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</si>
  <si>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</si>
  <si>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</si>
  <si>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</si>
  <si>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Бир қарз олувчига ёки ўзаро алоқадор қарздорлар гуруҳига тўғри келувчи максимал хатар, таъминланган активлар</t>
  </si>
  <si>
    <t>Макс</t>
  </si>
  <si>
    <t>Банклараро операциялар учун бир банкка ёки ўзаро алоқадор банклар гуруҳига тўғри келувчи максимал таваккалчилик</t>
  </si>
  <si>
    <t>Банклараро операциялар учун бир банкка ёки ўзаро алоқадор банклар гуруҳига тўғри келадиган максимал хатар</t>
  </si>
  <si>
    <t>Қўлда тўлдирилади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</si>
  <si>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</si>
  <si>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</si>
  <si>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>Банкнинг барча йирик таваккалчиликларининг умумий миқдори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</si>
  <si>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</si>
  <si>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</si>
  <si>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</si>
  <si>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 xml:space="preserve">Битта эмитентнинг нодавлат қимматли қоғозларига қилинган инвестицияларнинг максимал қиймати </t>
  </si>
  <si>
    <t>Олди-сотди учун қимматли қоғозларга қилинган инвестицияларнинг жами қиймати</t>
  </si>
  <si>
    <t>Банк томонидан 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йиғиндисининг максимал қиймати</t>
  </si>
  <si>
    <t>Барча эмитентларнинг устав капиталига ва бошқа қимматли қоғозларига қилинган инвестицияларнинг жами максимал суммаси</t>
  </si>
  <si>
    <t>Банкка алоқадор шахслар ва уларга тўғри келувчи таваккалчилик кўрсаткичлари</t>
  </si>
  <si>
    <t xml:space="preserve"> 5.1</t>
  </si>
  <si>
    <t>Банкка алоқадор битта шахсга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</si>
  <si>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</si>
  <si>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 xml:space="preserve"> 5.2</t>
  </si>
  <si>
    <t>Банкка алоқадор бўлган барча шахсларга тўғри келувчи таваккалчиликнинг энг кўп миқдори</t>
  </si>
  <si>
    <t>Банк билан алоқадор шахсларга тўғри келувчи хатарларнинг жами суммаси</t>
  </si>
  <si>
    <t>Кўчмас мулкка қилинган банк инвестицияларининг меъёрий кўрсаткичи</t>
  </si>
  <si>
    <t xml:space="preserve"> 6.1</t>
  </si>
  <si>
    <t>Банкнинг кўчмас мулкка қилинган барча инвестицияларининг умумий миқдори</t>
  </si>
  <si>
    <t>Банкнинг кўчмас мулкка қилинган барча инвестицияларининг умумий суммаси</t>
  </si>
  <si>
    <t>минг. сўмда</t>
  </si>
  <si>
    <t>"МКБАНК"</t>
  </si>
  <si>
    <t xml:space="preserve"> 31 Декабрь, 2022</t>
  </si>
  <si>
    <t>"Микрокредитбанк" АТБ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</si>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</sst>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₽&quot;_-;\-* #,##0\ &quot;₽&quot;_-;_-* &quot;-&quot;\ &quot;₽&quot;_-;_-@_-"/>
    <numFmt numFmtId="164" formatCode="_-* #,##0.00\ _₽_-;\-* #,##0.00\ _₽_-;_-* &quot;-&quot;??\ _₽_-;_-@_-"/>
    <numFmt numFmtId="165" formatCode="[$-843]dd\ mmmm\ yyyy\ \й\и\л;@"/>
    <numFmt numFmtId="166" formatCode="[$-F800]dddd\,\ mmmm\ dd\,\ yyyy"/>
    <numFmt numFmtId="167" formatCode="_-* #,##0.00000_р_._-;\-* #,##0.00000_р_._-;_-* &quot;-&quot;??_р_._-;_-@_-"/>
    <numFmt numFmtId="168" formatCode="0.000"/>
    <numFmt numFmtId="169" formatCode="_-* #,##0_р_._-;\-* #,##0_р_._-;_-* &quot;-&quot;??_р_._-;_-@_-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Cyr"/>
      <family val="2"/>
      <charset val="204"/>
    </font>
    <font>
      <sz val="10"/>
      <name val="Arial Cyr"/>
      <family val="2"/>
      <charset val="204"/>
    </font>
    <font>
      <b/>
      <sz val="10"/>
      <color theme="0"/>
      <name val="Arial Cyr"/>
      <family val="2"/>
      <charset val="204"/>
    </font>
    <font>
      <b/>
      <sz val="10"/>
      <name val="Arial Cyr"/>
      <family val="2"/>
      <charset val="204"/>
    </font>
    <font>
      <b/>
      <sz val="20"/>
      <name val="Arial Cyr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sz val="10"/>
      <name val="Arial Cyr"/>
      <charset val="204"/>
    </font>
    <font>
      <sz val="10"/>
      <name val="Times New Roman"/>
      <family val="1"/>
    </font>
    <font>
      <sz val="10"/>
      <name val="Times New Roman"/>
      <family val="1"/>
      <charset val="204"/>
    </font>
    <font>
      <b/>
      <sz val="14"/>
      <name val="Arial Cyr"/>
      <family val="2"/>
      <charset val="204"/>
    </font>
    <font>
      <sz val="14"/>
      <name val="Arial Cyr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family val="2"/>
      <charset val="204"/>
    </font>
    <font>
      <sz val="11"/>
      <name val="Arial Cyr"/>
      <charset val="204"/>
    </font>
    <font>
      <sz val="11"/>
      <name val="Arial Cyr"/>
      <family val="2"/>
      <charset val="204"/>
    </font>
    <font>
      <b/>
      <sz val="11"/>
      <name val="Arial Cyr"/>
      <charset val="204"/>
    </font>
    <font>
      <i/>
      <sz val="11"/>
      <name val="Arial Cyr"/>
      <family val="2"/>
      <charset val="204"/>
    </font>
    <font>
      <sz val="10"/>
      <name val="Arial Cyr"/>
      <charset val="204"/>
    </font>
    <font>
      <i/>
      <sz val="10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name val="Arial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Arial Cyr"/>
      <family val="2"/>
      <charset val="204"/>
    </font>
    <font>
      <i/>
      <sz val="10"/>
      <name val="Arial Cyr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gray125">
        <bgColor indexed="55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ont="0" applyFill="0" applyBorder="0" applyAlignment="0" applyProtection="0">
      <alignment vertical="top"/>
    </xf>
    <xf numFmtId="9" fontId="23" fillId="0" borderId="0" applyFont="0" applyFill="0" applyBorder="0" applyAlignment="0" applyProtection="0"/>
  </cellStyleXfs>
  <cellXfs count="339">
    <xf numFmtId="0" fontId="0" fillId="0" borderId="0" xfId="0"/>
    <xf numFmtId="0" fontId="3" fillId="0" borderId="0" xfId="0" applyFont="1" applyAlignment="1" applyProtection="1">
      <alignment horizontal="center" vertical="center" wrapText="1"/>
    </xf>
    <xf numFmtId="0" fontId="5" fillId="0" borderId="0" xfId="0" applyFont="1" applyProtection="1"/>
    <xf numFmtId="0" fontId="5" fillId="0" borderId="0" xfId="0" applyFont="1" applyFill="1" applyProtection="1"/>
    <xf numFmtId="0" fontId="6" fillId="0" borderId="0" xfId="0" quotePrefix="1" applyNumberFormat="1" applyFont="1" applyFill="1" applyBorder="1" applyAlignment="1" applyProtection="1">
      <alignment horizontal="left"/>
    </xf>
    <xf numFmtId="0" fontId="7" fillId="0" borderId="0" xfId="0" applyFont="1" applyBorder="1" applyAlignment="1" applyProtection="1">
      <alignment horizontal="center"/>
    </xf>
    <xf numFmtId="3" fontId="8" fillId="0" borderId="0" xfId="0" applyNumberFormat="1" applyFont="1" applyBorder="1" applyAlignment="1" applyProtection="1">
      <alignment horizontal="center" vertical="center"/>
    </xf>
    <xf numFmtId="0" fontId="2" fillId="0" borderId="0" xfId="0" quotePrefix="1" applyFont="1" applyBorder="1" applyAlignment="1" applyProtection="1">
      <alignment horizontal="center"/>
      <protection locked="0"/>
    </xf>
    <xf numFmtId="165" fontId="10" fillId="0" borderId="1" xfId="4" applyNumberFormat="1" applyFont="1" applyFill="1" applyBorder="1" applyAlignment="1" applyProtection="1">
      <alignment wrapText="1"/>
      <protection locked="0"/>
    </xf>
    <xf numFmtId="15" fontId="0" fillId="0" borderId="0" xfId="0" applyNumberFormat="1" applyFont="1" applyBorder="1" applyAlignment="1" applyProtection="1">
      <alignment horizontal="center"/>
    </xf>
    <xf numFmtId="3" fontId="11" fillId="2" borderId="2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Protection="1"/>
    <xf numFmtId="0" fontId="5" fillId="0" borderId="0" xfId="0" applyFont="1" applyBorder="1" applyProtection="1"/>
    <xf numFmtId="0" fontId="5" fillId="0" borderId="3" xfId="0" applyFont="1" applyFill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left" vertical="center" indent="1"/>
    </xf>
    <xf numFmtId="3" fontId="12" fillId="0" borderId="4" xfId="0" applyNumberFormat="1" applyFont="1" applyBorder="1" applyAlignment="1" applyProtection="1">
      <alignment horizontal="right"/>
    </xf>
    <xf numFmtId="3" fontId="12" fillId="0" borderId="4" xfId="0" applyNumberFormat="1" applyFont="1" applyBorder="1" applyProtection="1"/>
    <xf numFmtId="0" fontId="5" fillId="0" borderId="3" xfId="0" applyFont="1" applyBorder="1" applyAlignment="1" applyProtection="1">
      <alignment horizontal="left" vertical="center" wrapText="1" indent="1"/>
    </xf>
    <xf numFmtId="0" fontId="5" fillId="0" borderId="3" xfId="0" applyFont="1" applyBorder="1" applyAlignment="1" applyProtection="1">
      <alignment horizontal="left" vertical="center" wrapText="1" indent="2"/>
    </xf>
    <xf numFmtId="3" fontId="12" fillId="0" borderId="4" xfId="0" applyNumberFormat="1" applyFont="1" applyBorder="1" applyAlignment="1" applyProtection="1">
      <alignment horizontal="right"/>
      <protection locked="0"/>
    </xf>
    <xf numFmtId="0" fontId="5" fillId="0" borderId="3" xfId="0" applyFont="1" applyBorder="1" applyAlignment="1" applyProtection="1">
      <alignment horizontal="left" vertical="center" indent="2"/>
    </xf>
    <xf numFmtId="3" fontId="12" fillId="0" borderId="4" xfId="0" applyNumberFormat="1" applyFont="1" applyFill="1" applyBorder="1" applyAlignment="1" applyProtection="1">
      <alignment horizontal="right"/>
    </xf>
    <xf numFmtId="0" fontId="5" fillId="0" borderId="3" xfId="0" applyFont="1" applyFill="1" applyBorder="1" applyAlignment="1" applyProtection="1">
      <alignment horizontal="left" vertical="center" wrapText="1" indent="3"/>
    </xf>
    <xf numFmtId="0" fontId="5" fillId="0" borderId="3" xfId="0" applyFont="1" applyFill="1" applyBorder="1" applyAlignment="1" applyProtection="1">
      <alignment horizontal="left" vertical="center" indent="2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2" xfId="0" applyNumberFormat="1" applyFont="1" applyBorder="1" applyAlignment="1" applyProtection="1">
      <alignment horizontal="right" wrapText="1"/>
    </xf>
    <xf numFmtId="3" fontId="12" fillId="0" borderId="2" xfId="0" applyNumberFormat="1" applyFont="1" applyBorder="1" applyAlignment="1" applyProtection="1">
      <alignment horizontal="right" wrapText="1"/>
      <protection locked="0"/>
    </xf>
    <xf numFmtId="0" fontId="7" fillId="0" borderId="3" xfId="0" applyFont="1" applyBorder="1" applyAlignment="1" applyProtection="1">
      <alignment horizontal="center"/>
    </xf>
    <xf numFmtId="0" fontId="7" fillId="0" borderId="3" xfId="0" applyFont="1" applyBorder="1" applyAlignment="1" applyProtection="1">
      <alignment horizontal="left" vertical="center" indent="2"/>
    </xf>
    <xf numFmtId="3" fontId="10" fillId="0" borderId="2" xfId="0" applyNumberFormat="1" applyFont="1" applyBorder="1" applyAlignment="1" applyProtection="1">
      <alignment horizontal="right"/>
    </xf>
    <xf numFmtId="0" fontId="7" fillId="0" borderId="3" xfId="0" applyFont="1" applyBorder="1" applyAlignment="1" applyProtection="1">
      <alignment horizontal="left"/>
    </xf>
    <xf numFmtId="0" fontId="7" fillId="0" borderId="3" xfId="0" applyFont="1" applyBorder="1" applyProtection="1"/>
    <xf numFmtId="3" fontId="12" fillId="3" borderId="4" xfId="0" applyNumberFormat="1" applyFont="1" applyFill="1" applyBorder="1" applyAlignment="1" applyProtection="1">
      <alignment horizontal="right"/>
    </xf>
    <xf numFmtId="3" fontId="12" fillId="3" borderId="4" xfId="0" applyNumberFormat="1" applyFont="1" applyFill="1" applyBorder="1" applyAlignment="1" applyProtection="1">
      <alignment horizontal="right"/>
      <protection locked="0"/>
    </xf>
    <xf numFmtId="0" fontId="5" fillId="0" borderId="3" xfId="2" applyNumberFormat="1" applyFont="1" applyBorder="1" applyAlignment="1" applyProtection="1">
      <alignment horizontal="left" vertical="center" indent="1"/>
    </xf>
    <xf numFmtId="0" fontId="5" fillId="0" borderId="3" xfId="2" applyNumberFormat="1" applyFont="1" applyFill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left" vertical="center" indent="1"/>
    </xf>
    <xf numFmtId="3" fontId="10" fillId="3" borderId="4" xfId="0" applyNumberFormat="1" applyFont="1" applyFill="1" applyBorder="1" applyAlignment="1" applyProtection="1">
      <alignment horizontal="right"/>
    </xf>
    <xf numFmtId="0" fontId="5" fillId="0" borderId="3" xfId="0" applyFont="1" applyBorder="1" applyProtection="1"/>
    <xf numFmtId="3" fontId="13" fillId="0" borderId="4" xfId="0" applyNumberFormat="1" applyFont="1" applyBorder="1" applyAlignment="1" applyProtection="1">
      <alignment horizontal="right"/>
    </xf>
    <xf numFmtId="0" fontId="5" fillId="0" borderId="2" xfId="0" applyFont="1" applyBorder="1" applyAlignment="1" applyProtection="1">
      <alignment horizontal="left" vertical="center" indent="1"/>
    </xf>
    <xf numFmtId="0" fontId="5" fillId="0" borderId="2" xfId="0" applyFont="1" applyBorder="1" applyAlignment="1" applyProtection="1">
      <alignment horizontal="left" vertical="center" indent="2"/>
    </xf>
    <xf numFmtId="0" fontId="7" fillId="0" borderId="3" xfId="0" applyFont="1" applyFill="1" applyBorder="1" applyAlignment="1" applyProtection="1">
      <alignment horizontal="center" vertical="center"/>
    </xf>
    <xf numFmtId="3" fontId="10" fillId="0" borderId="4" xfId="0" applyNumberFormat="1" applyFont="1" applyFill="1" applyBorder="1" applyAlignment="1" applyProtection="1">
      <alignment horizontal="right"/>
    </xf>
    <xf numFmtId="0" fontId="7" fillId="0" borderId="5" xfId="0" applyFont="1" applyBorder="1" applyAlignment="1" applyProtection="1">
      <alignment horizontal="left" vertical="center" indent="1"/>
    </xf>
    <xf numFmtId="0" fontId="7" fillId="0" borderId="0" xfId="0" applyFont="1" applyBorder="1" applyProtection="1"/>
    <xf numFmtId="49" fontId="14" fillId="0" borderId="0" xfId="0" applyNumberFormat="1" applyFont="1" applyFill="1" applyBorder="1" applyAlignment="1">
      <alignment horizontal="centerContinuous" vertical="center"/>
    </xf>
    <xf numFmtId="49" fontId="14" fillId="0" borderId="0" xfId="0" applyNumberFormat="1" applyFont="1" applyBorder="1" applyAlignment="1">
      <alignment horizontal="centerContinuous" vertical="center"/>
    </xf>
    <xf numFmtId="3" fontId="15" fillId="0" borderId="0" xfId="0" applyNumberFormat="1" applyFont="1" applyBorder="1" applyAlignment="1">
      <alignment vertical="center"/>
    </xf>
    <xf numFmtId="166" fontId="7" fillId="0" borderId="0" xfId="0" applyNumberFormat="1" applyFont="1" applyFill="1" applyAlignment="1">
      <alignment horizontal="centerContinuous"/>
    </xf>
    <xf numFmtId="0" fontId="2" fillId="0" borderId="0" xfId="0" applyFont="1" applyFill="1" applyBorder="1" applyAlignment="1" applyProtection="1">
      <alignment horizontal="center"/>
    </xf>
    <xf numFmtId="3" fontId="11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Continuous"/>
    </xf>
    <xf numFmtId="3" fontId="5" fillId="0" borderId="0" xfId="0" applyNumberFormat="1" applyFont="1"/>
    <xf numFmtId="165" fontId="10" fillId="0" borderId="1" xfId="4" applyNumberFormat="1" applyFont="1" applyFill="1" applyBorder="1" applyAlignment="1" applyProtection="1">
      <alignment wrapText="1"/>
    </xf>
    <xf numFmtId="166" fontId="0" fillId="0" borderId="0" xfId="0" applyNumberFormat="1" applyFont="1" applyBorder="1" applyAlignment="1" applyProtection="1">
      <alignment horizontal="center"/>
    </xf>
    <xf numFmtId="0" fontId="18" fillId="0" borderId="0" xfId="0" applyFont="1" applyAlignment="1">
      <alignment vertical="center"/>
    </xf>
    <xf numFmtId="3" fontId="17" fillId="2" borderId="6" xfId="0" applyNumberFormat="1" applyFont="1" applyFill="1" applyBorder="1" applyAlignment="1" applyProtection="1">
      <alignment horizontal="center" vertical="center" textRotation="90" wrapText="1"/>
    </xf>
    <xf numFmtId="49" fontId="19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 applyProtection="1">
      <alignment horizontal="left" vertical="center" wrapText="1" indent="1"/>
    </xf>
    <xf numFmtId="3" fontId="5" fillId="0" borderId="2" xfId="0" applyNumberFormat="1" applyFont="1" applyFill="1" applyBorder="1" applyAlignment="1" applyProtection="1">
      <alignment vertical="center"/>
      <protection locked="0"/>
    </xf>
    <xf numFmtId="3" fontId="20" fillId="0" borderId="2" xfId="0" applyNumberFormat="1" applyFont="1" applyFill="1" applyBorder="1" applyAlignment="1" applyProtection="1">
      <alignment vertical="center"/>
    </xf>
    <xf numFmtId="9" fontId="20" fillId="0" borderId="2" xfId="3" applyFont="1" applyFill="1" applyBorder="1" applyAlignment="1" applyProtection="1">
      <alignment vertical="center"/>
    </xf>
    <xf numFmtId="3" fontId="20" fillId="0" borderId="2" xfId="3" applyNumberFormat="1" applyFont="1" applyBorder="1" applyAlignment="1" applyProtection="1">
      <alignment vertical="center"/>
    </xf>
    <xf numFmtId="3" fontId="20" fillId="4" borderId="2" xfId="0" applyNumberFormat="1" applyFont="1" applyFill="1" applyBorder="1" applyAlignment="1" applyProtection="1">
      <alignment vertical="center"/>
    </xf>
    <xf numFmtId="3" fontId="20" fillId="0" borderId="0" xfId="0" applyNumberFormat="1" applyFont="1" applyBorder="1" applyAlignment="1">
      <alignment vertical="center"/>
    </xf>
    <xf numFmtId="3" fontId="5" fillId="0" borderId="2" xfId="0" applyNumberFormat="1" applyFont="1" applyFill="1" applyBorder="1" applyAlignment="1" applyProtection="1">
      <alignment vertical="center"/>
    </xf>
    <xf numFmtId="3" fontId="20" fillId="0" borderId="2" xfId="3" applyNumberFormat="1" applyFont="1" applyFill="1" applyBorder="1" applyAlignment="1" applyProtection="1">
      <alignment vertical="center"/>
    </xf>
    <xf numFmtId="49" fontId="3" fillId="0" borderId="2" xfId="0" quotePrefix="1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left" vertical="center" indent="1"/>
    </xf>
    <xf numFmtId="3" fontId="7" fillId="0" borderId="2" xfId="0" applyNumberFormat="1" applyFont="1" applyFill="1" applyBorder="1" applyAlignment="1" applyProtection="1">
      <alignment vertical="center"/>
    </xf>
    <xf numFmtId="3" fontId="3" fillId="0" borderId="0" xfId="0" applyNumberFormat="1" applyFont="1" applyBorder="1" applyAlignment="1">
      <alignment vertical="center"/>
    </xf>
    <xf numFmtId="49" fontId="7" fillId="0" borderId="2" xfId="0" applyNumberFormat="1" applyFont="1" applyFill="1" applyBorder="1" applyAlignment="1" applyProtection="1">
      <alignment horizontal="center" vertical="center"/>
    </xf>
    <xf numFmtId="3" fontId="22" fillId="0" borderId="2" xfId="0" quotePrefix="1" applyNumberFormat="1" applyFont="1" applyFill="1" applyBorder="1" applyAlignment="1" applyProtection="1">
      <alignment horizontal="center" vertical="center" wrapText="1"/>
    </xf>
    <xf numFmtId="9" fontId="5" fillId="0" borderId="2" xfId="3" applyFont="1" applyFill="1" applyBorder="1" applyAlignment="1" applyProtection="1">
      <alignment vertical="center"/>
    </xf>
    <xf numFmtId="3" fontId="5" fillId="0" borderId="2" xfId="3" applyNumberFormat="1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vertical="center"/>
    </xf>
    <xf numFmtId="49" fontId="3" fillId="0" borderId="2" xfId="0" applyNumberFormat="1" applyFont="1" applyFill="1" applyBorder="1" applyAlignment="1" applyProtection="1">
      <alignment horizontal="center" vertical="center"/>
    </xf>
    <xf numFmtId="164" fontId="5" fillId="0" borderId="0" xfId="1" applyFont="1" applyFill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0" xfId="0" applyNumberFormat="1" applyFont="1" applyFill="1" applyProtection="1"/>
    <xf numFmtId="3" fontId="5" fillId="0" borderId="0" xfId="0" applyNumberFormat="1" applyFont="1" applyFill="1" applyProtection="1"/>
    <xf numFmtId="3" fontId="5" fillId="0" borderId="0" xfId="0" applyNumberFormat="1" applyFont="1" applyProtection="1"/>
    <xf numFmtId="9" fontId="5" fillId="0" borderId="0" xfId="3" applyFont="1" applyFill="1" applyBorder="1" applyProtection="1">
      <protection hidden="1"/>
    </xf>
    <xf numFmtId="3" fontId="5" fillId="0" borderId="0" xfId="3" applyNumberFormat="1" applyFont="1" applyFill="1" applyBorder="1" applyProtection="1">
      <protection hidden="1"/>
    </xf>
    <xf numFmtId="3" fontId="5" fillId="0" borderId="0" xfId="0" applyNumberFormat="1" applyFont="1" applyFill="1" applyBorder="1" applyProtection="1">
      <protection hidden="1"/>
    </xf>
    <xf numFmtId="3" fontId="5" fillId="0" borderId="0" xfId="0" applyNumberFormat="1" applyFont="1" applyBorder="1"/>
    <xf numFmtId="0" fontId="3" fillId="0" borderId="0" xfId="0" applyFont="1" applyBorder="1" applyProtection="1"/>
    <xf numFmtId="49" fontId="5" fillId="0" borderId="0" xfId="0" applyNumberFormat="1" applyFont="1" applyFill="1"/>
    <xf numFmtId="0" fontId="7" fillId="0" borderId="0" xfId="0" applyFont="1" applyFill="1" applyBorder="1"/>
    <xf numFmtId="9" fontId="5" fillId="0" borderId="0" xfId="3" applyFont="1" applyAlignment="1">
      <alignment wrapText="1"/>
    </xf>
    <xf numFmtId="3" fontId="5" fillId="0" borderId="0" xfId="3" applyNumberFormat="1" applyFont="1" applyAlignment="1">
      <alignment wrapText="1"/>
    </xf>
    <xf numFmtId="3" fontId="5" fillId="0" borderId="0" xfId="0" applyNumberFormat="1" applyFont="1" applyFill="1" applyAlignment="1">
      <alignment wrapText="1"/>
    </xf>
    <xf numFmtId="3" fontId="5" fillId="0" borderId="0" xfId="0" applyNumberFormat="1" applyFont="1" applyFill="1"/>
    <xf numFmtId="3" fontId="20" fillId="0" borderId="0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wrapText="1"/>
    </xf>
    <xf numFmtId="3" fontId="7" fillId="0" borderId="2" xfId="3" applyNumberFormat="1" applyFont="1" applyBorder="1" applyAlignment="1">
      <alignment horizontal="center" wrapText="1"/>
    </xf>
    <xf numFmtId="3" fontId="5" fillId="0" borderId="2" xfId="0" applyNumberFormat="1" applyFont="1" applyFill="1" applyBorder="1" applyAlignment="1">
      <alignment wrapText="1"/>
    </xf>
    <xf numFmtId="9" fontId="5" fillId="0" borderId="2" xfId="5" applyFont="1" applyFill="1" applyBorder="1" applyAlignment="1" applyProtection="1">
      <alignment wrapText="1"/>
      <protection hidden="1"/>
    </xf>
    <xf numFmtId="3" fontId="5" fillId="0" borderId="2" xfId="0" applyNumberFormat="1" applyFont="1" applyFill="1" applyBorder="1" applyAlignment="1" applyProtection="1">
      <alignment horizontal="center" wrapText="1"/>
    </xf>
    <xf numFmtId="167" fontId="5" fillId="0" borderId="0" xfId="1" applyNumberFormat="1" applyFont="1"/>
    <xf numFmtId="9" fontId="5" fillId="0" borderId="0" xfId="5" applyFont="1" applyFill="1" applyBorder="1" applyAlignment="1" applyProtection="1">
      <alignment wrapText="1"/>
      <protection hidden="1"/>
    </xf>
    <xf numFmtId="3" fontId="5" fillId="0" borderId="0" xfId="0" applyNumberFormat="1" applyFont="1" applyFill="1" applyBorder="1" applyAlignment="1" applyProtection="1">
      <alignment horizontal="center" wrapText="1"/>
    </xf>
    <xf numFmtId="3" fontId="5" fillId="0" borderId="2" xfId="0" applyNumberFormat="1" applyFont="1" applyFill="1" applyBorder="1" applyAlignment="1" applyProtection="1">
      <alignment horizontal="left" wrapText="1"/>
    </xf>
    <xf numFmtId="9" fontId="5" fillId="0" borderId="0" xfId="3" applyFont="1"/>
    <xf numFmtId="3" fontId="5" fillId="0" borderId="0" xfId="3" applyNumberFormat="1" applyFont="1"/>
    <xf numFmtId="49" fontId="14" fillId="0" borderId="0" xfId="0" applyNumberFormat="1" applyFont="1" applyAlignment="1">
      <alignment horizontal="centerContinuous" vertical="center"/>
    </xf>
    <xf numFmtId="3" fontId="7" fillId="0" borderId="0" xfId="0" applyNumberFormat="1" applyFont="1" applyBorder="1" applyAlignment="1">
      <alignment horizontal="centerContinuous" vertical="center" wrapText="1"/>
    </xf>
    <xf numFmtId="3" fontId="7" fillId="0" borderId="0" xfId="0" applyNumberFormat="1" applyFont="1" applyAlignment="1">
      <alignment horizontal="centerContinuous" vertical="center"/>
    </xf>
    <xf numFmtId="3" fontId="5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3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/>
    <xf numFmtId="0" fontId="5" fillId="0" borderId="0" xfId="0" applyFont="1"/>
    <xf numFmtId="3" fontId="0" fillId="0" borderId="0" xfId="0" applyNumberFormat="1" applyFont="1" applyBorder="1" applyAlignment="1">
      <alignment vertical="center" wrapText="1"/>
    </xf>
    <xf numFmtId="165" fontId="10" fillId="0" borderId="1" xfId="4" applyNumberFormat="1" applyFont="1" applyFill="1" applyBorder="1" applyAlignment="1" applyProtection="1">
      <alignment horizontal="center" wrapText="1"/>
    </xf>
    <xf numFmtId="164" fontId="5" fillId="0" borderId="0" xfId="1" applyFont="1" applyAlignment="1">
      <alignment vertical="center"/>
    </xf>
    <xf numFmtId="49" fontId="7" fillId="0" borderId="2" xfId="0" applyNumberFormat="1" applyFont="1" applyBorder="1" applyAlignment="1" applyProtection="1">
      <alignment horizontal="center" vertical="center"/>
    </xf>
    <xf numFmtId="3" fontId="7" fillId="0" borderId="2" xfId="0" applyNumberFormat="1" applyFont="1" applyBorder="1" applyAlignment="1" applyProtection="1">
      <alignment horizontal="left" vertical="center" wrapText="1" indent="2"/>
    </xf>
    <xf numFmtId="3" fontId="5" fillId="0" borderId="2" xfId="0" applyNumberFormat="1" applyFont="1" applyBorder="1" applyAlignment="1" applyProtection="1">
      <alignment vertical="center"/>
    </xf>
    <xf numFmtId="9" fontId="5" fillId="0" borderId="2" xfId="3" applyFont="1" applyBorder="1" applyAlignment="1" applyProtection="1">
      <alignment vertical="center"/>
    </xf>
    <xf numFmtId="3" fontId="5" fillId="0" borderId="2" xfId="3" applyNumberFormat="1" applyFont="1" applyBorder="1" applyAlignment="1" applyProtection="1">
      <alignment vertical="center"/>
    </xf>
    <xf numFmtId="3" fontId="5" fillId="0" borderId="2" xfId="0" applyNumberFormat="1" applyFont="1" applyBorder="1" applyAlignment="1" applyProtection="1">
      <alignment horizontal="left" vertical="center" wrapText="1" indent="1"/>
    </xf>
    <xf numFmtId="3" fontId="5" fillId="0" borderId="2" xfId="0" applyNumberFormat="1" applyFont="1" applyFill="1" applyBorder="1" applyAlignment="1" applyProtection="1">
      <alignment horizontal="left" vertical="center" wrapText="1" indent="1"/>
    </xf>
    <xf numFmtId="3" fontId="5" fillId="0" borderId="2" xfId="0" applyNumberFormat="1" applyFont="1" applyFill="1" applyBorder="1" applyAlignment="1" applyProtection="1">
      <alignment horizontal="left" vertical="center" wrapText="1" indent="3"/>
    </xf>
    <xf numFmtId="3" fontId="7" fillId="0" borderId="2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>
      <alignment vertical="center"/>
    </xf>
    <xf numFmtId="3" fontId="5" fillId="0" borderId="2" xfId="0" quotePrefix="1" applyNumberFormat="1" applyFont="1" applyFill="1" applyBorder="1" applyAlignment="1" applyProtection="1">
      <alignment horizontal="left" vertical="center" wrapText="1" indent="1"/>
    </xf>
    <xf numFmtId="3" fontId="5" fillId="0" borderId="2" xfId="0" quotePrefix="1" applyNumberFormat="1" applyFont="1" applyFill="1" applyBorder="1" applyAlignment="1" applyProtection="1">
      <alignment horizontal="left" vertical="top" wrapText="1" indent="1"/>
    </xf>
    <xf numFmtId="3" fontId="11" fillId="0" borderId="2" xfId="0" applyNumberFormat="1" applyFont="1" applyFill="1" applyBorder="1" applyAlignment="1" applyProtection="1">
      <alignment vertical="center"/>
    </xf>
    <xf numFmtId="9" fontId="7" fillId="0" borderId="2" xfId="3" applyFont="1" applyFill="1" applyBorder="1" applyAlignment="1" applyProtection="1">
      <alignment horizontal="center" vertical="center"/>
    </xf>
    <xf numFmtId="3" fontId="7" fillId="0" borderId="0" xfId="0" applyNumberFormat="1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3" fontId="24" fillId="0" borderId="2" xfId="0" quotePrefix="1" applyNumberFormat="1" applyFont="1" applyFill="1" applyBorder="1" applyAlignment="1" applyProtection="1">
      <alignment horizontal="center" vertical="center" wrapText="1"/>
    </xf>
    <xf numFmtId="3" fontId="0" fillId="0" borderId="2" xfId="0" quotePrefix="1" applyNumberFormat="1" applyFont="1" applyFill="1" applyBorder="1" applyAlignment="1" applyProtection="1">
      <alignment horizontal="left" vertical="center" wrapText="1" indent="2"/>
    </xf>
    <xf numFmtId="3" fontId="0" fillId="0" borderId="2" xfId="0" quotePrefix="1" applyNumberFormat="1" applyFont="1" applyFill="1" applyBorder="1" applyAlignment="1" applyProtection="1">
      <alignment horizontal="left" vertical="center" wrapText="1" indent="4"/>
    </xf>
    <xf numFmtId="3" fontId="5" fillId="0" borderId="2" xfId="0" quotePrefix="1" applyNumberFormat="1" applyFont="1" applyFill="1" applyBorder="1" applyAlignment="1" applyProtection="1">
      <alignment horizontal="left" vertical="center" wrapText="1" indent="2"/>
    </xf>
    <xf numFmtId="3" fontId="5" fillId="0" borderId="2" xfId="0" quotePrefix="1" applyNumberFormat="1" applyFont="1" applyFill="1" applyBorder="1" applyAlignment="1" applyProtection="1">
      <alignment horizontal="left" vertical="center" wrapText="1" indent="4"/>
    </xf>
    <xf numFmtId="49" fontId="7" fillId="0" borderId="2" xfId="0" applyNumberFormat="1" applyFont="1" applyFill="1" applyBorder="1" applyAlignment="1" applyProtection="1">
      <alignment horizontal="left"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/>
    <xf numFmtId="9" fontId="5" fillId="0" borderId="0" xfId="3" applyFont="1" applyFill="1"/>
    <xf numFmtId="3" fontId="5" fillId="0" borderId="0" xfId="3" applyNumberFormat="1" applyFont="1" applyFill="1"/>
    <xf numFmtId="164" fontId="5" fillId="0" borderId="0" xfId="1" applyFont="1" applyFill="1"/>
    <xf numFmtId="164" fontId="5" fillId="0" borderId="0" xfId="1" applyFont="1"/>
    <xf numFmtId="0" fontId="5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</xf>
    <xf numFmtId="0" fontId="25" fillId="0" borderId="0" xfId="0" applyFont="1" applyBorder="1" applyProtection="1"/>
    <xf numFmtId="0" fontId="2" fillId="0" borderId="0" xfId="0" applyFont="1" applyBorder="1" applyAlignment="1" applyProtection="1">
      <alignment horizontal="center" wrapText="1"/>
    </xf>
    <xf numFmtId="166" fontId="5" fillId="0" borderId="0" xfId="0" applyNumberFormat="1" applyFont="1" applyBorder="1" applyAlignment="1" applyProtection="1">
      <alignment horizontal="center" wrapText="1"/>
    </xf>
    <xf numFmtId="0" fontId="21" fillId="0" borderId="0" xfId="0" applyFont="1" applyBorder="1" applyAlignment="1" applyProtection="1">
      <alignment horizontal="center" vertical="center"/>
      <protection locked="0"/>
    </xf>
    <xf numFmtId="166" fontId="0" fillId="0" borderId="0" xfId="0" applyNumberFormat="1" applyFont="1" applyBorder="1" applyAlignment="1" applyProtection="1">
      <alignment horizontal="left" indent="2"/>
    </xf>
    <xf numFmtId="0" fontId="7" fillId="0" borderId="3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3" fontId="12" fillId="0" borderId="4" xfId="0" applyNumberFormat="1" applyFont="1" applyBorder="1" applyAlignment="1" applyProtection="1">
      <alignment vertical="center"/>
    </xf>
    <xf numFmtId="3" fontId="12" fillId="0" borderId="4" xfId="0" applyNumberFormat="1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 indent="1"/>
    </xf>
    <xf numFmtId="0" fontId="5" fillId="0" borderId="3" xfId="0" quotePrefix="1" applyFont="1" applyBorder="1" applyAlignment="1" applyProtection="1">
      <alignment horizontal="center" vertical="center" wrapText="1"/>
    </xf>
    <xf numFmtId="0" fontId="5" fillId="0" borderId="3" xfId="0" quotePrefix="1" applyFont="1" applyBorder="1" applyAlignment="1" applyProtection="1">
      <alignment horizontal="left" vertical="center" wrapText="1" indent="1"/>
    </xf>
    <xf numFmtId="0" fontId="5" fillId="0" borderId="3" xfId="0" quotePrefix="1" applyFont="1" applyBorder="1" applyAlignment="1" applyProtection="1">
      <alignment horizontal="left" vertical="center" indent="1"/>
    </xf>
    <xf numFmtId="0" fontId="7" fillId="0" borderId="3" xfId="0" quotePrefix="1" applyFont="1" applyBorder="1" applyAlignment="1" applyProtection="1">
      <alignment horizontal="left" vertical="center" indent="1"/>
    </xf>
    <xf numFmtId="3" fontId="11" fillId="0" borderId="4" xfId="0" applyNumberFormat="1" applyFont="1" applyBorder="1" applyAlignment="1" applyProtection="1">
      <alignment vertical="center"/>
    </xf>
    <xf numFmtId="3" fontId="25" fillId="0" borderId="0" xfId="0" applyNumberFormat="1" applyFont="1" applyBorder="1" applyProtection="1"/>
    <xf numFmtId="3" fontId="5" fillId="3" borderId="4" xfId="0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horizontal="left" vertical="center" indent="1"/>
    </xf>
    <xf numFmtId="0" fontId="7" fillId="0" borderId="3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left" vertical="center" indent="1"/>
    </xf>
    <xf numFmtId="0" fontId="27" fillId="0" borderId="0" xfId="0" applyFont="1" applyBorder="1" applyProtection="1"/>
    <xf numFmtId="0" fontId="5" fillId="0" borderId="3" xfId="0" quotePrefix="1" applyFont="1" applyFill="1" applyBorder="1" applyAlignment="1" applyProtection="1">
      <alignment horizontal="center" vertical="center" wrapText="1"/>
    </xf>
    <xf numFmtId="0" fontId="5" fillId="0" borderId="3" xfId="0" quotePrefix="1" applyFont="1" applyFill="1" applyBorder="1" applyAlignment="1" applyProtection="1">
      <alignment horizontal="left" vertical="center" indent="1"/>
    </xf>
    <xf numFmtId="0" fontId="7" fillId="0" borderId="3" xfId="0" quotePrefix="1" applyFont="1" applyFill="1" applyBorder="1" applyAlignment="1" applyProtection="1">
      <alignment horizontal="center" vertical="center" wrapText="1"/>
    </xf>
    <xf numFmtId="0" fontId="7" fillId="0" borderId="3" xfId="0" quotePrefix="1" applyFont="1" applyFill="1" applyBorder="1" applyAlignment="1" applyProtection="1">
      <alignment horizontal="left" vertical="center" indent="1"/>
    </xf>
    <xf numFmtId="0" fontId="11" fillId="0" borderId="3" xfId="0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 applyProtection="1">
      <alignment horizontal="left" vertical="center" wrapText="1" indent="1"/>
    </xf>
    <xf numFmtId="0" fontId="0" fillId="0" borderId="3" xfId="0" quotePrefix="1" applyFont="1" applyFill="1" applyBorder="1" applyAlignment="1" applyProtection="1">
      <alignment horizontal="center" vertical="center" wrapText="1"/>
    </xf>
    <xf numFmtId="0" fontId="0" fillId="0" borderId="3" xfId="0" quotePrefix="1" applyFont="1" applyFill="1" applyBorder="1" applyAlignment="1" applyProtection="1">
      <alignment horizontal="left" vertical="center" indent="1"/>
    </xf>
    <xf numFmtId="0" fontId="7" fillId="0" borderId="3" xfId="0" applyFont="1" applyFill="1" applyBorder="1" applyAlignment="1" applyProtection="1">
      <alignment horizontal="left" vertical="center" wrapText="1" indent="1"/>
    </xf>
    <xf numFmtId="0" fontId="0" fillId="0" borderId="3" xfId="0" applyFont="1" applyFill="1" applyBorder="1" applyAlignment="1" applyProtection="1">
      <alignment horizontal="left" vertical="center" indent="1"/>
    </xf>
    <xf numFmtId="0" fontId="28" fillId="0" borderId="0" xfId="0" applyFont="1" applyBorder="1" applyProtection="1"/>
    <xf numFmtId="0" fontId="29" fillId="0" borderId="3" xfId="0" applyFont="1" applyFill="1" applyBorder="1" applyAlignment="1" applyProtection="1">
      <alignment horizontal="left" vertical="center" indent="1"/>
    </xf>
    <xf numFmtId="3" fontId="5" fillId="0" borderId="4" xfId="0" applyNumberFormat="1" applyFont="1" applyBorder="1" applyAlignment="1" applyProtection="1">
      <alignment vertical="center"/>
    </xf>
    <xf numFmtId="3" fontId="5" fillId="0" borderId="4" xfId="0" applyNumberFormat="1" applyFont="1" applyFill="1" applyBorder="1" applyAlignment="1" applyProtection="1">
      <alignment vertical="center"/>
    </xf>
    <xf numFmtId="3" fontId="13" fillId="5" borderId="2" xfId="0" applyNumberFormat="1" applyFont="1" applyFill="1" applyBorder="1" applyAlignment="1" applyProtection="1">
      <alignment horizontal="right" vertical="center"/>
    </xf>
    <xf numFmtId="0" fontId="5" fillId="0" borderId="3" xfId="0" applyFont="1" applyFill="1" applyBorder="1" applyAlignment="1" applyProtection="1">
      <alignment horizontal="left" vertical="center" wrapText="1" indent="1"/>
    </xf>
    <xf numFmtId="0" fontId="25" fillId="0" borderId="0" xfId="0" quotePrefix="1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wrapText="1"/>
    </xf>
    <xf numFmtId="0" fontId="25" fillId="0" borderId="0" xfId="0" applyFont="1" applyFill="1" applyProtection="1"/>
    <xf numFmtId="166" fontId="7" fillId="0" borderId="0" xfId="0" quotePrefix="1" applyNumberFormat="1" applyFont="1" applyAlignment="1" applyProtection="1">
      <alignment horizontal="centerContinuous" vertical="center"/>
    </xf>
    <xf numFmtId="0" fontId="5" fillId="0" borderId="0" xfId="0" applyFont="1" applyAlignment="1" applyProtection="1">
      <alignment horizontal="centerContinuous"/>
    </xf>
    <xf numFmtId="0" fontId="12" fillId="0" borderId="0" xfId="0" applyFont="1" applyBorder="1" applyAlignment="1" applyProtection="1">
      <alignment horizontal="centerContinuous" vertical="center"/>
    </xf>
    <xf numFmtId="0" fontId="12" fillId="0" borderId="0" xfId="0" applyFont="1" applyAlignment="1" applyProtection="1">
      <alignment horizontal="centerContinuous"/>
    </xf>
    <xf numFmtId="0" fontId="25" fillId="0" borderId="0" xfId="0" applyFont="1" applyProtection="1"/>
    <xf numFmtId="0" fontId="7" fillId="0" borderId="0" xfId="0" applyFont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0" xfId="0" applyFont="1" applyProtection="1"/>
    <xf numFmtId="0" fontId="27" fillId="0" borderId="0" xfId="0" applyFont="1" applyProtection="1"/>
    <xf numFmtId="2" fontId="5" fillId="0" borderId="6" xfId="0" applyNumberFormat="1" applyFont="1" applyBorder="1" applyAlignment="1" applyProtection="1">
      <alignment horizontal="center" vertical="center"/>
    </xf>
    <xf numFmtId="168" fontId="5" fillId="0" borderId="4" xfId="0" applyNumberFormat="1" applyFont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left" vertical="center" indent="4"/>
    </xf>
    <xf numFmtId="0" fontId="29" fillId="0" borderId="2" xfId="0" applyFont="1" applyFill="1" applyBorder="1" applyAlignment="1" applyProtection="1">
      <alignment horizontal="left" vertical="center" indent="4"/>
    </xf>
    <xf numFmtId="2" fontId="5" fillId="0" borderId="4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Protection="1"/>
    <xf numFmtId="0" fontId="27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2" fillId="0" borderId="0" xfId="0" applyFont="1" applyBorder="1" applyAlignment="1" applyProtection="1">
      <alignment horizontal="center"/>
    </xf>
    <xf numFmtId="3" fontId="16" fillId="2" borderId="6" xfId="0" applyNumberFormat="1" applyFont="1" applyFill="1" applyBorder="1" applyAlignment="1" applyProtection="1">
      <alignment horizontal="center" vertical="center" wrapText="1"/>
    </xf>
    <xf numFmtId="3" fontId="17" fillId="2" borderId="6" xfId="0" applyNumberFormat="1" applyFont="1" applyFill="1" applyBorder="1" applyAlignment="1" applyProtection="1">
      <alignment horizontal="center" vertical="center" wrapText="1"/>
    </xf>
    <xf numFmtId="3" fontId="31" fillId="2" borderId="2" xfId="0" applyNumberFormat="1" applyFont="1" applyFill="1" applyBorder="1" applyAlignment="1" applyProtection="1">
      <alignment horizontal="center" vertical="center" wrapText="1"/>
    </xf>
    <xf numFmtId="168" fontId="12" fillId="0" borderId="6" xfId="0" applyNumberFormat="1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 wrapText="1"/>
    </xf>
    <xf numFmtId="2" fontId="5" fillId="0" borderId="6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Fill="1" applyBorder="1" applyAlignment="1" applyProtection="1">
      <alignment horizontal="center" vertical="center"/>
    </xf>
    <xf numFmtId="3" fontId="10" fillId="0" borderId="4" xfId="0" applyNumberFormat="1" applyFont="1" applyBorder="1" applyAlignment="1" applyProtection="1">
      <alignment horizontal="right"/>
    </xf>
    <xf numFmtId="3" fontId="33" fillId="0" borderId="0" xfId="0" applyNumberFormat="1" applyFont="1" applyBorder="1" applyAlignment="1">
      <alignment vertical="center"/>
    </xf>
    <xf numFmtId="164" fontId="34" fillId="0" borderId="0" xfId="1" applyFont="1" applyBorder="1" applyAlignment="1">
      <alignment vertical="center"/>
    </xf>
    <xf numFmtId="0" fontId="35" fillId="0" borderId="0" xfId="0" applyFont="1" applyFill="1" applyAlignment="1" applyProtection="1">
      <alignment vertical="center"/>
    </xf>
    <xf numFmtId="169" fontId="35" fillId="0" borderId="0" xfId="1" applyNumberFormat="1" applyFont="1" applyFill="1" applyAlignment="1">
      <alignment vertical="center"/>
    </xf>
    <xf numFmtId="0" fontId="35" fillId="0" borderId="0" xfId="0" applyFont="1" applyFill="1" applyAlignment="1">
      <alignment vertical="center"/>
    </xf>
    <xf numFmtId="165" fontId="26" fillId="0" borderId="1" xfId="4" applyNumberFormat="1" applyFont="1" applyFill="1" applyBorder="1" applyAlignment="1" applyProtection="1">
      <alignment vertical="center" wrapText="1"/>
      <protection locked="0"/>
    </xf>
    <xf numFmtId="165" fontId="9" fillId="0" borderId="1" xfId="4" applyNumberFormat="1" applyFont="1" applyFill="1" applyBorder="1" applyAlignment="1" applyProtection="1">
      <alignment horizontal="right" wrapText="1"/>
      <protection locked="0"/>
    </xf>
    <xf numFmtId="0" fontId="2" fillId="0" borderId="0" xfId="0" applyFont="1" applyBorder="1" applyAlignment="1" applyProtection="1">
      <alignment horizontal="center"/>
    </xf>
    <xf numFmtId="3" fontId="7" fillId="0" borderId="0" xfId="3" applyNumberFormat="1" applyFont="1" applyAlignment="1">
      <alignment horizontal="center" wrapText="1"/>
    </xf>
    <xf numFmtId="3" fontId="14" fillId="0" borderId="0" xfId="0" applyNumberFormat="1" applyFont="1" applyBorder="1" applyAlignment="1">
      <alignment horizontal="center" vertical="center" wrapText="1"/>
    </xf>
    <xf numFmtId="3" fontId="16" fillId="2" borderId="6" xfId="0" applyNumberFormat="1" applyFont="1" applyFill="1" applyBorder="1" applyAlignment="1" applyProtection="1">
      <alignment horizontal="center" vertical="center" wrapText="1"/>
    </xf>
    <xf numFmtId="3" fontId="16" fillId="2" borderId="12" xfId="0" applyNumberFormat="1" applyFont="1" applyFill="1" applyBorder="1" applyAlignment="1" applyProtection="1">
      <alignment horizontal="center" vertical="center" wrapText="1"/>
    </xf>
    <xf numFmtId="3" fontId="17" fillId="2" borderId="5" xfId="0" applyNumberFormat="1" applyFont="1" applyFill="1" applyBorder="1" applyAlignment="1" applyProtection="1">
      <alignment horizontal="center" vertical="center" wrapText="1"/>
    </xf>
    <xf numFmtId="3" fontId="17" fillId="2" borderId="7" xfId="0" applyNumberFormat="1" applyFont="1" applyFill="1" applyBorder="1" applyAlignment="1" applyProtection="1">
      <alignment horizontal="center" vertical="center" wrapText="1"/>
    </xf>
    <xf numFmtId="3" fontId="17" fillId="2" borderId="8" xfId="0" applyNumberFormat="1" applyFont="1" applyFill="1" applyBorder="1" applyAlignment="1" applyProtection="1">
      <alignment horizontal="center" vertical="center" wrapText="1"/>
    </xf>
    <xf numFmtId="3" fontId="17" fillId="2" borderId="6" xfId="0" applyNumberFormat="1" applyFont="1" applyFill="1" applyBorder="1" applyAlignment="1" applyProtection="1">
      <alignment horizontal="center" vertical="center" wrapText="1"/>
    </xf>
    <xf numFmtId="3" fontId="17" fillId="2" borderId="12" xfId="0" applyNumberFormat="1" applyFont="1" applyFill="1" applyBorder="1" applyAlignment="1" applyProtection="1">
      <alignment horizontal="center" vertical="center" wrapText="1"/>
    </xf>
    <xf numFmtId="3" fontId="17" fillId="2" borderId="9" xfId="0" applyNumberFormat="1" applyFont="1" applyFill="1" applyBorder="1" applyAlignment="1" applyProtection="1">
      <alignment horizontal="center" vertical="center" wrapText="1"/>
    </xf>
    <xf numFmtId="3" fontId="17" fillId="2" borderId="10" xfId="0" applyNumberFormat="1" applyFont="1" applyFill="1" applyBorder="1" applyAlignment="1" applyProtection="1">
      <alignment horizontal="center" vertical="center" wrapText="1"/>
    </xf>
    <xf numFmtId="3" fontId="17" fillId="2" borderId="3" xfId="0" applyNumberFormat="1" applyFont="1" applyFill="1" applyBorder="1" applyAlignment="1" applyProtection="1">
      <alignment horizontal="center" vertical="center" wrapText="1"/>
    </xf>
    <xf numFmtId="3" fontId="17" fillId="2" borderId="13" xfId="0" applyNumberFormat="1" applyFont="1" applyFill="1" applyBorder="1" applyAlignment="1" applyProtection="1">
      <alignment horizontal="center" vertical="center" wrapText="1"/>
    </xf>
    <xf numFmtId="3" fontId="17" fillId="2" borderId="11" xfId="0" applyNumberFormat="1" applyFont="1" applyFill="1" applyBorder="1" applyAlignment="1" applyProtection="1">
      <alignment horizontal="center" vertical="center" wrapText="1"/>
    </xf>
    <xf numFmtId="3" fontId="17" fillId="2" borderId="1" xfId="0" applyNumberFormat="1" applyFont="1" applyFill="1" applyBorder="1" applyAlignment="1" applyProtection="1">
      <alignment horizontal="center" vertical="center" wrapText="1"/>
    </xf>
    <xf numFmtId="3" fontId="16" fillId="2" borderId="9" xfId="0" applyNumberFormat="1" applyFont="1" applyFill="1" applyBorder="1" applyAlignment="1" applyProtection="1">
      <alignment horizontal="center" vertical="center" wrapText="1"/>
    </xf>
    <xf numFmtId="3" fontId="16" fillId="2" borderId="11" xfId="0" applyNumberFormat="1" applyFont="1" applyFill="1" applyBorder="1" applyAlignment="1" applyProtection="1">
      <alignment horizontal="center" vertical="center" wrapText="1"/>
    </xf>
    <xf numFmtId="3" fontId="16" fillId="2" borderId="10" xfId="0" applyNumberFormat="1" applyFont="1" applyFill="1" applyBorder="1" applyAlignment="1" applyProtection="1">
      <alignment horizontal="center" vertical="center" wrapText="1"/>
    </xf>
    <xf numFmtId="3" fontId="16" fillId="2" borderId="3" xfId="0" applyNumberFormat="1" applyFont="1" applyFill="1" applyBorder="1" applyAlignment="1" applyProtection="1">
      <alignment horizontal="center" vertical="center" wrapText="1"/>
    </xf>
    <xf numFmtId="3" fontId="16" fillId="2" borderId="1" xfId="0" applyNumberFormat="1" applyFont="1" applyFill="1" applyBorder="1" applyAlignment="1" applyProtection="1">
      <alignment horizontal="center" vertical="center" wrapText="1"/>
    </xf>
    <xf numFmtId="3" fontId="16" fillId="2" borderId="13" xfId="0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/>
    </xf>
    <xf numFmtId="0" fontId="7" fillId="0" borderId="7" xfId="0" applyFont="1" applyBorder="1" applyAlignment="1" applyProtection="1">
      <alignment horizontal="center"/>
    </xf>
    <xf numFmtId="0" fontId="7" fillId="0" borderId="2" xfId="0" applyFont="1" applyFill="1" applyBorder="1" applyAlignment="1" applyProtection="1">
      <alignment horizontal="center"/>
    </xf>
    <xf numFmtId="49" fontId="5" fillId="0" borderId="6" xfId="0" applyNumberFormat="1" applyFont="1" applyBorder="1" applyAlignment="1" applyProtection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</xf>
    <xf numFmtId="0" fontId="32" fillId="0" borderId="9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32" fillId="0" borderId="5" xfId="0" applyFont="1" applyBorder="1" applyAlignment="1" applyProtection="1">
      <alignment horizontal="center" vertical="center" wrapText="1"/>
    </xf>
    <xf numFmtId="0" fontId="32" fillId="0" borderId="7" xfId="0" applyFont="1" applyBorder="1" applyAlignment="1" applyProtection="1">
      <alignment horizontal="center" vertical="center" wrapText="1"/>
    </xf>
    <xf numFmtId="0" fontId="32" fillId="0" borderId="8" xfId="0" applyFont="1" applyBorder="1" applyAlignment="1" applyProtection="1">
      <alignment horizontal="center" vertical="center" wrapText="1"/>
    </xf>
    <xf numFmtId="168" fontId="12" fillId="0" borderId="6" xfId="0" applyNumberFormat="1" applyFont="1" applyBorder="1" applyAlignment="1" applyProtection="1">
      <alignment horizontal="center" vertical="center"/>
    </xf>
    <xf numFmtId="168" fontId="5" fillId="0" borderId="12" xfId="0" applyNumberFormat="1" applyFont="1" applyBorder="1" applyAlignment="1" applyProtection="1">
      <alignment horizontal="center" vertical="center"/>
    </xf>
    <xf numFmtId="168" fontId="12" fillId="0" borderId="2" xfId="0" applyNumberFormat="1" applyFont="1" applyFill="1" applyBorder="1" applyAlignment="1" applyProtection="1">
      <alignment horizontal="center" vertical="center"/>
    </xf>
    <xf numFmtId="168" fontId="5" fillId="0" borderId="2" xfId="0" applyNumberFormat="1" applyFont="1" applyFill="1" applyBorder="1" applyAlignment="1" applyProtection="1">
      <alignment horizontal="center" vertical="center"/>
    </xf>
    <xf numFmtId="0" fontId="32" fillId="0" borderId="11" xfId="0" applyFont="1" applyBorder="1" applyAlignment="1" applyProtection="1">
      <alignment horizontal="center" vertical="center"/>
    </xf>
    <xf numFmtId="0" fontId="32" fillId="0" borderId="10" xfId="0" applyFont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0" fillId="0" borderId="0" xfId="0" applyFont="1" applyFill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3" fontId="31" fillId="2" borderId="2" xfId="0" applyNumberFormat="1" applyFont="1" applyFill="1" applyBorder="1" applyAlignment="1" applyProtection="1">
      <alignment horizontal="center" vertical="center" wrapText="1"/>
    </xf>
    <xf numFmtId="0" fontId="32" fillId="0" borderId="9" xfId="0" applyFont="1" applyBorder="1" applyAlignment="1" applyProtection="1">
      <alignment horizontal="center" vertical="center" wrapText="1"/>
    </xf>
    <xf numFmtId="0" fontId="32" fillId="0" borderId="11" xfId="0" quotePrefix="1" applyFont="1" applyBorder="1" applyAlignment="1" applyProtection="1">
      <alignment horizontal="center" vertical="center" wrapText="1"/>
    </xf>
    <xf numFmtId="0" fontId="32" fillId="0" borderId="10" xfId="0" quotePrefix="1" applyFont="1" applyBorder="1" applyAlignment="1" applyProtection="1">
      <alignment horizontal="center" vertical="center" wrapText="1"/>
    </xf>
    <xf numFmtId="0" fontId="32" fillId="0" borderId="5" xfId="0" applyFont="1" applyBorder="1" applyAlignment="1" applyProtection="1">
      <alignment horizontal="center"/>
    </xf>
    <xf numFmtId="0" fontId="32" fillId="0" borderId="7" xfId="0" applyFont="1" applyBorder="1" applyAlignment="1" applyProtection="1">
      <alignment horizontal="center"/>
    </xf>
    <xf numFmtId="0" fontId="32" fillId="0" borderId="8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32" fillId="0" borderId="9" xfId="0" applyFont="1" applyBorder="1" applyAlignment="1" applyProtection="1">
      <alignment horizontal="center"/>
    </xf>
    <xf numFmtId="0" fontId="32" fillId="0" borderId="11" xfId="0" applyFont="1" applyBorder="1" applyAlignment="1" applyProtection="1">
      <alignment horizontal="center"/>
    </xf>
    <xf numFmtId="0" fontId="32" fillId="0" borderId="10" xfId="0" applyFont="1" applyBorder="1" applyAlignment="1" applyProtection="1">
      <alignment horizontal="center"/>
    </xf>
    <xf numFmtId="168" fontId="12" fillId="0" borderId="6" xfId="0" applyNumberFormat="1" applyFont="1" applyFill="1" applyBorder="1" applyAlignment="1" applyProtection="1">
      <alignment horizontal="center" vertical="center"/>
    </xf>
    <xf numFmtId="168" fontId="5" fillId="0" borderId="4" xfId="0" applyNumberFormat="1" applyFont="1" applyFill="1" applyBorder="1" applyAlignment="1" applyProtection="1">
      <alignment horizontal="center" vertical="center"/>
    </xf>
    <xf numFmtId="0" fontId="32" fillId="0" borderId="5" xfId="0" applyFont="1" applyBorder="1" applyAlignment="1" applyProtection="1">
      <alignment horizontal="center" vertical="center"/>
    </xf>
    <xf numFmtId="0" fontId="32" fillId="0" borderId="7" xfId="0" applyFont="1" applyBorder="1" applyAlignment="1" applyProtection="1">
      <alignment horizontal="center" vertical="center"/>
    </xf>
    <xf numFmtId="0" fontId="32" fillId="0" borderId="8" xfId="0" applyFont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center" vertical="center"/>
    </xf>
    <xf numFmtId="49" fontId="5" fillId="0" borderId="12" xfId="0" applyNumberFormat="1" applyFont="1" applyFill="1" applyBorder="1" applyAlignment="1" applyProtection="1">
      <alignment horizontal="center" vertical="center"/>
    </xf>
    <xf numFmtId="49" fontId="5" fillId="0" borderId="4" xfId="0" applyNumberFormat="1" applyFont="1" applyFill="1" applyBorder="1" applyAlignment="1" applyProtection="1">
      <alignment horizontal="center" vertical="center"/>
    </xf>
    <xf numFmtId="0" fontId="32" fillId="0" borderId="9" xfId="0" quotePrefix="1" applyFont="1" applyFill="1" applyBorder="1" applyAlignment="1" applyProtection="1">
      <alignment horizontal="center" vertical="center" wrapText="1"/>
    </xf>
    <xf numFmtId="0" fontId="32" fillId="0" borderId="11" xfId="0" quotePrefix="1" applyFont="1" applyFill="1" applyBorder="1" applyAlignment="1" applyProtection="1">
      <alignment horizontal="center" vertical="center" wrapText="1"/>
    </xf>
    <xf numFmtId="0" fontId="32" fillId="0" borderId="14" xfId="0" quotePrefix="1" applyFont="1" applyFill="1" applyBorder="1" applyAlignment="1" applyProtection="1">
      <alignment horizontal="center" vertical="center" wrapText="1"/>
    </xf>
    <xf numFmtId="0" fontId="32" fillId="0" borderId="0" xfId="0" quotePrefix="1" applyFont="1" applyFill="1" applyBorder="1" applyAlignment="1" applyProtection="1">
      <alignment horizontal="center" vertical="center" wrapText="1"/>
    </xf>
    <xf numFmtId="0" fontId="32" fillId="0" borderId="3" xfId="0" quotePrefix="1" applyFont="1" applyFill="1" applyBorder="1" applyAlignment="1" applyProtection="1">
      <alignment horizontal="center" vertical="center" wrapText="1"/>
    </xf>
    <xf numFmtId="0" fontId="32" fillId="0" borderId="1" xfId="0" quotePrefix="1" applyFont="1" applyFill="1" applyBorder="1" applyAlignment="1" applyProtection="1">
      <alignment horizontal="center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10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2" fontId="5" fillId="0" borderId="6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 wrapText="1"/>
    </xf>
    <xf numFmtId="0" fontId="32" fillId="0" borderId="9" xfId="0" applyFont="1" applyFill="1" applyBorder="1" applyAlignment="1" applyProtection="1">
      <alignment horizontal="center" vertical="center" wrapText="1"/>
    </xf>
    <xf numFmtId="0" fontId="32" fillId="0" borderId="10" xfId="0" quotePrefix="1" applyFont="1" applyFill="1" applyBorder="1" applyAlignment="1" applyProtection="1">
      <alignment horizontal="center" vertical="center" wrapText="1"/>
    </xf>
    <xf numFmtId="0" fontId="32" fillId="0" borderId="5" xfId="0" applyFont="1" applyFill="1" applyBorder="1" applyAlignment="1" applyProtection="1">
      <alignment horizontal="center" vertical="center" wrapText="1"/>
    </xf>
    <xf numFmtId="0" fontId="32" fillId="0" borderId="7" xfId="0" applyFont="1" applyFill="1" applyBorder="1" applyAlignment="1" applyProtection="1">
      <alignment horizontal="center" vertical="center" wrapText="1"/>
    </xf>
    <xf numFmtId="0" fontId="32" fillId="0" borderId="8" xfId="0" applyFont="1" applyFill="1" applyBorder="1" applyAlignment="1" applyProtection="1">
      <alignment horizontal="center" vertical="center" wrapText="1"/>
    </xf>
    <xf numFmtId="168" fontId="12" fillId="0" borderId="6" xfId="0" applyNumberFormat="1" applyFont="1" applyFill="1" applyBorder="1" applyAlignment="1" applyProtection="1">
      <alignment horizontal="center" vertical="center"/>
      <protection locked="0"/>
    </xf>
    <xf numFmtId="168" fontId="5" fillId="0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/>
    </xf>
    <xf numFmtId="0" fontId="7" fillId="0" borderId="7" xfId="0" applyFont="1" applyFill="1" applyBorder="1" applyAlignment="1" applyProtection="1">
      <alignment horizontal="center"/>
    </xf>
    <xf numFmtId="0" fontId="5" fillId="0" borderId="14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15" xfId="0" applyFont="1" applyFill="1" applyBorder="1" applyAlignment="1" applyProtection="1">
      <alignment horizontal="center" vertical="center" wrapText="1"/>
    </xf>
    <xf numFmtId="0" fontId="32" fillId="0" borderId="5" xfId="0" quotePrefix="1" applyFont="1" applyFill="1" applyBorder="1" applyAlignment="1" applyProtection="1">
      <alignment horizontal="center" vertical="center" wrapText="1"/>
    </xf>
    <xf numFmtId="0" fontId="32" fillId="0" borderId="7" xfId="0" quotePrefix="1" applyFont="1" applyFill="1" applyBorder="1" applyAlignment="1" applyProtection="1">
      <alignment horizontal="center" vertical="center" wrapText="1"/>
    </xf>
    <xf numFmtId="0" fontId="32" fillId="0" borderId="8" xfId="0" quotePrefix="1" applyFont="1" applyFill="1" applyBorder="1" applyAlignment="1" applyProtection="1">
      <alignment horizontal="center" vertical="center" wrapText="1"/>
    </xf>
    <xf numFmtId="0" fontId="0" fillId="0" borderId="4" xfId="0" applyFont="1" applyBorder="1" applyProtection="1"/>
    <xf numFmtId="0" fontId="32" fillId="0" borderId="14" xfId="0" applyFont="1" applyFill="1" applyBorder="1" applyAlignment="1" applyProtection="1">
      <alignment horizontal="center" vertical="center" wrapText="1"/>
    </xf>
    <xf numFmtId="0" fontId="32" fillId="0" borderId="15" xfId="0" quotePrefix="1" applyFont="1" applyFill="1" applyBorder="1" applyAlignment="1" applyProtection="1">
      <alignment horizontal="center" vertical="center" wrapText="1"/>
    </xf>
    <xf numFmtId="0" fontId="32" fillId="0" borderId="5" xfId="0" applyFont="1" applyFill="1" applyBorder="1" applyAlignment="1" applyProtection="1">
      <alignment horizontal="center" vertical="center"/>
    </xf>
    <xf numFmtId="0" fontId="32" fillId="0" borderId="7" xfId="0" applyFont="1" applyFill="1" applyBorder="1" applyAlignment="1" applyProtection="1">
      <alignment horizontal="center" vertical="center"/>
    </xf>
    <xf numFmtId="0" fontId="32" fillId="0" borderId="8" xfId="0" applyFont="1" applyFill="1" applyBorder="1" applyAlignment="1" applyProtection="1">
      <alignment horizontal="center" vertical="center"/>
    </xf>
    <xf numFmtId="0" fontId="32" fillId="0" borderId="11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  <xf numFmtId="168" fontId="5" fillId="0" borderId="12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horizontal="center" wrapText="1"/>
    </xf>
    <xf numFmtId="0" fontId="32" fillId="0" borderId="2" xfId="0" applyFont="1" applyFill="1" applyBorder="1" applyAlignment="1" applyProtection="1">
      <alignment horizontal="center" vertical="center" wrapText="1"/>
    </xf>
    <xf numFmtId="168" fontId="12" fillId="0" borderId="4" xfId="0" applyNumberFormat="1" applyFont="1" applyFill="1" applyBorder="1" applyAlignment="1" applyProtection="1">
      <alignment horizontal="center" vertical="center"/>
    </xf>
    <xf numFmtId="0" fontId="32" fillId="0" borderId="1" xfId="0" applyFont="1" applyFill="1" applyBorder="1" applyAlignment="1" applyProtection="1">
      <alignment horizontal="center" vertical="center" wrapText="1"/>
    </xf>
    <xf numFmtId="0" fontId="32" fillId="0" borderId="13" xfId="0" applyFont="1" applyFill="1" applyBorder="1" applyAlignment="1" applyProtection="1">
      <alignment horizontal="center" vertical="center" wrapText="1"/>
    </xf>
  </cellXfs>
  <cellStyles count="6">
    <cellStyle name="Денежный [0]" xfId="2" builtinId="7"/>
    <cellStyle name="Обычный" xfId="0" builtinId="0"/>
    <cellStyle name="Обычный 4 2" xfId="4" xr:uid="{00000000-0005-0000-0000-000002000000}"/>
    <cellStyle name="Процентный" xfId="3" builtinId="5"/>
    <cellStyle name="Процентный 2" xfId="5" xr:uid="{00000000-0005-0000-0000-000004000000}"/>
    <cellStyle name="Финансовый" xfId="1" builtinId="3"/>
  </cellStyles>
  <dxfs count="4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A13" workbookViewId="0">
      <selection activeCell="C25" sqref="C25:C26"/>
    </sheetView>
  </sheetViews>
  <sheetFormatPr defaultRowHeight="15" x14ac:dyDescent="0.25"/>
  <cols>
    <col min="1" max="1" width="7" customWidth="1"/>
    <col min="2" max="2" width="85.42578125" customWidth="1"/>
    <col min="3" max="5" width="18.28515625" customWidth="1"/>
  </cols>
  <sheetData>
    <row r="1" spans="1:5" ht="15.75" x14ac:dyDescent="0.25">
      <c r="A1" s="225" t="s">
        <v>0</v>
      </c>
      <c r="B1" s="225"/>
      <c r="C1" s="225"/>
      <c r="D1" s="225"/>
      <c r="E1" s="1" t="s">
        <v>1</v>
      </c>
    </row>
    <row r="2" spans="1:5" ht="26.25" x14ac:dyDescent="0.25">
      <c r="A2" s="3"/>
      <c r="B2" s="4" t="s">
        <v>446</v>
      </c>
      <c r="C2" s="5"/>
      <c r="D2" s="6"/>
      <c r="E2" s="5"/>
    </row>
    <row r="3" spans="1:5" ht="15.75" x14ac:dyDescent="0.25">
      <c r="A3" s="3"/>
      <c r="B3" s="7" t="s">
        <v>445</v>
      </c>
      <c r="C3" s="2"/>
      <c r="D3" s="8">
        <v>44926</v>
      </c>
      <c r="E3" s="9" t="s">
        <v>2</v>
      </c>
    </row>
    <row r="4" spans="1:5" ht="38.25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</row>
    <row r="5" spans="1:5" x14ac:dyDescent="0.25">
      <c r="A5" s="13">
        <v>1</v>
      </c>
      <c r="B5" s="14" t="s">
        <v>8</v>
      </c>
      <c r="C5" s="15">
        <v>550033332</v>
      </c>
      <c r="D5" s="15">
        <v>295753304</v>
      </c>
      <c r="E5" s="15">
        <v>254280028</v>
      </c>
    </row>
    <row r="6" spans="1:5" x14ac:dyDescent="0.25">
      <c r="A6" s="13">
        <v>2</v>
      </c>
      <c r="B6" s="14" t="s">
        <v>9</v>
      </c>
      <c r="C6" s="16">
        <v>425539397</v>
      </c>
      <c r="D6" s="15">
        <v>425539397</v>
      </c>
      <c r="E6" s="15">
        <v>0</v>
      </c>
    </row>
    <row r="7" spans="1:5" x14ac:dyDescent="0.25">
      <c r="A7" s="13">
        <v>3</v>
      </c>
      <c r="B7" s="17" t="s">
        <v>10</v>
      </c>
      <c r="C7" s="15">
        <v>700292075</v>
      </c>
      <c r="D7" s="15">
        <v>111154310</v>
      </c>
      <c r="E7" s="15">
        <v>589137765</v>
      </c>
    </row>
    <row r="8" spans="1:5" x14ac:dyDescent="0.25">
      <c r="A8" s="13" t="s">
        <v>11</v>
      </c>
      <c r="B8" s="18" t="s">
        <v>12</v>
      </c>
      <c r="C8" s="15">
        <v>700406984</v>
      </c>
      <c r="D8" s="19">
        <v>111154310</v>
      </c>
      <c r="E8" s="19">
        <v>589252674</v>
      </c>
    </row>
    <row r="9" spans="1:5" x14ac:dyDescent="0.25">
      <c r="A9" s="13" t="s">
        <v>13</v>
      </c>
      <c r="B9" s="18" t="s">
        <v>14</v>
      </c>
      <c r="C9" s="15">
        <v>114909</v>
      </c>
      <c r="D9" s="19">
        <v>0</v>
      </c>
      <c r="E9" s="19">
        <v>114909</v>
      </c>
    </row>
    <row r="10" spans="1:5" x14ac:dyDescent="0.25">
      <c r="A10" s="13">
        <v>4</v>
      </c>
      <c r="B10" s="14" t="s">
        <v>15</v>
      </c>
      <c r="C10" s="15">
        <v>454589171</v>
      </c>
      <c r="D10" s="15">
        <v>454589171</v>
      </c>
      <c r="E10" s="15">
        <v>0</v>
      </c>
    </row>
    <row r="11" spans="1:5" x14ac:dyDescent="0.25">
      <c r="A11" s="13" t="s">
        <v>16</v>
      </c>
      <c r="B11" s="20" t="s">
        <v>17</v>
      </c>
      <c r="C11" s="15">
        <v>458400000</v>
      </c>
      <c r="D11" s="15">
        <v>458400000</v>
      </c>
      <c r="E11" s="15">
        <v>0</v>
      </c>
    </row>
    <row r="12" spans="1:5" ht="25.5" x14ac:dyDescent="0.25">
      <c r="A12" s="13" t="s">
        <v>18</v>
      </c>
      <c r="B12" s="18" t="s">
        <v>19</v>
      </c>
      <c r="C12" s="15">
        <v>-3810829</v>
      </c>
      <c r="D12" s="15">
        <v>-3810829</v>
      </c>
      <c r="E12" s="15">
        <v>0</v>
      </c>
    </row>
    <row r="13" spans="1:5" x14ac:dyDescent="0.25">
      <c r="A13" s="13" t="s">
        <v>20</v>
      </c>
      <c r="B13" s="20" t="s">
        <v>21</v>
      </c>
      <c r="C13" s="15">
        <v>0</v>
      </c>
      <c r="D13" s="15">
        <v>0</v>
      </c>
      <c r="E13" s="15">
        <v>0</v>
      </c>
    </row>
    <row r="14" spans="1:5" x14ac:dyDescent="0.25">
      <c r="A14" s="13">
        <v>5</v>
      </c>
      <c r="B14" s="14" t="s">
        <v>22</v>
      </c>
      <c r="C14" s="15">
        <v>175</v>
      </c>
      <c r="D14" s="15">
        <v>175</v>
      </c>
      <c r="E14" s="15">
        <v>0</v>
      </c>
    </row>
    <row r="15" spans="1:5" x14ac:dyDescent="0.25">
      <c r="A15" s="13" t="s">
        <v>23</v>
      </c>
      <c r="B15" s="20" t="s">
        <v>24</v>
      </c>
      <c r="C15" s="15">
        <v>175</v>
      </c>
      <c r="D15" s="15">
        <v>175</v>
      </c>
      <c r="E15" s="15">
        <v>0</v>
      </c>
    </row>
    <row r="16" spans="1:5" x14ac:dyDescent="0.25">
      <c r="A16" s="13" t="s">
        <v>25</v>
      </c>
      <c r="B16" s="20" t="s">
        <v>21</v>
      </c>
      <c r="C16" s="15">
        <v>0</v>
      </c>
      <c r="D16" s="15">
        <v>0</v>
      </c>
      <c r="E16" s="15">
        <v>0</v>
      </c>
    </row>
    <row r="17" spans="1:5" x14ac:dyDescent="0.25">
      <c r="A17" s="13">
        <v>6</v>
      </c>
      <c r="B17" s="14" t="s">
        <v>26</v>
      </c>
      <c r="C17" s="15">
        <v>107220</v>
      </c>
      <c r="D17" s="15">
        <v>107220</v>
      </c>
      <c r="E17" s="15">
        <v>0</v>
      </c>
    </row>
    <row r="18" spans="1:5" x14ac:dyDescent="0.25">
      <c r="A18" s="13" t="s">
        <v>27</v>
      </c>
      <c r="B18" s="20" t="s">
        <v>28</v>
      </c>
      <c r="C18" s="15">
        <v>107220</v>
      </c>
      <c r="D18" s="15">
        <v>107220</v>
      </c>
      <c r="E18" s="15">
        <v>0</v>
      </c>
    </row>
    <row r="19" spans="1:5" x14ac:dyDescent="0.25">
      <c r="A19" s="13" t="s">
        <v>29</v>
      </c>
      <c r="B19" s="18" t="s">
        <v>30</v>
      </c>
      <c r="C19" s="15">
        <v>0</v>
      </c>
      <c r="D19" s="15">
        <v>0</v>
      </c>
      <c r="E19" s="15">
        <v>0</v>
      </c>
    </row>
    <row r="20" spans="1:5" x14ac:dyDescent="0.25">
      <c r="A20" s="13" t="s">
        <v>31</v>
      </c>
      <c r="B20" s="20" t="s">
        <v>14</v>
      </c>
      <c r="C20" s="15">
        <v>0</v>
      </c>
      <c r="D20" s="15">
        <v>0</v>
      </c>
      <c r="E20" s="15">
        <v>0</v>
      </c>
    </row>
    <row r="21" spans="1:5" x14ac:dyDescent="0.25">
      <c r="A21" s="13">
        <v>7</v>
      </c>
      <c r="B21" s="14" t="s">
        <v>32</v>
      </c>
      <c r="C21" s="15">
        <v>0</v>
      </c>
      <c r="D21" s="15">
        <v>0</v>
      </c>
      <c r="E21" s="15">
        <v>0</v>
      </c>
    </row>
    <row r="22" spans="1:5" x14ac:dyDescent="0.25">
      <c r="A22" s="13" t="s">
        <v>33</v>
      </c>
      <c r="B22" s="20" t="s">
        <v>34</v>
      </c>
      <c r="C22" s="15">
        <v>0</v>
      </c>
      <c r="D22" s="19">
        <v>0</v>
      </c>
      <c r="E22" s="19">
        <v>0</v>
      </c>
    </row>
    <row r="23" spans="1:5" x14ac:dyDescent="0.25">
      <c r="A23" s="13" t="s">
        <v>35</v>
      </c>
      <c r="B23" s="20" t="s">
        <v>21</v>
      </c>
      <c r="C23" s="15">
        <v>0</v>
      </c>
      <c r="D23" s="19">
        <v>0</v>
      </c>
      <c r="E23" s="19">
        <v>0</v>
      </c>
    </row>
    <row r="24" spans="1:5" x14ac:dyDescent="0.25">
      <c r="A24" s="13">
        <v>8</v>
      </c>
      <c r="B24" s="14" t="s">
        <v>36</v>
      </c>
      <c r="C24" s="15">
        <v>12964412534</v>
      </c>
      <c r="D24" s="15">
        <v>9308170810</v>
      </c>
      <c r="E24" s="15">
        <v>3656241724</v>
      </c>
    </row>
    <row r="25" spans="1:5" x14ac:dyDescent="0.25">
      <c r="A25" s="13" t="s">
        <v>37</v>
      </c>
      <c r="B25" s="20" t="s">
        <v>38</v>
      </c>
      <c r="C25" s="15">
        <v>13318623841</v>
      </c>
      <c r="D25" s="19">
        <v>9580116117</v>
      </c>
      <c r="E25" s="19">
        <v>3738507724</v>
      </c>
    </row>
    <row r="26" spans="1:5" x14ac:dyDescent="0.25">
      <c r="A26" s="13" t="s">
        <v>39</v>
      </c>
      <c r="B26" s="20" t="s">
        <v>14</v>
      </c>
      <c r="C26" s="15">
        <v>354211307</v>
      </c>
      <c r="D26" s="19">
        <v>271945307</v>
      </c>
      <c r="E26" s="19">
        <v>82266000</v>
      </c>
    </row>
    <row r="27" spans="1:5" x14ac:dyDescent="0.25">
      <c r="A27" s="13">
        <v>9</v>
      </c>
      <c r="B27" s="14" t="s">
        <v>40</v>
      </c>
      <c r="C27" s="21">
        <v>0</v>
      </c>
      <c r="D27" s="21">
        <v>0</v>
      </c>
      <c r="E27" s="21">
        <v>0</v>
      </c>
    </row>
    <row r="28" spans="1:5" x14ac:dyDescent="0.25">
      <c r="A28" s="13" t="s">
        <v>41</v>
      </c>
      <c r="B28" s="20" t="s">
        <v>42</v>
      </c>
      <c r="C28" s="15">
        <v>0</v>
      </c>
      <c r="D28" s="19">
        <v>0</v>
      </c>
      <c r="E28" s="19">
        <v>0</v>
      </c>
    </row>
    <row r="29" spans="1:5" x14ac:dyDescent="0.25">
      <c r="A29" s="13" t="s">
        <v>43</v>
      </c>
      <c r="B29" s="20" t="s">
        <v>14</v>
      </c>
      <c r="C29" s="15">
        <v>0</v>
      </c>
      <c r="D29" s="19">
        <v>0</v>
      </c>
      <c r="E29" s="19">
        <v>0</v>
      </c>
    </row>
    <row r="30" spans="1:5" x14ac:dyDescent="0.25">
      <c r="A30" s="13">
        <v>10</v>
      </c>
      <c r="B30" s="20" t="s">
        <v>44</v>
      </c>
      <c r="C30" s="15">
        <v>416411532</v>
      </c>
      <c r="D30" s="15">
        <v>416411532</v>
      </c>
      <c r="E30" s="15">
        <v>0</v>
      </c>
    </row>
    <row r="31" spans="1:5" x14ac:dyDescent="0.25">
      <c r="A31" s="13">
        <v>11</v>
      </c>
      <c r="B31" s="20" t="s">
        <v>45</v>
      </c>
      <c r="C31" s="15">
        <v>671089582</v>
      </c>
      <c r="D31" s="15">
        <v>504590800</v>
      </c>
      <c r="E31" s="15">
        <v>166498782</v>
      </c>
    </row>
    <row r="32" spans="1:5" x14ac:dyDescent="0.25">
      <c r="A32" s="13" t="s">
        <v>46</v>
      </c>
      <c r="B32" s="20" t="s">
        <v>47</v>
      </c>
      <c r="C32" s="15">
        <v>674589001</v>
      </c>
      <c r="D32" s="19">
        <v>508090219</v>
      </c>
      <c r="E32" s="19">
        <v>166498782</v>
      </c>
    </row>
    <row r="33" spans="1:5" x14ac:dyDescent="0.25">
      <c r="A33" s="13" t="s">
        <v>48</v>
      </c>
      <c r="B33" s="20" t="s">
        <v>49</v>
      </c>
      <c r="C33" s="15">
        <v>281876</v>
      </c>
      <c r="D33" s="19">
        <v>281876</v>
      </c>
      <c r="E33" s="19">
        <v>0</v>
      </c>
    </row>
    <row r="34" spans="1:5" x14ac:dyDescent="0.25">
      <c r="A34" s="13" t="s">
        <v>50</v>
      </c>
      <c r="B34" s="20" t="s">
        <v>14</v>
      </c>
      <c r="C34" s="15">
        <v>3781295</v>
      </c>
      <c r="D34" s="19">
        <v>3781295</v>
      </c>
      <c r="E34" s="19">
        <v>0</v>
      </c>
    </row>
    <row r="35" spans="1:5" x14ac:dyDescent="0.25">
      <c r="A35" s="13">
        <v>12</v>
      </c>
      <c r="B35" s="14" t="s">
        <v>51</v>
      </c>
      <c r="C35" s="15">
        <v>155586321</v>
      </c>
      <c r="D35" s="15">
        <v>155586321</v>
      </c>
      <c r="E35" s="15">
        <v>0</v>
      </c>
    </row>
    <row r="36" spans="1:5" x14ac:dyDescent="0.25">
      <c r="A36" s="13" t="s">
        <v>52</v>
      </c>
      <c r="B36" s="20" t="s">
        <v>53</v>
      </c>
      <c r="C36" s="15">
        <v>161184317</v>
      </c>
      <c r="D36" s="19">
        <v>161184317</v>
      </c>
      <c r="E36" s="19">
        <v>0</v>
      </c>
    </row>
    <row r="37" spans="1:5" x14ac:dyDescent="0.25">
      <c r="A37" s="13" t="s">
        <v>54</v>
      </c>
      <c r="B37" s="20" t="s">
        <v>55</v>
      </c>
      <c r="C37" s="15">
        <v>0</v>
      </c>
      <c r="D37" s="19"/>
      <c r="E37" s="19">
        <v>0</v>
      </c>
    </row>
    <row r="38" spans="1:5" ht="25.5" x14ac:dyDescent="0.25">
      <c r="A38" s="13" t="s">
        <v>56</v>
      </c>
      <c r="B38" s="22" t="s">
        <v>57</v>
      </c>
      <c r="C38" s="15">
        <v>5597996</v>
      </c>
      <c r="D38" s="19">
        <v>5597996</v>
      </c>
      <c r="E38" s="19">
        <v>0</v>
      </c>
    </row>
    <row r="39" spans="1:5" x14ac:dyDescent="0.25">
      <c r="A39" s="13">
        <v>13</v>
      </c>
      <c r="B39" s="23" t="s">
        <v>58</v>
      </c>
      <c r="C39" s="21">
        <v>48718159</v>
      </c>
      <c r="D39" s="21">
        <v>48718159</v>
      </c>
      <c r="E39" s="21">
        <v>0</v>
      </c>
    </row>
    <row r="40" spans="1:5" x14ac:dyDescent="0.25">
      <c r="A40" s="13" t="s">
        <v>59</v>
      </c>
      <c r="B40" s="23" t="s">
        <v>60</v>
      </c>
      <c r="C40" s="21">
        <v>48718159</v>
      </c>
      <c r="D40" s="24">
        <v>48718159</v>
      </c>
      <c r="E40" s="24">
        <v>0</v>
      </c>
    </row>
    <row r="41" spans="1:5" x14ac:dyDescent="0.25">
      <c r="A41" s="13" t="s">
        <v>61</v>
      </c>
      <c r="B41" s="23" t="s">
        <v>62</v>
      </c>
      <c r="C41" s="21">
        <v>0</v>
      </c>
      <c r="D41" s="24">
        <v>0</v>
      </c>
      <c r="E41" s="24">
        <v>0</v>
      </c>
    </row>
    <row r="42" spans="1:5" x14ac:dyDescent="0.25">
      <c r="A42" s="13" t="s">
        <v>63</v>
      </c>
      <c r="B42" s="23" t="s">
        <v>64</v>
      </c>
      <c r="C42" s="21">
        <v>0</v>
      </c>
      <c r="D42" s="24"/>
      <c r="E42" s="24">
        <v>0</v>
      </c>
    </row>
    <row r="43" spans="1:5" x14ac:dyDescent="0.25">
      <c r="A43" s="13">
        <v>14</v>
      </c>
      <c r="B43" s="14" t="s">
        <v>65</v>
      </c>
      <c r="C43" s="15">
        <v>493153785</v>
      </c>
      <c r="D43" s="15">
        <v>455198361</v>
      </c>
      <c r="E43" s="15">
        <v>37955424</v>
      </c>
    </row>
    <row r="44" spans="1:5" x14ac:dyDescent="0.25">
      <c r="A44" s="13" t="s">
        <v>66</v>
      </c>
      <c r="B44" s="20" t="s">
        <v>67</v>
      </c>
      <c r="C44" s="25">
        <v>493704112</v>
      </c>
      <c r="D44" s="19">
        <v>455697785</v>
      </c>
      <c r="E44" s="19">
        <v>38006327</v>
      </c>
    </row>
    <row r="45" spans="1:5" x14ac:dyDescent="0.25">
      <c r="A45" s="13" t="s">
        <v>68</v>
      </c>
      <c r="B45" s="20" t="s">
        <v>14</v>
      </c>
      <c r="C45" s="25">
        <v>550327</v>
      </c>
      <c r="D45" s="19">
        <v>499424</v>
      </c>
      <c r="E45" s="19">
        <v>50903</v>
      </c>
    </row>
    <row r="46" spans="1:5" x14ac:dyDescent="0.25">
      <c r="A46" s="13" t="s">
        <v>69</v>
      </c>
      <c r="B46" s="20" t="s">
        <v>70</v>
      </c>
      <c r="C46" s="26">
        <v>0</v>
      </c>
      <c r="D46" s="15"/>
      <c r="E46" s="15"/>
    </row>
    <row r="47" spans="1:5" x14ac:dyDescent="0.25">
      <c r="A47" s="27" t="s">
        <v>71</v>
      </c>
      <c r="B47" s="28" t="s">
        <v>72</v>
      </c>
      <c r="C47" s="37">
        <v>16782496965</v>
      </c>
      <c r="D47" s="37">
        <v>12078383242</v>
      </c>
      <c r="E47" s="37">
        <v>4704113723</v>
      </c>
    </row>
    <row r="48" spans="1:5" x14ac:dyDescent="0.25">
      <c r="A48" s="13"/>
      <c r="B48" s="30"/>
      <c r="C48" s="15"/>
      <c r="D48" s="15"/>
      <c r="E48" s="15"/>
    </row>
    <row r="49" spans="1:5" x14ac:dyDescent="0.25">
      <c r="A49" s="13"/>
      <c r="B49" s="31" t="s">
        <v>73</v>
      </c>
      <c r="C49" s="15"/>
      <c r="D49" s="15"/>
      <c r="E49" s="15"/>
    </row>
    <row r="50" spans="1:5" x14ac:dyDescent="0.25">
      <c r="A50" s="13" t="s">
        <v>74</v>
      </c>
      <c r="B50" s="14" t="s">
        <v>75</v>
      </c>
      <c r="C50" s="32">
        <v>953615102</v>
      </c>
      <c r="D50" s="33">
        <v>908591903</v>
      </c>
      <c r="E50" s="32">
        <v>45023199</v>
      </c>
    </row>
    <row r="51" spans="1:5" x14ac:dyDescent="0.25">
      <c r="A51" s="13" t="s">
        <v>76</v>
      </c>
      <c r="B51" s="14" t="s">
        <v>77</v>
      </c>
      <c r="C51" s="32">
        <v>4455580574</v>
      </c>
      <c r="D51" s="33">
        <v>3633084209</v>
      </c>
      <c r="E51" s="32">
        <v>822496365</v>
      </c>
    </row>
    <row r="52" spans="1:5" x14ac:dyDescent="0.25">
      <c r="A52" s="13" t="s">
        <v>78</v>
      </c>
      <c r="B52" s="14" t="s">
        <v>79</v>
      </c>
      <c r="C52" s="32">
        <v>352454</v>
      </c>
      <c r="D52" s="15">
        <v>352454</v>
      </c>
      <c r="E52" s="15">
        <v>0</v>
      </c>
    </row>
    <row r="53" spans="1:5" x14ac:dyDescent="0.25">
      <c r="A53" s="13" t="s">
        <v>80</v>
      </c>
      <c r="B53" s="14" t="s">
        <v>81</v>
      </c>
      <c r="C53" s="32">
        <v>2553053546</v>
      </c>
      <c r="D53" s="15">
        <v>1137231182.0000002</v>
      </c>
      <c r="E53" s="15">
        <v>1415822363.9999998</v>
      </c>
    </row>
    <row r="54" spans="1:5" x14ac:dyDescent="0.25">
      <c r="A54" s="13" t="s">
        <v>82</v>
      </c>
      <c r="B54" s="17" t="s">
        <v>83</v>
      </c>
      <c r="C54" s="32">
        <v>0</v>
      </c>
      <c r="D54" s="15">
        <v>0</v>
      </c>
      <c r="E54" s="15">
        <v>0</v>
      </c>
    </row>
    <row r="55" spans="1:5" x14ac:dyDescent="0.25">
      <c r="A55" s="13" t="s">
        <v>84</v>
      </c>
      <c r="B55" s="14" t="s">
        <v>85</v>
      </c>
      <c r="C55" s="32">
        <v>4968066765</v>
      </c>
      <c r="D55" s="19">
        <v>2836766783</v>
      </c>
      <c r="E55" s="19">
        <v>2131299982</v>
      </c>
    </row>
    <row r="56" spans="1:5" x14ac:dyDescent="0.25">
      <c r="A56" s="13" t="s">
        <v>86</v>
      </c>
      <c r="B56" s="14" t="s">
        <v>87</v>
      </c>
      <c r="C56" s="32">
        <v>0</v>
      </c>
      <c r="D56" s="19"/>
      <c r="E56" s="19">
        <v>0</v>
      </c>
    </row>
    <row r="57" spans="1:5" x14ac:dyDescent="0.25">
      <c r="A57" s="13" t="s">
        <v>88</v>
      </c>
      <c r="B57" s="34" t="s">
        <v>89</v>
      </c>
      <c r="C57" s="32">
        <v>50000000</v>
      </c>
      <c r="D57" s="19">
        <v>50000000</v>
      </c>
      <c r="E57" s="19">
        <v>0</v>
      </c>
    </row>
    <row r="58" spans="1:5" x14ac:dyDescent="0.25">
      <c r="A58" s="13" t="s">
        <v>90</v>
      </c>
      <c r="B58" s="14" t="s">
        <v>91</v>
      </c>
      <c r="C58" s="32">
        <v>92539281</v>
      </c>
      <c r="D58" s="32">
        <v>76188684</v>
      </c>
      <c r="E58" s="32">
        <v>16350597</v>
      </c>
    </row>
    <row r="59" spans="1:5" x14ac:dyDescent="0.25">
      <c r="A59" s="13" t="s">
        <v>92</v>
      </c>
      <c r="B59" s="14" t="s">
        <v>93</v>
      </c>
      <c r="C59" s="32">
        <v>26008607</v>
      </c>
      <c r="D59" s="19">
        <v>26008607</v>
      </c>
      <c r="E59" s="19">
        <v>0</v>
      </c>
    </row>
    <row r="60" spans="1:5" x14ac:dyDescent="0.25">
      <c r="A60" s="13" t="s">
        <v>94</v>
      </c>
      <c r="B60" s="14" t="s">
        <v>95</v>
      </c>
      <c r="C60" s="32">
        <v>67555</v>
      </c>
      <c r="D60" s="15">
        <v>67555</v>
      </c>
      <c r="E60" s="15">
        <v>0</v>
      </c>
    </row>
    <row r="61" spans="1:5" x14ac:dyDescent="0.25">
      <c r="A61" s="13" t="s">
        <v>96</v>
      </c>
      <c r="B61" s="17" t="s">
        <v>97</v>
      </c>
      <c r="C61" s="32">
        <v>0</v>
      </c>
      <c r="D61" s="19"/>
      <c r="E61" s="19">
        <v>0</v>
      </c>
    </row>
    <row r="62" spans="1:5" x14ac:dyDescent="0.25">
      <c r="A62" s="13" t="s">
        <v>98</v>
      </c>
      <c r="B62" s="14" t="s">
        <v>99</v>
      </c>
      <c r="C62" s="32">
        <v>39302000</v>
      </c>
      <c r="D62" s="19">
        <v>35855294</v>
      </c>
      <c r="E62" s="19">
        <v>3446706</v>
      </c>
    </row>
    <row r="63" spans="1:5" x14ac:dyDescent="0.25">
      <c r="A63" s="35" t="s">
        <v>100</v>
      </c>
      <c r="B63" s="36" t="s">
        <v>101</v>
      </c>
      <c r="C63" s="217">
        <v>13138585884</v>
      </c>
      <c r="D63" s="37">
        <v>8704146671</v>
      </c>
      <c r="E63" s="37">
        <v>4434439213</v>
      </c>
    </row>
    <row r="64" spans="1:5" x14ac:dyDescent="0.25">
      <c r="A64" s="13"/>
      <c r="B64" s="38"/>
      <c r="C64" s="32"/>
      <c r="D64" s="32"/>
      <c r="E64" s="32"/>
    </row>
    <row r="65" spans="1:5" x14ac:dyDescent="0.25">
      <c r="A65" s="214"/>
      <c r="B65" s="31" t="s">
        <v>102</v>
      </c>
      <c r="C65" s="15"/>
      <c r="D65" s="15"/>
      <c r="E65" s="15"/>
    </row>
    <row r="66" spans="1:5" x14ac:dyDescent="0.25">
      <c r="A66" s="13"/>
      <c r="B66" s="38"/>
      <c r="C66" s="32"/>
      <c r="D66" s="32"/>
      <c r="E66" s="32"/>
    </row>
    <row r="67" spans="1:5" x14ac:dyDescent="0.25">
      <c r="A67" s="35" t="s">
        <v>103</v>
      </c>
      <c r="B67" s="14" t="s">
        <v>104</v>
      </c>
      <c r="C67" s="39">
        <v>3547333379</v>
      </c>
      <c r="D67" s="39">
        <v>3547333379</v>
      </c>
      <c r="E67" s="39">
        <v>0</v>
      </c>
    </row>
    <row r="68" spans="1:5" x14ac:dyDescent="0.25">
      <c r="A68" s="214" t="s">
        <v>105</v>
      </c>
      <c r="B68" s="20" t="s">
        <v>106</v>
      </c>
      <c r="C68" s="15">
        <v>3547189199</v>
      </c>
      <c r="D68" s="24">
        <v>3547189199</v>
      </c>
      <c r="E68" s="24">
        <v>0</v>
      </c>
    </row>
    <row r="69" spans="1:5" x14ac:dyDescent="0.25">
      <c r="A69" s="13" t="s">
        <v>107</v>
      </c>
      <c r="B69" s="20" t="s">
        <v>108</v>
      </c>
      <c r="C69" s="15">
        <v>144180</v>
      </c>
      <c r="D69" s="19">
        <v>144180</v>
      </c>
      <c r="E69" s="19">
        <v>0</v>
      </c>
    </row>
    <row r="70" spans="1:5" x14ac:dyDescent="0.25">
      <c r="A70" s="13" t="s">
        <v>109</v>
      </c>
      <c r="B70" s="14" t="s">
        <v>110</v>
      </c>
      <c r="C70" s="15">
        <v>0</v>
      </c>
      <c r="D70" s="19">
        <v>0</v>
      </c>
      <c r="E70" s="19">
        <v>0</v>
      </c>
    </row>
    <row r="71" spans="1:5" x14ac:dyDescent="0.25">
      <c r="A71" s="13" t="s">
        <v>111</v>
      </c>
      <c r="B71" s="40" t="s">
        <v>112</v>
      </c>
      <c r="C71" s="39">
        <v>32556422</v>
      </c>
      <c r="D71" s="39">
        <v>32556422</v>
      </c>
      <c r="E71" s="39">
        <v>0</v>
      </c>
    </row>
    <row r="72" spans="1:5" x14ac:dyDescent="0.25">
      <c r="A72" s="13" t="s">
        <v>113</v>
      </c>
      <c r="B72" s="41" t="s">
        <v>114</v>
      </c>
      <c r="C72" s="32">
        <v>25023773</v>
      </c>
      <c r="D72" s="19">
        <v>25023773</v>
      </c>
      <c r="E72" s="19">
        <v>0</v>
      </c>
    </row>
    <row r="73" spans="1:5" x14ac:dyDescent="0.25">
      <c r="A73" s="13" t="s">
        <v>115</v>
      </c>
      <c r="B73" s="41" t="s">
        <v>116</v>
      </c>
      <c r="C73" s="15">
        <v>0</v>
      </c>
      <c r="D73" s="33">
        <v>0</v>
      </c>
      <c r="E73" s="33">
        <v>0</v>
      </c>
    </row>
    <row r="74" spans="1:5" x14ac:dyDescent="0.25">
      <c r="A74" s="13" t="s">
        <v>117</v>
      </c>
      <c r="B74" s="41" t="s">
        <v>118</v>
      </c>
      <c r="C74" s="15">
        <v>0</v>
      </c>
      <c r="D74" s="19">
        <v>0</v>
      </c>
      <c r="E74" s="19">
        <v>0</v>
      </c>
    </row>
    <row r="75" spans="1:5" x14ac:dyDescent="0.25">
      <c r="A75" s="13" t="s">
        <v>119</v>
      </c>
      <c r="B75" s="41" t="s">
        <v>120</v>
      </c>
      <c r="C75" s="32">
        <v>7532649</v>
      </c>
      <c r="D75" s="19">
        <v>7532649</v>
      </c>
      <c r="E75" s="19">
        <v>0</v>
      </c>
    </row>
    <row r="76" spans="1:5" x14ac:dyDescent="0.25">
      <c r="A76" s="13" t="s">
        <v>121</v>
      </c>
      <c r="B76" s="40" t="s">
        <v>122</v>
      </c>
      <c r="C76" s="32">
        <v>64021280</v>
      </c>
      <c r="D76" s="19">
        <v>64021280</v>
      </c>
      <c r="E76" s="19">
        <v>0</v>
      </c>
    </row>
    <row r="77" spans="1:5" x14ac:dyDescent="0.25">
      <c r="A77" s="13" t="s">
        <v>123</v>
      </c>
      <c r="B77" s="41" t="s">
        <v>124</v>
      </c>
      <c r="C77" s="32">
        <v>21314665</v>
      </c>
      <c r="D77" s="19">
        <v>21314665</v>
      </c>
      <c r="E77" s="19">
        <v>0</v>
      </c>
    </row>
    <row r="78" spans="1:5" x14ac:dyDescent="0.25">
      <c r="A78" s="42" t="s">
        <v>125</v>
      </c>
      <c r="B78" s="36" t="s">
        <v>126</v>
      </c>
      <c r="C78" s="43">
        <v>3643911081</v>
      </c>
      <c r="D78" s="43">
        <v>3643911081</v>
      </c>
      <c r="E78" s="43">
        <v>0</v>
      </c>
    </row>
    <row r="79" spans="1:5" x14ac:dyDescent="0.25">
      <c r="A79" s="42" t="s">
        <v>127</v>
      </c>
      <c r="B79" s="44" t="s">
        <v>128</v>
      </c>
      <c r="C79" s="29">
        <v>16782496965</v>
      </c>
      <c r="D79" s="29">
        <v>12348057752</v>
      </c>
      <c r="E79" s="29">
        <v>4434439213</v>
      </c>
    </row>
    <row r="80" spans="1:5" x14ac:dyDescent="0.25">
      <c r="A80" s="12"/>
      <c r="B80" s="12"/>
      <c r="C80" s="12"/>
      <c r="D80" s="12"/>
      <c r="E80" s="12"/>
    </row>
    <row r="81" spans="1:5" x14ac:dyDescent="0.25">
      <c r="A81" s="12"/>
      <c r="B81" s="45" t="s">
        <v>129</v>
      </c>
      <c r="C81" s="12"/>
      <c r="D81" s="12"/>
      <c r="E81" s="12"/>
    </row>
    <row r="82" spans="1:5" x14ac:dyDescent="0.25">
      <c r="A82" s="12"/>
      <c r="B82" s="45"/>
      <c r="C82" s="12"/>
      <c r="D82" s="12"/>
      <c r="E82" s="12"/>
    </row>
    <row r="83" spans="1:5" x14ac:dyDescent="0.25">
      <c r="A83" s="12"/>
      <c r="B83" s="45" t="s">
        <v>130</v>
      </c>
      <c r="C83" s="12"/>
      <c r="D83" s="12"/>
      <c r="E83" s="12"/>
    </row>
    <row r="84" spans="1:5" x14ac:dyDescent="0.25">
      <c r="A84" s="12"/>
      <c r="B84" s="45"/>
      <c r="C84" s="12"/>
      <c r="D84" s="12"/>
      <c r="E84" s="12"/>
    </row>
  </sheetData>
  <mergeCells count="1">
    <mergeCell ref="A1:D1"/>
  </mergeCells>
  <conditionalFormatting sqref="C79">
    <cfRule type="cellIs" dxfId="450" priority="27" operator="notEqual">
      <formula>$C$47</formula>
    </cfRule>
    <cfRule type="cellIs" dxfId="449" priority="31" operator="notEqual">
      <formula>$C$47</formula>
    </cfRule>
  </conditionalFormatting>
  <conditionalFormatting sqref="C51">
    <cfRule type="cellIs" dxfId="448" priority="30" operator="notEqual">
      <formula>$D$51+$E$51</formula>
    </cfRule>
  </conditionalFormatting>
  <conditionalFormatting sqref="C21:D21">
    <cfRule type="cellIs" dxfId="447" priority="26" operator="notEqual">
      <formula>$D$22-$D$23</formula>
    </cfRule>
  </conditionalFormatting>
  <conditionalFormatting sqref="E21">
    <cfRule type="cellIs" dxfId="446" priority="25" operator="notEqual">
      <formula>$E$22-$E$23</formula>
    </cfRule>
  </conditionalFormatting>
  <conditionalFormatting sqref="C62 C59 C50:C55 C57">
    <cfRule type="cellIs" dxfId="445" priority="24" operator="notEqual">
      <formula>D50+E50</formula>
    </cfRule>
  </conditionalFormatting>
  <conditionalFormatting sqref="C7">
    <cfRule type="cellIs" dxfId="444" priority="22" operator="notEqual">
      <formula>+$D$7+$E$7</formula>
    </cfRule>
  </conditionalFormatting>
  <conditionalFormatting sqref="C35">
    <cfRule type="cellIs" dxfId="443" priority="21" operator="notEqual">
      <formula>$C$36+$C$37-$C$38</formula>
    </cfRule>
  </conditionalFormatting>
  <conditionalFormatting sqref="D35">
    <cfRule type="cellIs" dxfId="442" priority="20" operator="notEqual">
      <formula>$D$36+$D$37-$D$38</formula>
    </cfRule>
  </conditionalFormatting>
  <conditionalFormatting sqref="E35">
    <cfRule type="cellIs" dxfId="441" priority="19" operator="notEqual">
      <formula>$E$36+$E$37-$E$38</formula>
    </cfRule>
  </conditionalFormatting>
  <conditionalFormatting sqref="E43">
    <cfRule type="cellIs" dxfId="440" priority="18" operator="notEqual">
      <formula>$E$44-$E$45+$E$46</formula>
    </cfRule>
  </conditionalFormatting>
  <conditionalFormatting sqref="C24">
    <cfRule type="cellIs" dxfId="439" priority="17" operator="notEqual">
      <formula>C25-C26</formula>
    </cfRule>
  </conditionalFormatting>
  <conditionalFormatting sqref="D24:E24">
    <cfRule type="cellIs" dxfId="438" priority="16" operator="notEqual">
      <formula>D25-D26</formula>
    </cfRule>
  </conditionalFormatting>
  <conditionalFormatting sqref="C27">
    <cfRule type="cellIs" dxfId="437" priority="15" operator="notEqual">
      <formula>C28-C29</formula>
    </cfRule>
  </conditionalFormatting>
  <conditionalFormatting sqref="C39">
    <cfRule type="cellIs" dxfId="436" priority="14" operator="notEqual">
      <formula>C40+C41+C42</formula>
    </cfRule>
  </conditionalFormatting>
  <conditionalFormatting sqref="D39">
    <cfRule type="cellIs" dxfId="435" priority="13" operator="notEqual">
      <formula>D40+D41+D42</formula>
    </cfRule>
  </conditionalFormatting>
  <conditionalFormatting sqref="C43">
    <cfRule type="cellIs" dxfId="434" priority="12" operator="notEqual">
      <formula>C44-C45+C46</formula>
    </cfRule>
  </conditionalFormatting>
  <conditionalFormatting sqref="C17">
    <cfRule type="cellIs" dxfId="433" priority="11" operator="notEqual">
      <formula>C18+C19-C20</formula>
    </cfRule>
  </conditionalFormatting>
  <conditionalFormatting sqref="C14">
    <cfRule type="cellIs" dxfId="432" priority="10" operator="notEqual">
      <formula>C15-C16</formula>
    </cfRule>
  </conditionalFormatting>
  <conditionalFormatting sqref="D14:E14">
    <cfRule type="cellIs" dxfId="431" priority="9" operator="notEqual">
      <formula>D15-D16</formula>
    </cfRule>
  </conditionalFormatting>
  <conditionalFormatting sqref="C7">
    <cfRule type="cellIs" dxfId="430" priority="8" operator="notEqual">
      <formula>C8-C9</formula>
    </cfRule>
  </conditionalFormatting>
  <conditionalFormatting sqref="E7">
    <cfRule type="cellIs" dxfId="429" priority="7" operator="notEqual">
      <formula>E8-E9</formula>
    </cfRule>
  </conditionalFormatting>
  <conditionalFormatting sqref="C56">
    <cfRule type="cellIs" dxfId="428" priority="6" operator="notEqual">
      <formula>D56+E56</formula>
    </cfRule>
  </conditionalFormatting>
  <conditionalFormatting sqref="D27">
    <cfRule type="cellIs" dxfId="427" priority="4" operator="notEqual">
      <formula>D28-D29</formula>
    </cfRule>
  </conditionalFormatting>
  <conditionalFormatting sqref="E27">
    <cfRule type="cellIs" dxfId="426" priority="3" operator="notEqual">
      <formula>E28-E29</formula>
    </cfRule>
  </conditionalFormatting>
  <conditionalFormatting sqref="C61">
    <cfRule type="cellIs" dxfId="425" priority="2" operator="notEqual">
      <formula>D61+E61</formula>
    </cfRule>
  </conditionalFormatting>
  <dataValidations count="7">
    <dataValidation allowBlank="1" showInputMessage="1" showErrorMessage="1" prompt="Если значение ячейки не равно &quot;В15 - В16&quot;, ячейка окрасится" sqref="D17:E18" xr:uid="{00000000-0002-0000-0000-000000000000}"/>
    <dataValidation type="date" operator="greaterThan" allowBlank="1" showInputMessage="1" showErrorMessage="1" prompt="Введите дату в формате ЧЧ.ММ.ГГГГ" sqref="D3" xr:uid="{00000000-0002-0000-0000-000001000000}">
      <formula1>DATE(96,1,1)</formula1>
    </dataValidation>
    <dataValidation allowBlank="1" showInputMessage="1" showErrorMessage="1" prompt="Если значение ячейки не равно &quot;В24 - В25&quot;, ячейка окрасится" sqref="D46 D28 D36:D38" xr:uid="{00000000-0002-0000-0000-000002000000}"/>
    <dataValidation allowBlank="1" showInputMessage="1" showErrorMessage="1" prompt="Значение должно равняться Итого активов (Ячейка С36)" sqref="D79:E79" xr:uid="{00000000-0002-0000-0000-000003000000}"/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4000000}"/>
    <dataValidation type="whole" operator="notEqual" allowBlank="1" showErrorMessage="1" error="Что, не получается?_x000a__x000a_Выше нос друзья!_x000a__x000a_Введите целое число." sqref="E58 D72:D77 D55:D62 E73" xr:uid="{00000000-0002-0000-0000-000005000000}">
      <formula1>-1E+21</formula1>
    </dataValidation>
    <dataValidation allowBlank="1" showInputMessage="1" showErrorMessage="1" prompt="Значение должно равняться Итого капитала из таблицы &quot;Изменения в акционерном капитале&quot;" sqref="C78:E78" xr:uid="{00000000-0002-0000-0000-000006000000}"/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3"/>
  <sheetViews>
    <sheetView topLeftCell="A61" workbookViewId="0">
      <selection activeCell="C74" sqref="C74"/>
    </sheetView>
  </sheetViews>
  <sheetFormatPr defaultRowHeight="12.75" x14ac:dyDescent="0.2"/>
  <cols>
    <col min="1" max="1" width="5.7109375" style="189" customWidth="1"/>
    <col min="2" max="2" width="80.28515625" style="12" customWidth="1"/>
    <col min="3" max="3" width="16.85546875" style="12" customWidth="1"/>
    <col min="4" max="4" width="17.7109375" style="12" customWidth="1"/>
    <col min="5" max="5" width="16.85546875" style="12" customWidth="1"/>
    <col min="6" max="6" width="7.42578125" style="12" customWidth="1"/>
    <col min="7" max="7" width="12.140625" style="148" customWidth="1"/>
    <col min="8" max="10" width="7.42578125" style="12" customWidth="1"/>
    <col min="11" max="16384" width="9.140625" style="12"/>
  </cols>
  <sheetData>
    <row r="1" spans="1:7" ht="18.75" customHeight="1" x14ac:dyDescent="0.25">
      <c r="A1" s="225" t="s">
        <v>297</v>
      </c>
      <c r="B1" s="225"/>
      <c r="C1" s="225"/>
      <c r="D1" s="225"/>
      <c r="E1" s="147" t="s">
        <v>298</v>
      </c>
    </row>
    <row r="2" spans="1:7" ht="7.5" customHeight="1" x14ac:dyDescent="0.25">
      <c r="A2" s="149"/>
      <c r="B2" s="209"/>
      <c r="C2" s="147"/>
      <c r="D2" s="147"/>
      <c r="E2" s="147"/>
    </row>
    <row r="3" spans="1:7" ht="15" customHeight="1" x14ac:dyDescent="0.25">
      <c r="A3" s="150"/>
      <c r="B3" s="151" t="s">
        <v>447</v>
      </c>
      <c r="D3" s="223">
        <v>44926</v>
      </c>
      <c r="E3" s="152" t="s">
        <v>444</v>
      </c>
    </row>
    <row r="4" spans="1:7" ht="42" customHeight="1" x14ac:dyDescent="0.2">
      <c r="A4" s="10" t="s">
        <v>3</v>
      </c>
      <c r="B4" s="10" t="s">
        <v>133</v>
      </c>
      <c r="C4" s="10" t="s">
        <v>5</v>
      </c>
      <c r="D4" s="10" t="s">
        <v>299</v>
      </c>
      <c r="E4" s="10" t="s">
        <v>300</v>
      </c>
    </row>
    <row r="5" spans="1:7" ht="15" customHeight="1" x14ac:dyDescent="0.2">
      <c r="A5" s="153" t="s">
        <v>233</v>
      </c>
      <c r="B5" s="36" t="s">
        <v>301</v>
      </c>
      <c r="C5" s="10"/>
      <c r="D5" s="10"/>
      <c r="E5" s="10"/>
    </row>
    <row r="6" spans="1:7" ht="15" customHeight="1" x14ac:dyDescent="0.2">
      <c r="A6" s="154" t="s">
        <v>302</v>
      </c>
      <c r="B6" s="14" t="s">
        <v>303</v>
      </c>
      <c r="C6" s="155">
        <v>31527277</v>
      </c>
      <c r="D6" s="156">
        <v>31527277</v>
      </c>
      <c r="E6" s="156"/>
    </row>
    <row r="7" spans="1:7" ht="15" customHeight="1" x14ac:dyDescent="0.2">
      <c r="A7" s="154" t="s">
        <v>304</v>
      </c>
      <c r="B7" s="14" t="s">
        <v>305</v>
      </c>
      <c r="C7" s="155">
        <v>25430621</v>
      </c>
      <c r="D7" s="156">
        <v>25430621</v>
      </c>
      <c r="E7" s="156"/>
    </row>
    <row r="8" spans="1:7" ht="25.5" x14ac:dyDescent="0.2">
      <c r="A8" s="154" t="s">
        <v>306</v>
      </c>
      <c r="B8" s="17" t="s">
        <v>307</v>
      </c>
      <c r="C8" s="155">
        <v>0</v>
      </c>
      <c r="D8" s="156">
        <v>0</v>
      </c>
      <c r="E8" s="156"/>
    </row>
    <row r="9" spans="1:7" ht="15" customHeight="1" x14ac:dyDescent="0.2">
      <c r="A9" s="154" t="s">
        <v>308</v>
      </c>
      <c r="B9" s="17" t="s">
        <v>309</v>
      </c>
      <c r="C9" s="155">
        <v>71587753</v>
      </c>
      <c r="D9" s="156">
        <v>71587753</v>
      </c>
      <c r="E9" s="156"/>
    </row>
    <row r="10" spans="1:7" ht="15" customHeight="1" x14ac:dyDescent="0.2">
      <c r="A10" s="157" t="s">
        <v>310</v>
      </c>
      <c r="B10" s="158" t="s">
        <v>311</v>
      </c>
      <c r="C10" s="155">
        <v>0</v>
      </c>
      <c r="D10" s="156">
        <v>0</v>
      </c>
      <c r="E10" s="156"/>
    </row>
    <row r="11" spans="1:7" ht="25.5" x14ac:dyDescent="0.2">
      <c r="A11" s="157" t="s">
        <v>312</v>
      </c>
      <c r="B11" s="158" t="s">
        <v>313</v>
      </c>
      <c r="C11" s="155">
        <v>0</v>
      </c>
      <c r="D11" s="156">
        <v>0</v>
      </c>
      <c r="E11" s="156"/>
    </row>
    <row r="12" spans="1:7" ht="15" customHeight="1" x14ac:dyDescent="0.2">
      <c r="A12" s="157" t="s">
        <v>314</v>
      </c>
      <c r="B12" s="40" t="s">
        <v>315</v>
      </c>
      <c r="C12" s="155">
        <v>1753677130</v>
      </c>
      <c r="D12" s="156">
        <v>1753677130</v>
      </c>
      <c r="E12" s="156"/>
    </row>
    <row r="13" spans="1:7" ht="15" customHeight="1" x14ac:dyDescent="0.2">
      <c r="A13" s="159" t="s">
        <v>316</v>
      </c>
      <c r="B13" s="160" t="s">
        <v>317</v>
      </c>
      <c r="C13" s="155">
        <v>0</v>
      </c>
      <c r="D13" s="156">
        <v>0</v>
      </c>
      <c r="E13" s="156"/>
    </row>
    <row r="14" spans="1:7" ht="15" customHeight="1" x14ac:dyDescent="0.2">
      <c r="A14" s="159" t="s">
        <v>318</v>
      </c>
      <c r="B14" s="161" t="s">
        <v>319</v>
      </c>
      <c r="C14" s="155">
        <v>706809173</v>
      </c>
      <c r="D14" s="156">
        <v>706809173</v>
      </c>
      <c r="E14" s="156"/>
    </row>
    <row r="15" spans="1:7" ht="15" customHeight="1" x14ac:dyDescent="0.2">
      <c r="A15" s="153" t="s">
        <v>320</v>
      </c>
      <c r="B15" s="162" t="s">
        <v>321</v>
      </c>
      <c r="C15" s="163">
        <v>2589031954</v>
      </c>
      <c r="D15" s="163">
        <v>2589031954</v>
      </c>
      <c r="E15" s="163">
        <v>0</v>
      </c>
      <c r="G15" s="164">
        <v>2589031954</v>
      </c>
    </row>
    <row r="16" spans="1:7" ht="7.5" customHeight="1" x14ac:dyDescent="0.2">
      <c r="A16" s="153"/>
      <c r="B16" s="36"/>
      <c r="C16" s="165"/>
      <c r="D16" s="165"/>
      <c r="E16" s="165"/>
    </row>
    <row r="17" spans="1:7" ht="15" customHeight="1" x14ac:dyDescent="0.2">
      <c r="A17" s="153" t="s">
        <v>261</v>
      </c>
      <c r="B17" s="36" t="s">
        <v>322</v>
      </c>
      <c r="C17" s="10"/>
      <c r="D17" s="10"/>
      <c r="E17" s="10"/>
    </row>
    <row r="18" spans="1:7" ht="15" customHeight="1" x14ac:dyDescent="0.2">
      <c r="A18" s="214" t="s">
        <v>323</v>
      </c>
      <c r="B18" s="166" t="s">
        <v>324</v>
      </c>
      <c r="C18" s="155">
        <v>30667852</v>
      </c>
      <c r="D18" s="156">
        <v>30667852</v>
      </c>
      <c r="E18" s="156"/>
    </row>
    <row r="19" spans="1:7" ht="15" customHeight="1" x14ac:dyDescent="0.2">
      <c r="A19" s="214" t="s">
        <v>304</v>
      </c>
      <c r="B19" s="166" t="s">
        <v>325</v>
      </c>
      <c r="C19" s="155">
        <v>453954471</v>
      </c>
      <c r="D19" s="156">
        <v>453954471</v>
      </c>
      <c r="E19" s="156"/>
    </row>
    <row r="20" spans="1:7" ht="15" customHeight="1" x14ac:dyDescent="0.2">
      <c r="A20" s="214" t="s">
        <v>306</v>
      </c>
      <c r="B20" s="166" t="s">
        <v>326</v>
      </c>
      <c r="C20" s="155">
        <v>0</v>
      </c>
      <c r="D20" s="156">
        <v>0</v>
      </c>
      <c r="E20" s="156"/>
    </row>
    <row r="21" spans="1:7" ht="15" customHeight="1" x14ac:dyDescent="0.2">
      <c r="A21" s="214" t="s">
        <v>308</v>
      </c>
      <c r="B21" s="166" t="s">
        <v>327</v>
      </c>
      <c r="C21" s="155">
        <v>204078097</v>
      </c>
      <c r="D21" s="156">
        <v>204078097</v>
      </c>
      <c r="E21" s="156"/>
    </row>
    <row r="22" spans="1:7" s="45" customFormat="1" ht="15" customHeight="1" x14ac:dyDescent="0.2">
      <c r="A22" s="167" t="s">
        <v>310</v>
      </c>
      <c r="B22" s="168" t="s">
        <v>328</v>
      </c>
      <c r="C22" s="163">
        <v>688700420</v>
      </c>
      <c r="D22" s="163">
        <v>688700420</v>
      </c>
      <c r="E22" s="163">
        <v>0</v>
      </c>
      <c r="G22" s="169"/>
    </row>
    <row r="23" spans="1:7" ht="15.75" customHeight="1" x14ac:dyDescent="0.2">
      <c r="A23" s="214" t="s">
        <v>312</v>
      </c>
      <c r="B23" s="166" t="s">
        <v>329</v>
      </c>
      <c r="C23" s="155">
        <v>369289967</v>
      </c>
      <c r="D23" s="156">
        <v>369289967</v>
      </c>
      <c r="E23" s="156"/>
    </row>
    <row r="24" spans="1:7" ht="15.75" customHeight="1" x14ac:dyDescent="0.2">
      <c r="A24" s="170" t="s">
        <v>314</v>
      </c>
      <c r="B24" s="171" t="s">
        <v>330</v>
      </c>
      <c r="C24" s="155">
        <v>92658</v>
      </c>
      <c r="D24" s="156">
        <v>92658</v>
      </c>
      <c r="E24" s="156"/>
    </row>
    <row r="25" spans="1:7" ht="15.75" customHeight="1" x14ac:dyDescent="0.2">
      <c r="A25" s="170" t="s">
        <v>316</v>
      </c>
      <c r="B25" s="171" t="s">
        <v>331</v>
      </c>
      <c r="C25" s="155">
        <v>700206313</v>
      </c>
      <c r="D25" s="156">
        <v>700206313</v>
      </c>
      <c r="E25" s="156"/>
    </row>
    <row r="26" spans="1:7" ht="15" customHeight="1" x14ac:dyDescent="0.2">
      <c r="A26" s="172" t="s">
        <v>318</v>
      </c>
      <c r="B26" s="173" t="s">
        <v>332</v>
      </c>
      <c r="C26" s="163">
        <v>1069588938</v>
      </c>
      <c r="D26" s="163">
        <v>1069588938</v>
      </c>
      <c r="E26" s="163">
        <v>0</v>
      </c>
    </row>
    <row r="27" spans="1:7" ht="15" customHeight="1" x14ac:dyDescent="0.2">
      <c r="A27" s="172" t="s">
        <v>320</v>
      </c>
      <c r="B27" s="173" t="s">
        <v>333</v>
      </c>
      <c r="C27" s="163">
        <v>1758289358</v>
      </c>
      <c r="D27" s="163">
        <v>1758289358</v>
      </c>
      <c r="E27" s="163">
        <v>0</v>
      </c>
      <c r="G27" s="164">
        <v>1758289358</v>
      </c>
    </row>
    <row r="28" spans="1:7" ht="7.5" customHeight="1" x14ac:dyDescent="0.2">
      <c r="A28" s="214"/>
      <c r="B28" s="166"/>
      <c r="C28" s="165"/>
      <c r="D28" s="165"/>
      <c r="E28" s="165"/>
    </row>
    <row r="29" spans="1:7" s="45" customFormat="1" ht="25.5" x14ac:dyDescent="0.2">
      <c r="A29" s="174" t="s">
        <v>264</v>
      </c>
      <c r="B29" s="175" t="s">
        <v>334</v>
      </c>
      <c r="C29" s="163">
        <v>830742596</v>
      </c>
      <c r="D29" s="163">
        <v>830742596</v>
      </c>
      <c r="E29" s="163">
        <v>0</v>
      </c>
      <c r="G29" s="169"/>
    </row>
    <row r="30" spans="1:7" ht="15.75" customHeight="1" x14ac:dyDescent="0.2">
      <c r="A30" s="176" t="s">
        <v>323</v>
      </c>
      <c r="B30" s="177" t="s">
        <v>335</v>
      </c>
      <c r="C30" s="155">
        <v>525252371</v>
      </c>
      <c r="D30" s="156">
        <v>525252371</v>
      </c>
      <c r="E30" s="156"/>
    </row>
    <row r="31" spans="1:7" ht="15.75" customHeight="1" x14ac:dyDescent="0.2">
      <c r="A31" s="170" t="s">
        <v>304</v>
      </c>
      <c r="B31" s="171" t="s">
        <v>336</v>
      </c>
      <c r="C31" s="155">
        <v>0</v>
      </c>
      <c r="D31" s="156">
        <v>0</v>
      </c>
      <c r="E31" s="156"/>
    </row>
    <row r="32" spans="1:7" ht="15.75" customHeight="1" x14ac:dyDescent="0.2">
      <c r="A32" s="170" t="s">
        <v>306</v>
      </c>
      <c r="B32" s="171" t="s">
        <v>337</v>
      </c>
      <c r="C32" s="155">
        <v>0</v>
      </c>
      <c r="D32" s="156">
        <v>0</v>
      </c>
      <c r="E32" s="156"/>
    </row>
    <row r="33" spans="1:8" ht="15.75" customHeight="1" x14ac:dyDescent="0.2">
      <c r="A33" s="170" t="s">
        <v>308</v>
      </c>
      <c r="B33" s="171" t="s">
        <v>338</v>
      </c>
      <c r="C33" s="155">
        <v>5597996</v>
      </c>
      <c r="D33" s="156">
        <v>5597996</v>
      </c>
      <c r="E33" s="156"/>
    </row>
    <row r="34" spans="1:8" x14ac:dyDescent="0.2">
      <c r="A34" s="167" t="s">
        <v>310</v>
      </c>
      <c r="B34" s="178" t="s">
        <v>339</v>
      </c>
      <c r="C34" s="163">
        <v>299892229</v>
      </c>
      <c r="D34" s="163">
        <v>299892229</v>
      </c>
      <c r="E34" s="163">
        <v>0</v>
      </c>
    </row>
    <row r="35" spans="1:8" ht="7.5" customHeight="1" x14ac:dyDescent="0.2">
      <c r="A35" s="214"/>
      <c r="B35" s="166"/>
      <c r="C35" s="165"/>
      <c r="D35" s="165"/>
      <c r="E35" s="165"/>
    </row>
    <row r="36" spans="1:8" ht="15" customHeight="1" x14ac:dyDescent="0.2">
      <c r="A36" s="167" t="s">
        <v>272</v>
      </c>
      <c r="B36" s="168" t="s">
        <v>340</v>
      </c>
      <c r="C36" s="10"/>
      <c r="D36" s="10"/>
      <c r="E36" s="10"/>
    </row>
    <row r="37" spans="1:8" ht="15" customHeight="1" x14ac:dyDescent="0.2">
      <c r="A37" s="214" t="s">
        <v>323</v>
      </c>
      <c r="B37" s="179" t="s">
        <v>341</v>
      </c>
      <c r="C37" s="155">
        <v>189651306</v>
      </c>
      <c r="D37" s="156">
        <v>189651306</v>
      </c>
      <c r="E37" s="156">
        <v>0</v>
      </c>
      <c r="H37" s="180"/>
    </row>
    <row r="38" spans="1:8" ht="15" customHeight="1" x14ac:dyDescent="0.2">
      <c r="A38" s="214" t="s">
        <v>304</v>
      </c>
      <c r="B38" s="166" t="s">
        <v>342</v>
      </c>
      <c r="C38" s="155">
        <v>399827990</v>
      </c>
      <c r="D38" s="156">
        <v>0</v>
      </c>
      <c r="E38" s="156">
        <v>399827990</v>
      </c>
    </row>
    <row r="39" spans="1:8" ht="15" customHeight="1" x14ac:dyDescent="0.2">
      <c r="A39" s="214" t="s">
        <v>306</v>
      </c>
      <c r="B39" s="166" t="s">
        <v>343</v>
      </c>
      <c r="C39" s="155">
        <v>0</v>
      </c>
      <c r="D39" s="156">
        <v>0</v>
      </c>
      <c r="E39" s="156">
        <v>0</v>
      </c>
    </row>
    <row r="40" spans="1:8" ht="15" customHeight="1" x14ac:dyDescent="0.2">
      <c r="A40" s="214" t="s">
        <v>308</v>
      </c>
      <c r="B40" s="166" t="s">
        <v>344</v>
      </c>
      <c r="C40" s="155">
        <v>578356</v>
      </c>
      <c r="D40" s="156">
        <v>578356</v>
      </c>
      <c r="E40" s="156">
        <v>0</v>
      </c>
    </row>
    <row r="41" spans="1:8" ht="15" customHeight="1" x14ac:dyDescent="0.2">
      <c r="A41" s="214" t="s">
        <v>310</v>
      </c>
      <c r="B41" s="166" t="s">
        <v>345</v>
      </c>
      <c r="C41" s="155">
        <v>296911314</v>
      </c>
      <c r="D41" s="156">
        <v>296911314</v>
      </c>
      <c r="E41" s="156">
        <v>0</v>
      </c>
    </row>
    <row r="42" spans="1:8" ht="15" customHeight="1" x14ac:dyDescent="0.2">
      <c r="A42" s="214"/>
      <c r="B42" s="181" t="s">
        <v>346</v>
      </c>
      <c r="C42" s="155"/>
      <c r="D42" s="156">
        <v>0</v>
      </c>
      <c r="E42" s="156">
        <v>0</v>
      </c>
    </row>
    <row r="43" spans="1:8" ht="15" customHeight="1" x14ac:dyDescent="0.2">
      <c r="A43" s="214" t="s">
        <v>347</v>
      </c>
      <c r="B43" s="166" t="s">
        <v>348</v>
      </c>
      <c r="C43" s="155">
        <v>288590517</v>
      </c>
      <c r="D43" s="156">
        <v>288590517</v>
      </c>
      <c r="E43" s="156">
        <v>0</v>
      </c>
    </row>
    <row r="44" spans="1:8" ht="15" customHeight="1" x14ac:dyDescent="0.2">
      <c r="A44" s="214" t="s">
        <v>349</v>
      </c>
      <c r="B44" s="166" t="s">
        <v>350</v>
      </c>
      <c r="C44" s="155">
        <v>0</v>
      </c>
      <c r="D44" s="156">
        <v>0</v>
      </c>
      <c r="E44" s="156">
        <v>0</v>
      </c>
    </row>
    <row r="45" spans="1:8" ht="15" customHeight="1" x14ac:dyDescent="0.2">
      <c r="A45" s="167" t="s">
        <v>312</v>
      </c>
      <c r="B45" s="168" t="s">
        <v>351</v>
      </c>
      <c r="C45" s="163">
        <v>886968966</v>
      </c>
      <c r="D45" s="163">
        <v>487140976</v>
      </c>
      <c r="E45" s="163">
        <v>399827990</v>
      </c>
    </row>
    <row r="46" spans="1:8" ht="7.5" customHeight="1" x14ac:dyDescent="0.2">
      <c r="A46" s="214"/>
      <c r="B46" s="166"/>
      <c r="C46" s="165"/>
      <c r="D46" s="165"/>
      <c r="E46" s="165"/>
    </row>
    <row r="47" spans="1:8" ht="15" customHeight="1" x14ac:dyDescent="0.2">
      <c r="A47" s="167" t="s">
        <v>274</v>
      </c>
      <c r="B47" s="168" t="s">
        <v>352</v>
      </c>
      <c r="C47" s="10"/>
      <c r="D47" s="10"/>
      <c r="E47" s="10"/>
    </row>
    <row r="48" spans="1:8" ht="15" customHeight="1" x14ac:dyDescent="0.2">
      <c r="A48" s="214" t="s">
        <v>323</v>
      </c>
      <c r="B48" s="179" t="s">
        <v>353</v>
      </c>
      <c r="C48" s="155">
        <v>54082228</v>
      </c>
      <c r="D48" s="156">
        <v>54082228</v>
      </c>
      <c r="E48" s="156">
        <v>0</v>
      </c>
    </row>
    <row r="49" spans="1:5" ht="15" customHeight="1" x14ac:dyDescent="0.2">
      <c r="A49" s="214" t="s">
        <v>304</v>
      </c>
      <c r="B49" s="166" t="s">
        <v>354</v>
      </c>
      <c r="C49" s="155">
        <v>373164796</v>
      </c>
      <c r="D49" s="156">
        <v>0</v>
      </c>
      <c r="E49" s="156">
        <v>373164796</v>
      </c>
    </row>
    <row r="50" spans="1:5" ht="15" customHeight="1" x14ac:dyDescent="0.2">
      <c r="A50" s="214" t="s">
        <v>306</v>
      </c>
      <c r="B50" s="166" t="s">
        <v>355</v>
      </c>
      <c r="C50" s="155">
        <v>0</v>
      </c>
      <c r="D50" s="156">
        <v>0</v>
      </c>
      <c r="E50" s="156">
        <v>0</v>
      </c>
    </row>
    <row r="51" spans="1:5" ht="15" customHeight="1" x14ac:dyDescent="0.2">
      <c r="A51" s="214" t="s">
        <v>308</v>
      </c>
      <c r="B51" s="166" t="s">
        <v>356</v>
      </c>
      <c r="C51" s="155">
        <v>0</v>
      </c>
      <c r="D51" s="156">
        <v>0</v>
      </c>
      <c r="E51" s="156">
        <v>0</v>
      </c>
    </row>
    <row r="52" spans="1:5" ht="15" customHeight="1" x14ac:dyDescent="0.2">
      <c r="A52" s="214" t="s">
        <v>310</v>
      </c>
      <c r="B52" s="166" t="s">
        <v>357</v>
      </c>
      <c r="C52" s="155">
        <v>2570074</v>
      </c>
      <c r="D52" s="156">
        <v>2570074</v>
      </c>
      <c r="E52" s="156"/>
    </row>
    <row r="53" spans="1:5" ht="15" customHeight="1" x14ac:dyDescent="0.2">
      <c r="A53" s="167" t="s">
        <v>312</v>
      </c>
      <c r="B53" s="168" t="s">
        <v>358</v>
      </c>
      <c r="C53" s="163">
        <v>429817098</v>
      </c>
      <c r="D53" s="163">
        <v>56652302</v>
      </c>
      <c r="E53" s="163">
        <v>373164796</v>
      </c>
    </row>
    <row r="54" spans="1:5" ht="7.5" customHeight="1" x14ac:dyDescent="0.2">
      <c r="A54" s="167"/>
      <c r="B54" s="168"/>
      <c r="C54" s="182"/>
      <c r="D54" s="182"/>
      <c r="E54" s="182"/>
    </row>
    <row r="55" spans="1:5" ht="15" customHeight="1" x14ac:dyDescent="0.2">
      <c r="A55" s="167" t="s">
        <v>276</v>
      </c>
      <c r="B55" s="168" t="s">
        <v>359</v>
      </c>
      <c r="C55" s="163">
        <v>757044097</v>
      </c>
      <c r="D55" s="163">
        <v>730380903</v>
      </c>
      <c r="E55" s="163">
        <v>26663194</v>
      </c>
    </row>
    <row r="56" spans="1:5" ht="7.5" customHeight="1" x14ac:dyDescent="0.2">
      <c r="A56" s="167"/>
      <c r="B56" s="168"/>
      <c r="C56" s="183"/>
      <c r="D56" s="183"/>
      <c r="E56" s="183"/>
    </row>
    <row r="57" spans="1:5" ht="15" customHeight="1" x14ac:dyDescent="0.2">
      <c r="A57" s="167" t="s">
        <v>277</v>
      </c>
      <c r="B57" s="168" t="s">
        <v>360</v>
      </c>
      <c r="C57" s="10"/>
      <c r="D57" s="10"/>
      <c r="E57" s="10"/>
    </row>
    <row r="58" spans="1:5" ht="15" customHeight="1" x14ac:dyDescent="0.2">
      <c r="A58" s="214" t="s">
        <v>323</v>
      </c>
      <c r="B58" s="166" t="s">
        <v>361</v>
      </c>
      <c r="C58" s="156">
        <v>474025238</v>
      </c>
      <c r="D58" s="156">
        <v>474025238</v>
      </c>
      <c r="E58" s="184"/>
    </row>
    <row r="59" spans="1:5" ht="15" customHeight="1" x14ac:dyDescent="0.2">
      <c r="A59" s="185" t="s">
        <v>362</v>
      </c>
      <c r="B59" s="166" t="s">
        <v>363</v>
      </c>
      <c r="C59" s="156">
        <v>0</v>
      </c>
      <c r="D59" s="156">
        <v>0</v>
      </c>
      <c r="E59" s="184"/>
    </row>
    <row r="60" spans="1:5" ht="15" customHeight="1" x14ac:dyDescent="0.2">
      <c r="A60" s="214" t="s">
        <v>304</v>
      </c>
      <c r="B60" s="166" t="s">
        <v>364</v>
      </c>
      <c r="C60" s="156">
        <v>83376065</v>
      </c>
      <c r="D60" s="156">
        <v>83376065</v>
      </c>
      <c r="E60" s="184"/>
    </row>
    <row r="61" spans="1:5" ht="15" customHeight="1" x14ac:dyDescent="0.2">
      <c r="A61" s="214" t="s">
        <v>306</v>
      </c>
      <c r="B61" s="166" t="s">
        <v>365</v>
      </c>
      <c r="C61" s="156">
        <v>9816634</v>
      </c>
      <c r="D61" s="156">
        <v>9816634</v>
      </c>
      <c r="E61" s="184"/>
    </row>
    <row r="62" spans="1:5" ht="15" customHeight="1" x14ac:dyDescent="0.2">
      <c r="A62" s="214" t="s">
        <v>308</v>
      </c>
      <c r="B62" s="166" t="s">
        <v>366</v>
      </c>
      <c r="C62" s="156">
        <v>18239401</v>
      </c>
      <c r="D62" s="156">
        <v>18239401</v>
      </c>
      <c r="E62" s="184"/>
    </row>
    <row r="63" spans="1:5" ht="15" customHeight="1" x14ac:dyDescent="0.2">
      <c r="A63" s="214" t="s">
        <v>310</v>
      </c>
      <c r="B63" s="166" t="s">
        <v>367</v>
      </c>
      <c r="C63" s="156">
        <v>27863064</v>
      </c>
      <c r="D63" s="156">
        <v>27863064</v>
      </c>
      <c r="E63" s="184"/>
    </row>
    <row r="64" spans="1:5" ht="15" customHeight="1" x14ac:dyDescent="0.2">
      <c r="A64" s="214" t="s">
        <v>312</v>
      </c>
      <c r="B64" s="166" t="s">
        <v>368</v>
      </c>
      <c r="C64" s="156">
        <v>53572570</v>
      </c>
      <c r="D64" s="156">
        <v>53572570</v>
      </c>
      <c r="E64" s="184"/>
    </row>
    <row r="65" spans="1:30" ht="15" customHeight="1" x14ac:dyDescent="0.2">
      <c r="A65" s="214" t="s">
        <v>314</v>
      </c>
      <c r="B65" s="166" t="s">
        <v>369</v>
      </c>
      <c r="C65" s="156">
        <v>11151171</v>
      </c>
      <c r="D65" s="156">
        <v>11151171</v>
      </c>
      <c r="E65" s="184"/>
    </row>
    <row r="66" spans="1:30" ht="15" customHeight="1" x14ac:dyDescent="0.2">
      <c r="A66" s="214" t="s">
        <v>316</v>
      </c>
      <c r="B66" s="166" t="s">
        <v>370</v>
      </c>
      <c r="C66" s="156">
        <v>6894396</v>
      </c>
      <c r="D66" s="156">
        <v>6894396</v>
      </c>
      <c r="E66" s="184"/>
    </row>
    <row r="67" spans="1:30" ht="15" customHeight="1" x14ac:dyDescent="0.2">
      <c r="A67" s="214" t="s">
        <v>318</v>
      </c>
      <c r="B67" s="166" t="s">
        <v>371</v>
      </c>
      <c r="C67" s="156">
        <v>0</v>
      </c>
      <c r="D67" s="156">
        <v>0</v>
      </c>
      <c r="E67" s="184"/>
    </row>
    <row r="68" spans="1:30" ht="15" customHeight="1" x14ac:dyDescent="0.2">
      <c r="A68" s="214" t="s">
        <v>320</v>
      </c>
      <c r="B68" s="166" t="s">
        <v>372</v>
      </c>
      <c r="C68" s="156">
        <v>20132747</v>
      </c>
      <c r="D68" s="156">
        <v>20132747</v>
      </c>
      <c r="E68" s="184"/>
    </row>
    <row r="69" spans="1:30" ht="15" customHeight="1" x14ac:dyDescent="0.2">
      <c r="A69" s="153" t="s">
        <v>373</v>
      </c>
      <c r="B69" s="36" t="s">
        <v>374</v>
      </c>
      <c r="C69" s="163">
        <v>705071286</v>
      </c>
      <c r="D69" s="163">
        <v>705071286</v>
      </c>
      <c r="E69" s="184"/>
      <c r="G69" s="186"/>
    </row>
    <row r="70" spans="1:30" ht="7.5" customHeight="1" x14ac:dyDescent="0.2">
      <c r="A70" s="154" t="s">
        <v>375</v>
      </c>
      <c r="B70" s="14" t="s">
        <v>375</v>
      </c>
      <c r="C70" s="165"/>
      <c r="D70" s="165"/>
      <c r="E70" s="165"/>
    </row>
    <row r="71" spans="1:30" ht="15" customHeight="1" x14ac:dyDescent="0.2">
      <c r="A71" s="153" t="s">
        <v>279</v>
      </c>
      <c r="B71" s="36" t="s">
        <v>376</v>
      </c>
      <c r="C71" s="163">
        <v>51972811</v>
      </c>
      <c r="D71" s="163">
        <v>25309617</v>
      </c>
      <c r="E71" s="163">
        <v>26663194</v>
      </c>
      <c r="G71" s="186"/>
    </row>
    <row r="72" spans="1:30" ht="15" customHeight="1" x14ac:dyDescent="0.2">
      <c r="A72" s="154" t="s">
        <v>323</v>
      </c>
      <c r="B72" s="14" t="s">
        <v>377</v>
      </c>
      <c r="C72" s="155">
        <v>30658146</v>
      </c>
      <c r="D72" s="156">
        <v>30658146</v>
      </c>
      <c r="E72" s="156"/>
    </row>
    <row r="73" spans="1:30" ht="7.5" customHeight="1" x14ac:dyDescent="0.2">
      <c r="A73" s="154"/>
      <c r="B73" s="14"/>
      <c r="C73" s="182"/>
      <c r="D73" s="182"/>
      <c r="E73" s="182"/>
    </row>
    <row r="74" spans="1:30" ht="15" customHeight="1" x14ac:dyDescent="0.2">
      <c r="A74" s="153" t="s">
        <v>282</v>
      </c>
      <c r="B74" s="36" t="s">
        <v>378</v>
      </c>
      <c r="C74" s="163">
        <v>21314665</v>
      </c>
      <c r="D74" s="163">
        <v>-5348529</v>
      </c>
      <c r="E74" s="163">
        <v>26663194</v>
      </c>
      <c r="G74" s="186"/>
    </row>
    <row r="75" spans="1:30" ht="15" customHeight="1" x14ac:dyDescent="0.2">
      <c r="A75" s="154" t="s">
        <v>323</v>
      </c>
      <c r="B75" s="14" t="s">
        <v>379</v>
      </c>
      <c r="C75" s="155">
        <v>0</v>
      </c>
      <c r="D75" s="156">
        <v>0</v>
      </c>
      <c r="E75" s="156">
        <v>0</v>
      </c>
    </row>
    <row r="76" spans="1:30" ht="15" customHeight="1" x14ac:dyDescent="0.2">
      <c r="A76" s="154" t="s">
        <v>304</v>
      </c>
      <c r="B76" s="14" t="s">
        <v>380</v>
      </c>
      <c r="C76" s="155">
        <v>0</v>
      </c>
      <c r="D76" s="156">
        <v>0</v>
      </c>
      <c r="E76" s="156">
        <v>0</v>
      </c>
    </row>
    <row r="77" spans="1:30" ht="7.5" customHeight="1" x14ac:dyDescent="0.2">
      <c r="A77" s="153"/>
      <c r="B77" s="36"/>
      <c r="C77" s="165"/>
      <c r="D77" s="165"/>
      <c r="E77" s="165"/>
    </row>
    <row r="78" spans="1:30" ht="15" customHeight="1" x14ac:dyDescent="0.2">
      <c r="A78" s="153" t="s">
        <v>284</v>
      </c>
      <c r="B78" s="36" t="s">
        <v>381</v>
      </c>
      <c r="C78" s="163">
        <v>21314665</v>
      </c>
      <c r="D78" s="163">
        <v>-5348529</v>
      </c>
      <c r="E78" s="163">
        <v>26663194</v>
      </c>
      <c r="G78" s="186"/>
    </row>
    <row r="79" spans="1:30" ht="15" customHeight="1" x14ac:dyDescent="0.2">
      <c r="A79" s="12"/>
    </row>
    <row r="80" spans="1:30" s="2" customFormat="1" ht="19.5" customHeight="1" x14ac:dyDescent="0.2">
      <c r="A80" s="12"/>
      <c r="B80" s="45" t="s">
        <v>129</v>
      </c>
      <c r="C80" s="12"/>
      <c r="D80" s="12"/>
      <c r="E80" s="12"/>
      <c r="F80" s="11"/>
      <c r="G80" s="11"/>
      <c r="H80" s="11"/>
      <c r="I80" s="11"/>
      <c r="J80" s="11"/>
      <c r="K80" s="11"/>
      <c r="L80" s="11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s="2" customFormat="1" ht="12.75" customHeight="1" x14ac:dyDescent="0.2">
      <c r="A81" s="12"/>
      <c r="B81" s="45"/>
      <c r="C81" s="12"/>
      <c r="D81" s="12"/>
      <c r="E81" s="12"/>
      <c r="F81" s="11"/>
      <c r="G81" s="11"/>
      <c r="H81" s="11"/>
      <c r="I81" s="11"/>
      <c r="J81" s="11"/>
      <c r="K81" s="11"/>
      <c r="L81" s="11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s="2" customFormat="1" ht="19.5" customHeight="1" x14ac:dyDescent="0.2">
      <c r="A82" s="12"/>
      <c r="B82" s="45" t="s">
        <v>130</v>
      </c>
      <c r="C82" s="12"/>
      <c r="D82" s="12"/>
      <c r="E82" s="12"/>
      <c r="F82" s="11"/>
      <c r="G82" s="11"/>
      <c r="H82" s="11"/>
      <c r="I82" s="11"/>
      <c r="J82" s="11"/>
      <c r="K82" s="11"/>
      <c r="L82" s="11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" customHeight="1" x14ac:dyDescent="0.2">
      <c r="A83" s="12"/>
    </row>
    <row r="84" spans="1:30" ht="15" customHeight="1" x14ac:dyDescent="0.2">
      <c r="A84" s="12"/>
    </row>
    <row r="85" spans="1:30" ht="15" customHeight="1" x14ac:dyDescent="0.2">
      <c r="A85" s="12"/>
    </row>
    <row r="86" spans="1:30" ht="15" customHeight="1" x14ac:dyDescent="0.2">
      <c r="A86" s="12"/>
    </row>
    <row r="87" spans="1:30" ht="15" customHeight="1" x14ac:dyDescent="0.2">
      <c r="A87" s="12"/>
    </row>
    <row r="88" spans="1:30" ht="15" customHeight="1" x14ac:dyDescent="0.2">
      <c r="A88" s="187"/>
    </row>
    <row r="89" spans="1:30" ht="15" customHeight="1" x14ac:dyDescent="0.2">
      <c r="A89" s="187"/>
    </row>
    <row r="93" spans="1:30" ht="15" customHeight="1" x14ac:dyDescent="0.2">
      <c r="A93" s="188"/>
    </row>
  </sheetData>
  <mergeCells count="1">
    <mergeCell ref="A1:D1"/>
  </mergeCells>
  <conditionalFormatting sqref="G15">
    <cfRule type="cellIs" dxfId="424" priority="3" operator="notEqual">
      <formula>$G$15</formula>
    </cfRule>
  </conditionalFormatting>
  <conditionalFormatting sqref="C15">
    <cfRule type="cellIs" dxfId="423" priority="2" operator="notEqual">
      <formula>$G$15</formula>
    </cfRule>
  </conditionalFormatting>
  <conditionalFormatting sqref="C27">
    <cfRule type="cellIs" dxfId="422" priority="1" operator="notEqual">
      <formula>$G$27</formula>
    </cfRule>
  </conditionalFormatting>
  <dataValidations count="4">
    <dataValidation type="whole" operator="greaterThanOrEqual" allowBlank="1" showInputMessage="1" showErrorMessage="1" sqref="E58:E68" xr:uid="{00000000-0002-0000-0100-000000000000}">
      <formula1>0</formula1>
    </dataValidation>
    <dataValidation allowBlank="1" showInputMessage="1" showErrorMessage="1" prompt="Значение должно равняться итого процентных доходов (см.следующий лист)" sqref="C15:F15" xr:uid="{00000000-0002-0000-0100-000001000000}"/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2000000}"/>
    <dataValidation type="whole" operator="notEqual" allowBlank="1" showErrorMessage="1" error="Если увас есть желание не видеть больше_x000a_это сообщение, вводите целые числа!" sqref="C75:F76 F17 F47 F58:F68 C58:D68 C30:F33 F29 C23:F25 C72:F72 C48:F52 C18:F21 C37:F44 C6:E14 F5:F14" xr:uid="{00000000-0002-0000-0100-000003000000}">
      <formula1>-1E+21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0"/>
  <sheetViews>
    <sheetView zoomScale="55" zoomScaleNormal="55" workbookViewId="0">
      <selection activeCell="A3" sqref="A3:A5"/>
    </sheetView>
  </sheetViews>
  <sheetFormatPr defaultRowHeight="12.75" x14ac:dyDescent="0.2"/>
  <cols>
    <col min="1" max="1" width="6.5703125" style="88" customWidth="1"/>
    <col min="2" max="2" width="78.5703125" style="93" customWidth="1"/>
    <col min="3" max="18" width="15.85546875" style="53" customWidth="1"/>
    <col min="19" max="21" width="18.28515625" style="53" customWidth="1"/>
    <col min="22" max="22" width="9" style="104" customWidth="1"/>
    <col min="23" max="23" width="18.7109375" style="105" customWidth="1"/>
    <col min="24" max="24" width="20.42578125" style="93" customWidth="1"/>
    <col min="25" max="25" width="18.7109375" style="105" customWidth="1"/>
    <col min="26" max="26" width="18.7109375" style="93" customWidth="1"/>
    <col min="27" max="29" width="20.5703125" style="53" customWidth="1"/>
    <col min="30" max="32" width="10.85546875" style="53" customWidth="1"/>
    <col min="33" max="16384" width="9.140625" style="53"/>
  </cols>
  <sheetData>
    <row r="1" spans="1:26" s="48" customFormat="1" ht="32.25" customHeight="1" x14ac:dyDescent="0.25">
      <c r="A1" s="46" t="s">
        <v>131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227" t="s">
        <v>132</v>
      </c>
      <c r="Y1" s="227"/>
      <c r="Z1" s="227"/>
    </row>
    <row r="2" spans="1:26" ht="15.75" x14ac:dyDescent="0.25">
      <c r="A2" s="49"/>
      <c r="B2" s="50" t="s">
        <v>445</v>
      </c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T2" s="8"/>
      <c r="V2" s="53"/>
      <c r="W2" s="52"/>
      <c r="X2" s="54">
        <v>44926</v>
      </c>
      <c r="Y2" s="52"/>
      <c r="Z2" s="55" t="s">
        <v>2</v>
      </c>
    </row>
    <row r="3" spans="1:26" s="56" customFormat="1" ht="29.25" customHeight="1" x14ac:dyDescent="0.25">
      <c r="A3" s="228" t="s">
        <v>3</v>
      </c>
      <c r="B3" s="228" t="s">
        <v>133</v>
      </c>
      <c r="C3" s="230" t="s">
        <v>134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2"/>
      <c r="S3" s="233" t="s">
        <v>5</v>
      </c>
      <c r="T3" s="235" t="s">
        <v>135</v>
      </c>
      <c r="U3" s="236"/>
      <c r="V3" s="235" t="s">
        <v>136</v>
      </c>
      <c r="W3" s="239"/>
      <c r="X3" s="239"/>
      <c r="Y3" s="239"/>
      <c r="Z3" s="239"/>
    </row>
    <row r="4" spans="1:26" s="56" customFormat="1" ht="29.25" customHeight="1" x14ac:dyDescent="0.25">
      <c r="A4" s="229"/>
      <c r="B4" s="229"/>
      <c r="C4" s="230" t="s">
        <v>137</v>
      </c>
      <c r="D4" s="232"/>
      <c r="E4" s="230" t="s">
        <v>138</v>
      </c>
      <c r="F4" s="232"/>
      <c r="G4" s="230" t="s">
        <v>139</v>
      </c>
      <c r="H4" s="232"/>
      <c r="I4" s="230" t="s">
        <v>140</v>
      </c>
      <c r="J4" s="232"/>
      <c r="K4" s="230" t="s">
        <v>141</v>
      </c>
      <c r="L4" s="232"/>
      <c r="M4" s="230" t="s">
        <v>142</v>
      </c>
      <c r="N4" s="232"/>
      <c r="O4" s="230" t="s">
        <v>143</v>
      </c>
      <c r="P4" s="232"/>
      <c r="Q4" s="230" t="s">
        <v>144</v>
      </c>
      <c r="R4" s="232"/>
      <c r="S4" s="234"/>
      <c r="T4" s="237"/>
      <c r="U4" s="238"/>
      <c r="V4" s="237"/>
      <c r="W4" s="240"/>
      <c r="X4" s="240"/>
      <c r="Y4" s="240"/>
      <c r="Z4" s="240"/>
    </row>
    <row r="5" spans="1:26" s="56" customFormat="1" ht="110.25" customHeight="1" x14ac:dyDescent="0.25">
      <c r="A5" s="229"/>
      <c r="B5" s="229"/>
      <c r="C5" s="57" t="s">
        <v>145</v>
      </c>
      <c r="D5" s="57" t="s">
        <v>146</v>
      </c>
      <c r="E5" s="57" t="s">
        <v>145</v>
      </c>
      <c r="F5" s="57" t="s">
        <v>146</v>
      </c>
      <c r="G5" s="57" t="s">
        <v>145</v>
      </c>
      <c r="H5" s="57" t="s">
        <v>146</v>
      </c>
      <c r="I5" s="57" t="s">
        <v>145</v>
      </c>
      <c r="J5" s="57" t="s">
        <v>146</v>
      </c>
      <c r="K5" s="57" t="s">
        <v>145</v>
      </c>
      <c r="L5" s="57" t="s">
        <v>146</v>
      </c>
      <c r="M5" s="57" t="s">
        <v>145</v>
      </c>
      <c r="N5" s="57" t="s">
        <v>146</v>
      </c>
      <c r="O5" s="57" t="s">
        <v>145</v>
      </c>
      <c r="P5" s="57" t="s">
        <v>146</v>
      </c>
      <c r="Q5" s="57" t="s">
        <v>145</v>
      </c>
      <c r="R5" s="57" t="s">
        <v>146</v>
      </c>
      <c r="S5" s="234"/>
      <c r="T5" s="57" t="s">
        <v>147</v>
      </c>
      <c r="U5" s="57" t="s">
        <v>148</v>
      </c>
      <c r="V5" s="211" t="s">
        <v>149</v>
      </c>
      <c r="W5" s="211" t="s">
        <v>150</v>
      </c>
      <c r="X5" s="211" t="s">
        <v>151</v>
      </c>
      <c r="Y5" s="211" t="s">
        <v>152</v>
      </c>
      <c r="Z5" s="211" t="s">
        <v>153</v>
      </c>
    </row>
    <row r="6" spans="1:26" s="65" customFormat="1" ht="38.25" customHeight="1" x14ac:dyDescent="0.25">
      <c r="A6" s="58" t="s">
        <v>154</v>
      </c>
      <c r="B6" s="59" t="s">
        <v>8</v>
      </c>
      <c r="C6" s="60">
        <v>550033332</v>
      </c>
      <c r="D6" s="60">
        <v>254280028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1">
        <v>550033332</v>
      </c>
      <c r="T6" s="61">
        <v>295753304</v>
      </c>
      <c r="U6" s="61">
        <v>254280028</v>
      </c>
      <c r="V6" s="62">
        <v>1</v>
      </c>
      <c r="W6" s="63">
        <v>550033332</v>
      </c>
      <c r="X6" s="64">
        <v>550033332</v>
      </c>
      <c r="Y6" s="63">
        <v>254280028</v>
      </c>
      <c r="Z6" s="64">
        <v>254280028</v>
      </c>
    </row>
    <row r="7" spans="1:26" s="65" customFormat="1" ht="38.25" customHeight="1" x14ac:dyDescent="0.25">
      <c r="A7" s="58" t="s">
        <v>155</v>
      </c>
      <c r="B7" s="59" t="s">
        <v>156</v>
      </c>
      <c r="C7" s="60">
        <v>389831133</v>
      </c>
      <c r="D7" s="60">
        <v>0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1">
        <v>389831133</v>
      </c>
      <c r="T7" s="61">
        <v>389831133</v>
      </c>
      <c r="U7" s="61">
        <v>0</v>
      </c>
      <c r="V7" s="62">
        <v>1</v>
      </c>
      <c r="W7" s="63">
        <v>389831133</v>
      </c>
      <c r="X7" s="64">
        <v>389831133</v>
      </c>
      <c r="Y7" s="63">
        <v>0</v>
      </c>
      <c r="Z7" s="64">
        <v>0</v>
      </c>
    </row>
    <row r="8" spans="1:26" s="65" customFormat="1" ht="38.25" customHeight="1" x14ac:dyDescent="0.25">
      <c r="A8" s="58" t="s">
        <v>157</v>
      </c>
      <c r="B8" s="59" t="s">
        <v>158</v>
      </c>
      <c r="C8" s="60">
        <v>35708264</v>
      </c>
      <c r="D8" s="60">
        <v>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>
        <v>35708264</v>
      </c>
      <c r="T8" s="61">
        <v>35708264</v>
      </c>
      <c r="U8" s="61">
        <v>0</v>
      </c>
      <c r="V8" s="62">
        <v>0</v>
      </c>
      <c r="W8" s="63"/>
      <c r="X8" s="61"/>
      <c r="Y8" s="63"/>
      <c r="Z8" s="63"/>
    </row>
    <row r="9" spans="1:26" s="65" customFormat="1" ht="38.25" customHeight="1" x14ac:dyDescent="0.25">
      <c r="A9" s="58" t="s">
        <v>159</v>
      </c>
      <c r="B9" s="59" t="s">
        <v>160</v>
      </c>
      <c r="C9" s="66">
        <v>593338273</v>
      </c>
      <c r="D9" s="66">
        <v>588836509</v>
      </c>
      <c r="E9" s="66">
        <v>1486214</v>
      </c>
      <c r="F9" s="66">
        <v>301256</v>
      </c>
      <c r="G9" s="66">
        <v>0</v>
      </c>
      <c r="H9" s="66">
        <v>0</v>
      </c>
      <c r="I9" s="66">
        <v>500000</v>
      </c>
      <c r="J9" s="66">
        <v>0</v>
      </c>
      <c r="K9" s="66">
        <v>0</v>
      </c>
      <c r="L9" s="66">
        <v>0</v>
      </c>
      <c r="M9" s="66">
        <v>25428149</v>
      </c>
      <c r="N9" s="66">
        <v>0</v>
      </c>
      <c r="O9" s="66">
        <v>44138889</v>
      </c>
      <c r="P9" s="66">
        <v>0</v>
      </c>
      <c r="Q9" s="66">
        <v>35400550</v>
      </c>
      <c r="R9" s="66">
        <v>0</v>
      </c>
      <c r="S9" s="61">
        <v>700292075</v>
      </c>
      <c r="T9" s="61">
        <v>111154310</v>
      </c>
      <c r="U9" s="61">
        <v>589137765</v>
      </c>
      <c r="V9" s="62"/>
      <c r="W9" s="63"/>
      <c r="X9" s="61"/>
      <c r="Y9" s="63"/>
      <c r="Z9" s="63"/>
    </row>
    <row r="10" spans="1:26" s="65" customFormat="1" ht="45" customHeight="1" x14ac:dyDescent="0.25">
      <c r="A10" s="58" t="s">
        <v>11</v>
      </c>
      <c r="B10" s="59" t="s">
        <v>161</v>
      </c>
      <c r="C10" s="60">
        <v>5631126</v>
      </c>
      <c r="D10" s="60">
        <v>5631126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>
        <v>5631126</v>
      </c>
      <c r="T10" s="61">
        <v>0</v>
      </c>
      <c r="U10" s="61">
        <v>5631126</v>
      </c>
      <c r="V10" s="62">
        <v>1</v>
      </c>
      <c r="W10" s="63">
        <v>5631126</v>
      </c>
      <c r="X10" s="64">
        <v>5631126</v>
      </c>
      <c r="Y10" s="63">
        <v>5631126</v>
      </c>
      <c r="Z10" s="64">
        <v>5631126</v>
      </c>
    </row>
    <row r="11" spans="1:26" s="65" customFormat="1" ht="45" customHeight="1" x14ac:dyDescent="0.25">
      <c r="A11" s="58" t="s">
        <v>13</v>
      </c>
      <c r="B11" s="59" t="s">
        <v>162</v>
      </c>
      <c r="C11" s="60">
        <v>579908360</v>
      </c>
      <c r="D11" s="60">
        <v>579908359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1">
        <v>579908360</v>
      </c>
      <c r="T11" s="61">
        <v>1</v>
      </c>
      <c r="U11" s="61">
        <v>579908359</v>
      </c>
      <c r="V11" s="62">
        <v>1</v>
      </c>
      <c r="W11" s="63">
        <v>579908360</v>
      </c>
      <c r="X11" s="64">
        <v>579908360</v>
      </c>
      <c r="Y11" s="63">
        <v>579908359</v>
      </c>
      <c r="Z11" s="64">
        <v>579908359</v>
      </c>
    </row>
    <row r="12" spans="1:26" s="65" customFormat="1" ht="45" customHeight="1" x14ac:dyDescent="0.25">
      <c r="A12" s="58" t="s">
        <v>163</v>
      </c>
      <c r="B12" s="59" t="s">
        <v>164</v>
      </c>
      <c r="C12" s="66"/>
      <c r="D12" s="66"/>
      <c r="E12" s="60"/>
      <c r="F12" s="60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1">
        <v>0</v>
      </c>
      <c r="T12" s="61">
        <v>0</v>
      </c>
      <c r="U12" s="61">
        <v>0</v>
      </c>
      <c r="V12" s="62">
        <v>1</v>
      </c>
      <c r="W12" s="63">
        <v>0</v>
      </c>
      <c r="X12" s="61">
        <v>0</v>
      </c>
      <c r="Y12" s="67">
        <v>0</v>
      </c>
      <c r="Z12" s="61">
        <v>0</v>
      </c>
    </row>
    <row r="13" spans="1:26" s="65" customFormat="1" ht="45" customHeight="1" x14ac:dyDescent="0.25">
      <c r="A13" s="58" t="s">
        <v>165</v>
      </c>
      <c r="B13" s="59" t="s">
        <v>166</v>
      </c>
      <c r="C13" s="66"/>
      <c r="D13" s="66"/>
      <c r="E13" s="60"/>
      <c r="F13" s="60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1">
        <v>0</v>
      </c>
      <c r="T13" s="61">
        <v>0</v>
      </c>
      <c r="U13" s="61">
        <v>0</v>
      </c>
      <c r="V13" s="62">
        <v>1</v>
      </c>
      <c r="W13" s="63">
        <v>0</v>
      </c>
      <c r="X13" s="64">
        <v>0</v>
      </c>
      <c r="Y13" s="63">
        <v>0</v>
      </c>
      <c r="Z13" s="64">
        <v>0</v>
      </c>
    </row>
    <row r="14" spans="1:26" s="65" customFormat="1" ht="38.25" customHeight="1" x14ac:dyDescent="0.25">
      <c r="A14" s="58" t="s">
        <v>167</v>
      </c>
      <c r="B14" s="59" t="s">
        <v>168</v>
      </c>
      <c r="C14" s="60">
        <v>3297024</v>
      </c>
      <c r="D14" s="60">
        <v>3297024</v>
      </c>
      <c r="E14" s="60">
        <v>1486214</v>
      </c>
      <c r="F14" s="60">
        <v>301256</v>
      </c>
      <c r="G14" s="60"/>
      <c r="H14" s="60"/>
      <c r="I14" s="60">
        <v>500000</v>
      </c>
      <c r="J14" s="60"/>
      <c r="K14" s="60"/>
      <c r="L14" s="60"/>
      <c r="M14" s="60">
        <v>25428149</v>
      </c>
      <c r="N14" s="60"/>
      <c r="O14" s="60">
        <v>44138889</v>
      </c>
      <c r="P14" s="60"/>
      <c r="Q14" s="60">
        <v>35400550</v>
      </c>
      <c r="R14" s="60"/>
      <c r="S14" s="61">
        <v>110250826</v>
      </c>
      <c r="T14" s="61">
        <v>106652546</v>
      </c>
      <c r="U14" s="61">
        <v>3598280</v>
      </c>
      <c r="V14" s="62">
        <v>1</v>
      </c>
      <c r="W14" s="63">
        <v>4783238</v>
      </c>
      <c r="X14" s="61">
        <v>4783238</v>
      </c>
      <c r="Y14" s="63">
        <v>3598280</v>
      </c>
      <c r="Z14" s="63">
        <v>3598280</v>
      </c>
    </row>
    <row r="15" spans="1:26" s="65" customFormat="1" ht="38.25" customHeight="1" x14ac:dyDescent="0.25">
      <c r="A15" s="58" t="s">
        <v>169</v>
      </c>
      <c r="B15" s="59" t="s">
        <v>170</v>
      </c>
      <c r="C15" s="60">
        <v>4501763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1">
        <v>4501763</v>
      </c>
      <c r="T15" s="61">
        <v>4501763</v>
      </c>
      <c r="U15" s="61">
        <v>0</v>
      </c>
      <c r="V15" s="62">
        <v>1</v>
      </c>
      <c r="W15" s="63">
        <v>4501763</v>
      </c>
      <c r="X15" s="61">
        <v>4501763</v>
      </c>
      <c r="Y15" s="63">
        <v>0</v>
      </c>
      <c r="Z15" s="63">
        <v>0</v>
      </c>
    </row>
    <row r="16" spans="1:26" s="65" customFormat="1" ht="38.25" customHeight="1" x14ac:dyDescent="0.25">
      <c r="A16" s="58" t="s">
        <v>171</v>
      </c>
      <c r="B16" s="59" t="s">
        <v>172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1">
        <v>0</v>
      </c>
      <c r="T16" s="61">
        <v>0</v>
      </c>
      <c r="U16" s="61">
        <v>0</v>
      </c>
      <c r="V16" s="62">
        <v>1</v>
      </c>
      <c r="W16" s="63">
        <v>0</v>
      </c>
      <c r="X16" s="61">
        <v>0</v>
      </c>
      <c r="Y16" s="63">
        <v>0</v>
      </c>
      <c r="Z16" s="63">
        <v>0</v>
      </c>
    </row>
    <row r="17" spans="1:26" s="65" customFormat="1" ht="38.25" customHeight="1" x14ac:dyDescent="0.25">
      <c r="A17" s="58" t="s">
        <v>173</v>
      </c>
      <c r="B17" s="59" t="s">
        <v>15</v>
      </c>
      <c r="C17" s="66">
        <v>175</v>
      </c>
      <c r="D17" s="66">
        <v>0</v>
      </c>
      <c r="E17" s="66">
        <v>147629723</v>
      </c>
      <c r="F17" s="66">
        <v>0</v>
      </c>
      <c r="G17" s="66">
        <v>184929724</v>
      </c>
      <c r="H17" s="66">
        <v>0</v>
      </c>
      <c r="I17" s="66">
        <v>122029724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1">
        <v>454589346</v>
      </c>
      <c r="T17" s="61">
        <v>454589346</v>
      </c>
      <c r="U17" s="61">
        <v>0</v>
      </c>
      <c r="V17" s="62"/>
      <c r="W17" s="63"/>
      <c r="X17" s="61"/>
      <c r="Y17" s="63"/>
      <c r="Z17" s="63"/>
    </row>
    <row r="18" spans="1:26" s="65" customFormat="1" ht="38.25" customHeight="1" x14ac:dyDescent="0.25">
      <c r="A18" s="58" t="s">
        <v>174</v>
      </c>
      <c r="B18" s="59" t="s">
        <v>175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1">
        <v>0</v>
      </c>
      <c r="T18" s="61">
        <v>0</v>
      </c>
      <c r="U18" s="61">
        <v>0</v>
      </c>
      <c r="V18" s="62">
        <v>1</v>
      </c>
      <c r="W18" s="63">
        <v>0</v>
      </c>
      <c r="X18" s="61">
        <v>0</v>
      </c>
      <c r="Y18" s="63">
        <v>0</v>
      </c>
      <c r="Z18" s="63">
        <v>0</v>
      </c>
    </row>
    <row r="19" spans="1:26" s="65" customFormat="1" ht="42.75" x14ac:dyDescent="0.25">
      <c r="A19" s="58" t="s">
        <v>16</v>
      </c>
      <c r="B19" s="59" t="s">
        <v>176</v>
      </c>
      <c r="C19" s="60">
        <v>175</v>
      </c>
      <c r="D19" s="60"/>
      <c r="E19" s="60">
        <v>147629723</v>
      </c>
      <c r="F19" s="60"/>
      <c r="G19" s="60">
        <v>184929724</v>
      </c>
      <c r="H19" s="60"/>
      <c r="I19" s="60">
        <v>122029724</v>
      </c>
      <c r="J19" s="60"/>
      <c r="K19" s="60"/>
      <c r="L19" s="60"/>
      <c r="M19" s="60"/>
      <c r="N19" s="60"/>
      <c r="O19" s="60"/>
      <c r="P19" s="60"/>
      <c r="Q19" s="60"/>
      <c r="R19" s="60">
        <v>0</v>
      </c>
      <c r="S19" s="61">
        <v>454589346</v>
      </c>
      <c r="T19" s="61">
        <v>454589346</v>
      </c>
      <c r="U19" s="61">
        <v>0</v>
      </c>
      <c r="V19" s="62">
        <v>1</v>
      </c>
      <c r="W19" s="67">
        <v>454589346</v>
      </c>
      <c r="X19" s="64">
        <v>454589346</v>
      </c>
      <c r="Y19" s="67">
        <v>0</v>
      </c>
      <c r="Z19" s="64">
        <v>0</v>
      </c>
    </row>
    <row r="20" spans="1:26" s="65" customFormat="1" ht="38.25" customHeight="1" x14ac:dyDescent="0.25">
      <c r="A20" s="58" t="s">
        <v>18</v>
      </c>
      <c r="B20" s="59" t="s">
        <v>177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1">
        <v>0</v>
      </c>
      <c r="T20" s="61">
        <v>0</v>
      </c>
      <c r="U20" s="61">
        <v>0</v>
      </c>
      <c r="V20" s="62">
        <v>1</v>
      </c>
      <c r="W20" s="63">
        <v>0</v>
      </c>
      <c r="X20" s="64">
        <v>0</v>
      </c>
      <c r="Y20" s="63">
        <v>0</v>
      </c>
      <c r="Z20" s="64">
        <v>0</v>
      </c>
    </row>
    <row r="21" spans="1:26" s="65" customFormat="1" ht="61.5" customHeight="1" x14ac:dyDescent="0.25">
      <c r="A21" s="58" t="s">
        <v>20</v>
      </c>
      <c r="B21" s="59" t="s">
        <v>178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1">
        <v>0</v>
      </c>
      <c r="T21" s="61">
        <v>0</v>
      </c>
      <c r="U21" s="61">
        <v>0</v>
      </c>
      <c r="V21" s="62">
        <v>1</v>
      </c>
      <c r="W21" s="63">
        <v>0</v>
      </c>
      <c r="X21" s="64">
        <v>0</v>
      </c>
      <c r="Y21" s="63">
        <v>0</v>
      </c>
      <c r="Z21" s="64">
        <v>0</v>
      </c>
    </row>
    <row r="22" spans="1:26" s="65" customFormat="1" ht="45" customHeight="1" x14ac:dyDescent="0.25">
      <c r="A22" s="58" t="s">
        <v>179</v>
      </c>
      <c r="B22" s="59" t="s">
        <v>180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1">
        <v>0</v>
      </c>
      <c r="T22" s="61">
        <v>0</v>
      </c>
      <c r="U22" s="61">
        <v>0</v>
      </c>
      <c r="V22" s="62">
        <v>1</v>
      </c>
      <c r="W22" s="63">
        <v>0</v>
      </c>
      <c r="X22" s="64">
        <v>0</v>
      </c>
      <c r="Y22" s="63">
        <v>0</v>
      </c>
      <c r="Z22" s="64">
        <v>0</v>
      </c>
    </row>
    <row r="23" spans="1:26" s="65" customFormat="1" ht="45" customHeight="1" x14ac:dyDescent="0.25">
      <c r="A23" s="58" t="s">
        <v>181</v>
      </c>
      <c r="B23" s="59" t="s">
        <v>182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1">
        <v>0</v>
      </c>
      <c r="T23" s="61">
        <v>0</v>
      </c>
      <c r="U23" s="61">
        <v>0</v>
      </c>
      <c r="V23" s="62">
        <v>1</v>
      </c>
      <c r="W23" s="63">
        <v>0</v>
      </c>
      <c r="X23" s="64">
        <v>0</v>
      </c>
      <c r="Y23" s="63">
        <v>0</v>
      </c>
      <c r="Z23" s="64">
        <v>0</v>
      </c>
    </row>
    <row r="24" spans="1:26" s="65" customFormat="1" ht="38.25" customHeight="1" x14ac:dyDescent="0.25">
      <c r="A24" s="58" t="s">
        <v>183</v>
      </c>
      <c r="B24" s="59" t="s">
        <v>184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1">
        <v>0</v>
      </c>
      <c r="T24" s="61">
        <v>0</v>
      </c>
      <c r="U24" s="61">
        <v>0</v>
      </c>
      <c r="V24" s="62">
        <v>1</v>
      </c>
      <c r="W24" s="67">
        <v>0</v>
      </c>
      <c r="X24" s="61">
        <v>0</v>
      </c>
      <c r="Y24" s="67">
        <v>0</v>
      </c>
      <c r="Z24" s="67">
        <v>0</v>
      </c>
    </row>
    <row r="25" spans="1:26" s="65" customFormat="1" ht="45" customHeight="1" x14ac:dyDescent="0.25">
      <c r="A25" s="58" t="s">
        <v>185</v>
      </c>
      <c r="B25" s="59" t="s">
        <v>186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1">
        <v>0</v>
      </c>
      <c r="T25" s="61">
        <v>0</v>
      </c>
      <c r="U25" s="61">
        <v>0</v>
      </c>
      <c r="V25" s="62">
        <v>0.5</v>
      </c>
      <c r="W25" s="63">
        <v>0</v>
      </c>
      <c r="X25" s="61">
        <v>0</v>
      </c>
      <c r="Y25" s="63">
        <v>0</v>
      </c>
      <c r="Z25" s="63">
        <v>0</v>
      </c>
    </row>
    <row r="26" spans="1:26" s="65" customFormat="1" ht="38.25" customHeight="1" x14ac:dyDescent="0.25">
      <c r="A26" s="58" t="s">
        <v>187</v>
      </c>
      <c r="B26" s="59" t="s">
        <v>188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1">
        <v>0</v>
      </c>
      <c r="T26" s="61">
        <v>0</v>
      </c>
      <c r="U26" s="61">
        <v>0</v>
      </c>
      <c r="V26" s="62">
        <v>0.5</v>
      </c>
      <c r="W26" s="63">
        <v>0</v>
      </c>
      <c r="X26" s="61">
        <v>0</v>
      </c>
      <c r="Y26" s="63">
        <v>0</v>
      </c>
      <c r="Z26" s="63">
        <v>0</v>
      </c>
    </row>
    <row r="27" spans="1:26" s="65" customFormat="1" ht="38.25" customHeight="1" x14ac:dyDescent="0.25">
      <c r="A27" s="58" t="s">
        <v>189</v>
      </c>
      <c r="B27" s="59" t="s">
        <v>190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1">
        <v>0</v>
      </c>
      <c r="T27" s="61">
        <v>0</v>
      </c>
      <c r="U27" s="61">
        <v>0</v>
      </c>
      <c r="V27" s="62">
        <v>1</v>
      </c>
      <c r="W27" s="63">
        <v>0</v>
      </c>
      <c r="X27" s="61">
        <v>0</v>
      </c>
      <c r="Y27" s="63">
        <v>0</v>
      </c>
      <c r="Z27" s="63">
        <v>0</v>
      </c>
    </row>
    <row r="28" spans="1:26" s="65" customFormat="1" ht="38.25" customHeight="1" x14ac:dyDescent="0.25">
      <c r="A28" s="58" t="s">
        <v>191</v>
      </c>
      <c r="B28" s="59" t="s">
        <v>192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1">
        <v>0</v>
      </c>
      <c r="T28" s="61">
        <v>0</v>
      </c>
      <c r="U28" s="61">
        <v>0</v>
      </c>
      <c r="V28" s="62">
        <v>0.5</v>
      </c>
      <c r="W28" s="63">
        <v>0</v>
      </c>
      <c r="X28" s="61">
        <v>0</v>
      </c>
      <c r="Y28" s="63">
        <v>0</v>
      </c>
      <c r="Z28" s="63">
        <v>0</v>
      </c>
    </row>
    <row r="29" spans="1:26" s="65" customFormat="1" ht="39" customHeight="1" x14ac:dyDescent="0.25">
      <c r="A29" s="58" t="s">
        <v>193</v>
      </c>
      <c r="B29" s="59" t="s">
        <v>194</v>
      </c>
      <c r="C29" s="60">
        <v>532280313</v>
      </c>
      <c r="D29" s="60">
        <v>59818927</v>
      </c>
      <c r="E29" s="60">
        <v>421117221</v>
      </c>
      <c r="F29" s="60">
        <v>169084593</v>
      </c>
      <c r="G29" s="60">
        <v>58093296</v>
      </c>
      <c r="H29" s="60">
        <v>25336205</v>
      </c>
      <c r="I29" s="60">
        <v>993489138</v>
      </c>
      <c r="J29" s="60">
        <v>363522919</v>
      </c>
      <c r="K29" s="60">
        <v>1304750327</v>
      </c>
      <c r="L29" s="60">
        <v>299669929</v>
      </c>
      <c r="M29" s="60">
        <v>2354407530</v>
      </c>
      <c r="N29" s="60">
        <v>654749447</v>
      </c>
      <c r="O29" s="60">
        <v>2920410286</v>
      </c>
      <c r="P29" s="60">
        <v>783147845</v>
      </c>
      <c r="Q29" s="60">
        <v>4362526942</v>
      </c>
      <c r="R29" s="60">
        <v>1300538199</v>
      </c>
      <c r="S29" s="61">
        <v>12947075053</v>
      </c>
      <c r="T29" s="61">
        <v>9291206989</v>
      </c>
      <c r="U29" s="61">
        <v>3655868064</v>
      </c>
      <c r="V29" s="62">
        <v>0.5</v>
      </c>
      <c r="W29" s="63">
        <v>479210517</v>
      </c>
      <c r="X29" s="61">
        <v>239605258.5</v>
      </c>
      <c r="Y29" s="63">
        <v>194420798</v>
      </c>
      <c r="Z29" s="63">
        <v>97210399</v>
      </c>
    </row>
    <row r="30" spans="1:26" s="65" customFormat="1" ht="39" customHeight="1" x14ac:dyDescent="0.25">
      <c r="A30" s="58" t="s">
        <v>41</v>
      </c>
      <c r="B30" s="59" t="s">
        <v>195</v>
      </c>
      <c r="C30" s="60">
        <v>210858440</v>
      </c>
      <c r="D30" s="60"/>
      <c r="E30" s="60">
        <v>124048077.61653744</v>
      </c>
      <c r="F30" s="60"/>
      <c r="G30" s="60">
        <v>5193293.486450009</v>
      </c>
      <c r="H30" s="60"/>
      <c r="I30" s="60">
        <v>282710086.4217912</v>
      </c>
      <c r="J30" s="60"/>
      <c r="K30" s="60">
        <v>444032306.64997828</v>
      </c>
      <c r="L30" s="60"/>
      <c r="M30" s="60">
        <v>840259654.36746526</v>
      </c>
      <c r="N30" s="60"/>
      <c r="O30" s="60">
        <v>1120875103.9865623</v>
      </c>
      <c r="P30" s="60"/>
      <c r="Q30" s="60">
        <v>1460633559</v>
      </c>
      <c r="R30" s="60"/>
      <c r="S30" s="61">
        <v>4488610521.5287838</v>
      </c>
      <c r="T30" s="61">
        <v>4488610521.5287838</v>
      </c>
      <c r="U30" s="61">
        <v>0</v>
      </c>
      <c r="V30" s="62">
        <v>0</v>
      </c>
      <c r="W30" s="63">
        <v>129241371.10298744</v>
      </c>
      <c r="X30" s="61">
        <v>0</v>
      </c>
      <c r="Y30" s="63">
        <v>0</v>
      </c>
      <c r="Z30" s="63">
        <v>0</v>
      </c>
    </row>
    <row r="31" spans="1:26" s="65" customFormat="1" ht="38.25" customHeight="1" x14ac:dyDescent="0.25">
      <c r="A31" s="58" t="s">
        <v>196</v>
      </c>
      <c r="B31" s="59" t="s">
        <v>197</v>
      </c>
      <c r="C31" s="60">
        <v>17337481</v>
      </c>
      <c r="D31" s="60">
        <v>373660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1">
        <v>17337481</v>
      </c>
      <c r="T31" s="61">
        <v>16963821</v>
      </c>
      <c r="U31" s="61">
        <v>373660</v>
      </c>
      <c r="V31" s="62">
        <v>0</v>
      </c>
      <c r="W31" s="63">
        <v>0</v>
      </c>
      <c r="X31" s="61">
        <v>0</v>
      </c>
      <c r="Y31" s="63">
        <v>0</v>
      </c>
      <c r="Z31" s="63">
        <v>0</v>
      </c>
    </row>
    <row r="32" spans="1:26" s="65" customFormat="1" ht="38.25" customHeight="1" x14ac:dyDescent="0.25">
      <c r="A32" s="58">
        <v>11</v>
      </c>
      <c r="B32" s="59" t="s">
        <v>26</v>
      </c>
      <c r="C32" s="60">
        <v>107220</v>
      </c>
      <c r="D32" s="60">
        <v>0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>
        <v>107220</v>
      </c>
      <c r="T32" s="61">
        <v>107220</v>
      </c>
      <c r="U32" s="61">
        <v>0</v>
      </c>
      <c r="V32" s="62">
        <v>0</v>
      </c>
      <c r="W32" s="63">
        <v>0</v>
      </c>
      <c r="X32" s="61">
        <v>0</v>
      </c>
      <c r="Y32" s="63">
        <v>0</v>
      </c>
      <c r="Z32" s="63">
        <v>0</v>
      </c>
    </row>
    <row r="33" spans="1:32" s="65" customFormat="1" ht="38.25" customHeight="1" x14ac:dyDescent="0.25">
      <c r="A33" s="58" t="s">
        <v>198</v>
      </c>
      <c r="B33" s="59" t="s">
        <v>199</v>
      </c>
      <c r="C33" s="60">
        <v>0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1">
        <v>0</v>
      </c>
      <c r="T33" s="61">
        <v>0</v>
      </c>
      <c r="U33" s="61">
        <v>0</v>
      </c>
      <c r="V33" s="62">
        <v>0</v>
      </c>
      <c r="W33" s="63">
        <v>0</v>
      </c>
      <c r="X33" s="61">
        <v>0</v>
      </c>
      <c r="Y33" s="63">
        <v>0</v>
      </c>
      <c r="Z33" s="63">
        <v>0</v>
      </c>
    </row>
    <row r="34" spans="1:32" s="65" customFormat="1" ht="45" customHeight="1" x14ac:dyDescent="0.25">
      <c r="A34" s="58" t="s">
        <v>52</v>
      </c>
      <c r="B34" s="59" t="s">
        <v>200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1">
        <v>0</v>
      </c>
      <c r="T34" s="61">
        <v>0</v>
      </c>
      <c r="U34" s="61">
        <v>0</v>
      </c>
      <c r="V34" s="62">
        <v>1</v>
      </c>
      <c r="W34" s="63">
        <v>0</v>
      </c>
      <c r="X34" s="64">
        <v>0</v>
      </c>
      <c r="Y34" s="63">
        <v>0</v>
      </c>
      <c r="Z34" s="64">
        <v>0</v>
      </c>
    </row>
    <row r="35" spans="1:32" s="65" customFormat="1" ht="38.25" customHeight="1" x14ac:dyDescent="0.25">
      <c r="A35" s="58" t="s">
        <v>54</v>
      </c>
      <c r="B35" s="59" t="s">
        <v>201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1">
        <v>0</v>
      </c>
      <c r="T35" s="61">
        <v>0</v>
      </c>
      <c r="U35" s="61">
        <v>0</v>
      </c>
      <c r="V35" s="62">
        <v>0</v>
      </c>
      <c r="W35" s="63"/>
      <c r="X35" s="61"/>
      <c r="Y35" s="63"/>
      <c r="Z35" s="63"/>
    </row>
    <row r="36" spans="1:32" s="65" customFormat="1" ht="38.25" customHeight="1" x14ac:dyDescent="0.25">
      <c r="A36" s="58" t="s">
        <v>202</v>
      </c>
      <c r="B36" s="59" t="s">
        <v>203</v>
      </c>
      <c r="C36" s="60">
        <v>416411532</v>
      </c>
      <c r="D36" s="60">
        <v>0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1">
        <v>416411532</v>
      </c>
      <c r="T36" s="61">
        <v>416411532</v>
      </c>
      <c r="U36" s="61">
        <v>0</v>
      </c>
      <c r="V36" s="62">
        <v>0</v>
      </c>
      <c r="W36" s="63"/>
      <c r="X36" s="61"/>
      <c r="Y36" s="63"/>
      <c r="Z36" s="63"/>
    </row>
    <row r="37" spans="1:32" s="65" customFormat="1" ht="38.25" customHeight="1" x14ac:dyDescent="0.25">
      <c r="A37" s="58" t="s">
        <v>204</v>
      </c>
      <c r="B37" s="59" t="s">
        <v>51</v>
      </c>
      <c r="C37" s="60">
        <v>155586321</v>
      </c>
      <c r="D37" s="60">
        <v>0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1">
        <v>155586321</v>
      </c>
      <c r="T37" s="61">
        <v>155586321</v>
      </c>
      <c r="U37" s="61">
        <v>0</v>
      </c>
      <c r="V37" s="62">
        <v>0</v>
      </c>
      <c r="W37" s="63"/>
      <c r="X37" s="61"/>
      <c r="Y37" s="63"/>
      <c r="Z37" s="63"/>
    </row>
    <row r="38" spans="1:32" s="65" customFormat="1" ht="38.25" customHeight="1" x14ac:dyDescent="0.25">
      <c r="A38" s="58" t="s">
        <v>71</v>
      </c>
      <c r="B38" s="59" t="s">
        <v>205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1">
        <v>0</v>
      </c>
      <c r="T38" s="61">
        <v>0</v>
      </c>
      <c r="U38" s="61">
        <v>0</v>
      </c>
      <c r="V38" s="62">
        <v>0</v>
      </c>
      <c r="W38" s="63"/>
      <c r="X38" s="61"/>
      <c r="Y38" s="63"/>
      <c r="Z38" s="63"/>
    </row>
    <row r="39" spans="1:32" s="65" customFormat="1" ht="38.25" customHeight="1" x14ac:dyDescent="0.25">
      <c r="A39" s="58" t="s">
        <v>74</v>
      </c>
      <c r="B39" s="59" t="s">
        <v>206</v>
      </c>
      <c r="C39" s="60"/>
      <c r="D39" s="66"/>
      <c r="E39" s="60"/>
      <c r="F39" s="66"/>
      <c r="G39" s="60"/>
      <c r="H39" s="66"/>
      <c r="I39" s="60"/>
      <c r="J39" s="66"/>
      <c r="K39" s="60"/>
      <c r="L39" s="66"/>
      <c r="M39" s="60"/>
      <c r="N39" s="66"/>
      <c r="O39" s="60"/>
      <c r="P39" s="66"/>
      <c r="Q39" s="60"/>
      <c r="R39" s="66"/>
      <c r="S39" s="61">
        <v>0</v>
      </c>
      <c r="T39" s="61">
        <v>0</v>
      </c>
      <c r="U39" s="61">
        <v>0</v>
      </c>
      <c r="V39" s="62">
        <v>0</v>
      </c>
      <c r="W39" s="63"/>
      <c r="X39" s="61"/>
      <c r="Y39" s="63"/>
      <c r="Z39" s="63"/>
    </row>
    <row r="40" spans="1:32" s="65" customFormat="1" ht="38.25" customHeight="1" x14ac:dyDescent="0.25">
      <c r="A40" s="58" t="s">
        <v>76</v>
      </c>
      <c r="B40" s="59" t="s">
        <v>207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1">
        <v>0</v>
      </c>
      <c r="T40" s="61">
        <v>0</v>
      </c>
      <c r="U40" s="61">
        <v>0</v>
      </c>
      <c r="V40" s="62">
        <v>0</v>
      </c>
      <c r="W40" s="63"/>
      <c r="X40" s="61"/>
      <c r="Y40" s="63"/>
      <c r="Z40" s="63"/>
    </row>
    <row r="41" spans="1:32" s="65" customFormat="1" ht="38.25" customHeight="1" x14ac:dyDescent="0.25">
      <c r="A41" s="58" t="s">
        <v>78</v>
      </c>
      <c r="B41" s="59" t="s">
        <v>208</v>
      </c>
      <c r="C41" s="60">
        <v>214282758</v>
      </c>
      <c r="D41" s="60">
        <v>77637588</v>
      </c>
      <c r="E41" s="60"/>
      <c r="F41" s="60"/>
      <c r="G41" s="60">
        <v>456524947</v>
      </c>
      <c r="H41" s="60">
        <v>88861194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1">
        <v>670807705</v>
      </c>
      <c r="T41" s="61">
        <v>504308923</v>
      </c>
      <c r="U41" s="61">
        <v>166498782</v>
      </c>
      <c r="V41" s="62">
        <v>0.5</v>
      </c>
      <c r="W41" s="63">
        <v>456524947</v>
      </c>
      <c r="X41" s="61">
        <v>228262473.5</v>
      </c>
      <c r="Y41" s="63">
        <v>88861194</v>
      </c>
      <c r="Z41" s="63">
        <v>44430597</v>
      </c>
    </row>
    <row r="42" spans="1:32" s="65" customFormat="1" ht="38.25" customHeight="1" x14ac:dyDescent="0.25">
      <c r="A42" s="58" t="s">
        <v>80</v>
      </c>
      <c r="B42" s="59" t="s">
        <v>209</v>
      </c>
      <c r="C42" s="60">
        <v>444717503</v>
      </c>
      <c r="D42" s="60">
        <v>37955424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1">
        <v>444717503</v>
      </c>
      <c r="T42" s="61">
        <v>406762079</v>
      </c>
      <c r="U42" s="61">
        <v>37955424</v>
      </c>
      <c r="V42" s="62">
        <v>0</v>
      </c>
      <c r="W42" s="63"/>
      <c r="X42" s="61"/>
      <c r="Y42" s="63"/>
      <c r="Z42" s="63"/>
    </row>
    <row r="43" spans="1:32" s="65" customFormat="1" ht="38.25" customHeight="1" x14ac:dyDescent="0.25">
      <c r="A43" s="58" t="s">
        <v>82</v>
      </c>
      <c r="B43" s="59" t="s">
        <v>210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1">
        <v>0</v>
      </c>
      <c r="T43" s="61">
        <v>0</v>
      </c>
      <c r="U43" s="61">
        <v>0</v>
      </c>
      <c r="V43" s="62">
        <v>1</v>
      </c>
      <c r="W43" s="63">
        <v>0</v>
      </c>
      <c r="X43" s="61">
        <v>0</v>
      </c>
      <c r="Y43" s="63">
        <v>0</v>
      </c>
      <c r="Z43" s="63">
        <v>0</v>
      </c>
    </row>
    <row r="44" spans="1:32" s="71" customFormat="1" ht="32.25" customHeight="1" x14ac:dyDescent="0.25">
      <c r="A44" s="68" t="s">
        <v>84</v>
      </c>
      <c r="B44" s="69" t="s">
        <v>211</v>
      </c>
      <c r="C44" s="70">
        <v>3349634305</v>
      </c>
      <c r="D44" s="70">
        <v>1018902136</v>
      </c>
      <c r="E44" s="70">
        <v>570233158</v>
      </c>
      <c r="F44" s="70">
        <v>169385849</v>
      </c>
      <c r="G44" s="70">
        <v>699547967</v>
      </c>
      <c r="H44" s="70">
        <v>114197399</v>
      </c>
      <c r="I44" s="70">
        <v>1116018862</v>
      </c>
      <c r="J44" s="70">
        <v>363522919</v>
      </c>
      <c r="K44" s="70">
        <v>1304750327</v>
      </c>
      <c r="L44" s="70">
        <v>299669929</v>
      </c>
      <c r="M44" s="70">
        <v>2379835679</v>
      </c>
      <c r="N44" s="70">
        <v>654749447</v>
      </c>
      <c r="O44" s="70">
        <v>2964549175</v>
      </c>
      <c r="P44" s="70">
        <v>783147845</v>
      </c>
      <c r="Q44" s="70">
        <v>4397927492</v>
      </c>
      <c r="R44" s="70">
        <v>1300538199</v>
      </c>
      <c r="S44" s="70">
        <v>16782496965</v>
      </c>
      <c r="T44" s="70">
        <v>12078383242</v>
      </c>
      <c r="U44" s="70">
        <v>4704113723</v>
      </c>
      <c r="V44" s="70"/>
      <c r="W44" s="70"/>
      <c r="X44" s="70">
        <v>477152733</v>
      </c>
      <c r="Y44" s="70"/>
      <c r="Z44" s="70">
        <v>145239276</v>
      </c>
      <c r="AA44" s="218">
        <v>16782496965</v>
      </c>
      <c r="AB44" s="218">
        <v>12078383242</v>
      </c>
      <c r="AC44" s="218">
        <v>4704113723</v>
      </c>
      <c r="AD44" s="218"/>
      <c r="AE44" s="218"/>
      <c r="AF44" s="218"/>
    </row>
    <row r="45" spans="1:32" s="76" customFormat="1" ht="14.25" x14ac:dyDescent="0.25">
      <c r="A45" s="72"/>
      <c r="B45" s="73" t="s">
        <v>212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74"/>
      <c r="W45" s="75"/>
      <c r="X45" s="75"/>
      <c r="Y45" s="75"/>
      <c r="Z45" s="75"/>
      <c r="AA45" s="219">
        <v>0</v>
      </c>
      <c r="AB45" s="219">
        <v>0</v>
      </c>
      <c r="AC45" s="219">
        <v>0</v>
      </c>
      <c r="AD45" s="220"/>
      <c r="AE45" s="220"/>
      <c r="AF45" s="220"/>
    </row>
    <row r="46" spans="1:32" s="79" customFormat="1" ht="25.5" customHeight="1" x14ac:dyDescent="0.25">
      <c r="A46" s="77">
        <v>1</v>
      </c>
      <c r="B46" s="59" t="s">
        <v>213</v>
      </c>
      <c r="C46" s="60">
        <v>203282142</v>
      </c>
      <c r="D46" s="60">
        <v>18593627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1">
        <v>203282142</v>
      </c>
      <c r="T46" s="61">
        <v>184688515</v>
      </c>
      <c r="U46" s="61">
        <v>18593627</v>
      </c>
      <c r="V46" s="74"/>
      <c r="W46" s="75"/>
      <c r="X46" s="75"/>
      <c r="Y46" s="75"/>
      <c r="Z46" s="75"/>
      <c r="AA46" s="221">
        <v>203282142</v>
      </c>
      <c r="AB46" s="221">
        <v>184688515</v>
      </c>
      <c r="AC46" s="221">
        <v>18593627</v>
      </c>
      <c r="AD46" s="219">
        <v>0</v>
      </c>
      <c r="AE46" s="219">
        <v>0</v>
      </c>
      <c r="AF46" s="219">
        <v>0</v>
      </c>
    </row>
    <row r="47" spans="1:32" s="79" customFormat="1" ht="31.5" customHeight="1" x14ac:dyDescent="0.25">
      <c r="A47" s="77"/>
      <c r="B47" s="59" t="s">
        <v>214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1">
        <v>0</v>
      </c>
      <c r="T47" s="61">
        <v>0</v>
      </c>
      <c r="U47" s="61">
        <v>0</v>
      </c>
      <c r="V47" s="74"/>
      <c r="W47" s="75"/>
      <c r="X47" s="75"/>
      <c r="Y47" s="75"/>
      <c r="Z47" s="75"/>
      <c r="AA47" s="221">
        <v>0</v>
      </c>
      <c r="AB47" s="221">
        <v>0</v>
      </c>
      <c r="AC47" s="221">
        <v>0</v>
      </c>
      <c r="AD47" s="222"/>
      <c r="AE47" s="222"/>
      <c r="AF47" s="222"/>
    </row>
    <row r="48" spans="1:32" s="79" customFormat="1" ht="25.5" customHeight="1" x14ac:dyDescent="0.25">
      <c r="A48" s="77">
        <v>2</v>
      </c>
      <c r="B48" s="59" t="s">
        <v>215</v>
      </c>
      <c r="C48" s="60">
        <v>337713066</v>
      </c>
      <c r="D48" s="60">
        <v>334442222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1">
        <v>337713066</v>
      </c>
      <c r="T48" s="61">
        <v>3270844</v>
      </c>
      <c r="U48" s="61">
        <v>334442222</v>
      </c>
      <c r="V48" s="74"/>
      <c r="W48" s="75"/>
      <c r="X48" s="75"/>
      <c r="Y48" s="75"/>
      <c r="Z48" s="75"/>
      <c r="AA48" s="221">
        <v>337713066</v>
      </c>
      <c r="AB48" s="221">
        <v>3270844</v>
      </c>
      <c r="AC48" s="221">
        <v>334442222</v>
      </c>
      <c r="AD48" s="219">
        <v>0</v>
      </c>
      <c r="AE48" s="219">
        <v>0</v>
      </c>
      <c r="AF48" s="219">
        <v>0</v>
      </c>
    </row>
    <row r="49" spans="1:32" s="79" customFormat="1" ht="28.5" x14ac:dyDescent="0.25">
      <c r="A49" s="77"/>
      <c r="B49" s="59" t="s">
        <v>216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1">
        <v>0</v>
      </c>
      <c r="T49" s="61">
        <v>0</v>
      </c>
      <c r="U49" s="61">
        <v>0</v>
      </c>
      <c r="V49" s="74"/>
      <c r="W49" s="75"/>
      <c r="X49" s="75"/>
      <c r="Y49" s="75"/>
      <c r="Z49" s="75"/>
      <c r="AA49" s="221">
        <v>0</v>
      </c>
      <c r="AB49" s="221">
        <v>0</v>
      </c>
      <c r="AC49" s="221">
        <v>0</v>
      </c>
      <c r="AD49" s="222"/>
      <c r="AE49" s="222"/>
      <c r="AF49" s="222"/>
    </row>
    <row r="50" spans="1:32" s="79" customFormat="1" ht="25.5" customHeight="1" x14ac:dyDescent="0.25">
      <c r="A50" s="77">
        <v>3</v>
      </c>
      <c r="B50" s="59" t="s">
        <v>217</v>
      </c>
      <c r="C50" s="60">
        <v>22871109</v>
      </c>
      <c r="D50" s="60">
        <v>22871109</v>
      </c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1">
        <v>22871109</v>
      </c>
      <c r="T50" s="61">
        <v>0</v>
      </c>
      <c r="U50" s="61">
        <v>22871109</v>
      </c>
      <c r="V50" s="74"/>
      <c r="W50" s="75"/>
      <c r="X50" s="75"/>
      <c r="Y50" s="75"/>
      <c r="Z50" s="75"/>
      <c r="AA50" s="221">
        <v>22871109</v>
      </c>
      <c r="AB50" s="221">
        <v>0</v>
      </c>
      <c r="AC50" s="221">
        <v>22871109</v>
      </c>
      <c r="AD50" s="219">
        <v>0</v>
      </c>
      <c r="AE50" s="219">
        <v>0</v>
      </c>
      <c r="AF50" s="219">
        <v>0</v>
      </c>
    </row>
    <row r="51" spans="1:32" s="79" customFormat="1" ht="28.5" x14ac:dyDescent="0.25">
      <c r="A51" s="77"/>
      <c r="B51" s="59" t="s">
        <v>218</v>
      </c>
      <c r="C51" s="60">
        <v>12354035</v>
      </c>
      <c r="D51" s="60">
        <v>12354035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1">
        <v>12354035</v>
      </c>
      <c r="T51" s="61">
        <v>0</v>
      </c>
      <c r="U51" s="61">
        <v>12354035</v>
      </c>
      <c r="V51" s="74"/>
      <c r="W51" s="75"/>
      <c r="X51" s="75"/>
      <c r="Y51" s="75"/>
      <c r="Z51" s="75"/>
      <c r="AA51" s="78"/>
      <c r="AB51" s="78"/>
      <c r="AC51" s="78"/>
    </row>
    <row r="52" spans="1:32" s="86" customFormat="1" ht="29.25" customHeight="1" x14ac:dyDescent="0.2">
      <c r="A52" s="80"/>
      <c r="B52" s="81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3"/>
      <c r="W52" s="84"/>
      <c r="X52" s="85"/>
      <c r="Y52" s="84"/>
      <c r="Z52" s="85"/>
    </row>
    <row r="53" spans="1:32" s="2" customFormat="1" ht="17.25" customHeight="1" x14ac:dyDescent="0.25">
      <c r="A53" s="12"/>
      <c r="B53" s="87" t="s">
        <v>129</v>
      </c>
      <c r="C53" s="12"/>
      <c r="D53" s="12"/>
      <c r="E53" s="12"/>
      <c r="F53" s="11"/>
      <c r="G53" s="11"/>
      <c r="H53" s="11"/>
      <c r="I53" s="11"/>
      <c r="J53" s="11"/>
      <c r="K53" s="11"/>
      <c r="L53" s="11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2" s="2" customFormat="1" ht="17.25" customHeight="1" x14ac:dyDescent="0.25">
      <c r="A54" s="12"/>
      <c r="B54" s="87"/>
      <c r="C54" s="12"/>
      <c r="D54" s="12"/>
      <c r="E54" s="12"/>
      <c r="F54" s="11"/>
      <c r="G54" s="11"/>
      <c r="H54" s="11"/>
      <c r="I54" s="11"/>
      <c r="J54" s="11"/>
      <c r="K54" s="11"/>
      <c r="L54" s="11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2" s="2" customFormat="1" ht="17.25" customHeight="1" x14ac:dyDescent="0.25">
      <c r="A55" s="12"/>
      <c r="B55" s="87" t="s">
        <v>130</v>
      </c>
      <c r="C55" s="12"/>
      <c r="D55" s="12"/>
      <c r="E55" s="12"/>
      <c r="F55" s="11"/>
      <c r="G55" s="11"/>
      <c r="H55" s="11"/>
      <c r="I55" s="11"/>
      <c r="J55" s="11"/>
      <c r="K55" s="11"/>
      <c r="L55" s="11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2" ht="20.25" customHeight="1" x14ac:dyDescent="0.2">
      <c r="B56" s="89"/>
      <c r="V56" s="90"/>
      <c r="W56" s="91"/>
      <c r="X56" s="92"/>
      <c r="Y56" s="91"/>
      <c r="Z56" s="92"/>
    </row>
    <row r="57" spans="1:32" ht="12.75" customHeight="1" x14ac:dyDescent="0.2">
      <c r="V57" s="90"/>
      <c r="W57" s="226" t="s">
        <v>219</v>
      </c>
      <c r="X57" s="226"/>
      <c r="Y57" s="226"/>
      <c r="Z57" s="226"/>
    </row>
    <row r="58" spans="1:32" ht="14.25" x14ac:dyDescent="0.2">
      <c r="V58" s="90"/>
      <c r="W58" s="94">
        <v>16782496965</v>
      </c>
      <c r="X58" s="94">
        <v>12078383242</v>
      </c>
      <c r="Y58" s="91">
        <v>4704113723</v>
      </c>
      <c r="Z58" s="92"/>
    </row>
    <row r="59" spans="1:32" x14ac:dyDescent="0.2">
      <c r="V59" s="90"/>
      <c r="W59" s="95" t="s">
        <v>220</v>
      </c>
      <c r="X59" s="95"/>
      <c r="Y59" s="96" t="s">
        <v>221</v>
      </c>
      <c r="Z59" s="97"/>
    </row>
    <row r="60" spans="1:32" x14ac:dyDescent="0.2">
      <c r="V60" s="90"/>
      <c r="W60" s="98" t="s">
        <v>222</v>
      </c>
      <c r="X60" s="99">
        <v>477152733</v>
      </c>
      <c r="Y60" s="98" t="s">
        <v>222</v>
      </c>
      <c r="Z60" s="99">
        <v>145239276</v>
      </c>
      <c r="AB60" s="100"/>
    </row>
    <row r="61" spans="1:32" ht="25.5" x14ac:dyDescent="0.2">
      <c r="V61" s="90"/>
      <c r="W61" s="98" t="s">
        <v>223</v>
      </c>
      <c r="X61" s="99">
        <v>1979993297</v>
      </c>
      <c r="Y61" s="98" t="s">
        <v>223</v>
      </c>
      <c r="Z61" s="99">
        <v>839819513</v>
      </c>
      <c r="AB61" s="100"/>
    </row>
    <row r="62" spans="1:32" ht="25.5" x14ac:dyDescent="0.2">
      <c r="V62" s="90"/>
      <c r="W62" s="98" t="s">
        <v>224</v>
      </c>
      <c r="X62" s="99">
        <v>1265491838.6499999</v>
      </c>
      <c r="Y62" s="98" t="s">
        <v>224</v>
      </c>
      <c r="Z62" s="99">
        <v>506368845.64999986</v>
      </c>
      <c r="AB62" s="100"/>
    </row>
    <row r="63" spans="1:32" x14ac:dyDescent="0.2">
      <c r="A63" s="53"/>
      <c r="B63" s="53"/>
      <c r="V63" s="101"/>
      <c r="W63" s="102"/>
      <c r="X63" s="101"/>
      <c r="Y63" s="102"/>
      <c r="Z63" s="101"/>
      <c r="AB63" s="100"/>
    </row>
    <row r="64" spans="1:32" x14ac:dyDescent="0.2">
      <c r="A64" s="53"/>
      <c r="B64" s="53"/>
      <c r="V64" s="101"/>
      <c r="W64" s="103" t="s">
        <v>225</v>
      </c>
      <c r="X64" s="99">
        <v>1742644571.6499999</v>
      </c>
      <c r="Y64" s="103" t="s">
        <v>226</v>
      </c>
      <c r="Z64" s="99">
        <v>651608121.64999986</v>
      </c>
      <c r="AB64" s="100"/>
    </row>
    <row r="65" spans="1:28" ht="25.5" x14ac:dyDescent="0.2">
      <c r="A65" s="53"/>
      <c r="B65" s="53"/>
      <c r="V65" s="101"/>
      <c r="W65" s="103" t="s">
        <v>227</v>
      </c>
      <c r="X65" s="99">
        <v>82726842</v>
      </c>
      <c r="Y65" s="103" t="s">
        <v>227</v>
      </c>
      <c r="Z65" s="99">
        <v>54532939</v>
      </c>
      <c r="AB65" s="100"/>
    </row>
    <row r="66" spans="1:28" x14ac:dyDescent="0.2">
      <c r="A66" s="53"/>
      <c r="B66" s="53"/>
      <c r="V66" s="101"/>
      <c r="W66" s="103"/>
      <c r="X66" s="99"/>
      <c r="Y66" s="103"/>
      <c r="Z66" s="99"/>
      <c r="AB66" s="100"/>
    </row>
    <row r="67" spans="1:28" ht="25.5" x14ac:dyDescent="0.2">
      <c r="A67" s="53"/>
      <c r="B67" s="53"/>
      <c r="V67" s="101"/>
      <c r="W67" s="103" t="s">
        <v>228</v>
      </c>
      <c r="X67" s="99">
        <v>477152733</v>
      </c>
      <c r="Y67" s="103" t="s">
        <v>228</v>
      </c>
      <c r="Z67" s="99">
        <v>145239276</v>
      </c>
      <c r="AB67" s="100"/>
    </row>
    <row r="68" spans="1:28" x14ac:dyDescent="0.2">
      <c r="A68" s="53"/>
      <c r="B68" s="53"/>
      <c r="V68" s="90"/>
      <c r="W68" s="91"/>
      <c r="X68" s="92"/>
      <c r="Y68" s="91"/>
      <c r="Z68" s="92"/>
    </row>
    <row r="69" spans="1:28" x14ac:dyDescent="0.2">
      <c r="A69" s="53"/>
      <c r="B69" s="53"/>
      <c r="V69" s="90"/>
      <c r="W69" s="91"/>
      <c r="X69" s="92"/>
      <c r="Y69" s="91"/>
      <c r="Z69" s="92"/>
    </row>
    <row r="70" spans="1:28" x14ac:dyDescent="0.2">
      <c r="A70" s="53"/>
      <c r="B70" s="53"/>
      <c r="V70" s="90"/>
      <c r="W70" s="91"/>
      <c r="X70" s="92"/>
      <c r="Y70" s="91"/>
      <c r="Z70" s="92"/>
    </row>
  </sheetData>
  <mergeCells count="16">
    <mergeCell ref="W57:Z57"/>
    <mergeCell ref="X1:Z1"/>
    <mergeCell ref="A3:A5"/>
    <mergeCell ref="B3:B5"/>
    <mergeCell ref="C3:R3"/>
    <mergeCell ref="S3:S5"/>
    <mergeCell ref="T3:U4"/>
    <mergeCell ref="V3:Z4"/>
    <mergeCell ref="C4:D4"/>
    <mergeCell ref="E4:F4"/>
    <mergeCell ref="G4:H4"/>
    <mergeCell ref="I4:J4"/>
    <mergeCell ref="K4:L4"/>
    <mergeCell ref="M4:N4"/>
    <mergeCell ref="O4:P4"/>
    <mergeCell ref="Q4:R4"/>
  </mergeCells>
  <conditionalFormatting sqref="N6:N13 R6:R13 P6:P13 F6:F13 L6:L13 J6:J13 H6:H13 D6 N25:N28 R25:R28 P25:P28 F25:F28 L25:L28 J25:J28 H25:H28 D25:D28 D33:D35 H33:H35 J33:J35 L33:L35 F33:F35 P33:P35 R33:R35 N33:N35 H17 J17 D17 L17 N17 P17 R17 F17 F19 R19 P19 N19 L19 D19">
    <cfRule type="cellIs" dxfId="421" priority="106" operator="greaterThan">
      <formula>C6</formula>
    </cfRule>
  </conditionalFormatting>
  <conditionalFormatting sqref="D40 F40 F38 D38">
    <cfRule type="cellIs" dxfId="420" priority="105" operator="greaterThan">
      <formula>C38</formula>
    </cfRule>
  </conditionalFormatting>
  <conditionalFormatting sqref="H40 H38">
    <cfRule type="cellIs" dxfId="419" priority="104" operator="greaterThan">
      <formula>G38</formula>
    </cfRule>
  </conditionalFormatting>
  <conditionalFormatting sqref="J40 J38">
    <cfRule type="cellIs" dxfId="418" priority="103" operator="greaterThan">
      <formula>I38</formula>
    </cfRule>
  </conditionalFormatting>
  <conditionalFormatting sqref="L40 L38">
    <cfRule type="cellIs" dxfId="417" priority="102" operator="greaterThan">
      <formula>K38</formula>
    </cfRule>
  </conditionalFormatting>
  <conditionalFormatting sqref="N40 N38">
    <cfRule type="cellIs" dxfId="416" priority="101" operator="greaterThan">
      <formula>M38</formula>
    </cfRule>
  </conditionalFormatting>
  <conditionalFormatting sqref="P40 P38">
    <cfRule type="cellIs" dxfId="415" priority="100" operator="greaterThan">
      <formula>O38</formula>
    </cfRule>
  </conditionalFormatting>
  <conditionalFormatting sqref="R40 R38">
    <cfRule type="cellIs" dxfId="414" priority="99" operator="greaterThan">
      <formula>Q38</formula>
    </cfRule>
  </conditionalFormatting>
  <conditionalFormatting sqref="H10:H13 J10:J13 L10:L13 N10:N13 P10:P13 R10:R13 F10:F13">
    <cfRule type="cellIs" dxfId="413" priority="98" operator="greaterThan">
      <formula>E10</formula>
    </cfRule>
  </conditionalFormatting>
  <conditionalFormatting sqref="F40 F38">
    <cfRule type="cellIs" dxfId="412" priority="97" operator="greaterThan">
      <formula>E38</formula>
    </cfRule>
  </conditionalFormatting>
  <conditionalFormatting sqref="D40 J40 L40 F40 P40 R40 N40 H40 N38 R38 P38 F38 L38 J38 H38 D38">
    <cfRule type="cellIs" dxfId="411" priority="96" operator="greaterThan">
      <formula>C38</formula>
    </cfRule>
  </conditionalFormatting>
  <conditionalFormatting sqref="C6">
    <cfRule type="cellIs" dxfId="410" priority="95" operator="greaterThan">
      <formula>$C$6</formula>
    </cfRule>
  </conditionalFormatting>
  <conditionalFormatting sqref="D8">
    <cfRule type="cellIs" dxfId="409" priority="94" operator="greaterThan">
      <formula>C8</formula>
    </cfRule>
  </conditionalFormatting>
  <conditionalFormatting sqref="D8">
    <cfRule type="cellIs" dxfId="408" priority="93" operator="greaterThan">
      <formula>C8</formula>
    </cfRule>
  </conditionalFormatting>
  <conditionalFormatting sqref="D8">
    <cfRule type="cellIs" dxfId="407" priority="92" operator="greaterThan">
      <formula>C8</formula>
    </cfRule>
  </conditionalFormatting>
  <conditionalFormatting sqref="D7">
    <cfRule type="cellIs" dxfId="406" priority="91" operator="greaterThan">
      <formula>C7</formula>
    </cfRule>
  </conditionalFormatting>
  <conditionalFormatting sqref="D7">
    <cfRule type="cellIs" dxfId="405" priority="90" operator="greaterThan">
      <formula>C7</formula>
    </cfRule>
  </conditionalFormatting>
  <conditionalFormatting sqref="D7">
    <cfRule type="cellIs" dxfId="404" priority="89" operator="greaterThan">
      <formula>C7</formula>
    </cfRule>
  </conditionalFormatting>
  <conditionalFormatting sqref="F15:F16 H14:H16 J15:J16 L14:L16 P14:P16 R14:R16 N14:N16">
    <cfRule type="cellIs" dxfId="403" priority="88" operator="greaterThan">
      <formula>E14</formula>
    </cfRule>
  </conditionalFormatting>
  <conditionalFormatting sqref="H14 L14 N14 P14 R14">
    <cfRule type="cellIs" dxfId="402" priority="87" operator="greaterThan">
      <formula>G14</formula>
    </cfRule>
  </conditionalFormatting>
  <conditionalFormatting sqref="H15 J15 L15 N15 P15 R15">
    <cfRule type="cellIs" dxfId="401" priority="86" operator="greaterThan">
      <formula>G15</formula>
    </cfRule>
  </conditionalFormatting>
  <conditionalFormatting sqref="F15">
    <cfRule type="cellIs" dxfId="400" priority="85" operator="greaterThan">
      <formula>E15</formula>
    </cfRule>
  </conditionalFormatting>
  <conditionalFormatting sqref="F15">
    <cfRule type="cellIs" dxfId="399" priority="84" operator="greaterThan">
      <formula>E15</formula>
    </cfRule>
  </conditionalFormatting>
  <conditionalFormatting sqref="F15">
    <cfRule type="cellIs" dxfId="398" priority="83" operator="greaterThan">
      <formula>E15</formula>
    </cfRule>
  </conditionalFormatting>
  <conditionalFormatting sqref="F15">
    <cfRule type="cellIs" dxfId="397" priority="82" operator="greaterThan">
      <formula>E15</formula>
    </cfRule>
  </conditionalFormatting>
  <conditionalFormatting sqref="H16 J16 L16 N16 P16 R16">
    <cfRule type="cellIs" dxfId="396" priority="81" operator="greaterThan">
      <formula>G16</formula>
    </cfRule>
  </conditionalFormatting>
  <conditionalFormatting sqref="F16">
    <cfRule type="cellIs" dxfId="395" priority="80" operator="greaterThan">
      <formula>E16</formula>
    </cfRule>
  </conditionalFormatting>
  <conditionalFormatting sqref="F16">
    <cfRule type="cellIs" dxfId="394" priority="79" operator="greaterThan">
      <formula>E16</formula>
    </cfRule>
  </conditionalFormatting>
  <conditionalFormatting sqref="F16">
    <cfRule type="cellIs" dxfId="393" priority="78" operator="greaterThan">
      <formula>E16</formula>
    </cfRule>
  </conditionalFormatting>
  <conditionalFormatting sqref="F16">
    <cfRule type="cellIs" dxfId="392" priority="77" operator="greaterThan">
      <formula>E16</formula>
    </cfRule>
  </conditionalFormatting>
  <conditionalFormatting sqref="N20:N22 R20:R22 P20:P22 L20:L22 J20:J22 H20:H22 D20:D22 F20:F22 F24 D24 H24 J24 L24 P24 R24 N24">
    <cfRule type="cellIs" dxfId="391" priority="76" operator="greaterThan">
      <formula>C20</formula>
    </cfRule>
  </conditionalFormatting>
  <conditionalFormatting sqref="H24 J24 L24 N24 P24 R24">
    <cfRule type="cellIs" dxfId="390" priority="75" operator="greaterThan">
      <formula>G24</formula>
    </cfRule>
  </conditionalFormatting>
  <conditionalFormatting sqref="F24">
    <cfRule type="cellIs" dxfId="389" priority="74" operator="greaterThan">
      <formula>E24</formula>
    </cfRule>
  </conditionalFormatting>
  <conditionalFormatting sqref="F24">
    <cfRule type="cellIs" dxfId="388" priority="73" operator="greaterThan">
      <formula>E24</formula>
    </cfRule>
  </conditionalFormatting>
  <conditionalFormatting sqref="F24">
    <cfRule type="cellIs" dxfId="387" priority="72" operator="greaterThan">
      <formula>E24</formula>
    </cfRule>
  </conditionalFormatting>
  <conditionalFormatting sqref="F24">
    <cfRule type="cellIs" dxfId="386" priority="71" operator="greaterThan">
      <formula>E24</formula>
    </cfRule>
  </conditionalFormatting>
  <conditionalFormatting sqref="N29:N32 R29:R32 P29:P32 L29:L32 J29:J32 H29:H32 D29:D30 F29:F32 D32">
    <cfRule type="cellIs" dxfId="385" priority="70" operator="greaterThan">
      <formula>C29</formula>
    </cfRule>
  </conditionalFormatting>
  <conditionalFormatting sqref="H31 J31 L31 N31 P31 R31">
    <cfRule type="cellIs" dxfId="384" priority="69" operator="greaterThan">
      <formula>G31</formula>
    </cfRule>
  </conditionalFormatting>
  <conditionalFormatting sqref="F31">
    <cfRule type="cellIs" dxfId="383" priority="68" operator="greaterThan">
      <formula>E31</formula>
    </cfRule>
  </conditionalFormatting>
  <conditionalFormatting sqref="F31">
    <cfRule type="cellIs" dxfId="382" priority="67" operator="greaterThan">
      <formula>E31</formula>
    </cfRule>
  </conditionalFormatting>
  <conditionalFormatting sqref="F31">
    <cfRule type="cellIs" dxfId="381" priority="66" operator="greaterThan">
      <formula>E31</formula>
    </cfRule>
  </conditionalFormatting>
  <conditionalFormatting sqref="F31">
    <cfRule type="cellIs" dxfId="380" priority="65" operator="greaterThan">
      <formula>E31</formula>
    </cfRule>
  </conditionalFormatting>
  <conditionalFormatting sqref="H32 J32 L32 N32 P32 R32">
    <cfRule type="cellIs" dxfId="379" priority="64" operator="greaterThan">
      <formula>G32</formula>
    </cfRule>
  </conditionalFormatting>
  <conditionalFormatting sqref="F32">
    <cfRule type="cellIs" dxfId="378" priority="63" operator="greaterThan">
      <formula>E32</formula>
    </cfRule>
  </conditionalFormatting>
  <conditionalFormatting sqref="F32">
    <cfRule type="cellIs" dxfId="377" priority="62" operator="greaterThan">
      <formula>E32</formula>
    </cfRule>
  </conditionalFormatting>
  <conditionalFormatting sqref="F32">
    <cfRule type="cellIs" dxfId="376" priority="61" operator="greaterThan">
      <formula>E32</formula>
    </cfRule>
  </conditionalFormatting>
  <conditionalFormatting sqref="F32">
    <cfRule type="cellIs" dxfId="375" priority="60" operator="greaterThan">
      <formula>E32</formula>
    </cfRule>
  </conditionalFormatting>
  <conditionalFormatting sqref="H29:H30 J29:J30 L29:L30 N29:N30 P29:P30 R29:R30">
    <cfRule type="cellIs" dxfId="374" priority="59" operator="greaterThan">
      <formula>G29</formula>
    </cfRule>
  </conditionalFormatting>
  <conditionalFormatting sqref="F29:F30">
    <cfRule type="cellIs" dxfId="373" priority="58" operator="greaterThan">
      <formula>E29</formula>
    </cfRule>
  </conditionalFormatting>
  <conditionalFormatting sqref="F29:F30">
    <cfRule type="cellIs" dxfId="372" priority="57" operator="greaterThan">
      <formula>E29</formula>
    </cfRule>
  </conditionalFormatting>
  <conditionalFormatting sqref="F29:F30">
    <cfRule type="cellIs" dxfId="371" priority="56" operator="greaterThan">
      <formula>E29</formula>
    </cfRule>
  </conditionalFormatting>
  <conditionalFormatting sqref="F29:F30">
    <cfRule type="cellIs" dxfId="370" priority="55" operator="greaterThan">
      <formula>E29</formula>
    </cfRule>
  </conditionalFormatting>
  <conditionalFormatting sqref="N36:N37 R36:R37 P36:P37 L36:L37 J36:J37 H36:H37 D36:D37 F36:F37">
    <cfRule type="cellIs" dxfId="369" priority="54" operator="greaterThan">
      <formula>C36</formula>
    </cfRule>
  </conditionalFormatting>
  <conditionalFormatting sqref="H36 J36 L36 N36 P36 R36">
    <cfRule type="cellIs" dxfId="368" priority="53" operator="greaterThan">
      <formula>G36</formula>
    </cfRule>
  </conditionalFormatting>
  <conditionalFormatting sqref="F36">
    <cfRule type="cellIs" dxfId="367" priority="52" operator="greaterThan">
      <formula>E36</formula>
    </cfRule>
  </conditionalFormatting>
  <conditionalFormatting sqref="F36">
    <cfRule type="cellIs" dxfId="366" priority="51" operator="greaterThan">
      <formula>E36</formula>
    </cfRule>
  </conditionalFormatting>
  <conditionalFormatting sqref="F36">
    <cfRule type="cellIs" dxfId="365" priority="50" operator="greaterThan">
      <formula>E36</formula>
    </cfRule>
  </conditionalFormatting>
  <conditionalFormatting sqref="F36">
    <cfRule type="cellIs" dxfId="364" priority="49" operator="greaterThan">
      <formula>E36</formula>
    </cfRule>
  </conditionalFormatting>
  <conditionalFormatting sqref="H37 J37 L37 N37 P37 R37">
    <cfRule type="cellIs" dxfId="363" priority="48" operator="greaterThan">
      <formula>G37</formula>
    </cfRule>
  </conditionalFormatting>
  <conditionalFormatting sqref="F37">
    <cfRule type="cellIs" dxfId="362" priority="47" operator="greaterThan">
      <formula>E37</formula>
    </cfRule>
  </conditionalFormatting>
  <conditionalFormatting sqref="F37">
    <cfRule type="cellIs" dxfId="361" priority="46" operator="greaterThan">
      <formula>E37</formula>
    </cfRule>
  </conditionalFormatting>
  <conditionalFormatting sqref="F37">
    <cfRule type="cellIs" dxfId="360" priority="45" operator="greaterThan">
      <formula>E37</formula>
    </cfRule>
  </conditionalFormatting>
  <conditionalFormatting sqref="F37">
    <cfRule type="cellIs" dxfId="359" priority="44" operator="greaterThan">
      <formula>E37</formula>
    </cfRule>
  </conditionalFormatting>
  <conditionalFormatting sqref="N41:N42 R41:R42 P41:P42 L41:L42 J41:J42 H42 F41:F42">
    <cfRule type="cellIs" dxfId="358" priority="43" operator="greaterThan">
      <formula>E41</formula>
    </cfRule>
  </conditionalFormatting>
  <conditionalFormatting sqref="D41">
    <cfRule type="cellIs" dxfId="357" priority="42" operator="greaterThan">
      <formula>C41</formula>
    </cfRule>
  </conditionalFormatting>
  <conditionalFormatting sqref="D41">
    <cfRule type="cellIs" dxfId="356" priority="41" operator="greaterThan">
      <formula>C41</formula>
    </cfRule>
  </conditionalFormatting>
  <conditionalFormatting sqref="J41 L41 N41 P41 R41">
    <cfRule type="cellIs" dxfId="355" priority="40" operator="greaterThan">
      <formula>I41</formula>
    </cfRule>
  </conditionalFormatting>
  <conditionalFormatting sqref="F41">
    <cfRule type="cellIs" dxfId="354" priority="39" operator="greaterThan">
      <formula>E41</formula>
    </cfRule>
  </conditionalFormatting>
  <conditionalFormatting sqref="F41">
    <cfRule type="cellIs" dxfId="353" priority="38" operator="greaterThan">
      <formula>E41</formula>
    </cfRule>
  </conditionalFormatting>
  <conditionalFormatting sqref="F41">
    <cfRule type="cellIs" dxfId="352" priority="37" operator="greaterThan">
      <formula>E41</formula>
    </cfRule>
  </conditionalFormatting>
  <conditionalFormatting sqref="F41">
    <cfRule type="cellIs" dxfId="351" priority="36" operator="greaterThan">
      <formula>E41</formula>
    </cfRule>
  </conditionalFormatting>
  <conditionalFormatting sqref="H42 J42 L42 N42 P42 R42">
    <cfRule type="cellIs" dxfId="350" priority="35" operator="greaterThan">
      <formula>G42</formula>
    </cfRule>
  </conditionalFormatting>
  <conditionalFormatting sqref="F42">
    <cfRule type="cellIs" dxfId="349" priority="34" operator="greaterThan">
      <formula>E42</formula>
    </cfRule>
  </conditionalFormatting>
  <conditionalFormatting sqref="F42">
    <cfRule type="cellIs" dxfId="348" priority="33" operator="greaterThan">
      <formula>E42</formula>
    </cfRule>
  </conditionalFormatting>
  <conditionalFormatting sqref="F42">
    <cfRule type="cellIs" dxfId="347" priority="32" operator="greaterThan">
      <formula>E42</formula>
    </cfRule>
  </conditionalFormatting>
  <conditionalFormatting sqref="F42">
    <cfRule type="cellIs" dxfId="346" priority="31" operator="greaterThan">
      <formula>E42</formula>
    </cfRule>
  </conditionalFormatting>
  <conditionalFormatting sqref="H19 J19">
    <cfRule type="cellIs" dxfId="345" priority="30" operator="greaterThan">
      <formula>G19</formula>
    </cfRule>
  </conditionalFormatting>
  <conditionalFormatting sqref="H19 J19">
    <cfRule type="cellIs" dxfId="344" priority="29" operator="greaterThan">
      <formula>G19</formula>
    </cfRule>
  </conditionalFormatting>
  <conditionalFormatting sqref="J14">
    <cfRule type="cellIs" dxfId="343" priority="28" operator="greaterThan">
      <formula>I14</formula>
    </cfRule>
  </conditionalFormatting>
  <conditionalFormatting sqref="J14">
    <cfRule type="cellIs" dxfId="342" priority="27" operator="greaterThan">
      <formula>I14</formula>
    </cfRule>
  </conditionalFormatting>
  <conditionalFormatting sqref="T44">
    <cfRule type="cellIs" dxfId="341" priority="107" operator="notEqual">
      <formula>$AB$44</formula>
    </cfRule>
  </conditionalFormatting>
  <conditionalFormatting sqref="U44">
    <cfRule type="cellIs" dxfId="340" priority="108" operator="notEqual">
      <formula>$AC$44</formula>
    </cfRule>
  </conditionalFormatting>
  <conditionalFormatting sqref="S44">
    <cfRule type="cellIs" dxfId="339" priority="109" operator="notEqual">
      <formula>$AA$44</formula>
    </cfRule>
  </conditionalFormatting>
  <conditionalFormatting sqref="N23 R23 P23 L23 J23 H23 D23 F23">
    <cfRule type="cellIs" dxfId="338" priority="26" operator="greaterThan">
      <formula>C23</formula>
    </cfRule>
  </conditionalFormatting>
  <conditionalFormatting sqref="S46">
    <cfRule type="cellIs" dxfId="337" priority="10" operator="notEqual">
      <formula>$AA$46</formula>
    </cfRule>
    <cfRule type="cellIs" dxfId="336" priority="25" operator="notEqual">
      <formula>AA46</formula>
    </cfRule>
  </conditionalFormatting>
  <conditionalFormatting sqref="S48">
    <cfRule type="cellIs" dxfId="335" priority="24" operator="notEqual">
      <formula>AA48</formula>
    </cfRule>
  </conditionalFormatting>
  <conditionalFormatting sqref="S50">
    <cfRule type="cellIs" dxfId="334" priority="23" operator="notEqual">
      <formula>AA50</formula>
    </cfRule>
  </conditionalFormatting>
  <conditionalFormatting sqref="T46">
    <cfRule type="cellIs" dxfId="333" priority="9" operator="notEqual">
      <formula>$AB$46</formula>
    </cfRule>
  </conditionalFormatting>
  <conditionalFormatting sqref="U46">
    <cfRule type="cellIs" dxfId="332" priority="22" operator="notEqual">
      <formula>AC46</formula>
    </cfRule>
  </conditionalFormatting>
  <conditionalFormatting sqref="T48">
    <cfRule type="cellIs" dxfId="331" priority="21" operator="notEqual">
      <formula>AB48</formula>
    </cfRule>
  </conditionalFormatting>
  <conditionalFormatting sqref="U48">
    <cfRule type="cellIs" dxfId="330" priority="20" operator="notEqual">
      <formula>AC48</formula>
    </cfRule>
  </conditionalFormatting>
  <conditionalFormatting sqref="T50">
    <cfRule type="cellIs" dxfId="329" priority="19" operator="notEqual">
      <formula>AB50</formula>
    </cfRule>
  </conditionalFormatting>
  <conditionalFormatting sqref="U50">
    <cfRule type="cellIs" dxfId="328" priority="18" operator="notEqual">
      <formula>AC50</formula>
    </cfRule>
  </conditionalFormatting>
  <conditionalFormatting sqref="H18 J18 D18 L18 N18 P18 R18 F18">
    <cfRule type="cellIs" dxfId="327" priority="17" operator="greaterThan">
      <formula>C18</formula>
    </cfRule>
  </conditionalFormatting>
  <conditionalFormatting sqref="N43 R43 P43 L43 J43 H43 F43">
    <cfRule type="cellIs" dxfId="326" priority="16" operator="greaterThan">
      <formula>E43</formula>
    </cfRule>
  </conditionalFormatting>
  <conditionalFormatting sqref="H43 J43 L43 N43 P43 R43">
    <cfRule type="cellIs" dxfId="325" priority="15" operator="greaterThan">
      <formula>G43</formula>
    </cfRule>
  </conditionalFormatting>
  <conditionalFormatting sqref="F43">
    <cfRule type="cellIs" dxfId="324" priority="14" operator="greaterThan">
      <formula>E43</formula>
    </cfRule>
  </conditionalFormatting>
  <conditionalFormatting sqref="F43">
    <cfRule type="cellIs" dxfId="323" priority="13" operator="greaterThan">
      <formula>E43</formula>
    </cfRule>
  </conditionalFormatting>
  <conditionalFormatting sqref="F43">
    <cfRule type="cellIs" dxfId="322" priority="12" operator="greaterThan">
      <formula>E43</formula>
    </cfRule>
  </conditionalFormatting>
  <conditionalFormatting sqref="F43">
    <cfRule type="cellIs" dxfId="321" priority="11" operator="greaterThan">
      <formula>E43</formula>
    </cfRule>
  </conditionalFormatting>
  <conditionalFormatting sqref="S47">
    <cfRule type="cellIs" dxfId="320" priority="8" operator="notEqual">
      <formula>AA47</formula>
    </cfRule>
  </conditionalFormatting>
  <conditionalFormatting sqref="T47">
    <cfRule type="cellIs" dxfId="319" priority="7" operator="notEqual">
      <formula>$AB$47</formula>
    </cfRule>
  </conditionalFormatting>
  <conditionalFormatting sqref="U47">
    <cfRule type="cellIs" dxfId="318" priority="6" operator="notEqual">
      <formula>$AC$47</formula>
    </cfRule>
  </conditionalFormatting>
  <conditionalFormatting sqref="S49">
    <cfRule type="cellIs" dxfId="317" priority="5" operator="notEqual">
      <formula>$AA$49</formula>
    </cfRule>
  </conditionalFormatting>
  <conditionalFormatting sqref="T49">
    <cfRule type="cellIs" dxfId="316" priority="4" operator="notEqual">
      <formula>$AB$49</formula>
    </cfRule>
  </conditionalFormatting>
  <conditionalFormatting sqref="U49">
    <cfRule type="cellIs" dxfId="315" priority="3" operator="notEqual">
      <formula>$AC$49</formula>
    </cfRule>
  </conditionalFormatting>
  <conditionalFormatting sqref="H41">
    <cfRule type="cellIs" dxfId="314" priority="2" operator="greaterThan">
      <formula>G41</formula>
    </cfRule>
  </conditionalFormatting>
  <conditionalFormatting sqref="H41">
    <cfRule type="cellIs" dxfId="313" priority="1" operator="greaterThan">
      <formula>G41</formula>
    </cfRule>
  </conditionalFormatting>
  <dataValidations count="3">
    <dataValidation type="date" operator="greaterThan" allowBlank="1" showInputMessage="1" showErrorMessage="1" prompt="Введите дату в формате ЧЧ.ММ.ГГГГ" sqref="X2" xr:uid="{00000000-0002-0000-0200-000000000000}">
      <formula1>DATE(96,1,1)</formula1>
    </dataValidation>
    <dataValidation allowBlank="1" showErrorMessage="1" prompt="Введите самостоятельно рассчитанный коэффициент" sqref="C5:R5 T5:U5" xr:uid="{00000000-0002-0000-0200-000001000000}"/>
    <dataValidation type="whole" operator="notEqual" allowBlank="1" showErrorMessage="1" error="Введите как целое число." sqref="Q36:R37 E36:P38 C45:R51 C40:R43 E39:R39 C20:D39 E20:R35 C6:R19" xr:uid="{00000000-0002-0000-0200-000002000000}">
      <formula1>-1E+28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1"/>
  <sheetViews>
    <sheetView topLeftCell="N40" workbookViewId="0">
      <selection activeCell="S46" sqref="S46"/>
    </sheetView>
  </sheetViews>
  <sheetFormatPr defaultRowHeight="12.75" x14ac:dyDescent="0.2"/>
  <cols>
    <col min="1" max="1" width="6.28515625" style="113" customWidth="1"/>
    <col min="2" max="2" width="53.28515625" style="146" customWidth="1"/>
    <col min="3" max="18" width="14.7109375" style="114" customWidth="1"/>
    <col min="19" max="21" width="15.85546875" style="114" customWidth="1"/>
    <col min="22" max="22" width="19.140625" style="104" customWidth="1"/>
    <col min="23" max="24" width="17.5703125" style="105" customWidth="1"/>
    <col min="25" max="25" width="19.42578125" style="114" bestFit="1" customWidth="1"/>
    <col min="26" max="26" width="20.7109375" style="114" customWidth="1"/>
    <col min="27" max="27" width="17.5703125" style="145" customWidth="1"/>
    <col min="28" max="16384" width="9.140625" style="114"/>
  </cols>
  <sheetData>
    <row r="1" spans="1:27" s="112" customFormat="1" ht="30" customHeight="1" x14ac:dyDescent="0.25">
      <c r="A1" s="106" t="s">
        <v>229</v>
      </c>
      <c r="B1" s="107"/>
      <c r="C1" s="108"/>
      <c r="D1" s="108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  <c r="P1" s="110"/>
      <c r="Q1" s="110"/>
      <c r="R1" s="110"/>
      <c r="S1" s="110"/>
      <c r="T1" s="110"/>
      <c r="U1" s="110"/>
      <c r="V1" s="110"/>
      <c r="W1" s="111" t="s">
        <v>230</v>
      </c>
      <c r="X1" s="111"/>
    </row>
    <row r="2" spans="1:27" ht="23.25" customHeight="1" x14ac:dyDescent="0.25">
      <c r="B2" s="209" t="s">
        <v>445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115"/>
      <c r="U2" s="115"/>
      <c r="V2" s="116">
        <v>44926</v>
      </c>
      <c r="W2" s="104"/>
      <c r="X2" s="105" t="s">
        <v>2</v>
      </c>
      <c r="Y2" s="53"/>
      <c r="AA2" s="114"/>
    </row>
    <row r="3" spans="1:27" s="112" customFormat="1" ht="21.75" customHeight="1" x14ac:dyDescent="0.25">
      <c r="A3" s="228" t="s">
        <v>3</v>
      </c>
      <c r="B3" s="228" t="s">
        <v>133</v>
      </c>
      <c r="C3" s="230" t="s">
        <v>134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2"/>
      <c r="S3" s="228" t="s">
        <v>5</v>
      </c>
      <c r="T3" s="235" t="s">
        <v>135</v>
      </c>
      <c r="U3" s="236"/>
      <c r="V3" s="241" t="s">
        <v>136</v>
      </c>
      <c r="W3" s="242"/>
      <c r="X3" s="243"/>
      <c r="AA3" s="117"/>
    </row>
    <row r="4" spans="1:27" s="112" customFormat="1" ht="21" customHeight="1" x14ac:dyDescent="0.25">
      <c r="A4" s="229"/>
      <c r="B4" s="229"/>
      <c r="C4" s="230" t="s">
        <v>137</v>
      </c>
      <c r="D4" s="232"/>
      <c r="E4" s="230" t="s">
        <v>138</v>
      </c>
      <c r="F4" s="232"/>
      <c r="G4" s="230" t="s">
        <v>139</v>
      </c>
      <c r="H4" s="232"/>
      <c r="I4" s="230" t="s">
        <v>140</v>
      </c>
      <c r="J4" s="232"/>
      <c r="K4" s="230" t="s">
        <v>141</v>
      </c>
      <c r="L4" s="232"/>
      <c r="M4" s="230" t="s">
        <v>142</v>
      </c>
      <c r="N4" s="232"/>
      <c r="O4" s="230" t="s">
        <v>143</v>
      </c>
      <c r="P4" s="232"/>
      <c r="Q4" s="230" t="s">
        <v>144</v>
      </c>
      <c r="R4" s="232"/>
      <c r="S4" s="229"/>
      <c r="T4" s="237"/>
      <c r="U4" s="238"/>
      <c r="V4" s="244"/>
      <c r="W4" s="245"/>
      <c r="X4" s="246"/>
      <c r="AA4" s="117"/>
    </row>
    <row r="5" spans="1:27" s="112" customFormat="1" ht="102" customHeight="1" x14ac:dyDescent="0.25">
      <c r="A5" s="229"/>
      <c r="B5" s="229"/>
      <c r="C5" s="57" t="s">
        <v>145</v>
      </c>
      <c r="D5" s="57" t="s">
        <v>146</v>
      </c>
      <c r="E5" s="57" t="s">
        <v>145</v>
      </c>
      <c r="F5" s="57" t="s">
        <v>146</v>
      </c>
      <c r="G5" s="57" t="s">
        <v>145</v>
      </c>
      <c r="H5" s="57" t="s">
        <v>146</v>
      </c>
      <c r="I5" s="57" t="s">
        <v>145</v>
      </c>
      <c r="J5" s="57" t="s">
        <v>146</v>
      </c>
      <c r="K5" s="57" t="s">
        <v>145</v>
      </c>
      <c r="L5" s="57" t="s">
        <v>146</v>
      </c>
      <c r="M5" s="57" t="s">
        <v>145</v>
      </c>
      <c r="N5" s="57" t="s">
        <v>146</v>
      </c>
      <c r="O5" s="57" t="s">
        <v>145</v>
      </c>
      <c r="P5" s="57" t="s">
        <v>146</v>
      </c>
      <c r="Q5" s="57" t="s">
        <v>145</v>
      </c>
      <c r="R5" s="57" t="s">
        <v>146</v>
      </c>
      <c r="S5" s="229"/>
      <c r="T5" s="57" t="s">
        <v>147</v>
      </c>
      <c r="U5" s="57" t="s">
        <v>148</v>
      </c>
      <c r="V5" s="210" t="s">
        <v>149</v>
      </c>
      <c r="W5" s="210" t="s">
        <v>231</v>
      </c>
      <c r="X5" s="210" t="s">
        <v>232</v>
      </c>
      <c r="AA5" s="117"/>
    </row>
    <row r="6" spans="1:27" s="112" customFormat="1" ht="25.5" customHeight="1" x14ac:dyDescent="0.25">
      <c r="A6" s="118" t="s">
        <v>233</v>
      </c>
      <c r="B6" s="119" t="s">
        <v>234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1"/>
      <c r="W6" s="122"/>
      <c r="X6" s="122"/>
      <c r="AA6" s="117"/>
    </row>
    <row r="7" spans="1:27" s="112" customFormat="1" ht="25.5" customHeight="1" x14ac:dyDescent="0.25">
      <c r="A7" s="118" t="s">
        <v>235</v>
      </c>
      <c r="B7" s="123" t="s">
        <v>236</v>
      </c>
      <c r="C7" s="120">
        <v>625549866</v>
      </c>
      <c r="D7" s="66">
        <v>26790019</v>
      </c>
      <c r="E7" s="120">
        <v>0</v>
      </c>
      <c r="F7" s="66">
        <v>0</v>
      </c>
      <c r="G7" s="120">
        <v>0</v>
      </c>
      <c r="H7" s="66">
        <v>0</v>
      </c>
      <c r="I7" s="120">
        <v>0</v>
      </c>
      <c r="J7" s="66">
        <v>0</v>
      </c>
      <c r="K7" s="120">
        <v>0</v>
      </c>
      <c r="L7" s="66">
        <v>0</v>
      </c>
      <c r="M7" s="120">
        <v>0</v>
      </c>
      <c r="N7" s="66">
        <v>0</v>
      </c>
      <c r="O7" s="120">
        <v>0</v>
      </c>
      <c r="P7" s="66">
        <v>0</v>
      </c>
      <c r="Q7" s="120">
        <v>0</v>
      </c>
      <c r="R7" s="66">
        <v>0</v>
      </c>
      <c r="S7" s="120">
        <v>625549866</v>
      </c>
      <c r="T7" s="120">
        <v>598759847</v>
      </c>
      <c r="U7" s="120">
        <v>26790019</v>
      </c>
      <c r="V7" s="121"/>
      <c r="W7" s="75"/>
      <c r="X7" s="75"/>
      <c r="AA7" s="117"/>
    </row>
    <row r="8" spans="1:27" s="79" customFormat="1" ht="25.5" customHeight="1" x14ac:dyDescent="0.25">
      <c r="A8" s="72" t="s">
        <v>237</v>
      </c>
      <c r="B8" s="124" t="s">
        <v>238</v>
      </c>
      <c r="C8" s="60">
        <v>13773832</v>
      </c>
      <c r="D8" s="60">
        <v>1753280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120">
        <v>13773832</v>
      </c>
      <c r="T8" s="120">
        <v>12020552</v>
      </c>
      <c r="U8" s="120">
        <v>1753280</v>
      </c>
      <c r="V8" s="74"/>
      <c r="W8" s="75"/>
      <c r="X8" s="75"/>
      <c r="AA8" s="78"/>
    </row>
    <row r="9" spans="1:27" s="79" customFormat="1" ht="25.5" customHeight="1" x14ac:dyDescent="0.25">
      <c r="A9" s="72" t="s">
        <v>239</v>
      </c>
      <c r="B9" s="124" t="s">
        <v>240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120">
        <v>0</v>
      </c>
      <c r="T9" s="120">
        <v>0</v>
      </c>
      <c r="U9" s="120">
        <v>0</v>
      </c>
      <c r="V9" s="74"/>
      <c r="W9" s="75"/>
      <c r="X9" s="75"/>
      <c r="AA9" s="78"/>
    </row>
    <row r="10" spans="1:27" s="79" customFormat="1" ht="25.5" customHeight="1" x14ac:dyDescent="0.25">
      <c r="A10" s="72" t="s">
        <v>241</v>
      </c>
      <c r="B10" s="124" t="s">
        <v>242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120">
        <v>0</v>
      </c>
      <c r="T10" s="120">
        <v>0</v>
      </c>
      <c r="U10" s="120">
        <v>0</v>
      </c>
      <c r="V10" s="74"/>
      <c r="W10" s="75"/>
      <c r="X10" s="75"/>
      <c r="AA10" s="78"/>
    </row>
    <row r="11" spans="1:27" s="79" customFormat="1" ht="25.5" customHeight="1" x14ac:dyDescent="0.25">
      <c r="A11" s="72" t="s">
        <v>243</v>
      </c>
      <c r="B11" s="124" t="s">
        <v>244</v>
      </c>
      <c r="C11" s="60">
        <v>611776034</v>
      </c>
      <c r="D11" s="60">
        <v>25036739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120">
        <v>611776034</v>
      </c>
      <c r="T11" s="120">
        <v>586739295</v>
      </c>
      <c r="U11" s="120">
        <v>25036739</v>
      </c>
      <c r="V11" s="74"/>
      <c r="W11" s="75"/>
      <c r="X11" s="75"/>
      <c r="AA11" s="78"/>
    </row>
    <row r="12" spans="1:27" s="79" customFormat="1" ht="25.5" customHeight="1" x14ac:dyDescent="0.25">
      <c r="A12" s="72" t="s">
        <v>245</v>
      </c>
      <c r="B12" s="124" t="s">
        <v>77</v>
      </c>
      <c r="C12" s="60">
        <v>0</v>
      </c>
      <c r="D12" s="60">
        <v>0</v>
      </c>
      <c r="E12" s="60">
        <v>120696795</v>
      </c>
      <c r="F12" s="60">
        <v>659620</v>
      </c>
      <c r="G12" s="60">
        <v>51307648</v>
      </c>
      <c r="H12" s="60">
        <v>2217949</v>
      </c>
      <c r="I12" s="60">
        <v>154536244</v>
      </c>
      <c r="J12" s="60">
        <v>6064638</v>
      </c>
      <c r="K12" s="60">
        <v>517938173</v>
      </c>
      <c r="L12" s="60">
        <v>22951533</v>
      </c>
      <c r="M12" s="60">
        <v>968077487</v>
      </c>
      <c r="N12" s="60">
        <v>211171616</v>
      </c>
      <c r="O12" s="60">
        <v>1613523519</v>
      </c>
      <c r="P12" s="60">
        <v>299089738</v>
      </c>
      <c r="Q12" s="60">
        <v>1029500708</v>
      </c>
      <c r="R12" s="60">
        <v>280341271</v>
      </c>
      <c r="S12" s="120">
        <v>4455580574</v>
      </c>
      <c r="T12" s="120">
        <v>3633084209</v>
      </c>
      <c r="U12" s="120">
        <v>822496365</v>
      </c>
      <c r="V12" s="74"/>
      <c r="W12" s="75"/>
      <c r="X12" s="75"/>
      <c r="AA12" s="78"/>
    </row>
    <row r="13" spans="1:27" s="79" customFormat="1" ht="25.5" customHeight="1" x14ac:dyDescent="0.25">
      <c r="A13" s="72" t="s">
        <v>246</v>
      </c>
      <c r="B13" s="125" t="s">
        <v>247</v>
      </c>
      <c r="C13" s="60"/>
      <c r="D13" s="60"/>
      <c r="E13" s="60">
        <v>17037267</v>
      </c>
      <c r="F13" s="60">
        <v>659620</v>
      </c>
      <c r="G13" s="60">
        <v>32457648</v>
      </c>
      <c r="H13" s="60">
        <v>2217949</v>
      </c>
      <c r="I13" s="60">
        <v>35854224</v>
      </c>
      <c r="J13" s="60">
        <v>2528618</v>
      </c>
      <c r="K13" s="60">
        <v>12267383</v>
      </c>
      <c r="L13" s="60">
        <v>3587614</v>
      </c>
      <c r="M13" s="60">
        <v>480583</v>
      </c>
      <c r="N13" s="60">
        <v>132968</v>
      </c>
      <c r="O13" s="60">
        <v>853925855</v>
      </c>
      <c r="P13" s="60">
        <v>28592074</v>
      </c>
      <c r="Q13" s="60">
        <v>4290307</v>
      </c>
      <c r="R13" s="60">
        <v>171750</v>
      </c>
      <c r="S13" s="120">
        <v>956313267</v>
      </c>
      <c r="T13" s="120">
        <v>918422674</v>
      </c>
      <c r="U13" s="120">
        <v>37890593</v>
      </c>
      <c r="V13" s="74"/>
      <c r="W13" s="75"/>
      <c r="X13" s="75"/>
      <c r="AA13" s="78"/>
    </row>
    <row r="14" spans="1:27" s="79" customFormat="1" ht="25.5" customHeight="1" x14ac:dyDescent="0.25">
      <c r="A14" s="72" t="s">
        <v>248</v>
      </c>
      <c r="B14" s="125" t="s">
        <v>249</v>
      </c>
      <c r="C14" s="60"/>
      <c r="D14" s="60"/>
      <c r="E14" s="60"/>
      <c r="F14" s="60"/>
      <c r="G14" s="60"/>
      <c r="H14" s="60"/>
      <c r="I14" s="60"/>
      <c r="J14" s="60"/>
      <c r="K14" s="60">
        <v>10000000</v>
      </c>
      <c r="L14" s="60"/>
      <c r="M14" s="60"/>
      <c r="N14" s="60"/>
      <c r="O14" s="60"/>
      <c r="P14" s="60"/>
      <c r="Q14" s="60"/>
      <c r="R14" s="60"/>
      <c r="S14" s="120">
        <v>10000000</v>
      </c>
      <c r="T14" s="120">
        <v>10000000</v>
      </c>
      <c r="U14" s="120">
        <v>0</v>
      </c>
      <c r="V14" s="74"/>
      <c r="W14" s="75"/>
      <c r="X14" s="75"/>
      <c r="AA14" s="78"/>
    </row>
    <row r="15" spans="1:27" s="79" customFormat="1" ht="25.5" customHeight="1" x14ac:dyDescent="0.25">
      <c r="A15" s="72" t="s">
        <v>250</v>
      </c>
      <c r="B15" s="124" t="s">
        <v>251</v>
      </c>
      <c r="C15" s="120">
        <v>328065236</v>
      </c>
      <c r="D15" s="66">
        <v>18233180</v>
      </c>
      <c r="E15" s="120">
        <v>0</v>
      </c>
      <c r="F15" s="66">
        <v>0</v>
      </c>
      <c r="G15" s="120">
        <v>0</v>
      </c>
      <c r="H15" s="66">
        <v>0</v>
      </c>
      <c r="I15" s="120">
        <v>0</v>
      </c>
      <c r="J15" s="66">
        <v>0</v>
      </c>
      <c r="K15" s="120">
        <v>0</v>
      </c>
      <c r="L15" s="66">
        <v>0</v>
      </c>
      <c r="M15" s="120">
        <v>0</v>
      </c>
      <c r="N15" s="66">
        <v>0</v>
      </c>
      <c r="O15" s="120">
        <v>0</v>
      </c>
      <c r="P15" s="66">
        <v>0</v>
      </c>
      <c r="Q15" s="120">
        <v>0</v>
      </c>
      <c r="R15" s="66">
        <v>0</v>
      </c>
      <c r="S15" s="120">
        <v>328065236</v>
      </c>
      <c r="T15" s="120">
        <v>309832056</v>
      </c>
      <c r="U15" s="120">
        <v>18233180</v>
      </c>
      <c r="V15" s="74"/>
      <c r="W15" s="75"/>
      <c r="X15" s="75"/>
      <c r="AA15" s="78"/>
    </row>
    <row r="16" spans="1:27" s="79" customFormat="1" ht="28.5" customHeight="1" x14ac:dyDescent="0.25">
      <c r="A16" s="72" t="s">
        <v>252</v>
      </c>
      <c r="B16" s="124" t="s">
        <v>253</v>
      </c>
      <c r="C16" s="60">
        <v>298157328</v>
      </c>
      <c r="D16" s="60">
        <v>5854470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120">
        <v>298157328</v>
      </c>
      <c r="T16" s="120">
        <v>292302858</v>
      </c>
      <c r="U16" s="120">
        <v>5854470</v>
      </c>
      <c r="V16" s="74"/>
      <c r="W16" s="75"/>
      <c r="X16" s="75"/>
      <c r="AA16" s="78"/>
    </row>
    <row r="17" spans="1:27" s="79" customFormat="1" ht="28.5" customHeight="1" x14ac:dyDescent="0.25">
      <c r="A17" s="72" t="s">
        <v>254</v>
      </c>
      <c r="B17" s="124" t="s">
        <v>255</v>
      </c>
      <c r="C17" s="60">
        <v>9493998</v>
      </c>
      <c r="D17" s="60">
        <v>24676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120">
        <v>9493998</v>
      </c>
      <c r="T17" s="120">
        <v>9469322</v>
      </c>
      <c r="U17" s="120">
        <v>24676</v>
      </c>
      <c r="V17" s="74"/>
      <c r="W17" s="75"/>
      <c r="X17" s="75"/>
      <c r="AA17" s="78"/>
    </row>
    <row r="18" spans="1:27" s="79" customFormat="1" ht="25.5" customHeight="1" x14ac:dyDescent="0.25">
      <c r="A18" s="72" t="s">
        <v>256</v>
      </c>
      <c r="B18" s="124" t="s">
        <v>257</v>
      </c>
      <c r="C18" s="60">
        <v>12354035</v>
      </c>
      <c r="D18" s="60">
        <v>12354034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120">
        <v>12354035</v>
      </c>
      <c r="T18" s="120">
        <v>1</v>
      </c>
      <c r="U18" s="120">
        <v>12354034</v>
      </c>
      <c r="V18" s="74"/>
      <c r="W18" s="75"/>
      <c r="X18" s="75"/>
      <c r="AA18" s="78"/>
    </row>
    <row r="19" spans="1:27" s="79" customFormat="1" ht="25.5" customHeight="1" x14ac:dyDescent="0.25">
      <c r="A19" s="72" t="s">
        <v>258</v>
      </c>
      <c r="B19" s="124" t="s">
        <v>184</v>
      </c>
      <c r="C19" s="60">
        <v>8059875</v>
      </c>
      <c r="D19" s="60">
        <v>0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120">
        <v>8059875</v>
      </c>
      <c r="T19" s="120">
        <v>8059875</v>
      </c>
      <c r="U19" s="120">
        <v>0</v>
      </c>
      <c r="V19" s="74"/>
      <c r="W19" s="75"/>
      <c r="X19" s="75"/>
      <c r="AA19" s="78"/>
    </row>
    <row r="20" spans="1:27" s="79" customFormat="1" ht="25.5" customHeight="1" x14ac:dyDescent="0.25">
      <c r="A20" s="72" t="s">
        <v>259</v>
      </c>
      <c r="B20" s="126" t="s">
        <v>260</v>
      </c>
      <c r="C20" s="66">
        <v>953615102</v>
      </c>
      <c r="D20" s="66">
        <v>45023199</v>
      </c>
      <c r="E20" s="66">
        <v>120696795</v>
      </c>
      <c r="F20" s="66">
        <v>659620</v>
      </c>
      <c r="G20" s="66">
        <v>51307648</v>
      </c>
      <c r="H20" s="66">
        <v>2217949</v>
      </c>
      <c r="I20" s="66">
        <v>154536244</v>
      </c>
      <c r="J20" s="66">
        <v>6064638</v>
      </c>
      <c r="K20" s="66">
        <v>517938173</v>
      </c>
      <c r="L20" s="66">
        <v>22951533</v>
      </c>
      <c r="M20" s="66">
        <v>968077487</v>
      </c>
      <c r="N20" s="66">
        <v>211171616</v>
      </c>
      <c r="O20" s="66">
        <v>1613523519</v>
      </c>
      <c r="P20" s="66">
        <v>299089738</v>
      </c>
      <c r="Q20" s="66">
        <v>1029500708</v>
      </c>
      <c r="R20" s="66">
        <v>280341271</v>
      </c>
      <c r="S20" s="120">
        <v>5409195676</v>
      </c>
      <c r="T20" s="120">
        <v>4541676112</v>
      </c>
      <c r="U20" s="120">
        <v>867519564</v>
      </c>
      <c r="V20" s="74">
        <v>0.15</v>
      </c>
      <c r="W20" s="75">
        <v>786122066.39999998</v>
      </c>
      <c r="X20" s="75">
        <v>104870649.59999999</v>
      </c>
      <c r="Y20" s="127">
        <v>5409195676</v>
      </c>
      <c r="Z20" s="127">
        <v>4541676112</v>
      </c>
      <c r="AA20" s="127">
        <v>867519564</v>
      </c>
    </row>
    <row r="21" spans="1:27" s="79" customFormat="1" ht="25.5" customHeight="1" x14ac:dyDescent="0.25">
      <c r="A21" s="72" t="s">
        <v>261</v>
      </c>
      <c r="B21" s="124" t="s">
        <v>79</v>
      </c>
      <c r="C21" s="60">
        <v>352454</v>
      </c>
      <c r="D21" s="60">
        <v>0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120">
        <v>352454</v>
      </c>
      <c r="T21" s="120">
        <v>352454</v>
      </c>
      <c r="U21" s="120">
        <v>0</v>
      </c>
      <c r="V21" s="74">
        <v>1</v>
      </c>
      <c r="W21" s="75">
        <v>0</v>
      </c>
      <c r="X21" s="75">
        <v>0</v>
      </c>
      <c r="Y21" s="78">
        <v>0</v>
      </c>
      <c r="Z21" s="78">
        <v>0</v>
      </c>
      <c r="AA21" s="78">
        <v>0</v>
      </c>
    </row>
    <row r="22" spans="1:27" s="79" customFormat="1" ht="43.5" customHeight="1" x14ac:dyDescent="0.25">
      <c r="A22" s="72" t="s">
        <v>262</v>
      </c>
      <c r="B22" s="124" t="s">
        <v>263</v>
      </c>
      <c r="C22" s="60">
        <v>352454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6">
        <v>352454</v>
      </c>
      <c r="T22" s="66">
        <v>352454</v>
      </c>
      <c r="U22" s="66">
        <v>0</v>
      </c>
      <c r="V22" s="74"/>
      <c r="W22" s="75"/>
      <c r="X22" s="75"/>
      <c r="Y22" s="78"/>
      <c r="Z22" s="78"/>
      <c r="AA22" s="78"/>
    </row>
    <row r="23" spans="1:27" s="79" customFormat="1" ht="25.5" customHeight="1" x14ac:dyDescent="0.25">
      <c r="A23" s="72" t="s">
        <v>264</v>
      </c>
      <c r="B23" s="124" t="s">
        <v>265</v>
      </c>
      <c r="C23" s="66">
        <v>1632652</v>
      </c>
      <c r="D23" s="66">
        <v>0</v>
      </c>
      <c r="E23" s="66">
        <v>123923700</v>
      </c>
      <c r="F23" s="66">
        <v>23923700</v>
      </c>
      <c r="G23" s="66">
        <v>341918529.99999994</v>
      </c>
      <c r="H23" s="66">
        <v>341918529.99999994</v>
      </c>
      <c r="I23" s="66">
        <v>712948724.99999988</v>
      </c>
      <c r="J23" s="66">
        <v>662948724.99999988</v>
      </c>
      <c r="K23" s="66">
        <v>285298029</v>
      </c>
      <c r="L23" s="66">
        <v>12909278.999999998</v>
      </c>
      <c r="M23" s="66">
        <v>532058280</v>
      </c>
      <c r="N23" s="66">
        <v>202058279.99999997</v>
      </c>
      <c r="O23" s="66">
        <v>112254599.99999999</v>
      </c>
      <c r="P23" s="66">
        <v>112254599.99999999</v>
      </c>
      <c r="Q23" s="66">
        <v>443019030</v>
      </c>
      <c r="R23" s="66">
        <v>59809250</v>
      </c>
      <c r="S23" s="66">
        <v>2553053546</v>
      </c>
      <c r="T23" s="66">
        <v>1137231182.0000002</v>
      </c>
      <c r="U23" s="66">
        <v>1415822363.9999998</v>
      </c>
      <c r="V23" s="74"/>
      <c r="W23" s="75"/>
      <c r="X23" s="75"/>
      <c r="AA23" s="78"/>
    </row>
    <row r="24" spans="1:27" s="79" customFormat="1" ht="27.75" customHeight="1" x14ac:dyDescent="0.25">
      <c r="A24" s="72" t="s">
        <v>11</v>
      </c>
      <c r="B24" s="124" t="s">
        <v>266</v>
      </c>
      <c r="C24" s="60"/>
      <c r="D24" s="60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>
        <v>0</v>
      </c>
      <c r="T24" s="66">
        <v>0</v>
      </c>
      <c r="U24" s="66">
        <v>0</v>
      </c>
      <c r="V24" s="74">
        <v>1</v>
      </c>
      <c r="W24" s="75">
        <v>0</v>
      </c>
      <c r="X24" s="75">
        <v>0</v>
      </c>
      <c r="AA24" s="78"/>
    </row>
    <row r="25" spans="1:27" s="79" customFormat="1" ht="27.75" customHeight="1" x14ac:dyDescent="0.25">
      <c r="A25" s="72" t="s">
        <v>267</v>
      </c>
      <c r="B25" s="124" t="s">
        <v>268</v>
      </c>
      <c r="C25" s="60"/>
      <c r="D25" s="60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>
        <v>0</v>
      </c>
      <c r="T25" s="66">
        <v>0</v>
      </c>
      <c r="U25" s="66">
        <v>0</v>
      </c>
      <c r="V25" s="74">
        <v>1</v>
      </c>
      <c r="W25" s="75">
        <v>0</v>
      </c>
      <c r="X25" s="75">
        <v>0</v>
      </c>
      <c r="AA25" s="78"/>
    </row>
    <row r="26" spans="1:27" s="79" customFormat="1" ht="25.5" customHeight="1" x14ac:dyDescent="0.25">
      <c r="A26" s="72" t="s">
        <v>13</v>
      </c>
      <c r="B26" s="124" t="s">
        <v>269</v>
      </c>
      <c r="C26" s="60">
        <v>0</v>
      </c>
      <c r="D26" s="60">
        <v>0</v>
      </c>
      <c r="E26" s="60">
        <v>123923700</v>
      </c>
      <c r="F26" s="60">
        <v>23923700</v>
      </c>
      <c r="G26" s="60">
        <v>341918529.99999994</v>
      </c>
      <c r="H26" s="60">
        <v>341918529.99999994</v>
      </c>
      <c r="I26" s="60">
        <v>712948724.99999988</v>
      </c>
      <c r="J26" s="60">
        <v>662948724.99999988</v>
      </c>
      <c r="K26" s="60">
        <v>285298029</v>
      </c>
      <c r="L26" s="60">
        <v>12909278.999999998</v>
      </c>
      <c r="M26" s="60">
        <v>532058280</v>
      </c>
      <c r="N26" s="60">
        <v>202058279.99999997</v>
      </c>
      <c r="O26" s="60">
        <v>112254599.99999999</v>
      </c>
      <c r="P26" s="60">
        <v>112254599.99999999</v>
      </c>
      <c r="Q26" s="60">
        <v>443019030</v>
      </c>
      <c r="R26" s="60">
        <v>59809250</v>
      </c>
      <c r="S26" s="66">
        <v>2551420894</v>
      </c>
      <c r="T26" s="66">
        <v>1135598530.0000002</v>
      </c>
      <c r="U26" s="66">
        <v>1415822363.9999998</v>
      </c>
      <c r="V26" s="74">
        <v>1</v>
      </c>
      <c r="W26" s="75">
        <v>465842229.99999994</v>
      </c>
      <c r="X26" s="75">
        <v>365842229.99999994</v>
      </c>
      <c r="AA26" s="78"/>
    </row>
    <row r="27" spans="1:27" s="79" customFormat="1" ht="25.5" customHeight="1" x14ac:dyDescent="0.25">
      <c r="A27" s="72" t="s">
        <v>163</v>
      </c>
      <c r="B27" s="124" t="s">
        <v>270</v>
      </c>
      <c r="C27" s="60">
        <v>1632652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6">
        <v>1632652</v>
      </c>
      <c r="T27" s="66">
        <v>1632652</v>
      </c>
      <c r="U27" s="66">
        <v>0</v>
      </c>
      <c r="V27" s="74">
        <v>1</v>
      </c>
      <c r="W27" s="75">
        <v>1632652</v>
      </c>
      <c r="X27" s="75">
        <v>0</v>
      </c>
      <c r="AA27" s="78"/>
    </row>
    <row r="28" spans="1:27" s="79" customFormat="1" ht="25.5" customHeight="1" x14ac:dyDescent="0.25">
      <c r="A28" s="72" t="s">
        <v>167</v>
      </c>
      <c r="B28" s="124" t="s">
        <v>271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6">
        <v>0</v>
      </c>
      <c r="T28" s="66">
        <v>0</v>
      </c>
      <c r="U28" s="66">
        <v>0</v>
      </c>
      <c r="V28" s="74">
        <v>1</v>
      </c>
      <c r="W28" s="75">
        <v>0</v>
      </c>
      <c r="X28" s="75">
        <v>0</v>
      </c>
      <c r="AA28" s="78"/>
    </row>
    <row r="29" spans="1:27" s="79" customFormat="1" ht="25.5" customHeight="1" x14ac:dyDescent="0.25">
      <c r="A29" s="72" t="s">
        <v>272</v>
      </c>
      <c r="B29" s="124" t="s">
        <v>273</v>
      </c>
      <c r="C29" s="60">
        <v>264501</v>
      </c>
      <c r="D29" s="60">
        <v>264501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6">
        <v>264501</v>
      </c>
      <c r="T29" s="66">
        <v>0</v>
      </c>
      <c r="U29" s="66">
        <v>264501</v>
      </c>
      <c r="V29" s="74">
        <v>1</v>
      </c>
      <c r="W29" s="75">
        <v>264501</v>
      </c>
      <c r="X29" s="75">
        <v>264501</v>
      </c>
      <c r="AA29" s="78"/>
    </row>
    <row r="30" spans="1:27" s="79" customFormat="1" ht="25.5" customHeight="1" x14ac:dyDescent="0.25">
      <c r="A30" s="72" t="s">
        <v>274</v>
      </c>
      <c r="B30" s="124" t="s">
        <v>275</v>
      </c>
      <c r="C30" s="60">
        <v>2308034</v>
      </c>
      <c r="D30" s="60">
        <v>0</v>
      </c>
      <c r="E30" s="60">
        <v>29297400</v>
      </c>
      <c r="F30" s="60">
        <v>26638009</v>
      </c>
      <c r="G30" s="60">
        <v>258232211</v>
      </c>
      <c r="H30" s="60">
        <v>222077865</v>
      </c>
      <c r="I30" s="60">
        <v>637340331</v>
      </c>
      <c r="J30" s="60">
        <v>549147157</v>
      </c>
      <c r="K30" s="60">
        <v>448586336</v>
      </c>
      <c r="L30" s="60">
        <v>344189168</v>
      </c>
      <c r="M30" s="60">
        <v>324043751</v>
      </c>
      <c r="N30" s="60">
        <v>88259295</v>
      </c>
      <c r="O30" s="60">
        <v>673057454</v>
      </c>
      <c r="P30" s="60">
        <v>164690978</v>
      </c>
      <c r="Q30" s="60">
        <v>2595201248</v>
      </c>
      <c r="R30" s="60">
        <v>736297509</v>
      </c>
      <c r="S30" s="66">
        <v>4968066765</v>
      </c>
      <c r="T30" s="66">
        <v>2836766784</v>
      </c>
      <c r="U30" s="66">
        <v>2131299981</v>
      </c>
      <c r="V30" s="74">
        <v>0.05</v>
      </c>
      <c r="W30" s="75">
        <v>248403338.25000003</v>
      </c>
      <c r="X30" s="75">
        <v>106564999.05000001</v>
      </c>
      <c r="AA30" s="78"/>
    </row>
    <row r="31" spans="1:27" s="79" customFormat="1" ht="25.5" customHeight="1" x14ac:dyDescent="0.25">
      <c r="A31" s="72" t="s">
        <v>276</v>
      </c>
      <c r="B31" s="124" t="s">
        <v>87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6">
        <v>0</v>
      </c>
      <c r="T31" s="66">
        <v>0</v>
      </c>
      <c r="U31" s="66">
        <v>0</v>
      </c>
      <c r="V31" s="74">
        <v>1</v>
      </c>
      <c r="W31" s="75">
        <v>0</v>
      </c>
      <c r="X31" s="75">
        <v>0</v>
      </c>
      <c r="AA31" s="78"/>
    </row>
    <row r="32" spans="1:27" s="79" customFormat="1" ht="25.5" customHeight="1" x14ac:dyDescent="0.25">
      <c r="A32" s="72" t="s">
        <v>277</v>
      </c>
      <c r="B32" s="124" t="s">
        <v>278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>
        <v>50000000</v>
      </c>
      <c r="R32" s="60"/>
      <c r="S32" s="66">
        <v>50000000</v>
      </c>
      <c r="T32" s="66">
        <v>50000000</v>
      </c>
      <c r="U32" s="66">
        <v>0</v>
      </c>
      <c r="V32" s="74">
        <v>1</v>
      </c>
      <c r="W32" s="75">
        <v>0</v>
      </c>
      <c r="X32" s="75">
        <v>0</v>
      </c>
      <c r="AA32" s="78"/>
    </row>
    <row r="33" spans="1:27" s="79" customFormat="1" ht="24.75" customHeight="1" x14ac:dyDescent="0.25">
      <c r="A33" s="72" t="s">
        <v>279</v>
      </c>
      <c r="B33" s="128" t="s">
        <v>83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74"/>
      <c r="W33" s="75"/>
      <c r="X33" s="75"/>
      <c r="AA33" s="78"/>
    </row>
    <row r="34" spans="1:27" s="79" customFormat="1" ht="27" customHeight="1" x14ac:dyDescent="0.25">
      <c r="A34" s="72" t="s">
        <v>37</v>
      </c>
      <c r="B34" s="129" t="s">
        <v>280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6">
        <v>0</v>
      </c>
      <c r="T34" s="66">
        <v>0</v>
      </c>
      <c r="U34" s="66">
        <v>0</v>
      </c>
      <c r="V34" s="74">
        <v>1</v>
      </c>
      <c r="W34" s="75">
        <v>0</v>
      </c>
      <c r="X34" s="75">
        <v>0</v>
      </c>
      <c r="AA34" s="78"/>
    </row>
    <row r="35" spans="1:27" s="79" customFormat="1" ht="27" customHeight="1" x14ac:dyDescent="0.25">
      <c r="A35" s="72" t="s">
        <v>39</v>
      </c>
      <c r="B35" s="129" t="s">
        <v>281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6">
        <v>0</v>
      </c>
      <c r="T35" s="66">
        <v>0</v>
      </c>
      <c r="U35" s="66">
        <v>0</v>
      </c>
      <c r="V35" s="74">
        <v>1</v>
      </c>
      <c r="W35" s="75">
        <v>0</v>
      </c>
      <c r="X35" s="75">
        <v>0</v>
      </c>
      <c r="AA35" s="78"/>
    </row>
    <row r="36" spans="1:27" s="79" customFormat="1" ht="38.25" x14ac:dyDescent="0.25">
      <c r="A36" s="72" t="s">
        <v>282</v>
      </c>
      <c r="B36" s="124" t="s">
        <v>283</v>
      </c>
      <c r="C36" s="60">
        <v>37477</v>
      </c>
      <c r="D36" s="60">
        <v>0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120">
        <v>37477</v>
      </c>
      <c r="T36" s="120">
        <v>37477</v>
      </c>
      <c r="U36" s="120">
        <v>0</v>
      </c>
      <c r="V36" s="74">
        <v>1</v>
      </c>
      <c r="W36" s="75">
        <v>37477</v>
      </c>
      <c r="X36" s="75">
        <v>0</v>
      </c>
      <c r="AA36" s="78"/>
    </row>
    <row r="37" spans="1:27" s="79" customFormat="1" ht="25.5" customHeight="1" x14ac:dyDescent="0.25">
      <c r="A37" s="72" t="s">
        <v>284</v>
      </c>
      <c r="B37" s="124" t="s">
        <v>95</v>
      </c>
      <c r="C37" s="60">
        <v>67555</v>
      </c>
      <c r="D37" s="60">
        <v>0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120">
        <v>67555</v>
      </c>
      <c r="T37" s="120">
        <v>67555</v>
      </c>
      <c r="U37" s="120">
        <v>0</v>
      </c>
      <c r="V37" s="74">
        <v>1</v>
      </c>
      <c r="W37" s="75">
        <v>67555</v>
      </c>
      <c r="X37" s="75">
        <v>0</v>
      </c>
      <c r="AA37" s="78"/>
    </row>
    <row r="38" spans="1:27" s="79" customFormat="1" ht="25.5" customHeight="1" x14ac:dyDescent="0.25">
      <c r="A38" s="72" t="s">
        <v>285</v>
      </c>
      <c r="B38" s="124" t="s">
        <v>91</v>
      </c>
      <c r="C38" s="60">
        <v>92539281</v>
      </c>
      <c r="D38" s="60">
        <v>16350597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120">
        <v>92539281</v>
      </c>
      <c r="T38" s="120">
        <v>76188684</v>
      </c>
      <c r="U38" s="120">
        <v>16350597</v>
      </c>
      <c r="V38" s="74"/>
      <c r="W38" s="75">
        <v>92539281</v>
      </c>
      <c r="X38" s="75">
        <v>16350597</v>
      </c>
      <c r="AA38" s="78"/>
    </row>
    <row r="39" spans="1:27" s="79" customFormat="1" ht="25.5" customHeight="1" x14ac:dyDescent="0.25">
      <c r="A39" s="72" t="s">
        <v>286</v>
      </c>
      <c r="B39" s="124" t="s">
        <v>99</v>
      </c>
      <c r="C39" s="60">
        <v>65008629</v>
      </c>
      <c r="D39" s="60">
        <v>3182206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120">
        <v>65008629</v>
      </c>
      <c r="T39" s="120">
        <v>61826423</v>
      </c>
      <c r="U39" s="120">
        <v>3182206</v>
      </c>
      <c r="V39" s="74">
        <v>1</v>
      </c>
      <c r="W39" s="75">
        <v>65008629</v>
      </c>
      <c r="X39" s="75">
        <v>3182206</v>
      </c>
    </row>
    <row r="40" spans="1:27" s="133" customFormat="1" ht="24.75" customHeight="1" x14ac:dyDescent="0.25">
      <c r="A40" s="72" t="s">
        <v>202</v>
      </c>
      <c r="B40" s="126" t="s">
        <v>287</v>
      </c>
      <c r="C40" s="130">
        <v>1115825685</v>
      </c>
      <c r="D40" s="130">
        <v>64820503</v>
      </c>
      <c r="E40" s="130">
        <v>273917895</v>
      </c>
      <c r="F40" s="130">
        <v>51221329</v>
      </c>
      <c r="G40" s="130">
        <v>651458389</v>
      </c>
      <c r="H40" s="130">
        <v>566214344</v>
      </c>
      <c r="I40" s="130">
        <v>1504825300</v>
      </c>
      <c r="J40" s="130">
        <v>1218160520</v>
      </c>
      <c r="K40" s="130">
        <v>1251822538</v>
      </c>
      <c r="L40" s="130">
        <v>380049980</v>
      </c>
      <c r="M40" s="130">
        <v>1824179518</v>
      </c>
      <c r="N40" s="130">
        <v>501489191</v>
      </c>
      <c r="O40" s="130">
        <v>2398835573</v>
      </c>
      <c r="P40" s="130">
        <v>576035316</v>
      </c>
      <c r="Q40" s="130">
        <v>4117720986</v>
      </c>
      <c r="R40" s="130">
        <v>1076448030</v>
      </c>
      <c r="S40" s="130">
        <v>13138585884</v>
      </c>
      <c r="T40" s="130">
        <v>8704146671</v>
      </c>
      <c r="U40" s="130">
        <v>4434439213</v>
      </c>
      <c r="V40" s="131" t="s">
        <v>288</v>
      </c>
      <c r="W40" s="70">
        <v>1659917729.6499999</v>
      </c>
      <c r="X40" s="70">
        <v>597075182.64999986</v>
      </c>
      <c r="Y40" s="132">
        <v>13138585884</v>
      </c>
      <c r="Z40" s="132">
        <v>8704146671</v>
      </c>
      <c r="AA40" s="132">
        <v>4434439213</v>
      </c>
    </row>
    <row r="41" spans="1:27" s="79" customFormat="1" x14ac:dyDescent="0.25">
      <c r="A41" s="72"/>
      <c r="B41" s="134" t="s">
        <v>135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6">
        <v>0</v>
      </c>
      <c r="T41" s="66">
        <v>0</v>
      </c>
      <c r="U41" s="66">
        <v>0</v>
      </c>
      <c r="V41" s="74"/>
      <c r="W41" s="75"/>
      <c r="X41" s="75"/>
      <c r="Y41" s="78">
        <v>0</v>
      </c>
      <c r="Z41" s="78">
        <v>0</v>
      </c>
      <c r="AA41" s="78">
        <v>0</v>
      </c>
    </row>
    <row r="42" spans="1:27" s="79" customFormat="1" ht="30" x14ac:dyDescent="0.25">
      <c r="A42" s="72"/>
      <c r="B42" s="135" t="s">
        <v>289</v>
      </c>
      <c r="C42" s="66">
        <v>0</v>
      </c>
      <c r="D42" s="66">
        <v>0</v>
      </c>
      <c r="E42" s="66">
        <v>2659390.3705307036</v>
      </c>
      <c r="F42" s="66">
        <v>0</v>
      </c>
      <c r="G42" s="66">
        <v>2432494.8662913674</v>
      </c>
      <c r="H42" s="66">
        <v>0</v>
      </c>
      <c r="I42" s="66">
        <v>7566387.2498829197</v>
      </c>
      <c r="J42" s="66">
        <v>0</v>
      </c>
      <c r="K42" s="66">
        <v>8609462.010912668</v>
      </c>
      <c r="L42" s="66">
        <v>0</v>
      </c>
      <c r="M42" s="66">
        <v>20308884.435379695</v>
      </c>
      <c r="N42" s="66">
        <v>0</v>
      </c>
      <c r="O42" s="66">
        <v>16643668.358049866</v>
      </c>
      <c r="P42" s="66">
        <v>0</v>
      </c>
      <c r="Q42" s="66">
        <v>674864691.75055647</v>
      </c>
      <c r="R42" s="66">
        <v>168381899.99999997</v>
      </c>
      <c r="S42" s="66">
        <v>733084979.04160368</v>
      </c>
      <c r="T42" s="66">
        <v>564703079.04160368</v>
      </c>
      <c r="U42" s="66">
        <v>168381899.99999997</v>
      </c>
      <c r="V42" s="74"/>
      <c r="W42" s="75"/>
      <c r="X42" s="75"/>
      <c r="AA42" s="78"/>
    </row>
    <row r="43" spans="1:27" s="79" customFormat="1" ht="20.25" customHeight="1" x14ac:dyDescent="0.25">
      <c r="A43" s="72"/>
      <c r="B43" s="136" t="s">
        <v>290</v>
      </c>
      <c r="C43" s="60">
        <v>0</v>
      </c>
      <c r="D43" s="60">
        <v>0</v>
      </c>
      <c r="E43" s="60">
        <v>2659390.3705307036</v>
      </c>
      <c r="F43" s="60">
        <v>0</v>
      </c>
      <c r="G43" s="60">
        <v>2432494.8662913674</v>
      </c>
      <c r="H43" s="60">
        <v>0</v>
      </c>
      <c r="I43" s="60">
        <v>7566387.2498829197</v>
      </c>
      <c r="J43" s="60">
        <v>0</v>
      </c>
      <c r="K43" s="60">
        <v>8609462.010912668</v>
      </c>
      <c r="L43" s="60">
        <v>0</v>
      </c>
      <c r="M43" s="60">
        <v>20308884.435379695</v>
      </c>
      <c r="N43" s="60">
        <v>0</v>
      </c>
      <c r="O43" s="60">
        <v>16643668.358049866</v>
      </c>
      <c r="P43" s="60">
        <v>0</v>
      </c>
      <c r="Q43" s="60">
        <v>130291622.31803642</v>
      </c>
      <c r="R43" s="60">
        <v>0</v>
      </c>
      <c r="S43" s="66">
        <v>188511909.60908365</v>
      </c>
      <c r="T43" s="66">
        <v>188511909.60908365</v>
      </c>
      <c r="U43" s="66">
        <v>0</v>
      </c>
      <c r="V43" s="74"/>
      <c r="W43" s="75"/>
      <c r="X43" s="75"/>
      <c r="AA43" s="78"/>
    </row>
    <row r="44" spans="1:27" s="79" customFormat="1" ht="20.25" customHeight="1" x14ac:dyDescent="0.25">
      <c r="A44" s="72"/>
      <c r="B44" s="136" t="s">
        <v>291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>
        <v>544573069.43252003</v>
      </c>
      <c r="R44" s="60">
        <v>168381899.99999997</v>
      </c>
      <c r="S44" s="66">
        <v>544573069.43252003</v>
      </c>
      <c r="T44" s="66">
        <v>376191169.43252003</v>
      </c>
      <c r="U44" s="66">
        <v>168381899.99999997</v>
      </c>
      <c r="V44" s="74"/>
      <c r="W44" s="75"/>
      <c r="X44" s="75"/>
      <c r="Y44" s="79" t="s">
        <v>292</v>
      </c>
      <c r="AA44" s="78"/>
    </row>
    <row r="45" spans="1:27" s="79" customFormat="1" x14ac:dyDescent="0.25">
      <c r="A45" s="72"/>
      <c r="B45" s="137" t="s">
        <v>293</v>
      </c>
      <c r="C45" s="66">
        <v>0</v>
      </c>
      <c r="D45" s="66">
        <v>0</v>
      </c>
      <c r="E45" s="66">
        <v>2659390.3705307036</v>
      </c>
      <c r="F45" s="66">
        <v>0</v>
      </c>
      <c r="G45" s="66">
        <v>7402807.1661114385</v>
      </c>
      <c r="H45" s="66">
        <v>0</v>
      </c>
      <c r="I45" s="66">
        <v>25734023.925244916</v>
      </c>
      <c r="J45" s="66">
        <v>0</v>
      </c>
      <c r="K45" s="66">
        <v>23567535.473235331</v>
      </c>
      <c r="L45" s="66">
        <v>0</v>
      </c>
      <c r="M45" s="66">
        <v>48536221.079414763</v>
      </c>
      <c r="N45" s="66">
        <v>0</v>
      </c>
      <c r="O45" s="66">
        <v>42644533.038354307</v>
      </c>
      <c r="P45" s="66">
        <v>0</v>
      </c>
      <c r="Q45" s="66">
        <v>66978085.05283346</v>
      </c>
      <c r="R45" s="66">
        <v>0</v>
      </c>
      <c r="S45" s="66">
        <v>217522596.10572493</v>
      </c>
      <c r="T45" s="66">
        <v>217522596.10572493</v>
      </c>
      <c r="U45" s="66">
        <v>0</v>
      </c>
      <c r="V45" s="74"/>
      <c r="W45" s="75"/>
      <c r="X45" s="75"/>
      <c r="AA45" s="78"/>
    </row>
    <row r="46" spans="1:27" s="79" customFormat="1" ht="20.25" customHeight="1" x14ac:dyDescent="0.25">
      <c r="A46" s="72"/>
      <c r="B46" s="138" t="s">
        <v>290</v>
      </c>
      <c r="C46" s="60">
        <v>0</v>
      </c>
      <c r="D46" s="60">
        <v>0</v>
      </c>
      <c r="E46" s="60">
        <v>2659390.3705307036</v>
      </c>
      <c r="F46" s="60">
        <v>0</v>
      </c>
      <c r="G46" s="60">
        <v>7402807.1661114385</v>
      </c>
      <c r="H46" s="60">
        <v>0</v>
      </c>
      <c r="I46" s="60">
        <v>18184023.925244916</v>
      </c>
      <c r="J46" s="60">
        <v>0</v>
      </c>
      <c r="K46" s="60">
        <v>23567535.473235331</v>
      </c>
      <c r="L46" s="60">
        <v>0</v>
      </c>
      <c r="M46" s="60">
        <v>46190221.079414763</v>
      </c>
      <c r="N46" s="60">
        <v>0</v>
      </c>
      <c r="O46" s="60">
        <v>42644533.038354307</v>
      </c>
      <c r="P46" s="60">
        <v>0</v>
      </c>
      <c r="Q46" s="60">
        <v>66978085.05283346</v>
      </c>
      <c r="R46" s="60">
        <v>0</v>
      </c>
      <c r="S46" s="66">
        <v>207626596.10572493</v>
      </c>
      <c r="T46" s="66">
        <v>207626596.10572493</v>
      </c>
      <c r="U46" s="66">
        <v>0</v>
      </c>
      <c r="V46" s="74"/>
      <c r="W46" s="75"/>
      <c r="X46" s="75"/>
      <c r="AA46" s="78"/>
    </row>
    <row r="47" spans="1:27" s="79" customFormat="1" ht="20.25" customHeight="1" x14ac:dyDescent="0.25">
      <c r="A47" s="139"/>
      <c r="B47" s="138" t="s">
        <v>291</v>
      </c>
      <c r="C47" s="60"/>
      <c r="D47" s="60"/>
      <c r="E47" s="60"/>
      <c r="F47" s="60"/>
      <c r="G47" s="60"/>
      <c r="H47" s="60"/>
      <c r="I47" s="60">
        <v>7550000</v>
      </c>
      <c r="J47" s="60"/>
      <c r="K47" s="60"/>
      <c r="L47" s="60"/>
      <c r="M47" s="60">
        <v>2346000</v>
      </c>
      <c r="N47" s="60"/>
      <c r="O47" s="60"/>
      <c r="P47" s="60"/>
      <c r="Q47" s="60"/>
      <c r="R47" s="60"/>
      <c r="S47" s="66">
        <v>9896000</v>
      </c>
      <c r="T47" s="66">
        <v>9896000</v>
      </c>
      <c r="U47" s="66">
        <v>0</v>
      </c>
      <c r="V47" s="74"/>
      <c r="W47" s="75"/>
      <c r="X47" s="75"/>
      <c r="AA47" s="78"/>
    </row>
    <row r="48" spans="1:27" s="79" customFormat="1" ht="25.5" x14ac:dyDescent="0.25">
      <c r="A48" s="139"/>
      <c r="B48" s="137" t="s">
        <v>294</v>
      </c>
      <c r="C48" s="66">
        <v>0</v>
      </c>
      <c r="D48" s="66">
        <v>0</v>
      </c>
      <c r="E48" s="66">
        <v>2659390.3705307036</v>
      </c>
      <c r="F48" s="66">
        <v>0</v>
      </c>
      <c r="G48" s="66">
        <v>11966067.963511366</v>
      </c>
      <c r="H48" s="66">
        <v>0</v>
      </c>
      <c r="I48" s="66">
        <v>36710918.382341288</v>
      </c>
      <c r="J48" s="66">
        <v>0</v>
      </c>
      <c r="K48" s="66">
        <v>16811818.267747946</v>
      </c>
      <c r="L48" s="66">
        <v>0</v>
      </c>
      <c r="M48" s="66">
        <v>66907548.055627234</v>
      </c>
      <c r="N48" s="66">
        <v>0</v>
      </c>
      <c r="O48" s="66">
        <v>305521192.74987942</v>
      </c>
      <c r="P48" s="66">
        <v>0</v>
      </c>
      <c r="Q48" s="66">
        <v>1089031217.1746988</v>
      </c>
      <c r="R48" s="66">
        <v>0</v>
      </c>
      <c r="S48" s="66">
        <v>1529608152.9643369</v>
      </c>
      <c r="T48" s="66">
        <v>1529608152.9643369</v>
      </c>
      <c r="U48" s="66">
        <v>0</v>
      </c>
      <c r="V48" s="74"/>
      <c r="W48" s="75"/>
      <c r="X48" s="75"/>
      <c r="AA48" s="78"/>
    </row>
    <row r="49" spans="1:30" s="79" customFormat="1" ht="20.25" customHeight="1" x14ac:dyDescent="0.25">
      <c r="A49" s="139"/>
      <c r="B49" s="138" t="s">
        <v>290</v>
      </c>
      <c r="C49" s="60">
        <v>0</v>
      </c>
      <c r="D49" s="60">
        <v>0</v>
      </c>
      <c r="E49" s="60">
        <v>2659390.3705307036</v>
      </c>
      <c r="F49" s="60">
        <v>0</v>
      </c>
      <c r="G49" s="60">
        <v>11966067.963511366</v>
      </c>
      <c r="H49" s="60">
        <v>0</v>
      </c>
      <c r="I49" s="60">
        <v>36710918.382341288</v>
      </c>
      <c r="J49" s="60">
        <v>0</v>
      </c>
      <c r="K49" s="60">
        <v>16811818.267747946</v>
      </c>
      <c r="L49" s="60">
        <v>0</v>
      </c>
      <c r="M49" s="60">
        <v>66907548.055627234</v>
      </c>
      <c r="N49" s="60">
        <v>0</v>
      </c>
      <c r="O49" s="60">
        <v>305521192.74987942</v>
      </c>
      <c r="P49" s="60">
        <v>0</v>
      </c>
      <c r="Q49" s="60">
        <v>1089031217.1746988</v>
      </c>
      <c r="R49" s="60">
        <v>0</v>
      </c>
      <c r="S49" s="66">
        <v>1529608152.9643369</v>
      </c>
      <c r="T49" s="66">
        <v>1529608152.9643369</v>
      </c>
      <c r="U49" s="66">
        <v>0</v>
      </c>
      <c r="V49" s="74"/>
      <c r="W49" s="75"/>
      <c r="X49" s="75"/>
      <c r="AA49" s="78"/>
    </row>
    <row r="50" spans="1:30" s="79" customFormat="1" ht="20.25" customHeight="1" x14ac:dyDescent="0.25">
      <c r="A50" s="139"/>
      <c r="B50" s="138" t="s">
        <v>291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6">
        <v>0</v>
      </c>
      <c r="T50" s="66">
        <v>0</v>
      </c>
      <c r="U50" s="66">
        <v>0</v>
      </c>
      <c r="V50" s="74"/>
      <c r="W50" s="75"/>
      <c r="X50" s="75"/>
      <c r="AA50" s="78"/>
    </row>
    <row r="51" spans="1:30" s="79" customFormat="1" ht="20.25" customHeight="1" x14ac:dyDescent="0.25">
      <c r="A51" s="139"/>
      <c r="B51" s="137" t="s">
        <v>295</v>
      </c>
      <c r="C51" s="66">
        <v>0</v>
      </c>
      <c r="D51" s="66">
        <v>0</v>
      </c>
      <c r="E51" s="66">
        <v>2659390.3705307036</v>
      </c>
      <c r="F51" s="66">
        <v>0</v>
      </c>
      <c r="G51" s="66">
        <v>204890388.38741526</v>
      </c>
      <c r="H51" s="66">
        <v>203368764.86834833</v>
      </c>
      <c r="I51" s="66">
        <v>518067460.77550316</v>
      </c>
      <c r="J51" s="66">
        <v>512410113.8217333</v>
      </c>
      <c r="K51" s="66">
        <v>95880264.893333524</v>
      </c>
      <c r="L51" s="66">
        <v>90179557.73669669</v>
      </c>
      <c r="M51" s="66">
        <v>47535660.661581859</v>
      </c>
      <c r="N51" s="66">
        <v>33237239.59008161</v>
      </c>
      <c r="O51" s="66">
        <v>11283770.44731418</v>
      </c>
      <c r="P51" s="66">
        <v>7726209.443466533</v>
      </c>
      <c r="Q51" s="66">
        <v>262043528.84353974</v>
      </c>
      <c r="R51" s="66">
        <v>261790511.06566626</v>
      </c>
      <c r="S51" s="66">
        <v>1142360464.3792186</v>
      </c>
      <c r="T51" s="66">
        <v>33648067.853225946</v>
      </c>
      <c r="U51" s="66">
        <v>1108712396.5259926</v>
      </c>
      <c r="V51" s="74"/>
      <c r="W51" s="75"/>
      <c r="X51" s="75"/>
      <c r="AA51" s="78"/>
    </row>
    <row r="52" spans="1:30" s="79" customFormat="1" ht="20.25" customHeight="1" x14ac:dyDescent="0.25">
      <c r="A52" s="139"/>
      <c r="B52" s="138" t="s">
        <v>290</v>
      </c>
      <c r="C52" s="60">
        <v>0</v>
      </c>
      <c r="D52" s="60">
        <v>0</v>
      </c>
      <c r="E52" s="60">
        <v>2659390.3705307036</v>
      </c>
      <c r="F52" s="60">
        <v>0</v>
      </c>
      <c r="G52" s="60">
        <v>204890388.38741526</v>
      </c>
      <c r="H52" s="60">
        <v>203368764.86834833</v>
      </c>
      <c r="I52" s="60">
        <v>518067460.77550316</v>
      </c>
      <c r="J52" s="60">
        <v>512410113.8217333</v>
      </c>
      <c r="K52" s="60">
        <v>95880264.893333524</v>
      </c>
      <c r="L52" s="60">
        <v>90179557.73669669</v>
      </c>
      <c r="M52" s="60">
        <v>47535660.661581859</v>
      </c>
      <c r="N52" s="60">
        <v>33237239.59008161</v>
      </c>
      <c r="O52" s="60">
        <v>11283770.44731418</v>
      </c>
      <c r="P52" s="60">
        <v>7726209.443466533</v>
      </c>
      <c r="Q52" s="60">
        <v>262043528.84353974</v>
      </c>
      <c r="R52" s="60">
        <v>261790511.06566626</v>
      </c>
      <c r="S52" s="66">
        <v>1142360464.3792186</v>
      </c>
      <c r="T52" s="66">
        <v>33648067.853225946</v>
      </c>
      <c r="U52" s="66">
        <v>1108712396.5259926</v>
      </c>
      <c r="V52" s="74"/>
      <c r="W52" s="75"/>
      <c r="X52" s="75"/>
      <c r="AA52" s="78"/>
    </row>
    <row r="53" spans="1:30" s="79" customFormat="1" ht="20.25" customHeight="1" x14ac:dyDescent="0.25">
      <c r="A53" s="139"/>
      <c r="B53" s="138" t="s">
        <v>291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6">
        <v>0</v>
      </c>
      <c r="T53" s="66">
        <v>0</v>
      </c>
      <c r="U53" s="66">
        <v>0</v>
      </c>
      <c r="V53" s="74"/>
      <c r="W53" s="75"/>
      <c r="X53" s="75"/>
      <c r="AA53" s="78"/>
    </row>
    <row r="54" spans="1:30" s="79" customFormat="1" ht="25.5" x14ac:dyDescent="0.25">
      <c r="A54" s="139"/>
      <c r="B54" s="137" t="s">
        <v>296</v>
      </c>
      <c r="C54" s="66">
        <v>2308034.352</v>
      </c>
      <c r="D54" s="66">
        <v>0</v>
      </c>
      <c r="E54" s="66">
        <v>29297399.5417271</v>
      </c>
      <c r="F54" s="66">
        <v>26638009.171196397</v>
      </c>
      <c r="G54" s="66">
        <v>20230723.593903322</v>
      </c>
      <c r="H54" s="66">
        <v>18709100.074836399</v>
      </c>
      <c r="I54" s="66">
        <v>42394390.085537106</v>
      </c>
      <c r="J54" s="66">
        <v>36737043.131767243</v>
      </c>
      <c r="K54" s="66">
        <v>91328417.391680226</v>
      </c>
      <c r="L54" s="66">
        <v>85627710.235043392</v>
      </c>
      <c r="M54" s="66">
        <v>52573898.267060116</v>
      </c>
      <c r="N54" s="66">
        <v>38275477.195559867</v>
      </c>
      <c r="O54" s="66">
        <v>127029172.62451017</v>
      </c>
      <c r="P54" s="66">
        <v>123471611.62066253</v>
      </c>
      <c r="Q54" s="66">
        <v>340787386.99052745</v>
      </c>
      <c r="R54" s="66">
        <v>340534369.21265399</v>
      </c>
      <c r="S54" s="66">
        <v>705949422.84694552</v>
      </c>
      <c r="T54" s="66">
        <v>35956102.205225706</v>
      </c>
      <c r="U54" s="66">
        <v>669993320.64171982</v>
      </c>
      <c r="V54" s="74"/>
      <c r="W54" s="75"/>
      <c r="X54" s="75"/>
      <c r="AA54" s="78"/>
    </row>
    <row r="55" spans="1:30" s="79" customFormat="1" ht="20.25" customHeight="1" x14ac:dyDescent="0.25">
      <c r="A55" s="139"/>
      <c r="B55" s="138" t="s">
        <v>290</v>
      </c>
      <c r="C55" s="60">
        <v>2308034.352</v>
      </c>
      <c r="D55" s="60">
        <v>0</v>
      </c>
      <c r="E55" s="60">
        <v>29297399.5417271</v>
      </c>
      <c r="F55" s="60">
        <v>26638009.171196397</v>
      </c>
      <c r="G55" s="60">
        <v>20230723.593903322</v>
      </c>
      <c r="H55" s="60">
        <v>18709100.074836399</v>
      </c>
      <c r="I55" s="60">
        <v>42394390.085537106</v>
      </c>
      <c r="J55" s="60">
        <v>36737043.131767243</v>
      </c>
      <c r="K55" s="60">
        <v>91328417.391680226</v>
      </c>
      <c r="L55" s="60">
        <v>85627710.235043392</v>
      </c>
      <c r="M55" s="60">
        <v>52573898.267060116</v>
      </c>
      <c r="N55" s="60">
        <v>38275477.195559867</v>
      </c>
      <c r="O55" s="60">
        <v>127029172.62451017</v>
      </c>
      <c r="P55" s="60">
        <v>123471611.62066253</v>
      </c>
      <c r="Q55" s="60">
        <v>340787386.99052745</v>
      </c>
      <c r="R55" s="60">
        <v>340534369.21265399</v>
      </c>
      <c r="S55" s="66">
        <v>705949422.84694552</v>
      </c>
      <c r="T55" s="66">
        <v>35956102.205225706</v>
      </c>
      <c r="U55" s="66">
        <v>669993320.64171982</v>
      </c>
      <c r="V55" s="74"/>
      <c r="W55" s="75"/>
      <c r="X55" s="75"/>
      <c r="AA55" s="78"/>
    </row>
    <row r="56" spans="1:30" s="79" customFormat="1" ht="20.25" customHeight="1" x14ac:dyDescent="0.25">
      <c r="A56" s="139"/>
      <c r="B56" s="138" t="s">
        <v>291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6">
        <v>0</v>
      </c>
      <c r="T56" s="66">
        <v>0</v>
      </c>
      <c r="U56" s="66">
        <v>0</v>
      </c>
      <c r="V56" s="74"/>
      <c r="W56" s="75"/>
      <c r="X56" s="75"/>
      <c r="AA56" s="78"/>
    </row>
    <row r="57" spans="1:30" s="141" customFormat="1" x14ac:dyDescent="0.2">
      <c r="A57" s="88"/>
      <c r="B57" s="140"/>
      <c r="V57" s="142"/>
      <c r="W57" s="143"/>
      <c r="X57" s="143"/>
      <c r="AA57" s="144"/>
    </row>
    <row r="58" spans="1:30" s="2" customFormat="1" ht="15" customHeight="1" x14ac:dyDescent="0.2">
      <c r="A58" s="12"/>
      <c r="B58" s="45" t="s">
        <v>129</v>
      </c>
      <c r="C58" s="12"/>
      <c r="D58" s="12"/>
      <c r="E58" s="12"/>
      <c r="F58" s="11"/>
      <c r="G58" s="11"/>
      <c r="H58" s="11"/>
      <c r="I58" s="11"/>
      <c r="J58" s="11"/>
      <c r="K58" s="11"/>
      <c r="L58" s="11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s="2" customFormat="1" ht="11.25" customHeight="1" x14ac:dyDescent="0.2">
      <c r="A59" s="12"/>
      <c r="B59" s="45"/>
      <c r="C59" s="12"/>
      <c r="D59" s="12"/>
      <c r="E59" s="12"/>
      <c r="F59" s="11"/>
      <c r="G59" s="11"/>
      <c r="H59" s="11"/>
      <c r="I59" s="11"/>
      <c r="J59" s="11"/>
      <c r="K59" s="11"/>
      <c r="L59" s="11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s="2" customFormat="1" ht="15" customHeight="1" x14ac:dyDescent="0.2">
      <c r="A60" s="12"/>
      <c r="B60" s="45" t="s">
        <v>130</v>
      </c>
      <c r="C60" s="12"/>
      <c r="D60" s="12"/>
      <c r="E60" s="12"/>
      <c r="F60" s="11"/>
      <c r="G60" s="11"/>
      <c r="H60" s="11"/>
      <c r="I60" s="11"/>
      <c r="J60" s="11"/>
      <c r="K60" s="11"/>
      <c r="L60" s="11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s="141" customFormat="1" x14ac:dyDescent="0.2">
      <c r="A61" s="88"/>
      <c r="B61" s="140"/>
      <c r="V61" s="142"/>
      <c r="W61" s="143"/>
      <c r="X61" s="143"/>
      <c r="AA61" s="145"/>
    </row>
  </sheetData>
  <mergeCells count="14">
    <mergeCell ref="A3:A5"/>
    <mergeCell ref="B3:B5"/>
    <mergeCell ref="C3:R3"/>
    <mergeCell ref="S3:S5"/>
    <mergeCell ref="T3:U4"/>
    <mergeCell ref="V3:X4"/>
    <mergeCell ref="C4:D4"/>
    <mergeCell ref="E4:F4"/>
    <mergeCell ref="G4:H4"/>
    <mergeCell ref="I4:J4"/>
    <mergeCell ref="K4:L4"/>
    <mergeCell ref="M4:N4"/>
    <mergeCell ref="O4:P4"/>
    <mergeCell ref="Q4:R4"/>
  </mergeCells>
  <conditionalFormatting sqref="Z40">
    <cfRule type="cellIs" dxfId="312" priority="313" operator="notEqual">
      <formula>$T$40</formula>
    </cfRule>
  </conditionalFormatting>
  <conditionalFormatting sqref="D7 F7 N15 F27:F29 D27:D29 R27:R29 P27:P29 N27:N29 L27:L29 J27:J29 H27:H29 D15:D17 H15:H25 J15:J25 L15:L25 P15:P25 R15:R25 F15:F25 N18:N25 D19:D25">
    <cfRule type="cellIs" dxfId="311" priority="312" operator="greaterThan">
      <formula>C7</formula>
    </cfRule>
  </conditionalFormatting>
  <conditionalFormatting sqref="D42:D48 F42:F48 F53:F54 D53:D54 F50:F51 D50:D51 D56 F56">
    <cfRule type="cellIs" dxfId="310" priority="311" operator="greaterThan">
      <formula>C42</formula>
    </cfRule>
  </conditionalFormatting>
  <conditionalFormatting sqref="H7">
    <cfRule type="cellIs" dxfId="309" priority="310" operator="greaterThan">
      <formula>G7</formula>
    </cfRule>
  </conditionalFormatting>
  <conditionalFormatting sqref="H42:H48 H53:H54 H50:H51 H56">
    <cfRule type="cellIs" dxfId="308" priority="309" operator="greaterThan">
      <formula>G42</formula>
    </cfRule>
  </conditionalFormatting>
  <conditionalFormatting sqref="J7">
    <cfRule type="cellIs" dxfId="307" priority="308" operator="greaterThan">
      <formula>I7</formula>
    </cfRule>
  </conditionalFormatting>
  <conditionalFormatting sqref="J42:J48 J53:J54 J50:J51 J56">
    <cfRule type="cellIs" dxfId="306" priority="307" operator="greaterThan">
      <formula>I42</formula>
    </cfRule>
  </conditionalFormatting>
  <conditionalFormatting sqref="L7">
    <cfRule type="cellIs" dxfId="305" priority="306" operator="greaterThan">
      <formula>K7</formula>
    </cfRule>
  </conditionalFormatting>
  <conditionalFormatting sqref="L42:L48 L53:L54 L50:L51 L56">
    <cfRule type="cellIs" dxfId="304" priority="305" operator="greaterThan">
      <formula>K42</formula>
    </cfRule>
  </conditionalFormatting>
  <conditionalFormatting sqref="N7">
    <cfRule type="cellIs" dxfId="303" priority="304" operator="greaterThan">
      <formula>M7</formula>
    </cfRule>
  </conditionalFormatting>
  <conditionalFormatting sqref="N42:N48 N53:N54 N50:N51 N56">
    <cfRule type="cellIs" dxfId="302" priority="303" operator="greaterThan">
      <formula>M42</formula>
    </cfRule>
  </conditionalFormatting>
  <conditionalFormatting sqref="P7">
    <cfRule type="cellIs" dxfId="301" priority="302" operator="greaterThan">
      <formula>O7</formula>
    </cfRule>
  </conditionalFormatting>
  <conditionalFormatting sqref="P42 P44:P48 P53:P54 P50:P51 P56">
    <cfRule type="cellIs" dxfId="300" priority="301" operator="greaterThan">
      <formula>O42</formula>
    </cfRule>
  </conditionalFormatting>
  <conditionalFormatting sqref="R7">
    <cfRule type="cellIs" dxfId="299" priority="300" operator="greaterThan">
      <formula>Q7</formula>
    </cfRule>
  </conditionalFormatting>
  <conditionalFormatting sqref="R42 R44:R48 R53:R54 R50:R51 R56">
    <cfRule type="cellIs" dxfId="298" priority="299" operator="greaterThan">
      <formula>Q42</formula>
    </cfRule>
  </conditionalFormatting>
  <conditionalFormatting sqref="F7">
    <cfRule type="cellIs" dxfId="297" priority="298" operator="greaterThan">
      <formula>E7</formula>
    </cfRule>
  </conditionalFormatting>
  <conditionalFormatting sqref="F42:F48 F53:F54 F50:F51 F56">
    <cfRule type="cellIs" dxfId="296" priority="297" operator="greaterThan">
      <formula>E42</formula>
    </cfRule>
  </conditionalFormatting>
  <conditionalFormatting sqref="AA40">
    <cfRule type="cellIs" dxfId="295" priority="296" operator="notEqual">
      <formula>$U$40</formula>
    </cfRule>
  </conditionalFormatting>
  <conditionalFormatting sqref="Y40">
    <cfRule type="cellIs" dxfId="294" priority="295" operator="notEqual">
      <formula>$S$40</formula>
    </cfRule>
  </conditionalFormatting>
  <conditionalFormatting sqref="H8:H11 J8:J11 L8:L11 N8:N11 P8:P11 R8:R11 D8:D10 F8:F11">
    <cfRule type="cellIs" dxfId="293" priority="294" operator="greaterThan">
      <formula>C8</formula>
    </cfRule>
  </conditionalFormatting>
  <conditionalFormatting sqref="H8">
    <cfRule type="cellIs" dxfId="292" priority="293" operator="greaterThan">
      <formula>G8</formula>
    </cfRule>
  </conditionalFormatting>
  <conditionalFormatting sqref="J8">
    <cfRule type="cellIs" dxfId="291" priority="292" operator="greaterThan">
      <formula>I8</formula>
    </cfRule>
  </conditionalFormatting>
  <conditionalFormatting sqref="L8">
    <cfRule type="cellIs" dxfId="290" priority="291" operator="greaterThan">
      <formula>K8</formula>
    </cfRule>
  </conditionalFormatting>
  <conditionalFormatting sqref="N8">
    <cfRule type="cellIs" dxfId="289" priority="290" operator="greaterThan">
      <formula>M8</formula>
    </cfRule>
  </conditionalFormatting>
  <conditionalFormatting sqref="P8">
    <cfRule type="cellIs" dxfId="288" priority="289" operator="greaterThan">
      <formula>O8</formula>
    </cfRule>
  </conditionalFormatting>
  <conditionalFormatting sqref="R8">
    <cfRule type="cellIs" dxfId="287" priority="288" operator="greaterThan">
      <formula>Q8</formula>
    </cfRule>
  </conditionalFormatting>
  <conditionalFormatting sqref="H8 J8 L8 N8 P8 R8">
    <cfRule type="cellIs" dxfId="286" priority="287" operator="greaterThan">
      <formula>G8</formula>
    </cfRule>
  </conditionalFormatting>
  <conditionalFormatting sqref="H8 J8 L8 P8 R8 N8">
    <cfRule type="cellIs" dxfId="285" priority="286" operator="greaterThan">
      <formula>G8</formula>
    </cfRule>
  </conditionalFormatting>
  <conditionalFormatting sqref="F8">
    <cfRule type="cellIs" dxfId="284" priority="285" operator="greaterThan">
      <formula>E8</formula>
    </cfRule>
  </conditionalFormatting>
  <conditionalFormatting sqref="F8">
    <cfRule type="cellIs" dxfId="283" priority="284" operator="greaterThan">
      <formula>E8</formula>
    </cfRule>
  </conditionalFormatting>
  <conditionalFormatting sqref="F8">
    <cfRule type="cellIs" dxfId="282" priority="283" operator="greaterThan">
      <formula>E8</formula>
    </cfRule>
  </conditionalFormatting>
  <conditionalFormatting sqref="F8">
    <cfRule type="cellIs" dxfId="281" priority="282" operator="greaterThan">
      <formula>E8</formula>
    </cfRule>
  </conditionalFormatting>
  <conditionalFormatting sqref="H9">
    <cfRule type="cellIs" dxfId="280" priority="281" operator="greaterThan">
      <formula>G9</formula>
    </cfRule>
  </conditionalFormatting>
  <conditionalFormatting sqref="J9">
    <cfRule type="cellIs" dxfId="279" priority="280" operator="greaterThan">
      <formula>I9</formula>
    </cfRule>
  </conditionalFormatting>
  <conditionalFormatting sqref="L9">
    <cfRule type="cellIs" dxfId="278" priority="279" operator="greaterThan">
      <formula>K9</formula>
    </cfRule>
  </conditionalFormatting>
  <conditionalFormatting sqref="N9">
    <cfRule type="cellIs" dxfId="277" priority="278" operator="greaterThan">
      <formula>M9</formula>
    </cfRule>
  </conditionalFormatting>
  <conditionalFormatting sqref="P9">
    <cfRule type="cellIs" dxfId="276" priority="277" operator="greaterThan">
      <formula>O9</formula>
    </cfRule>
  </conditionalFormatting>
  <conditionalFormatting sqref="R9">
    <cfRule type="cellIs" dxfId="275" priority="276" operator="greaterThan">
      <formula>Q9</formula>
    </cfRule>
  </conditionalFormatting>
  <conditionalFormatting sqref="H9 J9 L9 N9 P9 R9">
    <cfRule type="cellIs" dxfId="274" priority="275" operator="greaterThan">
      <formula>G9</formula>
    </cfRule>
  </conditionalFormatting>
  <conditionalFormatting sqref="H9 J9 L9 P9 R9 N9">
    <cfRule type="cellIs" dxfId="273" priority="274" operator="greaterThan">
      <formula>G9</formula>
    </cfRule>
  </conditionalFormatting>
  <conditionalFormatting sqref="F9">
    <cfRule type="cellIs" dxfId="272" priority="273" operator="greaterThan">
      <formula>E9</formula>
    </cfRule>
  </conditionalFormatting>
  <conditionalFormatting sqref="F9">
    <cfRule type="cellIs" dxfId="271" priority="272" operator="greaterThan">
      <formula>E9</formula>
    </cfRule>
  </conditionalFormatting>
  <conditionalFormatting sqref="F9">
    <cfRule type="cellIs" dxfId="270" priority="271" operator="greaterThan">
      <formula>E9</formula>
    </cfRule>
  </conditionalFormatting>
  <conditionalFormatting sqref="F9">
    <cfRule type="cellIs" dxfId="269" priority="270" operator="greaterThan">
      <formula>E9</formula>
    </cfRule>
  </conditionalFormatting>
  <conditionalFormatting sqref="H11">
    <cfRule type="cellIs" dxfId="268" priority="269" operator="greaterThan">
      <formula>G11</formula>
    </cfRule>
  </conditionalFormatting>
  <conditionalFormatting sqref="J11">
    <cfRule type="cellIs" dxfId="267" priority="268" operator="greaterThan">
      <formula>I11</formula>
    </cfRule>
  </conditionalFormatting>
  <conditionalFormatting sqref="L11">
    <cfRule type="cellIs" dxfId="266" priority="267" operator="greaterThan">
      <formula>K11</formula>
    </cfRule>
  </conditionalFormatting>
  <conditionalFormatting sqref="N11">
    <cfRule type="cellIs" dxfId="265" priority="266" operator="greaterThan">
      <formula>M11</formula>
    </cfRule>
  </conditionalFormatting>
  <conditionalFormatting sqref="P11">
    <cfRule type="cellIs" dxfId="264" priority="265" operator="greaterThan">
      <formula>O11</formula>
    </cfRule>
  </conditionalFormatting>
  <conditionalFormatting sqref="R11">
    <cfRule type="cellIs" dxfId="263" priority="264" operator="greaterThan">
      <formula>Q11</formula>
    </cfRule>
  </conditionalFormatting>
  <conditionalFormatting sqref="H11 J11 L11 N11 P11 R11">
    <cfRule type="cellIs" dxfId="262" priority="263" operator="greaterThan">
      <formula>G11</formula>
    </cfRule>
  </conditionalFormatting>
  <conditionalFormatting sqref="H11 J11 L11 P11 R11 N11">
    <cfRule type="cellIs" dxfId="261" priority="262" operator="greaterThan">
      <formula>G11</formula>
    </cfRule>
  </conditionalFormatting>
  <conditionalFormatting sqref="F11">
    <cfRule type="cellIs" dxfId="260" priority="261" operator="greaterThan">
      <formula>E11</formula>
    </cfRule>
  </conditionalFormatting>
  <conditionalFormatting sqref="F11">
    <cfRule type="cellIs" dxfId="259" priority="260" operator="greaterThan">
      <formula>E11</formula>
    </cfRule>
  </conditionalFormatting>
  <conditionalFormatting sqref="F11">
    <cfRule type="cellIs" dxfId="258" priority="259" operator="greaterThan">
      <formula>E11</formula>
    </cfRule>
  </conditionalFormatting>
  <conditionalFormatting sqref="F11">
    <cfRule type="cellIs" dxfId="257" priority="258" operator="greaterThan">
      <formula>E11</formula>
    </cfRule>
  </conditionalFormatting>
  <conditionalFormatting sqref="N16:N17">
    <cfRule type="cellIs" dxfId="256" priority="257" operator="greaterThan">
      <formula>M16</formula>
    </cfRule>
  </conditionalFormatting>
  <conditionalFormatting sqref="H16">
    <cfRule type="cellIs" dxfId="255" priority="256" operator="greaterThan">
      <formula>G16</formula>
    </cfRule>
  </conditionalFormatting>
  <conditionalFormatting sqref="J16">
    <cfRule type="cellIs" dxfId="254" priority="255" operator="greaterThan">
      <formula>I16</formula>
    </cfRule>
  </conditionalFormatting>
  <conditionalFormatting sqref="L16">
    <cfRule type="cellIs" dxfId="253" priority="254" operator="greaterThan">
      <formula>K16</formula>
    </cfRule>
  </conditionalFormatting>
  <conditionalFormatting sqref="N16">
    <cfRule type="cellIs" dxfId="252" priority="253" operator="greaterThan">
      <formula>M16</formula>
    </cfRule>
  </conditionalFormatting>
  <conditionalFormatting sqref="P16">
    <cfRule type="cellIs" dxfId="251" priority="252" operator="greaterThan">
      <formula>O16</formula>
    </cfRule>
  </conditionalFormatting>
  <conditionalFormatting sqref="R16">
    <cfRule type="cellIs" dxfId="250" priority="251" operator="greaterThan">
      <formula>Q16</formula>
    </cfRule>
  </conditionalFormatting>
  <conditionalFormatting sqref="H16 J16 L16 N16 P16 R16">
    <cfRule type="cellIs" dxfId="249" priority="250" operator="greaterThan">
      <formula>G16</formula>
    </cfRule>
  </conditionalFormatting>
  <conditionalFormatting sqref="H16 J16 L16 P16 R16 N16">
    <cfRule type="cellIs" dxfId="248" priority="249" operator="greaterThan">
      <formula>G16</formula>
    </cfRule>
  </conditionalFormatting>
  <conditionalFormatting sqref="F16">
    <cfRule type="cellIs" dxfId="247" priority="248" operator="greaterThan">
      <formula>E16</formula>
    </cfRule>
  </conditionalFormatting>
  <conditionalFormatting sqref="F16">
    <cfRule type="cellIs" dxfId="246" priority="247" operator="greaterThan">
      <formula>E16</formula>
    </cfRule>
  </conditionalFormatting>
  <conditionalFormatting sqref="F16">
    <cfRule type="cellIs" dxfId="245" priority="246" operator="greaterThan">
      <formula>E16</formula>
    </cfRule>
  </conditionalFormatting>
  <conditionalFormatting sqref="F16">
    <cfRule type="cellIs" dxfId="244" priority="245" operator="greaterThan">
      <formula>E16</formula>
    </cfRule>
  </conditionalFormatting>
  <conditionalFormatting sqref="H17">
    <cfRule type="cellIs" dxfId="243" priority="244" operator="greaterThan">
      <formula>G17</formula>
    </cfRule>
  </conditionalFormatting>
  <conditionalFormatting sqref="J17">
    <cfRule type="cellIs" dxfId="242" priority="243" operator="greaterThan">
      <formula>I17</formula>
    </cfRule>
  </conditionalFormatting>
  <conditionalFormatting sqref="L17">
    <cfRule type="cellIs" dxfId="241" priority="242" operator="greaterThan">
      <formula>K17</formula>
    </cfRule>
  </conditionalFormatting>
  <conditionalFormatting sqref="N17">
    <cfRule type="cellIs" dxfId="240" priority="241" operator="greaterThan">
      <formula>M17</formula>
    </cfRule>
  </conditionalFormatting>
  <conditionalFormatting sqref="P17">
    <cfRule type="cellIs" dxfId="239" priority="240" operator="greaterThan">
      <formula>O17</formula>
    </cfRule>
  </conditionalFormatting>
  <conditionalFormatting sqref="R17">
    <cfRule type="cellIs" dxfId="238" priority="239" operator="greaterThan">
      <formula>Q17</formula>
    </cfRule>
  </conditionalFormatting>
  <conditionalFormatting sqref="H17 J17 L17 N17 P17 R17">
    <cfRule type="cellIs" dxfId="237" priority="238" operator="greaterThan">
      <formula>G17</formula>
    </cfRule>
  </conditionalFormatting>
  <conditionalFormatting sqref="H17 J17 L17 P17 R17 N17">
    <cfRule type="cellIs" dxfId="236" priority="237" operator="greaterThan">
      <formula>G17</formula>
    </cfRule>
  </conditionalFormatting>
  <conditionalFormatting sqref="F17">
    <cfRule type="cellIs" dxfId="235" priority="236" operator="greaterThan">
      <formula>E17</formula>
    </cfRule>
  </conditionalFormatting>
  <conditionalFormatting sqref="F17">
    <cfRule type="cellIs" dxfId="234" priority="235" operator="greaterThan">
      <formula>E17</formula>
    </cfRule>
  </conditionalFormatting>
  <conditionalFormatting sqref="F17">
    <cfRule type="cellIs" dxfId="233" priority="234" operator="greaterThan">
      <formula>E17</formula>
    </cfRule>
  </conditionalFormatting>
  <conditionalFormatting sqref="F17">
    <cfRule type="cellIs" dxfId="232" priority="233" operator="greaterThan">
      <formula>E17</formula>
    </cfRule>
  </conditionalFormatting>
  <conditionalFormatting sqref="H19">
    <cfRule type="cellIs" dxfId="231" priority="232" operator="greaterThan">
      <formula>G19</formula>
    </cfRule>
  </conditionalFormatting>
  <conditionalFormatting sqref="J19">
    <cfRule type="cellIs" dxfId="230" priority="231" operator="greaterThan">
      <formula>I19</formula>
    </cfRule>
  </conditionalFormatting>
  <conditionalFormatting sqref="L19">
    <cfRule type="cellIs" dxfId="229" priority="230" operator="greaterThan">
      <formula>K19</formula>
    </cfRule>
  </conditionalFormatting>
  <conditionalFormatting sqref="N19">
    <cfRule type="cellIs" dxfId="228" priority="229" operator="greaterThan">
      <formula>M19</formula>
    </cfRule>
  </conditionalFormatting>
  <conditionalFormatting sqref="P19">
    <cfRule type="cellIs" dxfId="227" priority="228" operator="greaterThan">
      <formula>O19</formula>
    </cfRule>
  </conditionalFormatting>
  <conditionalFormatting sqref="R19">
    <cfRule type="cellIs" dxfId="226" priority="227" operator="greaterThan">
      <formula>Q19</formula>
    </cfRule>
  </conditionalFormatting>
  <conditionalFormatting sqref="H19 J19 L19 N19 P19 R19">
    <cfRule type="cellIs" dxfId="225" priority="226" operator="greaterThan">
      <formula>G19</formula>
    </cfRule>
  </conditionalFormatting>
  <conditionalFormatting sqref="H19 J19 L19 P19 R19 N19">
    <cfRule type="cellIs" dxfId="224" priority="225" operator="greaterThan">
      <formula>G19</formula>
    </cfRule>
  </conditionalFormatting>
  <conditionalFormatting sqref="F19">
    <cfRule type="cellIs" dxfId="223" priority="224" operator="greaterThan">
      <formula>E19</formula>
    </cfRule>
  </conditionalFormatting>
  <conditionalFormatting sqref="F19">
    <cfRule type="cellIs" dxfId="222" priority="223" operator="greaterThan">
      <formula>E19</formula>
    </cfRule>
  </conditionalFormatting>
  <conditionalFormatting sqref="F19">
    <cfRule type="cellIs" dxfId="221" priority="222" operator="greaterThan">
      <formula>E19</formula>
    </cfRule>
  </conditionalFormatting>
  <conditionalFormatting sqref="F19">
    <cfRule type="cellIs" dxfId="220" priority="221" operator="greaterThan">
      <formula>E19</formula>
    </cfRule>
  </conditionalFormatting>
  <conditionalFormatting sqref="H26 J26 L26 N26 P26 R26 D26 F26">
    <cfRule type="cellIs" dxfId="219" priority="220" operator="greaterThan">
      <formula>C26</formula>
    </cfRule>
  </conditionalFormatting>
  <conditionalFormatting sqref="H26 J26 L26 N26 P26 R26 D26 F26">
    <cfRule type="cellIs" dxfId="218" priority="219" operator="greaterThan">
      <formula>C26</formula>
    </cfRule>
  </conditionalFormatting>
  <conditionalFormatting sqref="H26">
    <cfRule type="cellIs" dxfId="217" priority="218" operator="greaterThan">
      <formula>G26</formula>
    </cfRule>
  </conditionalFormatting>
  <conditionalFormatting sqref="J26">
    <cfRule type="cellIs" dxfId="216" priority="217" operator="greaterThan">
      <formula>I26</formula>
    </cfRule>
  </conditionalFormatting>
  <conditionalFormatting sqref="L26">
    <cfRule type="cellIs" dxfId="215" priority="216" operator="greaterThan">
      <formula>K26</formula>
    </cfRule>
  </conditionalFormatting>
  <conditionalFormatting sqref="N26">
    <cfRule type="cellIs" dxfId="214" priority="215" operator="greaterThan">
      <formula>M26</formula>
    </cfRule>
  </conditionalFormatting>
  <conditionalFormatting sqref="P26">
    <cfRule type="cellIs" dxfId="213" priority="214" operator="greaterThan">
      <formula>O26</formula>
    </cfRule>
  </conditionalFormatting>
  <conditionalFormatting sqref="R26">
    <cfRule type="cellIs" dxfId="212" priority="213" operator="greaterThan">
      <formula>Q26</formula>
    </cfRule>
  </conditionalFormatting>
  <conditionalFormatting sqref="H26 J26 L26 N26 P26 R26">
    <cfRule type="cellIs" dxfId="211" priority="212" operator="greaterThan">
      <formula>G26</formula>
    </cfRule>
  </conditionalFormatting>
  <conditionalFormatting sqref="H26 J26 L26 P26 R26 N26">
    <cfRule type="cellIs" dxfId="210" priority="211" operator="greaterThan">
      <formula>G26</formula>
    </cfRule>
  </conditionalFormatting>
  <conditionalFormatting sqref="F26">
    <cfRule type="cellIs" dxfId="209" priority="210" operator="greaterThan">
      <formula>E26</formula>
    </cfRule>
  </conditionalFormatting>
  <conditionalFormatting sqref="F26">
    <cfRule type="cellIs" dxfId="208" priority="209" operator="greaterThan">
      <formula>E26</formula>
    </cfRule>
  </conditionalFormatting>
  <conditionalFormatting sqref="F26">
    <cfRule type="cellIs" dxfId="207" priority="208" operator="greaterThan">
      <formula>E26</formula>
    </cfRule>
  </conditionalFormatting>
  <conditionalFormatting sqref="F26">
    <cfRule type="cellIs" dxfId="206" priority="207" operator="greaterThan">
      <formula>E26</formula>
    </cfRule>
  </conditionalFormatting>
  <conditionalFormatting sqref="H32 J32 L32 N32 P32 R32 D32 F32">
    <cfRule type="cellIs" dxfId="205" priority="206" operator="greaterThan">
      <formula>C32</formula>
    </cfRule>
  </conditionalFormatting>
  <conditionalFormatting sqref="H32">
    <cfRule type="cellIs" dxfId="204" priority="205" operator="greaterThan">
      <formula>G32</formula>
    </cfRule>
  </conditionalFormatting>
  <conditionalFormatting sqref="J32">
    <cfRule type="cellIs" dxfId="203" priority="204" operator="greaterThan">
      <formula>I32</formula>
    </cfRule>
  </conditionalFormatting>
  <conditionalFormatting sqref="L32">
    <cfRule type="cellIs" dxfId="202" priority="203" operator="greaterThan">
      <formula>K32</formula>
    </cfRule>
  </conditionalFormatting>
  <conditionalFormatting sqref="N32">
    <cfRule type="cellIs" dxfId="201" priority="202" operator="greaterThan">
      <formula>M32</formula>
    </cfRule>
  </conditionalFormatting>
  <conditionalFormatting sqref="P32">
    <cfRule type="cellIs" dxfId="200" priority="201" operator="greaterThan">
      <formula>O32</formula>
    </cfRule>
  </conditionalFormatting>
  <conditionalFormatting sqref="R32">
    <cfRule type="cellIs" dxfId="199" priority="200" operator="greaterThan">
      <formula>Q32</formula>
    </cfRule>
  </conditionalFormatting>
  <conditionalFormatting sqref="H32 J32 L32 N32 P32 R32">
    <cfRule type="cellIs" dxfId="198" priority="199" operator="greaterThan">
      <formula>G32</formula>
    </cfRule>
  </conditionalFormatting>
  <conditionalFormatting sqref="H32 J32 L32 P32 R32 N32">
    <cfRule type="cellIs" dxfId="197" priority="198" operator="greaterThan">
      <formula>G32</formula>
    </cfRule>
  </conditionalFormatting>
  <conditionalFormatting sqref="F32">
    <cfRule type="cellIs" dxfId="196" priority="197" operator="greaterThan">
      <formula>E32</formula>
    </cfRule>
  </conditionalFormatting>
  <conditionalFormatting sqref="F32">
    <cfRule type="cellIs" dxfId="195" priority="196" operator="greaterThan">
      <formula>E32</formula>
    </cfRule>
  </conditionalFormatting>
  <conditionalFormatting sqref="F32">
    <cfRule type="cellIs" dxfId="194" priority="195" operator="greaterThan">
      <formula>E32</formula>
    </cfRule>
  </conditionalFormatting>
  <conditionalFormatting sqref="F32">
    <cfRule type="cellIs" dxfId="193" priority="194" operator="greaterThan">
      <formula>E32</formula>
    </cfRule>
  </conditionalFormatting>
  <conditionalFormatting sqref="F13:F14 D13 R13:R14 P13:P14 N13 L13 J13 H13">
    <cfRule type="cellIs" dxfId="192" priority="193" operator="greaterThan">
      <formula>C13</formula>
    </cfRule>
  </conditionalFormatting>
  <conditionalFormatting sqref="H13">
    <cfRule type="cellIs" dxfId="191" priority="192" operator="greaterThan">
      <formula>G13</formula>
    </cfRule>
  </conditionalFormatting>
  <conditionalFormatting sqref="J13">
    <cfRule type="cellIs" dxfId="190" priority="191" operator="greaterThan">
      <formula>I13</formula>
    </cfRule>
  </conditionalFormatting>
  <conditionalFormatting sqref="L13">
    <cfRule type="cellIs" dxfId="189" priority="190" operator="greaterThan">
      <formula>K13</formula>
    </cfRule>
  </conditionalFormatting>
  <conditionalFormatting sqref="N13">
    <cfRule type="cellIs" dxfId="188" priority="189" operator="greaterThan">
      <formula>M13</formula>
    </cfRule>
  </conditionalFormatting>
  <conditionalFormatting sqref="P13">
    <cfRule type="cellIs" dxfId="187" priority="188" operator="greaterThan">
      <formula>O13</formula>
    </cfRule>
  </conditionalFormatting>
  <conditionalFormatting sqref="R13">
    <cfRule type="cellIs" dxfId="186" priority="187" operator="greaterThan">
      <formula>Q13</formula>
    </cfRule>
  </conditionalFormatting>
  <conditionalFormatting sqref="H13 J13 L13 N13 P13 R13">
    <cfRule type="cellIs" dxfId="185" priority="186" operator="greaterThan">
      <formula>G13</formula>
    </cfRule>
  </conditionalFormatting>
  <conditionalFormatting sqref="H13 J13 L13 P13 R13 N13">
    <cfRule type="cellIs" dxfId="184" priority="185" operator="greaterThan">
      <formula>G13</formula>
    </cfRule>
  </conditionalFormatting>
  <conditionalFormatting sqref="F13">
    <cfRule type="cellIs" dxfId="183" priority="184" operator="greaterThan">
      <formula>E13</formula>
    </cfRule>
  </conditionalFormatting>
  <conditionalFormatting sqref="F13">
    <cfRule type="cellIs" dxfId="182" priority="183" operator="greaterThan">
      <formula>E13</formula>
    </cfRule>
  </conditionalFormatting>
  <conditionalFormatting sqref="F13">
    <cfRule type="cellIs" dxfId="181" priority="182" operator="greaterThan">
      <formula>E13</formula>
    </cfRule>
  </conditionalFormatting>
  <conditionalFormatting sqref="F13">
    <cfRule type="cellIs" dxfId="180" priority="181" operator="greaterThan">
      <formula>E13</formula>
    </cfRule>
  </conditionalFormatting>
  <conditionalFormatting sqref="P14">
    <cfRule type="cellIs" dxfId="179" priority="180" operator="greaterThan">
      <formula>O14</formula>
    </cfRule>
  </conditionalFormatting>
  <conditionalFormatting sqref="R14">
    <cfRule type="cellIs" dxfId="178" priority="179" operator="greaterThan">
      <formula>Q14</formula>
    </cfRule>
  </conditionalFormatting>
  <conditionalFormatting sqref="P14 R14">
    <cfRule type="cellIs" dxfId="177" priority="178" operator="greaterThan">
      <formula>O14</formula>
    </cfRule>
  </conditionalFormatting>
  <conditionalFormatting sqref="P14 R14">
    <cfRule type="cellIs" dxfId="176" priority="177" operator="greaterThan">
      <formula>O14</formula>
    </cfRule>
  </conditionalFormatting>
  <conditionalFormatting sqref="F14">
    <cfRule type="cellIs" dxfId="175" priority="176" operator="greaterThan">
      <formula>E14</formula>
    </cfRule>
  </conditionalFormatting>
  <conditionalFormatting sqref="F14">
    <cfRule type="cellIs" dxfId="174" priority="175" operator="greaterThan">
      <formula>E14</formula>
    </cfRule>
  </conditionalFormatting>
  <conditionalFormatting sqref="F14">
    <cfRule type="cellIs" dxfId="173" priority="174" operator="greaterThan">
      <formula>E14</formula>
    </cfRule>
  </conditionalFormatting>
  <conditionalFormatting sqref="F14">
    <cfRule type="cellIs" dxfId="172" priority="173" operator="greaterThan">
      <formula>E14</formula>
    </cfRule>
  </conditionalFormatting>
  <conditionalFormatting sqref="H14">
    <cfRule type="cellIs" dxfId="171" priority="172" operator="greaterThan">
      <formula>G14</formula>
    </cfRule>
  </conditionalFormatting>
  <conditionalFormatting sqref="H14">
    <cfRule type="cellIs" dxfId="170" priority="171" operator="greaterThan">
      <formula>G14</formula>
    </cfRule>
  </conditionalFormatting>
  <conditionalFormatting sqref="H14">
    <cfRule type="cellIs" dxfId="169" priority="170" operator="greaterThan">
      <formula>G14</formula>
    </cfRule>
  </conditionalFormatting>
  <conditionalFormatting sqref="H14">
    <cfRule type="cellIs" dxfId="168" priority="169" operator="greaterThan">
      <formula>G14</formula>
    </cfRule>
  </conditionalFormatting>
  <conditionalFormatting sqref="D14">
    <cfRule type="cellIs" dxfId="167" priority="168" operator="greaterThan">
      <formula>C14</formula>
    </cfRule>
  </conditionalFormatting>
  <conditionalFormatting sqref="D14">
    <cfRule type="cellIs" dxfId="166" priority="167" operator="greaterThan">
      <formula>C14</formula>
    </cfRule>
  </conditionalFormatting>
  <conditionalFormatting sqref="D14">
    <cfRule type="cellIs" dxfId="165" priority="166" operator="greaterThan">
      <formula>C14</formula>
    </cfRule>
  </conditionalFormatting>
  <conditionalFormatting sqref="D14">
    <cfRule type="cellIs" dxfId="164" priority="165" operator="greaterThan">
      <formula>C14</formula>
    </cfRule>
  </conditionalFormatting>
  <conditionalFormatting sqref="N14">
    <cfRule type="cellIs" dxfId="163" priority="164" operator="greaterThan">
      <formula>M14</formula>
    </cfRule>
  </conditionalFormatting>
  <conditionalFormatting sqref="N14">
    <cfRule type="cellIs" dxfId="162" priority="163" operator="greaterThan">
      <formula>M14</formula>
    </cfRule>
  </conditionalFormatting>
  <conditionalFormatting sqref="N14">
    <cfRule type="cellIs" dxfId="161" priority="162" operator="greaterThan">
      <formula>M14</formula>
    </cfRule>
  </conditionalFormatting>
  <conditionalFormatting sqref="N14">
    <cfRule type="cellIs" dxfId="160" priority="161" operator="greaterThan">
      <formula>M14</formula>
    </cfRule>
  </conditionalFormatting>
  <conditionalFormatting sqref="L14">
    <cfRule type="cellIs" dxfId="159" priority="160" operator="greaterThan">
      <formula>K14</formula>
    </cfRule>
  </conditionalFormatting>
  <conditionalFormatting sqref="L14">
    <cfRule type="cellIs" dxfId="158" priority="159" operator="greaterThan">
      <formula>K14</formula>
    </cfRule>
  </conditionalFormatting>
  <conditionalFormatting sqref="L14">
    <cfRule type="cellIs" dxfId="157" priority="158" operator="greaterThan">
      <formula>K14</formula>
    </cfRule>
  </conditionalFormatting>
  <conditionalFormatting sqref="L14">
    <cfRule type="cellIs" dxfId="156" priority="157" operator="greaterThan">
      <formula>K14</formula>
    </cfRule>
  </conditionalFormatting>
  <conditionalFormatting sqref="J14">
    <cfRule type="cellIs" dxfId="155" priority="156" operator="greaterThan">
      <formula>I14</formula>
    </cfRule>
  </conditionalFormatting>
  <conditionalFormatting sqref="J14">
    <cfRule type="cellIs" dxfId="154" priority="155" operator="greaterThan">
      <formula>I14</formula>
    </cfRule>
  </conditionalFormatting>
  <conditionalFormatting sqref="J14">
    <cfRule type="cellIs" dxfId="153" priority="154" operator="greaterThan">
      <formula>I14</formula>
    </cfRule>
  </conditionalFormatting>
  <conditionalFormatting sqref="J14">
    <cfRule type="cellIs" dxfId="152" priority="153" operator="greaterThan">
      <formula>I14</formula>
    </cfRule>
  </conditionalFormatting>
  <conditionalFormatting sqref="P43 R43">
    <cfRule type="cellIs" dxfId="151" priority="152" operator="greaterThan">
      <formula>O43</formula>
    </cfRule>
  </conditionalFormatting>
  <conditionalFormatting sqref="S40">
    <cfRule type="cellIs" dxfId="150" priority="151" operator="notEqual">
      <formula>Y40</formula>
    </cfRule>
  </conditionalFormatting>
  <conditionalFormatting sqref="T40:U40">
    <cfRule type="cellIs" dxfId="149" priority="150" operator="notEqual">
      <formula>Z40</formula>
    </cfRule>
  </conditionalFormatting>
  <conditionalFormatting sqref="S20">
    <cfRule type="cellIs" dxfId="148" priority="149" operator="notEqual">
      <formula>Y20</formula>
    </cfRule>
  </conditionalFormatting>
  <conditionalFormatting sqref="T20:U20">
    <cfRule type="cellIs" dxfId="147" priority="148" operator="notEqual">
      <formula>Z20</formula>
    </cfRule>
  </conditionalFormatting>
  <conditionalFormatting sqref="H30 J30 L30 N30 P30 R30 D30 F30">
    <cfRule type="cellIs" dxfId="146" priority="147" operator="greaterThan">
      <formula>C30</formula>
    </cfRule>
  </conditionalFormatting>
  <conditionalFormatting sqref="H30 J30 L30 N30 P30 R30 D30 F30">
    <cfRule type="cellIs" dxfId="145" priority="146" operator="greaterThan">
      <formula>C30</formula>
    </cfRule>
  </conditionalFormatting>
  <conditionalFormatting sqref="H30">
    <cfRule type="cellIs" dxfId="144" priority="145" operator="greaterThan">
      <formula>G30</formula>
    </cfRule>
  </conditionalFormatting>
  <conditionalFormatting sqref="J30">
    <cfRule type="cellIs" dxfId="143" priority="144" operator="greaterThan">
      <formula>I30</formula>
    </cfRule>
  </conditionalFormatting>
  <conditionalFormatting sqref="L30">
    <cfRule type="cellIs" dxfId="142" priority="143" operator="greaterThan">
      <formula>K30</formula>
    </cfRule>
  </conditionalFormatting>
  <conditionalFormatting sqref="N30">
    <cfRule type="cellIs" dxfId="141" priority="142" operator="greaterThan">
      <formula>M30</formula>
    </cfRule>
  </conditionalFormatting>
  <conditionalFormatting sqref="P30">
    <cfRule type="cellIs" dxfId="140" priority="141" operator="greaterThan">
      <formula>O30</formula>
    </cfRule>
  </conditionalFormatting>
  <conditionalFormatting sqref="R30">
    <cfRule type="cellIs" dxfId="139" priority="140" operator="greaterThan">
      <formula>Q30</formula>
    </cfRule>
  </conditionalFormatting>
  <conditionalFormatting sqref="H30 J30 L30 N30 P30 R30">
    <cfRule type="cellIs" dxfId="138" priority="139" operator="greaterThan">
      <formula>G30</formula>
    </cfRule>
  </conditionalFormatting>
  <conditionalFormatting sqref="H30 J30 L30 P30 R30 N30">
    <cfRule type="cellIs" dxfId="137" priority="138" operator="greaterThan">
      <formula>G30</formula>
    </cfRule>
  </conditionalFormatting>
  <conditionalFormatting sqref="F30">
    <cfRule type="cellIs" dxfId="136" priority="137" operator="greaterThan">
      <formula>E30</formula>
    </cfRule>
  </conditionalFormatting>
  <conditionalFormatting sqref="F30">
    <cfRule type="cellIs" dxfId="135" priority="136" operator="greaterThan">
      <formula>E30</formula>
    </cfRule>
  </conditionalFormatting>
  <conditionalFormatting sqref="F30">
    <cfRule type="cellIs" dxfId="134" priority="135" operator="greaterThan">
      <formula>E30</formula>
    </cfRule>
  </conditionalFormatting>
  <conditionalFormatting sqref="F30">
    <cfRule type="cellIs" dxfId="133" priority="134" operator="greaterThan">
      <formula>E30</formula>
    </cfRule>
  </conditionalFormatting>
  <conditionalFormatting sqref="H31 J31 L31 N31 P31 R31 D31 F31">
    <cfRule type="cellIs" dxfId="132" priority="133" operator="greaterThan">
      <formula>C31</formula>
    </cfRule>
  </conditionalFormatting>
  <conditionalFormatting sqref="H31 J31 L31 N31 P31 R31 D31 F31">
    <cfRule type="cellIs" dxfId="131" priority="132" operator="greaterThan">
      <formula>C31</formula>
    </cfRule>
  </conditionalFormatting>
  <conditionalFormatting sqref="H31">
    <cfRule type="cellIs" dxfId="130" priority="131" operator="greaterThan">
      <formula>G31</formula>
    </cfRule>
  </conditionalFormatting>
  <conditionalFormatting sqref="J31">
    <cfRule type="cellIs" dxfId="129" priority="130" operator="greaterThan">
      <formula>I31</formula>
    </cfRule>
  </conditionalFormatting>
  <conditionalFormatting sqref="L31">
    <cfRule type="cellIs" dxfId="128" priority="129" operator="greaterThan">
      <formula>K31</formula>
    </cfRule>
  </conditionalFormatting>
  <conditionalFormatting sqref="N31">
    <cfRule type="cellIs" dxfId="127" priority="128" operator="greaterThan">
      <formula>M31</formula>
    </cfRule>
  </conditionalFormatting>
  <conditionalFormatting sqref="P31">
    <cfRule type="cellIs" dxfId="126" priority="127" operator="greaterThan">
      <formula>O31</formula>
    </cfRule>
  </conditionalFormatting>
  <conditionalFormatting sqref="R31">
    <cfRule type="cellIs" dxfId="125" priority="126" operator="greaterThan">
      <formula>Q31</formula>
    </cfRule>
  </conditionalFormatting>
  <conditionalFormatting sqref="H31 J31 L31 N31 P31 R31">
    <cfRule type="cellIs" dxfId="124" priority="125" operator="greaterThan">
      <formula>G31</formula>
    </cfRule>
  </conditionalFormatting>
  <conditionalFormatting sqref="H31 J31 L31 P31 R31 N31">
    <cfRule type="cellIs" dxfId="123" priority="124" operator="greaterThan">
      <formula>G31</formula>
    </cfRule>
  </conditionalFormatting>
  <conditionalFormatting sqref="F31">
    <cfRule type="cellIs" dxfId="122" priority="123" operator="greaterThan">
      <formula>E31</formula>
    </cfRule>
  </conditionalFormatting>
  <conditionalFormatting sqref="F31">
    <cfRule type="cellIs" dxfId="121" priority="122" operator="greaterThan">
      <formula>E31</formula>
    </cfRule>
  </conditionalFormatting>
  <conditionalFormatting sqref="F31">
    <cfRule type="cellIs" dxfId="120" priority="121" operator="greaterThan">
      <formula>E31</formula>
    </cfRule>
  </conditionalFormatting>
  <conditionalFormatting sqref="F31">
    <cfRule type="cellIs" dxfId="119" priority="120" operator="greaterThan">
      <formula>E31</formula>
    </cfRule>
  </conditionalFormatting>
  <conditionalFormatting sqref="H33 J33 L33 N33 P33 R33 D33 F33">
    <cfRule type="cellIs" dxfId="118" priority="119" operator="greaterThan">
      <formula>C33</formula>
    </cfRule>
  </conditionalFormatting>
  <conditionalFormatting sqref="H33 J33 L33 N33 P33 R33 D33 F33">
    <cfRule type="cellIs" dxfId="117" priority="118" operator="greaterThan">
      <formula>C33</formula>
    </cfRule>
  </conditionalFormatting>
  <conditionalFormatting sqref="H33">
    <cfRule type="cellIs" dxfId="116" priority="117" operator="greaterThan">
      <formula>G33</formula>
    </cfRule>
  </conditionalFormatting>
  <conditionalFormatting sqref="J33">
    <cfRule type="cellIs" dxfId="115" priority="116" operator="greaterThan">
      <formula>I33</formula>
    </cfRule>
  </conditionalFormatting>
  <conditionalFormatting sqref="L33">
    <cfRule type="cellIs" dxfId="114" priority="115" operator="greaterThan">
      <formula>K33</formula>
    </cfRule>
  </conditionalFormatting>
  <conditionalFormatting sqref="N33">
    <cfRule type="cellIs" dxfId="113" priority="114" operator="greaterThan">
      <formula>M33</formula>
    </cfRule>
  </conditionalFormatting>
  <conditionalFormatting sqref="P33">
    <cfRule type="cellIs" dxfId="112" priority="113" operator="greaterThan">
      <formula>O33</formula>
    </cfRule>
  </conditionalFormatting>
  <conditionalFormatting sqref="R33">
    <cfRule type="cellIs" dxfId="111" priority="112" operator="greaterThan">
      <formula>Q33</formula>
    </cfRule>
  </conditionalFormatting>
  <conditionalFormatting sqref="H33 J33 L33 N33 P33 R33">
    <cfRule type="cellIs" dxfId="110" priority="111" operator="greaterThan">
      <formula>G33</formula>
    </cfRule>
  </conditionalFormatting>
  <conditionalFormatting sqref="H33 J33 L33 P33 R33 N33">
    <cfRule type="cellIs" dxfId="109" priority="110" operator="greaterThan">
      <formula>G33</formula>
    </cfRule>
  </conditionalFormatting>
  <conditionalFormatting sqref="F33">
    <cfRule type="cellIs" dxfId="108" priority="109" operator="greaterThan">
      <formula>E33</formula>
    </cfRule>
  </conditionalFormatting>
  <conditionalFormatting sqref="F33">
    <cfRule type="cellIs" dxfId="107" priority="108" operator="greaterThan">
      <formula>E33</formula>
    </cfRule>
  </conditionalFormatting>
  <conditionalFormatting sqref="F33">
    <cfRule type="cellIs" dxfId="106" priority="107" operator="greaterThan">
      <formula>E33</formula>
    </cfRule>
  </conditionalFormatting>
  <conditionalFormatting sqref="F33">
    <cfRule type="cellIs" dxfId="105" priority="106" operator="greaterThan">
      <formula>E33</formula>
    </cfRule>
  </conditionalFormatting>
  <conditionalFormatting sqref="H36 J36 L36 N36 P36 R36 D36 F36">
    <cfRule type="cellIs" dxfId="104" priority="105" operator="greaterThan">
      <formula>C36</formula>
    </cfRule>
  </conditionalFormatting>
  <conditionalFormatting sqref="H36 J36 L36 N36 P36 R36 D36 F36">
    <cfRule type="cellIs" dxfId="103" priority="104" operator="greaterThan">
      <formula>C36</formula>
    </cfRule>
  </conditionalFormatting>
  <conditionalFormatting sqref="H36">
    <cfRule type="cellIs" dxfId="102" priority="103" operator="greaterThan">
      <formula>G36</formula>
    </cfRule>
  </conditionalFormatting>
  <conditionalFormatting sqref="J36">
    <cfRule type="cellIs" dxfId="101" priority="102" operator="greaterThan">
      <formula>I36</formula>
    </cfRule>
  </conditionalFormatting>
  <conditionalFormatting sqref="L36">
    <cfRule type="cellIs" dxfId="100" priority="101" operator="greaterThan">
      <formula>K36</formula>
    </cfRule>
  </conditionalFormatting>
  <conditionalFormatting sqref="N36">
    <cfRule type="cellIs" dxfId="99" priority="100" operator="greaterThan">
      <formula>M36</formula>
    </cfRule>
  </conditionalFormatting>
  <conditionalFormatting sqref="P36">
    <cfRule type="cellIs" dxfId="98" priority="99" operator="greaterThan">
      <formula>O36</formula>
    </cfRule>
  </conditionalFormatting>
  <conditionalFormatting sqref="R36">
    <cfRule type="cellIs" dxfId="97" priority="98" operator="greaterThan">
      <formula>Q36</formula>
    </cfRule>
  </conditionalFormatting>
  <conditionalFormatting sqref="H36 J36 L36 N36 P36 R36">
    <cfRule type="cellIs" dxfId="96" priority="97" operator="greaterThan">
      <formula>G36</formula>
    </cfRule>
  </conditionalFormatting>
  <conditionalFormatting sqref="H36 J36 L36 P36 R36 N36">
    <cfRule type="cellIs" dxfId="95" priority="96" operator="greaterThan">
      <formula>G36</formula>
    </cfRule>
  </conditionalFormatting>
  <conditionalFormatting sqref="F36">
    <cfRule type="cellIs" dxfId="94" priority="95" operator="greaterThan">
      <formula>E36</formula>
    </cfRule>
  </conditionalFormatting>
  <conditionalFormatting sqref="F36">
    <cfRule type="cellIs" dxfId="93" priority="94" operator="greaterThan">
      <formula>E36</formula>
    </cfRule>
  </conditionalFormatting>
  <conditionalFormatting sqref="F36">
    <cfRule type="cellIs" dxfId="92" priority="93" operator="greaterThan">
      <formula>E36</formula>
    </cfRule>
  </conditionalFormatting>
  <conditionalFormatting sqref="F36">
    <cfRule type="cellIs" dxfId="91" priority="92" operator="greaterThan">
      <formula>E36</formula>
    </cfRule>
  </conditionalFormatting>
  <conditionalFormatting sqref="H37 J37 L37 N37 P37 R37 F37">
    <cfRule type="cellIs" dxfId="90" priority="91" operator="greaterThan">
      <formula>E37</formula>
    </cfRule>
  </conditionalFormatting>
  <conditionalFormatting sqref="H37 J37 L37 N37 P37 R37 F37">
    <cfRule type="cellIs" dxfId="89" priority="90" operator="greaterThan">
      <formula>E37</formula>
    </cfRule>
  </conditionalFormatting>
  <conditionalFormatting sqref="H37">
    <cfRule type="cellIs" dxfId="88" priority="89" operator="greaterThan">
      <formula>G37</formula>
    </cfRule>
  </conditionalFormatting>
  <conditionalFormatting sqref="J37">
    <cfRule type="cellIs" dxfId="87" priority="88" operator="greaterThan">
      <formula>I37</formula>
    </cfRule>
  </conditionalFormatting>
  <conditionalFormatting sqref="L37">
    <cfRule type="cellIs" dxfId="86" priority="87" operator="greaterThan">
      <formula>K37</formula>
    </cfRule>
  </conditionalFormatting>
  <conditionalFormatting sqref="N37">
    <cfRule type="cellIs" dxfId="85" priority="86" operator="greaterThan">
      <formula>M37</formula>
    </cfRule>
  </conditionalFormatting>
  <conditionalFormatting sqref="P37">
    <cfRule type="cellIs" dxfId="84" priority="85" operator="greaterThan">
      <formula>O37</formula>
    </cfRule>
  </conditionalFormatting>
  <conditionalFormatting sqref="R37">
    <cfRule type="cellIs" dxfId="83" priority="84" operator="greaterThan">
      <formula>Q37</formula>
    </cfRule>
  </conditionalFormatting>
  <conditionalFormatting sqref="H37 J37 L37 N37 P37 R37">
    <cfRule type="cellIs" dxfId="82" priority="83" operator="greaterThan">
      <formula>G37</formula>
    </cfRule>
  </conditionalFormatting>
  <conditionalFormatting sqref="H37 J37 L37 P37 R37 N37">
    <cfRule type="cellIs" dxfId="81" priority="82" operator="greaterThan">
      <formula>G37</formula>
    </cfRule>
  </conditionalFormatting>
  <conditionalFormatting sqref="F37">
    <cfRule type="cellIs" dxfId="80" priority="81" operator="greaterThan">
      <formula>E37</formula>
    </cfRule>
  </conditionalFormatting>
  <conditionalFormatting sqref="F37">
    <cfRule type="cellIs" dxfId="79" priority="80" operator="greaterThan">
      <formula>E37</formula>
    </cfRule>
  </conditionalFormatting>
  <conditionalFormatting sqref="F37">
    <cfRule type="cellIs" dxfId="78" priority="79" operator="greaterThan">
      <formula>E37</formula>
    </cfRule>
  </conditionalFormatting>
  <conditionalFormatting sqref="F37">
    <cfRule type="cellIs" dxfId="77" priority="78" operator="greaterThan">
      <formula>E37</formula>
    </cfRule>
  </conditionalFormatting>
  <conditionalFormatting sqref="H38 J38 L38 N38 P38 R38 D38 F38">
    <cfRule type="cellIs" dxfId="76" priority="77" operator="greaterThan">
      <formula>C38</formula>
    </cfRule>
  </conditionalFormatting>
  <conditionalFormatting sqref="H38 J38 L38 N38 P38 R38 D38 F38">
    <cfRule type="cellIs" dxfId="75" priority="76" operator="greaterThan">
      <formula>C38</formula>
    </cfRule>
  </conditionalFormatting>
  <conditionalFormatting sqref="H38">
    <cfRule type="cellIs" dxfId="74" priority="75" operator="greaterThan">
      <formula>G38</formula>
    </cfRule>
  </conditionalFormatting>
  <conditionalFormatting sqref="J38">
    <cfRule type="cellIs" dxfId="73" priority="74" operator="greaterThan">
      <formula>I38</formula>
    </cfRule>
  </conditionalFormatting>
  <conditionalFormatting sqref="L38">
    <cfRule type="cellIs" dxfId="72" priority="73" operator="greaterThan">
      <formula>K38</formula>
    </cfRule>
  </conditionalFormatting>
  <conditionalFormatting sqref="N38">
    <cfRule type="cellIs" dxfId="71" priority="72" operator="greaterThan">
      <formula>M38</formula>
    </cfRule>
  </conditionalFormatting>
  <conditionalFormatting sqref="P38">
    <cfRule type="cellIs" dxfId="70" priority="71" operator="greaterThan">
      <formula>O38</formula>
    </cfRule>
  </conditionalFormatting>
  <conditionalFormatting sqref="R38">
    <cfRule type="cellIs" dxfId="69" priority="70" operator="greaterThan">
      <formula>Q38</formula>
    </cfRule>
  </conditionalFormatting>
  <conditionalFormatting sqref="H38 J38 L38 N38 P38 R38">
    <cfRule type="cellIs" dxfId="68" priority="69" operator="greaterThan">
      <formula>G38</formula>
    </cfRule>
  </conditionalFormatting>
  <conditionalFormatting sqref="H38 J38 L38 P38 R38 N38">
    <cfRule type="cellIs" dxfId="67" priority="68" operator="greaterThan">
      <formula>G38</formula>
    </cfRule>
  </conditionalFormatting>
  <conditionalFormatting sqref="F38">
    <cfRule type="cellIs" dxfId="66" priority="67" operator="greaterThan">
      <formula>E38</formula>
    </cfRule>
  </conditionalFormatting>
  <conditionalFormatting sqref="F38">
    <cfRule type="cellIs" dxfId="65" priority="66" operator="greaterThan">
      <formula>E38</formula>
    </cfRule>
  </conditionalFormatting>
  <conditionalFormatting sqref="F38">
    <cfRule type="cellIs" dxfId="64" priority="65" operator="greaterThan">
      <formula>E38</formula>
    </cfRule>
  </conditionalFormatting>
  <conditionalFormatting sqref="F38">
    <cfRule type="cellIs" dxfId="63" priority="64" operator="greaterThan">
      <formula>E38</formula>
    </cfRule>
  </conditionalFormatting>
  <conditionalFormatting sqref="H39 J39 L39 N39 P39 R39 D39 F39">
    <cfRule type="cellIs" dxfId="62" priority="63" operator="greaterThan">
      <formula>C39</formula>
    </cfRule>
  </conditionalFormatting>
  <conditionalFormatting sqref="H39 J39 L39 N39 P39 R39 D39 F39">
    <cfRule type="cellIs" dxfId="61" priority="62" operator="greaterThan">
      <formula>C39</formula>
    </cfRule>
  </conditionalFormatting>
  <conditionalFormatting sqref="H39">
    <cfRule type="cellIs" dxfId="60" priority="61" operator="greaterThan">
      <formula>G39</formula>
    </cfRule>
  </conditionalFormatting>
  <conditionalFormatting sqref="J39">
    <cfRule type="cellIs" dxfId="59" priority="60" operator="greaterThan">
      <formula>I39</formula>
    </cfRule>
  </conditionalFormatting>
  <conditionalFormatting sqref="L39">
    <cfRule type="cellIs" dxfId="58" priority="59" operator="greaterThan">
      <formula>K39</formula>
    </cfRule>
  </conditionalFormatting>
  <conditionalFormatting sqref="N39">
    <cfRule type="cellIs" dxfId="57" priority="58" operator="greaterThan">
      <formula>M39</formula>
    </cfRule>
  </conditionalFormatting>
  <conditionalFormatting sqref="P39">
    <cfRule type="cellIs" dxfId="56" priority="57" operator="greaterThan">
      <formula>O39</formula>
    </cfRule>
  </conditionalFormatting>
  <conditionalFormatting sqref="R39">
    <cfRule type="cellIs" dxfId="55" priority="56" operator="greaterThan">
      <formula>Q39</formula>
    </cfRule>
  </conditionalFormatting>
  <conditionalFormatting sqref="H39 J39 L39 N39 P39 R39">
    <cfRule type="cellIs" dxfId="54" priority="55" operator="greaterThan">
      <formula>G39</formula>
    </cfRule>
  </conditionalFormatting>
  <conditionalFormatting sqref="H39 J39 L39 P39 R39 N39">
    <cfRule type="cellIs" dxfId="53" priority="54" operator="greaterThan">
      <formula>G39</formula>
    </cfRule>
  </conditionalFormatting>
  <conditionalFormatting sqref="F39">
    <cfRule type="cellIs" dxfId="52" priority="53" operator="greaterThan">
      <formula>E39</formula>
    </cfRule>
  </conditionalFormatting>
  <conditionalFormatting sqref="F39">
    <cfRule type="cellIs" dxfId="51" priority="52" operator="greaterThan">
      <formula>E39</formula>
    </cfRule>
  </conditionalFormatting>
  <conditionalFormatting sqref="F39">
    <cfRule type="cellIs" dxfId="50" priority="51" operator="greaterThan">
      <formula>E39</formula>
    </cfRule>
  </conditionalFormatting>
  <conditionalFormatting sqref="F39">
    <cfRule type="cellIs" dxfId="49" priority="50" operator="greaterThan">
      <formula>E39</formula>
    </cfRule>
  </conditionalFormatting>
  <conditionalFormatting sqref="H34:H35 J34:J35 L34:L35 N35 P35 R35 D34:D35 F34:F35">
    <cfRule type="cellIs" dxfId="48" priority="49" operator="greaterThan">
      <formula>C34</formula>
    </cfRule>
  </conditionalFormatting>
  <conditionalFormatting sqref="H34:H35 J34:J35 L34:L35 N35 P35 R35 D34:D35 F34:F35">
    <cfRule type="cellIs" dxfId="47" priority="48" operator="greaterThan">
      <formula>C34</formula>
    </cfRule>
  </conditionalFormatting>
  <conditionalFormatting sqref="H34:H35">
    <cfRule type="cellIs" dxfId="46" priority="47" operator="greaterThan">
      <formula>G34</formula>
    </cfRule>
  </conditionalFormatting>
  <conditionalFormatting sqref="J34:J35">
    <cfRule type="cellIs" dxfId="45" priority="46" operator="greaterThan">
      <formula>I34</formula>
    </cfRule>
  </conditionalFormatting>
  <conditionalFormatting sqref="L34:L35">
    <cfRule type="cellIs" dxfId="44" priority="45" operator="greaterThan">
      <formula>K34</formula>
    </cfRule>
  </conditionalFormatting>
  <conditionalFormatting sqref="N35">
    <cfRule type="cellIs" dxfId="43" priority="44" operator="greaterThan">
      <formula>M35</formula>
    </cfRule>
  </conditionalFormatting>
  <conditionalFormatting sqref="P35">
    <cfRule type="cellIs" dxfId="42" priority="43" operator="greaterThan">
      <formula>O35</formula>
    </cfRule>
  </conditionalFormatting>
  <conditionalFormatting sqref="R35">
    <cfRule type="cellIs" dxfId="41" priority="42" operator="greaterThan">
      <formula>Q35</formula>
    </cfRule>
  </conditionalFormatting>
  <conditionalFormatting sqref="H34:H35 J34:J35 L34:L35 N35 P35 R35">
    <cfRule type="cellIs" dxfId="40" priority="41" operator="greaterThan">
      <formula>G34</formula>
    </cfRule>
  </conditionalFormatting>
  <conditionalFormatting sqref="H34:H35 J34:J35 L34:L35 P35 R35 N35">
    <cfRule type="cellIs" dxfId="39" priority="40" operator="greaterThan">
      <formula>G34</formula>
    </cfRule>
  </conditionalFormatting>
  <conditionalFormatting sqref="F34:F35">
    <cfRule type="cellIs" dxfId="38" priority="39" operator="greaterThan">
      <formula>E34</formula>
    </cfRule>
  </conditionalFormatting>
  <conditionalFormatting sqref="F34:F35">
    <cfRule type="cellIs" dxfId="37" priority="38" operator="greaterThan">
      <formula>E34</formula>
    </cfRule>
  </conditionalFormatting>
  <conditionalFormatting sqref="F34:F35">
    <cfRule type="cellIs" dxfId="36" priority="37" operator="greaterThan">
      <formula>E34</formula>
    </cfRule>
  </conditionalFormatting>
  <conditionalFormatting sqref="F34:F35">
    <cfRule type="cellIs" dxfId="35" priority="36" operator="greaterThan">
      <formula>E34</formula>
    </cfRule>
  </conditionalFormatting>
  <conditionalFormatting sqref="N34 P34 R34">
    <cfRule type="cellIs" dxfId="34" priority="35" operator="greaterThan">
      <formula>M34</formula>
    </cfRule>
  </conditionalFormatting>
  <conditionalFormatting sqref="N34 P34 R34">
    <cfRule type="cellIs" dxfId="33" priority="34" operator="greaterThan">
      <formula>M34</formula>
    </cfRule>
  </conditionalFormatting>
  <conditionalFormatting sqref="N34">
    <cfRule type="cellIs" dxfId="32" priority="33" operator="greaterThan">
      <formula>M34</formula>
    </cfRule>
  </conditionalFormatting>
  <conditionalFormatting sqref="P34">
    <cfRule type="cellIs" dxfId="31" priority="32" operator="greaterThan">
      <formula>O34</formula>
    </cfRule>
  </conditionalFormatting>
  <conditionalFormatting sqref="R34">
    <cfRule type="cellIs" dxfId="30" priority="31" operator="greaterThan">
      <formula>Q34</formula>
    </cfRule>
  </conditionalFormatting>
  <conditionalFormatting sqref="N34 P34 R34">
    <cfRule type="cellIs" dxfId="29" priority="30" operator="greaterThan">
      <formula>M34</formula>
    </cfRule>
  </conditionalFormatting>
  <conditionalFormatting sqref="P34 R34 N34">
    <cfRule type="cellIs" dxfId="28" priority="29" operator="greaterThan">
      <formula>M34</formula>
    </cfRule>
  </conditionalFormatting>
  <conditionalFormatting sqref="D37">
    <cfRule type="cellIs" dxfId="27" priority="28" operator="greaterThan">
      <formula>C37</formula>
    </cfRule>
  </conditionalFormatting>
  <conditionalFormatting sqref="D37">
    <cfRule type="cellIs" dxfId="26" priority="27" operator="greaterThan">
      <formula>C37</formula>
    </cfRule>
  </conditionalFormatting>
  <conditionalFormatting sqref="D37">
    <cfRule type="cellIs" dxfId="25" priority="26" operator="greaterThan">
      <formula>C37</formula>
    </cfRule>
  </conditionalFormatting>
  <conditionalFormatting sqref="D37">
    <cfRule type="cellIs" dxfId="24" priority="25" operator="greaterThan">
      <formula>C37</formula>
    </cfRule>
  </conditionalFormatting>
  <conditionalFormatting sqref="D37">
    <cfRule type="cellIs" dxfId="23" priority="24" operator="greaterThan">
      <formula>C37</formula>
    </cfRule>
  </conditionalFormatting>
  <conditionalFormatting sqref="C18:D18">
    <cfRule type="cellIs" dxfId="22" priority="23" operator="greaterThan">
      <formula>B18</formula>
    </cfRule>
  </conditionalFormatting>
  <conditionalFormatting sqref="D49 F49">
    <cfRule type="cellIs" dxfId="21" priority="22" operator="greaterThan">
      <formula>C49</formula>
    </cfRule>
  </conditionalFormatting>
  <conditionalFormatting sqref="H49">
    <cfRule type="cellIs" dxfId="20" priority="21" operator="greaterThan">
      <formula>G49</formula>
    </cfRule>
  </conditionalFormatting>
  <conditionalFormatting sqref="J49">
    <cfRule type="cellIs" dxfId="19" priority="20" operator="greaterThan">
      <formula>I49</formula>
    </cfRule>
  </conditionalFormatting>
  <conditionalFormatting sqref="L49">
    <cfRule type="cellIs" dxfId="18" priority="19" operator="greaterThan">
      <formula>K49</formula>
    </cfRule>
  </conditionalFormatting>
  <conditionalFormatting sqref="N49">
    <cfRule type="cellIs" dxfId="17" priority="18" operator="greaterThan">
      <formula>M49</formula>
    </cfRule>
  </conditionalFormatting>
  <conditionalFormatting sqref="F49">
    <cfRule type="cellIs" dxfId="16" priority="17" operator="greaterThan">
      <formula>E49</formula>
    </cfRule>
  </conditionalFormatting>
  <conditionalFormatting sqref="P49 R49">
    <cfRule type="cellIs" dxfId="15" priority="16" operator="greaterThan">
      <formula>O49</formula>
    </cfRule>
  </conditionalFormatting>
  <conditionalFormatting sqref="D52 F52">
    <cfRule type="cellIs" dxfId="14" priority="15" operator="greaterThan">
      <formula>C52</formula>
    </cfRule>
  </conditionalFormatting>
  <conditionalFormatting sqref="H52">
    <cfRule type="cellIs" dxfId="13" priority="14" operator="greaterThan">
      <formula>G52</formula>
    </cfRule>
  </conditionalFormatting>
  <conditionalFormatting sqref="J52">
    <cfRule type="cellIs" dxfId="12" priority="13" operator="greaterThan">
      <formula>I52</formula>
    </cfRule>
  </conditionalFormatting>
  <conditionalFormatting sqref="L52">
    <cfRule type="cellIs" dxfId="11" priority="12" operator="greaterThan">
      <formula>K52</formula>
    </cfRule>
  </conditionalFormatting>
  <conditionalFormatting sqref="N52">
    <cfRule type="cellIs" dxfId="10" priority="11" operator="greaterThan">
      <formula>M52</formula>
    </cfRule>
  </conditionalFormatting>
  <conditionalFormatting sqref="F52">
    <cfRule type="cellIs" dxfId="9" priority="10" operator="greaterThan">
      <formula>E52</formula>
    </cfRule>
  </conditionalFormatting>
  <conditionalFormatting sqref="P52 R52">
    <cfRule type="cellIs" dxfId="8" priority="9" operator="greaterThan">
      <formula>O52</formula>
    </cfRule>
  </conditionalFormatting>
  <conditionalFormatting sqref="D55 F55">
    <cfRule type="cellIs" dxfId="7" priority="8" operator="greaterThan">
      <formula>C55</formula>
    </cfRule>
  </conditionalFormatting>
  <conditionalFormatting sqref="H55">
    <cfRule type="cellIs" dxfId="6" priority="7" operator="greaterThan">
      <formula>G55</formula>
    </cfRule>
  </conditionalFormatting>
  <conditionalFormatting sqref="J55">
    <cfRule type="cellIs" dxfId="5" priority="6" operator="greaterThan">
      <formula>I55</formula>
    </cfRule>
  </conditionalFormatting>
  <conditionalFormatting sqref="L55">
    <cfRule type="cellIs" dxfId="4" priority="5" operator="greaterThan">
      <formula>K55</formula>
    </cfRule>
  </conditionalFormatting>
  <conditionalFormatting sqref="N55">
    <cfRule type="cellIs" dxfId="3" priority="4" operator="greaterThan">
      <formula>M55</formula>
    </cfRule>
  </conditionalFormatting>
  <conditionalFormatting sqref="F55">
    <cfRule type="cellIs" dxfId="2" priority="3" operator="greaterThan">
      <formula>E55</formula>
    </cfRule>
  </conditionalFormatting>
  <conditionalFormatting sqref="P55 R55">
    <cfRule type="cellIs" dxfId="1" priority="2" operator="greaterThan">
      <formula>O55</formula>
    </cfRule>
  </conditionalFormatting>
  <conditionalFormatting sqref="D11">
    <cfRule type="cellIs" dxfId="0" priority="1" operator="greaterThan">
      <formula>C11</formula>
    </cfRule>
  </conditionalFormatting>
  <dataValidations count="4">
    <dataValidation type="date" operator="greaterThan" allowBlank="1" showInputMessage="1" showErrorMessage="1" prompt="Введите дату в формате ЧЧ.ММ.ГГГГ" sqref="V2" xr:uid="{00000000-0002-0000-0300-000000000000}">
      <formula1>DATE(96,1,1)</formula1>
    </dataValidation>
    <dataValidation type="whole" operator="greaterThanOrEqual" allowBlank="1" showErrorMessage="1" error="Введите как целое положительное число." sqref="C13:R14 C7:R7" xr:uid="{00000000-0002-0000-0300-000001000000}">
      <formula1>0</formula1>
    </dataValidation>
    <dataValidation allowBlank="1" showErrorMessage="1" prompt="Введите самостоятельно рассчитанный коэффициент" sqref="C5:R5 T5:U5" xr:uid="{00000000-0002-0000-0300-000002000000}"/>
    <dataValidation type="whole" operator="notEqual" allowBlank="1" showErrorMessage="1" error="Введите как целое число." sqref="C41:R56 C8:R12 C15:R19 C21:R39" xr:uid="{00000000-0002-0000-0300-000003000000}">
      <formula1>-1E+28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1"/>
  <sheetViews>
    <sheetView workbookViewId="0">
      <selection activeCell="N11" sqref="N11"/>
    </sheetView>
  </sheetViews>
  <sheetFormatPr defaultColWidth="9" defaultRowHeight="12.75" x14ac:dyDescent="0.2"/>
  <cols>
    <col min="1" max="1" width="5" style="208" customWidth="1"/>
    <col min="2" max="3" width="9" style="2" customWidth="1"/>
    <col min="4" max="4" width="25.42578125" style="2" customWidth="1"/>
    <col min="5" max="5" width="46.85546875" style="2" customWidth="1"/>
    <col min="6" max="6" width="15.42578125" style="2" bestFit="1" customWidth="1"/>
    <col min="7" max="7" width="9" style="2" customWidth="1"/>
    <col min="8" max="8" width="40.5703125" style="2" customWidth="1"/>
    <col min="9" max="9" width="18.42578125" style="2" customWidth="1"/>
    <col min="10" max="10" width="15" style="208" customWidth="1"/>
    <col min="11" max="11" width="15.5703125" style="2" customWidth="1"/>
    <col min="12" max="12" width="9" style="2"/>
    <col min="13" max="13" width="9" style="195"/>
    <col min="14" max="16384" width="9" style="2"/>
  </cols>
  <sheetData>
    <row r="1" spans="1:13" s="3" customFormat="1" ht="27" customHeight="1" x14ac:dyDescent="0.2">
      <c r="A1" s="267" t="s">
        <v>382</v>
      </c>
      <c r="B1" s="267"/>
      <c r="C1" s="267"/>
      <c r="D1" s="267"/>
      <c r="E1" s="267"/>
      <c r="F1" s="267"/>
      <c r="G1" s="267"/>
      <c r="H1" s="267"/>
      <c r="I1" s="268" t="s">
        <v>383</v>
      </c>
      <c r="J1" s="268"/>
      <c r="K1" s="268"/>
      <c r="M1" s="190"/>
    </row>
    <row r="2" spans="1:13" ht="21" customHeight="1" x14ac:dyDescent="0.25">
      <c r="A2" s="191"/>
      <c r="B2" s="269" t="s">
        <v>447</v>
      </c>
      <c r="C2" s="269"/>
      <c r="D2" s="269"/>
      <c r="E2" s="192"/>
      <c r="F2" s="192"/>
      <c r="G2" s="192"/>
      <c r="H2" s="192"/>
      <c r="I2" s="224">
        <v>44926</v>
      </c>
      <c r="J2" s="193"/>
      <c r="K2" s="194"/>
    </row>
    <row r="3" spans="1:13" ht="6.75" customHeight="1" x14ac:dyDescent="0.2">
      <c r="A3" s="270"/>
      <c r="B3" s="271"/>
      <c r="C3" s="271"/>
      <c r="D3" s="271"/>
      <c r="E3" s="271"/>
      <c r="F3" s="271"/>
      <c r="G3" s="271"/>
      <c r="H3" s="271"/>
      <c r="I3" s="271"/>
      <c r="J3" s="271"/>
      <c r="K3" s="272"/>
    </row>
    <row r="4" spans="1:13" s="196" customFormat="1" ht="48.75" customHeight="1" x14ac:dyDescent="0.25">
      <c r="A4" s="273" t="s">
        <v>3</v>
      </c>
      <c r="B4" s="273" t="s">
        <v>384</v>
      </c>
      <c r="C4" s="273"/>
      <c r="D4" s="273"/>
      <c r="E4" s="273"/>
      <c r="F4" s="273" t="s">
        <v>385</v>
      </c>
      <c r="G4" s="273"/>
      <c r="H4" s="273"/>
      <c r="I4" s="212" t="s">
        <v>386</v>
      </c>
      <c r="J4" s="212" t="s">
        <v>387</v>
      </c>
      <c r="K4" s="212" t="s">
        <v>388</v>
      </c>
      <c r="M4" s="197"/>
    </row>
    <row r="5" spans="1:13" s="196" customFormat="1" ht="14.25" customHeight="1" x14ac:dyDescent="0.25">
      <c r="A5" s="273"/>
      <c r="B5" s="273" t="s">
        <v>389</v>
      </c>
      <c r="C5" s="273"/>
      <c r="D5" s="273"/>
      <c r="E5" s="273"/>
      <c r="F5" s="273" t="s">
        <v>390</v>
      </c>
      <c r="G5" s="273"/>
      <c r="H5" s="273"/>
      <c r="I5" s="212" t="s">
        <v>391</v>
      </c>
      <c r="J5" s="212" t="s">
        <v>392</v>
      </c>
      <c r="K5" s="212" t="s">
        <v>393</v>
      </c>
      <c r="M5" s="197"/>
    </row>
    <row r="6" spans="1:13" s="199" customFormat="1" x14ac:dyDescent="0.2">
      <c r="A6" s="198">
        <v>1</v>
      </c>
      <c r="B6" s="247" t="s">
        <v>394</v>
      </c>
      <c r="C6" s="248"/>
      <c r="D6" s="248"/>
      <c r="E6" s="248"/>
      <c r="F6" s="249"/>
      <c r="G6" s="249"/>
      <c r="H6" s="249"/>
      <c r="I6" s="249"/>
      <c r="J6" s="249"/>
      <c r="K6" s="249"/>
      <c r="M6" s="200"/>
    </row>
    <row r="7" spans="1:13" ht="24" customHeight="1" x14ac:dyDescent="0.2">
      <c r="A7" s="250" t="s">
        <v>235</v>
      </c>
      <c r="B7" s="252" t="s">
        <v>395</v>
      </c>
      <c r="C7" s="253"/>
      <c r="D7" s="253"/>
      <c r="E7" s="254"/>
      <c r="F7" s="258" t="s">
        <v>396</v>
      </c>
      <c r="G7" s="259"/>
      <c r="H7" s="260"/>
      <c r="I7" s="261">
        <v>0.2098481358581015</v>
      </c>
      <c r="J7" s="201" t="s">
        <v>397</v>
      </c>
      <c r="K7" s="263" t="s">
        <v>448</v>
      </c>
    </row>
    <row r="8" spans="1:13" x14ac:dyDescent="0.2">
      <c r="A8" s="251"/>
      <c r="B8" s="255"/>
      <c r="C8" s="256"/>
      <c r="D8" s="256"/>
      <c r="E8" s="257"/>
      <c r="F8" s="252" t="s">
        <v>398</v>
      </c>
      <c r="G8" s="265"/>
      <c r="H8" s="266"/>
      <c r="I8" s="262"/>
      <c r="J8" s="202">
        <v>0.13</v>
      </c>
      <c r="K8" s="264"/>
    </row>
    <row r="9" spans="1:13" x14ac:dyDescent="0.2">
      <c r="A9" s="250" t="s">
        <v>245</v>
      </c>
      <c r="B9" s="252" t="s">
        <v>399</v>
      </c>
      <c r="C9" s="253"/>
      <c r="D9" s="253"/>
      <c r="E9" s="254"/>
      <c r="F9" s="277" t="s">
        <v>400</v>
      </c>
      <c r="G9" s="278"/>
      <c r="H9" s="279"/>
      <c r="I9" s="261">
        <v>0.20030254110924048</v>
      </c>
      <c r="J9" s="201" t="s">
        <v>397</v>
      </c>
      <c r="K9" s="263" t="s">
        <v>448</v>
      </c>
    </row>
    <row r="10" spans="1:13" x14ac:dyDescent="0.2">
      <c r="A10" s="251"/>
      <c r="B10" s="280"/>
      <c r="C10" s="281"/>
      <c r="D10" s="281"/>
      <c r="E10" s="282"/>
      <c r="F10" s="283" t="s">
        <v>398</v>
      </c>
      <c r="G10" s="284"/>
      <c r="H10" s="285"/>
      <c r="I10" s="262"/>
      <c r="J10" s="202"/>
      <c r="K10" s="264"/>
    </row>
    <row r="11" spans="1:13" ht="12.75" customHeight="1" x14ac:dyDescent="0.2">
      <c r="A11" s="250" t="s">
        <v>250</v>
      </c>
      <c r="B11" s="274" t="s">
        <v>401</v>
      </c>
      <c r="C11" s="275"/>
      <c r="D11" s="275"/>
      <c r="E11" s="276"/>
      <c r="F11" s="277" t="s">
        <v>402</v>
      </c>
      <c r="G11" s="278"/>
      <c r="H11" s="279"/>
      <c r="I11" s="261">
        <v>0.20029454599796948</v>
      </c>
      <c r="J11" s="201" t="s">
        <v>397</v>
      </c>
      <c r="K11" s="263" t="s">
        <v>448</v>
      </c>
    </row>
    <row r="12" spans="1:13" ht="24.75" customHeight="1" x14ac:dyDescent="0.2">
      <c r="A12" s="251"/>
      <c r="B12" s="255"/>
      <c r="C12" s="256"/>
      <c r="D12" s="256"/>
      <c r="E12" s="257"/>
      <c r="F12" s="258" t="s">
        <v>398</v>
      </c>
      <c r="G12" s="259"/>
      <c r="H12" s="260"/>
      <c r="I12" s="262"/>
      <c r="J12" s="202">
        <v>0.08</v>
      </c>
      <c r="K12" s="264"/>
    </row>
    <row r="13" spans="1:13" x14ac:dyDescent="0.2">
      <c r="A13" s="250" t="s">
        <v>259</v>
      </c>
      <c r="B13" s="274" t="s">
        <v>403</v>
      </c>
      <c r="C13" s="275"/>
      <c r="D13" s="275"/>
      <c r="E13" s="276"/>
      <c r="F13" s="288" t="s">
        <v>400</v>
      </c>
      <c r="G13" s="289"/>
      <c r="H13" s="290"/>
      <c r="I13" s="261">
        <v>0.20827216867854428</v>
      </c>
      <c r="J13" s="201" t="s">
        <v>397</v>
      </c>
      <c r="K13" s="263" t="s">
        <v>448</v>
      </c>
    </row>
    <row r="14" spans="1:13" ht="24.75" customHeight="1" x14ac:dyDescent="0.2">
      <c r="A14" s="251"/>
      <c r="B14" s="255"/>
      <c r="C14" s="256"/>
      <c r="D14" s="256"/>
      <c r="E14" s="257"/>
      <c r="F14" s="258" t="s">
        <v>404</v>
      </c>
      <c r="G14" s="259"/>
      <c r="H14" s="260"/>
      <c r="I14" s="262"/>
      <c r="J14" s="202">
        <v>0.06</v>
      </c>
      <c r="K14" s="264"/>
    </row>
    <row r="15" spans="1:13" s="199" customFormat="1" x14ac:dyDescent="0.2">
      <c r="A15" s="118">
        <v>2</v>
      </c>
      <c r="B15" s="247" t="s">
        <v>405</v>
      </c>
      <c r="C15" s="248"/>
      <c r="D15" s="248"/>
      <c r="E15" s="248"/>
      <c r="F15" s="249"/>
      <c r="G15" s="249"/>
      <c r="H15" s="249"/>
      <c r="I15" s="249"/>
      <c r="J15" s="249"/>
      <c r="K15" s="249"/>
      <c r="M15" s="200"/>
    </row>
    <row r="16" spans="1:13" s="199" customFormat="1" ht="12.75" customHeight="1" x14ac:dyDescent="0.2">
      <c r="A16" s="250" t="s">
        <v>157</v>
      </c>
      <c r="B16" s="274" t="s">
        <v>406</v>
      </c>
      <c r="C16" s="275"/>
      <c r="D16" s="275"/>
      <c r="E16" s="276"/>
      <c r="F16" s="277" t="s">
        <v>407</v>
      </c>
      <c r="G16" s="278"/>
      <c r="H16" s="279"/>
      <c r="I16" s="286">
        <v>0.11795865931801168</v>
      </c>
      <c r="J16" s="201" t="s">
        <v>397</v>
      </c>
      <c r="K16" s="263" t="s">
        <v>448</v>
      </c>
      <c r="M16" s="200"/>
    </row>
    <row r="17" spans="1:13" s="199" customFormat="1" x14ac:dyDescent="0.2">
      <c r="A17" s="251"/>
      <c r="B17" s="255"/>
      <c r="C17" s="256"/>
      <c r="D17" s="256"/>
      <c r="E17" s="257"/>
      <c r="F17" s="258" t="s">
        <v>72</v>
      </c>
      <c r="G17" s="259"/>
      <c r="H17" s="260"/>
      <c r="I17" s="287"/>
      <c r="J17" s="202">
        <v>0.1</v>
      </c>
      <c r="K17" s="264"/>
      <c r="M17" s="200"/>
    </row>
    <row r="18" spans="1:13" s="3" customFormat="1" ht="15.75" customHeight="1" x14ac:dyDescent="0.2">
      <c r="A18" s="291" t="s">
        <v>408</v>
      </c>
      <c r="B18" s="294" t="s">
        <v>409</v>
      </c>
      <c r="C18" s="295"/>
      <c r="D18" s="295"/>
      <c r="E18" s="203" t="s">
        <v>5</v>
      </c>
      <c r="F18" s="300" t="s">
        <v>407</v>
      </c>
      <c r="G18" s="301"/>
      <c r="H18" s="302"/>
      <c r="I18" s="213">
        <v>1.5643252540544548</v>
      </c>
      <c r="J18" s="306" t="s">
        <v>397</v>
      </c>
      <c r="K18" s="213" t="s">
        <v>448</v>
      </c>
      <c r="M18" s="190"/>
    </row>
    <row r="19" spans="1:13" s="3" customFormat="1" ht="15.75" customHeight="1" x14ac:dyDescent="0.2">
      <c r="A19" s="292"/>
      <c r="B19" s="296"/>
      <c r="C19" s="297"/>
      <c r="D19" s="297"/>
      <c r="E19" s="204" t="s">
        <v>147</v>
      </c>
      <c r="F19" s="303"/>
      <c r="G19" s="304"/>
      <c r="H19" s="305"/>
      <c r="I19" s="213">
        <v>1.5014975675996978</v>
      </c>
      <c r="J19" s="307"/>
      <c r="K19" s="213" t="s">
        <v>448</v>
      </c>
      <c r="M19" s="190"/>
    </row>
    <row r="20" spans="1:13" s="3" customFormat="1" ht="15.75" customHeight="1" x14ac:dyDescent="0.2">
      <c r="A20" s="293"/>
      <c r="B20" s="298"/>
      <c r="C20" s="299"/>
      <c r="D20" s="299"/>
      <c r="E20" s="204" t="s">
        <v>410</v>
      </c>
      <c r="F20" s="308" t="s">
        <v>411</v>
      </c>
      <c r="G20" s="308"/>
      <c r="H20" s="308"/>
      <c r="I20" s="213">
        <v>1.6585133943656556</v>
      </c>
      <c r="J20" s="205">
        <v>1</v>
      </c>
      <c r="K20" s="213" t="s">
        <v>448</v>
      </c>
      <c r="M20" s="190"/>
    </row>
    <row r="21" spans="1:13" s="3" customFormat="1" ht="15" customHeight="1" x14ac:dyDescent="0.2">
      <c r="A21" s="291" t="s">
        <v>412</v>
      </c>
      <c r="B21" s="294" t="s">
        <v>413</v>
      </c>
      <c r="C21" s="295"/>
      <c r="D21" s="295"/>
      <c r="E21" s="203" t="s">
        <v>5</v>
      </c>
      <c r="F21" s="300" t="s">
        <v>414</v>
      </c>
      <c r="G21" s="301"/>
      <c r="H21" s="302"/>
      <c r="I21" s="213">
        <v>1.1427127760992468</v>
      </c>
      <c r="J21" s="306" t="s">
        <v>397</v>
      </c>
      <c r="K21" s="213" t="s">
        <v>448</v>
      </c>
      <c r="M21" s="190"/>
    </row>
    <row r="22" spans="1:13" s="3" customFormat="1" ht="15" customHeight="1" x14ac:dyDescent="0.2">
      <c r="A22" s="292"/>
      <c r="B22" s="296"/>
      <c r="C22" s="297"/>
      <c r="D22" s="297"/>
      <c r="E22" s="204" t="s">
        <v>147</v>
      </c>
      <c r="F22" s="303"/>
      <c r="G22" s="304"/>
      <c r="H22" s="305"/>
      <c r="I22" s="213">
        <v>1.223181882289313</v>
      </c>
      <c r="J22" s="307"/>
      <c r="K22" s="213" t="s">
        <v>448</v>
      </c>
      <c r="M22" s="190"/>
    </row>
    <row r="23" spans="1:13" s="3" customFormat="1" ht="15" customHeight="1" x14ac:dyDescent="0.2">
      <c r="A23" s="293"/>
      <c r="B23" s="298"/>
      <c r="C23" s="299"/>
      <c r="D23" s="299"/>
      <c r="E23" s="204" t="s">
        <v>410</v>
      </c>
      <c r="F23" s="308" t="s">
        <v>415</v>
      </c>
      <c r="G23" s="308"/>
      <c r="H23" s="308"/>
      <c r="I23" s="213">
        <v>0.91014987520247503</v>
      </c>
      <c r="J23" s="216">
        <v>1</v>
      </c>
      <c r="K23" s="213">
        <v>-8.9850124797524966E-2</v>
      </c>
      <c r="M23" s="190"/>
    </row>
    <row r="24" spans="1:13" s="199" customFormat="1" x14ac:dyDescent="0.2">
      <c r="A24" s="118">
        <v>3</v>
      </c>
      <c r="B24" s="316" t="s">
        <v>416</v>
      </c>
      <c r="C24" s="317"/>
      <c r="D24" s="317"/>
      <c r="E24" s="317"/>
      <c r="F24" s="249"/>
      <c r="G24" s="249"/>
      <c r="H24" s="249"/>
      <c r="I24" s="249"/>
      <c r="J24" s="249"/>
      <c r="K24" s="249"/>
      <c r="M24" s="200"/>
    </row>
    <row r="25" spans="1:13" ht="24" customHeight="1" x14ac:dyDescent="0.2">
      <c r="A25" s="250" t="s">
        <v>11</v>
      </c>
      <c r="B25" s="294" t="s">
        <v>417</v>
      </c>
      <c r="C25" s="295"/>
      <c r="D25" s="295"/>
      <c r="E25" s="310"/>
      <c r="F25" s="321" t="s">
        <v>418</v>
      </c>
      <c r="G25" s="322"/>
      <c r="H25" s="323"/>
      <c r="I25" s="286">
        <v>0.19697001141728801</v>
      </c>
      <c r="J25" s="215" t="s">
        <v>419</v>
      </c>
      <c r="K25" s="286" t="s">
        <v>448</v>
      </c>
    </row>
    <row r="26" spans="1:13" x14ac:dyDescent="0.2">
      <c r="A26" s="251"/>
      <c r="B26" s="318"/>
      <c r="C26" s="319"/>
      <c r="D26" s="319"/>
      <c r="E26" s="320"/>
      <c r="F26" s="288" t="s">
        <v>400</v>
      </c>
      <c r="G26" s="289"/>
      <c r="H26" s="290"/>
      <c r="I26" s="287"/>
      <c r="J26" s="205">
        <v>0.25</v>
      </c>
      <c r="K26" s="324"/>
    </row>
    <row r="27" spans="1:13" s="3" customFormat="1" ht="28.5" customHeight="1" x14ac:dyDescent="0.2">
      <c r="A27" s="291" t="s">
        <v>13</v>
      </c>
      <c r="B27" s="309" t="s">
        <v>420</v>
      </c>
      <c r="C27" s="295"/>
      <c r="D27" s="295"/>
      <c r="E27" s="310"/>
      <c r="F27" s="311" t="s">
        <v>421</v>
      </c>
      <c r="G27" s="312"/>
      <c r="H27" s="313"/>
      <c r="I27" s="314">
        <v>0</v>
      </c>
      <c r="J27" s="215" t="s">
        <v>419</v>
      </c>
      <c r="K27" s="263" t="s">
        <v>448</v>
      </c>
      <c r="M27" s="190" t="s">
        <v>422</v>
      </c>
    </row>
    <row r="28" spans="1:13" s="3" customFormat="1" x14ac:dyDescent="0.2">
      <c r="A28" s="293"/>
      <c r="B28" s="303"/>
      <c r="C28" s="304"/>
      <c r="D28" s="304"/>
      <c r="E28" s="305"/>
      <c r="F28" s="288" t="s">
        <v>400</v>
      </c>
      <c r="G28" s="289"/>
      <c r="H28" s="290"/>
      <c r="I28" s="315"/>
      <c r="J28" s="205">
        <v>0.25</v>
      </c>
      <c r="K28" s="264"/>
      <c r="M28" s="190"/>
    </row>
    <row r="29" spans="1:13" s="3" customFormat="1" ht="36" customHeight="1" x14ac:dyDescent="0.2">
      <c r="A29" s="291" t="s">
        <v>163</v>
      </c>
      <c r="B29" s="294" t="s">
        <v>423</v>
      </c>
      <c r="C29" s="295"/>
      <c r="D29" s="295"/>
      <c r="E29" s="310"/>
      <c r="F29" s="321" t="s">
        <v>424</v>
      </c>
      <c r="G29" s="322"/>
      <c r="H29" s="323"/>
      <c r="I29" s="314">
        <v>0</v>
      </c>
      <c r="J29" s="215" t="s">
        <v>419</v>
      </c>
      <c r="K29" s="263" t="s">
        <v>448</v>
      </c>
      <c r="M29" s="190" t="s">
        <v>422</v>
      </c>
    </row>
    <row r="30" spans="1:13" s="3" customFormat="1" x14ac:dyDescent="0.2">
      <c r="A30" s="293"/>
      <c r="B30" s="303"/>
      <c r="C30" s="304"/>
      <c r="D30" s="304"/>
      <c r="E30" s="305"/>
      <c r="F30" s="288" t="s">
        <v>400</v>
      </c>
      <c r="G30" s="289"/>
      <c r="H30" s="290"/>
      <c r="I30" s="315"/>
      <c r="J30" s="205">
        <v>0.05</v>
      </c>
      <c r="K30" s="264"/>
      <c r="M30" s="190"/>
    </row>
    <row r="31" spans="1:13" s="3" customFormat="1" ht="14.25" customHeight="1" x14ac:dyDescent="0.2">
      <c r="A31" s="291" t="s">
        <v>167</v>
      </c>
      <c r="B31" s="325" t="s">
        <v>425</v>
      </c>
      <c r="C31" s="297"/>
      <c r="D31" s="297"/>
      <c r="E31" s="326"/>
      <c r="F31" s="327" t="s">
        <v>426</v>
      </c>
      <c r="G31" s="328"/>
      <c r="H31" s="329"/>
      <c r="I31" s="286">
        <v>0.19697001141728801</v>
      </c>
      <c r="J31" s="216" t="s">
        <v>419</v>
      </c>
      <c r="K31" s="263" t="s">
        <v>448</v>
      </c>
      <c r="M31" s="190"/>
    </row>
    <row r="32" spans="1:13" s="3" customFormat="1" x14ac:dyDescent="0.2">
      <c r="A32" s="293"/>
      <c r="B32" s="303"/>
      <c r="C32" s="304"/>
      <c r="D32" s="304"/>
      <c r="E32" s="305"/>
      <c r="F32" s="288" t="s">
        <v>400</v>
      </c>
      <c r="G32" s="289"/>
      <c r="H32" s="290"/>
      <c r="I32" s="287"/>
      <c r="J32" s="216">
        <v>5</v>
      </c>
      <c r="K32" s="264"/>
      <c r="M32" s="190"/>
    </row>
    <row r="33" spans="1:13" s="206" customFormat="1" x14ac:dyDescent="0.2">
      <c r="A33" s="72">
        <v>4</v>
      </c>
      <c r="B33" s="334" t="s">
        <v>427</v>
      </c>
      <c r="C33" s="317"/>
      <c r="D33" s="317"/>
      <c r="E33" s="317"/>
      <c r="F33" s="249"/>
      <c r="G33" s="249"/>
      <c r="H33" s="249"/>
      <c r="I33" s="249"/>
      <c r="J33" s="249"/>
      <c r="K33" s="249"/>
      <c r="M33" s="207"/>
    </row>
    <row r="34" spans="1:13" s="3" customFormat="1" ht="12.75" customHeight="1" x14ac:dyDescent="0.2">
      <c r="A34" s="291" t="s">
        <v>16</v>
      </c>
      <c r="B34" s="330" t="s">
        <v>428</v>
      </c>
      <c r="C34" s="301"/>
      <c r="D34" s="301"/>
      <c r="E34" s="302"/>
      <c r="F34" s="311" t="s">
        <v>429</v>
      </c>
      <c r="G34" s="312"/>
      <c r="H34" s="313"/>
      <c r="I34" s="314"/>
      <c r="J34" s="215" t="s">
        <v>419</v>
      </c>
      <c r="K34" s="263" t="s">
        <v>448</v>
      </c>
      <c r="M34" s="190" t="s">
        <v>422</v>
      </c>
    </row>
    <row r="35" spans="1:13" s="3" customFormat="1" x14ac:dyDescent="0.2">
      <c r="A35" s="293"/>
      <c r="B35" s="319"/>
      <c r="C35" s="319"/>
      <c r="D35" s="319"/>
      <c r="E35" s="320"/>
      <c r="F35" s="288" t="s">
        <v>400</v>
      </c>
      <c r="G35" s="289"/>
      <c r="H35" s="290"/>
      <c r="I35" s="315"/>
      <c r="J35" s="205">
        <v>0.15</v>
      </c>
      <c r="K35" s="264"/>
      <c r="M35" s="190"/>
    </row>
    <row r="36" spans="1:13" s="3" customFormat="1" ht="24.75" customHeight="1" x14ac:dyDescent="0.2">
      <c r="A36" s="291" t="s">
        <v>18</v>
      </c>
      <c r="B36" s="330" t="s">
        <v>430</v>
      </c>
      <c r="C36" s="301"/>
      <c r="D36" s="301"/>
      <c r="E36" s="302"/>
      <c r="F36" s="311" t="s">
        <v>430</v>
      </c>
      <c r="G36" s="331"/>
      <c r="H36" s="332"/>
      <c r="I36" s="286">
        <v>0</v>
      </c>
      <c r="J36" s="215" t="s">
        <v>419</v>
      </c>
      <c r="K36" s="263" t="s">
        <v>448</v>
      </c>
      <c r="M36" s="190"/>
    </row>
    <row r="37" spans="1:13" s="3" customFormat="1" x14ac:dyDescent="0.2">
      <c r="A37" s="293"/>
      <c r="B37" s="319"/>
      <c r="C37" s="319"/>
      <c r="D37" s="319"/>
      <c r="E37" s="320"/>
      <c r="F37" s="327" t="s">
        <v>400</v>
      </c>
      <c r="G37" s="328"/>
      <c r="H37" s="329"/>
      <c r="I37" s="333"/>
      <c r="J37" s="205">
        <v>0.25</v>
      </c>
      <c r="K37" s="264"/>
      <c r="M37" s="190"/>
    </row>
    <row r="38" spans="1:13" s="3" customFormat="1" ht="36" customHeight="1" x14ac:dyDescent="0.2">
      <c r="A38" s="291" t="s">
        <v>20</v>
      </c>
      <c r="B38" s="330" t="s">
        <v>431</v>
      </c>
      <c r="C38" s="301"/>
      <c r="D38" s="301"/>
      <c r="E38" s="302"/>
      <c r="F38" s="311" t="s">
        <v>432</v>
      </c>
      <c r="G38" s="331"/>
      <c r="H38" s="332"/>
      <c r="I38" s="286">
        <v>2.9683071289812385E-5</v>
      </c>
      <c r="J38" s="216" t="s">
        <v>419</v>
      </c>
      <c r="K38" s="263" t="s">
        <v>448</v>
      </c>
      <c r="M38" s="190"/>
    </row>
    <row r="39" spans="1:13" s="3" customFormat="1" x14ac:dyDescent="0.2">
      <c r="A39" s="293"/>
      <c r="B39" s="319"/>
      <c r="C39" s="319"/>
      <c r="D39" s="319"/>
      <c r="E39" s="320"/>
      <c r="F39" s="327" t="s">
        <v>400</v>
      </c>
      <c r="G39" s="328"/>
      <c r="H39" s="329"/>
      <c r="I39" s="287"/>
      <c r="J39" s="216">
        <v>0.5</v>
      </c>
      <c r="K39" s="264"/>
      <c r="M39" s="190"/>
    </row>
    <row r="40" spans="1:13" s="206" customFormat="1" x14ac:dyDescent="0.2">
      <c r="A40" s="72">
        <v>5</v>
      </c>
      <c r="B40" s="334" t="s">
        <v>433</v>
      </c>
      <c r="C40" s="317"/>
      <c r="D40" s="317"/>
      <c r="E40" s="317"/>
      <c r="F40" s="249"/>
      <c r="G40" s="249"/>
      <c r="H40" s="249"/>
      <c r="I40" s="249"/>
      <c r="J40" s="249"/>
      <c r="K40" s="249"/>
      <c r="M40" s="207"/>
    </row>
    <row r="41" spans="1:13" s="3" customFormat="1" ht="23.25" customHeight="1" x14ac:dyDescent="0.2">
      <c r="A41" s="291" t="s">
        <v>434</v>
      </c>
      <c r="B41" s="335" t="s">
        <v>435</v>
      </c>
      <c r="C41" s="308"/>
      <c r="D41" s="308"/>
      <c r="E41" s="308"/>
      <c r="F41" s="311" t="s">
        <v>436</v>
      </c>
      <c r="G41" s="312"/>
      <c r="H41" s="313"/>
      <c r="I41" s="286">
        <v>1.1737075943835583E-4</v>
      </c>
      <c r="J41" s="215" t="s">
        <v>419</v>
      </c>
      <c r="K41" s="263" t="s">
        <v>448</v>
      </c>
      <c r="M41" s="190"/>
    </row>
    <row r="42" spans="1:13" s="3" customFormat="1" x14ac:dyDescent="0.2">
      <c r="A42" s="293"/>
      <c r="B42" s="308"/>
      <c r="C42" s="308"/>
      <c r="D42" s="308"/>
      <c r="E42" s="308"/>
      <c r="F42" s="288" t="s">
        <v>400</v>
      </c>
      <c r="G42" s="289"/>
      <c r="H42" s="290"/>
      <c r="I42" s="336"/>
      <c r="J42" s="205">
        <v>0.25</v>
      </c>
      <c r="K42" s="264"/>
      <c r="M42" s="190"/>
    </row>
    <row r="43" spans="1:13" s="3" customFormat="1" x14ac:dyDescent="0.2">
      <c r="A43" s="291" t="s">
        <v>437</v>
      </c>
      <c r="B43" s="335" t="s">
        <v>438</v>
      </c>
      <c r="C43" s="308"/>
      <c r="D43" s="308"/>
      <c r="E43" s="308"/>
      <c r="F43" s="298" t="s">
        <v>439</v>
      </c>
      <c r="G43" s="337"/>
      <c r="H43" s="338"/>
      <c r="I43" s="286">
        <v>3.1143172120686282E-4</v>
      </c>
      <c r="J43" s="216" t="s">
        <v>419</v>
      </c>
      <c r="K43" s="263" t="s">
        <v>448</v>
      </c>
      <c r="M43" s="190"/>
    </row>
    <row r="44" spans="1:13" s="3" customFormat="1" x14ac:dyDescent="0.2">
      <c r="A44" s="293"/>
      <c r="B44" s="308"/>
      <c r="C44" s="308"/>
      <c r="D44" s="308"/>
      <c r="E44" s="308"/>
      <c r="F44" s="288" t="s">
        <v>400</v>
      </c>
      <c r="G44" s="289"/>
      <c r="H44" s="290"/>
      <c r="I44" s="336"/>
      <c r="J44" s="216">
        <v>0.5</v>
      </c>
      <c r="K44" s="264"/>
      <c r="M44" s="190"/>
    </row>
    <row r="45" spans="1:13" s="206" customFormat="1" x14ac:dyDescent="0.2">
      <c r="A45" s="72">
        <v>6</v>
      </c>
      <c r="B45" s="334" t="s">
        <v>440</v>
      </c>
      <c r="C45" s="317"/>
      <c r="D45" s="317"/>
      <c r="E45" s="317"/>
      <c r="F45" s="249"/>
      <c r="G45" s="249"/>
      <c r="H45" s="249"/>
      <c r="I45" s="249"/>
      <c r="J45" s="249"/>
      <c r="K45" s="249"/>
      <c r="M45" s="207"/>
    </row>
    <row r="46" spans="1:13" s="3" customFormat="1" x14ac:dyDescent="0.2">
      <c r="A46" s="291" t="s">
        <v>441</v>
      </c>
      <c r="B46" s="309" t="s">
        <v>442</v>
      </c>
      <c r="C46" s="301"/>
      <c r="D46" s="301"/>
      <c r="E46" s="302"/>
      <c r="F46" s="311" t="s">
        <v>443</v>
      </c>
      <c r="G46" s="312"/>
      <c r="H46" s="313"/>
      <c r="I46" s="314"/>
      <c r="J46" s="216" t="s">
        <v>419</v>
      </c>
      <c r="K46" s="263" t="s">
        <v>448</v>
      </c>
      <c r="M46" s="190" t="s">
        <v>422</v>
      </c>
    </row>
    <row r="47" spans="1:13" s="3" customFormat="1" x14ac:dyDescent="0.2">
      <c r="A47" s="293"/>
      <c r="B47" s="303"/>
      <c r="C47" s="304"/>
      <c r="D47" s="304"/>
      <c r="E47" s="305"/>
      <c r="F47" s="288" t="s">
        <v>400</v>
      </c>
      <c r="G47" s="289"/>
      <c r="H47" s="290"/>
      <c r="I47" s="315"/>
      <c r="J47" s="205">
        <v>1</v>
      </c>
      <c r="K47" s="264"/>
      <c r="M47" s="190"/>
    </row>
    <row r="48" spans="1:13" s="3" customFormat="1" x14ac:dyDescent="0.2">
      <c r="A48" s="76"/>
      <c r="J48" s="76"/>
      <c r="M48" s="190"/>
    </row>
    <row r="49" spans="1:30" ht="15" customHeight="1" x14ac:dyDescent="0.2">
      <c r="A49" s="12"/>
      <c r="B49" s="45" t="s">
        <v>129</v>
      </c>
      <c r="C49" s="12"/>
      <c r="D49" s="12"/>
      <c r="E49" s="12"/>
      <c r="F49" s="11"/>
      <c r="G49" s="11"/>
      <c r="H49" s="11"/>
      <c r="I49" s="11"/>
      <c r="J49" s="11"/>
      <c r="K49" s="11"/>
      <c r="L49" s="11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1.25" customHeight="1" x14ac:dyDescent="0.2">
      <c r="A50" s="12"/>
      <c r="B50" s="45"/>
      <c r="C50" s="12"/>
      <c r="D50" s="12"/>
      <c r="E50" s="12"/>
      <c r="F50" s="11"/>
      <c r="G50" s="11"/>
      <c r="H50" s="11"/>
      <c r="I50" s="11"/>
      <c r="J50" s="11"/>
      <c r="K50" s="11"/>
      <c r="L50" s="11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5" customHeight="1" x14ac:dyDescent="0.2">
      <c r="A51" s="12"/>
      <c r="B51" s="45" t="s">
        <v>130</v>
      </c>
      <c r="C51" s="12"/>
      <c r="D51" s="12"/>
      <c r="E51" s="12"/>
      <c r="F51" s="11"/>
      <c r="G51" s="11"/>
      <c r="H51" s="11"/>
      <c r="I51" s="11"/>
      <c r="J51" s="11"/>
      <c r="K51" s="11"/>
      <c r="L51" s="11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</sheetData>
  <mergeCells count="121">
    <mergeCell ref="B45:E45"/>
    <mergeCell ref="F45:K45"/>
    <mergeCell ref="A46:A47"/>
    <mergeCell ref="B46:E47"/>
    <mergeCell ref="F46:H46"/>
    <mergeCell ref="I46:I47"/>
    <mergeCell ref="K46:K47"/>
    <mergeCell ref="F47:H47"/>
    <mergeCell ref="A43:A44"/>
    <mergeCell ref="B43:E44"/>
    <mergeCell ref="F43:H43"/>
    <mergeCell ref="I43:I44"/>
    <mergeCell ref="K43:K44"/>
    <mergeCell ref="F44:H44"/>
    <mergeCell ref="B40:E40"/>
    <mergeCell ref="F40:K40"/>
    <mergeCell ref="A41:A42"/>
    <mergeCell ref="B41:E42"/>
    <mergeCell ref="F41:H41"/>
    <mergeCell ref="I41:I42"/>
    <mergeCell ref="K41:K42"/>
    <mergeCell ref="F42:H42"/>
    <mergeCell ref="A38:A39"/>
    <mergeCell ref="B38:E39"/>
    <mergeCell ref="F38:H38"/>
    <mergeCell ref="I38:I39"/>
    <mergeCell ref="K38:K39"/>
    <mergeCell ref="F39:H39"/>
    <mergeCell ref="A36:A37"/>
    <mergeCell ref="B36:E37"/>
    <mergeCell ref="F36:H36"/>
    <mergeCell ref="I36:I37"/>
    <mergeCell ref="K36:K37"/>
    <mergeCell ref="F37:H37"/>
    <mergeCell ref="B33:E33"/>
    <mergeCell ref="F33:K33"/>
    <mergeCell ref="A34:A35"/>
    <mergeCell ref="B34:E35"/>
    <mergeCell ref="F34:H34"/>
    <mergeCell ref="I34:I35"/>
    <mergeCell ref="K34:K35"/>
    <mergeCell ref="F35:H35"/>
    <mergeCell ref="A31:A32"/>
    <mergeCell ref="B31:E32"/>
    <mergeCell ref="F31:H31"/>
    <mergeCell ref="I31:I32"/>
    <mergeCell ref="K31:K32"/>
    <mergeCell ref="F32:H32"/>
    <mergeCell ref="A29:A30"/>
    <mergeCell ref="B29:E30"/>
    <mergeCell ref="F29:H29"/>
    <mergeCell ref="I29:I30"/>
    <mergeCell ref="K29:K30"/>
    <mergeCell ref="F30:H30"/>
    <mergeCell ref="A27:A28"/>
    <mergeCell ref="B27:E28"/>
    <mergeCell ref="F27:H27"/>
    <mergeCell ref="I27:I28"/>
    <mergeCell ref="K27:K28"/>
    <mergeCell ref="F28:H28"/>
    <mergeCell ref="B24:E24"/>
    <mergeCell ref="F24:K24"/>
    <mergeCell ref="A25:A26"/>
    <mergeCell ref="B25:E26"/>
    <mergeCell ref="F25:H25"/>
    <mergeCell ref="I25:I26"/>
    <mergeCell ref="K25:K26"/>
    <mergeCell ref="F26:H26"/>
    <mergeCell ref="A18:A20"/>
    <mergeCell ref="B18:D20"/>
    <mergeCell ref="F18:H19"/>
    <mergeCell ref="J18:J19"/>
    <mergeCell ref="F20:H20"/>
    <mergeCell ref="A21:A23"/>
    <mergeCell ref="B21:D23"/>
    <mergeCell ref="F21:H22"/>
    <mergeCell ref="J21:J22"/>
    <mergeCell ref="F23:H23"/>
    <mergeCell ref="B15:E15"/>
    <mergeCell ref="F15:K15"/>
    <mergeCell ref="A16:A17"/>
    <mergeCell ref="B16:E17"/>
    <mergeCell ref="F16:H16"/>
    <mergeCell ref="I16:I17"/>
    <mergeCell ref="K16:K17"/>
    <mergeCell ref="F17:H17"/>
    <mergeCell ref="A13:A14"/>
    <mergeCell ref="B13:E14"/>
    <mergeCell ref="F13:H13"/>
    <mergeCell ref="I13:I14"/>
    <mergeCell ref="K13:K14"/>
    <mergeCell ref="F14:H14"/>
    <mergeCell ref="A11:A12"/>
    <mergeCell ref="B11:E12"/>
    <mergeCell ref="F11:H11"/>
    <mergeCell ref="I11:I12"/>
    <mergeCell ref="K11:K12"/>
    <mergeCell ref="F12:H12"/>
    <mergeCell ref="A9:A10"/>
    <mergeCell ref="B9:E10"/>
    <mergeCell ref="F9:H9"/>
    <mergeCell ref="I9:I10"/>
    <mergeCell ref="K9:K10"/>
    <mergeCell ref="F10:H10"/>
    <mergeCell ref="B6:E6"/>
    <mergeCell ref="F6:K6"/>
    <mergeCell ref="A7:A8"/>
    <mergeCell ref="B7:E8"/>
    <mergeCell ref="F7:H7"/>
    <mergeCell ref="I7:I8"/>
    <mergeCell ref="K7:K8"/>
    <mergeCell ref="F8:H8"/>
    <mergeCell ref="A1:H1"/>
    <mergeCell ref="I1:K1"/>
    <mergeCell ref="B2:D2"/>
    <mergeCell ref="A3:K3"/>
    <mergeCell ref="A4:A5"/>
    <mergeCell ref="B4:E4"/>
    <mergeCell ref="F4:H4"/>
    <mergeCell ref="B5:E5"/>
    <mergeCell ref="F5:H5"/>
  </mergeCells>
  <dataValidations disablePrompts="1" count="2"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400-000000000000}"/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7:I14 I31:I32 I36:I38 I16:I23 I46:I47 I41:I44" xr:uid="{00000000-0002-0000-0400-000001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баланс</vt:lpstr>
      <vt:lpstr>Income</vt:lpstr>
      <vt:lpstr>17</vt:lpstr>
      <vt:lpstr>Мажбуриятлар тарикиби</vt:lpstr>
      <vt:lpstr>Иқт. норм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Suxrob Axmedov</dc:creator>
  <cp:lastModifiedBy>Пользователь</cp:lastModifiedBy>
  <dcterms:created xsi:type="dcterms:W3CDTF">2022-12-12T05:59:13Z</dcterms:created>
  <dcterms:modified xsi:type="dcterms:W3CDTF">2024-12-09T08:02:50Z</dcterms:modified>
</cp:coreProperties>
</file>