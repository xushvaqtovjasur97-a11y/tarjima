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Руслан\ҳРуслан-Академия-05.04.2023\Руслан-2023\Докторлик диссертация\Докторлик дис-14.06.2023\Банклар маълумоти\Микрокредитбанк-31.12.2016-31.12.2023\2022-йўқ\"/>
    </mc:Choice>
  </mc:AlternateContent>
  <xr:revisionPtr revIDLastSave="0" documentId="13_ncr:1_{04CFA409-4EDD-49B2-ACE9-4723EB040B73}" xr6:coauthVersionLast="47" xr6:coauthVersionMax="47" xr10:uidLastSave="{00000000-0000-0000-0000-000000000000}"/>
  <workbookProtection workbookPassword="CACA" lockStructure="1"/>
  <bookViews>
    <workbookView xWindow="390" yWindow="390" windowWidth="9795" windowHeight="10455" tabRatio="923" activeTab="1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Deposits_av rate" sheetId="30" r:id="rId15"/>
    <sheet name="Economic Normatives" sheetId="20" r:id="rId16"/>
    <sheet name="Miscellaneous" sheetId="21" r:id="rId17"/>
    <sheet name="ПФУ" sheetId="42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add21" localSheetId="17" hidden="1">[1]tab17!#REF!</definedName>
    <definedName name="___add21" localSheetId="17" hidden="1">[1]tab17!#REF!</definedName>
    <definedName name="__123Graph_A" localSheetId="17" hidden="1">'[2]tab 19'!#REF!</definedName>
    <definedName name="__123Graph_B" localSheetId="17" hidden="1">[3]tab17!#REF!</definedName>
    <definedName name="__123Graph_X" localSheetId="17" hidden="1">[3]tab17!#REF!</definedName>
    <definedName name="__2__123Graph_ACHART_1" hidden="1">[4]A!$C$31:$AJ$31</definedName>
    <definedName name="__4__123Graph_ACHART_2" hidden="1">[4]A!$C$31:$AJ$31</definedName>
    <definedName name="__add21" localSheetId="17" hidden="1">[1]tab17!#REF!</definedName>
    <definedName name="_10__123Graph_AREALEX_WAGE" localSheetId="17" hidden="1">'[2]tab 19'!#REF!</definedName>
    <definedName name="_10__123Graph_BCHART_2" hidden="1">[4]A!$C$36:$AJ$36</definedName>
    <definedName name="_10__123Graph_BREALEX_WAGE" localSheetId="17" hidden="1">#REF!</definedName>
    <definedName name="_11__123Graph_BCHART_1" hidden="1">[4]A!$C$28:$AJ$28</definedName>
    <definedName name="_12__123Graph_BREALEX_WAGE" localSheetId="17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7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7" hidden="1">#REF!</definedName>
    <definedName name="_2__123Graph_ACHART_1" hidden="1">[4]A!$C$31:$AJ$31</definedName>
    <definedName name="_20__123Graph_BREALEX_WAGE" localSheetId="17" hidden="1">#REF!</definedName>
    <definedName name="_20__123Graph_XCHART_2" hidden="1">[4]A!$C$39:$AJ$39</definedName>
    <definedName name="_22__123Graph_CCHART_2" hidden="1">[4]A!$C$38:$AJ$38</definedName>
    <definedName name="_22__123Graph_XREALEX_WAGE" localSheetId="17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7" hidden="1">#REF!</definedName>
    <definedName name="_32__123Graph_XCHART_2" hidden="1">[4]A!$C$39:$AJ$39</definedName>
    <definedName name="_36__123Graph_XREALEX_WAGE" localSheetId="17" hidden="1">#REF!</definedName>
    <definedName name="_4__123Graph_ACHART_2" hidden="1">[4]A!$C$31:$AJ$31</definedName>
    <definedName name="_5__123Graph_AREALEX_WAGE" localSheetId="17" hidden="1">'[2]tab 19'!#REF!</definedName>
    <definedName name="_6__123Graph_ACHART_2" hidden="1">[4]A!$C$31:$AJ$31</definedName>
    <definedName name="_6__123Graph_AREALEX_WAGE" localSheetId="17" hidden="1">'[5]tab 19'!#REF!</definedName>
    <definedName name="_7__123Graph_BCHART_1" hidden="1">[4]A!$C$28:$AJ$28</definedName>
    <definedName name="_8__123Graph_AREALEX_WAGE" localSheetId="17" hidden="1">'[2]tab 19'!#REF!</definedName>
    <definedName name="_8__123Graph_BCHART_1" hidden="1">[4]A!$C$28:$AJ$28</definedName>
    <definedName name="_9__123Graph_BCHART_2" hidden="1">[4]A!$C$36:$AJ$36</definedName>
    <definedName name="_add21" localSheetId="17" hidden="1">[1]tab17!#REF!</definedName>
    <definedName name="_Key1" localSheetId="17" hidden="1">#REF!</definedName>
    <definedName name="_Key2" localSheetId="17" hidden="1">#REF!</definedName>
    <definedName name="_Order1" hidden="1">255</definedName>
    <definedName name="_Order2" hidden="1">0</definedName>
    <definedName name="_Parse_Out" localSheetId="17" hidden="1">#REF!</definedName>
    <definedName name="_Sort" localSheetId="17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7">SUM('[7]Calculation of Risk Weighted As'!$C$41:$G$41)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7" hidden="1">{"BOP_TAB",#N/A,FALSE,"N";"MIDTERM_TAB",#N/A,FALSE,"O"}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7" hidden="1">{"MONA",#N/A,FALSE,"S"}</definedName>
    <definedName name="wrn.Output._.tables." localSheetId="17" hidden="1">{#N/A,#N/A,FALSE,"I";#N/A,#N/A,FALSE,"J";#N/A,#N/A,FALSE,"K";#N/A,#N/A,FALSE,"L";#N/A,#N/A,FALSE,"M";#N/A,#N/A,FALSE,"N";#N/A,#N/A,FALSE,"O"}</definedName>
    <definedName name="wrn.WEO." localSheetId="17" hidden="1">{"WEO",#N/A,FALSE,"T"}</definedName>
    <definedName name="апв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9">' Largest risk'!$A$1:$Z$94</definedName>
    <definedName name="_xlnm.Print_Area" localSheetId="5">'Aging Analysis'!$A$1:$Y$39</definedName>
    <definedName name="_xlnm.Print_Area" localSheetId="2">'Analysis of Interest'!$A$1:$C$76</definedName>
    <definedName name="_xlnm.Print_Area" localSheetId="6">'Asset Classification'!$A$1:$AB$79</definedName>
    <definedName name="_xlnm.Print_Area" localSheetId="7">'Asset Provisioning'!$A$1:$AU$78</definedName>
    <definedName name="_xlnm.Print_Area" localSheetId="0">'Asset quality'!$A$1:$T$69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10">'Charge-offs and Recoveries'!$A$1:$J$53</definedName>
    <definedName name="_xlnm.Print_Area" localSheetId="14">'Deposits_av rate'!$A$1:$N$20</definedName>
    <definedName name="_xlnm.Print_Area" localSheetId="15">'Economic Normatives'!$A$1:$K$51</definedName>
    <definedName name="_xlnm.Print_Area" localSheetId="1">'Income '!$A$1:$E$82</definedName>
    <definedName name="_xlnm.Print_Area" localSheetId="4">'Loans Receivable'!$A$1:$Y$89</definedName>
    <definedName name="_xlnm.Print_Area" localSheetId="13">'loans type'!$A$1:$Z$46</definedName>
    <definedName name="_xlnm.Print_Area" localSheetId="11">'loans_av rate'!$A$1:$H$48</definedName>
    <definedName name="_xlnm.Print_Area" localSheetId="16">Miscellaneous!$A$1:$C$29</definedName>
    <definedName name="_xlnm.Print_Area" localSheetId="8">'Transactions of related parties'!$A$1:$Z$94</definedName>
    <definedName name="_xlnm.Print_Area" localSheetId="17">ПФУ!$A$1:$B$43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30" l="1"/>
  <c r="M15" i="30"/>
  <c r="E15" i="30"/>
  <c r="G15" i="30"/>
  <c r="AA88" i="43" l="1"/>
  <c r="AA87" i="43"/>
  <c r="AA86" i="43"/>
  <c r="AA85" i="43"/>
  <c r="AA84" i="43"/>
  <c r="AA83" i="43"/>
  <c r="AA82" i="43"/>
  <c r="AA81" i="43"/>
  <c r="AA80" i="43"/>
  <c r="AA79" i="43"/>
  <c r="AA78" i="43"/>
  <c r="AA77" i="43"/>
  <c r="AA76" i="43"/>
  <c r="AA75" i="43"/>
  <c r="AA74" i="43"/>
  <c r="AA73" i="43"/>
  <c r="AA72" i="43"/>
  <c r="AA71" i="43"/>
  <c r="AA70" i="43"/>
  <c r="AA69" i="43"/>
  <c r="AA68" i="43"/>
  <c r="AA67" i="43"/>
  <c r="AA66" i="43"/>
  <c r="AA65" i="43"/>
  <c r="AA64" i="43"/>
  <c r="AA63" i="43"/>
  <c r="AA62" i="43"/>
  <c r="AA61" i="43"/>
  <c r="AA60" i="43"/>
  <c r="AA59" i="43"/>
  <c r="AA58" i="43"/>
  <c r="AA57" i="43"/>
  <c r="AA56" i="43"/>
  <c r="AA55" i="43"/>
  <c r="AA54" i="43"/>
  <c r="AA53" i="43"/>
  <c r="AA52" i="43"/>
  <c r="AA51" i="43"/>
  <c r="AA50" i="43"/>
  <c r="AA49" i="43"/>
  <c r="AA48" i="43"/>
  <c r="AA47" i="43"/>
  <c r="AA46" i="43"/>
  <c r="AA45" i="43"/>
  <c r="AA44" i="43"/>
  <c r="AA43" i="43"/>
  <c r="AA42" i="43"/>
  <c r="AA41" i="43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25" i="43"/>
  <c r="AA24" i="43"/>
  <c r="AA23" i="43"/>
  <c r="B54" i="42" l="1"/>
  <c r="B32" i="42" s="1"/>
  <c r="B29" i="42" s="1"/>
  <c r="B53" i="42"/>
  <c r="B52" i="42"/>
  <c r="B51" i="42"/>
  <c r="B50" i="42"/>
  <c r="B49" i="42"/>
  <c r="B48" i="42"/>
  <c r="B47" i="42"/>
  <c r="B38" i="42"/>
  <c r="B36" i="42"/>
  <c r="B30" i="42" s="1"/>
  <c r="B35" i="42"/>
  <c r="B33" i="42"/>
  <c r="B9" i="42"/>
  <c r="B6" i="42"/>
  <c r="B12" i="42"/>
  <c r="I23" i="20"/>
  <c r="I22" i="20"/>
  <c r="I21" i="20"/>
  <c r="I20" i="20"/>
  <c r="I19" i="20"/>
  <c r="I18" i="20"/>
  <c r="I16" i="20"/>
  <c r="M27" i="30"/>
  <c r="I27" i="30"/>
  <c r="G24" i="30"/>
  <c r="C24" i="30"/>
  <c r="P16" i="30"/>
  <c r="P15" i="30"/>
  <c r="P14" i="30"/>
  <c r="P13" i="30"/>
  <c r="P12" i="30"/>
  <c r="P11" i="30"/>
  <c r="P10" i="30"/>
  <c r="P9" i="30"/>
  <c r="P8" i="30"/>
  <c r="M49" i="13"/>
  <c r="B34" i="42" l="1"/>
  <c r="B31" i="42"/>
  <c r="B28" i="42"/>
  <c r="B39" i="42"/>
  <c r="B37" i="42" s="1"/>
  <c r="K27" i="30"/>
  <c r="E24" i="30"/>
  <c r="G42" i="9" l="1"/>
  <c r="J92" i="24"/>
  <c r="E92" i="24"/>
  <c r="D92" i="24"/>
  <c r="C92" i="24"/>
  <c r="D14" i="6" l="1"/>
  <c r="D8" i="6"/>
  <c r="C73" i="26"/>
  <c r="C6" i="21" l="1"/>
  <c r="H41" i="13"/>
  <c r="H40" i="13"/>
  <c r="D39" i="13"/>
  <c r="H39" i="13" s="1"/>
  <c r="D38" i="13"/>
  <c r="H38" i="13" s="1"/>
  <c r="H37" i="13"/>
  <c r="H36" i="13"/>
  <c r="D35" i="13"/>
  <c r="H35" i="13" s="1"/>
  <c r="D34" i="13"/>
  <c r="H34" i="13" s="1"/>
  <c r="H48" i="13"/>
  <c r="H47" i="13"/>
  <c r="H46" i="13"/>
  <c r="H45" i="13"/>
  <c r="H44" i="13"/>
  <c r="C58" i="2" l="1"/>
  <c r="C59" i="2"/>
  <c r="C60" i="2"/>
  <c r="C61" i="2"/>
  <c r="C62" i="2"/>
  <c r="C63" i="2"/>
  <c r="C64" i="2"/>
  <c r="C65" i="2"/>
  <c r="C66" i="2"/>
  <c r="C67" i="2"/>
  <c r="C68" i="2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J72" i="48"/>
  <c r="AI72" i="48"/>
  <c r="AN72" i="48" s="1"/>
  <c r="AH72" i="48"/>
  <c r="AK72" i="48" s="1"/>
  <c r="AE72" i="48"/>
  <c r="AB72" i="48"/>
  <c r="AA72" i="48"/>
  <c r="AF72" i="48" s="1"/>
  <c r="Z72" i="48"/>
  <c r="AC72" i="48" s="1"/>
  <c r="W72" i="48"/>
  <c r="T72" i="48"/>
  <c r="S72" i="48"/>
  <c r="X72" i="48" s="1"/>
  <c r="R72" i="48"/>
  <c r="U72" i="48" s="1"/>
  <c r="O72" i="48"/>
  <c r="L72" i="48"/>
  <c r="K72" i="48"/>
  <c r="P72" i="48" s="1"/>
  <c r="J72" i="48"/>
  <c r="M72" i="48" s="1"/>
  <c r="G72" i="48"/>
  <c r="F72" i="48"/>
  <c r="E72" i="48"/>
  <c r="H72" i="48" s="1"/>
  <c r="F54" i="48"/>
  <c r="E54" i="48"/>
  <c r="H54" i="48" s="1"/>
  <c r="Y72" i="48" l="1"/>
  <c r="AT73" i="48"/>
  <c r="I72" i="48"/>
  <c r="AS72" i="48"/>
  <c r="AP72" i="48"/>
  <c r="N73" i="48"/>
  <c r="AD73" i="48"/>
  <c r="AP73" i="48"/>
  <c r="AO72" i="48"/>
  <c r="AS73" i="48"/>
  <c r="V72" i="48"/>
  <c r="AL72" i="48"/>
  <c r="AQ72" i="48"/>
  <c r="I73" i="48"/>
  <c r="AQ73" i="48"/>
  <c r="AL73" i="48"/>
  <c r="AO73" i="48"/>
  <c r="V73" i="48"/>
  <c r="Q73" i="48"/>
  <c r="Y73" i="48"/>
  <c r="AT72" i="48"/>
  <c r="AU72" i="48" s="1"/>
  <c r="Q72" i="48"/>
  <c r="N72" i="48"/>
  <c r="AD72" i="48"/>
  <c r="AG72" i="48"/>
  <c r="AR72" i="48" l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G70" i="48"/>
  <c r="F70" i="48"/>
  <c r="E70" i="48"/>
  <c r="H70" i="48" s="1"/>
  <c r="AM69" i="48"/>
  <c r="AJ69" i="48"/>
  <c r="AI69" i="48"/>
  <c r="AN69" i="48" s="1"/>
  <c r="AH69" i="48"/>
  <c r="AE69" i="48"/>
  <c r="AB69" i="48"/>
  <c r="AA69" i="48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G69" i="48"/>
  <c r="F69" i="48"/>
  <c r="E69" i="48"/>
  <c r="AM68" i="48"/>
  <c r="AJ68" i="48"/>
  <c r="AI68" i="48"/>
  <c r="AN68" i="48" s="1"/>
  <c r="AH68" i="48"/>
  <c r="AE68" i="48"/>
  <c r="AB68" i="48"/>
  <c r="AA68" i="48"/>
  <c r="AF68" i="48" s="1"/>
  <c r="Z68" i="48"/>
  <c r="AC68" i="48" s="1"/>
  <c r="W68" i="48"/>
  <c r="T68" i="48"/>
  <c r="S68" i="48"/>
  <c r="R68" i="48"/>
  <c r="O68" i="48"/>
  <c r="L68" i="48"/>
  <c r="K68" i="48"/>
  <c r="P68" i="48" s="1"/>
  <c r="J68" i="48"/>
  <c r="M68" i="48" s="1"/>
  <c r="G68" i="48"/>
  <c r="F68" i="48"/>
  <c r="E68" i="48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J67" i="48"/>
  <c r="G67" i="48"/>
  <c r="F67" i="48"/>
  <c r="E67" i="48"/>
  <c r="H67" i="48" s="1"/>
  <c r="AM66" i="48"/>
  <c r="AJ66" i="48"/>
  <c r="AI66" i="48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N66" i="48" s="1"/>
  <c r="G66" i="48"/>
  <c r="F66" i="48"/>
  <c r="E66" i="48"/>
  <c r="AM65" i="48"/>
  <c r="AJ65" i="48"/>
  <c r="AI65" i="48"/>
  <c r="AH65" i="48"/>
  <c r="AE65" i="48"/>
  <c r="AB65" i="48"/>
  <c r="AA65" i="48"/>
  <c r="Z65" i="48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H63" i="48"/>
  <c r="AK63" i="48" s="1"/>
  <c r="AE63" i="48"/>
  <c r="AB63" i="48"/>
  <c r="AA63" i="48"/>
  <c r="AF63" i="48" s="1"/>
  <c r="Z63" i="48"/>
  <c r="AC63" i="48" s="1"/>
  <c r="W63" i="48"/>
  <c r="T63" i="48"/>
  <c r="S63" i="48"/>
  <c r="R63" i="48"/>
  <c r="U63" i="48" s="1"/>
  <c r="O63" i="48"/>
  <c r="L63" i="48"/>
  <c r="K63" i="48"/>
  <c r="P63" i="48" s="1"/>
  <c r="J63" i="48"/>
  <c r="G63" i="48"/>
  <c r="F63" i="48"/>
  <c r="E63" i="48"/>
  <c r="H63" i="48" s="1"/>
  <c r="AM62" i="48"/>
  <c r="AJ62" i="48"/>
  <c r="AI62" i="48"/>
  <c r="AH62" i="48"/>
  <c r="AE62" i="48"/>
  <c r="AB62" i="48"/>
  <c r="AA62" i="48"/>
  <c r="Z62" i="48"/>
  <c r="W62" i="48"/>
  <c r="T62" i="48"/>
  <c r="S62" i="48"/>
  <c r="X62" i="48" s="1"/>
  <c r="R62" i="48"/>
  <c r="U62" i="48" s="1"/>
  <c r="O62" i="48"/>
  <c r="L62" i="48"/>
  <c r="K62" i="48"/>
  <c r="P62" i="48" s="1"/>
  <c r="J62" i="48"/>
  <c r="G62" i="48"/>
  <c r="F62" i="48"/>
  <c r="E62" i="48"/>
  <c r="H62" i="48" s="1"/>
  <c r="AM61" i="48"/>
  <c r="AJ61" i="48"/>
  <c r="AI61" i="48"/>
  <c r="AN61" i="48" s="1"/>
  <c r="AH61" i="48"/>
  <c r="AE61" i="48"/>
  <c r="AB61" i="48"/>
  <c r="AA61" i="48"/>
  <c r="AF61" i="48" s="1"/>
  <c r="Z61" i="48"/>
  <c r="AC61" i="48" s="1"/>
  <c r="W61" i="48"/>
  <c r="T61" i="48"/>
  <c r="S61" i="48"/>
  <c r="X61" i="48" s="1"/>
  <c r="R61" i="48"/>
  <c r="O61" i="48"/>
  <c r="L61" i="48"/>
  <c r="K61" i="48"/>
  <c r="J61" i="48"/>
  <c r="M61" i="48" s="1"/>
  <c r="G61" i="48"/>
  <c r="F61" i="48"/>
  <c r="E61" i="48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R60" i="48"/>
  <c r="O60" i="48"/>
  <c r="AS60" i="48" s="1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Z59" i="48"/>
  <c r="W59" i="48"/>
  <c r="T59" i="48"/>
  <c r="S59" i="48"/>
  <c r="X59" i="48" s="1"/>
  <c r="R59" i="48"/>
  <c r="U59" i="48" s="1"/>
  <c r="O59" i="48"/>
  <c r="L59" i="48"/>
  <c r="K59" i="48"/>
  <c r="J59" i="48"/>
  <c r="G59" i="48"/>
  <c r="F59" i="48"/>
  <c r="E59" i="48"/>
  <c r="AM58" i="48"/>
  <c r="AJ58" i="48"/>
  <c r="AI58" i="48"/>
  <c r="AH58" i="48"/>
  <c r="AK58" i="48" s="1"/>
  <c r="AE58" i="48"/>
  <c r="AB58" i="48"/>
  <c r="AA58" i="48"/>
  <c r="AF58" i="48" s="1"/>
  <c r="Z58" i="48"/>
  <c r="AC58" i="48" s="1"/>
  <c r="W58" i="48"/>
  <c r="T58" i="48"/>
  <c r="S58" i="48"/>
  <c r="R58" i="48"/>
  <c r="O58" i="48"/>
  <c r="L58" i="48"/>
  <c r="K58" i="48"/>
  <c r="P58" i="48" s="1"/>
  <c r="J58" i="48"/>
  <c r="M58" i="48" s="1"/>
  <c r="G58" i="48"/>
  <c r="F58" i="48"/>
  <c r="E58" i="48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AM52" i="48"/>
  <c r="AJ52" i="48"/>
  <c r="AI52" i="48"/>
  <c r="AH52" i="48"/>
  <c r="AK52" i="48" s="1"/>
  <c r="AE52" i="48"/>
  <c r="AB52" i="48"/>
  <c r="AA52" i="48"/>
  <c r="Z52" i="48"/>
  <c r="W52" i="48"/>
  <c r="T52" i="48"/>
  <c r="S52" i="48"/>
  <c r="X52" i="48" s="1"/>
  <c r="R52" i="48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Z51" i="48"/>
  <c r="W51" i="48"/>
  <c r="T51" i="48"/>
  <c r="S51" i="48"/>
  <c r="X51" i="48" s="1"/>
  <c r="R51" i="48"/>
  <c r="U51" i="48" s="1"/>
  <c r="O51" i="48"/>
  <c r="L51" i="48"/>
  <c r="K51" i="48"/>
  <c r="J51" i="48"/>
  <c r="M51" i="48" s="1"/>
  <c r="G51" i="48"/>
  <c r="F51" i="48"/>
  <c r="E51" i="48"/>
  <c r="H51" i="48" s="1"/>
  <c r="AM50" i="48"/>
  <c r="AJ50" i="48"/>
  <c r="AI50" i="48"/>
  <c r="AH50" i="48"/>
  <c r="AK50" i="48" s="1"/>
  <c r="AE50" i="48"/>
  <c r="AB50" i="48"/>
  <c r="AA50" i="48"/>
  <c r="AF50" i="48" s="1"/>
  <c r="Z50" i="48"/>
  <c r="AC50" i="48" s="1"/>
  <c r="W50" i="48"/>
  <c r="T50" i="48"/>
  <c r="S50" i="48"/>
  <c r="R50" i="48"/>
  <c r="U50" i="48" s="1"/>
  <c r="O50" i="48"/>
  <c r="L50" i="48"/>
  <c r="K50" i="48"/>
  <c r="J50" i="48"/>
  <c r="G50" i="48"/>
  <c r="F50" i="48"/>
  <c r="E50" i="48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W49" i="48"/>
  <c r="T49" i="48"/>
  <c r="S49" i="48"/>
  <c r="X49" i="48" s="1"/>
  <c r="R49" i="48"/>
  <c r="U49" i="48" s="1"/>
  <c r="O49" i="48"/>
  <c r="L49" i="48"/>
  <c r="K49" i="48"/>
  <c r="J49" i="48"/>
  <c r="G49" i="48"/>
  <c r="F49" i="48"/>
  <c r="E49" i="48"/>
  <c r="H49" i="48" s="1"/>
  <c r="AM48" i="48"/>
  <c r="AJ48" i="48"/>
  <c r="AI48" i="48"/>
  <c r="AN48" i="48" s="1"/>
  <c r="AH48" i="48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AM47" i="48"/>
  <c r="AJ47" i="48"/>
  <c r="AI47" i="48"/>
  <c r="AH47" i="48"/>
  <c r="AE47" i="48"/>
  <c r="AB47" i="48"/>
  <c r="AA47" i="48"/>
  <c r="Z47" i="48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Z46" i="48"/>
  <c r="AC46" i="48" s="1"/>
  <c r="W46" i="48"/>
  <c r="T46" i="48"/>
  <c r="S46" i="48"/>
  <c r="X46" i="48" s="1"/>
  <c r="R46" i="48"/>
  <c r="U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H45" i="48"/>
  <c r="AE45" i="48"/>
  <c r="AB45" i="48"/>
  <c r="AA45" i="48"/>
  <c r="AF45" i="48" s="1"/>
  <c r="Z45" i="48"/>
  <c r="AC45" i="48" s="1"/>
  <c r="W45" i="48"/>
  <c r="T45" i="48"/>
  <c r="S45" i="48"/>
  <c r="R45" i="48"/>
  <c r="U45" i="48" s="1"/>
  <c r="O45" i="48"/>
  <c r="L45" i="48"/>
  <c r="K45" i="48"/>
  <c r="J45" i="48"/>
  <c r="M45" i="48" s="1"/>
  <c r="G45" i="48"/>
  <c r="F45" i="48"/>
  <c r="E45" i="48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J44" i="48"/>
  <c r="G44" i="48"/>
  <c r="F44" i="48"/>
  <c r="E44" i="48"/>
  <c r="AM43" i="48"/>
  <c r="AJ43" i="48"/>
  <c r="AI43" i="48"/>
  <c r="AN43" i="48" s="1"/>
  <c r="AH43" i="48"/>
  <c r="AE43" i="48"/>
  <c r="AB43" i="48"/>
  <c r="AA43" i="48"/>
  <c r="AF43" i="48" s="1"/>
  <c r="Z43" i="48"/>
  <c r="AC43" i="48" s="1"/>
  <c r="W43" i="48"/>
  <c r="T43" i="48"/>
  <c r="S43" i="48"/>
  <c r="R43" i="48"/>
  <c r="O43" i="48"/>
  <c r="L43" i="48"/>
  <c r="K43" i="48"/>
  <c r="P43" i="48" s="1"/>
  <c r="J43" i="48"/>
  <c r="M43" i="48" s="1"/>
  <c r="G43" i="48"/>
  <c r="F43" i="48"/>
  <c r="E43" i="48"/>
  <c r="AM42" i="48"/>
  <c r="AJ42" i="48"/>
  <c r="AI42" i="48"/>
  <c r="AH42" i="48"/>
  <c r="AE42" i="48"/>
  <c r="AB42" i="48"/>
  <c r="AA42" i="48"/>
  <c r="Z42" i="48"/>
  <c r="AC42" i="48" s="1"/>
  <c r="W42" i="48"/>
  <c r="T42" i="48"/>
  <c r="S42" i="48"/>
  <c r="X42" i="48" s="1"/>
  <c r="R42" i="48"/>
  <c r="O42" i="48"/>
  <c r="L42" i="48"/>
  <c r="K42" i="48"/>
  <c r="P42" i="48" s="1"/>
  <c r="J42" i="48"/>
  <c r="G42" i="48"/>
  <c r="F42" i="48"/>
  <c r="E42" i="48"/>
  <c r="H42" i="48" s="1"/>
  <c r="AM41" i="48"/>
  <c r="AJ41" i="48"/>
  <c r="AI41" i="48"/>
  <c r="AN41" i="48" s="1"/>
  <c r="AH41" i="48"/>
  <c r="AE41" i="48"/>
  <c r="AB41" i="48"/>
  <c r="AA41" i="48"/>
  <c r="Z41" i="48"/>
  <c r="AC41" i="48" s="1"/>
  <c r="W41" i="48"/>
  <c r="T41" i="48"/>
  <c r="S41" i="48"/>
  <c r="X41" i="48" s="1"/>
  <c r="R41" i="48"/>
  <c r="O41" i="48"/>
  <c r="L41" i="48"/>
  <c r="K41" i="48"/>
  <c r="P41" i="48" s="1"/>
  <c r="J41" i="48"/>
  <c r="M41" i="48" s="1"/>
  <c r="G41" i="48"/>
  <c r="F41" i="48"/>
  <c r="E41" i="48"/>
  <c r="AM40" i="48"/>
  <c r="AJ40" i="48"/>
  <c r="AI40" i="48"/>
  <c r="AH40" i="48"/>
  <c r="AK40" i="48" s="1"/>
  <c r="AE40" i="48"/>
  <c r="AB40" i="48"/>
  <c r="AA40" i="48"/>
  <c r="AF40" i="48" s="1"/>
  <c r="AG40" i="48" s="1"/>
  <c r="Z40" i="48"/>
  <c r="W40" i="48"/>
  <c r="T40" i="48"/>
  <c r="S40" i="48"/>
  <c r="R40" i="48"/>
  <c r="U40" i="48" s="1"/>
  <c r="O40" i="48"/>
  <c r="L40" i="48"/>
  <c r="K40" i="48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W39" i="48"/>
  <c r="T39" i="48"/>
  <c r="S39" i="48"/>
  <c r="X39" i="48" s="1"/>
  <c r="R39" i="48"/>
  <c r="U39" i="48" s="1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E38" i="48"/>
  <c r="AB38" i="48"/>
  <c r="AA38" i="48"/>
  <c r="Z38" i="48"/>
  <c r="W38" i="48"/>
  <c r="T38" i="48"/>
  <c r="S38" i="48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V37" i="48" s="1"/>
  <c r="O37" i="48"/>
  <c r="L37" i="48"/>
  <c r="K37" i="48"/>
  <c r="J37" i="48"/>
  <c r="M37" i="48" s="1"/>
  <c r="G37" i="48"/>
  <c r="F37" i="48"/>
  <c r="E37" i="48"/>
  <c r="H37" i="48" s="1"/>
  <c r="AM36" i="48"/>
  <c r="AJ36" i="48"/>
  <c r="AI36" i="48"/>
  <c r="AN36" i="48" s="1"/>
  <c r="AH36" i="48"/>
  <c r="AE36" i="48"/>
  <c r="AB36" i="48"/>
  <c r="AA36" i="48"/>
  <c r="Z36" i="48"/>
  <c r="AC36" i="48" s="1"/>
  <c r="W36" i="48"/>
  <c r="T36" i="48"/>
  <c r="S36" i="48"/>
  <c r="R36" i="48"/>
  <c r="U36" i="48" s="1"/>
  <c r="O36" i="48"/>
  <c r="L36" i="48"/>
  <c r="K36" i="48"/>
  <c r="J36" i="48"/>
  <c r="G36" i="48"/>
  <c r="F36" i="48"/>
  <c r="E36" i="48"/>
  <c r="AM35" i="48"/>
  <c r="AJ35" i="48"/>
  <c r="AI35" i="48"/>
  <c r="AH35" i="48"/>
  <c r="AK35" i="48" s="1"/>
  <c r="AE35" i="48"/>
  <c r="AB35" i="48"/>
  <c r="AA35" i="48"/>
  <c r="Z35" i="48"/>
  <c r="AC35" i="48" s="1"/>
  <c r="W35" i="48"/>
  <c r="T35" i="48"/>
  <c r="S35" i="48"/>
  <c r="X35" i="48" s="1"/>
  <c r="R35" i="48"/>
  <c r="U35" i="48" s="1"/>
  <c r="O35" i="48"/>
  <c r="L35" i="48"/>
  <c r="K35" i="48"/>
  <c r="J35" i="48"/>
  <c r="M35" i="48" s="1"/>
  <c r="G35" i="48"/>
  <c r="F35" i="48"/>
  <c r="E35" i="48"/>
  <c r="AM30" i="48"/>
  <c r="AJ30" i="48"/>
  <c r="AI30" i="48"/>
  <c r="AH30" i="48"/>
  <c r="AK30" i="48" s="1"/>
  <c r="AE30" i="48"/>
  <c r="AB30" i="48"/>
  <c r="AA30" i="48"/>
  <c r="AF30" i="48" s="1"/>
  <c r="Z30" i="48"/>
  <c r="AC30" i="48" s="1"/>
  <c r="W30" i="48"/>
  <c r="T30" i="48"/>
  <c r="S30" i="48"/>
  <c r="R30" i="48"/>
  <c r="O30" i="48"/>
  <c r="L30" i="48"/>
  <c r="K30" i="48"/>
  <c r="J30" i="48"/>
  <c r="M30" i="48" s="1"/>
  <c r="G30" i="48"/>
  <c r="F30" i="48"/>
  <c r="E30" i="48"/>
  <c r="H30" i="48" s="1"/>
  <c r="AM29" i="48"/>
  <c r="AJ29" i="48"/>
  <c r="AI29" i="48"/>
  <c r="AH29" i="48"/>
  <c r="AE29" i="48"/>
  <c r="AB29" i="48"/>
  <c r="AA29" i="48"/>
  <c r="AF29" i="48" s="1"/>
  <c r="Z29" i="48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AM27" i="48"/>
  <c r="AJ27" i="48"/>
  <c r="AI27" i="48"/>
  <c r="AN27" i="48" s="1"/>
  <c r="AH27" i="48"/>
  <c r="AE27" i="48"/>
  <c r="AB27" i="48"/>
  <c r="AA27" i="48"/>
  <c r="AF27" i="48" s="1"/>
  <c r="Z27" i="48"/>
  <c r="W27" i="48"/>
  <c r="T27" i="48"/>
  <c r="S27" i="48"/>
  <c r="X27" i="48" s="1"/>
  <c r="R27" i="48"/>
  <c r="O27" i="48"/>
  <c r="L27" i="48"/>
  <c r="K27" i="48"/>
  <c r="J27" i="48"/>
  <c r="M27" i="48" s="1"/>
  <c r="G27" i="48"/>
  <c r="F27" i="48"/>
  <c r="E27" i="48"/>
  <c r="H27" i="48" s="1"/>
  <c r="AM26" i="48"/>
  <c r="AJ26" i="48"/>
  <c r="AI26" i="48"/>
  <c r="AH26" i="48"/>
  <c r="AE26" i="48"/>
  <c r="AB26" i="48"/>
  <c r="AA26" i="48"/>
  <c r="AF26" i="48" s="1"/>
  <c r="Z26" i="48"/>
  <c r="AC26" i="48" s="1"/>
  <c r="W26" i="48"/>
  <c r="T26" i="48"/>
  <c r="S26" i="48"/>
  <c r="X26" i="48" s="1"/>
  <c r="R26" i="48"/>
  <c r="O26" i="48"/>
  <c r="L26" i="48"/>
  <c r="K26" i="48"/>
  <c r="P26" i="48" s="1"/>
  <c r="J26" i="48"/>
  <c r="M26" i="48" s="1"/>
  <c r="G26" i="48"/>
  <c r="F26" i="48"/>
  <c r="E26" i="48"/>
  <c r="AM25" i="48"/>
  <c r="AJ25" i="48"/>
  <c r="AI25" i="48"/>
  <c r="AN25" i="48" s="1"/>
  <c r="AH25" i="48"/>
  <c r="AK25" i="48" s="1"/>
  <c r="AE25" i="48"/>
  <c r="AB25" i="48"/>
  <c r="AA25" i="48"/>
  <c r="Z25" i="48"/>
  <c r="W25" i="48"/>
  <c r="T25" i="48"/>
  <c r="S25" i="48"/>
  <c r="R25" i="48"/>
  <c r="U25" i="48" s="1"/>
  <c r="O25" i="48"/>
  <c r="L25" i="48"/>
  <c r="K25" i="48"/>
  <c r="J25" i="48"/>
  <c r="M25" i="48" s="1"/>
  <c r="G25" i="48"/>
  <c r="F25" i="48"/>
  <c r="E25" i="48"/>
  <c r="H25" i="48" s="1"/>
  <c r="AM24" i="48"/>
  <c r="AJ24" i="48"/>
  <c r="AI24" i="48"/>
  <c r="AN24" i="48" s="1"/>
  <c r="AH24" i="48"/>
  <c r="AE24" i="48"/>
  <c r="AB24" i="48"/>
  <c r="AA24" i="48"/>
  <c r="AF24" i="48" s="1"/>
  <c r="AG24" i="48" s="1"/>
  <c r="Z24" i="48"/>
  <c r="AC24" i="48" s="1"/>
  <c r="W24" i="48"/>
  <c r="T24" i="48"/>
  <c r="S24" i="48"/>
  <c r="R24" i="48"/>
  <c r="U24" i="48" s="1"/>
  <c r="O24" i="48"/>
  <c r="L24" i="48"/>
  <c r="K24" i="48"/>
  <c r="J24" i="48"/>
  <c r="M24" i="48" s="1"/>
  <c r="G24" i="48"/>
  <c r="F24" i="48"/>
  <c r="E24" i="48"/>
  <c r="H24" i="48" s="1"/>
  <c r="AM23" i="48"/>
  <c r="AJ23" i="48"/>
  <c r="AI23" i="48"/>
  <c r="AN23" i="48" s="1"/>
  <c r="AO23" i="48" s="1"/>
  <c r="AH23" i="48"/>
  <c r="AE23" i="48"/>
  <c r="AB23" i="48"/>
  <c r="AA23" i="48"/>
  <c r="AF23" i="48" s="1"/>
  <c r="Z23" i="48"/>
  <c r="W23" i="48"/>
  <c r="T23" i="48"/>
  <c r="S23" i="48"/>
  <c r="X23" i="48" s="1"/>
  <c r="R23" i="48"/>
  <c r="U23" i="48" s="1"/>
  <c r="V23" i="48" s="1"/>
  <c r="O23" i="48"/>
  <c r="L23" i="48"/>
  <c r="K23" i="48"/>
  <c r="J23" i="48"/>
  <c r="G23" i="48"/>
  <c r="F23" i="48"/>
  <c r="E23" i="48"/>
  <c r="H23" i="48" s="1"/>
  <c r="AM22" i="48"/>
  <c r="AJ22" i="48"/>
  <c r="AI22" i="48"/>
  <c r="AH22" i="48"/>
  <c r="AE22" i="48"/>
  <c r="AB22" i="48"/>
  <c r="AA22" i="48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AM21" i="48"/>
  <c r="AJ21" i="48"/>
  <c r="AI21" i="48"/>
  <c r="AH21" i="48"/>
  <c r="AK21" i="48" s="1"/>
  <c r="AE21" i="48"/>
  <c r="AB21" i="48"/>
  <c r="AA21" i="48"/>
  <c r="AF21" i="48" s="1"/>
  <c r="Z21" i="48"/>
  <c r="AC21" i="48" s="1"/>
  <c r="W21" i="48"/>
  <c r="T21" i="48"/>
  <c r="S21" i="48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H20" i="48"/>
  <c r="AK20" i="48" s="1"/>
  <c r="AE20" i="48"/>
  <c r="AB20" i="48"/>
  <c r="AA20" i="48"/>
  <c r="Z20" i="48"/>
  <c r="AC20" i="48" s="1"/>
  <c r="W20" i="48"/>
  <c r="T20" i="48"/>
  <c r="S20" i="48"/>
  <c r="X20" i="48" s="1"/>
  <c r="R20" i="48"/>
  <c r="O20" i="48"/>
  <c r="L20" i="48"/>
  <c r="K20" i="48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J18" i="48"/>
  <c r="M18" i="48" s="1"/>
  <c r="G18" i="48"/>
  <c r="F18" i="48"/>
  <c r="E18" i="48"/>
  <c r="AM17" i="48"/>
  <c r="AJ17" i="48"/>
  <c r="AI17" i="48"/>
  <c r="AH17" i="48"/>
  <c r="AK17" i="48" s="1"/>
  <c r="AE17" i="48"/>
  <c r="AB17" i="48"/>
  <c r="AA17" i="48"/>
  <c r="Z17" i="48"/>
  <c r="W17" i="48"/>
  <c r="T17" i="48"/>
  <c r="S17" i="48"/>
  <c r="R17" i="48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O16" i="48"/>
  <c r="L16" i="48"/>
  <c r="K16" i="48"/>
  <c r="J16" i="48"/>
  <c r="M16" i="48" s="1"/>
  <c r="G16" i="48"/>
  <c r="F16" i="48"/>
  <c r="E16" i="48"/>
  <c r="H16" i="48" s="1"/>
  <c r="AM15" i="48"/>
  <c r="AJ15" i="48"/>
  <c r="AI15" i="48"/>
  <c r="AN15" i="48" s="1"/>
  <c r="AH15" i="48"/>
  <c r="AE15" i="48"/>
  <c r="AB15" i="48"/>
  <c r="AA15" i="48"/>
  <c r="AF15" i="48" s="1"/>
  <c r="Z15" i="48"/>
  <c r="W15" i="48"/>
  <c r="T15" i="48"/>
  <c r="S15" i="48"/>
  <c r="R15" i="48"/>
  <c r="U15" i="48" s="1"/>
  <c r="O15" i="48"/>
  <c r="L15" i="48"/>
  <c r="K15" i="48"/>
  <c r="J15" i="48"/>
  <c r="G15" i="48"/>
  <c r="F15" i="48"/>
  <c r="E15" i="48"/>
  <c r="H15" i="48" s="1"/>
  <c r="AM14" i="48"/>
  <c r="AJ14" i="48"/>
  <c r="AI14" i="48"/>
  <c r="AH14" i="48"/>
  <c r="AK14" i="48" s="1"/>
  <c r="AE14" i="48"/>
  <c r="AB14" i="48"/>
  <c r="AA14" i="48"/>
  <c r="AF14" i="48" s="1"/>
  <c r="Z14" i="48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O13" i="48" s="1"/>
  <c r="AH13" i="48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Q13" i="48" s="1"/>
  <c r="J13" i="48"/>
  <c r="M13" i="48" s="1"/>
  <c r="N13" i="48" s="1"/>
  <c r="G13" i="48"/>
  <c r="F13" i="48"/>
  <c r="E13" i="48"/>
  <c r="H13" i="48" s="1"/>
  <c r="AM12" i="48"/>
  <c r="AJ12" i="48"/>
  <c r="AI12" i="48"/>
  <c r="AN12" i="48" s="1"/>
  <c r="AO12" i="48" s="1"/>
  <c r="AH12" i="48"/>
  <c r="AE12" i="48"/>
  <c r="AB12" i="48"/>
  <c r="AA12" i="48"/>
  <c r="Z12" i="48"/>
  <c r="W12" i="48"/>
  <c r="T12" i="48"/>
  <c r="S12" i="48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AD11" i="48" s="1"/>
  <c r="W11" i="48"/>
  <c r="T11" i="48"/>
  <c r="S11" i="48"/>
  <c r="X11" i="48" s="1"/>
  <c r="R11" i="48"/>
  <c r="U11" i="48" s="1"/>
  <c r="V11" i="48" s="1"/>
  <c r="O11" i="48"/>
  <c r="L11" i="48"/>
  <c r="K11" i="48"/>
  <c r="P11" i="48" s="1"/>
  <c r="J11" i="48"/>
  <c r="M11" i="48" s="1"/>
  <c r="N11" i="48" s="1"/>
  <c r="G11" i="48"/>
  <c r="F11" i="48"/>
  <c r="E11" i="48"/>
  <c r="H11" i="48" s="1"/>
  <c r="AM10" i="48"/>
  <c r="AJ10" i="48"/>
  <c r="AI10" i="48"/>
  <c r="AN10" i="48" s="1"/>
  <c r="AH10" i="48"/>
  <c r="AE10" i="48"/>
  <c r="AB10" i="48"/>
  <c r="AA10" i="48"/>
  <c r="AF10" i="48" s="1"/>
  <c r="Z10" i="48"/>
  <c r="AC10" i="48" s="1"/>
  <c r="AD10" i="48" s="1"/>
  <c r="W10" i="48"/>
  <c r="T10" i="48"/>
  <c r="S10" i="48"/>
  <c r="X10" i="48" s="1"/>
  <c r="Y10" i="48" s="1"/>
  <c r="R10" i="48"/>
  <c r="O10" i="48"/>
  <c r="AS10" i="48" s="1"/>
  <c r="L10" i="48"/>
  <c r="K10" i="48"/>
  <c r="P10" i="48" s="1"/>
  <c r="J10" i="48"/>
  <c r="M10" i="48" s="1"/>
  <c r="G10" i="48"/>
  <c r="F10" i="48"/>
  <c r="E10" i="48"/>
  <c r="AM9" i="48"/>
  <c r="AJ9" i="48"/>
  <c r="AI9" i="48"/>
  <c r="AN9" i="48" s="1"/>
  <c r="AH9" i="48"/>
  <c r="AK9" i="48" s="1"/>
  <c r="AE9" i="48"/>
  <c r="AB9" i="48"/>
  <c r="AA9" i="48"/>
  <c r="AF9" i="48" s="1"/>
  <c r="AG9" i="48" s="1"/>
  <c r="Z9" i="48"/>
  <c r="AC9" i="48" s="1"/>
  <c r="AD9" i="48" s="1"/>
  <c r="W9" i="48"/>
  <c r="T9" i="48"/>
  <c r="S9" i="48"/>
  <c r="X9" i="48" s="1"/>
  <c r="R9" i="48"/>
  <c r="U9" i="48" s="1"/>
  <c r="O9" i="48"/>
  <c r="L9" i="48"/>
  <c r="K9" i="48"/>
  <c r="J9" i="48"/>
  <c r="G9" i="48"/>
  <c r="F9" i="48"/>
  <c r="E9" i="48"/>
  <c r="AM8" i="48"/>
  <c r="AJ8" i="48"/>
  <c r="AI8" i="48"/>
  <c r="AN8" i="48" s="1"/>
  <c r="AH8" i="48"/>
  <c r="AE8" i="48"/>
  <c r="AB8" i="48"/>
  <c r="AA8" i="48"/>
  <c r="AF8" i="48" s="1"/>
  <c r="Z8" i="48"/>
  <c r="AC8" i="48" s="1"/>
  <c r="W8" i="48"/>
  <c r="T8" i="48"/>
  <c r="S8" i="48"/>
  <c r="X8" i="48" s="1"/>
  <c r="R8" i="48"/>
  <c r="O8" i="48"/>
  <c r="L8" i="48"/>
  <c r="K8" i="48"/>
  <c r="P8" i="48" s="1"/>
  <c r="Q8" i="48" s="1"/>
  <c r="J8" i="48"/>
  <c r="G8" i="48"/>
  <c r="F8" i="48"/>
  <c r="E8" i="48"/>
  <c r="H8" i="48" s="1"/>
  <c r="AM7" i="48"/>
  <c r="AJ7" i="48"/>
  <c r="AI7" i="48"/>
  <c r="AN7" i="48" s="1"/>
  <c r="AH7" i="48"/>
  <c r="AK7" i="48" s="1"/>
  <c r="AL7" i="48" s="1"/>
  <c r="AE7" i="48"/>
  <c r="AB7" i="48"/>
  <c r="AA7" i="48"/>
  <c r="AF7" i="48" s="1"/>
  <c r="Z7" i="48"/>
  <c r="W7" i="48"/>
  <c r="T7" i="48"/>
  <c r="S7" i="48"/>
  <c r="X7" i="48" s="1"/>
  <c r="R7" i="48"/>
  <c r="U7" i="48" s="1"/>
  <c r="O7" i="48"/>
  <c r="L7" i="48"/>
  <c r="K7" i="48"/>
  <c r="P7" i="48" s="1"/>
  <c r="J7" i="48"/>
  <c r="G7" i="48"/>
  <c r="F7" i="48"/>
  <c r="E7" i="48"/>
  <c r="H7" i="48" s="1"/>
  <c r="AU3" i="48"/>
  <c r="AH3" i="48"/>
  <c r="B3" i="48"/>
  <c r="AF70" i="48"/>
  <c r="M70" i="48"/>
  <c r="AK69" i="48"/>
  <c r="AF69" i="48"/>
  <c r="AG69" i="48" s="1"/>
  <c r="M69" i="48"/>
  <c r="N69" i="48" s="1"/>
  <c r="H69" i="48"/>
  <c r="AK68" i="48"/>
  <c r="X68" i="48"/>
  <c r="U68" i="48"/>
  <c r="V68" i="48" s="1"/>
  <c r="H68" i="48"/>
  <c r="P67" i="48"/>
  <c r="M67" i="48"/>
  <c r="N67" i="48" s="1"/>
  <c r="AN66" i="48"/>
  <c r="H66" i="48"/>
  <c r="AN65" i="48"/>
  <c r="AK65" i="48"/>
  <c r="AF65" i="48"/>
  <c r="AC65" i="48"/>
  <c r="AK64" i="48"/>
  <c r="AL64" i="48" s="1"/>
  <c r="P64" i="48"/>
  <c r="Q64" i="48" s="1"/>
  <c r="AN63" i="48"/>
  <c r="X63" i="48"/>
  <c r="M63" i="48"/>
  <c r="N63" i="48" s="1"/>
  <c r="AN62" i="48"/>
  <c r="AK62" i="48"/>
  <c r="AF62" i="48"/>
  <c r="AC62" i="48"/>
  <c r="M62" i="48"/>
  <c r="AK61" i="48"/>
  <c r="U61" i="48"/>
  <c r="V61" i="48" s="1"/>
  <c r="P61" i="48"/>
  <c r="H61" i="48"/>
  <c r="X60" i="48"/>
  <c r="U60" i="48"/>
  <c r="AF59" i="48"/>
  <c r="AC59" i="48"/>
  <c r="P59" i="48"/>
  <c r="M59" i="48"/>
  <c r="H59" i="48"/>
  <c r="AN58" i="48"/>
  <c r="X58" i="48"/>
  <c r="U58" i="48"/>
  <c r="H58" i="48"/>
  <c r="AC57" i="48"/>
  <c r="H57" i="48"/>
  <c r="AN52" i="48"/>
  <c r="AC52" i="48"/>
  <c r="AF52" i="48"/>
  <c r="U52" i="48"/>
  <c r="AF51" i="48"/>
  <c r="AG51" i="48" s="1"/>
  <c r="AC51" i="48"/>
  <c r="AD51" i="48" s="1"/>
  <c r="P51" i="48"/>
  <c r="AN50" i="48"/>
  <c r="X50" i="48"/>
  <c r="P50" i="48"/>
  <c r="M50" i="48"/>
  <c r="H50" i="48"/>
  <c r="I50" i="48" s="1"/>
  <c r="AC49" i="48"/>
  <c r="P49" i="48"/>
  <c r="M49" i="48"/>
  <c r="AK48" i="48"/>
  <c r="P48" i="48"/>
  <c r="H48" i="48"/>
  <c r="AN47" i="48"/>
  <c r="AO47" i="48" s="1"/>
  <c r="AK47" i="48"/>
  <c r="AF47" i="48"/>
  <c r="AG47" i="48" s="1"/>
  <c r="AC47" i="48"/>
  <c r="AF46" i="48"/>
  <c r="AG46" i="48" s="1"/>
  <c r="AN45" i="48"/>
  <c r="AK45" i="48"/>
  <c r="AL45" i="48" s="1"/>
  <c r="X45" i="48"/>
  <c r="P45" i="48"/>
  <c r="H45" i="48"/>
  <c r="P44" i="48"/>
  <c r="M44" i="48"/>
  <c r="H44" i="48"/>
  <c r="AK43" i="48"/>
  <c r="X43" i="48"/>
  <c r="U43" i="48"/>
  <c r="H43" i="48"/>
  <c r="AN42" i="48"/>
  <c r="AO42" i="48" s="1"/>
  <c r="AK42" i="48"/>
  <c r="AF42" i="48"/>
  <c r="AG42" i="48" s="1"/>
  <c r="U42" i="48"/>
  <c r="M42" i="48"/>
  <c r="AK41" i="48"/>
  <c r="AF41" i="48"/>
  <c r="AG41" i="48" s="1"/>
  <c r="U41" i="48"/>
  <c r="H41" i="48"/>
  <c r="AS40" i="48"/>
  <c r="AN40" i="48"/>
  <c r="AC40" i="48"/>
  <c r="X40" i="48"/>
  <c r="P40" i="48"/>
  <c r="AC39" i="48"/>
  <c r="AK38" i="48"/>
  <c r="AL38" i="48" s="1"/>
  <c r="AF38" i="48"/>
  <c r="AG38" i="48" s="1"/>
  <c r="AC38" i="48"/>
  <c r="AD38" i="48" s="1"/>
  <c r="X38" i="48"/>
  <c r="Y38" i="48" s="1"/>
  <c r="P37" i="48"/>
  <c r="AK36" i="48"/>
  <c r="AF36" i="48"/>
  <c r="AG36" i="48" s="1"/>
  <c r="X36" i="48"/>
  <c r="P36" i="48"/>
  <c r="M36" i="48"/>
  <c r="N36" i="48" s="1"/>
  <c r="H36" i="48"/>
  <c r="AN35" i="48"/>
  <c r="AF35" i="48"/>
  <c r="P35" i="48"/>
  <c r="H35" i="48"/>
  <c r="AN30" i="48"/>
  <c r="U30" i="48"/>
  <c r="V30" i="48" s="1"/>
  <c r="X30" i="48"/>
  <c r="P30" i="48"/>
  <c r="AN29" i="48"/>
  <c r="AK29" i="48"/>
  <c r="AC29" i="48"/>
  <c r="AD29" i="48" s="1"/>
  <c r="AN28" i="48"/>
  <c r="AO28" i="48" s="1"/>
  <c r="H28" i="48"/>
  <c r="I28" i="48" s="1"/>
  <c r="AK27" i="48"/>
  <c r="AL27" i="48" s="1"/>
  <c r="AC27" i="48"/>
  <c r="AD27" i="48" s="1"/>
  <c r="U27" i="48"/>
  <c r="P27" i="48"/>
  <c r="Q27" i="48" s="1"/>
  <c r="AN26" i="48"/>
  <c r="AO26" i="48" s="1"/>
  <c r="AK26" i="48"/>
  <c r="AL26" i="48" s="1"/>
  <c r="U26" i="48"/>
  <c r="H26" i="48"/>
  <c r="AF25" i="48"/>
  <c r="AC25" i="48"/>
  <c r="AD25" i="48" s="1"/>
  <c r="X25" i="48"/>
  <c r="Y25" i="48" s="1"/>
  <c r="AP25" i="48"/>
  <c r="P25" i="48"/>
  <c r="AK24" i="48"/>
  <c r="X24" i="48"/>
  <c r="P24" i="48"/>
  <c r="AK23" i="48"/>
  <c r="AL23" i="48" s="1"/>
  <c r="AC23" i="48"/>
  <c r="P23" i="48"/>
  <c r="M23" i="48"/>
  <c r="AN22" i="48"/>
  <c r="AK22" i="48"/>
  <c r="AF22" i="48"/>
  <c r="H22" i="48"/>
  <c r="I22" i="48" s="1"/>
  <c r="AN21" i="48"/>
  <c r="AO21" i="48" s="1"/>
  <c r="X21" i="48"/>
  <c r="AN20" i="48"/>
  <c r="AO20" i="48" s="1"/>
  <c r="AF20" i="48"/>
  <c r="U20" i="48"/>
  <c r="P20" i="48"/>
  <c r="AC19" i="48"/>
  <c r="P18" i="48"/>
  <c r="H18" i="48"/>
  <c r="AN17" i="48"/>
  <c r="AO17" i="48" s="1"/>
  <c r="AF17" i="48"/>
  <c r="AC17" i="48"/>
  <c r="X17" i="48"/>
  <c r="Y17" i="48" s="1"/>
  <c r="U17" i="48"/>
  <c r="V17" i="48" s="1"/>
  <c r="U16" i="48"/>
  <c r="P16" i="48"/>
  <c r="AK15" i="48"/>
  <c r="AC15" i="48"/>
  <c r="X15" i="48"/>
  <c r="M15" i="48"/>
  <c r="N15" i="48" s="1"/>
  <c r="P15" i="48"/>
  <c r="AN14" i="48"/>
  <c r="AO14" i="48" s="1"/>
  <c r="AC14" i="48"/>
  <c r="AK13" i="48"/>
  <c r="AK12" i="48"/>
  <c r="AL12" i="48" s="1"/>
  <c r="AF12" i="48"/>
  <c r="AC12" i="48"/>
  <c r="X12" i="48"/>
  <c r="AK10" i="48"/>
  <c r="U10" i="48"/>
  <c r="V10" i="48" s="1"/>
  <c r="H10" i="48"/>
  <c r="P9" i="48"/>
  <c r="M9" i="48"/>
  <c r="N9" i="48" s="1"/>
  <c r="H9" i="48"/>
  <c r="AK8" i="48"/>
  <c r="U8" i="48"/>
  <c r="V8" i="48" s="1"/>
  <c r="M8" i="48"/>
  <c r="N8" i="48" s="1"/>
  <c r="AC7" i="48"/>
  <c r="M7" i="48"/>
  <c r="AS36" i="48" l="1"/>
  <c r="AP45" i="48"/>
  <c r="AP12" i="48"/>
  <c r="AP46" i="48"/>
  <c r="AP37" i="48"/>
  <c r="AD50" i="48"/>
  <c r="AD45" i="48"/>
  <c r="V70" i="48"/>
  <c r="V62" i="48"/>
  <c r="V19" i="48"/>
  <c r="N35" i="48"/>
  <c r="AP35" i="48"/>
  <c r="I23" i="48"/>
  <c r="I25" i="48"/>
  <c r="I21" i="48"/>
  <c r="AL70" i="48"/>
  <c r="AO45" i="48"/>
  <c r="Y45" i="48"/>
  <c r="I45" i="48"/>
  <c r="I43" i="48"/>
  <c r="I38" i="48"/>
  <c r="Y29" i="48"/>
  <c r="Y14" i="48"/>
  <c r="Y28" i="48"/>
  <c r="AP28" i="48"/>
  <c r="V28" i="48"/>
  <c r="AP20" i="48"/>
  <c r="AP67" i="48"/>
  <c r="AS68" i="48"/>
  <c r="AO38" i="48"/>
  <c r="AG14" i="48"/>
  <c r="V46" i="48"/>
  <c r="I52" i="48"/>
  <c r="AG57" i="48"/>
  <c r="Q65" i="48"/>
  <c r="Y20" i="48"/>
  <c r="AS49" i="48"/>
  <c r="AP22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R37" i="48" s="1"/>
  <c r="AL40" i="48"/>
  <c r="V41" i="48"/>
  <c r="AP49" i="48"/>
  <c r="AL67" i="48"/>
  <c r="AQ28" i="48"/>
  <c r="AR28" i="48" s="1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AR45" i="48" s="1"/>
  <c r="N45" i="48"/>
  <c r="V13" i="48"/>
  <c r="AT23" i="48"/>
  <c r="Y23" i="48"/>
  <c r="AQ29" i="48"/>
  <c r="AQ12" i="48"/>
  <c r="AR12" i="48" s="1"/>
  <c r="AQ17" i="48"/>
  <c r="AT26" i="48"/>
  <c r="Y26" i="48"/>
  <c r="AT36" i="48"/>
  <c r="AU36" i="48" s="1"/>
  <c r="AO36" i="48"/>
  <c r="AO41" i="48"/>
  <c r="AT41" i="48"/>
  <c r="AT70" i="48"/>
  <c r="Q70" i="48"/>
  <c r="AT39" i="48"/>
  <c r="AO39" i="48"/>
  <c r="AT10" i="48"/>
  <c r="AU10" i="48" s="1"/>
  <c r="AT68" i="48"/>
  <c r="AU68" i="48" s="1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R20" i="48" s="1"/>
  <c r="AT38" i="48"/>
  <c r="Q59" i="48"/>
  <c r="AQ19" i="48"/>
  <c r="AT29" i="48"/>
  <c r="AQ51" i="48"/>
  <c r="AO65" i="48"/>
  <c r="V21" i="48"/>
  <c r="AT20" i="48"/>
  <c r="AN53" i="48"/>
  <c r="V20" i="48"/>
  <c r="AP64" i="48"/>
  <c r="Q19" i="48"/>
  <c r="Q40" i="48"/>
  <c r="V47" i="48"/>
  <c r="AT52" i="48"/>
  <c r="AT69" i="48"/>
  <c r="AQ26" i="48"/>
  <c r="AT40" i="48"/>
  <c r="AU40" i="48" s="1"/>
  <c r="AT17" i="48"/>
  <c r="AO27" i="48"/>
  <c r="AQ30" i="48"/>
  <c r="AR30" i="48" s="1"/>
  <c r="AQ13" i="48"/>
  <c r="AQ40" i="48"/>
  <c r="AR40" i="48" s="1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AP39" i="48"/>
  <c r="AL39" i="48"/>
  <c r="M71" i="48"/>
  <c r="AQ57" i="48"/>
  <c r="AL15" i="48"/>
  <c r="AQ25" i="48"/>
  <c r="AR25" i="48" s="1"/>
  <c r="N25" i="48"/>
  <c r="I35" i="48"/>
  <c r="H53" i="48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AR46" i="48" s="1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AR35" i="48" s="1"/>
  <c r="M53" i="48"/>
  <c r="AO9" i="48"/>
  <c r="I15" i="48"/>
  <c r="P53" i="48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V35" i="48"/>
  <c r="I39" i="48"/>
  <c r="Q10" i="48"/>
  <c r="Y13" i="48"/>
  <c r="AS13" i="48"/>
  <c r="N14" i="48"/>
  <c r="AL14" i="48"/>
  <c r="H71" i="48"/>
  <c r="N7" i="48"/>
  <c r="AQ7" i="48"/>
  <c r="AR7" i="48" s="1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R67" i="48" s="1"/>
  <c r="AQ68" i="48"/>
  <c r="AQ69" i="48"/>
  <c r="AQ70" i="48"/>
  <c r="AQ43" i="48"/>
  <c r="AP59" i="48"/>
  <c r="AT60" i="48"/>
  <c r="AU60" i="48" s="1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U66" i="48" s="1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AU49" i="48" s="1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AU58" i="48" s="1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U57" i="48" l="1"/>
  <c r="AR50" i="48"/>
  <c r="AR22" i="48"/>
  <c r="AU21" i="48"/>
  <c r="AR52" i="48"/>
  <c r="AU23" i="48"/>
  <c r="AU18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N74" i="48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U74" i="48"/>
  <c r="AF76" i="48"/>
  <c r="AF75" i="48"/>
  <c r="M76" i="48"/>
  <c r="M75" i="48"/>
  <c r="AQ71" i="48"/>
  <c r="AP53" i="48"/>
  <c r="X75" i="48"/>
  <c r="X76" i="48"/>
  <c r="N31" i="48"/>
  <c r="AT53" i="48"/>
  <c r="AL53" i="48"/>
  <c r="AL74" i="48" s="1"/>
  <c r="I31" i="48"/>
  <c r="AR60" i="48"/>
  <c r="AQ31" i="48"/>
  <c r="P74" i="48"/>
  <c r="P77" i="48"/>
  <c r="AK74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4" i="48"/>
  <c r="M77" i="48"/>
  <c r="AG53" i="48"/>
  <c r="AG74" i="48" s="1"/>
  <c r="H77" i="48"/>
  <c r="H74" i="48"/>
  <c r="AQ53" i="48"/>
  <c r="AR16" i="48"/>
  <c r="U75" i="48"/>
  <c r="U76" i="48"/>
  <c r="I53" i="48"/>
  <c r="I74" i="48" s="1"/>
  <c r="AU71" i="48" l="1"/>
  <c r="AS77" i="48"/>
  <c r="AU31" i="48"/>
  <c r="AR31" i="48"/>
  <c r="AU53" i="48"/>
  <c r="AU74" i="48" s="1"/>
  <c r="AR53" i="48"/>
  <c r="AR71" i="48"/>
  <c r="AP75" i="48"/>
  <c r="AP76" i="48"/>
  <c r="AS75" i="48"/>
  <c r="AS76" i="48"/>
  <c r="AQ75" i="48"/>
  <c r="AQ76" i="48"/>
  <c r="AT75" i="48"/>
  <c r="AT76" i="48"/>
  <c r="AQ77" i="48"/>
  <c r="AQ74" i="48"/>
  <c r="AT77" i="48"/>
  <c r="AT74" i="48"/>
  <c r="AP77" i="48"/>
  <c r="AR75" i="48" l="1"/>
  <c r="AU77" i="48"/>
  <c r="AR76" i="48"/>
  <c r="AU76" i="48"/>
  <c r="AR74" i="48"/>
  <c r="AR77" i="48"/>
  <c r="AU75" i="48"/>
  <c r="J24" i="13" l="1"/>
  <c r="I24" i="13"/>
  <c r="I23" i="13"/>
  <c r="J23" i="13"/>
  <c r="I22" i="13"/>
  <c r="J22" i="13"/>
  <c r="I21" i="13"/>
  <c r="J21" i="13"/>
  <c r="J20" i="13"/>
  <c r="I20" i="13"/>
  <c r="J17" i="13"/>
  <c r="J16" i="13"/>
  <c r="J15" i="13"/>
  <c r="J14" i="13"/>
  <c r="J13" i="13"/>
  <c r="J12" i="13"/>
  <c r="J11" i="13"/>
  <c r="J10" i="13"/>
  <c r="G9" i="26" l="1"/>
  <c r="H9" i="26"/>
  <c r="F9" i="26"/>
  <c r="E9" i="26"/>
  <c r="D9" i="26"/>
  <c r="S24" i="40" l="1"/>
  <c r="S25" i="40"/>
  <c r="S26" i="40"/>
  <c r="S34" i="40"/>
  <c r="C72" i="2" l="1"/>
  <c r="F16" i="24" l="1"/>
  <c r="F17" i="24"/>
  <c r="AB25" i="40" l="1"/>
  <c r="AC25" i="40"/>
  <c r="AB26" i="40"/>
  <c r="AC26" i="40"/>
  <c r="AD13" i="40"/>
  <c r="AE13" i="40"/>
  <c r="AF13" i="40"/>
  <c r="AG13" i="40"/>
  <c r="AH13" i="40"/>
  <c r="AD15" i="40"/>
  <c r="AE15" i="40"/>
  <c r="AF15" i="40"/>
  <c r="AG15" i="40"/>
  <c r="AH15" i="40"/>
  <c r="AB9" i="40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I28" i="40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I65" i="26"/>
  <c r="C15" i="35" l="1"/>
  <c r="D15" i="35" s="1"/>
  <c r="C14" i="35"/>
  <c r="D14" i="35" s="1"/>
  <c r="C25" i="35"/>
  <c r="D25" i="35" s="1"/>
  <c r="C24" i="35"/>
  <c r="D24" i="35" s="1"/>
  <c r="AA24" i="40" l="1"/>
  <c r="AA25" i="40"/>
  <c r="P16" i="40" l="1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O65" i="26"/>
  <c r="I70" i="24" l="1"/>
  <c r="H70" i="24"/>
  <c r="G70" i="24"/>
  <c r="O71" i="24" l="1"/>
  <c r="F71" i="24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G35" i="9"/>
  <c r="E35" i="9"/>
  <c r="F33" i="9" s="1"/>
  <c r="H33" i="9" l="1"/>
  <c r="C34" i="40"/>
  <c r="D34" i="40" s="1"/>
  <c r="L8" i="13"/>
  <c r="C33" i="40" l="1"/>
  <c r="D33" i="40" s="1"/>
  <c r="C32" i="40"/>
  <c r="D32" i="40" s="1"/>
  <c r="C31" i="40"/>
  <c r="D31" i="40" s="1"/>
  <c r="C29" i="40"/>
  <c r="D29" i="40" s="1"/>
  <c r="G75" i="43" l="1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AA56" i="44"/>
  <c r="G56" i="44"/>
  <c r="Z56" i="44" s="1"/>
  <c r="AA55" i="44"/>
  <c r="G55" i="44"/>
  <c r="Z55" i="44" s="1"/>
  <c r="AA54" i="44"/>
  <c r="G54" i="44"/>
  <c r="Z54" i="44" s="1"/>
  <c r="AA53" i="44"/>
  <c r="G53" i="44"/>
  <c r="Z53" i="44" s="1"/>
  <c r="AA52" i="44"/>
  <c r="G52" i="44"/>
  <c r="Z52" i="44" s="1"/>
  <c r="AA51" i="44"/>
  <c r="G51" i="44"/>
  <c r="Z51" i="44" s="1"/>
  <c r="AA50" i="44"/>
  <c r="G50" i="44"/>
  <c r="Z50" i="44" s="1"/>
  <c r="AA49" i="44"/>
  <c r="G49" i="44"/>
  <c r="Z49" i="44" s="1"/>
  <c r="AA48" i="44"/>
  <c r="G48" i="44"/>
  <c r="Z48" i="44" s="1"/>
  <c r="AA47" i="44"/>
  <c r="G47" i="44"/>
  <c r="Z47" i="44" s="1"/>
  <c r="AA46" i="44"/>
  <c r="G46" i="44"/>
  <c r="Z46" i="44" s="1"/>
  <c r="AA45" i="44"/>
  <c r="G45" i="44"/>
  <c r="Z45" i="44" s="1"/>
  <c r="AA44" i="44"/>
  <c r="G44" i="44"/>
  <c r="Z44" i="44" s="1"/>
  <c r="AA43" i="44"/>
  <c r="G43" i="44"/>
  <c r="Z43" i="44" s="1"/>
  <c r="AA42" i="44"/>
  <c r="G42" i="44"/>
  <c r="Z42" i="44" s="1"/>
  <c r="AA41" i="44"/>
  <c r="G41" i="44"/>
  <c r="Z41" i="44" s="1"/>
  <c r="AA40" i="44"/>
  <c r="G40" i="44"/>
  <c r="Z40" i="44" s="1"/>
  <c r="AA39" i="44"/>
  <c r="G39" i="44"/>
  <c r="Z39" i="44" s="1"/>
  <c r="AA38" i="44"/>
  <c r="G38" i="44"/>
  <c r="Z38" i="44" s="1"/>
  <c r="AA37" i="44"/>
  <c r="G37" i="44"/>
  <c r="Z37" i="44" s="1"/>
  <c r="AA36" i="44"/>
  <c r="G36" i="44"/>
  <c r="Z36" i="44" s="1"/>
  <c r="AA35" i="44"/>
  <c r="G35" i="44"/>
  <c r="Z35" i="44" s="1"/>
  <c r="G34" i="44"/>
  <c r="Z34" i="44" s="1"/>
  <c r="G53" i="43"/>
  <c r="Z53" i="43" s="1"/>
  <c r="G52" i="43"/>
  <c r="Z52" i="43" s="1"/>
  <c r="G51" i="43"/>
  <c r="Z51" i="43" s="1"/>
  <c r="G50" i="43"/>
  <c r="Z50" i="43" s="1"/>
  <c r="G49" i="43"/>
  <c r="Z49" i="43" s="1"/>
  <c r="G48" i="43"/>
  <c r="Z48" i="43" s="1"/>
  <c r="G47" i="43"/>
  <c r="Z47" i="43" s="1"/>
  <c r="C25" i="40" l="1"/>
  <c r="D25" i="40" s="1"/>
  <c r="C24" i="40"/>
  <c r="D24" i="40" s="1"/>
  <c r="O59" i="26" l="1"/>
  <c r="C59" i="26" s="1"/>
  <c r="I59" i="26"/>
  <c r="C51" i="10"/>
  <c r="C51" i="48" s="1"/>
  <c r="A73" i="24" l="1"/>
  <c r="C71" i="24" l="1"/>
  <c r="C33" i="9" s="1"/>
  <c r="AC51" i="10" l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X54" i="10"/>
  <c r="AM54" i="48" s="1"/>
  <c r="W54" i="10"/>
  <c r="AJ54" i="48" s="1"/>
  <c r="V54" i="10"/>
  <c r="AI54" i="48" s="1"/>
  <c r="AN54" i="48" s="1"/>
  <c r="U54" i="10"/>
  <c r="AH54" i="48" s="1"/>
  <c r="AK54" i="48" s="1"/>
  <c r="T54" i="10"/>
  <c r="AE54" i="48" s="1"/>
  <c r="S54" i="10"/>
  <c r="AB54" i="48" s="1"/>
  <c r="R54" i="10"/>
  <c r="AA54" i="48" s="1"/>
  <c r="AF54" i="48" s="1"/>
  <c r="Q54" i="10"/>
  <c r="Z54" i="48" s="1"/>
  <c r="AC54" i="48" s="1"/>
  <c r="P54" i="10"/>
  <c r="W54" i="48" s="1"/>
  <c r="O54" i="10"/>
  <c r="T54" i="48" s="1"/>
  <c r="N54" i="10"/>
  <c r="S54" i="48" s="1"/>
  <c r="X54" i="48" s="1"/>
  <c r="M54" i="10"/>
  <c r="R54" i="48" s="1"/>
  <c r="U54" i="48" s="1"/>
  <c r="L54" i="10"/>
  <c r="O54" i="48" s="1"/>
  <c r="K54" i="10"/>
  <c r="L54" i="48" s="1"/>
  <c r="J54" i="10"/>
  <c r="K54" i="48" s="1"/>
  <c r="P54" i="48" s="1"/>
  <c r="I54" i="10"/>
  <c r="J54" i="48" s="1"/>
  <c r="M54" i="48" s="1"/>
  <c r="H54" i="10"/>
  <c r="G54" i="10"/>
  <c r="G54" i="48" s="1"/>
  <c r="I54" i="48" s="1"/>
  <c r="AB53" i="10"/>
  <c r="AA53" i="10"/>
  <c r="X53" i="10"/>
  <c r="AM53" i="48" s="1"/>
  <c r="W53" i="10"/>
  <c r="V53" i="10"/>
  <c r="AI53" i="48" s="1"/>
  <c r="U53" i="10"/>
  <c r="AH53" i="48" s="1"/>
  <c r="T53" i="10"/>
  <c r="AE53" i="48" s="1"/>
  <c r="S53" i="10"/>
  <c r="R53" i="10"/>
  <c r="AA53" i="48" s="1"/>
  <c r="Q53" i="10"/>
  <c r="Z53" i="48" s="1"/>
  <c r="P53" i="10"/>
  <c r="W53" i="48" s="1"/>
  <c r="O53" i="10"/>
  <c r="N53" i="10"/>
  <c r="S53" i="48" s="1"/>
  <c r="M53" i="10"/>
  <c r="R53" i="48" s="1"/>
  <c r="L53" i="10"/>
  <c r="O53" i="48" s="1"/>
  <c r="K53" i="10"/>
  <c r="L53" i="48" s="1"/>
  <c r="J53" i="10"/>
  <c r="K53" i="48" s="1"/>
  <c r="I53" i="10"/>
  <c r="J53" i="48" s="1"/>
  <c r="H53" i="10"/>
  <c r="G53" i="10"/>
  <c r="G53" i="48" s="1"/>
  <c r="F53" i="10"/>
  <c r="F53" i="48" s="1"/>
  <c r="E53" i="10"/>
  <c r="E53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N2" i="30"/>
  <c r="Z3" i="40"/>
  <c r="H3" i="35"/>
  <c r="J3" i="13"/>
  <c r="Y3" i="44"/>
  <c r="AB3" i="10"/>
  <c r="X3" i="9"/>
  <c r="X3" i="24"/>
  <c r="C4" i="6"/>
  <c r="Y3" i="43"/>
  <c r="Q54" i="48" l="1"/>
  <c r="AO54" i="48"/>
  <c r="AG54" i="48"/>
  <c r="Y54" i="48"/>
  <c r="AS54" i="48"/>
  <c r="AD54" i="48"/>
  <c r="AG10" i="40"/>
  <c r="AB53" i="48"/>
  <c r="AP54" i="48"/>
  <c r="V54" i="48"/>
  <c r="AL54" i="48"/>
  <c r="AQ54" i="48"/>
  <c r="AH10" i="40"/>
  <c r="AJ53" i="48"/>
  <c r="AT54" i="48"/>
  <c r="AF10" i="40"/>
  <c r="T53" i="48"/>
  <c r="N54" i="48"/>
  <c r="C54" i="10"/>
  <c r="C54" i="48" s="1"/>
  <c r="C4" i="3"/>
  <c r="C9" i="2"/>
  <c r="E3" i="2"/>
  <c r="K62" i="26"/>
  <c r="L62" i="26"/>
  <c r="K9" i="26"/>
  <c r="C65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AA30" i="44" s="1"/>
  <c r="G31" i="44"/>
  <c r="Z31" i="44" s="1"/>
  <c r="G32" i="44"/>
  <c r="Z32" i="44" s="1"/>
  <c r="AA34" i="44" s="1"/>
  <c r="G33" i="44"/>
  <c r="Z33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AA10" i="43" s="1"/>
  <c r="G11" i="43"/>
  <c r="Z11" i="43" s="1"/>
  <c r="G12" i="43"/>
  <c r="Z12" i="43" s="1"/>
  <c r="G13" i="43"/>
  <c r="Z13" i="43" s="1"/>
  <c r="G14" i="43"/>
  <c r="Z14" i="43" s="1"/>
  <c r="AA14" i="43" s="1"/>
  <c r="G15" i="43"/>
  <c r="Z15" i="43" s="1"/>
  <c r="AA15" i="43" s="1"/>
  <c r="G16" i="43"/>
  <c r="Z16" i="43" s="1"/>
  <c r="AA16" i="43" s="1"/>
  <c r="G17" i="43"/>
  <c r="Z17" i="43" s="1"/>
  <c r="AA17" i="43" s="1"/>
  <c r="G18" i="43"/>
  <c r="Z18" i="43" s="1"/>
  <c r="AA18" i="43" s="1"/>
  <c r="G19" i="43"/>
  <c r="Z19" i="43" s="1"/>
  <c r="AA19" i="43" s="1"/>
  <c r="G20" i="43"/>
  <c r="Z20" i="43" s="1"/>
  <c r="AA20" i="43" s="1"/>
  <c r="G21" i="43"/>
  <c r="Z21" i="43" s="1"/>
  <c r="AA21" i="43" s="1"/>
  <c r="G22" i="43"/>
  <c r="Z22" i="43" s="1"/>
  <c r="AA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12" i="43" l="1"/>
  <c r="AA13" i="43"/>
  <c r="AA11" i="43"/>
  <c r="AA31" i="44"/>
  <c r="AA66" i="44"/>
  <c r="AA29" i="44"/>
  <c r="AA21" i="44"/>
  <c r="AA28" i="44"/>
  <c r="AA27" i="44"/>
  <c r="AA26" i="44"/>
  <c r="AA77" i="44"/>
  <c r="AA73" i="44"/>
  <c r="AA76" i="44"/>
  <c r="AA75" i="44"/>
  <c r="AA74" i="44"/>
  <c r="AA23" i="44"/>
  <c r="AA22" i="44"/>
  <c r="AA71" i="44"/>
  <c r="AA70" i="44"/>
  <c r="AA16" i="44"/>
  <c r="AA60" i="44"/>
  <c r="AA59" i="44"/>
  <c r="AA15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G89" i="43"/>
  <c r="AA20" i="44"/>
  <c r="AA19" i="44"/>
  <c r="Z9" i="44"/>
  <c r="AA10" i="44" s="1"/>
  <c r="G89" i="44"/>
  <c r="AA18" i="44"/>
  <c r="AA17" i="44"/>
  <c r="Z9" i="43"/>
  <c r="AA14" i="44" l="1"/>
  <c r="AA11" i="44"/>
  <c r="AA12" i="44"/>
  <c r="AA13" i="44"/>
  <c r="AA9" i="43"/>
  <c r="Z89" i="43"/>
  <c r="AA9" i="44"/>
  <c r="Z89" i="44"/>
  <c r="Z90" i="44" l="1"/>
  <c r="Z90" i="43"/>
  <c r="AA90" i="43" l="1"/>
  <c r="V90" i="43" s="1"/>
  <c r="AA90" i="44"/>
  <c r="X90" i="44" s="1"/>
  <c r="J8" i="13"/>
  <c r="I8" i="13"/>
  <c r="H8" i="13"/>
  <c r="G8" i="13"/>
  <c r="F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H25" i="13"/>
  <c r="E25" i="13"/>
  <c r="F25" i="13"/>
  <c r="D25" i="13"/>
  <c r="J25" i="13"/>
  <c r="I25" i="13"/>
  <c r="D49" i="13"/>
  <c r="E49" i="13"/>
  <c r="F49" i="13"/>
  <c r="G49" i="13"/>
  <c r="H49" i="13"/>
  <c r="I49" i="13"/>
  <c r="C16" i="21" l="1"/>
  <c r="C12" i="21" s="1"/>
  <c r="G3" i="13" l="1"/>
  <c r="I28" i="13" l="1"/>
  <c r="C28" i="13"/>
  <c r="J4" i="13"/>
  <c r="C4" i="13"/>
  <c r="AB31" i="10"/>
  <c r="AA31" i="10"/>
  <c r="AB71" i="10"/>
  <c r="AA71" i="10"/>
  <c r="AB74" i="10"/>
  <c r="AA74" i="10"/>
  <c r="C44" i="2"/>
  <c r="C43" i="2"/>
  <c r="C49" i="13" l="1"/>
  <c r="C25" i="13"/>
  <c r="D73" i="10" l="1"/>
  <c r="D73" i="48" s="1"/>
  <c r="D72" i="10"/>
  <c r="D72" i="48" s="1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53" i="10" l="1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V11" i="40"/>
  <c r="W11" i="40"/>
  <c r="X11" i="40"/>
  <c r="Y11" i="40"/>
  <c r="Z11" i="40"/>
  <c r="C12" i="40"/>
  <c r="D12" i="40" s="1"/>
  <c r="S12" i="40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C28" i="40" l="1"/>
  <c r="D35" i="40"/>
  <c r="S28" i="40"/>
  <c r="S27" i="40" s="1"/>
  <c r="T9" i="40"/>
  <c r="T8" i="40" s="1"/>
  <c r="C36" i="40"/>
  <c r="D36" i="40" s="1"/>
  <c r="C27" i="40"/>
  <c r="D27" i="40" s="1"/>
  <c r="O9" i="40"/>
  <c r="O8" i="40" s="1"/>
  <c r="AE16" i="40"/>
  <c r="U8" i="40"/>
  <c r="I9" i="40"/>
  <c r="I8" i="40" s="1"/>
  <c r="G9" i="40"/>
  <c r="I35" i="9"/>
  <c r="J35" i="9"/>
  <c r="Z9" i="40"/>
  <c r="Z8" i="40" s="1"/>
  <c r="V9" i="40"/>
  <c r="Q9" i="40"/>
  <c r="M9" i="40"/>
  <c r="M8" i="40" s="1"/>
  <c r="Y9" i="40"/>
  <c r="P9" i="40"/>
  <c r="AF14" i="40" s="1"/>
  <c r="L9" i="40"/>
  <c r="L8" i="40" s="1"/>
  <c r="X9" i="40"/>
  <c r="K9" i="40"/>
  <c r="K8" i="40" s="1"/>
  <c r="E9" i="40"/>
  <c r="W9" i="40"/>
  <c r="R9" i="40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D28" i="40" l="1"/>
  <c r="H9" i="40"/>
  <c r="E8" i="40"/>
  <c r="F9" i="40"/>
  <c r="AD16" i="40"/>
  <c r="AE14" i="40"/>
  <c r="Y8" i="40"/>
  <c r="L25" i="13" s="1"/>
  <c r="L18" i="13"/>
  <c r="V8" i="40"/>
  <c r="AF16" i="40"/>
  <c r="W8" i="40"/>
  <c r="AG16" i="40"/>
  <c r="X8" i="40"/>
  <c r="AH16" i="40"/>
  <c r="Q8" i="40"/>
  <c r="AG14" i="40"/>
  <c r="R8" i="40"/>
  <c r="AH14" i="40"/>
  <c r="P8" i="40"/>
  <c r="N8" i="40"/>
  <c r="S9" i="40"/>
  <c r="S8" i="40" s="1"/>
  <c r="D11" i="40"/>
  <c r="C9" i="40"/>
  <c r="G8" i="40"/>
  <c r="AH11" i="40" l="1"/>
  <c r="AG11" i="40"/>
  <c r="AF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3" i="26"/>
  <c r="O54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J93" i="24" s="1"/>
  <c r="K85" i="24"/>
  <c r="L85" i="24"/>
  <c r="M85" i="24"/>
  <c r="N85" i="24"/>
  <c r="P85" i="24"/>
  <c r="Q85" i="24"/>
  <c r="C82" i="24"/>
  <c r="C18" i="9" s="1"/>
  <c r="O50" i="24"/>
  <c r="O36" i="24"/>
  <c r="C36" i="24" s="1"/>
  <c r="C28" i="9" s="1"/>
  <c r="O78" i="24"/>
  <c r="O29" i="24"/>
  <c r="C29" i="24" s="1"/>
  <c r="C27" i="9" s="1"/>
  <c r="O80" i="24"/>
  <c r="C80" i="24" s="1"/>
  <c r="C11" i="9" s="1"/>
  <c r="O74" i="24"/>
  <c r="C78" i="24"/>
  <c r="C10" i="9" s="1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50" i="24"/>
  <c r="C30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V13" i="48"/>
  <c r="AC7" i="10"/>
  <c r="AV7" i="48"/>
  <c r="AC9" i="10"/>
  <c r="AV9" i="48"/>
  <c r="AC49" i="10"/>
  <c r="AV49" i="48"/>
  <c r="AC23" i="10"/>
  <c r="AV23" i="48"/>
  <c r="AC27" i="10"/>
  <c r="AV27" i="48"/>
  <c r="AC47" i="10"/>
  <c r="AV47" i="48"/>
  <c r="AC25" i="10"/>
  <c r="AV25" i="48"/>
  <c r="AC45" i="10"/>
  <c r="AV45" i="48"/>
  <c r="AC43" i="10"/>
  <c r="AV43" i="48"/>
  <c r="AC41" i="10"/>
  <c r="AV41" i="48"/>
  <c r="AC39" i="10"/>
  <c r="AV39" i="48"/>
  <c r="AC37" i="10"/>
  <c r="AV37" i="48"/>
  <c r="AC21" i="10"/>
  <c r="AV21" i="48"/>
  <c r="AC35" i="10"/>
  <c r="AV35" i="48"/>
  <c r="AC11" i="10"/>
  <c r="AV11" i="48"/>
  <c r="AC17" i="10"/>
  <c r="AV17" i="48"/>
  <c r="AC19" i="10"/>
  <c r="AV19" i="48"/>
  <c r="AC29" i="10"/>
  <c r="AV29" i="48"/>
  <c r="C35" i="9"/>
  <c r="C74" i="24"/>
  <c r="C13" i="9" s="1"/>
  <c r="AV15" i="48" s="1"/>
  <c r="O85" i="24"/>
  <c r="C85" i="24" s="1"/>
  <c r="B15" i="42" l="1"/>
  <c r="C93" i="24"/>
  <c r="AA8" i="40"/>
  <c r="AV71" i="48"/>
  <c r="AV31" i="48"/>
  <c r="AC53" i="10"/>
  <c r="AV53" i="48"/>
  <c r="AC71" i="10"/>
  <c r="AC31" i="10"/>
  <c r="C22" i="9"/>
  <c r="D19" i="9" s="1"/>
  <c r="AC15" i="10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V3" i="40"/>
  <c r="F3" i="35"/>
  <c r="U3" i="10"/>
  <c r="T3" i="9"/>
  <c r="T3" i="24"/>
  <c r="C3" i="6"/>
  <c r="C3" i="3"/>
  <c r="D3" i="2"/>
  <c r="B2" i="20"/>
  <c r="B2" i="3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W71" i="48" s="1"/>
  <c r="W77" i="48" s="1"/>
  <c r="K71" i="10"/>
  <c r="L71" i="48" s="1"/>
  <c r="L77" i="48" s="1"/>
  <c r="P13" i="42" l="1"/>
  <c r="O13" i="42"/>
  <c r="P16" i="42"/>
  <c r="B21" i="42" s="1"/>
  <c r="O16" i="42"/>
  <c r="B18" i="42" s="1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L9" i="35" l="1"/>
  <c r="K9" i="35" l="1"/>
  <c r="J9" i="35" l="1"/>
  <c r="C76" i="2" l="1"/>
  <c r="C75" i="2"/>
  <c r="C52" i="2"/>
  <c r="C51" i="2"/>
  <c r="C50" i="2"/>
  <c r="C49" i="2"/>
  <c r="C48" i="2"/>
  <c r="C41" i="2"/>
  <c r="C40" i="2"/>
  <c r="C39" i="2"/>
  <c r="C38" i="2"/>
  <c r="C37" i="2"/>
  <c r="C33" i="2"/>
  <c r="C32" i="2"/>
  <c r="C31" i="2"/>
  <c r="C30" i="2"/>
  <c r="C25" i="2"/>
  <c r="C24" i="2"/>
  <c r="C23" i="2"/>
  <c r="C21" i="2"/>
  <c r="C20" i="2"/>
  <c r="C19" i="2"/>
  <c r="C18" i="2"/>
  <c r="C14" i="2"/>
  <c r="C13" i="2"/>
  <c r="C12" i="2"/>
  <c r="C11" i="2"/>
  <c r="C10" i="2"/>
  <c r="C8" i="2"/>
  <c r="C7" i="2"/>
  <c r="C6" i="2"/>
  <c r="C53" i="2" l="1"/>
  <c r="D69" i="2"/>
  <c r="C52" i="41" l="1"/>
  <c r="C25" i="41"/>
  <c r="C31" i="41" s="1"/>
  <c r="C54" i="41"/>
  <c r="C3" i="41"/>
  <c r="B3" i="41"/>
  <c r="X71" i="10" l="1"/>
  <c r="AM71" i="48" s="1"/>
  <c r="AM77" i="48" s="1"/>
  <c r="W71" i="10"/>
  <c r="V71" i="10"/>
  <c r="AI71" i="48" s="1"/>
  <c r="AI77" i="48" s="1"/>
  <c r="U71" i="10"/>
  <c r="AH71" i="48" s="1"/>
  <c r="AH77" i="48" s="1"/>
  <c r="T71" i="10"/>
  <c r="AE71" i="48" s="1"/>
  <c r="AE77" i="48" s="1"/>
  <c r="S71" i="10"/>
  <c r="AB71" i="48" s="1"/>
  <c r="AB77" i="48" s="1"/>
  <c r="R71" i="10"/>
  <c r="AA71" i="48" s="1"/>
  <c r="AA77" i="48" s="1"/>
  <c r="Q71" i="10"/>
  <c r="Z71" i="48" s="1"/>
  <c r="Z77" i="48" s="1"/>
  <c r="O71" i="10"/>
  <c r="N71" i="10"/>
  <c r="S71" i="48" s="1"/>
  <c r="S77" i="48" s="1"/>
  <c r="M71" i="10"/>
  <c r="R71" i="48" s="1"/>
  <c r="R77" i="48" s="1"/>
  <c r="L71" i="10"/>
  <c r="O71" i="48" s="1"/>
  <c r="O77" i="48" s="1"/>
  <c r="J71" i="10"/>
  <c r="K71" i="48" s="1"/>
  <c r="K77" i="48" s="1"/>
  <c r="I71" i="10"/>
  <c r="J71" i="48" s="1"/>
  <c r="J77" i="48" s="1"/>
  <c r="H71" i="10"/>
  <c r="G71" i="10"/>
  <c r="G71" i="48" s="1"/>
  <c r="G77" i="48" s="1"/>
  <c r="F71" i="10"/>
  <c r="F71" i="48" s="1"/>
  <c r="F77" i="48" s="1"/>
  <c r="E71" i="10"/>
  <c r="E71" i="48" s="1"/>
  <c r="E77" i="48" s="1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5" i="2"/>
  <c r="D45" i="2"/>
  <c r="E53" i="2"/>
  <c r="D53" i="2"/>
  <c r="C69" i="2"/>
  <c r="B26" i="42" s="1"/>
  <c r="K80" i="10"/>
  <c r="I80" i="10"/>
  <c r="G80" i="10"/>
  <c r="E80" i="10"/>
  <c r="Q74" i="10"/>
  <c r="U74" i="10"/>
  <c r="AH74" i="48" s="1"/>
  <c r="AJ71" i="48" l="1"/>
  <c r="AJ77" i="48" s="1"/>
  <c r="T71" i="48"/>
  <c r="T77" i="48" s="1"/>
  <c r="X74" i="48"/>
  <c r="Z74" i="48"/>
  <c r="Z71" i="10"/>
  <c r="D71" i="10"/>
  <c r="D71" i="48" s="1"/>
  <c r="D77" i="48" s="1"/>
  <c r="M74" i="10"/>
  <c r="R74" i="48" s="1"/>
  <c r="Y71" i="10"/>
  <c r="C71" i="10"/>
  <c r="C71" i="48" s="1"/>
  <c r="D22" i="2"/>
  <c r="D27" i="2" s="1"/>
  <c r="D29" i="2" s="1"/>
  <c r="D34" i="2" s="1"/>
  <c r="D55" i="2" s="1"/>
  <c r="D71" i="2" s="1"/>
  <c r="E22" i="2"/>
  <c r="E27" i="2" s="1"/>
  <c r="E29" i="2" s="1"/>
  <c r="E34" i="2" s="1"/>
  <c r="E55" i="2" s="1"/>
  <c r="E71" i="2" s="1"/>
  <c r="E74" i="2" s="1"/>
  <c r="E78" i="2" s="1"/>
  <c r="Y80" i="10"/>
  <c r="D74" i="2" l="1"/>
  <c r="D78" i="2" s="1"/>
  <c r="C54" i="26" l="1"/>
  <c r="I54" i="26"/>
  <c r="O64" i="26" l="1"/>
  <c r="C64" i="26" s="1"/>
  <c r="I64" i="26"/>
  <c r="O63" i="26" l="1"/>
  <c r="I9" i="30" l="1"/>
  <c r="J9" i="30" s="1"/>
  <c r="C9" i="30"/>
  <c r="D9" i="30" l="1"/>
  <c r="Q9" i="30"/>
  <c r="E52" i="35"/>
  <c r="C15" i="30" l="1"/>
  <c r="C14" i="30"/>
  <c r="C13" i="30"/>
  <c r="C12" i="30"/>
  <c r="C11" i="30"/>
  <c r="C10" i="30"/>
  <c r="I15" i="30"/>
  <c r="J15" i="30" s="1"/>
  <c r="I14" i="30"/>
  <c r="J14" i="30" s="1"/>
  <c r="I13" i="30"/>
  <c r="J13" i="30" s="1"/>
  <c r="I12" i="30"/>
  <c r="J12" i="30" s="1"/>
  <c r="I11" i="30"/>
  <c r="J11" i="30" s="1"/>
  <c r="I10" i="30"/>
  <c r="J10" i="30" s="1"/>
  <c r="I8" i="30"/>
  <c r="J8" i="30" s="1"/>
  <c r="C8" i="30"/>
  <c r="C44" i="35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D35" i="35" s="1"/>
  <c r="C34" i="35"/>
  <c r="D34" i="35" s="1"/>
  <c r="C33" i="35"/>
  <c r="C32" i="35"/>
  <c r="C31" i="35"/>
  <c r="D31" i="35" s="1"/>
  <c r="C30" i="35"/>
  <c r="D30" i="35" s="1"/>
  <c r="C26" i="35"/>
  <c r="D26" i="35" s="1"/>
  <c r="C23" i="35"/>
  <c r="D23" i="35" s="1"/>
  <c r="C22" i="35"/>
  <c r="D22" i="35" s="1"/>
  <c r="C21" i="35"/>
  <c r="D21" i="35" s="1"/>
  <c r="C20" i="35"/>
  <c r="C16" i="35"/>
  <c r="D16" i="35" s="1"/>
  <c r="C13" i="35"/>
  <c r="D13" i="35" s="1"/>
  <c r="C12" i="35"/>
  <c r="D12" i="35" s="1"/>
  <c r="C11" i="35"/>
  <c r="D11" i="35" s="1"/>
  <c r="C10" i="35"/>
  <c r="D8" i="30" l="1"/>
  <c r="Q8" i="30"/>
  <c r="D10" i="30"/>
  <c r="Q10" i="30"/>
  <c r="D12" i="30"/>
  <c r="Q12" i="30"/>
  <c r="D14" i="30"/>
  <c r="Q14" i="30"/>
  <c r="D11" i="30"/>
  <c r="Q11" i="30"/>
  <c r="D13" i="30"/>
  <c r="Q13" i="30"/>
  <c r="D15" i="30"/>
  <c r="Q15" i="30"/>
  <c r="D20" i="35"/>
  <c r="AA17" i="40" s="1"/>
  <c r="D10" i="35"/>
  <c r="AA12" i="40" s="1"/>
  <c r="AA31" i="40"/>
  <c r="D32" i="35"/>
  <c r="AA32" i="40"/>
  <c r="D33" i="35"/>
  <c r="AA16" i="40"/>
  <c r="AA26" i="40"/>
  <c r="AA11" i="40"/>
  <c r="AA30" i="40"/>
  <c r="AA29" i="40"/>
  <c r="AA33" i="40"/>
  <c r="AA35" i="40"/>
  <c r="AA21" i="40"/>
  <c r="AA22" i="40"/>
  <c r="AA23" i="40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C53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D28" i="35" s="1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C16" i="30"/>
  <c r="C25" i="30" l="1"/>
  <c r="C26" i="30" s="1"/>
  <c r="AA36" i="40"/>
  <c r="AA27" i="40"/>
  <c r="AA28" i="40"/>
  <c r="AC28" i="40"/>
  <c r="AC36" i="40"/>
  <c r="AC27" i="40"/>
  <c r="F28" i="35"/>
  <c r="AB36" i="40"/>
  <c r="AB27" i="40"/>
  <c r="AB28" i="40"/>
  <c r="L8" i="35"/>
  <c r="L10" i="35" s="1"/>
  <c r="J8" i="35"/>
  <c r="J10" i="35" s="1"/>
  <c r="K8" i="35"/>
  <c r="K10" i="35" s="1"/>
  <c r="G55" i="35"/>
  <c r="D16" i="30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s="1"/>
  <c r="M16" i="30" l="1"/>
  <c r="M28" i="30" s="1"/>
  <c r="M29" i="30" s="1"/>
  <c r="K16" i="30"/>
  <c r="L16" i="30" s="1"/>
  <c r="I16" i="30"/>
  <c r="G16" i="30"/>
  <c r="E16" i="30"/>
  <c r="F16" i="30" s="1"/>
  <c r="K28" i="30" l="1"/>
  <c r="K29" i="30" s="1"/>
  <c r="I28" i="30"/>
  <c r="I29" i="30" s="1"/>
  <c r="Q16" i="30"/>
  <c r="G25" i="30"/>
  <c r="G26" i="30" s="1"/>
  <c r="E25" i="30"/>
  <c r="E26" i="30" s="1"/>
  <c r="N16" i="30"/>
  <c r="H16" i="30"/>
  <c r="J16" i="30"/>
  <c r="N9" i="26"/>
  <c r="M9" i="26"/>
  <c r="L9" i="26"/>
  <c r="J9" i="26"/>
  <c r="K2" i="30" l="1"/>
  <c r="C26" i="2" l="1"/>
  <c r="T62" i="26" l="1"/>
  <c r="S62" i="26"/>
  <c r="R62" i="26"/>
  <c r="P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J31" i="10"/>
  <c r="K31" i="48" s="1"/>
  <c r="I31" i="10"/>
  <c r="H31" i="10"/>
  <c r="G31" i="10"/>
  <c r="F31" i="10"/>
  <c r="F31" i="48" s="1"/>
  <c r="E31" i="10"/>
  <c r="X74" i="10"/>
  <c r="AM74" i="48" s="1"/>
  <c r="V74" i="10"/>
  <c r="AI74" i="48" s="1"/>
  <c r="T74" i="10"/>
  <c r="AE74" i="48" s="1"/>
  <c r="R74" i="10"/>
  <c r="P74" i="10"/>
  <c r="W74" i="48" s="1"/>
  <c r="N74" i="10"/>
  <c r="S74" i="48" s="1"/>
  <c r="L74" i="10"/>
  <c r="O74" i="48" s="1"/>
  <c r="J74" i="10"/>
  <c r="K74" i="48" s="1"/>
  <c r="H74" i="10"/>
  <c r="F74" i="10"/>
  <c r="F74" i="48" s="1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Z35" i="10"/>
  <c r="Z53" i="10" s="1"/>
  <c r="G54" i="35"/>
  <c r="G56" i="35" s="1"/>
  <c r="C72" i="10"/>
  <c r="C72" i="48" s="1"/>
  <c r="C73" i="10"/>
  <c r="C73" i="48" s="1"/>
  <c r="C30" i="10"/>
  <c r="C30" i="48" s="1"/>
  <c r="C29" i="10"/>
  <c r="C29" i="48" s="1"/>
  <c r="C28" i="10"/>
  <c r="C28" i="48" s="1"/>
  <c r="C27" i="10"/>
  <c r="C27" i="48" s="1"/>
  <c r="C26" i="10"/>
  <c r="C26" i="48" s="1"/>
  <c r="C25" i="10"/>
  <c r="C25" i="48" s="1"/>
  <c r="C24" i="10"/>
  <c r="C24" i="48" s="1"/>
  <c r="C23" i="10"/>
  <c r="C23" i="48" s="1"/>
  <c r="C22" i="10"/>
  <c r="C22" i="48" s="1"/>
  <c r="C21" i="10"/>
  <c r="C21" i="48" s="1"/>
  <c r="C20" i="10"/>
  <c r="C20" i="48" s="1"/>
  <c r="C19" i="10"/>
  <c r="C19" i="48" s="1"/>
  <c r="C18" i="10"/>
  <c r="C18" i="48" s="1"/>
  <c r="C17" i="10"/>
  <c r="C17" i="48" s="1"/>
  <c r="C16" i="10"/>
  <c r="C16" i="48" s="1"/>
  <c r="C15" i="10"/>
  <c r="C15" i="48" s="1"/>
  <c r="C14" i="10"/>
  <c r="C14" i="48" s="1"/>
  <c r="C13" i="10"/>
  <c r="C13" i="48" s="1"/>
  <c r="C12" i="10"/>
  <c r="C12" i="48" s="1"/>
  <c r="C11" i="10"/>
  <c r="C11" i="48" s="1"/>
  <c r="C10" i="10"/>
  <c r="C10" i="48" s="1"/>
  <c r="C9" i="10"/>
  <c r="C9" i="48" s="1"/>
  <c r="C8" i="10"/>
  <c r="C8" i="48" s="1"/>
  <c r="C50" i="10"/>
  <c r="C50" i="48" s="1"/>
  <c r="C49" i="10"/>
  <c r="C49" i="48" s="1"/>
  <c r="C48" i="10"/>
  <c r="C48" i="48" s="1"/>
  <c r="C47" i="10"/>
  <c r="C47" i="48" s="1"/>
  <c r="C46" i="10"/>
  <c r="C46" i="48" s="1"/>
  <c r="C45" i="10"/>
  <c r="C45" i="48" s="1"/>
  <c r="C44" i="10"/>
  <c r="C44" i="48" s="1"/>
  <c r="C43" i="10"/>
  <c r="C43" i="48" s="1"/>
  <c r="C42" i="10"/>
  <c r="C42" i="48" s="1"/>
  <c r="C41" i="10"/>
  <c r="C41" i="48" s="1"/>
  <c r="C40" i="10"/>
  <c r="C40" i="48" s="1"/>
  <c r="C39" i="10"/>
  <c r="C39" i="48" s="1"/>
  <c r="C38" i="10"/>
  <c r="C38" i="48" s="1"/>
  <c r="C37" i="10"/>
  <c r="C37" i="48" s="1"/>
  <c r="C36" i="10"/>
  <c r="C36" i="48" s="1"/>
  <c r="C35" i="10"/>
  <c r="C35" i="48" s="1"/>
  <c r="R31" i="48" l="1"/>
  <c r="B14" i="42"/>
  <c r="B13" i="42" s="1"/>
  <c r="B11" i="42"/>
  <c r="B10" i="42" s="1"/>
  <c r="F92" i="24"/>
  <c r="F93" i="24" s="1"/>
  <c r="G92" i="24"/>
  <c r="G93" i="24" s="1"/>
  <c r="Z31" i="48"/>
  <c r="H92" i="24"/>
  <c r="H93" i="24" s="1"/>
  <c r="AH31" i="48"/>
  <c r="I92" i="24"/>
  <c r="I93" i="24" s="1"/>
  <c r="AT32" i="48"/>
  <c r="AQ32" i="48"/>
  <c r="Y74" i="48"/>
  <c r="AA74" i="48"/>
  <c r="O76" i="48"/>
  <c r="O75" i="48"/>
  <c r="R75" i="48"/>
  <c r="R76" i="48"/>
  <c r="S76" i="48"/>
  <c r="S75" i="48"/>
  <c r="AP32" i="48"/>
  <c r="AR32" i="48" s="1"/>
  <c r="N32" i="48"/>
  <c r="T75" i="48"/>
  <c r="T76" i="48"/>
  <c r="Q32" i="48"/>
  <c r="W75" i="48"/>
  <c r="W76" i="48"/>
  <c r="Z75" i="48"/>
  <c r="Z76" i="48"/>
  <c r="AA75" i="48"/>
  <c r="AA76" i="48"/>
  <c r="V32" i="48"/>
  <c r="AB76" i="48"/>
  <c r="AB75" i="48"/>
  <c r="AS32" i="48"/>
  <c r="AU32" i="48" s="1"/>
  <c r="Y32" i="48"/>
  <c r="AE75" i="48"/>
  <c r="AE76" i="48"/>
  <c r="AD8" i="40"/>
  <c r="AD9" i="40" s="1"/>
  <c r="E31" i="48"/>
  <c r="AH76" i="48"/>
  <c r="AH75" i="48"/>
  <c r="F76" i="48"/>
  <c r="F75" i="48"/>
  <c r="AI76" i="48"/>
  <c r="AI75" i="48"/>
  <c r="AD32" i="48"/>
  <c r="AD10" i="40"/>
  <c r="AD11" i="40" s="1"/>
  <c r="G31" i="48"/>
  <c r="AJ75" i="48"/>
  <c r="AJ76" i="48"/>
  <c r="AG32" i="48"/>
  <c r="AM76" i="48"/>
  <c r="AM75" i="48"/>
  <c r="AE8" i="40"/>
  <c r="AE9" i="40" s="1"/>
  <c r="J31" i="48"/>
  <c r="K76" i="48"/>
  <c r="K75" i="48"/>
  <c r="AL32" i="48"/>
  <c r="AE10" i="40"/>
  <c r="AE11" i="40" s="1"/>
  <c r="L31" i="48"/>
  <c r="I32" i="48"/>
  <c r="AO32" i="48"/>
  <c r="AG8" i="40"/>
  <c r="AG9" i="40" s="1"/>
  <c r="C54" i="35"/>
  <c r="C56" i="35" s="1"/>
  <c r="AH8" i="40"/>
  <c r="AH9" i="40" s="1"/>
  <c r="AF8" i="40"/>
  <c r="AF9" i="40" s="1"/>
  <c r="C53" i="10"/>
  <c r="Y32" i="10"/>
  <c r="I74" i="10"/>
  <c r="J74" i="48" s="1"/>
  <c r="I82" i="10"/>
  <c r="M82" i="10"/>
  <c r="Q82" i="10"/>
  <c r="U82" i="10"/>
  <c r="K74" i="10"/>
  <c r="L74" i="48" s="1"/>
  <c r="K82" i="10"/>
  <c r="S74" i="10"/>
  <c r="AB74" i="48" s="1"/>
  <c r="S82" i="10"/>
  <c r="W74" i="10"/>
  <c r="AJ74" i="48" s="1"/>
  <c r="W82" i="10"/>
  <c r="O74" i="10"/>
  <c r="T74" i="48" s="1"/>
  <c r="O82" i="10"/>
  <c r="E74" i="10"/>
  <c r="E74" i="48" s="1"/>
  <c r="E82" i="10"/>
  <c r="G74" i="10"/>
  <c r="G74" i="48" s="1"/>
  <c r="G82" i="10"/>
  <c r="Z31" i="10"/>
  <c r="Y31" i="10"/>
  <c r="L49" i="13" s="1"/>
  <c r="Z32" i="10"/>
  <c r="D31" i="10"/>
  <c r="D31" i="48" s="1"/>
  <c r="D32" i="10"/>
  <c r="D32" i="48" s="1"/>
  <c r="D74" i="10"/>
  <c r="D74" i="48" s="1"/>
  <c r="C32" i="10"/>
  <c r="C32" i="48" s="1"/>
  <c r="C31" i="10"/>
  <c r="Z74" i="10"/>
  <c r="AS74" i="48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C74" i="10" l="1"/>
  <c r="C74" i="48" s="1"/>
  <c r="C53" i="48"/>
  <c r="C77" i="48" s="1"/>
  <c r="C58" i="35"/>
  <c r="C60" i="35" s="1"/>
  <c r="C31" i="48"/>
  <c r="J76" i="48"/>
  <c r="J75" i="48"/>
  <c r="E75" i="48"/>
  <c r="E76" i="48"/>
  <c r="G76" i="48"/>
  <c r="G75" i="48"/>
  <c r="D76" i="48"/>
  <c r="D75" i="48"/>
  <c r="L76" i="48"/>
  <c r="L75" i="48"/>
  <c r="G58" i="35"/>
  <c r="G52" i="35" s="1"/>
  <c r="AC8" i="40"/>
  <c r="AB8" i="40" s="1"/>
  <c r="L32" i="13"/>
  <c r="C52" i="35" l="1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P9" i="26" l="1"/>
  <c r="G81" i="10" s="1"/>
  <c r="G83" i="10" s="1"/>
  <c r="C12" i="26" l="1"/>
  <c r="Z22" i="9"/>
  <c r="C70" i="3"/>
  <c r="C61" i="3"/>
  <c r="C52" i="3"/>
  <c r="C36" i="3"/>
  <c r="C28" i="3"/>
  <c r="C19" i="3"/>
  <c r="C14" i="3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Y35" i="10"/>
  <c r="Y53" i="10" s="1"/>
  <c r="C45" i="2"/>
  <c r="C7" i="6"/>
  <c r="K34" i="20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C22" i="2"/>
  <c r="C27" i="2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74" i="48" s="1"/>
  <c r="B27" i="42" l="1"/>
  <c r="B23" i="42"/>
  <c r="C34" i="2"/>
  <c r="C55" i="2" s="1"/>
  <c r="C71" i="2" s="1"/>
  <c r="B17" i="42" s="1"/>
  <c r="B16" i="42" s="1"/>
  <c r="E46" i="41"/>
  <c r="C45" i="41"/>
  <c r="C44" i="41"/>
  <c r="D52" i="41"/>
  <c r="B24" i="42" l="1"/>
  <c r="B22" i="42" s="1"/>
  <c r="B25" i="42"/>
  <c r="C74" i="2"/>
  <c r="C78" i="2" s="1"/>
  <c r="B20" i="42" s="1"/>
  <c r="B19" i="42" s="1"/>
  <c r="C46" i="41"/>
  <c r="C43" i="41" s="1"/>
  <c r="C35" i="41" s="1"/>
  <c r="C40" i="41" s="1"/>
  <c r="C8" i="6" l="1"/>
  <c r="K46" i="20"/>
  <c r="C51" i="41"/>
  <c r="C14" i="6" l="1"/>
  <c r="F14" i="24" l="1"/>
  <c r="O49" i="26" l="1"/>
  <c r="O9" i="26" s="1"/>
  <c r="C49" i="26" l="1"/>
  <c r="C9" i="26" s="1"/>
  <c r="Q9" i="26"/>
  <c r="K81" i="10" s="1"/>
  <c r="K83" i="10" l="1"/>
  <c r="Y81" i="10"/>
  <c r="Y83" i="10" s="1"/>
  <c r="E8" i="6" l="1"/>
  <c r="E14" i="6" l="1"/>
  <c r="K23" i="20" l="1"/>
  <c r="K20" i="20" l="1"/>
  <c r="K16" i="20" l="1"/>
  <c r="K22" i="20" l="1"/>
  <c r="K19" i="20"/>
  <c r="K21" i="20" l="1"/>
  <c r="K18" i="20" l="1"/>
  <c r="W36" i="40" l="1"/>
  <c r="S37" i="40"/>
  <c r="S36" i="40" s="1"/>
  <c r="I11" i="20" l="1"/>
  <c r="K11" i="20" s="1"/>
  <c r="I13" i="20"/>
  <c r="K13" i="20" s="1"/>
  <c r="I38" i="20" l="1"/>
  <c r="K38" i="20" s="1"/>
  <c r="I25" i="20"/>
  <c r="K25" i="20" s="1"/>
  <c r="I29" i="20"/>
  <c r="K29" i="20" s="1"/>
  <c r="I36" i="20"/>
  <c r="K36" i="20" s="1"/>
  <c r="I31" i="20"/>
  <c r="K31" i="20" s="1"/>
  <c r="B8" i="42"/>
  <c r="B7" i="42" s="1"/>
  <c r="I27" i="20"/>
  <c r="K27" i="20" s="1"/>
  <c r="I43" i="20"/>
  <c r="K43" i="20" s="1"/>
  <c r="I41" i="20"/>
  <c r="K41" i="20" s="1"/>
  <c r="I9" i="20"/>
  <c r="K9" i="20" s="1"/>
  <c r="B5" i="42" l="1"/>
  <c r="B4" i="42" s="1"/>
  <c r="I7" i="20" l="1"/>
  <c r="K7" i="20" s="1"/>
</calcChain>
</file>

<file path=xl/sharedStrings.xml><?xml version="1.0" encoding="utf-8"?>
<sst xmlns="http://schemas.openxmlformats.org/spreadsheetml/2006/main" count="1788" uniqueCount="848">
  <si>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</si>
  <si>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</si>
  <si>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</si>
  <si>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</si>
  <si>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</si>
  <si>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</si>
  <si>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</si>
  <si>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</si>
  <si>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</si>
  <si>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</si>
  <si>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</si>
  <si>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</si>
  <si>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</si>
  <si>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</si>
  <si>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</si>
  <si>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</si>
  <si>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</si>
  <si>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</si>
  <si>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</si>
  <si>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</si>
  <si>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</si>
  <si>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</si>
  <si>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</si>
  <si>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</si>
  <si>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</si>
  <si>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</si>
  <si>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</si>
  <si>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</si>
  <si>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</si>
  <si>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</si>
  <si>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</si>
  <si>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</si>
  <si>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</si>
  <si>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</si>
  <si>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</si>
  <si>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</si>
  <si>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</si>
  <si>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</si>
  <si>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</si>
  <si>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</si>
  <si>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</si>
  <si>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</si>
  <si>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</si>
  <si>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</si>
  <si>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</si>
  <si>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</si>
  <si>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</si>
  <si>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</si>
  <si>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</si>
  <si>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</si>
  <si>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</si>
  <si>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</si>
  <si>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</si>
  <si>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</si>
  <si>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</si>
  <si>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</si>
  <si>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</si>
  <si>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</si>
  <si>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</si>
  <si>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</si>
  <si>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</si>
  <si>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</si>
  <si>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</si>
  <si>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</si>
  <si>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</si>
  <si>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</si>
  <si>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</si>
  <si>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</si>
  <si>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</si>
  <si>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</si>
  <si>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</si>
  <si>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</si>
  <si>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</si>
  <si>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</si>
  <si>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</si>
  <si>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</si>
  <si>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</si>
  <si>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</si>
  <si>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</si>
  <si>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</si>
  <si>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</si>
  <si>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</si>
  <si>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</si>
  <si>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</si>
  <si>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</si>
  <si>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</si>
  <si>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</si>
  <si>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</si>
  <si>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</si>
  <si>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</si>
  <si>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</si>
  <si>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</si>
  <si>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</si>
  <si>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</si>
  <si>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</si>
  <si>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</si>
  <si>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</si>
  <si>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</si>
  <si>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</si>
  <si>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</si>
  <si>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</si>
  <si>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</si>
  <si>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</si>
  <si>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</si>
  <si>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</si>
  <si>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</si>
  <si>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</si>
  <si>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</si>
  <si>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</si>
  <si>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</si>
  <si>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</si>
  <si>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</si>
  <si>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</si>
  <si>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</si>
  <si>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</si>
  <si>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</si>
  <si>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</si>
  <si>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</si>
  <si>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</si>
  <si>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</si>
  <si>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</si>
  <si>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</si>
  <si>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</si>
  <si>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</si>
  <si>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</si>
  <si>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</si>
  <si>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</si>
  <si>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</si>
  <si>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</si>
  <si>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</si>
  <si>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</si>
  <si>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</si>
  <si>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</si>
  <si>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</si>
  <si>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</si>
  <si>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</si>
  <si>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</si>
  <si>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</si>
  <si>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</si>
  <si>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</si>
  <si>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</si>
  <si>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</si>
  <si>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</si>
  <si>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</si>
  <si>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</si>
  <si>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</si>
  <si>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</si>
  <si>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</si>
  <si>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</si>
  <si>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</si>
  <si>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</si>
  <si>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</si>
  <si>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</si>
  <si>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</si>
  <si>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</si>
  <si>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</si>
  <si>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</si>
  <si>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</si>
  <si>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</si>
  <si>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</si>
  <si>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</si>
  <si>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</si>
  <si>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</si>
  <si>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</si>
  <si>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</si>
  <si>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</si>
  <si>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</si>
  <si>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</si>
  <si>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</si>
  <si>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</si>
  <si>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</si>
  <si>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</si>
  <si>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</si>
  <si>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</si>
  <si>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</si>
  <si>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</si>
  <si>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</si>
  <si>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</si>
  <si>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</si>
  <si>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</si>
  <si>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</si>
  <si>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</si>
  <si>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</si>
  <si>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</si>
  <si>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</si>
  <si>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</si>
  <si>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</si>
  <si>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</si>
  <si>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50</t>
  </si>
  <si>
    <t>У</t>
  </si>
  <si>
    <t>Физлица</t>
  </si>
  <si>
    <t>Юрзлица</t>
  </si>
  <si>
    <t>51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</si>
  <si>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</si>
  <si>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</si>
  <si>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</si>
  <si>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</si>
  <si>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</si>
  <si>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</si>
  <si>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</si>
  <si>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</si>
  <si>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</si>
  <si>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</si>
  <si>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</si>
  <si>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</si>
  <si>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</si>
  <si>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</si>
  <si>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</si>
  <si>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</si>
  <si>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</si>
  <si>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</si>
  <si>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</si>
  <si>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</si>
  <si>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</si>
  <si>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</si>
  <si>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</si>
  <si>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</si>
  <si>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</si>
  <si>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</si>
  <si>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</si>
  <si>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</si>
  <si>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</si>
  <si>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</si>
  <si>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</si>
  <si>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</si>
  <si>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</si>
  <si>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</si>
  <si>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</si>
  <si>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</si>
  <si>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</si>
  <si>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</si>
  <si>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</si>
  <si>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</si>
  <si>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</si>
  <si>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</si>
  <si>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</si>
  <si>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</si>
  <si>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</si>
  <si>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</si>
  <si>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</si>
  <si>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</si>
  <si>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</si>
  <si>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</si>
  <si>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</si>
  <si>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</si>
  <si>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</si>
  <si>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</si>
  <si>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</si>
  <si>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</si>
  <si>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</si>
  <si>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</si>
  <si>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</si>
  <si>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</si>
  <si>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</si>
  <si>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</si>
  <si>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</si>
  <si>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</si>
  <si>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</si>
  <si>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</si>
  <si>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</si>
  <si>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</si>
  <si>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</si>
  <si>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</si>
  <si>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</si>
  <si>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</si>
  <si>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</si>
  <si>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</si>
  <si>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</si>
  <si>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</si>
  <si>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</si>
  <si>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</si>
  <si>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</si>
  <si>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</si>
  <si>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</si>
  <si>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</si>
  <si>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</si>
  <si>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</si>
  <si>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</si>
  <si>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</si>
  <si>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</si>
  <si>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</si>
  <si>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</si>
  <si>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</si>
  <si>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</si>
  <si>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</si>
  <si>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</si>
  <si>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</si>
  <si>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</si>
  <si>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</si>
  <si>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</si>
  <si>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</si>
  <si>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</si>
  <si>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</si>
  <si>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</si>
  <si>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</si>
  <si>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</si>
  <si>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</si>
  <si>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</si>
  <si>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</si>
  <si>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</si>
  <si>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</si>
  <si>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</si>
  <si>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</si>
  <si>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</si>
  <si>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</si>
  <si>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</si>
  <si>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</si>
  <si>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</si>
  <si>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</si>
  <si>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</si>
  <si>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</si>
  <si>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</si>
  <si>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</si>
  <si>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</si>
  <si>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</si>
  <si>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</si>
  <si>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</si>
  <si>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</si>
  <si>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</si>
  <si>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</si>
  <si>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</si>
  <si>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</si>
  <si>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</si>
  <si>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</si>
  <si>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</si>
  <si>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</si>
  <si>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</si>
  <si>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</si>
  <si>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</si>
  <si>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</si>
  <si>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</si>
  <si>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</si>
  <si>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</si>
  <si>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</si>
  <si>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</si>
  <si>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</si>
  <si>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д1.</t>
  </si>
  <si>
    <t>Активлар бўйича эҳтимолий йўқотишларга қарши яратилган захираларни қайтарилиши</t>
  </si>
  <si>
    <t>д2.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</si>
  <si>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</si>
  <si>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</si>
  <si>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</si>
  <si>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</si>
  <si>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</si>
  <si>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</si>
  <si>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</si>
  <si>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</si>
  <si>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</si>
  <si>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</si>
  <si>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</si>
  <si>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</si>
  <si>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</si>
  <si>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</si>
  <si>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</si>
  <si>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</si>
  <si>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</si>
  <si>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</si>
  <si>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</si>
  <si>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</si>
  <si>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</si>
  <si>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</si>
  <si>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</si>
  <si>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</si>
  <si>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</si>
  <si>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</si>
  <si>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</si>
  <si>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</si>
  <si>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</si>
  <si>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</si>
  <si>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</si>
  <si>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</si>
  <si>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</si>
  <si>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</si>
  <si>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</si>
  <si>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</si>
  <si>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</si>
  <si>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</si>
  <si>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</si>
  <si>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</si>
  <si>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</si>
  <si>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</si>
  <si>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</si>
  <si>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</si>
  <si>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</si>
  <si>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</si>
  <si>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</si>
  <si>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</si>
  <si>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</si>
  <si>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</si>
  <si>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</si>
  <si>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</si>
  <si>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</si>
  <si>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</si>
  <si>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</si>
  <si>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</si>
  <si>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</si>
  <si>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</si>
  <si>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</si>
  <si>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</si>
  <si>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</si>
  <si>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</si>
  <si>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</si>
  <si>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</si>
  <si>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</si>
  <si>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</si>
  <si>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</si>
  <si>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</si>
  <si>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</si>
  <si>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</si>
  <si>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</si>
  <si>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</si>
  <si>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</si>
  <si>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</si>
  <si>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</si>
  <si>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</si>
  <si>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</si>
  <si>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</si>
  <si>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</si>
  <si>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</si>
  <si>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</si>
  <si>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</si>
  <si>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</si>
  <si>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</si>
  <si>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</si>
  <si>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</si>
  <si>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</si>
  <si>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</si>
  <si>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</si>
  <si>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</si>
  <si>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</si>
  <si>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</si>
  <si>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</si>
  <si>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</si>
  <si>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</si>
  <si>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</si>
  <si>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</si>
  <si>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</si>
  <si>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</si>
  <si>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</si>
  <si>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</si>
  <si>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</si>
  <si>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</si>
  <si>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</si>
  <si>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</si>
  <si>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</si>
  <si>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</si>
  <si>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</si>
  <si>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</si>
  <si>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</si>
  <si>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</si>
  <si>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</si>
  <si>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</si>
  <si>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</si>
  <si>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</si>
  <si>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</si>
  <si>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</si>
  <si>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</si>
  <si>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</si>
  <si>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</si>
  <si>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</si>
  <si>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</si>
  <si>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</si>
  <si>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</si>
  <si>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</si>
  <si>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</si>
  <si>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Кредит ва лизингларни ҳисобдан чиқариш ва қайтариш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</si>
  <si>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</si>
  <si>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</si>
  <si>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</si>
  <si>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</si>
  <si>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</si>
  <si>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</si>
  <si>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</si>
  <si>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</si>
  <si>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</si>
  <si>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</si>
  <si>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</si>
  <si>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</si>
  <si>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</si>
  <si>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</si>
  <si>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</si>
  <si>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</si>
  <si>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</si>
  <si>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 xml:space="preserve">Кредит ва лизинг бўйича эҳтимолий йўқотишларга қарши захиралар 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</si>
  <si>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</si>
  <si>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</si>
  <si>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</si>
  <si>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</si>
  <si>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</si>
  <si>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</si>
  <si>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</si>
  <si>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</si>
  <si>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</si>
  <si>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</si>
  <si>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</si>
  <si>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</si>
  <si>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</si>
  <si>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</si>
  <si>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</si>
  <si>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</si>
  <si>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</si>
  <si>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</si>
  <si>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</si>
  <si>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</si>
  <si>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</si>
  <si>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КРЕДИТ ПОРТФЕЛЬ ТАРКИБИ ТЎҒРИСИДА ҲИСОБОТ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</si>
  <si>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</si>
  <si>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</si>
  <si>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</si>
  <si>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</si>
  <si>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</si>
  <si>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</si>
  <si>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</si>
  <si>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</si>
  <si>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</si>
  <si>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</si>
  <si>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</si>
  <si>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</si>
  <si>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</si>
  <si>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</si>
  <si>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</si>
  <si>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</si>
  <si>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</si>
  <si>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</si>
  <si>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</si>
  <si>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</si>
  <si>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</si>
  <si>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</si>
  <si>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</si>
  <si>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</si>
  <si>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</si>
  <si>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</si>
  <si>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</si>
  <si>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</si>
  <si>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</si>
  <si>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</si>
  <si>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ҳукумат томонидан  ажратилган кредитлар</t>
  </si>
  <si>
    <t>бошқа мақсадли кредитлар</t>
  </si>
  <si>
    <t>БАНК ТОМОНИДАН ЖАЛБ ҚИЛИНГАН ДЕПОЗИТЛАРНИНГ ЎРТАЧА ТОРТИЛГАН ФОИЗ СТАВКАЛАРИ ТЎҒРИСИДА ҲИСОБОТ</t>
  </si>
  <si>
    <t>21-жадвал</t>
  </si>
  <si>
    <t>Жалб қилинган 
маблағларнинг муддатлари</t>
  </si>
  <si>
    <t>Жисмоний шахсларнинг депозит (омонат) лари</t>
  </si>
  <si>
    <t>Юридик шахсларнинг депозит (омонат) лари</t>
  </si>
  <si>
    <t>жами сумма</t>
  </si>
  <si>
    <t>Муддатсиз</t>
  </si>
  <si>
    <t>1-7 кун</t>
  </si>
  <si>
    <t>8-30 кун</t>
  </si>
  <si>
    <t>31-90 кун</t>
  </si>
  <si>
    <t>91-180 кун</t>
  </si>
  <si>
    <t>181-365 кун</t>
  </si>
  <si>
    <t>366-730 кун</t>
  </si>
  <si>
    <t>2 йилдан ортиқ</t>
  </si>
  <si>
    <t>Жами (1, 2, 3, 4, 5, 6, 7, 8 қаторлар йиғиндиси)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</si>
  <si>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</si>
  <si>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</si>
  <si>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</si>
  <si>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</si>
  <si>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</si>
  <si>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</si>
  <si>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</si>
  <si>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</si>
  <si>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</si>
  <si>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</si>
  <si>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</si>
  <si>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</si>
  <si>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</si>
  <si>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</si>
  <si>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</si>
  <si>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</si>
  <si>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</si>
  <si>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</si>
  <si>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</si>
  <si>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</si>
  <si>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</si>
  <si>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</si>
  <si>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</si>
  <si>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</si>
  <si>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</si>
  <si>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</si>
  <si>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</si>
  <si>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</si>
  <si>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</si>
  <si>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</si>
  <si>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</si>
  <si>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</si>
  <si>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</si>
  <si>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</si>
  <si>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Олди-сотди учун қимматли қоғозларга қилинган инвестицияларнинг жами қиймати</t>
  </si>
  <si>
    <t>Банк томонидан 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йиғиндисининг максимал қиймати</t>
  </si>
  <si>
    <t xml:space="preserve">Битта эмитентнинг нодавлат қимматли қоғозларига қилинган инвестицияларнинг максимал қиймати </t>
  </si>
  <si>
    <t>Барча эмитентларнинг устав капиталига ва бошқа қимматли қоғозларига қилинган инвестицияларнинг жами максимал суммаси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</si>
  <si>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</si>
  <si>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</si>
  <si>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</si>
  <si>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Кўчмас мулкка қилинган банк инвестицияларининг меъёрий кўрсаткичи</t>
  </si>
  <si>
    <t>Банкнинг кўчмас мулкка қилинган барча инвестицияларининг умумий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</si>
  <si>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</si>
  <si>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</si>
  <si>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Банкнинг кўчмас мулкка қилинган барча инвестицияларининг умумий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</si>
  <si>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</si>
  <si>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</si>
  <si>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</si>
  <si>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</si>
  <si>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</si>
  <si>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</si>
  <si>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</si>
  <si>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</si>
  <si>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</si>
  <si>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</si>
  <si>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</si>
  <si>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</si>
  <si>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</si>
  <si>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</si>
  <si>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</si>
  <si>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</si>
  <si>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</si>
  <si>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</si>
  <si>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</si>
  <si>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</si>
  <si>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</si>
  <si>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</si>
  <si>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</si>
  <si>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</si>
  <si>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</si>
  <si>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</si>
  <si>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</si>
  <si>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</si>
  <si>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</si>
  <si>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 xml:space="preserve">Захиралар чегирилган ҳолда харакатсиз кредитлар/жами капитал </t>
  </si>
  <si>
    <t>Захиралар чегирилган ҳолда харакатсиз кредитлар миқдори</t>
  </si>
  <si>
    <t xml:space="preserve">Жами капитал 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</si>
  <si>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</si>
  <si>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</si>
  <si>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</si>
  <si>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</si>
  <si>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</si>
  <si>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</si>
  <si>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</si>
  <si>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</si>
  <si>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Жами капитал ҳажми (мазкур давр учун ўртача)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</si>
  <si>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</si>
  <si>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</si>
  <si>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</si>
  <si>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</si>
  <si>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</si>
  <si>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</si>
  <si>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</si>
  <si>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</si>
  <si>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</si>
  <si>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Жами капитал/жами активлар</t>
  </si>
  <si>
    <t xml:space="preserve">Очиқ валюта позицияси, соф / Жами капитал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</si>
  <si>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</si>
  <si>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</si>
  <si>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</si>
  <si>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</si>
  <si>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</si>
  <si>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</si>
  <si>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</si>
  <si>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</si>
  <si>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</si>
  <si>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</si>
  <si>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</si>
  <si>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</si>
  <si>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</si>
  <si>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</si>
  <si>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</si>
  <si>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</si>
  <si>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</si>
  <si>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</si>
  <si>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</si>
  <si>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</si>
  <si>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</si>
  <si>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</si>
  <si>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</si>
  <si>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</si>
  <si>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</si>
  <si>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</si>
  <si>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</si>
  <si>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</si>
  <si>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</si>
  <si>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</si>
  <si>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</si>
  <si>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</si>
  <si>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</si>
  <si>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</si>
  <si>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</si>
  <si>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</si>
  <si>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</si>
  <si>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</si>
  <si>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</si>
  <si>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</si>
  <si>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</si>
  <si>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</si>
  <si>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</si>
  <si>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</si>
  <si>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</si>
  <si>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</si>
  <si>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</si>
  <si>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</si>
  <si>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</si>
  <si>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</si>
  <si>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</si>
  <si>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</si>
  <si>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</si>
  <si>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</si>
  <si>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</si>
  <si>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</si>
  <si>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</si>
  <si>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</si>
  <si>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</si>
  <si>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</si>
  <si>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</si>
  <si>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</si>
  <si>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</si>
  <si>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</si>
  <si>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</si>
  <si>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</si>
  <si>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</si>
  <si>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</si>
  <si>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</si>
  <si>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</si>
  <si>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</si>
  <si>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</si>
  <si>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</si>
  <si>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</si>
  <si>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</si>
  <si>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</si>
  <si>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</si>
  <si>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</si>
  <si>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</si>
  <si>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</si>
  <si>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</si>
  <si>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</si>
  <si>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</si>
  <si>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</si>
  <si>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</si>
  <si>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</si>
  <si>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</si>
  <si>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</si>
  <si>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</si>
  <si>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</si>
  <si>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</si>
  <si>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</si>
  <si>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</si>
  <si>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</si>
  <si>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</si>
  <si>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</si>
  <si>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</si>
  <si>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</si>
  <si>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</si>
  <si>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</si>
  <si>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</si>
  <si>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</si>
  <si>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</si>
  <si>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</si>
  <si>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</si>
  <si>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</si>
  <si>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</si>
  <si>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</si>
  <si>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</si>
  <si>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</si>
  <si>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</si>
  <si>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</si>
  <si>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</si>
  <si>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</si>
  <si>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</si>
  <si>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</si>
  <si>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</si>
  <si>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</si>
  <si>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</si>
  <si>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</si>
  <si>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</si>
  <si>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</si>
  <si>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</si>
  <si>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</si>
  <si>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</si>
  <si>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</si>
  <si>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</si>
  <si>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</si>
  <si>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</si>
  <si>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</si>
  <si>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</si>
  <si>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</si>
  <si>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</si>
  <si>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</si>
  <si>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</si>
  <si>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</si>
  <si>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</si>
  <si>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</si>
  <si>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</si>
  <si>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</si>
  <si>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</si>
  <si>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</si>
  <si>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</si>
  <si>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</si>
  <si>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</si>
  <si>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</si>
  <si>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</si>
  <si>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</si>
  <si>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</si>
  <si>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</si>
  <si>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</si>
  <si>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</si>
  <si>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</si>
  <si>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</si>
  <si>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</si>
  <si>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</si>
  <si>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</si>
  <si>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</si>
  <si>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</si>
  <si>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</si>
  <si>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</si>
  <si>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№6</t>
  </si>
  <si>
    <t>ABDULLAYEV NURBEK KOMILJONOVICH</t>
  </si>
  <si>
    <t>ALIYEV KAXRAMON AVAZOVICH</t>
  </si>
  <si>
    <t>ESHQULOV FERUZ ABDIHALIMOVICH</t>
  </si>
  <si>
    <t>ESHQULOVA XILOLA ABDIXALIMOVNA</t>
  </si>
  <si>
    <t>Eshqulova Umida Avazbayevna</t>
  </si>
  <si>
    <t>ISLOMOV SHERZOD SHUXRATOVICH</t>
  </si>
  <si>
    <t>JUMANIYAZOV UMRBEK MATKARIMOVICH</t>
  </si>
  <si>
    <t>MUQIMOV AZAMAT SAIDOVICH</t>
  </si>
  <si>
    <t>NORQULOV BAHROM TURAMURODOVICH</t>
  </si>
  <si>
    <t>RAXMATULLAYEV NODIR MAXSUDOVICH</t>
  </si>
  <si>
    <t>SANOYEV G'OLIB BAXTIYOROVICH</t>
  </si>
  <si>
    <t>SULAYMONOV RUSTAM</t>
  </si>
  <si>
    <t>Yunusov Agzam Ergashevich</t>
  </si>
  <si>
    <t>BESHIMOV AZAMAT XAMROBOYEVICH</t>
  </si>
  <si>
    <t>AB0302136</t>
  </si>
  <si>
    <t>000</t>
  </si>
  <si>
    <t>AA2032378</t>
  </si>
  <si>
    <t>AA1817626</t>
  </si>
  <si>
    <t>AB9373883</t>
  </si>
  <si>
    <t>AA2110707</t>
  </si>
  <si>
    <t>AA1621436</t>
  </si>
  <si>
    <t>AA1603157</t>
  </si>
  <si>
    <t>AA0093700</t>
  </si>
  <si>
    <t>AA6746334</t>
  </si>
  <si>
    <t>AB0268169</t>
  </si>
  <si>
    <t>AB2783513</t>
  </si>
  <si>
    <t>AA7734222</t>
  </si>
  <si>
    <t>AA3151210</t>
  </si>
  <si>
    <t>AB9725681</t>
  </si>
  <si>
    <t>ООО "SESAME"</t>
  </si>
  <si>
    <t>нефт</t>
  </si>
  <si>
    <t>ИП ООО "EPSILON DEVELOPMENT COMPANY"</t>
  </si>
  <si>
    <t>Фитч Рейтингс</t>
  </si>
  <si>
    <t>ВВ-</t>
  </si>
  <si>
    <t>"МКБАНК"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</si>
</sst>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1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sz val="9"/>
      <name val="Arial"/>
      <family val="2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10"/>
      <color rgb="FFFF0000"/>
      <name val="Arial Cyr"/>
      <family val="2"/>
      <charset val="204"/>
    </font>
    <font>
      <b/>
      <sz val="20"/>
      <color rgb="FFFF0000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1">
    <xf numFmtId="0" fontId="0" fillId="0" borderId="0"/>
    <xf numFmtId="0" fontId="26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167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8" fillId="0" borderId="17">
      <protection locked="0"/>
    </xf>
    <xf numFmtId="174" fontId="60" fillId="0" borderId="0">
      <protection locked="0"/>
    </xf>
    <xf numFmtId="175" fontId="60" fillId="0" borderId="17">
      <protection locked="0"/>
    </xf>
    <xf numFmtId="176" fontId="60" fillId="0" borderId="0">
      <protection locked="0"/>
    </xf>
    <xf numFmtId="4" fontId="60" fillId="0" borderId="0">
      <protection locked="0"/>
    </xf>
    <xf numFmtId="177" fontId="60" fillId="0" borderId="0">
      <protection locked="0"/>
    </xf>
    <xf numFmtId="175" fontId="61" fillId="0" borderId="0">
      <protection locked="0"/>
    </xf>
    <xf numFmtId="175" fontId="62" fillId="0" borderId="0">
      <protection locked="0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63" fillId="0" borderId="5">
      <alignment horizontal="center"/>
    </xf>
    <xf numFmtId="166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64" fillId="0" borderId="0"/>
    <xf numFmtId="0" fontId="30" fillId="0" borderId="0"/>
    <xf numFmtId="9" fontId="32" fillId="0" borderId="0" applyFont="0" applyFill="0" applyBorder="0" applyAlignment="0" applyProtection="0"/>
    <xf numFmtId="0" fontId="65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10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7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68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6" fillId="0" borderId="0"/>
    <xf numFmtId="0" fontId="65" fillId="0" borderId="0"/>
    <xf numFmtId="0" fontId="2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65" fillId="0" borderId="0"/>
    <xf numFmtId="0" fontId="30" fillId="0" borderId="0"/>
    <xf numFmtId="0" fontId="6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67" fillId="0" borderId="0"/>
    <xf numFmtId="0" fontId="2" fillId="0" borderId="0"/>
    <xf numFmtId="0" fontId="65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3" fillId="0" borderId="0"/>
    <xf numFmtId="0" fontId="32" fillId="0" borderId="0"/>
    <xf numFmtId="0" fontId="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67" fillId="0" borderId="0"/>
    <xf numFmtId="0" fontId="65" fillId="0" borderId="0"/>
    <xf numFmtId="0" fontId="70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2" fillId="0" borderId="0"/>
    <xf numFmtId="0" fontId="2" fillId="0" borderId="0"/>
    <xf numFmtId="0" fontId="71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72" fillId="0" borderId="0"/>
    <xf numFmtId="0" fontId="3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3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67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32" fillId="0" borderId="0"/>
    <xf numFmtId="0" fontId="31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9" fontId="6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74" fillId="0" borderId="0"/>
    <xf numFmtId="166" fontId="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1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3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82" fontId="67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58" fillId="0" borderId="0">
      <protection locked="0"/>
    </xf>
    <xf numFmtId="0" fontId="8" fillId="0" borderId="0">
      <alignment vertical="top"/>
    </xf>
    <xf numFmtId="184" fontId="80" fillId="0" borderId="0" applyFont="0" applyFill="0" applyBorder="0" applyAlignment="0" applyProtection="0"/>
    <xf numFmtId="185" fontId="80" fillId="0" borderId="0" applyFont="0" applyFill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186" fontId="80" fillId="0" borderId="0" applyFont="0" applyFill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30" borderId="0" applyNumberFormat="0" applyBorder="0" applyAlignment="0" applyProtection="0"/>
    <xf numFmtId="0" fontId="69" fillId="25" borderId="0" applyNumberFormat="0" applyBorder="0" applyAlignment="0" applyProtection="0"/>
    <xf numFmtId="0" fontId="69" fillId="28" borderId="0" applyNumberFormat="0" applyBorder="0" applyAlignment="0" applyProtection="0"/>
    <xf numFmtId="0" fontId="69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29" borderId="0" applyNumberFormat="0" applyBorder="0" applyAlignment="0" applyProtection="0"/>
    <xf numFmtId="0" fontId="81" fillId="30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1" fillId="37" borderId="0" applyNumberFormat="0" applyBorder="0" applyAlignment="0" applyProtection="0"/>
    <xf numFmtId="0" fontId="81" fillId="38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9" borderId="0" applyNumberFormat="0" applyBorder="0" applyAlignment="0" applyProtection="0"/>
    <xf numFmtId="0" fontId="82" fillId="23" borderId="0" applyNumberFormat="0" applyBorder="0" applyAlignment="0" applyProtection="0"/>
    <xf numFmtId="0" fontId="83" fillId="40" borderId="20" applyNumberFormat="0" applyAlignment="0" applyProtection="0"/>
    <xf numFmtId="0" fontId="84" fillId="41" borderId="21" applyNumberFormat="0" applyAlignment="0" applyProtection="0"/>
    <xf numFmtId="178" fontId="85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14" fillId="0" borderId="0" applyNumberFormat="0" applyFont="0" applyFill="0" applyBorder="0" applyAlignment="0"/>
    <xf numFmtId="187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9" fontId="20" fillId="0" borderId="0" applyFont="0" applyFill="0" applyBorder="0" applyAlignment="0" applyProtection="0"/>
    <xf numFmtId="190" fontId="86" fillId="0" borderId="0"/>
    <xf numFmtId="0" fontId="87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88" fillId="24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22" applyNumberFormat="0" applyFill="0" applyAlignment="0" applyProtection="0"/>
    <xf numFmtId="0" fontId="91" fillId="0" borderId="0" applyNumberFormat="0" applyFill="0" applyBorder="0" applyAlignment="0" applyProtection="0"/>
    <xf numFmtId="173" fontId="80" fillId="0" borderId="0" applyFont="0" applyFill="0" applyBorder="0" applyAlignment="0" applyProtection="0"/>
    <xf numFmtId="0" fontId="92" fillId="27" borderId="20" applyNumberFormat="0" applyAlignment="0" applyProtection="0"/>
    <xf numFmtId="0" fontId="93" fillId="0" borderId="23" applyNumberFormat="0" applyFill="0" applyAlignment="0" applyProtection="0"/>
    <xf numFmtId="191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73" fontId="94" fillId="0" borderId="0" applyFill="0" applyBorder="0"/>
    <xf numFmtId="0" fontId="95" fillId="42" borderId="0" applyNumberFormat="0" applyBorder="0" applyAlignment="0" applyProtection="0"/>
    <xf numFmtId="0" fontId="94" fillId="0" borderId="0"/>
    <xf numFmtId="0" fontId="32" fillId="43" borderId="24" applyNumberFormat="0" applyFont="0" applyAlignment="0" applyProtection="0"/>
    <xf numFmtId="0" fontId="96" fillId="40" borderId="25" applyNumberFormat="0" applyAlignment="0" applyProtection="0"/>
    <xf numFmtId="9" fontId="30" fillId="0" borderId="0" applyFont="0" applyFill="0" applyBorder="0" applyAlignment="0" applyProtection="0"/>
    <xf numFmtId="194" fontId="8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30" fillId="0" borderId="26" applyNumberFormat="0" applyFont="0" applyFill="0" applyAlignment="0" applyProtection="0"/>
    <xf numFmtId="0" fontId="98" fillId="0" borderId="0" applyNumberForma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890">
    <xf numFmtId="0" fontId="0" fillId="0" borderId="0" xfId="0"/>
    <xf numFmtId="0" fontId="4" fillId="0" borderId="0" xfId="0" applyFont="1"/>
    <xf numFmtId="0" fontId="7" fillId="0" borderId="0" xfId="0" applyFont="1" applyBorder="1"/>
    <xf numFmtId="0" fontId="5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Continuous"/>
    </xf>
    <xf numFmtId="0" fontId="9" fillId="0" borderId="0" xfId="0" applyFont="1"/>
    <xf numFmtId="0" fontId="9" fillId="0" borderId="0" xfId="0" applyFont="1" applyBorder="1"/>
    <xf numFmtId="0" fontId="8" fillId="0" borderId="0" xfId="0" applyFont="1" applyAlignment="1" applyProtection="1">
      <alignment horizontal="centerContinuous"/>
    </xf>
    <xf numFmtId="0" fontId="6" fillId="0" borderId="2" xfId="0" applyFont="1" applyBorder="1" applyAlignment="1">
      <alignment horizontal="center" vertical="center" wrapText="1"/>
    </xf>
    <xf numFmtId="0" fontId="16" fillId="0" borderId="0" xfId="4" applyNumberFormat="1" applyFont="1" applyFill="1" applyBorder="1" applyAlignment="1" applyProtection="1">
      <alignment vertical="center"/>
    </xf>
    <xf numFmtId="0" fontId="16" fillId="0" borderId="0" xfId="4" applyNumberFormat="1" applyFont="1" applyFill="1" applyBorder="1" applyAlignment="1" applyProtection="1">
      <alignment vertical="top"/>
    </xf>
    <xf numFmtId="0" fontId="16" fillId="0" borderId="0" xfId="4" applyNumberFormat="1" applyFont="1" applyFill="1" applyBorder="1" applyAlignment="1" applyProtection="1">
      <alignment vertical="top" wrapText="1"/>
    </xf>
    <xf numFmtId="0" fontId="14" fillId="0" borderId="0" xfId="4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29" fillId="0" borderId="1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3" fontId="33" fillId="0" borderId="0" xfId="0" applyNumberFormat="1" applyFont="1" applyBorder="1" applyAlignment="1">
      <alignment horizontal="centerContinuous"/>
    </xf>
    <xf numFmtId="0" fontId="9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 applyProtection="1">
      <alignment horizontal="right" vertical="center"/>
      <protection locked="0"/>
    </xf>
    <xf numFmtId="3" fontId="9" fillId="0" borderId="1" xfId="0" applyNumberFormat="1" applyFont="1" applyBorder="1" applyAlignment="1" applyProtection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Border="1"/>
    <xf numFmtId="0" fontId="34" fillId="0" borderId="0" xfId="0" applyFont="1" applyProtection="1">
      <protection hidden="1"/>
    </xf>
    <xf numFmtId="0" fontId="3" fillId="0" borderId="0" xfId="0" applyFont="1" applyFill="1" applyProtection="1"/>
    <xf numFmtId="0" fontId="3" fillId="0" borderId="0" xfId="0" applyFont="1" applyBorder="1" applyProtection="1"/>
    <xf numFmtId="170" fontId="22" fillId="0" borderId="0" xfId="3" applyNumberFormat="1" applyFont="1" applyBorder="1" applyAlignment="1" applyProtection="1">
      <alignment horizontal="center" vertical="center" wrapText="1"/>
    </xf>
    <xf numFmtId="0" fontId="19" fillId="0" borderId="0" xfId="0" applyFont="1" applyProtection="1"/>
    <xf numFmtId="0" fontId="19" fillId="0" borderId="0" xfId="0" applyFont="1" applyBorder="1" applyAlignment="1" applyProtection="1">
      <alignment wrapText="1"/>
    </xf>
    <xf numFmtId="0" fontId="1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 vertical="center"/>
    </xf>
    <xf numFmtId="170" fontId="18" fillId="0" borderId="1" xfId="3" applyNumberFormat="1" applyFont="1" applyBorder="1" applyAlignment="1" applyProtection="1">
      <alignment horizontal="left" vertical="center"/>
    </xf>
    <xf numFmtId="3" fontId="18" fillId="0" borderId="1" xfId="3" applyNumberFormat="1" applyFont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wrapText="1"/>
    </xf>
    <xf numFmtId="3" fontId="19" fillId="0" borderId="1" xfId="3" applyNumberFormat="1" applyFont="1" applyFill="1" applyBorder="1" applyAlignment="1" applyProtection="1">
      <alignment horizontal="center" wrapText="1"/>
    </xf>
    <xf numFmtId="3" fontId="27" fillId="0" borderId="1" xfId="3" applyNumberFormat="1" applyFont="1" applyFill="1" applyBorder="1" applyAlignment="1" applyProtection="1">
      <alignment horizont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 indent="2"/>
    </xf>
    <xf numFmtId="0" fontId="24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left" vertical="center" indent="2"/>
    </xf>
    <xf numFmtId="0" fontId="19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wrapText="1"/>
    </xf>
    <xf numFmtId="0" fontId="27" fillId="0" borderId="0" xfId="0" applyFont="1" applyProtection="1"/>
    <xf numFmtId="0" fontId="27" fillId="0" borderId="1" xfId="0" applyFont="1" applyFill="1" applyBorder="1" applyAlignment="1" applyProtection="1">
      <alignment horizontal="center" vertical="center" wrapText="1"/>
    </xf>
    <xf numFmtId="0" fontId="27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indent="2"/>
    </xf>
    <xf numFmtId="0" fontId="18" fillId="0" borderId="1" xfId="0" applyFont="1" applyBorder="1" applyAlignment="1" applyProtection="1">
      <alignment horizontal="left" vertical="center" wrapText="1" indent="2"/>
    </xf>
    <xf numFmtId="3" fontId="27" fillId="0" borderId="1" xfId="3" applyNumberFormat="1" applyFont="1" applyBorder="1" applyAlignment="1" applyProtection="1">
      <alignment horizontal="center" vertical="center" wrapText="1"/>
    </xf>
    <xf numFmtId="0" fontId="19" fillId="0" borderId="0" xfId="0" applyFont="1" applyFill="1" applyAlignment="1" applyProtection="1">
      <alignment vertical="center"/>
    </xf>
    <xf numFmtId="0" fontId="31" fillId="0" borderId="1" xfId="0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2"/>
    </xf>
    <xf numFmtId="3" fontId="31" fillId="0" borderId="1" xfId="3" applyNumberFormat="1" applyFont="1" applyFill="1" applyBorder="1" applyAlignment="1" applyProtection="1">
      <alignment horizontal="center"/>
    </xf>
    <xf numFmtId="0" fontId="31" fillId="0" borderId="0" xfId="0" applyFont="1" applyFill="1" applyAlignment="1" applyProtection="1">
      <alignment vertical="center"/>
    </xf>
    <xf numFmtId="0" fontId="31" fillId="0" borderId="1" xfId="0" applyFont="1" applyBorder="1" applyAlignment="1" applyProtection="1">
      <alignment horizontal="center" vertical="center" wrapText="1"/>
    </xf>
    <xf numFmtId="0" fontId="31" fillId="0" borderId="1" xfId="0" applyFont="1" applyBorder="1" applyAlignment="1" applyProtection="1">
      <alignment horizontal="left" vertical="center" wrapText="1" indent="2"/>
    </xf>
    <xf numFmtId="0" fontId="31" fillId="0" borderId="0" xfId="0" applyFont="1" applyAlignment="1" applyProtection="1">
      <alignment vertical="center"/>
    </xf>
    <xf numFmtId="0" fontId="18" fillId="0" borderId="0" xfId="0" applyFont="1" applyBorder="1" applyProtection="1"/>
    <xf numFmtId="170" fontId="19" fillId="0" borderId="0" xfId="3" applyNumberFormat="1" applyFont="1" applyProtection="1"/>
    <xf numFmtId="0" fontId="18" fillId="0" borderId="0" xfId="0" applyFont="1" applyFill="1" applyBorder="1" applyAlignment="1" applyProtection="1">
      <alignment horizontal="right"/>
    </xf>
    <xf numFmtId="171" fontId="19" fillId="0" borderId="0" xfId="0" applyNumberFormat="1" applyFont="1" applyBorder="1" applyAlignment="1" applyProtection="1">
      <alignment wrapText="1"/>
    </xf>
    <xf numFmtId="3" fontId="31" fillId="0" borderId="1" xfId="3" applyNumberFormat="1" applyFont="1" applyBorder="1" applyAlignment="1" applyProtection="1">
      <alignment horizontal="center" vertical="center"/>
      <protection locked="0"/>
    </xf>
    <xf numFmtId="3" fontId="18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left" vertical="center" wrapText="1" indent="2"/>
    </xf>
    <xf numFmtId="10" fontId="27" fillId="0" borderId="1" xfId="2" applyNumberFormat="1" applyFont="1" applyFill="1" applyBorder="1" applyAlignment="1" applyProtection="1">
      <alignment horizontal="center" vertical="center"/>
    </xf>
    <xf numFmtId="0" fontId="16" fillId="0" borderId="0" xfId="5" applyNumberFormat="1" applyFont="1" applyFill="1" applyBorder="1" applyAlignment="1" applyProtection="1">
      <alignment vertical="top"/>
    </xf>
    <xf numFmtId="0" fontId="16" fillId="0" borderId="0" xfId="5" applyNumberFormat="1" applyFont="1" applyFill="1" applyBorder="1" applyAlignment="1" applyProtection="1">
      <alignment horizontal="center" vertical="center"/>
    </xf>
    <xf numFmtId="0" fontId="35" fillId="0" borderId="0" xfId="5" applyNumberFormat="1" applyFont="1" applyFill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</xf>
    <xf numFmtId="3" fontId="31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7" fillId="0" borderId="0" xfId="3" applyFont="1" applyFill="1" applyBorder="1" applyAlignment="1" applyProtection="1">
      <alignment vertical="center"/>
    </xf>
    <xf numFmtId="0" fontId="35" fillId="0" borderId="0" xfId="4" applyNumberFormat="1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left" vertical="center" indent="2"/>
    </xf>
    <xf numFmtId="3" fontId="16" fillId="0" borderId="0" xfId="4" applyNumberFormat="1" applyFont="1" applyFill="1" applyBorder="1" applyAlignment="1" applyProtection="1">
      <alignment vertical="top"/>
    </xf>
    <xf numFmtId="3" fontId="40" fillId="0" borderId="1" xfId="3" applyNumberFormat="1" applyFont="1" applyFill="1" applyBorder="1" applyAlignment="1" applyProtection="1">
      <alignment horizontal="center"/>
    </xf>
    <xf numFmtId="0" fontId="16" fillId="0" borderId="0" xfId="5" applyNumberFormat="1" applyFont="1" applyFill="1" applyBorder="1" applyAlignment="1" applyProtection="1">
      <alignment horizontal="center" vertical="top"/>
    </xf>
    <xf numFmtId="15" fontId="16" fillId="0" borderId="0" xfId="5" applyNumberFormat="1" applyFont="1" applyFill="1" applyBorder="1" applyAlignment="1" applyProtection="1">
      <alignment vertical="top"/>
    </xf>
    <xf numFmtId="0" fontId="41" fillId="0" borderId="0" xfId="0" applyFont="1" applyBorder="1" applyAlignment="1">
      <alignment horizontal="center" vertical="center"/>
    </xf>
    <xf numFmtId="15" fontId="31" fillId="0" borderId="0" xfId="0" applyNumberFormat="1" applyFont="1" applyBorder="1" applyAlignment="1" applyProtection="1">
      <alignment horizontal="left" wrapText="1" indent="3"/>
    </xf>
    <xf numFmtId="170" fontId="22" fillId="0" borderId="0" xfId="3" applyNumberFormat="1" applyFont="1" applyBorder="1" applyAlignment="1" applyProtection="1">
      <alignment horizontal="left" indent="2"/>
    </xf>
    <xf numFmtId="3" fontId="28" fillId="0" borderId="0" xfId="0" applyNumberFormat="1" applyFont="1"/>
    <xf numFmtId="3" fontId="42" fillId="0" borderId="0" xfId="0" applyNumberFormat="1" applyFont="1" applyAlignment="1">
      <alignment horizontal="center"/>
    </xf>
    <xf numFmtId="0" fontId="39" fillId="0" borderId="0" xfId="5" applyNumberFormat="1" applyFont="1" applyFill="1" applyBorder="1" applyAlignment="1" applyProtection="1">
      <alignment horizontal="center" vertical="top"/>
    </xf>
    <xf numFmtId="3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16" fillId="0" borderId="1" xfId="4" applyNumberFormat="1" applyFont="1" applyFill="1" applyBorder="1" applyAlignment="1" applyProtection="1">
      <alignment horizontal="center" vertical="top" wrapText="1"/>
      <protection locked="0"/>
    </xf>
    <xf numFmtId="0" fontId="43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wrapText="1"/>
    </xf>
    <xf numFmtId="0" fontId="8" fillId="0" borderId="0" xfId="0" applyFont="1" applyBorder="1" applyAlignment="1" applyProtection="1">
      <alignment horizontal="centerContinuous" vertical="center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6" fillId="0" borderId="1" xfId="5" applyNumberFormat="1" applyFont="1" applyFill="1" applyBorder="1" applyAlignment="1" applyProtection="1">
      <alignment horizontal="center" vertical="center" wrapText="1"/>
    </xf>
    <xf numFmtId="1" fontId="9" fillId="0" borderId="1" xfId="0" applyNumberFormat="1" applyFont="1" applyBorder="1" applyAlignment="1" applyProtection="1">
      <alignment vertical="center"/>
    </xf>
    <xf numFmtId="9" fontId="9" fillId="0" borderId="1" xfId="0" applyNumberFormat="1" applyFont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1"/>
    </xf>
    <xf numFmtId="0" fontId="31" fillId="0" borderId="1" xfId="0" applyFont="1" applyFill="1" applyBorder="1" applyAlignment="1" applyProtection="1">
      <alignment horizontal="left" vertical="center" indent="1"/>
    </xf>
    <xf numFmtId="0" fontId="19" fillId="0" borderId="1" xfId="0" applyFont="1" applyBorder="1" applyAlignment="1" applyProtection="1">
      <alignment horizontal="left" vertical="center" wrapText="1" indent="1"/>
    </xf>
    <xf numFmtId="0" fontId="19" fillId="0" borderId="1" xfId="0" applyFont="1" applyFill="1" applyBorder="1" applyAlignment="1" applyProtection="1">
      <alignment horizontal="left" vertical="center" wrapText="1" indent="1"/>
    </xf>
    <xf numFmtId="9" fontId="16" fillId="0" borderId="0" xfId="2" applyFont="1" applyFill="1" applyBorder="1" applyAlignment="1" applyProtection="1">
      <alignment vertical="top"/>
    </xf>
    <xf numFmtId="9" fontId="16" fillId="0" borderId="1" xfId="2" applyFont="1" applyFill="1" applyBorder="1" applyAlignment="1" applyProtection="1">
      <alignment horizontal="center" vertical="center" wrapText="1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28" fillId="3" borderId="1" xfId="0" applyNumberFormat="1" applyFont="1" applyFill="1" applyBorder="1" applyAlignment="1" applyProtection="1">
      <alignment horizontal="center" vertical="center" wrapText="1"/>
    </xf>
    <xf numFmtId="3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vertical="center" wrapText="1"/>
    </xf>
    <xf numFmtId="0" fontId="27" fillId="0" borderId="1" xfId="0" applyFont="1" applyFill="1" applyBorder="1" applyAlignment="1" applyProtection="1">
      <alignment horizontal="left" vertical="center" wrapText="1" indent="2"/>
    </xf>
    <xf numFmtId="3" fontId="28" fillId="0" borderId="3" xfId="0" applyNumberFormat="1" applyFont="1" applyBorder="1" applyAlignment="1" applyProtection="1">
      <alignment vertical="center"/>
    </xf>
    <xf numFmtId="3" fontId="28" fillId="0" borderId="1" xfId="0" applyNumberFormat="1" applyFont="1" applyFill="1" applyBorder="1" applyAlignment="1">
      <alignment horizontal="center" vertical="center" wrapText="1"/>
    </xf>
    <xf numFmtId="0" fontId="46" fillId="0" borderId="0" xfId="0" applyFont="1" applyProtection="1"/>
    <xf numFmtId="167" fontId="46" fillId="0" borderId="0" xfId="3" applyFont="1" applyBorder="1" applyProtection="1"/>
    <xf numFmtId="0" fontId="46" fillId="0" borderId="0" xfId="0" applyFont="1" applyAlignment="1" applyProtection="1">
      <alignment vertical="center"/>
    </xf>
    <xf numFmtId="167" fontId="46" fillId="0" borderId="0" xfId="3" applyFont="1" applyBorder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3" fontId="47" fillId="0" borderId="0" xfId="0" applyNumberFormat="1" applyFont="1" applyProtection="1"/>
    <xf numFmtId="167" fontId="47" fillId="0" borderId="0" xfId="3" applyFont="1" applyBorder="1" applyProtection="1"/>
    <xf numFmtId="0" fontId="47" fillId="0" borderId="0" xfId="0" applyFont="1" applyProtection="1"/>
    <xf numFmtId="0" fontId="47" fillId="0" borderId="0" xfId="0" applyFont="1" applyAlignment="1" applyProtection="1">
      <alignment vertical="center"/>
    </xf>
    <xf numFmtId="167" fontId="47" fillId="0" borderId="0" xfId="3" applyFont="1" applyBorder="1" applyAlignment="1" applyProtection="1">
      <alignment vertical="center"/>
    </xf>
    <xf numFmtId="170" fontId="47" fillId="0" borderId="0" xfId="3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0" fontId="46" fillId="0" borderId="0" xfId="0" applyFont="1" applyFill="1" applyAlignment="1" applyProtection="1">
      <alignment vertical="center"/>
    </xf>
    <xf numFmtId="167" fontId="46" fillId="0" borderId="0" xfId="3" applyFont="1" applyFill="1" applyBorder="1" applyAlignment="1" applyProtection="1">
      <alignment vertical="center"/>
    </xf>
    <xf numFmtId="3" fontId="46" fillId="0" borderId="0" xfId="0" applyNumberFormat="1" applyFont="1" applyFill="1" applyAlignment="1" applyProtection="1">
      <alignment vertical="center"/>
    </xf>
    <xf numFmtId="0" fontId="48" fillId="0" borderId="0" xfId="0" applyFont="1" applyFill="1" applyAlignment="1" applyProtection="1">
      <alignment vertical="center"/>
    </xf>
    <xf numFmtId="167" fontId="48" fillId="0" borderId="0" xfId="3" applyFont="1" applyFill="1" applyBorder="1" applyAlignment="1" applyProtection="1">
      <alignment vertical="center"/>
    </xf>
    <xf numFmtId="3" fontId="48" fillId="0" borderId="0" xfId="0" applyNumberFormat="1" applyFont="1" applyFill="1" applyAlignment="1" applyProtection="1">
      <alignment vertical="center"/>
    </xf>
    <xf numFmtId="0" fontId="48" fillId="0" borderId="0" xfId="0" applyFont="1" applyAlignment="1" applyProtection="1">
      <alignment vertical="center"/>
    </xf>
    <xf numFmtId="167" fontId="48" fillId="0" borderId="0" xfId="3" applyFont="1" applyBorder="1" applyAlignment="1" applyProtection="1">
      <alignment vertical="center"/>
    </xf>
    <xf numFmtId="0" fontId="16" fillId="0" borderId="0" xfId="0" applyFont="1"/>
    <xf numFmtId="49" fontId="16" fillId="6" borderId="1" xfId="4" applyNumberFormat="1" applyFont="1" applyFill="1" applyBorder="1" applyAlignment="1" applyProtection="1">
      <alignment horizontal="center" vertical="center" wrapText="1"/>
    </xf>
    <xf numFmtId="3" fontId="16" fillId="6" borderId="1" xfId="4" applyNumberFormat="1" applyFont="1" applyFill="1" applyBorder="1" applyAlignment="1" applyProtection="1">
      <alignment horizontal="center" vertical="center" wrapText="1"/>
    </xf>
    <xf numFmtId="0" fontId="51" fillId="0" borderId="0" xfId="0" applyFont="1" applyAlignment="1" applyProtection="1">
      <alignment vertical="center"/>
    </xf>
    <xf numFmtId="3" fontId="31" fillId="0" borderId="1" xfId="3" applyNumberFormat="1" applyFont="1" applyFill="1" applyBorder="1" applyAlignment="1" applyProtection="1">
      <alignment horizontal="center"/>
      <protection locked="0"/>
    </xf>
    <xf numFmtId="167" fontId="51" fillId="0" borderId="0" xfId="3" applyFont="1" applyBorder="1" applyAlignment="1" applyProtection="1">
      <alignment vertical="center"/>
    </xf>
    <xf numFmtId="3" fontId="51" fillId="0" borderId="1" xfId="3" applyNumberFormat="1" applyFont="1" applyFill="1" applyBorder="1" applyAlignment="1" applyProtection="1">
      <alignment horizontal="center"/>
    </xf>
    <xf numFmtId="0" fontId="39" fillId="0" borderId="0" xfId="4" applyNumberFormat="1" applyFont="1" applyFill="1" applyBorder="1" applyAlignment="1" applyProtection="1">
      <alignment horizontal="center" vertical="center"/>
    </xf>
    <xf numFmtId="3" fontId="9" fillId="0" borderId="10" xfId="0" applyNumberFormat="1" applyFont="1" applyBorder="1"/>
    <xf numFmtId="3" fontId="9" fillId="0" borderId="0" xfId="0" applyNumberFormat="1" applyFont="1" applyBorder="1"/>
    <xf numFmtId="3" fontId="5" fillId="0" borderId="0" xfId="0" applyNumberFormat="1" applyFont="1" applyBorder="1"/>
    <xf numFmtId="171" fontId="12" fillId="0" borderId="10" xfId="0" applyNumberFormat="1" applyFont="1" applyBorder="1" applyAlignment="1">
      <alignment horizontal="centerContinuous"/>
    </xf>
    <xf numFmtId="0" fontId="33" fillId="0" borderId="0" xfId="0" applyFont="1" applyBorder="1"/>
    <xf numFmtId="3" fontId="53" fillId="0" borderId="0" xfId="0" applyNumberFormat="1" applyFont="1" applyBorder="1" applyAlignment="1">
      <alignment horizontal="centerContinuous"/>
    </xf>
    <xf numFmtId="3" fontId="54" fillId="0" borderId="0" xfId="0" applyNumberFormat="1" applyFont="1" applyBorder="1" applyAlignment="1">
      <alignment horizontal="centerContinuous"/>
    </xf>
    <xf numFmtId="0" fontId="54" fillId="0" borderId="0" xfId="0" applyFont="1" applyBorder="1"/>
    <xf numFmtId="3" fontId="53" fillId="0" borderId="0" xfId="0" applyNumberFormat="1" applyFont="1" applyBorder="1" applyAlignment="1">
      <alignment horizontal="center"/>
    </xf>
    <xf numFmtId="0" fontId="54" fillId="0" borderId="0" xfId="0" applyFont="1"/>
    <xf numFmtId="0" fontId="55" fillId="0" borderId="0" xfId="4" applyNumberFormat="1" applyFont="1" applyFill="1" applyBorder="1" applyAlignment="1" applyProtection="1">
      <alignment vertical="top"/>
    </xf>
    <xf numFmtId="3" fontId="55" fillId="0" borderId="0" xfId="4" applyNumberFormat="1" applyFont="1" applyFill="1" applyBorder="1" applyAlignment="1" applyProtection="1">
      <alignment vertical="top"/>
    </xf>
    <xf numFmtId="9" fontId="45" fillId="5" borderId="1" xfId="2" applyFont="1" applyFill="1" applyBorder="1" applyAlignment="1" applyProtection="1">
      <alignment horizontal="center" vertical="center" wrapText="1"/>
      <protection locked="0"/>
    </xf>
    <xf numFmtId="0" fontId="45" fillId="0" borderId="0" xfId="5" applyNumberFormat="1" applyFont="1" applyFill="1" applyBorder="1" applyAlignment="1" applyProtection="1">
      <alignment horizontal="center" vertical="center"/>
    </xf>
    <xf numFmtId="0" fontId="45" fillId="0" borderId="0" xfId="5" applyNumberFormat="1" applyFont="1" applyFill="1" applyBorder="1" applyAlignment="1" applyProtection="1">
      <alignment vertical="center"/>
    </xf>
    <xf numFmtId="173" fontId="16" fillId="0" borderId="1" xfId="5" applyNumberFormat="1" applyFont="1" applyFill="1" applyBorder="1" applyAlignment="1" applyProtection="1">
      <alignment horizontal="center" vertical="center" wrapText="1"/>
    </xf>
    <xf numFmtId="173" fontId="16" fillId="0" borderId="1" xfId="5" applyNumberFormat="1" applyFont="1" applyFill="1" applyBorder="1" applyAlignment="1" applyProtection="1">
      <alignment horizontal="center" vertical="center" wrapText="1"/>
      <protection locked="0"/>
    </xf>
    <xf numFmtId="173" fontId="14" fillId="0" borderId="1" xfId="5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3" fontId="20" fillId="5" borderId="1" xfId="7" applyNumberFormat="1" applyFont="1" applyFill="1" applyBorder="1" applyAlignment="1" applyProtection="1">
      <alignment horizontal="center" vertical="center" wrapText="1"/>
      <protection locked="0"/>
    </xf>
    <xf numFmtId="173" fontId="17" fillId="5" borderId="1" xfId="7" applyNumberFormat="1" applyFont="1" applyFill="1" applyBorder="1" applyAlignment="1" applyProtection="1">
      <alignment horizontal="center" vertical="center" wrapText="1"/>
    </xf>
    <xf numFmtId="172" fontId="17" fillId="5" borderId="1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Protection="1"/>
    <xf numFmtId="3" fontId="20" fillId="5" borderId="1" xfId="7" applyNumberFormat="1" applyFont="1" applyFill="1" applyBorder="1" applyAlignment="1" applyProtection="1">
      <alignment horizontal="center" vertical="center" wrapText="1"/>
    </xf>
    <xf numFmtId="3" fontId="10" fillId="0" borderId="1" xfId="3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vertical="center"/>
    </xf>
    <xf numFmtId="0" fontId="16" fillId="0" borderId="0" xfId="0" applyFont="1" applyFill="1"/>
    <xf numFmtId="0" fontId="51" fillId="20" borderId="1" xfId="0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vertical="top"/>
    </xf>
    <xf numFmtId="9" fontId="35" fillId="0" borderId="0" xfId="10" applyFont="1" applyFill="1" applyBorder="1" applyAlignment="1" applyProtection="1">
      <alignment vertical="top"/>
    </xf>
    <xf numFmtId="0" fontId="35" fillId="0" borderId="0" xfId="9" applyNumberFormat="1" applyFont="1" applyFill="1" applyBorder="1" applyAlignment="1" applyProtection="1">
      <alignment vertical="center"/>
    </xf>
    <xf numFmtId="0" fontId="35" fillId="0" borderId="0" xfId="9" applyNumberFormat="1" applyFont="1" applyFill="1" applyBorder="1" applyAlignment="1" applyProtection="1">
      <alignment horizontal="center" vertical="center"/>
    </xf>
    <xf numFmtId="3" fontId="39" fillId="0" borderId="1" xfId="9" applyNumberFormat="1" applyFont="1" applyFill="1" applyBorder="1" applyAlignment="1" applyProtection="1">
      <alignment horizontal="center" vertical="center" wrapText="1"/>
    </xf>
    <xf numFmtId="0" fontId="57" fillId="0" borderId="0" xfId="9" applyNumberFormat="1" applyFont="1" applyFill="1" applyBorder="1" applyAlignment="1" applyProtection="1">
      <alignment horizontal="center" vertical="center"/>
    </xf>
    <xf numFmtId="0" fontId="31" fillId="20" borderId="1" xfId="0" applyFont="1" applyFill="1" applyBorder="1" applyAlignment="1" applyProtection="1">
      <alignment horizontal="left" vertical="center" wrapText="1" indent="1"/>
    </xf>
    <xf numFmtId="3" fontId="8" fillId="0" borderId="3" xfId="0" applyNumberFormat="1" applyFont="1" applyBorder="1" applyAlignment="1" applyProtection="1">
      <alignment vertical="center"/>
      <protection locked="0"/>
    </xf>
    <xf numFmtId="3" fontId="8" fillId="0" borderId="3" xfId="0" applyNumberFormat="1" applyFont="1" applyBorder="1" applyAlignment="1" applyProtection="1">
      <alignment vertical="center"/>
    </xf>
    <xf numFmtId="0" fontId="39" fillId="0" borderId="0" xfId="9" applyNumberFormat="1" applyFont="1" applyFill="1" applyBorder="1" applyAlignment="1" applyProtection="1">
      <alignment horizontal="center" vertical="center"/>
    </xf>
    <xf numFmtId="173" fontId="35" fillId="0" borderId="0" xfId="9" applyNumberFormat="1" applyFont="1" applyFill="1" applyBorder="1" applyAlignment="1" applyProtection="1">
      <alignment horizontal="center" vertical="center" wrapText="1"/>
    </xf>
    <xf numFmtId="0" fontId="16" fillId="0" borderId="0" xfId="9" applyNumberFormat="1" applyFont="1" applyFill="1" applyBorder="1" applyAlignment="1" applyProtection="1">
      <alignment horizontal="center" vertical="top"/>
    </xf>
    <xf numFmtId="0" fontId="16" fillId="0" borderId="0" xfId="9" applyNumberFormat="1" applyFont="1" applyFill="1" applyBorder="1" applyAlignment="1" applyProtection="1">
      <alignment vertical="top"/>
    </xf>
    <xf numFmtId="0" fontId="5" fillId="0" borderId="0" xfId="0" applyFont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39" fillId="21" borderId="1" xfId="9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vertical="center"/>
    </xf>
    <xf numFmtId="0" fontId="5" fillId="0" borderId="0" xfId="0" applyFont="1" applyBorder="1" applyProtection="1"/>
    <xf numFmtId="0" fontId="9" fillId="0" borderId="0" xfId="0" applyFont="1" applyAlignment="1" applyProtection="1">
      <alignment vertical="center"/>
      <protection locked="0"/>
    </xf>
    <xf numFmtId="0" fontId="5" fillId="0" borderId="0" xfId="0" applyFont="1" applyBorder="1" applyProtection="1">
      <protection locked="0"/>
    </xf>
    <xf numFmtId="0" fontId="9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 wrapText="1"/>
    </xf>
    <xf numFmtId="0" fontId="79" fillId="0" borderId="0" xfId="0" applyFont="1" applyFill="1" applyProtection="1"/>
    <xf numFmtId="0" fontId="79" fillId="0" borderId="0" xfId="0" applyFont="1" applyFill="1" applyBorder="1" applyAlignment="1" applyProtection="1"/>
    <xf numFmtId="14" fontId="79" fillId="0" borderId="0" xfId="0" applyNumberFormat="1" applyFont="1" applyFill="1" applyProtection="1"/>
    <xf numFmtId="0" fontId="79" fillId="0" borderId="0" xfId="0" applyFont="1" applyFill="1" applyAlignment="1" applyProtection="1">
      <alignment wrapText="1"/>
    </xf>
    <xf numFmtId="0" fontId="79" fillId="0" borderId="0" xfId="0" applyFont="1" applyFill="1" applyAlignment="1" applyProtection="1">
      <alignment horizontal="center"/>
    </xf>
    <xf numFmtId="0" fontId="100" fillId="0" borderId="0" xfId="0" applyFont="1" applyFill="1" applyProtection="1"/>
    <xf numFmtId="0" fontId="3" fillId="0" borderId="1" xfId="0" applyFont="1" applyFill="1" applyBorder="1" applyAlignment="1" applyProtection="1">
      <alignment horizontal="left" vertical="center" wrapText="1" indent="2"/>
    </xf>
    <xf numFmtId="14" fontId="79" fillId="0" borderId="0" xfId="0" applyNumberFormat="1" applyFont="1" applyFill="1" applyAlignment="1" applyProtection="1">
      <alignment horizontal="center" vertical="center"/>
    </xf>
    <xf numFmtId="0" fontId="79" fillId="0" borderId="0" xfId="0" applyFont="1" applyFill="1" applyAlignment="1" applyProtection="1">
      <alignment horizontal="center" vertical="center" wrapText="1"/>
    </xf>
    <xf numFmtId="0" fontId="79" fillId="0" borderId="0" xfId="0" applyFont="1" applyFill="1" applyAlignment="1" applyProtection="1">
      <alignment horizontal="center" vertical="center"/>
    </xf>
    <xf numFmtId="14" fontId="79" fillId="0" borderId="0" xfId="0" applyNumberFormat="1" applyFont="1" applyFill="1" applyAlignment="1" applyProtection="1">
      <alignment horizontal="center" vertical="center" wrapText="1"/>
    </xf>
    <xf numFmtId="0" fontId="15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3" fontId="15" fillId="0" borderId="0" xfId="0" applyNumberFormat="1" applyFont="1" applyFill="1" applyAlignment="1" applyProtection="1">
      <alignment horizontal="center"/>
    </xf>
    <xf numFmtId="3" fontId="79" fillId="0" borderId="0" xfId="0" applyNumberFormat="1" applyFont="1" applyFill="1" applyProtection="1"/>
    <xf numFmtId="10" fontId="78" fillId="0" borderId="1" xfId="1225" applyNumberFormat="1" applyFont="1" applyFill="1" applyBorder="1" applyAlignment="1" applyProtection="1">
      <alignment horizontal="center" vertical="center" wrapText="1"/>
    </xf>
    <xf numFmtId="183" fontId="79" fillId="0" borderId="18" xfId="1225" applyNumberFormat="1" applyFont="1" applyFill="1" applyBorder="1" applyAlignment="1" applyProtection="1">
      <alignment horizontal="center" vertical="center" wrapText="1"/>
    </xf>
    <xf numFmtId="183" fontId="79" fillId="0" borderId="19" xfId="1225" applyNumberFormat="1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left" vertical="center" wrapText="1" indent="2"/>
    </xf>
    <xf numFmtId="49" fontId="6" fillId="0" borderId="1" xfId="0" applyNumberFormat="1" applyFont="1" applyBorder="1" applyAlignment="1" applyProtection="1">
      <alignment horizontal="center" vertical="center"/>
    </xf>
    <xf numFmtId="170" fontId="79" fillId="0" borderId="0" xfId="3" applyNumberFormat="1" applyFont="1" applyFill="1" applyAlignment="1" applyProtection="1">
      <alignment horizontal="center" vertical="center"/>
      <protection locked="0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0" fontId="29" fillId="0" borderId="4" xfId="0" applyFont="1" applyFill="1" applyBorder="1" applyAlignment="1">
      <alignment horizontal="center" vertical="center"/>
    </xf>
    <xf numFmtId="3" fontId="29" fillId="0" borderId="1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Fill="1" applyAlignment="1">
      <alignment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2" fontId="3" fillId="0" borderId="3" xfId="0" applyNumberFormat="1" applyFont="1" applyFill="1" applyBorder="1" applyAlignment="1" applyProtection="1">
      <alignment horizontal="center"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3" fontId="38" fillId="0" borderId="0" xfId="0" applyNumberFormat="1" applyFont="1" applyBorder="1" applyAlignment="1">
      <alignment horizontal="center"/>
    </xf>
    <xf numFmtId="0" fontId="99" fillId="0" borderId="0" xfId="0" applyFont="1" applyFill="1" applyBorder="1" applyAlignment="1" applyProtection="1">
      <alignment horizontal="center" vertical="center" wrapText="1"/>
    </xf>
    <xf numFmtId="0" fontId="41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wrapText="1"/>
    </xf>
    <xf numFmtId="171" fontId="3" fillId="0" borderId="0" xfId="0" applyNumberFormat="1" applyFont="1" applyBorder="1" applyAlignment="1" applyProtection="1">
      <alignment horizont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0" xfId="0" applyFont="1" applyBorder="1" applyProtection="1"/>
    <xf numFmtId="3" fontId="20" fillId="4" borderId="1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center" wrapText="1"/>
    </xf>
    <xf numFmtId="0" fontId="3" fillId="0" borderId="0" xfId="0" applyFont="1" applyBorder="1" applyAlignment="1" applyProtection="1">
      <alignment horizontal="center" wrapText="1"/>
    </xf>
    <xf numFmtId="0" fontId="6" fillId="0" borderId="0" xfId="0" applyFont="1" applyAlignment="1" applyProtection="1">
      <alignment vertical="center"/>
    </xf>
    <xf numFmtId="0" fontId="6" fillId="0" borderId="0" xfId="0" applyFont="1" applyFill="1" applyProtection="1"/>
    <xf numFmtId="3" fontId="13" fillId="0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</xf>
    <xf numFmtId="3" fontId="36" fillId="0" borderId="0" xfId="0" applyNumberFormat="1" applyFont="1" applyBorder="1" applyAlignment="1" applyProtection="1">
      <alignment horizontal="centerContinuous" vertical="center"/>
    </xf>
    <xf numFmtId="3" fontId="36" fillId="0" borderId="0" xfId="0" applyNumberFormat="1" applyFont="1" applyBorder="1" applyAlignment="1" applyProtection="1">
      <alignment horizontal="centerContinuous"/>
    </xf>
    <xf numFmtId="3" fontId="12" fillId="0" borderId="0" xfId="0" applyNumberFormat="1" applyFont="1" applyBorder="1" applyAlignment="1" applyProtection="1">
      <alignment horizontal="centerContinuous"/>
    </xf>
    <xf numFmtId="0" fontId="52" fillId="0" borderId="0" xfId="0" applyFont="1" applyProtection="1"/>
    <xf numFmtId="3" fontId="5" fillId="0" borderId="0" xfId="0" applyNumberFormat="1" applyFont="1" applyBorder="1" applyAlignment="1" applyProtection="1">
      <alignment horizontal="centerContinuous"/>
    </xf>
    <xf numFmtId="0" fontId="42" fillId="0" borderId="0" xfId="0" applyFont="1" applyBorder="1" applyAlignment="1" applyProtection="1">
      <alignment horizontal="center"/>
    </xf>
    <xf numFmtId="3" fontId="50" fillId="0" borderId="0" xfId="0" applyNumberFormat="1" applyFont="1" applyBorder="1" applyProtection="1"/>
    <xf numFmtId="0" fontId="13" fillId="0" borderId="0" xfId="0" applyFont="1" applyProtection="1"/>
    <xf numFmtId="0" fontId="13" fillId="0" borderId="0" xfId="0" applyFont="1" applyBorder="1" applyAlignment="1" applyProtection="1">
      <alignment horizontal="center" vertical="center" textRotation="90" wrapText="1"/>
    </xf>
    <xf numFmtId="0" fontId="13" fillId="0" borderId="0" xfId="0" applyFont="1" applyBorder="1" applyProtection="1"/>
    <xf numFmtId="3" fontId="49" fillId="0" borderId="3" xfId="0" applyNumberFormat="1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3" fontId="13" fillId="0" borderId="0" xfId="0" applyNumberFormat="1" applyFont="1" applyProtection="1"/>
    <xf numFmtId="0" fontId="13" fillId="0" borderId="0" xfId="0" applyFont="1" applyFill="1" applyProtection="1"/>
    <xf numFmtId="0" fontId="13" fillId="0" borderId="0" xfId="0" applyFont="1" applyFill="1" applyBorder="1" applyProtection="1"/>
    <xf numFmtId="0" fontId="5" fillId="0" borderId="0" xfId="0" applyFont="1" applyBorder="1" applyAlignment="1" applyProtection="1">
      <alignment horizontal="center" vertical="center"/>
    </xf>
    <xf numFmtId="171" fontId="3" fillId="0" borderId="0" xfId="0" quotePrefix="1" applyNumberFormat="1" applyFont="1" applyBorder="1" applyAlignment="1" applyProtection="1">
      <alignment horizontal="center" vertical="center"/>
    </xf>
    <xf numFmtId="0" fontId="42" fillId="0" borderId="0" xfId="0" applyFont="1" applyBorder="1" applyAlignment="1" applyProtection="1">
      <alignment horizontal="left" indent="1"/>
    </xf>
    <xf numFmtId="0" fontId="29" fillId="0" borderId="0" xfId="0" applyFont="1" applyBorder="1" applyAlignment="1" applyProtection="1">
      <alignment horizontal="center"/>
    </xf>
    <xf numFmtId="0" fontId="29" fillId="0" borderId="0" xfId="0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3" fillId="0" borderId="0" xfId="0" applyFont="1" applyProtection="1"/>
    <xf numFmtId="0" fontId="5" fillId="0" borderId="0" xfId="0" applyFont="1" applyBorder="1" applyAlignment="1" applyProtection="1">
      <alignment horizontal="left" vertical="center" indent="2"/>
    </xf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"/>
    </xf>
    <xf numFmtId="0" fontId="3" fillId="0" borderId="0" xfId="0" applyFont="1"/>
    <xf numFmtId="3" fontId="29" fillId="0" borderId="1" xfId="0" applyNumberFormat="1" applyFont="1" applyBorder="1" applyAlignment="1" applyProtection="1">
      <alignment horizontal="center" vertical="center"/>
    </xf>
    <xf numFmtId="3" fontId="29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3" fontId="3" fillId="0" borderId="0" xfId="0" applyNumberFormat="1" applyFont="1" applyProtection="1"/>
    <xf numFmtId="171" fontId="3" fillId="0" borderId="0" xfId="0" applyNumberFormat="1" applyFont="1" applyProtection="1"/>
    <xf numFmtId="3" fontId="6" fillId="0" borderId="0" xfId="0" applyNumberFormat="1" applyFont="1" applyAlignment="1" applyProtection="1">
      <alignment horizontal="centerContinuous"/>
    </xf>
    <xf numFmtId="3" fontId="11" fillId="0" borderId="0" xfId="0" quotePrefix="1" applyNumberFormat="1" applyFont="1" applyAlignment="1" applyProtection="1">
      <alignment horizontal="left" vertical="center"/>
    </xf>
    <xf numFmtId="171" fontId="0" fillId="0" borderId="0" xfId="0" applyNumberFormat="1" applyFont="1" applyBorder="1" applyAlignment="1" applyProtection="1"/>
    <xf numFmtId="0" fontId="101" fillId="0" borderId="0" xfId="0" applyFont="1" applyAlignment="1" applyProtection="1">
      <alignment horizontal="center" vertical="center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Border="1" applyAlignment="1" applyProtection="1">
      <alignment horizontal="right"/>
    </xf>
    <xf numFmtId="3" fontId="9" fillId="0" borderId="0" xfId="0" applyNumberFormat="1" applyFont="1" applyProtection="1"/>
    <xf numFmtId="3" fontId="3" fillId="0" borderId="0" xfId="0" applyNumberFormat="1" applyFont="1" applyBorder="1" applyProtection="1"/>
    <xf numFmtId="171" fontId="0" fillId="0" borderId="0" xfId="0" applyNumberFormat="1" applyFont="1" applyBorder="1" applyAlignment="1" applyProtection="1">
      <alignment horizontal="center"/>
    </xf>
    <xf numFmtId="0" fontId="33" fillId="0" borderId="0" xfId="0" applyFont="1" applyProtection="1"/>
    <xf numFmtId="3" fontId="3" fillId="0" borderId="1" xfId="0" applyNumberFormat="1" applyFont="1" applyBorder="1" applyAlignment="1" applyProtection="1">
      <alignment horizontal="left" vertical="center" wrapText="1" indent="1"/>
      <protection locked="0"/>
    </xf>
    <xf numFmtId="0" fontId="15" fillId="0" borderId="0" xfId="0" applyFont="1"/>
    <xf numFmtId="0" fontId="15" fillId="0" borderId="0" xfId="0" applyFont="1" applyAlignment="1">
      <alignment vertical="center"/>
    </xf>
    <xf numFmtId="3" fontId="6" fillId="3" borderId="1" xfId="0" applyNumberFormat="1" applyFont="1" applyFill="1" applyBorder="1" applyAlignment="1" applyProtection="1">
      <alignment horizontal="center" vertical="center" wrapText="1"/>
    </xf>
    <xf numFmtId="3" fontId="15" fillId="0" borderId="0" xfId="0" applyNumberFormat="1" applyFont="1" applyAlignment="1">
      <alignment vertical="center"/>
    </xf>
    <xf numFmtId="0" fontId="15" fillId="0" borderId="0" xfId="0" applyFont="1" applyFill="1" applyAlignment="1">
      <alignment vertical="center"/>
    </xf>
    <xf numFmtId="3" fontId="41" fillId="3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Border="1" applyAlignment="1" applyProtection="1">
      <alignment horizontal="right" vertical="center" wrapText="1" indent="1"/>
      <protection locked="0"/>
    </xf>
    <xf numFmtId="0" fontId="6" fillId="0" borderId="0" xfId="0" applyFont="1" applyBorder="1" applyAlignment="1" applyProtection="1">
      <alignment vertical="center"/>
    </xf>
    <xf numFmtId="3" fontId="3" fillId="0" borderId="3" xfId="1288" applyNumberFormat="1" applyFont="1" applyFill="1" applyBorder="1" applyAlignment="1" applyProtection="1"/>
    <xf numFmtId="0" fontId="3" fillId="0" borderId="0" xfId="0" applyFont="1" applyAlignment="1" applyProtection="1">
      <alignment vertical="center" wrapText="1"/>
    </xf>
    <xf numFmtId="3" fontId="3" fillId="0" borderId="1" xfId="0" applyNumberFormat="1" applyFont="1" applyFill="1" applyBorder="1" applyAlignment="1" applyProtection="1">
      <alignment horizontal="right" vertical="center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3" fontId="3" fillId="0" borderId="3" xfId="1288" applyNumberFormat="1" applyFont="1" applyFill="1" applyBorder="1" applyProtection="1"/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right" vertical="center"/>
      <protection locked="0"/>
    </xf>
    <xf numFmtId="3" fontId="3" fillId="0" borderId="1" xfId="1288" applyNumberFormat="1" applyFont="1" applyFill="1" applyBorder="1" applyAlignment="1" applyProtection="1">
      <protection locked="0"/>
    </xf>
    <xf numFmtId="3" fontId="3" fillId="0" borderId="3" xfId="1288" applyNumberFormat="1" applyFont="1" applyFill="1" applyBorder="1" applyProtection="1">
      <protection locked="0"/>
    </xf>
    <xf numFmtId="0" fontId="28" fillId="0" borderId="0" xfId="0" applyFont="1" applyProtection="1"/>
    <xf numFmtId="3" fontId="3" fillId="0" borderId="0" xfId="0" applyNumberFormat="1" applyFont="1" applyBorder="1" applyAlignment="1" applyProtection="1">
      <alignment horizontal="center"/>
    </xf>
    <xf numFmtId="3" fontId="42" fillId="0" borderId="0" xfId="0" applyNumberFormat="1" applyFont="1" applyAlignment="1" applyProtection="1">
      <alignment horizontal="center"/>
    </xf>
    <xf numFmtId="3" fontId="3" fillId="0" borderId="0" xfId="0" applyNumberFormat="1" applyFont="1" applyAlignment="1" applyProtection="1">
      <alignment horizontal="center"/>
    </xf>
    <xf numFmtId="171" fontId="6" fillId="0" borderId="0" xfId="0" applyNumberFormat="1" applyFont="1" applyAlignment="1" applyProtection="1">
      <alignment horizontal="center"/>
    </xf>
    <xf numFmtId="195" fontId="3" fillId="0" borderId="1" xfId="0" applyNumberFormat="1" applyFont="1" applyFill="1" applyBorder="1" applyAlignment="1" applyProtection="1">
      <alignment horizontal="right" vertical="center"/>
    </xf>
    <xf numFmtId="195" fontId="3" fillId="0" borderId="1" xfId="0" applyNumberFormat="1" applyFont="1" applyBorder="1" applyAlignment="1" applyProtection="1">
      <alignment vertical="center" wrapText="1"/>
      <protection locked="0"/>
    </xf>
    <xf numFmtId="195" fontId="3" fillId="0" borderId="1" xfId="0" applyNumberFormat="1" applyFont="1" applyBorder="1" applyAlignment="1" applyProtection="1">
      <alignment vertical="center"/>
      <protection locked="0"/>
    </xf>
    <xf numFmtId="195" fontId="3" fillId="0" borderId="3" xfId="1288" applyNumberFormat="1" applyFont="1" applyFill="1" applyBorder="1" applyProtection="1"/>
    <xf numFmtId="195" fontId="3" fillId="0" borderId="1" xfId="0" applyNumberFormat="1" applyFont="1" applyFill="1" applyBorder="1" applyAlignment="1" applyProtection="1">
      <alignment horizontal="right" vertical="center"/>
      <protection locked="0"/>
    </xf>
    <xf numFmtId="3" fontId="35" fillId="3" borderId="5" xfId="0" applyNumberFormat="1" applyFont="1" applyFill="1" applyBorder="1" applyAlignment="1" applyProtection="1">
      <alignment horizontal="center" vertical="center" wrapText="1"/>
    </xf>
    <xf numFmtId="15" fontId="3" fillId="0" borderId="0" xfId="0" applyNumberFormat="1" applyFont="1" applyProtection="1"/>
    <xf numFmtId="3" fontId="3" fillId="4" borderId="7" xfId="0" applyNumberFormat="1" applyFont="1" applyFill="1" applyBorder="1" applyAlignment="1" applyProtection="1">
      <alignment horizontal="right"/>
    </xf>
    <xf numFmtId="3" fontId="3" fillId="0" borderId="3" xfId="1288" applyNumberFormat="1" applyFont="1" applyFill="1" applyBorder="1" applyAlignment="1" applyProtection="1">
      <alignment vertical="center"/>
    </xf>
    <xf numFmtId="3" fontId="3" fillId="4" borderId="7" xfId="0" applyNumberFormat="1" applyFont="1" applyFill="1" applyBorder="1" applyAlignment="1" applyProtection="1">
      <alignment horizontal="right" vertical="center"/>
    </xf>
    <xf numFmtId="0" fontId="3" fillId="0" borderId="0" xfId="0" applyFont="1" applyAlignment="1" applyProtection="1">
      <alignment wrapText="1"/>
    </xf>
    <xf numFmtId="196" fontId="30" fillId="0" borderId="9" xfId="4" applyNumberFormat="1" applyFont="1" applyFill="1" applyBorder="1" applyAlignment="1" applyProtection="1">
      <alignment vertical="center" wrapText="1"/>
      <protection locked="0"/>
    </xf>
    <xf numFmtId="196" fontId="30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39" fillId="3" borderId="1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 applyProtection="1">
      <alignment horizontal="center"/>
    </xf>
    <xf numFmtId="169" fontId="8" fillId="0" borderId="5" xfId="0" applyNumberFormat="1" applyFont="1" applyFill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3" fontId="16" fillId="0" borderId="0" xfId="5" applyNumberFormat="1" applyFont="1" applyFill="1" applyBorder="1" applyAlignment="1" applyProtection="1">
      <alignment horizontal="center" vertical="center"/>
    </xf>
    <xf numFmtId="197" fontId="100" fillId="0" borderId="0" xfId="3" applyNumberFormat="1" applyFont="1" applyFill="1" applyProtection="1"/>
    <xf numFmtId="197" fontId="99" fillId="0" borderId="0" xfId="3" applyNumberFormat="1" applyFont="1" applyFill="1" applyBorder="1" applyAlignment="1" applyProtection="1">
      <alignment vertical="center" wrapText="1"/>
    </xf>
    <xf numFmtId="197" fontId="79" fillId="0" borderId="0" xfId="3" applyNumberFormat="1" applyFont="1" applyFill="1" applyProtection="1"/>
    <xf numFmtId="197" fontId="9" fillId="0" borderId="0" xfId="3" applyNumberFormat="1" applyFont="1" applyProtection="1">
      <protection locked="0"/>
    </xf>
    <xf numFmtId="3" fontId="103" fillId="0" borderId="0" xfId="0" applyNumberFormat="1" applyFont="1" applyBorder="1" applyAlignment="1">
      <alignment horizontal="center" vertical="center"/>
    </xf>
    <xf numFmtId="0" fontId="35" fillId="0" borderId="0" xfId="4" applyNumberFormat="1" applyFont="1" applyFill="1" applyBorder="1" applyAlignment="1" applyProtection="1">
      <alignment horizontal="right" vertical="top" indent="2"/>
    </xf>
    <xf numFmtId="15" fontId="35" fillId="0" borderId="0" xfId="4" applyNumberFormat="1" applyFont="1" applyFill="1" applyBorder="1" applyAlignment="1" applyProtection="1">
      <alignment horizontal="center"/>
    </xf>
    <xf numFmtId="49" fontId="14" fillId="5" borderId="1" xfId="4" applyNumberFormat="1" applyFont="1" applyFill="1" applyBorder="1" applyAlignment="1" applyProtection="1">
      <alignment horizontal="center" vertical="center" wrapText="1"/>
    </xf>
    <xf numFmtId="0" fontId="14" fillId="5" borderId="1" xfId="4" applyNumberFormat="1" applyFont="1" applyFill="1" applyBorder="1" applyAlignment="1" applyProtection="1">
      <alignment horizontal="center" vertical="center" wrapText="1"/>
    </xf>
    <xf numFmtId="3" fontId="14" fillId="5" borderId="1" xfId="4" applyNumberFormat="1" applyFont="1" applyFill="1" applyBorder="1" applyAlignment="1" applyProtection="1">
      <alignment horizontal="center" vertical="center" wrapText="1"/>
    </xf>
    <xf numFmtId="49" fontId="14" fillId="6" borderId="1" xfId="4" applyNumberFormat="1" applyFont="1" applyFill="1" applyBorder="1" applyAlignment="1" applyProtection="1">
      <alignment horizontal="center" vertical="center" wrapText="1"/>
    </xf>
    <xf numFmtId="0" fontId="14" fillId="6" borderId="1" xfId="4" applyNumberFormat="1" applyFont="1" applyFill="1" applyBorder="1" applyAlignment="1" applyProtection="1">
      <alignment horizontal="center" vertical="center" wrapText="1"/>
    </xf>
    <xf numFmtId="3" fontId="14" fillId="6" borderId="1" xfId="4" applyNumberFormat="1" applyFont="1" applyFill="1" applyBorder="1" applyAlignment="1" applyProtection="1">
      <alignment horizontal="center" vertical="center" wrapText="1"/>
    </xf>
    <xf numFmtId="49" fontId="16" fillId="0" borderId="1" xfId="4" applyNumberFormat="1" applyFont="1" applyFill="1" applyBorder="1" applyAlignment="1" applyProtection="1">
      <alignment horizontal="center" vertical="center" wrapText="1"/>
    </xf>
    <xf numFmtId="0" fontId="32" fillId="0" borderId="0" xfId="0" applyFont="1"/>
    <xf numFmtId="0" fontId="16" fillId="0" borderId="0" xfId="4" applyNumberFormat="1" applyFont="1" applyFill="1" applyBorder="1" applyAlignment="1" applyProtection="1">
      <alignment vertical="center" wrapText="1"/>
    </xf>
    <xf numFmtId="0" fontId="16" fillId="0" borderId="0" xfId="4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71" fontId="0" fillId="0" borderId="0" xfId="0" applyNumberFormat="1" applyFont="1" applyBorder="1" applyAlignment="1" applyProtection="1">
      <alignment horizontal="left" indent="2"/>
    </xf>
    <xf numFmtId="0" fontId="6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left" vertical="center" indent="1"/>
    </xf>
    <xf numFmtId="0" fontId="3" fillId="0" borderId="2" xfId="0" quotePrefix="1" applyFont="1" applyBorder="1" applyAlignment="1" applyProtection="1">
      <alignment horizontal="center" vertical="center" wrapText="1"/>
    </xf>
    <xf numFmtId="0" fontId="3" fillId="0" borderId="2" xfId="0" quotePrefix="1" applyFont="1" applyBorder="1" applyAlignment="1" applyProtection="1">
      <alignment horizontal="left" vertical="center" wrapText="1" indent="1"/>
    </xf>
    <xf numFmtId="0" fontId="3" fillId="0" borderId="2" xfId="0" quotePrefix="1" applyFont="1" applyBorder="1" applyAlignment="1" applyProtection="1">
      <alignment horizontal="left" vertical="center" indent="1"/>
    </xf>
    <xf numFmtId="0" fontId="6" fillId="0" borderId="2" xfId="0" quotePrefix="1" applyFont="1" applyBorder="1" applyAlignment="1" applyProtection="1">
      <alignment horizontal="left" vertical="center" indent="1"/>
    </xf>
    <xf numFmtId="3" fontId="3" fillId="2" borderId="3" xfId="0" applyNumberFormat="1" applyFont="1" applyFill="1" applyBorder="1" applyAlignment="1" applyProtection="1">
      <alignment vertical="center"/>
    </xf>
    <xf numFmtId="0" fontId="3" fillId="0" borderId="2" xfId="0" applyFont="1" applyFill="1" applyBorder="1" applyAlignment="1" applyProtection="1">
      <alignment horizontal="left" vertical="center" indent="1"/>
    </xf>
    <xf numFmtId="0" fontId="6" fillId="0" borderId="2" xfId="0" applyFont="1" applyFill="1" applyBorder="1" applyAlignment="1" applyProtection="1">
      <alignment horizontal="left" vertical="center" indent="1"/>
    </xf>
    <xf numFmtId="0" fontId="3" fillId="0" borderId="2" xfId="0" quotePrefix="1" applyFont="1" applyFill="1" applyBorder="1" applyAlignment="1" applyProtection="1">
      <alignment horizontal="center" vertical="center" wrapText="1"/>
    </xf>
    <xf numFmtId="0" fontId="3" fillId="0" borderId="2" xfId="0" quotePrefix="1" applyFont="1" applyFill="1" applyBorder="1" applyAlignment="1" applyProtection="1">
      <alignment horizontal="left" vertical="center" indent="1"/>
    </xf>
    <xf numFmtId="0" fontId="6" fillId="0" borderId="2" xfId="0" quotePrefix="1" applyFont="1" applyFill="1" applyBorder="1" applyAlignment="1" applyProtection="1">
      <alignment horizontal="center" vertical="center" wrapText="1"/>
    </xf>
    <xf numFmtId="0" fontId="6" fillId="0" borderId="2" xfId="0" quotePrefix="1" applyFont="1" applyFill="1" applyBorder="1" applyAlignment="1" applyProtection="1">
      <alignment horizontal="left" vertical="center" indent="1"/>
    </xf>
    <xf numFmtId="0" fontId="28" fillId="0" borderId="2" xfId="0" applyFont="1" applyFill="1" applyBorder="1" applyAlignment="1" applyProtection="1">
      <alignment horizontal="left" vertical="center" wrapText="1" indent="1"/>
    </xf>
    <xf numFmtId="0" fontId="0" fillId="0" borderId="2" xfId="0" quotePrefix="1" applyFont="1" applyFill="1" applyBorder="1" applyAlignment="1" applyProtection="1">
      <alignment horizontal="left" vertical="center" indent="1"/>
    </xf>
    <xf numFmtId="0" fontId="6" fillId="0" borderId="2" xfId="0" applyFont="1" applyFill="1" applyBorder="1" applyAlignment="1" applyProtection="1">
      <alignment horizontal="left" vertical="center" wrapText="1" indent="1"/>
    </xf>
    <xf numFmtId="0" fontId="104" fillId="0" borderId="2" xfId="0" applyFont="1" applyFill="1" applyBorder="1" applyAlignment="1" applyProtection="1">
      <alignment horizontal="left" vertical="center" indent="1"/>
    </xf>
    <xf numFmtId="3" fontId="3" fillId="0" borderId="3" xfId="0" applyNumberFormat="1" applyFont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3" fillId="0" borderId="2" xfId="0" applyFont="1" applyFill="1" applyBorder="1" applyAlignment="1" applyProtection="1">
      <alignment horizontal="left" vertical="center" wrapText="1" indent="1"/>
    </xf>
    <xf numFmtId="0" fontId="39" fillId="0" borderId="1" xfId="1225" applyFont="1" applyFill="1" applyBorder="1" applyAlignment="1" applyProtection="1">
      <alignment horizontal="left" vertical="center" wrapText="1"/>
    </xf>
    <xf numFmtId="49" fontId="79" fillId="0" borderId="0" xfId="0" applyNumberFormat="1" applyFont="1" applyFill="1" applyProtection="1"/>
    <xf numFmtId="0" fontId="35" fillId="0" borderId="18" xfId="1225" applyFont="1" applyFill="1" applyBorder="1" applyAlignment="1" applyProtection="1">
      <alignment horizontal="left" vertical="center" wrapText="1" indent="2"/>
    </xf>
    <xf numFmtId="0" fontId="35" fillId="0" borderId="19" xfId="1225" applyFont="1" applyFill="1" applyBorder="1" applyAlignment="1" applyProtection="1">
      <alignment horizontal="left" vertical="center" wrapText="1" indent="2"/>
    </xf>
    <xf numFmtId="0" fontId="78" fillId="0" borderId="1" xfId="1225" applyFont="1" applyFill="1" applyBorder="1" applyAlignment="1" applyProtection="1">
      <alignment horizontal="left" vertical="center" wrapText="1"/>
    </xf>
    <xf numFmtId="0" fontId="79" fillId="0" borderId="18" xfId="1225" applyFont="1" applyFill="1" applyBorder="1" applyAlignment="1" applyProtection="1">
      <alignment horizontal="left" vertical="center" wrapText="1" indent="2"/>
    </xf>
    <xf numFmtId="0" fontId="79" fillId="0" borderId="19" xfId="1225" applyFont="1" applyFill="1" applyBorder="1" applyAlignment="1" applyProtection="1">
      <alignment horizontal="left" vertical="center" wrapText="1" indent="2"/>
    </xf>
    <xf numFmtId="0" fontId="5" fillId="0" borderId="0" xfId="0" applyFont="1" applyBorder="1" applyAlignment="1">
      <alignment horizontal="centerContinuous"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28" fillId="0" borderId="1" xfId="0" applyFont="1" applyBorder="1" applyAlignment="1">
      <alignment horizontal="left" vertical="center" indent="2"/>
    </xf>
    <xf numFmtId="3" fontId="3" fillId="0" borderId="1" xfId="0" applyNumberFormat="1" applyFont="1" applyBorder="1" applyProtection="1">
      <protection locked="0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1"/>
    </xf>
    <xf numFmtId="3" fontId="3" fillId="2" borderId="3" xfId="0" applyNumberFormat="1" applyFont="1" applyFill="1" applyBorder="1"/>
    <xf numFmtId="0" fontId="3" fillId="0" borderId="0" xfId="0" applyFont="1" applyBorder="1" applyProtection="1">
      <protection hidden="1"/>
    </xf>
    <xf numFmtId="0" fontId="3" fillId="0" borderId="0" xfId="0" applyFont="1" applyBorder="1"/>
    <xf numFmtId="0" fontId="3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wrapText="1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6" fillId="0" borderId="0" xfId="0" applyFont="1" applyBorder="1"/>
    <xf numFmtId="0" fontId="3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3" fontId="3" fillId="0" borderId="3" xfId="0" applyNumberFormat="1" applyFont="1" applyBorder="1" applyAlignment="1" applyProtection="1">
      <alignment vertical="center"/>
      <protection locked="0"/>
    </xf>
    <xf numFmtId="168" fontId="3" fillId="0" borderId="3" xfId="0" applyNumberFormat="1" applyFont="1" applyBorder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</xf>
    <xf numFmtId="3" fontId="13" fillId="0" borderId="0" xfId="0" applyNumberFormat="1" applyFont="1" applyBorder="1" applyAlignment="1" applyProtection="1">
      <alignment horizontal="center"/>
    </xf>
    <xf numFmtId="3" fontId="9" fillId="0" borderId="3" xfId="0" applyNumberFormat="1" applyFont="1" applyBorder="1" applyAlignment="1" applyProtection="1">
      <alignment horizontal="center" vertical="center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3" xfId="0" quotePrefix="1" applyNumberFormat="1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3" fontId="36" fillId="0" borderId="0" xfId="0" applyNumberFormat="1" applyFont="1" applyBorder="1" applyAlignment="1">
      <alignment horizontal="center"/>
    </xf>
    <xf numFmtId="3" fontId="9" fillId="0" borderId="0" xfId="0" applyNumberFormat="1" applyFont="1" applyBorder="1" applyAlignment="1">
      <alignment vertical="top"/>
    </xf>
    <xf numFmtId="3" fontId="42" fillId="0" borderId="1" xfId="0" applyNumberFormat="1" applyFont="1" applyBorder="1" applyAlignment="1">
      <alignment horizontal="center" vertical="center"/>
    </xf>
    <xf numFmtId="3" fontId="44" fillId="0" borderId="1" xfId="0" applyNumberFormat="1" applyFont="1" applyBorder="1" applyAlignment="1">
      <alignment vertical="center"/>
    </xf>
    <xf numFmtId="3" fontId="44" fillId="0" borderId="1" xfId="0" applyNumberFormat="1" applyFont="1" applyFill="1" applyBorder="1" applyAlignment="1">
      <alignment vertical="center"/>
    </xf>
    <xf numFmtId="0" fontId="44" fillId="0" borderId="1" xfId="0" applyFont="1" applyFill="1" applyBorder="1" applyAlignment="1">
      <alignment vertical="center" wrapText="1"/>
    </xf>
    <xf numFmtId="3" fontId="5" fillId="3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left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 applyProtection="1">
      <alignment vertical="center"/>
    </xf>
    <xf numFmtId="3" fontId="6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/>
    <xf numFmtId="170" fontId="3" fillId="0" borderId="0" xfId="3" applyNumberFormat="1" applyFont="1"/>
    <xf numFmtId="170" fontId="106" fillId="0" borderId="0" xfId="3" applyNumberFormat="1" applyFont="1"/>
    <xf numFmtId="3" fontId="5" fillId="0" borderId="0" xfId="0" applyNumberFormat="1" applyFont="1" applyAlignment="1" applyProtection="1">
      <alignment horizontal="center"/>
    </xf>
    <xf numFmtId="170" fontId="3" fillId="0" borderId="0" xfId="3" applyNumberFormat="1" applyFont="1" applyProtection="1"/>
    <xf numFmtId="3" fontId="50" fillId="3" borderId="3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170" fontId="6" fillId="0" borderId="0" xfId="3" applyNumberFormat="1" applyFont="1" applyProtection="1"/>
    <xf numFmtId="0" fontId="3" fillId="0" borderId="2" xfId="0" applyFont="1" applyBorder="1" applyAlignment="1" applyProtection="1">
      <alignment horizontal="left" vertical="center" indent="1"/>
      <protection locked="0"/>
    </xf>
    <xf numFmtId="170" fontId="3" fillId="0" borderId="0" xfId="3" applyNumberFormat="1" applyFont="1" applyAlignment="1" applyProtection="1">
      <alignment vertical="center" wrapText="1"/>
    </xf>
    <xf numFmtId="0" fontId="0" fillId="0" borderId="1" xfId="0" applyNumberFormat="1" applyFont="1" applyBorder="1" applyProtection="1">
      <protection locked="0"/>
    </xf>
    <xf numFmtId="170" fontId="3" fillId="0" borderId="0" xfId="3" applyNumberFormat="1" applyFont="1" applyAlignment="1" applyProtection="1">
      <alignment vertical="center"/>
    </xf>
    <xf numFmtId="170" fontId="3" fillId="0" borderId="0" xfId="3" applyNumberFormat="1" applyFont="1" applyBorder="1" applyProtection="1"/>
    <xf numFmtId="170" fontId="3" fillId="0" borderId="0" xfId="3" applyNumberFormat="1" applyFont="1" applyAlignment="1" applyProtection="1">
      <alignment wrapText="1"/>
    </xf>
    <xf numFmtId="3" fontId="5" fillId="0" borderId="0" xfId="0" applyNumberFormat="1" applyFont="1" applyAlignment="1" applyProtection="1">
      <alignment horizontal="center" vertical="center" wrapText="1"/>
    </xf>
    <xf numFmtId="3" fontId="44" fillId="0" borderId="10" xfId="0" applyNumberFormat="1" applyFont="1" applyBorder="1" applyProtection="1"/>
    <xf numFmtId="3" fontId="29" fillId="0" borderId="1" xfId="0" applyNumberFormat="1" applyFont="1" applyBorder="1" applyAlignment="1" applyProtection="1">
      <alignment horizontal="left" vertical="center" wrapText="1" indent="1"/>
    </xf>
    <xf numFmtId="16" fontId="16" fillId="0" borderId="1" xfId="5" applyNumberFormat="1" applyFont="1" applyFill="1" applyBorder="1" applyAlignment="1" applyProtection="1">
      <alignment horizontal="left" vertical="center" wrapText="1" indent="2"/>
    </xf>
    <xf numFmtId="3" fontId="9" fillId="0" borderId="10" xfId="0" applyNumberFormat="1" applyFont="1" applyBorder="1" applyProtection="1"/>
    <xf numFmtId="0" fontId="14" fillId="0" borderId="0" xfId="5" applyNumberFormat="1" applyFont="1" applyFill="1" applyBorder="1" applyAlignment="1" applyProtection="1">
      <alignment horizontal="center" vertical="center"/>
    </xf>
    <xf numFmtId="9" fontId="14" fillId="0" borderId="0" xfId="2" applyFont="1" applyFill="1" applyBorder="1" applyAlignment="1" applyProtection="1">
      <alignment horizontal="center" vertical="center"/>
    </xf>
    <xf numFmtId="15" fontId="20" fillId="0" borderId="0" xfId="5" applyNumberFormat="1" applyFont="1" applyFill="1" applyBorder="1" applyAlignment="1" applyProtection="1">
      <alignment horizont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0" fontId="16" fillId="5" borderId="1" xfId="5" applyNumberFormat="1" applyFont="1" applyFill="1" applyBorder="1" applyAlignment="1" applyProtection="1">
      <alignment horizontal="left" vertical="center" wrapText="1" indent="2"/>
    </xf>
    <xf numFmtId="0" fontId="14" fillId="5" borderId="1" xfId="5" applyNumberFormat="1" applyFont="1" applyFill="1" applyBorder="1" applyAlignment="1" applyProtection="1">
      <alignment horizontal="left" vertical="center" wrapText="1" indent="2"/>
    </xf>
    <xf numFmtId="172" fontId="14" fillId="0" borderId="1" xfId="2" applyNumberFormat="1" applyFont="1" applyFill="1" applyBorder="1" applyAlignment="1" applyProtection="1">
      <alignment horizontal="center" vertical="center" wrapText="1"/>
    </xf>
    <xf numFmtId="0" fontId="107" fillId="5" borderId="1" xfId="5" applyNumberFormat="1" applyFont="1" applyFill="1" applyBorder="1" applyAlignment="1" applyProtection="1">
      <alignment horizontal="left" vertical="center" wrapText="1" indent="4"/>
    </xf>
    <xf numFmtId="0" fontId="16" fillId="5" borderId="1" xfId="5" applyNumberFormat="1" applyFont="1" applyFill="1" applyBorder="1" applyAlignment="1" applyProtection="1">
      <alignment horizontal="left" vertical="center" wrapText="1" indent="1"/>
    </xf>
    <xf numFmtId="172" fontId="1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5" applyNumberFormat="1" applyFont="1" applyFill="1" applyBorder="1" applyAlignment="1" applyProtection="1">
      <alignment horizontal="left" vertical="center" wrapText="1" indent="2"/>
    </xf>
    <xf numFmtId="0" fontId="16" fillId="0" borderId="1" xfId="5" applyNumberFormat="1" applyFont="1" applyFill="1" applyBorder="1" applyAlignment="1" applyProtection="1">
      <alignment horizontal="left" vertical="center" wrapText="1" indent="1"/>
    </xf>
    <xf numFmtId="0" fontId="3" fillId="0" borderId="0" xfId="0" applyFont="1" applyAlignment="1">
      <alignment vertical="center" wrapText="1"/>
    </xf>
    <xf numFmtId="173" fontId="16" fillId="0" borderId="0" xfId="5" applyNumberFormat="1" applyFont="1" applyFill="1" applyBorder="1" applyAlignment="1" applyProtection="1">
      <alignment horizontal="center" vertical="top"/>
    </xf>
    <xf numFmtId="0" fontId="39" fillId="0" borderId="9" xfId="9" applyNumberFormat="1" applyFont="1" applyFill="1" applyBorder="1" applyAlignment="1" applyProtection="1">
      <alignment vertical="center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35" fillId="0" borderId="0" xfId="9" applyNumberFormat="1" applyFont="1" applyFill="1" applyBorder="1" applyAlignment="1" applyProtection="1">
      <alignment horizontal="center" vertical="center"/>
    </xf>
    <xf numFmtId="0" fontId="35" fillId="5" borderId="1" xfId="9" applyNumberFormat="1" applyFont="1" applyFill="1" applyBorder="1" applyAlignment="1" applyProtection="1">
      <alignment horizontal="left" vertical="center" wrapText="1" indent="2"/>
    </xf>
    <xf numFmtId="0" fontId="39" fillId="5" borderId="1" xfId="9" applyNumberFormat="1" applyFont="1" applyFill="1" applyBorder="1" applyAlignment="1" applyProtection="1">
      <alignment horizontal="left" vertical="center" wrapText="1" indent="2"/>
    </xf>
    <xf numFmtId="172" fontId="39" fillId="0" borderId="1" xfId="10" applyNumberFormat="1" applyFont="1" applyFill="1" applyBorder="1" applyAlignment="1" applyProtection="1">
      <alignment horizontal="center" vertical="center" wrapText="1"/>
    </xf>
    <xf numFmtId="3" fontId="39" fillId="0" borderId="0" xfId="9" applyNumberFormat="1" applyFont="1" applyFill="1" applyBorder="1" applyAlignment="1" applyProtection="1">
      <alignment horizontal="center" vertical="center"/>
    </xf>
    <xf numFmtId="0" fontId="35" fillId="21" borderId="1" xfId="9" applyNumberFormat="1" applyFont="1" applyFill="1" applyBorder="1" applyAlignment="1" applyProtection="1">
      <alignment horizontal="center" vertical="center" wrapText="1"/>
    </xf>
    <xf numFmtId="0" fontId="35" fillId="21" borderId="1" xfId="9" applyNumberFormat="1" applyFont="1" applyFill="1" applyBorder="1" applyAlignment="1" applyProtection="1">
      <alignment horizontal="left" vertical="center" wrapText="1" indent="1"/>
    </xf>
    <xf numFmtId="172" fontId="39" fillId="21" borderId="1" xfId="10" applyNumberFormat="1" applyFont="1" applyFill="1" applyBorder="1" applyAlignment="1" applyProtection="1">
      <alignment horizontal="center" vertical="center" wrapText="1"/>
    </xf>
    <xf numFmtId="0" fontId="35" fillId="0" borderId="1" xfId="9" applyNumberFormat="1" applyFont="1" applyFill="1" applyBorder="1" applyAlignment="1" applyProtection="1">
      <alignment horizontal="center" vertical="center" wrapText="1"/>
    </xf>
    <xf numFmtId="0" fontId="35" fillId="5" borderId="1" xfId="9" applyNumberFormat="1" applyFont="1" applyFill="1" applyBorder="1" applyAlignment="1" applyProtection="1">
      <alignment horizontal="left" vertical="center" wrapText="1" indent="1"/>
    </xf>
    <xf numFmtId="172" fontId="35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7" fillId="0" borderId="1" xfId="9" applyNumberFormat="1" applyFont="1" applyFill="1" applyBorder="1" applyAlignment="1" applyProtection="1">
      <alignment horizontal="center" vertical="center" wrapText="1"/>
    </xf>
    <xf numFmtId="0" fontId="57" fillId="5" borderId="1" xfId="9" applyNumberFormat="1" applyFont="1" applyFill="1" applyBorder="1" applyAlignment="1" applyProtection="1">
      <alignment horizontal="left" vertical="center" wrapText="1" indent="1"/>
    </xf>
    <xf numFmtId="0" fontId="35" fillId="0" borderId="1" xfId="9" applyNumberFormat="1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horizontal="center" vertical="center" wrapText="1"/>
    </xf>
    <xf numFmtId="0" fontId="35" fillId="0" borderId="0" xfId="9" applyNumberFormat="1" applyFont="1" applyFill="1" applyBorder="1" applyAlignment="1" applyProtection="1">
      <alignment horizontal="left" vertical="center" wrapText="1" indent="1"/>
    </xf>
    <xf numFmtId="172" fontId="35" fillId="0" borderId="0" xfId="1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left" vertical="center" wrapText="1" indent="2"/>
    </xf>
    <xf numFmtId="3" fontId="45" fillId="0" borderId="0" xfId="5" applyNumberFormat="1" applyFont="1" applyFill="1" applyBorder="1" applyAlignment="1" applyProtection="1">
      <alignment horizontal="center" vertical="center"/>
    </xf>
    <xf numFmtId="0" fontId="21" fillId="5" borderId="1" xfId="5" applyNumberFormat="1" applyFont="1" applyFill="1" applyBorder="1" applyAlignment="1" applyProtection="1">
      <alignment horizontal="left" vertical="center" wrapText="1" indent="1"/>
    </xf>
    <xf numFmtId="3" fontId="21" fillId="0" borderId="0" xfId="5" applyNumberFormat="1" applyFont="1" applyFill="1" applyBorder="1" applyAlignment="1" applyProtection="1">
      <alignment horizontal="center" vertical="center"/>
    </xf>
    <xf numFmtId="171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0" fontId="6" fillId="0" borderId="1" xfId="0" applyFont="1" applyBorder="1" applyAlignment="1" applyProtection="1">
      <alignment horizontal="center" vertical="center"/>
    </xf>
    <xf numFmtId="0" fontId="6" fillId="0" borderId="0" xfId="0" applyFont="1" applyProtection="1"/>
    <xf numFmtId="2" fontId="3" fillId="0" borderId="5" xfId="0" applyNumberFormat="1" applyFont="1" applyBorder="1" applyAlignment="1" applyProtection="1">
      <alignment horizontal="center" vertical="center"/>
    </xf>
    <xf numFmtId="169" fontId="3" fillId="0" borderId="3" xfId="0" applyNumberFormat="1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 indent="4"/>
    </xf>
    <xf numFmtId="0" fontId="104" fillId="0" borderId="1" xfId="0" applyFont="1" applyFill="1" applyBorder="1" applyAlignment="1" applyProtection="1">
      <alignment horizontal="left" vertical="center" indent="4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2"/>
    </xf>
    <xf numFmtId="0" fontId="104" fillId="0" borderId="4" xfId="0" applyFont="1" applyBorder="1" applyAlignment="1">
      <alignment horizontal="center" vertical="center"/>
    </xf>
    <xf numFmtId="0" fontId="104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104" fillId="0" borderId="4" xfId="0" applyFont="1" applyFill="1" applyBorder="1" applyAlignment="1">
      <alignment horizontal="center" vertical="center"/>
    </xf>
    <xf numFmtId="0" fontId="104" fillId="0" borderId="1" xfId="0" applyFont="1" applyFill="1" applyBorder="1" applyAlignment="1">
      <alignment horizontal="left" vertical="center" wrapText="1" indent="4"/>
    </xf>
    <xf numFmtId="0" fontId="28" fillId="0" borderId="4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 indent="4"/>
    </xf>
    <xf numFmtId="0" fontId="0" fillId="0" borderId="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wrapText="1" indent="4"/>
    </xf>
    <xf numFmtId="0" fontId="29" fillId="0" borderId="1" xfId="0" applyFont="1" applyFill="1" applyBorder="1" applyAlignment="1">
      <alignment horizontal="left" vertical="center" wrapText="1" indent="5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 indent="2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wrapText="1"/>
    </xf>
    <xf numFmtId="170" fontId="79" fillId="0" borderId="0" xfId="3" applyNumberFormat="1" applyFont="1" applyFill="1" applyAlignment="1" applyProtection="1">
      <alignment vertical="center"/>
    </xf>
    <xf numFmtId="170" fontId="78" fillId="0" borderId="0" xfId="3" applyNumberFormat="1" applyFont="1" applyFill="1" applyAlignment="1" applyProtection="1">
      <alignment vertical="center"/>
    </xf>
    <xf numFmtId="171" fontId="3" fillId="0" borderId="0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196" fontId="109" fillId="0" borderId="9" xfId="4" applyNumberFormat="1" applyFont="1" applyFill="1" applyBorder="1" applyAlignment="1" applyProtection="1">
      <alignment vertical="center" wrapText="1"/>
      <protection locked="0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3" fontId="13" fillId="3" borderId="1" xfId="0" applyNumberFormat="1" applyFont="1" applyFill="1" applyBorder="1" applyAlignment="1" applyProtection="1">
      <alignment horizontal="center"/>
    </xf>
    <xf numFmtId="3" fontId="11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Protection="1"/>
    <xf numFmtId="3" fontId="13" fillId="0" borderId="1" xfId="0" applyNumberFormat="1" applyFont="1" applyBorder="1" applyAlignment="1" applyProtection="1">
      <alignment horizontal="center" vertical="center"/>
    </xf>
    <xf numFmtId="3" fontId="13" fillId="0" borderId="1" xfId="0" applyNumberFormat="1" applyFont="1" applyBorder="1" applyAlignment="1" applyProtection="1">
      <alignment horizontal="left" vertical="center" indent="2"/>
    </xf>
    <xf numFmtId="3" fontId="13" fillId="0" borderId="1" xfId="0" applyNumberFormat="1" applyFont="1" applyBorder="1" applyAlignment="1" applyProtection="1">
      <alignment vertical="center"/>
    </xf>
    <xf numFmtId="3" fontId="13" fillId="0" borderId="1" xfId="0" applyNumberFormat="1" applyFont="1" applyBorder="1" applyAlignment="1" applyProtection="1">
      <alignment vertical="center"/>
      <protection locked="0"/>
    </xf>
    <xf numFmtId="3" fontId="13" fillId="0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vertical="center"/>
    </xf>
    <xf numFmtId="9" fontId="13" fillId="3" borderId="1" xfId="2" applyFont="1" applyFill="1" applyBorder="1" applyAlignment="1" applyProtection="1">
      <alignment vertical="center"/>
    </xf>
    <xf numFmtId="3" fontId="13" fillId="0" borderId="1" xfId="0" applyNumberFormat="1" applyFont="1" applyFill="1" applyBorder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  <protection locked="0"/>
    </xf>
    <xf numFmtId="3" fontId="11" fillId="0" borderId="1" xfId="0" applyNumberFormat="1" applyFont="1" applyBorder="1" applyAlignment="1" applyProtection="1">
      <alignment horizontal="left" vertical="center" indent="2"/>
    </xf>
    <xf numFmtId="3" fontId="6" fillId="0" borderId="1" xfId="0" applyNumberFormat="1" applyFont="1" applyFill="1" applyBorder="1" applyAlignment="1">
      <alignment horizontal="right" vertical="center" wrapText="1"/>
    </xf>
    <xf numFmtId="196" fontId="17" fillId="3" borderId="1" xfId="0" applyNumberFormat="1" applyFont="1" applyFill="1" applyBorder="1" applyAlignment="1" applyProtection="1">
      <alignment horizontal="center" vertical="center" wrapText="1"/>
    </xf>
    <xf numFmtId="170" fontId="45" fillId="0" borderId="0" xfId="3" applyNumberFormat="1" applyFont="1" applyFill="1" applyBorder="1" applyAlignment="1" applyProtection="1">
      <alignment horizontal="center" vertical="top"/>
    </xf>
    <xf numFmtId="3" fontId="45" fillId="0" borderId="0" xfId="5" applyNumberFormat="1" applyFont="1" applyFill="1" applyBorder="1" applyAlignment="1" applyProtection="1">
      <alignment horizontal="center" vertical="top"/>
    </xf>
    <xf numFmtId="170" fontId="45" fillId="0" borderId="0" xfId="3" applyNumberFormat="1" applyFont="1" applyFill="1" applyBorder="1" applyAlignment="1" applyProtection="1">
      <alignment vertical="top"/>
    </xf>
    <xf numFmtId="0" fontId="45" fillId="0" borderId="0" xfId="5" applyNumberFormat="1" applyFont="1" applyFill="1" applyBorder="1" applyAlignment="1" applyProtection="1">
      <alignment vertical="top"/>
    </xf>
    <xf numFmtId="0" fontId="110" fillId="0" borderId="0" xfId="0" applyFont="1" applyAlignment="1">
      <alignment vertical="center"/>
    </xf>
    <xf numFmtId="0" fontId="14" fillId="0" borderId="0" xfId="4" applyNumberFormat="1" applyFont="1" applyFill="1" applyBorder="1" applyAlignment="1" applyProtection="1">
      <alignment vertical="center"/>
    </xf>
    <xf numFmtId="3" fontId="38" fillId="3" borderId="5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 vertical="center" wrapText="1"/>
    </xf>
    <xf numFmtId="0" fontId="28" fillId="0" borderId="2" xfId="0" applyFont="1" applyFill="1" applyBorder="1" applyAlignment="1" applyProtection="1">
      <alignment horizontal="center" vertical="center" wrapText="1"/>
    </xf>
    <xf numFmtId="0" fontId="0" fillId="0" borderId="2" xfId="0" quotePrefix="1" applyFont="1" applyFill="1" applyBorder="1" applyAlignment="1" applyProtection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1" fillId="0" borderId="0" xfId="0" applyFont="1" applyBorder="1" applyProtection="1"/>
    <xf numFmtId="3" fontId="111" fillId="0" borderId="0" xfId="0" applyNumberFormat="1" applyFont="1" applyBorder="1" applyProtection="1"/>
    <xf numFmtId="0" fontId="112" fillId="0" borderId="0" xfId="0" applyFont="1" applyBorder="1" applyProtection="1"/>
    <xf numFmtId="0" fontId="111" fillId="0" borderId="0" xfId="0" quotePrefix="1" applyFont="1" applyBorder="1" applyAlignment="1" applyProtection="1">
      <alignment horizontal="left"/>
    </xf>
    <xf numFmtId="0" fontId="113" fillId="0" borderId="0" xfId="0" applyFont="1" applyBorder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70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70" fontId="115" fillId="0" borderId="0" xfId="3" applyNumberFormat="1" applyFont="1" applyFill="1" applyBorder="1" applyAlignment="1" applyProtection="1">
      <alignment vertical="top"/>
    </xf>
    <xf numFmtId="173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Fill="1" applyBorder="1" applyAlignment="1" applyProtection="1">
      <alignment horizontal="center"/>
    </xf>
    <xf numFmtId="3" fontId="28" fillId="0" borderId="1" xfId="0" applyNumberFormat="1" applyFont="1" applyBorder="1" applyProtection="1"/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indent="2"/>
    </xf>
    <xf numFmtId="3" fontId="28" fillId="2" borderId="3" xfId="0" applyNumberFormat="1" applyFont="1" applyFill="1" applyBorder="1"/>
    <xf numFmtId="0" fontId="111" fillId="0" borderId="0" xfId="0" applyFont="1" applyFill="1" applyProtection="1"/>
    <xf numFmtId="0" fontId="111" fillId="0" borderId="0" xfId="0" applyFont="1" applyProtection="1"/>
    <xf numFmtId="0" fontId="112" fillId="0" borderId="0" xfId="0" applyFont="1" applyAlignment="1" applyProtection="1">
      <alignment vertical="center"/>
    </xf>
    <xf numFmtId="0" fontId="112" fillId="0" borderId="0" xfId="0" applyFont="1" applyProtection="1"/>
    <xf numFmtId="0" fontId="112" fillId="0" borderId="0" xfId="0" applyFont="1" applyFill="1" applyProtection="1"/>
    <xf numFmtId="3" fontId="39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5" fillId="0" borderId="0" xfId="3" applyNumberFormat="1" applyFont="1" applyFill="1" applyBorder="1" applyAlignment="1" applyProtection="1">
      <alignment horizontal="center" vertical="center"/>
    </xf>
    <xf numFmtId="0" fontId="11" fillId="0" borderId="0" xfId="0" applyFont="1" applyBorder="1" applyProtection="1"/>
    <xf numFmtId="0" fontId="12" fillId="0" borderId="0" xfId="0" applyFont="1" applyBorder="1" applyAlignment="1" applyProtection="1">
      <alignment horizontal="left" indent="2"/>
    </xf>
    <xf numFmtId="0" fontId="78" fillId="0" borderId="0" xfId="0" applyFont="1" applyFill="1" applyBorder="1" applyAlignment="1" applyProtection="1">
      <alignment horizontal="left" vertical="center" wrapText="1" indent="2"/>
    </xf>
    <xf numFmtId="0" fontId="12" fillId="0" borderId="0" xfId="0" applyFont="1" applyBorder="1" applyProtection="1"/>
    <xf numFmtId="3" fontId="111" fillId="0" borderId="0" xfId="0" applyNumberFormat="1" applyFont="1" applyAlignment="1" applyProtection="1">
      <alignment horizontal="center" vertical="center"/>
    </xf>
    <xf numFmtId="3" fontId="28" fillId="0" borderId="1" xfId="0" applyNumberFormat="1" applyFont="1" applyBorder="1" applyAlignment="1">
      <alignment horizontal="center" vertical="center" wrapText="1"/>
    </xf>
    <xf numFmtId="3" fontId="28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 applyProtection="1">
      <alignment vertical="center" wrapText="1"/>
      <protection locked="0"/>
    </xf>
    <xf numFmtId="3" fontId="28" fillId="0" borderId="1" xfId="0" applyNumberFormat="1" applyFont="1" applyFill="1" applyBorder="1" applyAlignment="1">
      <alignment vertical="center" wrapText="1"/>
    </xf>
    <xf numFmtId="3" fontId="6" fillId="0" borderId="1" xfId="0" applyNumberFormat="1" applyFont="1" applyFill="1" applyBorder="1" applyAlignment="1" applyProtection="1">
      <alignment vertical="center" wrapText="1"/>
      <protection locked="0"/>
    </xf>
    <xf numFmtId="3" fontId="0" fillId="0" borderId="1" xfId="0" applyNumberFormat="1" applyFont="1" applyFill="1" applyBorder="1" applyAlignment="1" applyProtection="1">
      <alignment horizontal="right" vertical="center" wrapText="1"/>
      <protection locked="0"/>
    </xf>
    <xf numFmtId="3" fontId="41" fillId="3" borderId="1" xfId="0" applyNumberFormat="1" applyFont="1" applyFill="1" applyBorder="1" applyAlignment="1" applyProtection="1">
      <alignment horizontal="center" vertical="center"/>
    </xf>
    <xf numFmtId="3" fontId="41" fillId="3" borderId="1" xfId="0" applyNumberFormat="1" applyFont="1" applyFill="1" applyBorder="1" applyAlignment="1" applyProtection="1">
      <alignment vertical="center"/>
    </xf>
    <xf numFmtId="0" fontId="41" fillId="0" borderId="0" xfId="0" applyFont="1" applyFill="1" applyProtection="1"/>
    <xf numFmtId="0" fontId="41" fillId="0" borderId="0" xfId="0" applyFont="1" applyFill="1" applyBorder="1" applyProtection="1"/>
    <xf numFmtId="3" fontId="41" fillId="0" borderId="0" xfId="0" applyNumberFormat="1" applyFont="1" applyProtection="1"/>
    <xf numFmtId="3" fontId="9" fillId="3" borderId="1" xfId="0" applyNumberFormat="1" applyFont="1" applyFill="1" applyBorder="1" applyAlignment="1" applyProtection="1">
      <alignment horizontal="center" vertical="center" wrapText="1"/>
    </xf>
    <xf numFmtId="9" fontId="9" fillId="3" borderId="1" xfId="2" applyFont="1" applyFill="1" applyBorder="1" applyAlignment="1" applyProtection="1">
      <alignment horizontal="center" vertical="center" wrapText="1"/>
    </xf>
    <xf numFmtId="9" fontId="9" fillId="0" borderId="1" xfId="0" applyNumberFormat="1" applyFont="1" applyBorder="1" applyProtection="1"/>
    <xf numFmtId="167" fontId="35" fillId="0" borderId="0" xfId="3" applyFont="1" applyFill="1" applyBorder="1" applyAlignment="1" applyProtection="1">
      <alignment horizontal="center" vertical="center"/>
    </xf>
    <xf numFmtId="167" fontId="45" fillId="0" borderId="0" xfId="3" applyFont="1" applyFill="1" applyBorder="1" applyAlignment="1" applyProtection="1">
      <alignment horizontal="center" vertical="center"/>
    </xf>
    <xf numFmtId="198" fontId="45" fillId="0" borderId="0" xfId="3" applyNumberFormat="1" applyFont="1" applyFill="1" applyBorder="1" applyAlignment="1" applyProtection="1">
      <alignment horizontal="center" vertical="top"/>
    </xf>
    <xf numFmtId="0" fontId="116" fillId="0" borderId="0" xfId="0" applyFont="1" applyBorder="1" applyProtection="1"/>
    <xf numFmtId="3" fontId="9" fillId="0" borderId="0" xfId="0" applyNumberFormat="1" applyFont="1"/>
    <xf numFmtId="3" fontId="9" fillId="0" borderId="0" xfId="0" applyNumberFormat="1" applyFont="1" applyAlignment="1" applyProtection="1">
      <alignment horizontal="center" vertical="center"/>
    </xf>
    <xf numFmtId="172" fontId="35" fillId="0" borderId="0" xfId="2" applyNumberFormat="1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indent="1"/>
    </xf>
    <xf numFmtId="167" fontId="3" fillId="0" borderId="0" xfId="3" applyFont="1"/>
    <xf numFmtId="167" fontId="14" fillId="0" borderId="0" xfId="3" applyFont="1" applyFill="1" applyBorder="1" applyAlignment="1" applyProtection="1">
      <alignment horizontal="center" vertical="center"/>
    </xf>
    <xf numFmtId="167" fontId="110" fillId="0" borderId="0" xfId="3" applyFont="1" applyAlignment="1">
      <alignment vertical="center"/>
    </xf>
    <xf numFmtId="167" fontId="16" fillId="0" borderId="0" xfId="3" applyFont="1" applyFill="1" applyBorder="1" applyAlignment="1" applyProtection="1">
      <alignment vertical="center"/>
    </xf>
    <xf numFmtId="167" fontId="14" fillId="0" borderId="0" xfId="3" applyFont="1" applyFill="1" applyBorder="1" applyAlignment="1" applyProtection="1">
      <alignment vertical="center"/>
    </xf>
    <xf numFmtId="3" fontId="11" fillId="3" borderId="1" xfId="0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3" fontId="28" fillId="0" borderId="3" xfId="0" applyNumberFormat="1" applyFont="1" applyFill="1" applyBorder="1" applyAlignment="1" applyProtection="1">
      <alignment horizontal="center"/>
    </xf>
    <xf numFmtId="3" fontId="6" fillId="0" borderId="3" xfId="0" applyNumberFormat="1" applyFont="1" applyBorder="1" applyAlignment="1" applyProtection="1">
      <alignment horizontal="center" vertical="center" wrapText="1"/>
    </xf>
    <xf numFmtId="3" fontId="3" fillId="0" borderId="3" xfId="0" applyNumberFormat="1" applyFont="1" applyBorder="1" applyAlignment="1" applyProtection="1">
      <alignment vertical="center" wrapText="1"/>
      <protection locked="0"/>
    </xf>
    <xf numFmtId="3" fontId="3" fillId="0" borderId="3" xfId="0" applyNumberFormat="1" applyFont="1" applyFill="1" applyBorder="1" applyAlignment="1" applyProtection="1">
      <alignment horizontal="right" vertical="center"/>
      <protection locked="0"/>
    </xf>
    <xf numFmtId="3" fontId="3" fillId="0" borderId="3" xfId="0" applyNumberFormat="1" applyFont="1" applyFill="1" applyBorder="1" applyAlignment="1" applyProtection="1">
      <alignment horizontal="center" vertical="center"/>
      <protection locked="0"/>
    </xf>
    <xf numFmtId="3" fontId="3" fillId="0" borderId="3" xfId="0" applyNumberFormat="1" applyFont="1" applyFill="1" applyBorder="1" applyAlignment="1" applyProtection="1">
      <alignment vertical="center"/>
      <protection locked="0"/>
    </xf>
    <xf numFmtId="3" fontId="3" fillId="0" borderId="3" xfId="0" applyNumberFormat="1" applyFont="1" applyFill="1" applyBorder="1" applyAlignment="1" applyProtection="1">
      <alignment horizontal="right" vertical="center"/>
    </xf>
    <xf numFmtId="0" fontId="56" fillId="0" borderId="0" xfId="4" quotePrefix="1" applyNumberFormat="1" applyFont="1" applyFill="1" applyBorder="1" applyAlignment="1" applyProtection="1">
      <alignment horizontal="center" vertical="top"/>
      <protection locked="0"/>
    </xf>
    <xf numFmtId="0" fontId="117" fillId="0" borderId="0" xfId="0" applyFont="1" applyAlignment="1" applyProtection="1">
      <alignment horizontal="center"/>
    </xf>
    <xf numFmtId="3" fontId="38" fillId="3" borderId="1" xfId="0" applyNumberFormat="1" applyFont="1" applyFill="1" applyBorder="1" applyAlignment="1" applyProtection="1">
      <alignment horizontal="center" vertical="center" wrapText="1"/>
    </xf>
    <xf numFmtId="172" fontId="16" fillId="0" borderId="1" xfId="2" applyNumberFormat="1" applyFont="1" applyFill="1" applyBorder="1" applyAlignment="1" applyProtection="1">
      <alignment horizontal="center" vertical="center" wrapText="1"/>
    </xf>
    <xf numFmtId="172" fontId="35" fillId="0" borderId="1" xfId="10" applyNumberFormat="1" applyFont="1" applyFill="1" applyBorder="1" applyAlignment="1" applyProtection="1">
      <alignment horizontal="center" vertical="center" wrapText="1"/>
    </xf>
    <xf numFmtId="9" fontId="45" fillId="5" borderId="1" xfId="2" applyFont="1" applyFill="1" applyBorder="1" applyAlignment="1" applyProtection="1">
      <alignment horizontal="center" vertical="center" wrapText="1"/>
    </xf>
    <xf numFmtId="195" fontId="28" fillId="0" borderId="1" xfId="0" applyNumberFormat="1" applyFont="1" applyFill="1" applyBorder="1" applyAlignment="1" applyProtection="1">
      <alignment vertical="center"/>
    </xf>
    <xf numFmtId="195" fontId="11" fillId="3" borderId="1" xfId="0" applyNumberFormat="1" applyFont="1" applyFill="1" applyBorder="1" applyAlignment="1" applyProtection="1">
      <alignment horizontal="center" vertical="center" wrapText="1"/>
    </xf>
    <xf numFmtId="167" fontId="3" fillId="0" borderId="0" xfId="3" applyFont="1" applyProtection="1"/>
    <xf numFmtId="167" fontId="3" fillId="0" borderId="0" xfId="3" applyFont="1" applyBorder="1" applyProtection="1"/>
    <xf numFmtId="0" fontId="12" fillId="0" borderId="0" xfId="0" applyFont="1" applyAlignment="1" applyProtection="1">
      <alignment horizontal="centerContinuous"/>
    </xf>
    <xf numFmtId="3" fontId="3" fillId="0" borderId="0" xfId="0" applyNumberFormat="1" applyFont="1" applyAlignment="1" applyProtection="1">
      <alignment horizontal="centerContinuous"/>
    </xf>
    <xf numFmtId="0" fontId="15" fillId="0" borderId="0" xfId="0" applyFont="1" applyProtection="1"/>
    <xf numFmtId="3" fontId="28" fillId="0" borderId="0" xfId="0" applyNumberFormat="1" applyFont="1" applyProtection="1"/>
    <xf numFmtId="3" fontId="3" fillId="0" borderId="0" xfId="0" applyNumberFormat="1" applyFont="1" applyAlignment="1" applyProtection="1">
      <alignment horizontal="left"/>
    </xf>
    <xf numFmtId="3" fontId="6" fillId="0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Alignment="1" applyProtection="1">
      <alignment vertical="center"/>
    </xf>
    <xf numFmtId="3" fontId="6" fillId="0" borderId="1" xfId="0" applyNumberFormat="1" applyFont="1" applyFill="1" applyBorder="1" applyAlignment="1" applyProtection="1">
      <alignment horizontal="center" vertical="center"/>
    </xf>
    <xf numFmtId="195" fontId="28" fillId="0" borderId="1" xfId="0" applyNumberFormat="1" applyFont="1" applyFill="1" applyBorder="1" applyAlignment="1" applyProtection="1">
      <alignment vertical="center" wrapText="1"/>
    </xf>
    <xf numFmtId="195" fontId="0" fillId="0" borderId="1" xfId="0" applyNumberFormat="1" applyFont="1" applyFill="1" applyBorder="1" applyAlignment="1" applyProtection="1">
      <alignment vertical="center" wrapText="1"/>
    </xf>
    <xf numFmtId="3" fontId="15" fillId="0" borderId="0" xfId="0" applyNumberFormat="1" applyFont="1" applyAlignment="1" applyProtection="1">
      <alignment vertical="center"/>
    </xf>
    <xf numFmtId="0" fontId="15" fillId="0" borderId="0" xfId="0" applyFont="1" applyAlignment="1" applyProtection="1">
      <alignment vertical="center"/>
    </xf>
    <xf numFmtId="3" fontId="0" fillId="0" borderId="1" xfId="0" applyNumberFormat="1" applyFont="1" applyFill="1" applyBorder="1" applyAlignment="1" applyProtection="1">
      <alignment horizontal="left" vertical="center"/>
    </xf>
    <xf numFmtId="195" fontId="6" fillId="0" borderId="1" xfId="0" applyNumberFormat="1" applyFont="1" applyFill="1" applyBorder="1" applyAlignment="1" applyProtection="1">
      <alignment vertical="center" wrapText="1"/>
    </xf>
    <xf numFmtId="195" fontId="6" fillId="0" borderId="1" xfId="0" applyNumberFormat="1" applyFont="1" applyBorder="1" applyAlignment="1" applyProtection="1">
      <alignment vertical="center" wrapText="1"/>
    </xf>
    <xf numFmtId="195" fontId="0" fillId="0" borderId="1" xfId="0" applyNumberFormat="1" applyBorder="1" applyAlignment="1" applyProtection="1">
      <alignment vertical="center" wrapText="1"/>
    </xf>
    <xf numFmtId="3" fontId="13" fillId="0" borderId="0" xfId="0" applyNumberFormat="1" applyFont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horizontal="left" vertical="center"/>
    </xf>
    <xf numFmtId="195" fontId="6" fillId="0" borderId="1" xfId="0" applyNumberFormat="1" applyFont="1" applyFill="1" applyBorder="1" applyAlignment="1" applyProtection="1">
      <alignment horizontal="center" vertical="center" wrapText="1"/>
    </xf>
    <xf numFmtId="195" fontId="6" fillId="0" borderId="1" xfId="0" applyNumberFormat="1" applyFont="1" applyBorder="1" applyAlignment="1" applyProtection="1">
      <alignment horizontal="center" vertical="center" wrapText="1"/>
    </xf>
    <xf numFmtId="195" fontId="28" fillId="0" borderId="1" xfId="0" applyNumberFormat="1" applyFont="1" applyBorder="1" applyAlignment="1" applyProtection="1">
      <alignment horizontal="center" vertical="center" wrapText="1"/>
    </xf>
    <xf numFmtId="195" fontId="0" fillId="0" borderId="1" xfId="0" applyNumberFormat="1" applyFont="1" applyFill="1" applyBorder="1" applyAlignment="1" applyProtection="1">
      <alignment horizontal="right" vertical="center" wrapText="1"/>
    </xf>
    <xf numFmtId="195" fontId="0" fillId="0" borderId="1" xfId="0" applyNumberFormat="1" applyBorder="1" applyAlignment="1" applyProtection="1">
      <alignment horizontal="right" vertical="center" wrapText="1"/>
    </xf>
    <xf numFmtId="0" fontId="15" fillId="0" borderId="0" xfId="0" applyFont="1" applyFill="1" applyAlignment="1" applyProtection="1">
      <alignment vertical="center"/>
    </xf>
    <xf numFmtId="170" fontId="106" fillId="0" borderId="0" xfId="3" applyNumberFormat="1" applyFont="1" applyProtection="1"/>
    <xf numFmtId="0" fontId="0" fillId="0" borderId="1" xfId="0" applyFont="1" applyFill="1" applyBorder="1" applyAlignment="1">
      <alignment horizontal="left" vertical="center" indent="2"/>
    </xf>
    <xf numFmtId="0" fontId="0" fillId="0" borderId="1" xfId="0" applyFont="1" applyFill="1" applyBorder="1" applyAlignment="1">
      <alignment horizontal="left" vertical="center" wrapText="1" indent="2"/>
    </xf>
    <xf numFmtId="196" fontId="30" fillId="0" borderId="9" xfId="4" applyNumberFormat="1" applyFont="1" applyFill="1" applyBorder="1" applyAlignment="1" applyProtection="1">
      <alignment horizontal="right" wrapText="1"/>
      <protection locked="0"/>
    </xf>
    <xf numFmtId="169" fontId="8" fillId="0" borderId="5" xfId="0" applyNumberFormat="1" applyFont="1" applyFill="1" applyBorder="1" applyAlignment="1" applyProtection="1">
      <alignment horizontal="center" vertical="center"/>
    </xf>
    <xf numFmtId="3" fontId="38" fillId="3" borderId="1" xfId="0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/>
    </xf>
    <xf numFmtId="0" fontId="38" fillId="0" borderId="0" xfId="0" applyFont="1" applyBorder="1" applyAlignment="1" applyProtection="1">
      <alignment horizontal="center" vertical="center" wrapText="1"/>
    </xf>
    <xf numFmtId="3" fontId="38" fillId="3" borderId="5" xfId="0" applyNumberFormat="1" applyFont="1" applyFill="1" applyBorder="1" applyAlignment="1" applyProtection="1">
      <alignment horizontal="center" vertical="center" wrapText="1"/>
    </xf>
    <xf numFmtId="3" fontId="38" fillId="3" borderId="12" xfId="0" applyNumberFormat="1" applyFont="1" applyFill="1" applyBorder="1" applyAlignment="1" applyProtection="1">
      <alignment horizontal="center" vertical="center" wrapText="1"/>
    </xf>
    <xf numFmtId="3" fontId="38" fillId="3" borderId="3" xfId="0" applyNumberFormat="1" applyFont="1" applyFill="1" applyBorder="1" applyAlignment="1" applyProtection="1">
      <alignment horizontal="center" vertical="center" wrapText="1"/>
    </xf>
    <xf numFmtId="3" fontId="38" fillId="3" borderId="7" xfId="0" applyNumberFormat="1" applyFont="1" applyFill="1" applyBorder="1" applyAlignment="1" applyProtection="1">
      <alignment horizontal="center" vertical="center" wrapText="1"/>
    </xf>
    <xf numFmtId="3" fontId="38" fillId="3" borderId="11" xfId="0" applyNumberFormat="1" applyFont="1" applyFill="1" applyBorder="1" applyAlignment="1" applyProtection="1">
      <alignment horizontal="center" vertical="center" wrapText="1"/>
    </xf>
    <xf numFmtId="3" fontId="38" fillId="3" borderId="15" xfId="0" applyNumberFormat="1" applyFont="1" applyFill="1" applyBorder="1" applyAlignment="1" applyProtection="1">
      <alignment horizontal="center" vertical="center" wrapText="1"/>
    </xf>
    <xf numFmtId="3" fontId="38" fillId="3" borderId="10" xfId="0" applyNumberFormat="1" applyFont="1" applyFill="1" applyBorder="1" applyAlignment="1" applyProtection="1">
      <alignment horizontal="center" vertical="center" wrapText="1"/>
    </xf>
    <xf numFmtId="3" fontId="38" fillId="3" borderId="0" xfId="0" applyNumberFormat="1" applyFont="1" applyFill="1" applyBorder="1" applyAlignment="1" applyProtection="1">
      <alignment horizontal="center" vertical="center" wrapText="1"/>
    </xf>
    <xf numFmtId="3" fontId="38" fillId="3" borderId="13" xfId="0" applyNumberFormat="1" applyFont="1" applyFill="1" applyBorder="1" applyAlignment="1" applyProtection="1">
      <alignment horizontal="center" vertical="center" wrapText="1"/>
    </xf>
    <xf numFmtId="3" fontId="38" fillId="3" borderId="2" xfId="0" applyNumberFormat="1" applyFont="1" applyFill="1" applyBorder="1" applyAlignment="1" applyProtection="1">
      <alignment horizontal="center" vertical="center" wrapText="1"/>
    </xf>
    <xf numFmtId="3" fontId="38" fillId="3" borderId="9" xfId="0" applyNumberFormat="1" applyFont="1" applyFill="1" applyBorder="1" applyAlignment="1" applyProtection="1">
      <alignment horizontal="center" vertical="center" wrapText="1"/>
    </xf>
    <xf numFmtId="3" fontId="38" fillId="3" borderId="14" xfId="0" applyNumberFormat="1" applyFont="1" applyFill="1" applyBorder="1" applyAlignment="1" applyProtection="1">
      <alignment horizontal="center" vertical="center" wrapText="1"/>
    </xf>
    <xf numFmtId="3" fontId="38" fillId="3" borderId="4" xfId="0" applyNumberFormat="1" applyFont="1" applyFill="1" applyBorder="1" applyAlignment="1" applyProtection="1">
      <alignment horizontal="center" vertical="center" wrapText="1"/>
    </xf>
    <xf numFmtId="3" fontId="38" fillId="3" borderId="8" xfId="0" applyNumberFormat="1" applyFont="1" applyFill="1" applyBorder="1" applyAlignment="1" applyProtection="1">
      <alignment horizontal="center" vertical="center" wrapText="1"/>
    </xf>
    <xf numFmtId="3" fontId="38" fillId="3" borderId="6" xfId="0" applyNumberFormat="1" applyFont="1" applyFill="1" applyBorder="1" applyAlignment="1" applyProtection="1">
      <alignment horizontal="center" vertical="center" wrapText="1"/>
    </xf>
    <xf numFmtId="196" fontId="39" fillId="0" borderId="9" xfId="4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3" fontId="13" fillId="3" borderId="5" xfId="0" applyNumberFormat="1" applyFont="1" applyFill="1" applyBorder="1" applyAlignment="1" applyProtection="1">
      <alignment horizontal="center" vertical="center"/>
    </xf>
    <xf numFmtId="3" fontId="13" fillId="3" borderId="12" xfId="0" applyNumberFormat="1" applyFont="1" applyFill="1" applyBorder="1" applyAlignment="1" applyProtection="1">
      <alignment horizontal="center" vertical="center"/>
    </xf>
    <xf numFmtId="3" fontId="13" fillId="3" borderId="3" xfId="0" applyNumberFormat="1" applyFont="1" applyFill="1" applyBorder="1" applyAlignment="1" applyProtection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wrapText="1"/>
    </xf>
    <xf numFmtId="3" fontId="13" fillId="3" borderId="12" xfId="0" applyNumberFormat="1" applyFont="1" applyFill="1" applyBorder="1" applyAlignment="1" applyProtection="1">
      <alignment horizontal="center" vertical="center" wrapText="1"/>
    </xf>
    <xf numFmtId="3" fontId="13" fillId="3" borderId="3" xfId="0" applyNumberFormat="1" applyFont="1" applyFill="1" applyBorder="1" applyAlignment="1" applyProtection="1">
      <alignment horizontal="center" vertical="center" wrapText="1"/>
    </xf>
    <xf numFmtId="3" fontId="13" fillId="3" borderId="4" xfId="0" applyNumberFormat="1" applyFont="1" applyFill="1" applyBorder="1" applyAlignment="1" applyProtection="1">
      <alignment horizontal="center" vertical="center" wrapText="1"/>
    </xf>
    <xf numFmtId="3" fontId="13" fillId="3" borderId="6" xfId="0" applyNumberFormat="1" applyFont="1" applyFill="1" applyBorder="1" applyAlignment="1" applyProtection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textRotation="90" wrapText="1"/>
    </xf>
    <xf numFmtId="3" fontId="13" fillId="3" borderId="3" xfId="0" applyNumberFormat="1" applyFont="1" applyFill="1" applyBorder="1" applyAlignment="1" applyProtection="1">
      <alignment horizontal="center" vertical="center" textRotation="90" wrapText="1"/>
    </xf>
    <xf numFmtId="3" fontId="42" fillId="3" borderId="4" xfId="0" applyNumberFormat="1" applyFont="1" applyFill="1" applyBorder="1" applyAlignment="1" applyProtection="1">
      <alignment horizontal="center" vertical="center" wrapText="1"/>
    </xf>
    <xf numFmtId="3" fontId="42" fillId="3" borderId="6" xfId="0" applyNumberFormat="1" applyFont="1" applyFill="1" applyBorder="1" applyAlignment="1" applyProtection="1">
      <alignment horizontal="center" vertical="center" wrapText="1"/>
    </xf>
    <xf numFmtId="3" fontId="42" fillId="3" borderId="8" xfId="0" applyNumberFormat="1" applyFont="1" applyFill="1" applyBorder="1" applyAlignment="1" applyProtection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42" fillId="3" borderId="7" xfId="0" applyNumberFormat="1" applyFont="1" applyFill="1" applyBorder="1" applyAlignment="1" applyProtection="1">
      <alignment horizontal="center" vertical="center" wrapText="1"/>
    </xf>
    <xf numFmtId="3" fontId="42" fillId="3" borderId="15" xfId="0" applyNumberFormat="1" applyFont="1" applyFill="1" applyBorder="1" applyAlignment="1" applyProtection="1">
      <alignment horizontal="center" vertical="center" wrapText="1"/>
    </xf>
    <xf numFmtId="3" fontId="42" fillId="3" borderId="2" xfId="0" applyNumberFormat="1" applyFont="1" applyFill="1" applyBorder="1" applyAlignment="1" applyProtection="1">
      <alignment horizontal="center" vertical="center" wrapText="1"/>
    </xf>
    <xf numFmtId="3" fontId="42" fillId="3" borderId="14" xfId="0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2" xfId="0" applyNumberFormat="1" applyFont="1" applyFill="1" applyBorder="1" applyAlignment="1" applyProtection="1">
      <alignment horizontal="center" vertical="center" wrapText="1"/>
    </xf>
    <xf numFmtId="3" fontId="42" fillId="3" borderId="3" xfId="0" applyNumberFormat="1" applyFont="1" applyFill="1" applyBorder="1" applyAlignment="1" applyProtection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</xf>
    <xf numFmtId="3" fontId="6" fillId="0" borderId="5" xfId="0" quotePrefix="1" applyNumberFormat="1" applyFont="1" applyFill="1" applyBorder="1" applyAlignment="1" applyProtection="1">
      <alignment horizontal="center" vertical="center"/>
    </xf>
    <xf numFmtId="3" fontId="6" fillId="0" borderId="3" xfId="0" quotePrefix="1" applyNumberFormat="1" applyFont="1" applyFill="1" applyBorder="1" applyAlignment="1" applyProtection="1">
      <alignment horizontal="center" vertical="center"/>
    </xf>
    <xf numFmtId="3" fontId="6" fillId="0" borderId="5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center" vertical="center"/>
    </xf>
    <xf numFmtId="3" fontId="6" fillId="0" borderId="5" xfId="0" applyNumberFormat="1" applyFont="1" applyFill="1" applyBorder="1" applyAlignment="1" applyProtection="1">
      <alignment horizontal="center" vertical="center" textRotation="90" wrapText="1"/>
    </xf>
    <xf numFmtId="3" fontId="6" fillId="0" borderId="3" xfId="0" applyNumberFormat="1" applyFont="1" applyFill="1" applyBorder="1" applyAlignment="1" applyProtection="1">
      <alignment horizontal="center" vertical="center" textRotation="90" wrapText="1"/>
    </xf>
    <xf numFmtId="3" fontId="28" fillId="0" borderId="4" xfId="0" applyNumberFormat="1" applyFont="1" applyFill="1" applyBorder="1" applyAlignment="1" applyProtection="1">
      <alignment horizontal="center" vertical="center" wrapText="1"/>
    </xf>
    <xf numFmtId="3" fontId="28" fillId="0" borderId="8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textRotation="90" wrapText="1"/>
    </xf>
    <xf numFmtId="3" fontId="41" fillId="3" borderId="12" xfId="0" applyNumberFormat="1" applyFont="1" applyFill="1" applyBorder="1" applyAlignment="1" applyProtection="1">
      <alignment horizontal="center" vertical="center" textRotation="90" wrapText="1"/>
    </xf>
    <xf numFmtId="3" fontId="41" fillId="3" borderId="3" xfId="0" applyNumberFormat="1" applyFont="1" applyFill="1" applyBorder="1" applyAlignment="1" applyProtection="1">
      <alignment horizontal="center" vertical="center" textRotation="90" wrapText="1"/>
    </xf>
    <xf numFmtId="3" fontId="50" fillId="3" borderId="4" xfId="0" applyNumberFormat="1" applyFont="1" applyFill="1" applyBorder="1" applyAlignment="1" applyProtection="1">
      <alignment horizontal="center" vertical="center" wrapText="1"/>
    </xf>
    <xf numFmtId="3" fontId="50" fillId="3" borderId="8" xfId="0" applyNumberFormat="1" applyFont="1" applyFill="1" applyBorder="1" applyAlignment="1" applyProtection="1">
      <alignment horizontal="center" vertical="center" wrapText="1"/>
    </xf>
    <xf numFmtId="3" fontId="50" fillId="3" borderId="6" xfId="0" applyNumberFormat="1" applyFont="1" applyFill="1" applyBorder="1" applyAlignment="1" applyProtection="1">
      <alignment horizontal="center" vertical="center" wrapText="1"/>
    </xf>
    <xf numFmtId="3" fontId="41" fillId="3" borderId="4" xfId="0" applyNumberFormat="1" applyFont="1" applyFill="1" applyBorder="1" applyAlignment="1" applyProtection="1">
      <alignment horizontal="center" vertical="center" textRotation="90" wrapText="1"/>
    </xf>
    <xf numFmtId="3" fontId="41" fillId="3" borderId="6" xfId="0" applyNumberFormat="1" applyFont="1" applyFill="1" applyBorder="1" applyAlignment="1" applyProtection="1">
      <alignment horizontal="center" vertical="center" textRotation="90" wrapText="1"/>
    </xf>
    <xf numFmtId="0" fontId="16" fillId="0" borderId="0" xfId="0" applyFont="1" applyAlignment="1">
      <alignment horizontal="left" indent="1"/>
    </xf>
    <xf numFmtId="3" fontId="3" fillId="0" borderId="9" xfId="0" applyNumberFormat="1" applyFont="1" applyBorder="1" applyAlignment="1" applyProtection="1">
      <alignment horizontal="center"/>
    </xf>
    <xf numFmtId="0" fontId="36" fillId="0" borderId="0" xfId="0" applyFont="1" applyAlignment="1" applyProtection="1">
      <alignment horizontal="center" vertical="center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3" fontId="41" fillId="3" borderId="12" xfId="0" applyNumberFormat="1" applyFont="1" applyFill="1" applyBorder="1" applyAlignment="1" applyProtection="1">
      <alignment horizontal="center" vertical="center" wrapText="1"/>
    </xf>
    <xf numFmtId="3" fontId="41" fillId="3" borderId="3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 applyProtection="1">
      <alignment horizontal="center"/>
    </xf>
    <xf numFmtId="3" fontId="41" fillId="3" borderId="4" xfId="0" applyNumberFormat="1" applyFont="1" applyFill="1" applyBorder="1" applyAlignment="1" applyProtection="1">
      <alignment horizontal="center" vertical="center" wrapText="1"/>
    </xf>
    <xf numFmtId="3" fontId="41" fillId="3" borderId="6" xfId="0" applyNumberFormat="1" applyFont="1" applyFill="1" applyBorder="1" applyAlignment="1" applyProtection="1">
      <alignment horizontal="center" vertical="center" wrapText="1"/>
    </xf>
    <xf numFmtId="3" fontId="41" fillId="3" borderId="7" xfId="0" applyNumberFormat="1" applyFont="1" applyFill="1" applyBorder="1" applyAlignment="1" applyProtection="1">
      <alignment horizontal="center" vertical="center" wrapText="1"/>
    </xf>
    <xf numFmtId="3" fontId="41" fillId="3" borderId="15" xfId="0" applyNumberFormat="1" applyFont="1" applyFill="1" applyBorder="1" applyAlignment="1" applyProtection="1">
      <alignment horizontal="center" vertical="center" wrapText="1"/>
    </xf>
    <xf numFmtId="3" fontId="41" fillId="3" borderId="2" xfId="0" applyNumberFormat="1" applyFont="1" applyFill="1" applyBorder="1" applyAlignment="1" applyProtection="1">
      <alignment horizontal="center" vertical="center" wrapText="1"/>
    </xf>
    <xf numFmtId="3" fontId="41" fillId="3" borderId="14" xfId="0" applyNumberFormat="1" applyFont="1" applyFill="1" applyBorder="1" applyAlignment="1" applyProtection="1">
      <alignment horizontal="center" vertical="center" wrapText="1"/>
    </xf>
    <xf numFmtId="3" fontId="6" fillId="0" borderId="4" xfId="0" applyNumberFormat="1" applyFont="1" applyBorder="1" applyAlignment="1" applyProtection="1">
      <alignment horizontal="left" vertical="center" wrapText="1" indent="1"/>
    </xf>
    <xf numFmtId="3" fontId="6" fillId="0" borderId="8" xfId="0" applyNumberFormat="1" applyFont="1" applyBorder="1" applyAlignment="1" applyProtection="1">
      <alignment horizontal="left" vertical="center" wrapText="1" indent="1"/>
    </xf>
    <xf numFmtId="3" fontId="6" fillId="0" borderId="6" xfId="0" applyNumberFormat="1" applyFont="1" applyBorder="1" applyAlignment="1" applyProtection="1">
      <alignment horizontal="left" vertical="center" wrapText="1" indent="1"/>
    </xf>
    <xf numFmtId="3" fontId="6" fillId="0" borderId="4" xfId="0" applyNumberFormat="1" applyFont="1" applyBorder="1" applyAlignment="1" applyProtection="1">
      <alignment horizontal="left" wrapText="1" indent="2"/>
    </xf>
    <xf numFmtId="3" fontId="6" fillId="0" borderId="8" xfId="0" applyNumberFormat="1" applyFont="1" applyBorder="1" applyAlignment="1" applyProtection="1">
      <alignment horizontal="left" wrapText="1" indent="2"/>
    </xf>
    <xf numFmtId="3" fontId="6" fillId="0" borderId="6" xfId="0" applyNumberFormat="1" applyFont="1" applyBorder="1" applyAlignment="1" applyProtection="1">
      <alignment horizontal="left" wrapText="1" indent="2"/>
    </xf>
    <xf numFmtId="3" fontId="5" fillId="0" borderId="0" xfId="0" applyNumberFormat="1" applyFont="1" applyAlignment="1" applyProtection="1">
      <alignment horizontal="center" vertical="center" wrapText="1"/>
    </xf>
    <xf numFmtId="14" fontId="41" fillId="3" borderId="5" xfId="0" applyNumberFormat="1" applyFont="1" applyFill="1" applyBorder="1" applyAlignment="1" applyProtection="1">
      <alignment horizontal="center" vertical="center" wrapText="1"/>
    </xf>
    <xf numFmtId="14" fontId="41" fillId="3" borderId="12" xfId="0" applyNumberFormat="1" applyFont="1" applyFill="1" applyBorder="1" applyAlignment="1" applyProtection="1">
      <alignment horizontal="center" vertical="center" wrapText="1"/>
    </xf>
    <xf numFmtId="14" fontId="41" fillId="3" borderId="3" xfId="0" applyNumberFormat="1" applyFont="1" applyFill="1" applyBorder="1" applyAlignment="1" applyProtection="1">
      <alignment horizontal="center" vertical="center" wrapText="1"/>
    </xf>
    <xf numFmtId="3" fontId="41" fillId="3" borderId="8" xfId="0" applyNumberFormat="1" applyFont="1" applyFill="1" applyBorder="1" applyAlignment="1" applyProtection="1">
      <alignment horizontal="center" vertical="center" wrapText="1"/>
    </xf>
    <xf numFmtId="3" fontId="41" fillId="3" borderId="10" xfId="0" applyNumberFormat="1" applyFont="1" applyFill="1" applyBorder="1" applyAlignment="1" applyProtection="1">
      <alignment horizontal="center" vertical="center" wrapText="1"/>
    </xf>
    <xf numFmtId="3" fontId="41" fillId="3" borderId="13" xfId="0" applyNumberFormat="1" applyFont="1" applyFill="1" applyBorder="1" applyAlignment="1" applyProtection="1">
      <alignment horizontal="center" vertical="center" wrapText="1"/>
    </xf>
    <xf numFmtId="3" fontId="41" fillId="3" borderId="9" xfId="0" applyNumberFormat="1" applyFont="1" applyFill="1" applyBorder="1" applyAlignment="1" applyProtection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6" fillId="3" borderId="3" xfId="0" applyNumberFormat="1" applyFont="1" applyFill="1" applyBorder="1" applyAlignment="1" applyProtection="1">
      <alignment horizontal="center" vertical="center" wrapText="1"/>
    </xf>
    <xf numFmtId="0" fontId="39" fillId="0" borderId="0" xfId="5" applyNumberFormat="1" applyFont="1" applyFill="1" applyBorder="1" applyAlignment="1" applyProtection="1">
      <alignment horizontal="center" vertical="center" wrapText="1"/>
    </xf>
    <xf numFmtId="0" fontId="14" fillId="0" borderId="0" xfId="5" applyNumberFormat="1" applyFont="1" applyFill="1" applyBorder="1" applyAlignment="1" applyProtection="1">
      <alignment horizontal="center" vertical="center"/>
    </xf>
    <xf numFmtId="3" fontId="16" fillId="3" borderId="7" xfId="0" applyNumberFormat="1" applyFont="1" applyFill="1" applyBorder="1" applyAlignment="1" applyProtection="1">
      <alignment horizontal="center" vertical="center" wrapText="1"/>
    </xf>
    <xf numFmtId="3" fontId="16" fillId="3" borderId="15" xfId="0" applyNumberFormat="1" applyFont="1" applyFill="1" applyBorder="1" applyAlignment="1" applyProtection="1">
      <alignment horizontal="center" vertical="center" wrapText="1"/>
    </xf>
    <xf numFmtId="3" fontId="16" fillId="3" borderId="2" xfId="0" applyNumberFormat="1" applyFont="1" applyFill="1" applyBorder="1" applyAlignment="1" applyProtection="1">
      <alignment horizontal="center" vertical="center" wrapText="1"/>
    </xf>
    <xf numFmtId="3" fontId="16" fillId="3" borderId="14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16" fillId="3" borderId="8" xfId="0" applyNumberFormat="1" applyFont="1" applyFill="1" applyBorder="1" applyAlignment="1" applyProtection="1">
      <alignment horizontal="center" vertical="center" wrapText="1"/>
    </xf>
    <xf numFmtId="3" fontId="16" fillId="3" borderId="6" xfId="0" applyNumberFormat="1" applyFont="1" applyFill="1" applyBorder="1" applyAlignment="1" applyProtection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wrapText="1"/>
      <protection locked="0"/>
    </xf>
    <xf numFmtId="0" fontId="22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center" vertical="center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0" fontId="108" fillId="0" borderId="0" xfId="9" applyNumberFormat="1" applyFont="1" applyFill="1" applyBorder="1" applyAlignment="1" applyProtection="1">
      <alignment horizontal="center" vertical="center" wrapText="1"/>
    </xf>
    <xf numFmtId="3" fontId="35" fillId="3" borderId="5" xfId="0" applyNumberFormat="1" applyFont="1" applyFill="1" applyBorder="1" applyAlignment="1" applyProtection="1">
      <alignment horizontal="center" vertical="center" wrapText="1"/>
    </xf>
    <xf numFmtId="3" fontId="35" fillId="3" borderId="12" xfId="0" applyNumberFormat="1" applyFont="1" applyFill="1" applyBorder="1" applyAlignment="1" applyProtection="1">
      <alignment horizontal="center" vertical="center" wrapText="1"/>
    </xf>
    <xf numFmtId="3" fontId="35" fillId="3" borderId="3" xfId="0" applyNumberFormat="1" applyFont="1" applyFill="1" applyBorder="1" applyAlignment="1" applyProtection="1">
      <alignment horizontal="center" vertical="center" wrapText="1"/>
    </xf>
    <xf numFmtId="3" fontId="35" fillId="3" borderId="7" xfId="0" applyNumberFormat="1" applyFont="1" applyFill="1" applyBorder="1" applyAlignment="1" applyProtection="1">
      <alignment horizontal="center" vertical="center" wrapText="1"/>
    </xf>
    <xf numFmtId="3" fontId="35" fillId="3" borderId="11" xfId="0" applyNumberFormat="1" applyFont="1" applyFill="1" applyBorder="1" applyAlignment="1" applyProtection="1">
      <alignment horizontal="center" vertical="center" wrapText="1"/>
    </xf>
    <xf numFmtId="3" fontId="35" fillId="3" borderId="15" xfId="0" applyNumberFormat="1" applyFont="1" applyFill="1" applyBorder="1" applyAlignment="1" applyProtection="1">
      <alignment horizontal="center" vertical="center" wrapText="1"/>
    </xf>
    <xf numFmtId="3" fontId="35" fillId="3" borderId="2" xfId="0" applyNumberFormat="1" applyFont="1" applyFill="1" applyBorder="1" applyAlignment="1" applyProtection="1">
      <alignment horizontal="center" vertical="center" wrapText="1"/>
    </xf>
    <xf numFmtId="3" fontId="35" fillId="3" borderId="9" xfId="0" applyNumberFormat="1" applyFont="1" applyFill="1" applyBorder="1" applyAlignment="1" applyProtection="1">
      <alignment horizontal="center" vertical="center" wrapText="1"/>
    </xf>
    <xf numFmtId="3" fontId="35" fillId="3" borderId="14" xfId="0" applyNumberFormat="1" applyFont="1" applyFill="1" applyBorder="1" applyAlignment="1" applyProtection="1">
      <alignment horizontal="center" vertical="center" wrapText="1"/>
    </xf>
    <xf numFmtId="3" fontId="35" fillId="3" borderId="4" xfId="0" applyNumberFormat="1" applyFont="1" applyFill="1" applyBorder="1" applyAlignment="1" applyProtection="1">
      <alignment horizontal="center" vertical="center" wrapText="1"/>
    </xf>
    <xf numFmtId="3" fontId="35" fillId="3" borderId="8" xfId="0" applyNumberFormat="1" applyFont="1" applyFill="1" applyBorder="1" applyAlignment="1" applyProtection="1">
      <alignment horizontal="center" vertical="center" wrapText="1"/>
    </xf>
    <xf numFmtId="3" fontId="35" fillId="3" borderId="6" xfId="0" applyNumberFormat="1" applyFont="1" applyFill="1" applyBorder="1" applyAlignment="1" applyProtection="1">
      <alignment horizontal="center" vertical="center" wrapText="1"/>
    </xf>
    <xf numFmtId="196" fontId="3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169" fontId="8" fillId="0" borderId="5" xfId="0" applyNumberFormat="1" applyFont="1" applyBorder="1" applyAlignment="1" applyProtection="1">
      <alignment horizontal="center" vertical="center"/>
    </xf>
    <xf numFmtId="169" fontId="3" fillId="0" borderId="12" xfId="0" applyNumberFormat="1" applyFont="1" applyBorder="1" applyAlignment="1" applyProtection="1">
      <alignment horizontal="center" vertical="center"/>
    </xf>
    <xf numFmtId="0" fontId="106" fillId="0" borderId="7" xfId="0" applyFont="1" applyBorder="1" applyAlignment="1" applyProtection="1">
      <alignment horizontal="center" vertical="center"/>
    </xf>
    <xf numFmtId="0" fontId="106" fillId="0" borderId="11" xfId="0" applyFont="1" applyBorder="1" applyAlignment="1" applyProtection="1">
      <alignment horizontal="center" vertical="center"/>
    </xf>
    <xf numFmtId="0" fontId="106" fillId="0" borderId="1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169" fontId="8" fillId="0" borderId="1" xfId="0" applyNumberFormat="1" applyFont="1" applyFill="1" applyBorder="1" applyAlignment="1" applyProtection="1">
      <alignment horizontal="center" vertical="center"/>
    </xf>
    <xf numFmtId="169" fontId="3" fillId="0" borderId="1" xfId="0" applyNumberFormat="1" applyFont="1" applyFill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49" fontId="3" fillId="0" borderId="5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106" fillId="0" borderId="4" xfId="0" applyFont="1" applyBorder="1" applyAlignment="1" applyProtection="1">
      <alignment horizontal="center" vertical="center" wrapText="1"/>
    </xf>
    <xf numFmtId="0" fontId="106" fillId="0" borderId="8" xfId="0" applyFont="1" applyBorder="1" applyAlignment="1" applyProtection="1">
      <alignment horizontal="center" vertical="center" wrapText="1"/>
    </xf>
    <xf numFmtId="0" fontId="106" fillId="0" borderId="6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106" fillId="0" borderId="4" xfId="0" applyFont="1" applyBorder="1" applyAlignment="1" applyProtection="1">
      <alignment horizontal="center" vertical="center"/>
    </xf>
    <xf numFmtId="0" fontId="106" fillId="0" borderId="8" xfId="0" applyFont="1" applyBorder="1" applyAlignment="1" applyProtection="1">
      <alignment horizontal="center" vertical="center"/>
    </xf>
    <xf numFmtId="0" fontId="106" fillId="0" borderId="6" xfId="0" applyFont="1" applyBorder="1" applyAlignment="1" applyProtection="1">
      <alignment horizontal="center" vertical="center"/>
    </xf>
    <xf numFmtId="0" fontId="106" fillId="0" borderId="7" xfId="0" applyFont="1" applyBorder="1" applyAlignment="1" applyProtection="1">
      <alignment horizontal="center"/>
    </xf>
    <xf numFmtId="0" fontId="106" fillId="0" borderId="11" xfId="0" applyFont="1" applyBorder="1" applyAlignment="1" applyProtection="1">
      <alignment horizontal="center"/>
    </xf>
    <xf numFmtId="0" fontId="106" fillId="0" borderId="15" xfId="0" applyFont="1" applyBorder="1" applyAlignment="1" applyProtection="1">
      <alignment horizontal="center"/>
    </xf>
    <xf numFmtId="0" fontId="106" fillId="0" borderId="7" xfId="0" applyFont="1" applyBorder="1" applyAlignment="1" applyProtection="1">
      <alignment horizontal="center" vertical="center" wrapText="1"/>
    </xf>
    <xf numFmtId="0" fontId="106" fillId="0" borderId="11" xfId="0" quotePrefix="1" applyFont="1" applyBorder="1" applyAlignment="1" applyProtection="1">
      <alignment horizontal="center" vertical="center" wrapText="1"/>
    </xf>
    <xf numFmtId="0" fontId="106" fillId="0" borderId="15" xfId="0" quotePrefix="1" applyFont="1" applyBorder="1" applyAlignment="1" applyProtection="1">
      <alignment horizontal="center" vertical="center" wrapText="1"/>
    </xf>
    <xf numFmtId="0" fontId="106" fillId="0" borderId="4" xfId="0" applyFont="1" applyBorder="1" applyAlignment="1" applyProtection="1">
      <alignment horizontal="center"/>
    </xf>
    <xf numFmtId="0" fontId="106" fillId="0" borderId="8" xfId="0" applyFont="1" applyBorder="1" applyAlignment="1" applyProtection="1">
      <alignment horizontal="center"/>
    </xf>
    <xf numFmtId="0" fontId="106" fillId="0" borderId="6" xfId="0" applyFont="1" applyBorder="1" applyAlignment="1" applyProtection="1">
      <alignment horizontal="center"/>
    </xf>
    <xf numFmtId="49" fontId="3" fillId="0" borderId="5" xfId="0" applyNumberFormat="1" applyFont="1" applyFill="1" applyBorder="1" applyAlignment="1" applyProtection="1">
      <alignment horizontal="center" vertical="center"/>
    </xf>
    <xf numFmtId="49" fontId="3" fillId="0" borderId="12" xfId="0" applyNumberFormat="1" applyFont="1" applyFill="1" applyBorder="1" applyAlignment="1" applyProtection="1">
      <alignment horizontal="center" vertical="center"/>
    </xf>
    <xf numFmtId="49" fontId="3" fillId="0" borderId="3" xfId="0" applyNumberFormat="1" applyFont="1" applyFill="1" applyBorder="1" applyAlignment="1" applyProtection="1">
      <alignment horizontal="center" vertical="center"/>
    </xf>
    <xf numFmtId="0" fontId="106" fillId="0" borderId="7" xfId="0" quotePrefix="1" applyFont="1" applyFill="1" applyBorder="1" applyAlignment="1" applyProtection="1">
      <alignment horizontal="center" vertical="center" wrapText="1"/>
    </xf>
    <xf numFmtId="0" fontId="106" fillId="0" borderId="11" xfId="0" quotePrefix="1" applyFont="1" applyFill="1" applyBorder="1" applyAlignment="1" applyProtection="1">
      <alignment horizontal="center" vertical="center" wrapText="1"/>
    </xf>
    <xf numFmtId="0" fontId="106" fillId="0" borderId="15" xfId="0" quotePrefix="1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169" fontId="8" fillId="0" borderId="5" xfId="0" applyNumberFormat="1" applyFont="1" applyFill="1" applyBorder="1" applyAlignment="1" applyProtection="1">
      <alignment horizontal="center" vertical="center"/>
    </xf>
    <xf numFmtId="169" fontId="3" fillId="0" borderId="3" xfId="0" applyNumberFormat="1" applyFont="1" applyFill="1" applyBorder="1" applyAlignment="1" applyProtection="1">
      <alignment horizontal="center" vertical="center"/>
    </xf>
    <xf numFmtId="0" fontId="0" fillId="0" borderId="3" xfId="0" applyFont="1" applyBorder="1" applyProtection="1"/>
    <xf numFmtId="0" fontId="6" fillId="0" borderId="4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0" fontId="106" fillId="0" borderId="7" xfId="0" applyFont="1" applyFill="1" applyBorder="1" applyAlignment="1" applyProtection="1">
      <alignment horizontal="center" vertical="center" wrapText="1"/>
    </xf>
    <xf numFmtId="0" fontId="106" fillId="0" borderId="10" xfId="0" quotePrefix="1" applyFont="1" applyFill="1" applyBorder="1" applyAlignment="1" applyProtection="1">
      <alignment horizontal="center" vertical="center" wrapText="1"/>
    </xf>
    <xf numFmtId="0" fontId="106" fillId="0" borderId="0" xfId="0" quotePrefix="1" applyFont="1" applyFill="1" applyBorder="1" applyAlignment="1" applyProtection="1">
      <alignment horizontal="center" vertical="center" wrapText="1"/>
    </xf>
    <xf numFmtId="0" fontId="106" fillId="0" borderId="2" xfId="0" quotePrefix="1" applyFont="1" applyFill="1" applyBorder="1" applyAlignment="1" applyProtection="1">
      <alignment horizontal="center" vertical="center" wrapText="1"/>
    </xf>
    <xf numFmtId="0" fontId="106" fillId="0" borderId="9" xfId="0" quotePrefix="1" applyFont="1" applyFill="1" applyBorder="1" applyAlignment="1" applyProtection="1">
      <alignment horizontal="center" vertical="center" wrapText="1"/>
    </xf>
    <xf numFmtId="0" fontId="106" fillId="0" borderId="11" xfId="0" applyFont="1" applyFill="1" applyBorder="1" applyAlignment="1" applyProtection="1">
      <alignment horizontal="center" vertical="center" wrapText="1"/>
    </xf>
    <xf numFmtId="169" fontId="8" fillId="0" borderId="5" xfId="0" applyNumberFormat="1" applyFont="1" applyFill="1" applyBorder="1" applyAlignment="1" applyProtection="1">
      <alignment horizontal="center" vertical="center"/>
      <protection locked="0"/>
    </xf>
    <xf numFmtId="169" fontId="3" fillId="0" borderId="3" xfId="0" applyNumberFormat="1" applyFont="1" applyFill="1" applyBorder="1" applyAlignment="1" applyProtection="1">
      <alignment horizontal="center" vertical="center"/>
      <protection locked="0"/>
    </xf>
    <xf numFmtId="0" fontId="106" fillId="0" borderId="4" xfId="0" applyFont="1" applyFill="1" applyBorder="1" applyAlignment="1" applyProtection="1">
      <alignment horizontal="center" vertical="center"/>
    </xf>
    <xf numFmtId="0" fontId="106" fillId="0" borderId="8" xfId="0" applyFont="1" applyFill="1" applyBorder="1" applyAlignment="1" applyProtection="1">
      <alignment horizontal="center" vertical="center"/>
    </xf>
    <xf numFmtId="0" fontId="106" fillId="0" borderId="6" xfId="0" applyFont="1" applyFill="1" applyBorder="1" applyAlignment="1" applyProtection="1">
      <alignment horizontal="center" vertical="center"/>
    </xf>
    <xf numFmtId="0" fontId="106" fillId="0" borderId="10" xfId="0" applyFont="1" applyFill="1" applyBorder="1" applyAlignment="1" applyProtection="1">
      <alignment horizontal="center" vertical="center" wrapText="1"/>
    </xf>
    <xf numFmtId="0" fontId="106" fillId="0" borderId="13" xfId="0" quotePrefix="1" applyFont="1" applyFill="1" applyBorder="1" applyAlignment="1" applyProtection="1">
      <alignment horizontal="center" vertical="center" wrapText="1"/>
    </xf>
    <xf numFmtId="0" fontId="106" fillId="0" borderId="4" xfId="0" applyFont="1" applyFill="1" applyBorder="1" applyAlignment="1" applyProtection="1">
      <alignment horizontal="center" vertical="center" wrapText="1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169" fontId="3" fillId="0" borderId="12" xfId="0" applyNumberFormat="1" applyFont="1" applyFill="1" applyBorder="1" applyAlignment="1" applyProtection="1">
      <alignment horizontal="center" vertical="center"/>
    </xf>
    <xf numFmtId="0" fontId="106" fillId="0" borderId="8" xfId="0" applyFont="1" applyFill="1" applyBorder="1" applyAlignment="1" applyProtection="1">
      <alignment horizontal="center" vertical="center" wrapText="1"/>
    </xf>
    <xf numFmtId="0" fontId="106" fillId="0" borderId="6" xfId="0" applyFont="1" applyFill="1" applyBorder="1" applyAlignment="1" applyProtection="1">
      <alignment horizontal="center" vertical="center" wrapText="1"/>
    </xf>
    <xf numFmtId="0" fontId="106" fillId="0" borderId="1" xfId="0" applyFont="1" applyFill="1" applyBorder="1" applyAlignment="1" applyProtection="1">
      <alignment horizontal="center" vertical="center" wrapText="1"/>
    </xf>
    <xf numFmtId="0" fontId="106" fillId="0" borderId="9" xfId="0" applyFont="1" applyFill="1" applyBorder="1" applyAlignment="1" applyProtection="1">
      <alignment horizontal="center" vertical="center" wrapText="1"/>
    </xf>
    <xf numFmtId="0" fontId="106" fillId="0" borderId="14" xfId="0" applyFont="1" applyFill="1" applyBorder="1" applyAlignment="1" applyProtection="1">
      <alignment horizontal="center" vertical="center" wrapText="1"/>
    </xf>
    <xf numFmtId="169" fontId="8" fillId="0" borderId="3" xfId="0" applyNumberFormat="1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wrapText="1"/>
    </xf>
    <xf numFmtId="0" fontId="106" fillId="0" borderId="4" xfId="0" quotePrefix="1" applyFont="1" applyFill="1" applyBorder="1" applyAlignment="1" applyProtection="1">
      <alignment horizontal="center" vertical="center" wrapText="1"/>
    </xf>
    <xf numFmtId="0" fontId="106" fillId="0" borderId="8" xfId="0" quotePrefix="1" applyFont="1" applyFill="1" applyBorder="1" applyAlignment="1" applyProtection="1">
      <alignment horizontal="center" vertical="center" wrapText="1"/>
    </xf>
    <xf numFmtId="0" fontId="106" fillId="0" borderId="6" xfId="0" quotePrefix="1" applyFont="1" applyFill="1" applyBorder="1" applyAlignment="1" applyProtection="1">
      <alignment horizontal="center" vertical="center" wrapText="1"/>
    </xf>
    <xf numFmtId="0" fontId="99" fillId="0" borderId="0" xfId="0" applyFont="1" applyFill="1" applyBorder="1" applyAlignment="1" applyProtection="1">
      <alignment horizontal="center" vertical="center" wrapText="1"/>
    </xf>
  </cellXfs>
  <cellStyles count="1291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0" xfId="740" xr:uid="{00000000-0005-0000-0000-00001D030000}"/>
    <cellStyle name="Обычный 30 2" xfId="741" xr:uid="{00000000-0005-0000-0000-00001E030000}"/>
    <cellStyle name="Обычный 31" xfId="742" xr:uid="{00000000-0005-0000-0000-00001F030000}"/>
    <cellStyle name="Обычный 31 2" xfId="743" xr:uid="{00000000-0005-0000-0000-000020030000}"/>
    <cellStyle name="Обычный 32" xfId="744" xr:uid="{00000000-0005-0000-0000-000021030000}"/>
    <cellStyle name="Обычный 32 2" xfId="745" xr:uid="{00000000-0005-0000-0000-000022030000}"/>
    <cellStyle name="Обычный 33" xfId="746" xr:uid="{00000000-0005-0000-0000-000023030000}"/>
    <cellStyle name="Обычный 33 2" xfId="747" xr:uid="{00000000-0005-0000-0000-000024030000}"/>
    <cellStyle name="Обычный 34" xfId="748" xr:uid="{00000000-0005-0000-0000-000025030000}"/>
    <cellStyle name="Обычный 34 2" xfId="749" xr:uid="{00000000-0005-0000-0000-000026030000}"/>
    <cellStyle name="Обычный 35" xfId="750" xr:uid="{00000000-0005-0000-0000-000027030000}"/>
    <cellStyle name="Обычный 35 10" xfId="751" xr:uid="{00000000-0005-0000-0000-000028030000}"/>
    <cellStyle name="Обычный 35 11" xfId="752" xr:uid="{00000000-0005-0000-0000-000029030000}"/>
    <cellStyle name="Обычный 35 12" xfId="753" xr:uid="{00000000-0005-0000-0000-00002A030000}"/>
    <cellStyle name="Обычный 35 13" xfId="754" xr:uid="{00000000-0005-0000-0000-00002B030000}"/>
    <cellStyle name="Обычный 35 14" xfId="755" xr:uid="{00000000-0005-0000-0000-00002C030000}"/>
    <cellStyle name="Обычный 35 15" xfId="756" xr:uid="{00000000-0005-0000-0000-00002D030000}"/>
    <cellStyle name="Обычный 35 16" xfId="757" xr:uid="{00000000-0005-0000-0000-00002E030000}"/>
    <cellStyle name="Обычный 35 17" xfId="758" xr:uid="{00000000-0005-0000-0000-00002F030000}"/>
    <cellStyle name="Обычный 35 18" xfId="759" xr:uid="{00000000-0005-0000-0000-000030030000}"/>
    <cellStyle name="Обычный 35 19" xfId="760" xr:uid="{00000000-0005-0000-0000-000031030000}"/>
    <cellStyle name="Обычный 35 2" xfId="761" xr:uid="{00000000-0005-0000-0000-000032030000}"/>
    <cellStyle name="Обычный 35 2 2" xfId="762" xr:uid="{00000000-0005-0000-0000-000033030000}"/>
    <cellStyle name="Обычный 35 20" xfId="763" xr:uid="{00000000-0005-0000-0000-000034030000}"/>
    <cellStyle name="Обычный 35 21" xfId="764" xr:uid="{00000000-0005-0000-0000-000035030000}"/>
    <cellStyle name="Обычный 35 22" xfId="765" xr:uid="{00000000-0005-0000-0000-000036030000}"/>
    <cellStyle name="Обычный 35 23" xfId="766" xr:uid="{00000000-0005-0000-0000-000037030000}"/>
    <cellStyle name="Обычный 35 24" xfId="767" xr:uid="{00000000-0005-0000-0000-000038030000}"/>
    <cellStyle name="Обычный 35 25" xfId="768" xr:uid="{00000000-0005-0000-0000-000039030000}"/>
    <cellStyle name="Обычный 35 26" xfId="769" xr:uid="{00000000-0005-0000-0000-00003A030000}"/>
    <cellStyle name="Обычный 35 27" xfId="770" xr:uid="{00000000-0005-0000-0000-00003B030000}"/>
    <cellStyle name="Обычный 35 28" xfId="771" xr:uid="{00000000-0005-0000-0000-00003C030000}"/>
    <cellStyle name="Обычный 35 29" xfId="772" xr:uid="{00000000-0005-0000-0000-00003D030000}"/>
    <cellStyle name="Обычный 35 3" xfId="773" xr:uid="{00000000-0005-0000-0000-00003E030000}"/>
    <cellStyle name="Обычный 35 30" xfId="774" xr:uid="{00000000-0005-0000-0000-00003F030000}"/>
    <cellStyle name="Обычный 35 31" xfId="775" xr:uid="{00000000-0005-0000-0000-000040030000}"/>
    <cellStyle name="Обычный 35 4" xfId="776" xr:uid="{00000000-0005-0000-0000-000041030000}"/>
    <cellStyle name="Обычный 35 5" xfId="777" xr:uid="{00000000-0005-0000-0000-000042030000}"/>
    <cellStyle name="Обычный 35 6" xfId="778" xr:uid="{00000000-0005-0000-0000-000043030000}"/>
    <cellStyle name="Обычный 35 7" xfId="779" xr:uid="{00000000-0005-0000-0000-000044030000}"/>
    <cellStyle name="Обычный 35 8" xfId="780" xr:uid="{00000000-0005-0000-0000-000045030000}"/>
    <cellStyle name="Обычный 35 9" xfId="781" xr:uid="{00000000-0005-0000-0000-000046030000}"/>
    <cellStyle name="Обычный 36" xfId="782" xr:uid="{00000000-0005-0000-0000-000047030000}"/>
    <cellStyle name="Обычный 36 2" xfId="783" xr:uid="{00000000-0005-0000-0000-000048030000}"/>
    <cellStyle name="Обычный 37" xfId="784" xr:uid="{00000000-0005-0000-0000-000049030000}"/>
    <cellStyle name="Обычный 37 2" xfId="785" xr:uid="{00000000-0005-0000-0000-00004A030000}"/>
    <cellStyle name="Обычный 38" xfId="786" xr:uid="{00000000-0005-0000-0000-00004B030000}"/>
    <cellStyle name="Обычный 38 2" xfId="787" xr:uid="{00000000-0005-0000-0000-00004C030000}"/>
    <cellStyle name="Обычный 39" xfId="788" xr:uid="{00000000-0005-0000-0000-00004D030000}"/>
    <cellStyle name="Обычный 39 2" xfId="789" xr:uid="{00000000-0005-0000-0000-00004E030000}"/>
    <cellStyle name="Обычный 4" xfId="6" xr:uid="{00000000-0005-0000-0000-00004F030000}"/>
    <cellStyle name="Обычный 4 2" xfId="4" xr:uid="{00000000-0005-0000-0000-000050030000}"/>
    <cellStyle name="Обычный 4 2 2" xfId="790" xr:uid="{00000000-0005-0000-0000-000051030000}"/>
    <cellStyle name="Обычный 4 2 3" xfId="791" xr:uid="{00000000-0005-0000-0000-000052030000}"/>
    <cellStyle name="Обычный 4 3" xfId="792" xr:uid="{00000000-0005-0000-0000-000053030000}"/>
    <cellStyle name="Обычный 4 3 2" xfId="793" xr:uid="{00000000-0005-0000-0000-000054030000}"/>
    <cellStyle name="Обычный 4 4" xfId="794" xr:uid="{00000000-0005-0000-0000-000055030000}"/>
    <cellStyle name="Обычный 4 4 2" xfId="795" xr:uid="{00000000-0005-0000-0000-000056030000}"/>
    <cellStyle name="Обычный 4 5" xfId="796" xr:uid="{00000000-0005-0000-0000-000057030000}"/>
    <cellStyle name="Обычный 40" xfId="797" xr:uid="{00000000-0005-0000-0000-000058030000}"/>
    <cellStyle name="Обычный 40 10" xfId="798" xr:uid="{00000000-0005-0000-0000-000059030000}"/>
    <cellStyle name="Обычный 40 11" xfId="799" xr:uid="{00000000-0005-0000-0000-00005A030000}"/>
    <cellStyle name="Обычный 40 12" xfId="800" xr:uid="{00000000-0005-0000-0000-00005B030000}"/>
    <cellStyle name="Обычный 40 13" xfId="801" xr:uid="{00000000-0005-0000-0000-00005C030000}"/>
    <cellStyle name="Обычный 40 14" xfId="802" xr:uid="{00000000-0005-0000-0000-00005D030000}"/>
    <cellStyle name="Обычный 40 15" xfId="803" xr:uid="{00000000-0005-0000-0000-00005E030000}"/>
    <cellStyle name="Обычный 40 16" xfId="804" xr:uid="{00000000-0005-0000-0000-00005F030000}"/>
    <cellStyle name="Обычный 40 17" xfId="805" xr:uid="{00000000-0005-0000-0000-000060030000}"/>
    <cellStyle name="Обычный 40 18" xfId="806" xr:uid="{00000000-0005-0000-0000-000061030000}"/>
    <cellStyle name="Обычный 40 19" xfId="807" xr:uid="{00000000-0005-0000-0000-000062030000}"/>
    <cellStyle name="Обычный 40 2" xfId="808" xr:uid="{00000000-0005-0000-0000-000063030000}"/>
    <cellStyle name="Обычный 40 2 2" xfId="809" xr:uid="{00000000-0005-0000-0000-000064030000}"/>
    <cellStyle name="Обычный 40 20" xfId="810" xr:uid="{00000000-0005-0000-0000-000065030000}"/>
    <cellStyle name="Обычный 40 21" xfId="811" xr:uid="{00000000-0005-0000-0000-000066030000}"/>
    <cellStyle name="Обычный 40 22" xfId="812" xr:uid="{00000000-0005-0000-0000-000067030000}"/>
    <cellStyle name="Обычный 40 23" xfId="813" xr:uid="{00000000-0005-0000-0000-000068030000}"/>
    <cellStyle name="Обычный 40 24" xfId="814" xr:uid="{00000000-0005-0000-0000-000069030000}"/>
    <cellStyle name="Обычный 40 25" xfId="815" xr:uid="{00000000-0005-0000-0000-00006A030000}"/>
    <cellStyle name="Обычный 40 26" xfId="816" xr:uid="{00000000-0005-0000-0000-00006B030000}"/>
    <cellStyle name="Обычный 40 27" xfId="817" xr:uid="{00000000-0005-0000-0000-00006C030000}"/>
    <cellStyle name="Обычный 40 28" xfId="818" xr:uid="{00000000-0005-0000-0000-00006D030000}"/>
    <cellStyle name="Обычный 40 29" xfId="819" xr:uid="{00000000-0005-0000-0000-00006E030000}"/>
    <cellStyle name="Обычный 40 3" xfId="820" xr:uid="{00000000-0005-0000-0000-00006F030000}"/>
    <cellStyle name="Обычный 40 30" xfId="821" xr:uid="{00000000-0005-0000-0000-000070030000}"/>
    <cellStyle name="Обычный 40 31" xfId="822" xr:uid="{00000000-0005-0000-0000-000071030000}"/>
    <cellStyle name="Обычный 40 32" xfId="823" xr:uid="{00000000-0005-0000-0000-000072030000}"/>
    <cellStyle name="Обычный 40 4" xfId="824" xr:uid="{00000000-0005-0000-0000-000073030000}"/>
    <cellStyle name="Обычный 40 5" xfId="825" xr:uid="{00000000-0005-0000-0000-000074030000}"/>
    <cellStyle name="Обычный 40 6" xfId="826" xr:uid="{00000000-0005-0000-0000-000075030000}"/>
    <cellStyle name="Обычный 40 7" xfId="827" xr:uid="{00000000-0005-0000-0000-000076030000}"/>
    <cellStyle name="Обычный 40 8" xfId="828" xr:uid="{00000000-0005-0000-0000-000077030000}"/>
    <cellStyle name="Обычный 40 9" xfId="829" xr:uid="{00000000-0005-0000-0000-000078030000}"/>
    <cellStyle name="Обычный 41" xfId="830" xr:uid="{00000000-0005-0000-0000-000079030000}"/>
    <cellStyle name="Обычный 41 10" xfId="831" xr:uid="{00000000-0005-0000-0000-00007A030000}"/>
    <cellStyle name="Обычный 41 11" xfId="832" xr:uid="{00000000-0005-0000-0000-00007B030000}"/>
    <cellStyle name="Обычный 41 12" xfId="833" xr:uid="{00000000-0005-0000-0000-00007C030000}"/>
    <cellStyle name="Обычный 41 13" xfId="834" xr:uid="{00000000-0005-0000-0000-00007D030000}"/>
    <cellStyle name="Обычный 41 14" xfId="835" xr:uid="{00000000-0005-0000-0000-00007E030000}"/>
    <cellStyle name="Обычный 41 15" xfId="836" xr:uid="{00000000-0005-0000-0000-00007F030000}"/>
    <cellStyle name="Обычный 41 16" xfId="837" xr:uid="{00000000-0005-0000-0000-000080030000}"/>
    <cellStyle name="Обычный 41 17" xfId="838" xr:uid="{00000000-0005-0000-0000-000081030000}"/>
    <cellStyle name="Обычный 41 18" xfId="839" xr:uid="{00000000-0005-0000-0000-000082030000}"/>
    <cellStyle name="Обычный 41 19" xfId="840" xr:uid="{00000000-0005-0000-0000-000083030000}"/>
    <cellStyle name="Обычный 41 2" xfId="841" xr:uid="{00000000-0005-0000-0000-000084030000}"/>
    <cellStyle name="Обычный 41 2 2" xfId="842" xr:uid="{00000000-0005-0000-0000-000085030000}"/>
    <cellStyle name="Обычный 41 20" xfId="843" xr:uid="{00000000-0005-0000-0000-000086030000}"/>
    <cellStyle name="Обычный 41 21" xfId="844" xr:uid="{00000000-0005-0000-0000-000087030000}"/>
    <cellStyle name="Обычный 41 22" xfId="845" xr:uid="{00000000-0005-0000-0000-000088030000}"/>
    <cellStyle name="Обычный 41 23" xfId="846" xr:uid="{00000000-0005-0000-0000-000089030000}"/>
    <cellStyle name="Обычный 41 24" xfId="847" xr:uid="{00000000-0005-0000-0000-00008A030000}"/>
    <cellStyle name="Обычный 41 25" xfId="848" xr:uid="{00000000-0005-0000-0000-00008B030000}"/>
    <cellStyle name="Обычный 41 26" xfId="849" xr:uid="{00000000-0005-0000-0000-00008C030000}"/>
    <cellStyle name="Обычный 41 27" xfId="850" xr:uid="{00000000-0005-0000-0000-00008D030000}"/>
    <cellStyle name="Обычный 41 28" xfId="851" xr:uid="{00000000-0005-0000-0000-00008E030000}"/>
    <cellStyle name="Обычный 41 29" xfId="852" xr:uid="{00000000-0005-0000-0000-00008F030000}"/>
    <cellStyle name="Обычный 41 3" xfId="853" xr:uid="{00000000-0005-0000-0000-000090030000}"/>
    <cellStyle name="Обычный 41 30" xfId="854" xr:uid="{00000000-0005-0000-0000-000091030000}"/>
    <cellStyle name="Обычный 41 31" xfId="855" xr:uid="{00000000-0005-0000-0000-000092030000}"/>
    <cellStyle name="Обычный 41 32" xfId="856" xr:uid="{00000000-0005-0000-0000-000093030000}"/>
    <cellStyle name="Обычный 41 4" xfId="857" xr:uid="{00000000-0005-0000-0000-000094030000}"/>
    <cellStyle name="Обычный 41 5" xfId="858" xr:uid="{00000000-0005-0000-0000-000095030000}"/>
    <cellStyle name="Обычный 41 6" xfId="859" xr:uid="{00000000-0005-0000-0000-000096030000}"/>
    <cellStyle name="Обычный 41 7" xfId="860" xr:uid="{00000000-0005-0000-0000-000097030000}"/>
    <cellStyle name="Обычный 41 8" xfId="861" xr:uid="{00000000-0005-0000-0000-000098030000}"/>
    <cellStyle name="Обычный 41 9" xfId="862" xr:uid="{00000000-0005-0000-0000-000099030000}"/>
    <cellStyle name="Обычный 42" xfId="863" xr:uid="{00000000-0005-0000-0000-00009A030000}"/>
    <cellStyle name="Обычный 43" xfId="864" xr:uid="{00000000-0005-0000-0000-00009B030000}"/>
    <cellStyle name="Обычный 44" xfId="865" xr:uid="{00000000-0005-0000-0000-00009C030000}"/>
    <cellStyle name="Обычный 45" xfId="866" xr:uid="{00000000-0005-0000-0000-00009D030000}"/>
    <cellStyle name="Обычный 46" xfId="867" xr:uid="{00000000-0005-0000-0000-00009E030000}"/>
    <cellStyle name="Обычный 47" xfId="868" xr:uid="{00000000-0005-0000-0000-00009F030000}"/>
    <cellStyle name="Обычный 47 2" xfId="869" xr:uid="{00000000-0005-0000-0000-0000A0030000}"/>
    <cellStyle name="Обычный 47 3" xfId="870" xr:uid="{00000000-0005-0000-0000-0000A1030000}"/>
    <cellStyle name="Обычный 47 4" xfId="871" xr:uid="{00000000-0005-0000-0000-0000A2030000}"/>
    <cellStyle name="Обычный 47 5" xfId="872" xr:uid="{00000000-0005-0000-0000-0000A3030000}"/>
    <cellStyle name="Обычный 47 6" xfId="873" xr:uid="{00000000-0005-0000-0000-0000A4030000}"/>
    <cellStyle name="Обычный 47 7" xfId="874" xr:uid="{00000000-0005-0000-0000-0000A5030000}"/>
    <cellStyle name="Обычный 48" xfId="875" xr:uid="{00000000-0005-0000-0000-0000A6030000}"/>
    <cellStyle name="Обычный 48 2" xfId="876" xr:uid="{00000000-0005-0000-0000-0000A7030000}"/>
    <cellStyle name="Обычный 48 3" xfId="877" xr:uid="{00000000-0005-0000-0000-0000A8030000}"/>
    <cellStyle name="Обычный 49" xfId="878" xr:uid="{00000000-0005-0000-0000-0000A9030000}"/>
    <cellStyle name="Обычный 5" xfId="879" xr:uid="{00000000-0005-0000-0000-0000AA030000}"/>
    <cellStyle name="Обычный 5 2" xfId="880" xr:uid="{00000000-0005-0000-0000-0000AB030000}"/>
    <cellStyle name="Обычный 5 2 2" xfId="881" xr:uid="{00000000-0005-0000-0000-0000AC030000}"/>
    <cellStyle name="Обычный 5 2 2 2" xfId="882" xr:uid="{00000000-0005-0000-0000-0000AD030000}"/>
    <cellStyle name="Обычный 5 2 3" xfId="883" xr:uid="{00000000-0005-0000-0000-0000AE030000}"/>
    <cellStyle name="Обычный 5 3" xfId="884" xr:uid="{00000000-0005-0000-0000-0000AF030000}"/>
    <cellStyle name="Обычный 5 3 2" xfId="885" xr:uid="{00000000-0005-0000-0000-0000B0030000}"/>
    <cellStyle name="Обычный 5 3 2 2" xfId="886" xr:uid="{00000000-0005-0000-0000-0000B1030000}"/>
    <cellStyle name="Обычный 5 3 3" xfId="887" xr:uid="{00000000-0005-0000-0000-0000B2030000}"/>
    <cellStyle name="Обычный 5 3 4" xfId="888" xr:uid="{00000000-0005-0000-0000-0000B3030000}"/>
    <cellStyle name="Обычный 5 4" xfId="889" xr:uid="{00000000-0005-0000-0000-0000B4030000}"/>
    <cellStyle name="Обычный 5 4 2" xfId="890" xr:uid="{00000000-0005-0000-0000-0000B5030000}"/>
    <cellStyle name="Обычный 5 5" xfId="891" xr:uid="{00000000-0005-0000-0000-0000B6030000}"/>
    <cellStyle name="Обычный 5 5 2" xfId="892" xr:uid="{00000000-0005-0000-0000-0000B7030000}"/>
    <cellStyle name="Обычный 5 6" xfId="893" xr:uid="{00000000-0005-0000-0000-0000B8030000}"/>
    <cellStyle name="Обычный 5 6 2" xfId="894" xr:uid="{00000000-0005-0000-0000-0000B9030000}"/>
    <cellStyle name="Обычный 5 7" xfId="895" xr:uid="{00000000-0005-0000-0000-0000BA030000}"/>
    <cellStyle name="Обычный 5 7 2" xfId="896" xr:uid="{00000000-0005-0000-0000-0000BB030000}"/>
    <cellStyle name="Обычный 5 8" xfId="897" xr:uid="{00000000-0005-0000-0000-0000BC030000}"/>
    <cellStyle name="Обычный 5 8 2" xfId="898" xr:uid="{00000000-0005-0000-0000-0000BD030000}"/>
    <cellStyle name="Обычный 50" xfId="899" xr:uid="{00000000-0005-0000-0000-0000BE030000}"/>
    <cellStyle name="Обычный 51" xfId="900" xr:uid="{00000000-0005-0000-0000-0000BF030000}"/>
    <cellStyle name="Обычный 52" xfId="901" xr:uid="{00000000-0005-0000-0000-0000C0030000}"/>
    <cellStyle name="Обычный 53" xfId="902" xr:uid="{00000000-0005-0000-0000-0000C1030000}"/>
    <cellStyle name="Обычный 54" xfId="903" xr:uid="{00000000-0005-0000-0000-0000C2030000}"/>
    <cellStyle name="Обычный 55" xfId="904" xr:uid="{00000000-0005-0000-0000-0000C3030000}"/>
    <cellStyle name="Обычный 56" xfId="905" xr:uid="{00000000-0005-0000-0000-0000C4030000}"/>
    <cellStyle name="Обычный 57" xfId="906" xr:uid="{00000000-0005-0000-0000-0000C5030000}"/>
    <cellStyle name="Обычный 58" xfId="907" xr:uid="{00000000-0005-0000-0000-0000C6030000}"/>
    <cellStyle name="Обычный 59" xfId="908" xr:uid="{00000000-0005-0000-0000-0000C7030000}"/>
    <cellStyle name="Обычный 6" xfId="909" xr:uid="{00000000-0005-0000-0000-0000C8030000}"/>
    <cellStyle name="Обычный 6 2" xfId="910" xr:uid="{00000000-0005-0000-0000-0000C9030000}"/>
    <cellStyle name="Обычный 6 2 2" xfId="911" xr:uid="{00000000-0005-0000-0000-0000CA030000}"/>
    <cellStyle name="Обычный 6 2 3" xfId="912" xr:uid="{00000000-0005-0000-0000-0000CB030000}"/>
    <cellStyle name="Обычный 6 3" xfId="913" xr:uid="{00000000-0005-0000-0000-0000CC030000}"/>
    <cellStyle name="Обычный 6 3 2" xfId="914" xr:uid="{00000000-0005-0000-0000-0000CD030000}"/>
    <cellStyle name="Обычный 6 4" xfId="915" xr:uid="{00000000-0005-0000-0000-0000CE030000}"/>
    <cellStyle name="Обычный 6 5" xfId="916" xr:uid="{00000000-0005-0000-0000-0000CF030000}"/>
    <cellStyle name="Обычный 6 6" xfId="917" xr:uid="{00000000-0005-0000-0000-0000D0030000}"/>
    <cellStyle name="Обычный 60" xfId="918" xr:uid="{00000000-0005-0000-0000-0000D1030000}"/>
    <cellStyle name="Обычный 61" xfId="919" xr:uid="{00000000-0005-0000-0000-0000D2030000}"/>
    <cellStyle name="Обычный 62" xfId="920" xr:uid="{00000000-0005-0000-0000-0000D3030000}"/>
    <cellStyle name="Обычный 63" xfId="921" xr:uid="{00000000-0005-0000-0000-0000D4030000}"/>
    <cellStyle name="Обычный 64" xfId="922" xr:uid="{00000000-0005-0000-0000-0000D5030000}"/>
    <cellStyle name="Обычный 65" xfId="923" xr:uid="{00000000-0005-0000-0000-0000D6030000}"/>
    <cellStyle name="Обычный 65 2" xfId="924" xr:uid="{00000000-0005-0000-0000-0000D7030000}"/>
    <cellStyle name="Обычный 66" xfId="925" xr:uid="{00000000-0005-0000-0000-0000D8030000}"/>
    <cellStyle name="Обычный 66 2" xfId="926" xr:uid="{00000000-0005-0000-0000-0000D9030000}"/>
    <cellStyle name="Обычный 66 3" xfId="927" xr:uid="{00000000-0005-0000-0000-0000DA030000}"/>
    <cellStyle name="Обычный 67" xfId="928" xr:uid="{00000000-0005-0000-0000-0000DB030000}"/>
    <cellStyle name="Обычный 68" xfId="929" xr:uid="{00000000-0005-0000-0000-0000DC030000}"/>
    <cellStyle name="Обычный 69" xfId="930" xr:uid="{00000000-0005-0000-0000-0000DD030000}"/>
    <cellStyle name="Обычный 7" xfId="931" xr:uid="{00000000-0005-0000-0000-0000DE030000}"/>
    <cellStyle name="Обычный 7 2" xfId="932" xr:uid="{00000000-0005-0000-0000-0000DF030000}"/>
    <cellStyle name="Обычный 7 2 2" xfId="933" xr:uid="{00000000-0005-0000-0000-0000E0030000}"/>
    <cellStyle name="Обычный 7 2 3" xfId="934" xr:uid="{00000000-0005-0000-0000-0000E1030000}"/>
    <cellStyle name="Обычный 7 3" xfId="935" xr:uid="{00000000-0005-0000-0000-0000E2030000}"/>
    <cellStyle name="Обычный 7 3 2" xfId="936" xr:uid="{00000000-0005-0000-0000-0000E3030000}"/>
    <cellStyle name="Обычный 7 4" xfId="937" xr:uid="{00000000-0005-0000-0000-0000E4030000}"/>
    <cellStyle name="Обычный 7 4 2" xfId="938" xr:uid="{00000000-0005-0000-0000-0000E5030000}"/>
    <cellStyle name="Обычный 7 5" xfId="939" xr:uid="{00000000-0005-0000-0000-0000E6030000}"/>
    <cellStyle name="Обычный 70" xfId="940" xr:uid="{00000000-0005-0000-0000-0000E7030000}"/>
    <cellStyle name="Обычный 71" xfId="941" xr:uid="{00000000-0005-0000-0000-0000E8030000}"/>
    <cellStyle name="Обычный 72" xfId="942" xr:uid="{00000000-0005-0000-0000-0000E9030000}"/>
    <cellStyle name="Обычный 73" xfId="943" xr:uid="{00000000-0005-0000-0000-0000EA030000}"/>
    <cellStyle name="Обычный 73 2" xfId="944" xr:uid="{00000000-0005-0000-0000-0000EB030000}"/>
    <cellStyle name="Обычный 73 3" xfId="945" xr:uid="{00000000-0005-0000-0000-0000EC030000}"/>
    <cellStyle name="Обычный 73 4" xfId="946" xr:uid="{00000000-0005-0000-0000-0000ED030000}"/>
    <cellStyle name="Обычный 74" xfId="947" xr:uid="{00000000-0005-0000-0000-0000EE030000}"/>
    <cellStyle name="Обычный 75" xfId="948" xr:uid="{00000000-0005-0000-0000-0000EF030000}"/>
    <cellStyle name="Обычный 75 2" xfId="949" xr:uid="{00000000-0005-0000-0000-0000F0030000}"/>
    <cellStyle name="Обычный 76" xfId="950" xr:uid="{00000000-0005-0000-0000-0000F1030000}"/>
    <cellStyle name="Обычный 77" xfId="951" xr:uid="{00000000-0005-0000-0000-0000F2030000}"/>
    <cellStyle name="Обычный 78" xfId="952" xr:uid="{00000000-0005-0000-0000-0000F3030000}"/>
    <cellStyle name="Обычный 78 2" xfId="953" xr:uid="{00000000-0005-0000-0000-0000F4030000}"/>
    <cellStyle name="Обычный 78 3" xfId="954" xr:uid="{00000000-0005-0000-0000-0000F5030000}"/>
    <cellStyle name="Обычный 79" xfId="955" xr:uid="{00000000-0005-0000-0000-0000F6030000}"/>
    <cellStyle name="Обычный 8" xfId="956" xr:uid="{00000000-0005-0000-0000-0000F7030000}"/>
    <cellStyle name="Обычный 8 2" xfId="957" xr:uid="{00000000-0005-0000-0000-0000F8030000}"/>
    <cellStyle name="Обычный 8 2 2" xfId="958" xr:uid="{00000000-0005-0000-0000-0000F9030000}"/>
    <cellStyle name="Обычный 8 2 3" xfId="959" xr:uid="{00000000-0005-0000-0000-0000FA030000}"/>
    <cellStyle name="Обычный 8 3" xfId="960" xr:uid="{00000000-0005-0000-0000-0000FB030000}"/>
    <cellStyle name="Обычный 8 3 2" xfId="961" xr:uid="{00000000-0005-0000-0000-0000FC030000}"/>
    <cellStyle name="Обычный 8 4" xfId="962" xr:uid="{00000000-0005-0000-0000-0000FD030000}"/>
    <cellStyle name="Обычный 8 5" xfId="963" xr:uid="{00000000-0005-0000-0000-0000FE030000}"/>
    <cellStyle name="Обычный 8 6" xfId="964" xr:uid="{00000000-0005-0000-0000-0000FF030000}"/>
    <cellStyle name="Обычный 80" xfId="965" xr:uid="{00000000-0005-0000-0000-000000040000}"/>
    <cellStyle name="Обычный 81" xfId="966" xr:uid="{00000000-0005-0000-0000-000001040000}"/>
    <cellStyle name="Обычный 82" xfId="967" xr:uid="{00000000-0005-0000-0000-000002040000}"/>
    <cellStyle name="Обычный 83" xfId="968" xr:uid="{00000000-0005-0000-0000-000003040000}"/>
    <cellStyle name="Обычный 84" xfId="969" xr:uid="{00000000-0005-0000-0000-000004040000}"/>
    <cellStyle name="Обычный 85" xfId="970" xr:uid="{00000000-0005-0000-0000-000005040000}"/>
    <cellStyle name="Обычный 86" xfId="971" xr:uid="{00000000-0005-0000-0000-000006040000}"/>
    <cellStyle name="Обычный 87" xfId="972" xr:uid="{00000000-0005-0000-0000-000007040000}"/>
    <cellStyle name="Обычный 87 2" xfId="973" xr:uid="{00000000-0005-0000-0000-000008040000}"/>
    <cellStyle name="Обычный 87 3" xfId="974" xr:uid="{00000000-0005-0000-0000-000009040000}"/>
    <cellStyle name="Обычный 88" xfId="975" xr:uid="{00000000-0005-0000-0000-00000A040000}"/>
    <cellStyle name="Обычный 88 2" xfId="976" xr:uid="{00000000-0005-0000-0000-00000B040000}"/>
    <cellStyle name="Обычный 88 3" xfId="977" xr:uid="{00000000-0005-0000-0000-00000C040000}"/>
    <cellStyle name="Обычный 89" xfId="978" xr:uid="{00000000-0005-0000-0000-00000D040000}"/>
    <cellStyle name="Обычный 9" xfId="979" xr:uid="{00000000-0005-0000-0000-00000E040000}"/>
    <cellStyle name="Обычный 9 2" xfId="980" xr:uid="{00000000-0005-0000-0000-00000F040000}"/>
    <cellStyle name="Обычный 9 2 2" xfId="981" xr:uid="{00000000-0005-0000-0000-000010040000}"/>
    <cellStyle name="Обычный 9 2 3" xfId="982" xr:uid="{00000000-0005-0000-0000-000011040000}"/>
    <cellStyle name="Обычный 9 3" xfId="983" xr:uid="{00000000-0005-0000-0000-000012040000}"/>
    <cellStyle name="Обычный 9 3 2" xfId="984" xr:uid="{00000000-0005-0000-0000-000013040000}"/>
    <cellStyle name="Обычный 9 4" xfId="985" xr:uid="{00000000-0005-0000-0000-000014040000}"/>
    <cellStyle name="Обычный 90" xfId="986" xr:uid="{00000000-0005-0000-0000-000015040000}"/>
    <cellStyle name="Обычный 90 2" xfId="987" xr:uid="{00000000-0005-0000-0000-000016040000}"/>
    <cellStyle name="Обычный 91" xfId="988" xr:uid="{00000000-0005-0000-0000-000017040000}"/>
    <cellStyle name="Обычный 92" xfId="989" xr:uid="{00000000-0005-0000-0000-000018040000}"/>
    <cellStyle name="Обычный 92 2" xfId="990" xr:uid="{00000000-0005-0000-0000-000019040000}"/>
    <cellStyle name="Обычный 93" xfId="991" xr:uid="{00000000-0005-0000-0000-00001A040000}"/>
    <cellStyle name="Обычный 93 2" xfId="992" xr:uid="{00000000-0005-0000-0000-00001B040000}"/>
    <cellStyle name="Обычный 93 3" xfId="993" xr:uid="{00000000-0005-0000-0000-00001C040000}"/>
    <cellStyle name="Обычный 94" xfId="994" xr:uid="{00000000-0005-0000-0000-00001D040000}"/>
    <cellStyle name="Обычный 94 2" xfId="995" xr:uid="{00000000-0005-0000-0000-00001E040000}"/>
    <cellStyle name="Обычный 94 3" xfId="996" xr:uid="{00000000-0005-0000-0000-00001F040000}"/>
    <cellStyle name="Обычный 95" xfId="997" xr:uid="{00000000-0005-0000-0000-000020040000}"/>
    <cellStyle name="Обычный 95 2" xfId="998" xr:uid="{00000000-0005-0000-0000-000021040000}"/>
    <cellStyle name="Обычный 96" xfId="999" xr:uid="{00000000-0005-0000-0000-000022040000}"/>
    <cellStyle name="Обычный 97" xfId="1000" xr:uid="{00000000-0005-0000-0000-000023040000}"/>
    <cellStyle name="Обычный 97 2" xfId="1001" xr:uid="{00000000-0005-0000-0000-000024040000}"/>
    <cellStyle name="Обычный 98" xfId="1002" xr:uid="{00000000-0005-0000-0000-000025040000}"/>
    <cellStyle name="Обычный 99" xfId="1003" xr:uid="{00000000-0005-0000-0000-000026040000}"/>
    <cellStyle name="Обычный 99 2" xfId="1004" xr:uid="{00000000-0005-0000-0000-000027040000}"/>
    <cellStyle name="Обычный 99 2 2" xfId="1005" xr:uid="{00000000-0005-0000-0000-000028040000}"/>
    <cellStyle name="Обычный_Книга3" xfId="1288" xr:uid="{00000000-0005-0000-0000-000029040000}"/>
    <cellStyle name="Примечание 10" xfId="1006" xr:uid="{00000000-0005-0000-0000-00002A040000}"/>
    <cellStyle name="Примечание 11" xfId="1007" xr:uid="{00000000-0005-0000-0000-00002B040000}"/>
    <cellStyle name="Примечание 12" xfId="1008" xr:uid="{00000000-0005-0000-0000-00002C040000}"/>
    <cellStyle name="Примечание 13" xfId="1009" xr:uid="{00000000-0005-0000-0000-00002D040000}"/>
    <cellStyle name="Примечание 14" xfId="1010" xr:uid="{00000000-0005-0000-0000-00002E040000}"/>
    <cellStyle name="Примечание 15" xfId="1011" xr:uid="{00000000-0005-0000-0000-00002F040000}"/>
    <cellStyle name="Примечание 16" xfId="1012" xr:uid="{00000000-0005-0000-0000-000030040000}"/>
    <cellStyle name="Примечание 17" xfId="1013" xr:uid="{00000000-0005-0000-0000-000031040000}"/>
    <cellStyle name="Примечание 18" xfId="1014" xr:uid="{00000000-0005-0000-0000-000032040000}"/>
    <cellStyle name="Примечание 19" xfId="1015" xr:uid="{00000000-0005-0000-0000-000033040000}"/>
    <cellStyle name="Примечание 2" xfId="1016" xr:uid="{00000000-0005-0000-0000-000034040000}"/>
    <cellStyle name="Примечание 2 2" xfId="1017" xr:uid="{00000000-0005-0000-0000-000035040000}"/>
    <cellStyle name="Примечание 2 3" xfId="1018" xr:uid="{00000000-0005-0000-0000-000036040000}"/>
    <cellStyle name="Примечание 20" xfId="1019" xr:uid="{00000000-0005-0000-0000-000037040000}"/>
    <cellStyle name="Примечание 21" xfId="1020" xr:uid="{00000000-0005-0000-0000-000038040000}"/>
    <cellStyle name="Примечание 22" xfId="1021" xr:uid="{00000000-0005-0000-0000-000039040000}"/>
    <cellStyle name="Примечание 23" xfId="1022" xr:uid="{00000000-0005-0000-0000-00003A040000}"/>
    <cellStyle name="Примечание 24" xfId="1023" xr:uid="{00000000-0005-0000-0000-00003B040000}"/>
    <cellStyle name="Примечание 25" xfId="1024" xr:uid="{00000000-0005-0000-0000-00003C040000}"/>
    <cellStyle name="Примечание 26" xfId="1025" xr:uid="{00000000-0005-0000-0000-00003D040000}"/>
    <cellStyle name="Примечание 27" xfId="1026" xr:uid="{00000000-0005-0000-0000-00003E040000}"/>
    <cellStyle name="Примечание 28" xfId="1027" xr:uid="{00000000-0005-0000-0000-00003F040000}"/>
    <cellStyle name="Примечание 29" xfId="1028" xr:uid="{00000000-0005-0000-0000-000040040000}"/>
    <cellStyle name="Примечание 3" xfId="1029" xr:uid="{00000000-0005-0000-0000-000041040000}"/>
    <cellStyle name="Примечание 3 2" xfId="1030" xr:uid="{00000000-0005-0000-0000-000042040000}"/>
    <cellStyle name="Примечание 3 3" xfId="1031" xr:uid="{00000000-0005-0000-0000-000043040000}"/>
    <cellStyle name="Примечание 30" xfId="1032" xr:uid="{00000000-0005-0000-0000-000044040000}"/>
    <cellStyle name="Примечание 4" xfId="1033" xr:uid="{00000000-0005-0000-0000-000045040000}"/>
    <cellStyle name="Примечание 4 2" xfId="1034" xr:uid="{00000000-0005-0000-0000-000046040000}"/>
    <cellStyle name="Примечание 4 3" xfId="1035" xr:uid="{00000000-0005-0000-0000-000047040000}"/>
    <cellStyle name="Примечание 5" xfId="1036" xr:uid="{00000000-0005-0000-0000-000048040000}"/>
    <cellStyle name="Примечание 5 2" xfId="1037" xr:uid="{00000000-0005-0000-0000-000049040000}"/>
    <cellStyle name="Примечание 5 3" xfId="1038" xr:uid="{00000000-0005-0000-0000-00004A040000}"/>
    <cellStyle name="Примечание 6" xfId="1039" xr:uid="{00000000-0005-0000-0000-00004B040000}"/>
    <cellStyle name="Примечание 6 2" xfId="1040" xr:uid="{00000000-0005-0000-0000-00004C040000}"/>
    <cellStyle name="Примечание 6 3" xfId="1041" xr:uid="{00000000-0005-0000-0000-00004D040000}"/>
    <cellStyle name="Примечание 7" xfId="1042" xr:uid="{00000000-0005-0000-0000-00004E040000}"/>
    <cellStyle name="Примечание 7 2" xfId="1043" xr:uid="{00000000-0005-0000-0000-00004F040000}"/>
    <cellStyle name="Примечание 7 3" xfId="1044" xr:uid="{00000000-0005-0000-0000-000050040000}"/>
    <cellStyle name="Примечание 8" xfId="1045" xr:uid="{00000000-0005-0000-0000-000051040000}"/>
    <cellStyle name="Примечание 8 2" xfId="1046" xr:uid="{00000000-0005-0000-0000-000052040000}"/>
    <cellStyle name="Примечание 8 3" xfId="1047" xr:uid="{00000000-0005-0000-0000-000053040000}"/>
    <cellStyle name="Примечание 9" xfId="1048" xr:uid="{00000000-0005-0000-0000-000054040000}"/>
    <cellStyle name="Примечание 9 2" xfId="1049" xr:uid="{00000000-0005-0000-0000-000055040000}"/>
    <cellStyle name="Процентный" xfId="2" builtinId="5"/>
    <cellStyle name="Процентный 2" xfId="8" xr:uid="{00000000-0005-0000-0000-000057040000}"/>
    <cellStyle name="Процентный 2 2" xfId="1050" xr:uid="{00000000-0005-0000-0000-000058040000}"/>
    <cellStyle name="Процентный 2 2 2" xfId="10" xr:uid="{00000000-0005-0000-0000-000059040000}"/>
    <cellStyle name="Процентный 2 2 3" xfId="1051" xr:uid="{00000000-0005-0000-0000-00005A040000}"/>
    <cellStyle name="Процентный 2 3" xfId="1052" xr:uid="{00000000-0005-0000-0000-00005B040000}"/>
    <cellStyle name="Процентный 2 4" xfId="1053" xr:uid="{00000000-0005-0000-0000-00005C040000}"/>
    <cellStyle name="Процентный 2 5" xfId="1054" xr:uid="{00000000-0005-0000-0000-00005D040000}"/>
    <cellStyle name="Процентный 2 6" xfId="1055" xr:uid="{00000000-0005-0000-0000-00005E040000}"/>
    <cellStyle name="Процентный 2 7" xfId="1056" xr:uid="{00000000-0005-0000-0000-00005F040000}"/>
    <cellStyle name="Процентный 3" xfId="1057" xr:uid="{00000000-0005-0000-0000-000060040000}"/>
    <cellStyle name="Процентный 4" xfId="1058" xr:uid="{00000000-0005-0000-0000-000061040000}"/>
    <cellStyle name="Стиль 1" xfId="1059" xr:uid="{00000000-0005-0000-0000-000062040000}"/>
    <cellStyle name="Финансовый" xfId="3" builtinId="3"/>
    <cellStyle name="Финансовый [0] 2" xfId="1060" xr:uid="{00000000-0005-0000-0000-000064040000}"/>
    <cellStyle name="Финансовый [0] 2 2" xfId="1061" xr:uid="{00000000-0005-0000-0000-000065040000}"/>
    <cellStyle name="Финансовый [0] 67" xfId="1062" xr:uid="{00000000-0005-0000-0000-000066040000}"/>
    <cellStyle name="Финансовый 10" xfId="1063" xr:uid="{00000000-0005-0000-0000-000067040000}"/>
    <cellStyle name="Финансовый 10 2" xfId="1064" xr:uid="{00000000-0005-0000-0000-000068040000}"/>
    <cellStyle name="Финансовый 11" xfId="1065" xr:uid="{00000000-0005-0000-0000-000069040000}"/>
    <cellStyle name="Финансовый 11 2" xfId="1066" xr:uid="{00000000-0005-0000-0000-00006A040000}"/>
    <cellStyle name="Финансовый 12" xfId="1290" xr:uid="{00000000-0005-0000-0000-00006B040000}"/>
    <cellStyle name="Финансовый 13" xfId="1067" xr:uid="{00000000-0005-0000-0000-00006C040000}"/>
    <cellStyle name="Финансовый 13 2" xfId="1068" xr:uid="{00000000-0005-0000-0000-00006D040000}"/>
    <cellStyle name="Финансовый 13 3" xfId="1069" xr:uid="{00000000-0005-0000-0000-00006E040000}"/>
    <cellStyle name="Финансовый 17" xfId="1070" xr:uid="{00000000-0005-0000-0000-00006F040000}"/>
    <cellStyle name="Финансовый 19" xfId="1071" xr:uid="{00000000-0005-0000-0000-000070040000}"/>
    <cellStyle name="Финансовый 19 2" xfId="1072" xr:uid="{00000000-0005-0000-0000-000071040000}"/>
    <cellStyle name="Финансовый 19 3" xfId="1073" xr:uid="{00000000-0005-0000-0000-000072040000}"/>
    <cellStyle name="Финансовый 2" xfId="7" xr:uid="{00000000-0005-0000-0000-000073040000}"/>
    <cellStyle name="Финансовый 2 10" xfId="1074" xr:uid="{00000000-0005-0000-0000-000074040000}"/>
    <cellStyle name="Финансовый 2 11" xfId="1075" xr:uid="{00000000-0005-0000-0000-000075040000}"/>
    <cellStyle name="Финансовый 2 12" xfId="1076" xr:uid="{00000000-0005-0000-0000-000076040000}"/>
    <cellStyle name="Финансовый 2 13" xfId="1077" xr:uid="{00000000-0005-0000-0000-000077040000}"/>
    <cellStyle name="Финансовый 2 14" xfId="1078" xr:uid="{00000000-0005-0000-0000-000078040000}"/>
    <cellStyle name="Финансовый 2 15" xfId="1079" xr:uid="{00000000-0005-0000-0000-000079040000}"/>
    <cellStyle name="Финансовый 2 16" xfId="1080" xr:uid="{00000000-0005-0000-0000-00007A040000}"/>
    <cellStyle name="Финансовый 2 17" xfId="1081" xr:uid="{00000000-0005-0000-0000-00007B040000}"/>
    <cellStyle name="Финансовый 2 18" xfId="1082" xr:uid="{00000000-0005-0000-0000-00007C040000}"/>
    <cellStyle name="Финансовый 2 19" xfId="1083" xr:uid="{00000000-0005-0000-0000-00007D040000}"/>
    <cellStyle name="Финансовый 2 2" xfId="1084" xr:uid="{00000000-0005-0000-0000-00007E040000}"/>
    <cellStyle name="Финансовый 2 2 2" xfId="1085" xr:uid="{00000000-0005-0000-0000-00007F040000}"/>
    <cellStyle name="Финансовый 2 2 2 2" xfId="1086" xr:uid="{00000000-0005-0000-0000-000080040000}"/>
    <cellStyle name="Финансовый 2 2 2 3" xfId="1087" xr:uid="{00000000-0005-0000-0000-000081040000}"/>
    <cellStyle name="Финансовый 2 2 3" xfId="1088" xr:uid="{00000000-0005-0000-0000-000082040000}"/>
    <cellStyle name="Финансовый 2 2 4" xfId="1089" xr:uid="{00000000-0005-0000-0000-000083040000}"/>
    <cellStyle name="Финансовый 2 20" xfId="1090" xr:uid="{00000000-0005-0000-0000-000084040000}"/>
    <cellStyle name="Финансовый 2 21" xfId="1091" xr:uid="{00000000-0005-0000-0000-000085040000}"/>
    <cellStyle name="Финансовый 2 22" xfId="1092" xr:uid="{00000000-0005-0000-0000-000086040000}"/>
    <cellStyle name="Финансовый 2 23" xfId="1093" xr:uid="{00000000-0005-0000-0000-000087040000}"/>
    <cellStyle name="Финансовый 2 24" xfId="1094" xr:uid="{00000000-0005-0000-0000-000088040000}"/>
    <cellStyle name="Финансовый 2 25" xfId="1095" xr:uid="{00000000-0005-0000-0000-000089040000}"/>
    <cellStyle name="Финансовый 2 26" xfId="1096" xr:uid="{00000000-0005-0000-0000-00008A040000}"/>
    <cellStyle name="Финансовый 2 27" xfId="1097" xr:uid="{00000000-0005-0000-0000-00008B040000}"/>
    <cellStyle name="Финансовый 2 28" xfId="1098" xr:uid="{00000000-0005-0000-0000-00008C040000}"/>
    <cellStyle name="Финансовый 2 29" xfId="1099" xr:uid="{00000000-0005-0000-0000-00008D040000}"/>
    <cellStyle name="Финансовый 2 3" xfId="1100" xr:uid="{00000000-0005-0000-0000-00008E040000}"/>
    <cellStyle name="Финансовый 2 3 2" xfId="1101" xr:uid="{00000000-0005-0000-0000-00008F040000}"/>
    <cellStyle name="Финансовый 2 3 3" xfId="1102" xr:uid="{00000000-0005-0000-0000-000090040000}"/>
    <cellStyle name="Финансовый 2 3 4" xfId="1103" xr:uid="{00000000-0005-0000-0000-000091040000}"/>
    <cellStyle name="Финансовый 2 30" xfId="1104" xr:uid="{00000000-0005-0000-0000-000092040000}"/>
    <cellStyle name="Финансовый 2 4" xfId="1105" xr:uid="{00000000-0005-0000-0000-000093040000}"/>
    <cellStyle name="Финансовый 2 4 2" xfId="1106" xr:uid="{00000000-0005-0000-0000-000094040000}"/>
    <cellStyle name="Финансовый 2 4 3" xfId="1107" xr:uid="{00000000-0005-0000-0000-000095040000}"/>
    <cellStyle name="Финансовый 2 4 4" xfId="1108" xr:uid="{00000000-0005-0000-0000-000096040000}"/>
    <cellStyle name="Финансовый 2 5" xfId="1109" xr:uid="{00000000-0005-0000-0000-000097040000}"/>
    <cellStyle name="Финансовый 2 5 2" xfId="1110" xr:uid="{00000000-0005-0000-0000-000098040000}"/>
    <cellStyle name="Финансовый 2 6" xfId="1111" xr:uid="{00000000-0005-0000-0000-000099040000}"/>
    <cellStyle name="Финансовый 2 6 2" xfId="1112" xr:uid="{00000000-0005-0000-0000-00009A040000}"/>
    <cellStyle name="Финансовый 2 7" xfId="1113" xr:uid="{00000000-0005-0000-0000-00009B040000}"/>
    <cellStyle name="Финансовый 2 8" xfId="1114" xr:uid="{00000000-0005-0000-0000-00009C040000}"/>
    <cellStyle name="Финансовый 2 9" xfId="1115" xr:uid="{00000000-0005-0000-0000-00009D040000}"/>
    <cellStyle name="Финансовый 20" xfId="1116" xr:uid="{00000000-0005-0000-0000-00009E040000}"/>
    <cellStyle name="Финансовый 21" xfId="1117" xr:uid="{00000000-0005-0000-0000-00009F040000}"/>
    <cellStyle name="Финансовый 23" xfId="1118" xr:uid="{00000000-0005-0000-0000-0000A0040000}"/>
    <cellStyle name="Финансовый 24" xfId="1119" xr:uid="{00000000-0005-0000-0000-0000A1040000}"/>
    <cellStyle name="Финансовый 25" xfId="1120" xr:uid="{00000000-0005-0000-0000-0000A2040000}"/>
    <cellStyle name="Финансовый 26" xfId="1121" xr:uid="{00000000-0005-0000-0000-0000A3040000}"/>
    <cellStyle name="Финансовый 27" xfId="1122" xr:uid="{00000000-0005-0000-0000-0000A4040000}"/>
    <cellStyle name="Финансовый 28" xfId="1123" xr:uid="{00000000-0005-0000-0000-0000A5040000}"/>
    <cellStyle name="Финансовый 3" xfId="1124" xr:uid="{00000000-0005-0000-0000-0000A6040000}"/>
    <cellStyle name="Финансовый 3 10" xfId="1125" xr:uid="{00000000-0005-0000-0000-0000A7040000}"/>
    <cellStyle name="Финансовый 3 11" xfId="1126" xr:uid="{00000000-0005-0000-0000-0000A8040000}"/>
    <cellStyle name="Финансовый 3 12" xfId="1127" xr:uid="{00000000-0005-0000-0000-0000A9040000}"/>
    <cellStyle name="Финансовый 3 13" xfId="1128" xr:uid="{00000000-0005-0000-0000-0000AA040000}"/>
    <cellStyle name="Финансовый 3 14" xfId="1129" xr:uid="{00000000-0005-0000-0000-0000AB040000}"/>
    <cellStyle name="Финансовый 3 15" xfId="1130" xr:uid="{00000000-0005-0000-0000-0000AC040000}"/>
    <cellStyle name="Финансовый 3 16" xfId="1131" xr:uid="{00000000-0005-0000-0000-0000AD040000}"/>
    <cellStyle name="Финансовый 3 17" xfId="1132" xr:uid="{00000000-0005-0000-0000-0000AE040000}"/>
    <cellStyle name="Финансовый 3 18" xfId="1133" xr:uid="{00000000-0005-0000-0000-0000AF040000}"/>
    <cellStyle name="Финансовый 3 19" xfId="1134" xr:uid="{00000000-0005-0000-0000-0000B0040000}"/>
    <cellStyle name="Финансовый 3 2" xfId="1135" xr:uid="{00000000-0005-0000-0000-0000B1040000}"/>
    <cellStyle name="Финансовый 3 2 2" xfId="1136" xr:uid="{00000000-0005-0000-0000-0000B2040000}"/>
    <cellStyle name="Финансовый 3 2 2 2" xfId="1137" xr:uid="{00000000-0005-0000-0000-0000B3040000}"/>
    <cellStyle name="Финансовый 3 2 2 3" xfId="1138" xr:uid="{00000000-0005-0000-0000-0000B4040000}"/>
    <cellStyle name="Финансовый 3 2 3" xfId="1139" xr:uid="{00000000-0005-0000-0000-0000B5040000}"/>
    <cellStyle name="Финансовый 3 2 3 2" xfId="1140" xr:uid="{00000000-0005-0000-0000-0000B6040000}"/>
    <cellStyle name="Финансовый 3 2 4" xfId="1141" xr:uid="{00000000-0005-0000-0000-0000B7040000}"/>
    <cellStyle name="Финансовый 3 2 5" xfId="1142" xr:uid="{00000000-0005-0000-0000-0000B8040000}"/>
    <cellStyle name="Финансовый 3 2 6" xfId="1143" xr:uid="{00000000-0005-0000-0000-0000B9040000}"/>
    <cellStyle name="Финансовый 3 20" xfId="1144" xr:uid="{00000000-0005-0000-0000-0000BA040000}"/>
    <cellStyle name="Финансовый 3 21" xfId="1145" xr:uid="{00000000-0005-0000-0000-0000BB040000}"/>
    <cellStyle name="Финансовый 3 22" xfId="1146" xr:uid="{00000000-0005-0000-0000-0000BC040000}"/>
    <cellStyle name="Финансовый 3 3" xfId="1147" xr:uid="{00000000-0005-0000-0000-0000BD040000}"/>
    <cellStyle name="Финансовый 3 3 2" xfId="1148" xr:uid="{00000000-0005-0000-0000-0000BE040000}"/>
    <cellStyle name="Финансовый 3 3 3" xfId="1149" xr:uid="{00000000-0005-0000-0000-0000BF040000}"/>
    <cellStyle name="Финансовый 3 4" xfId="1150" xr:uid="{00000000-0005-0000-0000-0000C0040000}"/>
    <cellStyle name="Финансовый 3 4 2" xfId="1151" xr:uid="{00000000-0005-0000-0000-0000C1040000}"/>
    <cellStyle name="Финансовый 3 4 3" xfId="1152" xr:uid="{00000000-0005-0000-0000-0000C2040000}"/>
    <cellStyle name="Финансовый 3 5" xfId="1153" xr:uid="{00000000-0005-0000-0000-0000C3040000}"/>
    <cellStyle name="Финансовый 3 5 2" xfId="1154" xr:uid="{00000000-0005-0000-0000-0000C4040000}"/>
    <cellStyle name="Финансовый 3 5 3" xfId="1155" xr:uid="{00000000-0005-0000-0000-0000C5040000}"/>
    <cellStyle name="Финансовый 3 5 4" xfId="1156" xr:uid="{00000000-0005-0000-0000-0000C6040000}"/>
    <cellStyle name="Финансовый 3 6" xfId="1157" xr:uid="{00000000-0005-0000-0000-0000C7040000}"/>
    <cellStyle name="Финансовый 3 6 2" xfId="1158" xr:uid="{00000000-0005-0000-0000-0000C8040000}"/>
    <cellStyle name="Финансовый 3 7" xfId="1159" xr:uid="{00000000-0005-0000-0000-0000C9040000}"/>
    <cellStyle name="Финансовый 3 7 2" xfId="1160" xr:uid="{00000000-0005-0000-0000-0000CA040000}"/>
    <cellStyle name="Финансовый 3 8" xfId="1161" xr:uid="{00000000-0005-0000-0000-0000CB040000}"/>
    <cellStyle name="Финансовый 3 9" xfId="1162" xr:uid="{00000000-0005-0000-0000-0000CC040000}"/>
    <cellStyle name="Финансовый 30" xfId="1163" xr:uid="{00000000-0005-0000-0000-0000CD040000}"/>
    <cellStyle name="Финансовый 31" xfId="1164" xr:uid="{00000000-0005-0000-0000-0000CE040000}"/>
    <cellStyle name="Финансовый 31 2" xfId="1165" xr:uid="{00000000-0005-0000-0000-0000CF040000}"/>
    <cellStyle name="Финансовый 32" xfId="1166" xr:uid="{00000000-0005-0000-0000-0000D0040000}"/>
    <cellStyle name="Финансовый 32 2" xfId="1167" xr:uid="{00000000-0005-0000-0000-0000D1040000}"/>
    <cellStyle name="Финансовый 33" xfId="1168" xr:uid="{00000000-0005-0000-0000-0000D2040000}"/>
    <cellStyle name="Финансовый 33 2" xfId="1169" xr:uid="{00000000-0005-0000-0000-0000D3040000}"/>
    <cellStyle name="Финансовый 34" xfId="1170" xr:uid="{00000000-0005-0000-0000-0000D4040000}"/>
    <cellStyle name="Финансовый 34 2" xfId="1171" xr:uid="{00000000-0005-0000-0000-0000D5040000}"/>
    <cellStyle name="Финансовый 35" xfId="1172" xr:uid="{00000000-0005-0000-0000-0000D6040000}"/>
    <cellStyle name="Финансовый 35 2" xfId="1173" xr:uid="{00000000-0005-0000-0000-0000D7040000}"/>
    <cellStyle name="Финансовый 36" xfId="1174" xr:uid="{00000000-0005-0000-0000-0000D8040000}"/>
    <cellStyle name="Финансовый 36 2" xfId="1175" xr:uid="{00000000-0005-0000-0000-0000D9040000}"/>
    <cellStyle name="Финансовый 37" xfId="1176" xr:uid="{00000000-0005-0000-0000-0000DA040000}"/>
    <cellStyle name="Финансовый 37 2" xfId="1177" xr:uid="{00000000-0005-0000-0000-0000DB040000}"/>
    <cellStyle name="Финансовый 38" xfId="1178" xr:uid="{00000000-0005-0000-0000-0000DC040000}"/>
    <cellStyle name="Финансовый 38 2" xfId="1179" xr:uid="{00000000-0005-0000-0000-0000DD040000}"/>
    <cellStyle name="Финансовый 39" xfId="1180" xr:uid="{00000000-0005-0000-0000-0000DE040000}"/>
    <cellStyle name="Финансовый 4" xfId="1181" xr:uid="{00000000-0005-0000-0000-0000DF040000}"/>
    <cellStyle name="Финансовый 4 2" xfId="1182" xr:uid="{00000000-0005-0000-0000-0000E0040000}"/>
    <cellStyle name="Финансовый 4 2 2" xfId="1183" xr:uid="{00000000-0005-0000-0000-0000E1040000}"/>
    <cellStyle name="Финансовый 4 2 2 2" xfId="1184" xr:uid="{00000000-0005-0000-0000-0000E2040000}"/>
    <cellStyle name="Финансовый 4 2 3" xfId="1185" xr:uid="{00000000-0005-0000-0000-0000E3040000}"/>
    <cellStyle name="Финансовый 4 3" xfId="1186" xr:uid="{00000000-0005-0000-0000-0000E4040000}"/>
    <cellStyle name="Финансовый 4 3 2" xfId="1187" xr:uid="{00000000-0005-0000-0000-0000E5040000}"/>
    <cellStyle name="Финансовый 4 4" xfId="1188" xr:uid="{00000000-0005-0000-0000-0000E6040000}"/>
    <cellStyle name="Финансовый 4 4 2" xfId="1189" xr:uid="{00000000-0005-0000-0000-0000E7040000}"/>
    <cellStyle name="Финансовый 4 5" xfId="1190" xr:uid="{00000000-0005-0000-0000-0000E8040000}"/>
    <cellStyle name="Финансовый 4 6" xfId="1191" xr:uid="{00000000-0005-0000-0000-0000E9040000}"/>
    <cellStyle name="Финансовый 4 7" xfId="1192" xr:uid="{00000000-0005-0000-0000-0000EA040000}"/>
    <cellStyle name="Финансовый 4 8" xfId="1193" xr:uid="{00000000-0005-0000-0000-0000EB040000}"/>
    <cellStyle name="Финансовый 4 9" xfId="1194" xr:uid="{00000000-0005-0000-0000-0000EC040000}"/>
    <cellStyle name="Финансовый 40" xfId="1195" xr:uid="{00000000-0005-0000-0000-0000ED040000}"/>
    <cellStyle name="Финансовый 41" xfId="1196" xr:uid="{00000000-0005-0000-0000-0000EE040000}"/>
    <cellStyle name="Финансовый 42" xfId="1197" xr:uid="{00000000-0005-0000-0000-0000EF040000}"/>
    <cellStyle name="Финансовый 42 2" xfId="1198" xr:uid="{00000000-0005-0000-0000-0000F0040000}"/>
    <cellStyle name="Финансовый 44" xfId="1199" xr:uid="{00000000-0005-0000-0000-0000F1040000}"/>
    <cellStyle name="Финансовый 46" xfId="1200" xr:uid="{00000000-0005-0000-0000-0000F2040000}"/>
    <cellStyle name="Финансовый 47" xfId="1201" xr:uid="{00000000-0005-0000-0000-0000F3040000}"/>
    <cellStyle name="Финансовый 5" xfId="1202" xr:uid="{00000000-0005-0000-0000-0000F4040000}"/>
    <cellStyle name="Финансовый 5 2" xfId="1203" xr:uid="{00000000-0005-0000-0000-0000F5040000}"/>
    <cellStyle name="Финансовый 5 2 2" xfId="1204" xr:uid="{00000000-0005-0000-0000-0000F6040000}"/>
    <cellStyle name="Финансовый 5 3" xfId="1205" xr:uid="{00000000-0005-0000-0000-0000F7040000}"/>
    <cellStyle name="Финансовый 5 3 2" xfId="1206" xr:uid="{00000000-0005-0000-0000-0000F8040000}"/>
    <cellStyle name="Финансовый 5 3 3" xfId="1207" xr:uid="{00000000-0005-0000-0000-0000F9040000}"/>
    <cellStyle name="Финансовый 5 4" xfId="1208" xr:uid="{00000000-0005-0000-0000-0000FA040000}"/>
    <cellStyle name="Финансовый 5 5" xfId="1209" xr:uid="{00000000-0005-0000-0000-0000FB040000}"/>
    <cellStyle name="Финансовый 6" xfId="1210" xr:uid="{00000000-0005-0000-0000-0000FC040000}"/>
    <cellStyle name="Финансовый 6 2" xfId="1211" xr:uid="{00000000-0005-0000-0000-0000FD040000}"/>
    <cellStyle name="Финансовый 6 2 2" xfId="1212" xr:uid="{00000000-0005-0000-0000-0000FE040000}"/>
    <cellStyle name="Финансовый 6 2 3" xfId="1213" xr:uid="{00000000-0005-0000-0000-0000FF040000}"/>
    <cellStyle name="Финансовый 6 3" xfId="1214" xr:uid="{00000000-0005-0000-0000-000000050000}"/>
    <cellStyle name="Финансовый 6 4" xfId="1215" xr:uid="{00000000-0005-0000-0000-000001050000}"/>
    <cellStyle name="Финансовый 7" xfId="1216" xr:uid="{00000000-0005-0000-0000-000002050000}"/>
    <cellStyle name="Финансовый 7 2" xfId="1217" xr:uid="{00000000-0005-0000-0000-000003050000}"/>
    <cellStyle name="Финансовый 7 2 2" xfId="1218" xr:uid="{00000000-0005-0000-0000-000004050000}"/>
    <cellStyle name="Финансовый 7 2 3" xfId="1219" xr:uid="{00000000-0005-0000-0000-000005050000}"/>
    <cellStyle name="Финансовый 7 3" xfId="1220" xr:uid="{00000000-0005-0000-0000-000006050000}"/>
    <cellStyle name="Финансовый 8" xfId="1221" xr:uid="{00000000-0005-0000-0000-000007050000}"/>
    <cellStyle name="Финансовый 8 2" xfId="1222" xr:uid="{00000000-0005-0000-0000-000008050000}"/>
    <cellStyle name="Финансовый 9" xfId="1223" xr:uid="{00000000-0005-0000-0000-000009050000}"/>
    <cellStyle name="Џђћ–…ќ’ќ›‰" xfId="1224" xr:uid="{00000000-0005-0000-0000-00000A050000}"/>
  </cellStyles>
  <dxfs count="355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ont>
        <color rgb="FF9C6500"/>
      </font>
      <fill>
        <patternFill>
          <bgColor rgb="FFFD9F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00FF"/>
      <color rgb="FFCC00CC"/>
      <color rgb="FFFD9FF6"/>
      <color rgb="FFF8A4E0"/>
      <color rgb="FFFF99FF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ISHMU~1.MKB\AppData\Local\Temp\notesCE2FFA\crs005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Сабаб"/>
      <sheetName val="Sheet"/>
      <sheetName val="tab31_old"/>
      <sheetName val="Пост_по_регион_(2)"/>
      <sheetName val="Лист2"/>
      <sheetName val="UZB redtab Jan 04"/>
      <sheetName val="tab 19"/>
      <sheetName val="жадвал"/>
      <sheetName val="Танишиб чиқиш учу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13318623841</v>
          </cell>
          <cell r="D25">
            <v>9580116117</v>
          </cell>
          <cell r="E25">
            <v>3738507724</v>
          </cell>
        </row>
        <row r="26">
          <cell r="C26">
            <v>354211307</v>
          </cell>
        </row>
        <row r="47">
          <cell r="C47">
            <v>16782496965</v>
          </cell>
        </row>
        <row r="77">
          <cell r="C77">
            <v>21314665</v>
          </cell>
        </row>
        <row r="78">
          <cell r="C78">
            <v>3643911081</v>
          </cell>
        </row>
      </sheetData>
      <sheetData sheetId="1"/>
      <sheetData sheetId="2">
        <row r="18">
          <cell r="C18">
            <v>0.11795865931801168</v>
          </cell>
        </row>
        <row r="24">
          <cell r="C24">
            <v>1.5643252540544548</v>
          </cell>
          <cell r="D24">
            <v>1.5014975675996978</v>
          </cell>
          <cell r="E24">
            <v>1.6585133943656556</v>
          </cell>
        </row>
        <row r="29">
          <cell r="C29">
            <v>1.1427127760992468</v>
          </cell>
          <cell r="D29">
            <v>1.223181882289313</v>
          </cell>
          <cell r="E29">
            <v>0.91014987520247503</v>
          </cell>
        </row>
        <row r="51">
          <cell r="C51">
            <v>550033507</v>
          </cell>
        </row>
        <row r="52">
          <cell r="C52">
            <v>425539397</v>
          </cell>
        </row>
        <row r="53">
          <cell r="C53">
            <v>590041249</v>
          </cell>
        </row>
        <row r="54">
          <cell r="C54">
            <v>0</v>
          </cell>
        </row>
        <row r="55">
          <cell r="C55">
            <v>458400000</v>
          </cell>
        </row>
        <row r="58">
          <cell r="C58">
            <v>2024014153</v>
          </cell>
        </row>
      </sheetData>
      <sheetData sheetId="3">
        <row r="31">
          <cell r="S31">
            <v>17337481</v>
          </cell>
        </row>
      </sheetData>
      <sheetData sheetId="4"/>
      <sheetData sheetId="5">
        <row r="20">
          <cell r="C20">
            <v>953615102</v>
          </cell>
          <cell r="E20">
            <v>120696795</v>
          </cell>
          <cell r="G20">
            <v>51307648</v>
          </cell>
          <cell r="I20">
            <v>154536244</v>
          </cell>
          <cell r="K20">
            <v>517938173</v>
          </cell>
          <cell r="M20">
            <v>968077487</v>
          </cell>
          <cell r="O20">
            <v>1613523519</v>
          </cell>
          <cell r="Q20">
            <v>1029500708</v>
          </cell>
          <cell r="S20">
            <v>5409195676</v>
          </cell>
        </row>
        <row r="40">
          <cell r="C40">
            <v>1115825685</v>
          </cell>
          <cell r="E40">
            <v>273917895</v>
          </cell>
          <cell r="G40">
            <v>651458389</v>
          </cell>
          <cell r="I40">
            <v>1504825300</v>
          </cell>
          <cell r="K40">
            <v>1251822538</v>
          </cell>
          <cell r="M40">
            <v>1824179518</v>
          </cell>
        </row>
      </sheetData>
      <sheetData sheetId="6"/>
      <sheetData sheetId="7"/>
      <sheetData sheetId="8">
        <row r="6">
          <cell r="C6">
            <v>311931160</v>
          </cell>
          <cell r="D6">
            <v>7607749</v>
          </cell>
        </row>
        <row r="15">
          <cell r="C15">
            <v>956313267</v>
          </cell>
          <cell r="D15">
            <v>37890592</v>
          </cell>
        </row>
        <row r="22">
          <cell r="C22">
            <v>5409195676</v>
          </cell>
          <cell r="D22">
            <v>867519564</v>
          </cell>
        </row>
      </sheetData>
      <sheetData sheetId="9">
        <row r="6">
          <cell r="B6">
            <v>0</v>
          </cell>
        </row>
        <row r="7">
          <cell r="B7">
            <v>0</v>
          </cell>
        </row>
        <row r="15">
          <cell r="B15">
            <v>107220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3612159906</v>
          </cell>
        </row>
        <row r="44">
          <cell r="C44">
            <v>3735582422</v>
          </cell>
        </row>
        <row r="45">
          <cell r="C45">
            <v>18033520124.090736</v>
          </cell>
        </row>
        <row r="49">
          <cell r="C49">
            <v>0.20029454599796948</v>
          </cell>
        </row>
        <row r="50">
          <cell r="C50">
            <v>0.20030254110924048</v>
          </cell>
        </row>
        <row r="51">
          <cell r="C51">
            <v>0.20714660234358159</v>
          </cell>
        </row>
        <row r="57">
          <cell r="C57">
            <v>0.20827216867854428</v>
          </cell>
        </row>
      </sheetData>
      <sheetData sheetId="1"/>
      <sheetData sheetId="2"/>
      <sheetData sheetId="3"/>
      <sheetData sheetId="4"/>
      <sheetData sheetId="5">
        <row r="26">
          <cell r="C26">
            <v>269675605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G73"/>
  <sheetViews>
    <sheetView view="pageBreakPreview" zoomScale="55" zoomScaleNormal="55" zoomScaleSheetLayoutView="55" workbookViewId="0">
      <pane xSplit="3" ySplit="9" topLeftCell="D58" activePane="bottomRight" state="frozen"/>
      <selection activeCell="C73" sqref="C73"/>
      <selection pane="topRight" activeCell="C73" sqref="C73"/>
      <selection pane="bottomLeft" activeCell="C73" sqref="C73"/>
      <selection pane="bottomRight" activeCell="J10" sqref="J10:N60"/>
    </sheetView>
  </sheetViews>
  <sheetFormatPr defaultRowHeight="15.75"/>
  <cols>
    <col min="1" max="1" width="8" style="11" customWidth="1"/>
    <col min="2" max="2" width="108.7109375" style="12" customWidth="1"/>
    <col min="3" max="3" width="19.42578125" style="88" customWidth="1"/>
    <col min="4" max="8" width="18.28515625" style="11" customWidth="1"/>
    <col min="9" max="9" width="19.42578125" style="11" customWidth="1"/>
    <col min="10" max="14" width="18" style="11" customWidth="1"/>
    <col min="15" max="15" width="19.42578125" style="11" customWidth="1"/>
    <col min="16" max="20" width="16" style="11" customWidth="1"/>
    <col min="21" max="21" width="9.140625" style="11"/>
    <col min="22" max="22" width="14.85546875" style="11" customWidth="1"/>
    <col min="23" max="23" width="16.7109375" style="11" customWidth="1"/>
    <col min="24" max="16384" width="9.140625" style="11"/>
  </cols>
  <sheetData>
    <row r="1" spans="1:24" s="86" customFormat="1" ht="27.75" customHeight="1">
      <c r="A1" s="675" t="s">
        <v>243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7" t="s">
        <v>244</v>
      </c>
      <c r="T1" s="677"/>
      <c r="V1" s="636" t="s">
        <v>812</v>
      </c>
    </row>
    <row r="2" spans="1:24" ht="8.25" customHeight="1"/>
    <row r="3" spans="1:24" s="161" customFormat="1" ht="26.25">
      <c r="B3" s="635" t="s">
        <v>847</v>
      </c>
      <c r="C3" s="162"/>
      <c r="N3" s="336"/>
      <c r="Q3" s="693">
        <v>44926</v>
      </c>
      <c r="R3" s="693"/>
      <c r="S3" s="337"/>
      <c r="T3" s="338" t="s">
        <v>245</v>
      </c>
    </row>
    <row r="4" spans="1:24" s="150" customFormat="1" ht="30.75" customHeight="1">
      <c r="A4" s="678" t="s">
        <v>62</v>
      </c>
      <c r="B4" s="678" t="s">
        <v>230</v>
      </c>
      <c r="C4" s="678" t="s">
        <v>231</v>
      </c>
      <c r="D4" s="681" t="s">
        <v>232</v>
      </c>
      <c r="E4" s="682"/>
      <c r="F4" s="682"/>
      <c r="G4" s="682"/>
      <c r="H4" s="683"/>
      <c r="I4" s="690" t="s">
        <v>233</v>
      </c>
      <c r="J4" s="691"/>
      <c r="K4" s="691"/>
      <c r="L4" s="691"/>
      <c r="M4" s="691"/>
      <c r="N4" s="692"/>
      <c r="O4" s="674" t="s">
        <v>234</v>
      </c>
      <c r="P4" s="674"/>
      <c r="Q4" s="674"/>
      <c r="R4" s="674"/>
      <c r="S4" s="674"/>
      <c r="T4" s="674"/>
    </row>
    <row r="5" spans="1:24" s="150" customFormat="1" ht="30.75" customHeight="1">
      <c r="A5" s="679"/>
      <c r="B5" s="679"/>
      <c r="C5" s="679"/>
      <c r="D5" s="684"/>
      <c r="E5" s="685"/>
      <c r="F5" s="685"/>
      <c r="G5" s="685"/>
      <c r="H5" s="686"/>
      <c r="I5" s="678" t="s">
        <v>235</v>
      </c>
      <c r="J5" s="678" t="s">
        <v>236</v>
      </c>
      <c r="K5" s="678" t="s">
        <v>237</v>
      </c>
      <c r="L5" s="678" t="s">
        <v>238</v>
      </c>
      <c r="M5" s="678" t="s">
        <v>239</v>
      </c>
      <c r="N5" s="678" t="s">
        <v>240</v>
      </c>
      <c r="O5" s="674" t="s">
        <v>241</v>
      </c>
      <c r="P5" s="674"/>
      <c r="Q5" s="674"/>
      <c r="R5" s="674"/>
      <c r="S5" s="674"/>
      <c r="T5" s="674"/>
    </row>
    <row r="6" spans="1:24" s="150" customFormat="1" ht="30.75" customHeight="1">
      <c r="A6" s="679"/>
      <c r="B6" s="679"/>
      <c r="C6" s="679"/>
      <c r="D6" s="687"/>
      <c r="E6" s="688"/>
      <c r="F6" s="688"/>
      <c r="G6" s="688"/>
      <c r="H6" s="689"/>
      <c r="I6" s="679"/>
      <c r="J6" s="679"/>
      <c r="K6" s="679"/>
      <c r="L6" s="679"/>
      <c r="M6" s="679"/>
      <c r="N6" s="679"/>
      <c r="O6" s="674" t="s">
        <v>235</v>
      </c>
      <c r="P6" s="674" t="s">
        <v>242</v>
      </c>
      <c r="Q6" s="674"/>
      <c r="R6" s="674"/>
      <c r="S6" s="674"/>
      <c r="T6" s="674"/>
    </row>
    <row r="7" spans="1:24" s="150" customFormat="1" ht="21" customHeight="1">
      <c r="A7" s="680"/>
      <c r="B7" s="680"/>
      <c r="C7" s="680"/>
      <c r="D7" s="561" t="s">
        <v>121</v>
      </c>
      <c r="E7" s="561" t="s">
        <v>54</v>
      </c>
      <c r="F7" s="561" t="s">
        <v>56</v>
      </c>
      <c r="G7" s="561" t="s">
        <v>57</v>
      </c>
      <c r="H7" s="561" t="s">
        <v>60</v>
      </c>
      <c r="I7" s="680"/>
      <c r="J7" s="680"/>
      <c r="K7" s="680"/>
      <c r="L7" s="680"/>
      <c r="M7" s="680"/>
      <c r="N7" s="680"/>
      <c r="O7" s="674"/>
      <c r="P7" s="637" t="s">
        <v>121</v>
      </c>
      <c r="Q7" s="637" t="s">
        <v>54</v>
      </c>
      <c r="R7" s="637" t="s">
        <v>56</v>
      </c>
      <c r="S7" s="637" t="s">
        <v>57</v>
      </c>
      <c r="T7" s="637" t="s">
        <v>60</v>
      </c>
    </row>
    <row r="8" spans="1:24" s="13" customFormat="1">
      <c r="A8" s="339" t="s">
        <v>79</v>
      </c>
      <c r="B8" s="340" t="s">
        <v>80</v>
      </c>
      <c r="C8" s="341" t="s">
        <v>90</v>
      </c>
      <c r="D8" s="340" t="s">
        <v>81</v>
      </c>
      <c r="E8" s="340" t="s">
        <v>82</v>
      </c>
      <c r="F8" s="340" t="s">
        <v>91</v>
      </c>
      <c r="G8" s="340" t="s">
        <v>83</v>
      </c>
      <c r="H8" s="340" t="s">
        <v>84</v>
      </c>
      <c r="I8" s="340" t="s">
        <v>85</v>
      </c>
      <c r="J8" s="340" t="s">
        <v>86</v>
      </c>
      <c r="K8" s="340" t="s">
        <v>87</v>
      </c>
      <c r="L8" s="340" t="s">
        <v>88</v>
      </c>
      <c r="M8" s="340" t="s">
        <v>89</v>
      </c>
      <c r="N8" s="340" t="s">
        <v>155</v>
      </c>
      <c r="O8" s="340" t="s">
        <v>156</v>
      </c>
      <c r="P8" s="340" t="s">
        <v>157</v>
      </c>
      <c r="Q8" s="340" t="s">
        <v>158</v>
      </c>
      <c r="R8" s="340" t="s">
        <v>180</v>
      </c>
      <c r="S8" s="340" t="s">
        <v>189</v>
      </c>
      <c r="T8" s="340" t="s">
        <v>194</v>
      </c>
    </row>
    <row r="9" spans="1:24" s="13" customFormat="1" ht="29.25" customHeight="1">
      <c r="A9" s="342"/>
      <c r="B9" s="343" t="s">
        <v>282</v>
      </c>
      <c r="C9" s="344">
        <f>SUM(C10:C58)+C60-C59</f>
        <v>16782496965</v>
      </c>
      <c r="D9" s="344">
        <f>SUM(D10:D58)-D59+D60</f>
        <v>13938328217</v>
      </c>
      <c r="E9" s="344">
        <f>SUM(E10:E58)-E59+E60</f>
        <v>2572974084</v>
      </c>
      <c r="F9" s="344">
        <f>SUM(F10:F58)-F59+F60</f>
        <v>110817389</v>
      </c>
      <c r="G9" s="344">
        <f>SUM(G10:G58)-G59+G60</f>
        <v>331525438</v>
      </c>
      <c r="H9" s="344">
        <f>SUM(H10:H58)-H59+H60</f>
        <v>193107671</v>
      </c>
      <c r="I9" s="344">
        <f t="shared" ref="I9:T9" si="0">SUM(I10:I60)</f>
        <v>592099240.53212047</v>
      </c>
      <c r="J9" s="344">
        <f t="shared" si="0"/>
        <v>28792695.311300017</v>
      </c>
      <c r="K9" s="344">
        <f t="shared" si="0"/>
        <v>157785707.72422016</v>
      </c>
      <c r="L9" s="344">
        <f t="shared" si="0"/>
        <v>73643578.644020051</v>
      </c>
      <c r="M9" s="344">
        <f t="shared" si="0"/>
        <v>99094983.167659849</v>
      </c>
      <c r="N9" s="344">
        <f t="shared" si="0"/>
        <v>232782275.68492034</v>
      </c>
      <c r="O9" s="344">
        <f t="shared" si="0"/>
        <v>412973993</v>
      </c>
      <c r="P9" s="344">
        <f t="shared" si="0"/>
        <v>48718159</v>
      </c>
      <c r="Q9" s="344">
        <f t="shared" si="0"/>
        <v>131236839</v>
      </c>
      <c r="R9" s="344">
        <f t="shared" si="0"/>
        <v>45776248</v>
      </c>
      <c r="S9" s="344">
        <f t="shared" si="0"/>
        <v>31254599</v>
      </c>
      <c r="T9" s="344">
        <f t="shared" si="0"/>
        <v>155988148</v>
      </c>
      <c r="V9" s="621"/>
      <c r="W9" s="621"/>
    </row>
    <row r="10" spans="1:24" s="10" customFormat="1" ht="23.25" customHeight="1">
      <c r="A10" s="345" t="s">
        <v>2</v>
      </c>
      <c r="B10" s="119" t="s">
        <v>246</v>
      </c>
      <c r="C10" s="117">
        <f>SUM(D10:H10)-O10+P10</f>
        <v>550033332</v>
      </c>
      <c r="D10" s="98">
        <v>550033332</v>
      </c>
      <c r="E10" s="98"/>
      <c r="F10" s="98"/>
      <c r="G10" s="98"/>
      <c r="H10" s="98"/>
      <c r="I10" s="117">
        <f t="shared" ref="I10:I11" si="1">SUM(J10:N10)</f>
        <v>0</v>
      </c>
      <c r="J10" s="98"/>
      <c r="K10" s="98"/>
      <c r="L10" s="98"/>
      <c r="M10" s="98"/>
      <c r="N10" s="98"/>
      <c r="O10" s="117">
        <f>SUM(P10:T10)</f>
        <v>0</v>
      </c>
      <c r="P10" s="98"/>
      <c r="Q10" s="98">
        <v>0</v>
      </c>
      <c r="R10" s="98"/>
      <c r="S10" s="98"/>
      <c r="T10" s="98"/>
      <c r="U10" s="10">
        <v>10100</v>
      </c>
      <c r="V10" s="622"/>
      <c r="W10" s="623"/>
      <c r="X10" s="559"/>
    </row>
    <row r="11" spans="1:24" s="10" customFormat="1" ht="23.25" customHeight="1">
      <c r="A11" s="345" t="s">
        <v>5</v>
      </c>
      <c r="B11" s="119" t="s">
        <v>760</v>
      </c>
      <c r="C11" s="117">
        <f t="shared" ref="C11:C60" si="2">SUM(D11:H11)-O11+P11</f>
        <v>425539396</v>
      </c>
      <c r="D11" s="98">
        <v>425539396</v>
      </c>
      <c r="E11" s="98"/>
      <c r="F11" s="98"/>
      <c r="G11" s="98"/>
      <c r="H11" s="98"/>
      <c r="I11" s="117">
        <f t="shared" si="1"/>
        <v>0</v>
      </c>
      <c r="J11" s="98"/>
      <c r="K11" s="98"/>
      <c r="L11" s="98"/>
      <c r="M11" s="98"/>
      <c r="N11" s="98"/>
      <c r="O11" s="117">
        <f t="shared" ref="O11:O60" si="3">SUM(P11:T11)</f>
        <v>0</v>
      </c>
      <c r="P11" s="98"/>
      <c r="Q11" s="98">
        <v>0</v>
      </c>
      <c r="R11" s="98"/>
      <c r="S11" s="98"/>
      <c r="T11" s="98"/>
      <c r="U11" s="143">
        <v>10300</v>
      </c>
      <c r="V11" s="622"/>
      <c r="W11" s="624"/>
      <c r="X11" s="559"/>
    </row>
    <row r="12" spans="1:24" s="10" customFormat="1" ht="23.25" customHeight="1">
      <c r="A12" s="345" t="s">
        <v>6</v>
      </c>
      <c r="B12" s="119" t="s">
        <v>761</v>
      </c>
      <c r="C12" s="117">
        <f t="shared" si="2"/>
        <v>700292075</v>
      </c>
      <c r="D12" s="98">
        <v>700406984</v>
      </c>
      <c r="E12" s="98"/>
      <c r="F12" s="98"/>
      <c r="G12" s="98"/>
      <c r="H12" s="98"/>
      <c r="I12" s="117">
        <f>SUM(J12:N12)</f>
        <v>0</v>
      </c>
      <c r="J12" s="98"/>
      <c r="K12" s="98"/>
      <c r="L12" s="98"/>
      <c r="M12" s="98"/>
      <c r="N12" s="98"/>
      <c r="O12" s="117">
        <f t="shared" si="3"/>
        <v>114909</v>
      </c>
      <c r="P12" s="98"/>
      <c r="Q12" s="98">
        <v>114909</v>
      </c>
      <c r="R12" s="98"/>
      <c r="S12" s="98"/>
      <c r="T12" s="98"/>
      <c r="U12" s="143">
        <v>10500</v>
      </c>
      <c r="V12" s="559"/>
      <c r="X12" s="559"/>
    </row>
    <row r="13" spans="1:24" s="10" customFormat="1" ht="23.25" customHeight="1">
      <c r="A13" s="345" t="s">
        <v>4</v>
      </c>
      <c r="B13" s="119" t="s">
        <v>768</v>
      </c>
      <c r="C13" s="117">
        <f t="shared" si="2"/>
        <v>454589171</v>
      </c>
      <c r="D13" s="98">
        <v>454589171</v>
      </c>
      <c r="E13" s="98"/>
      <c r="F13" s="98"/>
      <c r="G13" s="98"/>
      <c r="H13" s="98"/>
      <c r="I13" s="117">
        <f t="shared" ref="I13:I60" si="4">SUM(J13:N13)</f>
        <v>0</v>
      </c>
      <c r="J13" s="98"/>
      <c r="K13" s="98"/>
      <c r="L13" s="98"/>
      <c r="M13" s="98"/>
      <c r="N13" s="98"/>
      <c r="O13" s="117">
        <f t="shared" si="3"/>
        <v>0</v>
      </c>
      <c r="P13" s="98"/>
      <c r="Q13" s="98">
        <v>0</v>
      </c>
      <c r="R13" s="98"/>
      <c r="S13" s="98"/>
      <c r="T13" s="98"/>
      <c r="U13" s="10">
        <v>10700</v>
      </c>
      <c r="V13" s="559"/>
      <c r="X13" s="559"/>
    </row>
    <row r="14" spans="1:24" s="10" customFormat="1" ht="35.25" customHeight="1">
      <c r="A14" s="345" t="s">
        <v>3</v>
      </c>
      <c r="B14" s="119" t="s">
        <v>769</v>
      </c>
      <c r="C14" s="117">
        <f t="shared" si="2"/>
        <v>0</v>
      </c>
      <c r="D14" s="98">
        <v>0</v>
      </c>
      <c r="E14" s="98"/>
      <c r="F14" s="98"/>
      <c r="G14" s="98"/>
      <c r="H14" s="98"/>
      <c r="I14" s="117">
        <f t="shared" si="4"/>
        <v>0</v>
      </c>
      <c r="J14" s="98"/>
      <c r="K14" s="98"/>
      <c r="L14" s="98"/>
      <c r="M14" s="98"/>
      <c r="N14" s="98"/>
      <c r="O14" s="117">
        <f t="shared" si="3"/>
        <v>0</v>
      </c>
      <c r="P14" s="98"/>
      <c r="Q14" s="98"/>
      <c r="R14" s="98"/>
      <c r="S14" s="98"/>
      <c r="T14" s="98"/>
      <c r="U14" s="10">
        <v>10800</v>
      </c>
      <c r="V14" s="559"/>
      <c r="X14" s="559"/>
    </row>
    <row r="15" spans="1:24" s="10" customFormat="1" ht="23.25" customHeight="1">
      <c r="A15" s="345" t="s">
        <v>8</v>
      </c>
      <c r="B15" s="119" t="s">
        <v>247</v>
      </c>
      <c r="C15" s="117">
        <f t="shared" si="2"/>
        <v>175</v>
      </c>
      <c r="D15" s="98">
        <v>175</v>
      </c>
      <c r="E15" s="98"/>
      <c r="F15" s="98"/>
      <c r="G15" s="98"/>
      <c r="H15" s="98"/>
      <c r="I15" s="117">
        <f t="shared" si="4"/>
        <v>0</v>
      </c>
      <c r="J15" s="98"/>
      <c r="K15" s="98"/>
      <c r="L15" s="98"/>
      <c r="M15" s="98"/>
      <c r="N15" s="98"/>
      <c r="O15" s="117">
        <f t="shared" si="3"/>
        <v>0</v>
      </c>
      <c r="P15" s="98"/>
      <c r="Q15" s="98">
        <v>0</v>
      </c>
      <c r="R15" s="98"/>
      <c r="S15" s="98"/>
      <c r="T15" s="98"/>
      <c r="U15" s="10">
        <v>10900</v>
      </c>
      <c r="V15" s="559"/>
      <c r="X15" s="559"/>
    </row>
    <row r="16" spans="1:24" s="10" customFormat="1" ht="23.25" customHeight="1">
      <c r="A16" s="345" t="s">
        <v>7</v>
      </c>
      <c r="B16" s="119" t="s">
        <v>770</v>
      </c>
      <c r="C16" s="117">
        <f t="shared" si="2"/>
        <v>0</v>
      </c>
      <c r="D16" s="98">
        <v>0</v>
      </c>
      <c r="E16" s="98">
        <v>183563</v>
      </c>
      <c r="F16" s="98">
        <v>0</v>
      </c>
      <c r="G16" s="98">
        <v>0</v>
      </c>
      <c r="H16" s="98">
        <v>4750</v>
      </c>
      <c r="I16" s="117">
        <f t="shared" si="4"/>
        <v>188313.39299000002</v>
      </c>
      <c r="J16" s="98">
        <v>0</v>
      </c>
      <c r="K16" s="98">
        <v>0</v>
      </c>
      <c r="L16" s="98">
        <v>0</v>
      </c>
      <c r="M16" s="98">
        <v>0</v>
      </c>
      <c r="N16" s="98">
        <v>188313.39299000002</v>
      </c>
      <c r="O16" s="117">
        <f t="shared" si="3"/>
        <v>188313</v>
      </c>
      <c r="P16" s="98">
        <v>0</v>
      </c>
      <c r="Q16" s="98">
        <v>0</v>
      </c>
      <c r="R16" s="98">
        <v>0</v>
      </c>
      <c r="S16" s="98">
        <v>0</v>
      </c>
      <c r="T16" s="98">
        <v>188313</v>
      </c>
      <c r="U16" s="10">
        <v>11100</v>
      </c>
      <c r="V16" s="559"/>
      <c r="X16" s="559"/>
    </row>
    <row r="17" spans="1:24" ht="31.5">
      <c r="A17" s="118">
        <v>8</v>
      </c>
      <c r="B17" s="119" t="s">
        <v>248</v>
      </c>
      <c r="C17" s="117">
        <f t="shared" si="2"/>
        <v>0</v>
      </c>
      <c r="D17" s="98"/>
      <c r="E17" s="98"/>
      <c r="F17" s="98"/>
      <c r="G17" s="98"/>
      <c r="H17" s="98"/>
      <c r="I17" s="117">
        <f t="shared" si="4"/>
        <v>0</v>
      </c>
      <c r="J17" s="98"/>
      <c r="K17" s="98"/>
      <c r="L17" s="98"/>
      <c r="M17" s="98"/>
      <c r="N17" s="98"/>
      <c r="O17" s="117">
        <f t="shared" si="3"/>
        <v>0</v>
      </c>
      <c r="P17" s="98"/>
      <c r="Q17" s="98"/>
      <c r="R17" s="98"/>
      <c r="S17" s="98"/>
      <c r="T17" s="98"/>
      <c r="U17" s="143">
        <v>11500</v>
      </c>
      <c r="V17" s="559"/>
      <c r="W17" s="10"/>
      <c r="X17" s="559"/>
    </row>
    <row r="18" spans="1:24" ht="23.25" customHeight="1">
      <c r="A18" s="118">
        <v>9</v>
      </c>
      <c r="B18" s="119" t="s">
        <v>249</v>
      </c>
      <c r="C18" s="117">
        <f t="shared" si="2"/>
        <v>0</v>
      </c>
      <c r="D18" s="98"/>
      <c r="E18" s="98"/>
      <c r="F18" s="98"/>
      <c r="G18" s="98"/>
      <c r="H18" s="98"/>
      <c r="I18" s="117">
        <f t="shared" si="4"/>
        <v>0</v>
      </c>
      <c r="J18" s="98"/>
      <c r="K18" s="98"/>
      <c r="L18" s="98"/>
      <c r="M18" s="98"/>
      <c r="N18" s="98"/>
      <c r="O18" s="117">
        <f t="shared" si="3"/>
        <v>0</v>
      </c>
      <c r="P18" s="98"/>
      <c r="Q18" s="98"/>
      <c r="R18" s="98"/>
      <c r="S18" s="98"/>
      <c r="T18" s="98"/>
      <c r="U18" s="143">
        <v>11700</v>
      </c>
      <c r="V18" s="559"/>
      <c r="W18" s="10"/>
      <c r="X18" s="559"/>
    </row>
    <row r="19" spans="1:24" ht="23.25" customHeight="1">
      <c r="A19" s="118">
        <v>10</v>
      </c>
      <c r="B19" s="347" t="s">
        <v>250</v>
      </c>
      <c r="C19" s="117">
        <f t="shared" si="2"/>
        <v>0</v>
      </c>
      <c r="D19" s="98"/>
      <c r="E19" s="98"/>
      <c r="F19" s="98"/>
      <c r="G19" s="98"/>
      <c r="H19" s="98"/>
      <c r="I19" s="117">
        <f t="shared" si="4"/>
        <v>0</v>
      </c>
      <c r="J19" s="98"/>
      <c r="K19" s="98"/>
      <c r="L19" s="98"/>
      <c r="M19" s="98"/>
      <c r="N19" s="98"/>
      <c r="O19" s="117">
        <f t="shared" si="3"/>
        <v>0</v>
      </c>
      <c r="P19" s="98"/>
      <c r="Q19" s="98"/>
      <c r="R19" s="98"/>
      <c r="S19" s="98"/>
      <c r="T19" s="98"/>
      <c r="U19" s="143">
        <v>11800</v>
      </c>
      <c r="V19" s="559"/>
      <c r="W19" s="10"/>
      <c r="X19" s="559"/>
    </row>
    <row r="20" spans="1:24" ht="23.25" customHeight="1">
      <c r="A20" s="118">
        <v>11</v>
      </c>
      <c r="B20" s="119" t="s">
        <v>251</v>
      </c>
      <c r="C20" s="117">
        <f t="shared" si="2"/>
        <v>0</v>
      </c>
      <c r="D20" s="98"/>
      <c r="E20" s="98"/>
      <c r="F20" s="98"/>
      <c r="G20" s="98"/>
      <c r="H20" s="98"/>
      <c r="I20" s="117">
        <f t="shared" si="4"/>
        <v>0</v>
      </c>
      <c r="J20" s="98"/>
      <c r="K20" s="98"/>
      <c r="L20" s="98"/>
      <c r="M20" s="98"/>
      <c r="N20" s="98"/>
      <c r="O20" s="117">
        <f t="shared" si="3"/>
        <v>0</v>
      </c>
      <c r="P20" s="98"/>
      <c r="Q20" s="98"/>
      <c r="R20" s="98"/>
      <c r="S20" s="98"/>
      <c r="T20" s="98"/>
      <c r="U20" s="143">
        <v>11900</v>
      </c>
      <c r="V20" s="559"/>
      <c r="W20" s="10"/>
      <c r="X20" s="559"/>
    </row>
    <row r="21" spans="1:24" ht="23.25" customHeight="1">
      <c r="A21" s="118">
        <v>12</v>
      </c>
      <c r="B21" s="119" t="s">
        <v>252</v>
      </c>
      <c r="C21" s="117">
        <f t="shared" si="2"/>
        <v>0</v>
      </c>
      <c r="D21" s="98"/>
      <c r="E21" s="98"/>
      <c r="F21" s="98"/>
      <c r="G21" s="98"/>
      <c r="H21" s="98"/>
      <c r="I21" s="117">
        <f t="shared" si="4"/>
        <v>0</v>
      </c>
      <c r="J21" s="98"/>
      <c r="K21" s="98"/>
      <c r="L21" s="98"/>
      <c r="M21" s="98"/>
      <c r="N21" s="98"/>
      <c r="O21" s="117">
        <f t="shared" si="3"/>
        <v>0</v>
      </c>
      <c r="P21" s="98"/>
      <c r="Q21" s="98"/>
      <c r="R21" s="98"/>
      <c r="S21" s="98"/>
      <c r="T21" s="98"/>
      <c r="U21" s="143">
        <v>12100</v>
      </c>
      <c r="V21" s="559"/>
      <c r="W21" s="10"/>
      <c r="X21" s="559"/>
    </row>
    <row r="22" spans="1:24" ht="23.25" customHeight="1">
      <c r="A22" s="118">
        <v>13</v>
      </c>
      <c r="B22" s="119" t="s">
        <v>253</v>
      </c>
      <c r="C22" s="117">
        <f t="shared" si="2"/>
        <v>0</v>
      </c>
      <c r="D22" s="98"/>
      <c r="E22" s="98"/>
      <c r="F22" s="98"/>
      <c r="G22" s="98"/>
      <c r="H22" s="98"/>
      <c r="I22" s="117">
        <f t="shared" si="4"/>
        <v>0</v>
      </c>
      <c r="J22" s="98"/>
      <c r="K22" s="98"/>
      <c r="L22" s="98"/>
      <c r="M22" s="98"/>
      <c r="N22" s="98"/>
      <c r="O22" s="117">
        <f t="shared" si="3"/>
        <v>0</v>
      </c>
      <c r="P22" s="98"/>
      <c r="Q22" s="98"/>
      <c r="R22" s="98"/>
      <c r="S22" s="98"/>
      <c r="T22" s="98"/>
      <c r="U22" s="143">
        <v>12300</v>
      </c>
      <c r="V22" s="559"/>
      <c r="W22" s="10"/>
      <c r="X22" s="559"/>
    </row>
    <row r="23" spans="1:24" ht="23.25" customHeight="1">
      <c r="A23" s="118">
        <v>14</v>
      </c>
      <c r="B23" s="119" t="s">
        <v>254</v>
      </c>
      <c r="C23" s="117">
        <f t="shared" si="2"/>
        <v>0</v>
      </c>
      <c r="D23" s="98"/>
      <c r="E23" s="98"/>
      <c r="F23" s="98"/>
      <c r="G23" s="98"/>
      <c r="H23" s="98"/>
      <c r="I23" s="117">
        <f t="shared" si="4"/>
        <v>0</v>
      </c>
      <c r="J23" s="98"/>
      <c r="K23" s="98"/>
      <c r="L23" s="98"/>
      <c r="M23" s="98"/>
      <c r="N23" s="98"/>
      <c r="O23" s="117">
        <f t="shared" si="3"/>
        <v>0</v>
      </c>
      <c r="P23" s="98"/>
      <c r="Q23" s="98"/>
      <c r="R23" s="98"/>
      <c r="S23" s="98"/>
      <c r="T23" s="98"/>
      <c r="U23" s="143">
        <v>12400</v>
      </c>
      <c r="V23" s="559"/>
      <c r="W23" s="10"/>
      <c r="X23" s="559"/>
    </row>
    <row r="24" spans="1:24" ht="23.25" customHeight="1">
      <c r="A24" s="118">
        <v>15</v>
      </c>
      <c r="B24" s="119" t="s">
        <v>255</v>
      </c>
      <c r="C24" s="117">
        <f>SUM(D24:H24)-O24+P24</f>
        <v>383237356</v>
      </c>
      <c r="D24" s="98">
        <v>378063913</v>
      </c>
      <c r="E24" s="98">
        <v>4823632</v>
      </c>
      <c r="F24" s="98">
        <v>821898</v>
      </c>
      <c r="G24" s="98">
        <v>1369300</v>
      </c>
      <c r="H24" s="98">
        <v>4282209</v>
      </c>
      <c r="I24" s="117">
        <f t="shared" si="4"/>
        <v>8112707.6155899987</v>
      </c>
      <c r="J24" s="98">
        <v>526809.68660999974</v>
      </c>
      <c r="K24" s="98">
        <v>990227.20303999959</v>
      </c>
      <c r="L24" s="98">
        <v>640824.35377999977</v>
      </c>
      <c r="M24" s="98">
        <v>857444.22448000079</v>
      </c>
      <c r="N24" s="98">
        <v>5097402.1476799985</v>
      </c>
      <c r="O24" s="117">
        <f t="shared" si="3"/>
        <v>6123596</v>
      </c>
      <c r="P24" s="98">
        <v>0</v>
      </c>
      <c r="Q24" s="98">
        <v>1076144</v>
      </c>
      <c r="R24" s="98">
        <v>337057</v>
      </c>
      <c r="S24" s="98">
        <v>437597</v>
      </c>
      <c r="T24" s="98">
        <v>4272798</v>
      </c>
      <c r="U24" s="143">
        <v>12500</v>
      </c>
      <c r="V24" s="559"/>
      <c r="W24" s="10"/>
      <c r="X24" s="559"/>
    </row>
    <row r="25" spans="1:24" ht="23.25" customHeight="1">
      <c r="A25" s="118">
        <v>16</v>
      </c>
      <c r="B25" s="119" t="s">
        <v>256</v>
      </c>
      <c r="C25" s="117">
        <f t="shared" si="2"/>
        <v>65514141</v>
      </c>
      <c r="D25" s="98">
        <v>63519491</v>
      </c>
      <c r="E25" s="98">
        <v>2040261</v>
      </c>
      <c r="F25" s="98">
        <v>0</v>
      </c>
      <c r="G25" s="98">
        <v>329940</v>
      </c>
      <c r="H25" s="98">
        <v>395189</v>
      </c>
      <c r="I25" s="117">
        <f t="shared" si="4"/>
        <v>1699549.3383400002</v>
      </c>
      <c r="J25" s="98">
        <v>14205.281570000001</v>
      </c>
      <c r="K25" s="98">
        <v>237055.22770000002</v>
      </c>
      <c r="L25" s="98">
        <v>449966.6482</v>
      </c>
      <c r="M25" s="98">
        <v>252266.25229999999</v>
      </c>
      <c r="N25" s="98">
        <v>746055.92857000022</v>
      </c>
      <c r="O25" s="117">
        <f t="shared" si="3"/>
        <v>770740</v>
      </c>
      <c r="P25" s="98">
        <v>0</v>
      </c>
      <c r="Q25" s="98">
        <v>0</v>
      </c>
      <c r="R25" s="98">
        <v>0</v>
      </c>
      <c r="S25" s="98">
        <v>0</v>
      </c>
      <c r="T25" s="98">
        <v>770740</v>
      </c>
      <c r="U25" s="143">
        <v>12600</v>
      </c>
      <c r="V25" s="559"/>
      <c r="W25" s="10"/>
      <c r="X25" s="559"/>
    </row>
    <row r="26" spans="1:24" ht="23.25" customHeight="1">
      <c r="A26" s="118">
        <v>17</v>
      </c>
      <c r="B26" s="119" t="s">
        <v>771</v>
      </c>
      <c r="C26" s="117">
        <f>SUM(D26:H26)-O26+P26</f>
        <v>59374260</v>
      </c>
      <c r="D26" s="98">
        <v>58485371</v>
      </c>
      <c r="E26" s="98">
        <v>888889</v>
      </c>
      <c r="F26" s="98">
        <v>0</v>
      </c>
      <c r="G26" s="98">
        <v>0</v>
      </c>
      <c r="H26" s="98">
        <v>160630</v>
      </c>
      <c r="I26" s="117">
        <f t="shared" si="4"/>
        <v>7716185.3301400002</v>
      </c>
      <c r="J26" s="98">
        <v>6666666.6670000004</v>
      </c>
      <c r="K26" s="98">
        <v>0</v>
      </c>
      <c r="L26" s="98">
        <v>0</v>
      </c>
      <c r="M26" s="98">
        <v>0</v>
      </c>
      <c r="N26" s="98">
        <v>1049518.6631400001</v>
      </c>
      <c r="O26" s="117">
        <f t="shared" si="3"/>
        <v>160630</v>
      </c>
      <c r="P26" s="98">
        <v>0</v>
      </c>
      <c r="Q26" s="98">
        <v>0</v>
      </c>
      <c r="R26" s="98">
        <v>0</v>
      </c>
      <c r="S26" s="98">
        <v>0</v>
      </c>
      <c r="T26" s="98">
        <v>160630</v>
      </c>
      <c r="U26" s="143">
        <v>12700</v>
      </c>
      <c r="V26" s="559"/>
      <c r="W26" s="560"/>
      <c r="X26" s="559"/>
    </row>
    <row r="27" spans="1:24" ht="33.75" customHeight="1">
      <c r="A27" s="118">
        <v>18</v>
      </c>
      <c r="B27" s="119" t="s">
        <v>772</v>
      </c>
      <c r="C27" s="117">
        <f t="shared" si="2"/>
        <v>0</v>
      </c>
      <c r="D27" s="98"/>
      <c r="E27" s="98"/>
      <c r="F27" s="98"/>
      <c r="G27" s="98"/>
      <c r="H27" s="98"/>
      <c r="I27" s="117">
        <f t="shared" si="4"/>
        <v>0</v>
      </c>
      <c r="J27" s="98"/>
      <c r="K27" s="98"/>
      <c r="L27" s="98"/>
      <c r="M27" s="98"/>
      <c r="N27" s="98"/>
      <c r="O27" s="117">
        <f t="shared" si="3"/>
        <v>0</v>
      </c>
      <c r="P27" s="98"/>
      <c r="Q27" s="98"/>
      <c r="R27" s="98"/>
      <c r="S27" s="98"/>
      <c r="T27" s="98"/>
      <c r="U27" s="143">
        <v>12800</v>
      </c>
      <c r="V27" s="559"/>
      <c r="W27" s="560"/>
      <c r="X27" s="566"/>
    </row>
    <row r="28" spans="1:24" ht="23.25" customHeight="1">
      <c r="A28" s="118">
        <v>19</v>
      </c>
      <c r="B28" s="119" t="s">
        <v>257</v>
      </c>
      <c r="C28" s="117">
        <f t="shared" si="2"/>
        <v>72927570</v>
      </c>
      <c r="D28" s="98">
        <v>72927570</v>
      </c>
      <c r="E28" s="98">
        <v>0</v>
      </c>
      <c r="F28" s="98">
        <v>0</v>
      </c>
      <c r="G28" s="98">
        <v>0</v>
      </c>
      <c r="H28" s="98">
        <v>0</v>
      </c>
      <c r="I28" s="117">
        <f t="shared" si="4"/>
        <v>0</v>
      </c>
      <c r="J28" s="98"/>
      <c r="K28" s="98"/>
      <c r="L28" s="98"/>
      <c r="M28" s="98"/>
      <c r="N28" s="98"/>
      <c r="O28" s="117">
        <f t="shared" si="3"/>
        <v>0</v>
      </c>
      <c r="P28" s="98"/>
      <c r="Q28" s="98"/>
      <c r="R28" s="98"/>
      <c r="S28" s="98"/>
      <c r="T28" s="98"/>
      <c r="U28" s="143">
        <v>12900</v>
      </c>
      <c r="V28" s="559"/>
      <c r="W28" s="10"/>
      <c r="X28" s="559"/>
    </row>
    <row r="29" spans="1:24" ht="24" customHeight="1">
      <c r="A29" s="118">
        <v>20</v>
      </c>
      <c r="B29" s="119" t="s">
        <v>258</v>
      </c>
      <c r="C29" s="117">
        <f t="shared" si="2"/>
        <v>9281</v>
      </c>
      <c r="D29" s="98">
        <v>9281</v>
      </c>
      <c r="E29" s="98"/>
      <c r="F29" s="98"/>
      <c r="G29" s="98"/>
      <c r="H29" s="98"/>
      <c r="I29" s="117">
        <f t="shared" si="4"/>
        <v>0</v>
      </c>
      <c r="J29" s="98"/>
      <c r="K29" s="98"/>
      <c r="L29" s="98"/>
      <c r="M29" s="98"/>
      <c r="N29" s="98"/>
      <c r="O29" s="117">
        <f t="shared" si="3"/>
        <v>0</v>
      </c>
      <c r="P29" s="98"/>
      <c r="Q29" s="98"/>
      <c r="R29" s="98"/>
      <c r="S29" s="98"/>
      <c r="T29" s="98"/>
      <c r="U29" s="143">
        <v>13000</v>
      </c>
      <c r="V29" s="559"/>
      <c r="W29" s="10"/>
      <c r="X29" s="559"/>
    </row>
    <row r="30" spans="1:24" ht="33.75" customHeight="1">
      <c r="A30" s="118">
        <v>21</v>
      </c>
      <c r="B30" s="119" t="s">
        <v>259</v>
      </c>
      <c r="C30" s="117">
        <f t="shared" si="2"/>
        <v>789333227</v>
      </c>
      <c r="D30" s="98">
        <v>690124253</v>
      </c>
      <c r="E30" s="98">
        <v>105508450</v>
      </c>
      <c r="F30" s="98">
        <v>4352</v>
      </c>
      <c r="G30" s="98">
        <v>8202915</v>
      </c>
      <c r="H30" s="98">
        <v>12504914</v>
      </c>
      <c r="I30" s="117">
        <f t="shared" si="4"/>
        <v>82572148.762480006</v>
      </c>
      <c r="J30" s="98">
        <v>4714828.2339900006</v>
      </c>
      <c r="K30" s="98">
        <v>32388113.713640001</v>
      </c>
      <c r="L30" s="98">
        <v>15028124.4235</v>
      </c>
      <c r="M30" s="98">
        <v>13255815.615559997</v>
      </c>
      <c r="N30" s="98">
        <v>17185266.775790002</v>
      </c>
      <c r="O30" s="117">
        <f t="shared" si="3"/>
        <v>27011657</v>
      </c>
      <c r="P30" s="98">
        <v>0</v>
      </c>
      <c r="Q30" s="98">
        <v>5633149</v>
      </c>
      <c r="R30" s="98">
        <v>178592</v>
      </c>
      <c r="S30" s="98">
        <v>354468</v>
      </c>
      <c r="T30" s="98">
        <v>20845448</v>
      </c>
      <c r="U30" s="143">
        <v>13100</v>
      </c>
      <c r="V30" s="559"/>
      <c r="W30" s="10"/>
      <c r="X30" s="559"/>
    </row>
    <row r="31" spans="1:24" ht="23.25" customHeight="1">
      <c r="A31" s="118">
        <v>22</v>
      </c>
      <c r="B31" s="119" t="s">
        <v>260</v>
      </c>
      <c r="C31" s="117">
        <f t="shared" si="2"/>
        <v>0</v>
      </c>
      <c r="D31" s="98"/>
      <c r="E31" s="98"/>
      <c r="F31" s="98"/>
      <c r="G31" s="98"/>
      <c r="H31" s="98"/>
      <c r="I31" s="117">
        <f t="shared" si="4"/>
        <v>0</v>
      </c>
      <c r="J31" s="98"/>
      <c r="K31" s="98"/>
      <c r="L31" s="98"/>
      <c r="M31" s="98"/>
      <c r="N31" s="98"/>
      <c r="O31" s="117">
        <f t="shared" si="3"/>
        <v>0</v>
      </c>
      <c r="P31" s="98"/>
      <c r="Q31" s="98"/>
      <c r="R31" s="98"/>
      <c r="S31" s="98"/>
      <c r="T31" s="98"/>
      <c r="U31" s="143">
        <v>13200</v>
      </c>
      <c r="V31" s="559"/>
      <c r="W31" s="10"/>
      <c r="X31" s="559"/>
    </row>
    <row r="32" spans="1:24" ht="32.25" customHeight="1">
      <c r="A32" s="118">
        <v>23</v>
      </c>
      <c r="B32" s="119" t="s">
        <v>261</v>
      </c>
      <c r="C32" s="117">
        <f t="shared" si="2"/>
        <v>0</v>
      </c>
      <c r="D32" s="98"/>
      <c r="E32" s="98"/>
      <c r="F32" s="98"/>
      <c r="G32" s="98"/>
      <c r="H32" s="98"/>
      <c r="I32" s="117">
        <f t="shared" ref="I32:I33" si="5">SUM(J32:N32)</f>
        <v>0</v>
      </c>
      <c r="J32" s="98"/>
      <c r="K32" s="98"/>
      <c r="L32" s="98"/>
      <c r="M32" s="98"/>
      <c r="N32" s="98"/>
      <c r="O32" s="117">
        <f t="shared" si="3"/>
        <v>0</v>
      </c>
      <c r="P32" s="98"/>
      <c r="Q32" s="98"/>
      <c r="R32" s="98"/>
      <c r="S32" s="98"/>
      <c r="T32" s="98"/>
      <c r="U32" s="143">
        <v>13300</v>
      </c>
      <c r="V32" s="559"/>
      <c r="W32" s="10"/>
      <c r="X32" s="559"/>
    </row>
    <row r="33" spans="1:24" ht="32.25" customHeight="1">
      <c r="A33" s="118">
        <v>24</v>
      </c>
      <c r="B33" s="119" t="s">
        <v>773</v>
      </c>
      <c r="C33" s="117">
        <f t="shared" si="2"/>
        <v>0</v>
      </c>
      <c r="D33" s="98"/>
      <c r="E33" s="98"/>
      <c r="F33" s="98"/>
      <c r="G33" s="98"/>
      <c r="H33" s="98"/>
      <c r="I33" s="117">
        <f t="shared" si="5"/>
        <v>0</v>
      </c>
      <c r="J33" s="98"/>
      <c r="K33" s="98"/>
      <c r="L33" s="98"/>
      <c r="M33" s="98"/>
      <c r="N33" s="98"/>
      <c r="O33" s="117">
        <f t="shared" si="3"/>
        <v>0</v>
      </c>
      <c r="P33" s="98"/>
      <c r="Q33" s="98"/>
      <c r="R33" s="98"/>
      <c r="S33" s="98"/>
      <c r="T33" s="98"/>
      <c r="U33" s="143">
        <v>14300</v>
      </c>
      <c r="V33" s="559"/>
      <c r="W33" s="560"/>
      <c r="X33" s="559"/>
    </row>
    <row r="34" spans="1:24" ht="33.75" customHeight="1">
      <c r="A34" s="118">
        <v>25</v>
      </c>
      <c r="B34" s="119" t="s">
        <v>774</v>
      </c>
      <c r="C34" s="117">
        <f t="shared" si="2"/>
        <v>162669466</v>
      </c>
      <c r="D34" s="98">
        <v>119077712</v>
      </c>
      <c r="E34" s="98">
        <v>45499543</v>
      </c>
      <c r="F34" s="98">
        <v>0</v>
      </c>
      <c r="G34" s="98">
        <v>0</v>
      </c>
      <c r="H34" s="98">
        <v>0</v>
      </c>
      <c r="I34" s="117">
        <f t="shared" si="4"/>
        <v>2179410.4440700002</v>
      </c>
      <c r="J34" s="98">
        <v>49856.82905</v>
      </c>
      <c r="K34" s="98">
        <v>785109.17402000003</v>
      </c>
      <c r="L34" s="98">
        <v>0</v>
      </c>
      <c r="M34" s="98">
        <v>1344444.4410000001</v>
      </c>
      <c r="N34" s="98">
        <v>0</v>
      </c>
      <c r="O34" s="117">
        <f t="shared" si="3"/>
        <v>1907789</v>
      </c>
      <c r="P34" s="98">
        <v>0</v>
      </c>
      <c r="Q34" s="98">
        <v>1907789</v>
      </c>
      <c r="R34" s="98">
        <v>0</v>
      </c>
      <c r="S34" s="98">
        <v>0</v>
      </c>
      <c r="T34" s="98">
        <v>0</v>
      </c>
      <c r="U34" s="143">
        <v>14400</v>
      </c>
      <c r="V34" s="559"/>
      <c r="W34" s="560"/>
      <c r="X34" s="559"/>
    </row>
    <row r="35" spans="1:24" ht="23.25" customHeight="1">
      <c r="A35" s="118">
        <v>26</v>
      </c>
      <c r="B35" s="119" t="s">
        <v>262</v>
      </c>
      <c r="C35" s="117">
        <f t="shared" si="2"/>
        <v>0</v>
      </c>
      <c r="D35" s="98"/>
      <c r="E35" s="98"/>
      <c r="F35" s="98"/>
      <c r="G35" s="98"/>
      <c r="H35" s="98"/>
      <c r="I35" s="117">
        <f t="shared" si="4"/>
        <v>0</v>
      </c>
      <c r="J35" s="98"/>
      <c r="K35" s="98"/>
      <c r="L35" s="98"/>
      <c r="M35" s="98"/>
      <c r="N35" s="98"/>
      <c r="O35" s="117">
        <f t="shared" si="3"/>
        <v>0</v>
      </c>
      <c r="P35" s="98"/>
      <c r="Q35" s="98"/>
      <c r="R35" s="98"/>
      <c r="S35" s="98"/>
      <c r="T35" s="98"/>
      <c r="U35" s="143">
        <v>14500</v>
      </c>
      <c r="V35" s="559"/>
      <c r="W35" s="10"/>
      <c r="X35" s="559"/>
    </row>
    <row r="36" spans="1:24" ht="23.25" customHeight="1">
      <c r="A36" s="118">
        <v>27</v>
      </c>
      <c r="B36" s="119" t="s">
        <v>263</v>
      </c>
      <c r="C36" s="117">
        <f t="shared" si="2"/>
        <v>0</v>
      </c>
      <c r="D36" s="98"/>
      <c r="E36" s="98"/>
      <c r="F36" s="98"/>
      <c r="G36" s="98"/>
      <c r="H36" s="98"/>
      <c r="I36" s="117">
        <f t="shared" si="4"/>
        <v>0</v>
      </c>
      <c r="J36" s="98"/>
      <c r="K36" s="98"/>
      <c r="L36" s="98"/>
      <c r="M36" s="98"/>
      <c r="N36" s="98"/>
      <c r="O36" s="117">
        <f t="shared" si="3"/>
        <v>0</v>
      </c>
      <c r="P36" s="98"/>
      <c r="Q36" s="98"/>
      <c r="R36" s="98"/>
      <c r="S36" s="98"/>
      <c r="T36" s="98"/>
      <c r="U36" s="143">
        <v>14700</v>
      </c>
      <c r="V36" s="559"/>
      <c r="W36" s="10"/>
      <c r="X36" s="559"/>
    </row>
    <row r="37" spans="1:24" ht="23.25" customHeight="1">
      <c r="A37" s="118">
        <v>28</v>
      </c>
      <c r="B37" s="119" t="s">
        <v>264</v>
      </c>
      <c r="C37" s="117">
        <f t="shared" si="2"/>
        <v>0</v>
      </c>
      <c r="D37" s="98"/>
      <c r="E37" s="98"/>
      <c r="F37" s="98"/>
      <c r="G37" s="98"/>
      <c r="H37" s="98"/>
      <c r="I37" s="117">
        <f t="shared" si="4"/>
        <v>0</v>
      </c>
      <c r="J37" s="98"/>
      <c r="K37" s="98"/>
      <c r="L37" s="98"/>
      <c r="M37" s="98"/>
      <c r="N37" s="98"/>
      <c r="O37" s="117">
        <f t="shared" si="3"/>
        <v>0</v>
      </c>
      <c r="P37" s="98"/>
      <c r="Q37" s="98"/>
      <c r="R37" s="98"/>
      <c r="S37" s="98"/>
      <c r="T37" s="98"/>
      <c r="U37" s="143">
        <v>14800</v>
      </c>
      <c r="V37" s="559"/>
      <c r="W37" s="10"/>
      <c r="X37" s="559"/>
    </row>
    <row r="38" spans="1:24" ht="23.25" customHeight="1">
      <c r="A38" s="118">
        <v>29</v>
      </c>
      <c r="B38" s="119" t="s">
        <v>265</v>
      </c>
      <c r="C38" s="117">
        <f t="shared" si="2"/>
        <v>4105373163</v>
      </c>
      <c r="D38" s="98">
        <v>3233013525</v>
      </c>
      <c r="E38" s="98">
        <v>586290005</v>
      </c>
      <c r="F38" s="98">
        <v>81600165</v>
      </c>
      <c r="G38" s="98">
        <v>200513239</v>
      </c>
      <c r="H38" s="98">
        <v>90607369</v>
      </c>
      <c r="I38" s="117">
        <f t="shared" si="4"/>
        <v>202745732.28751034</v>
      </c>
      <c r="J38" s="98">
        <v>7579674.6681900062</v>
      </c>
      <c r="K38" s="98">
        <v>26649807.919870134</v>
      </c>
      <c r="L38" s="98">
        <v>28741202.813290045</v>
      </c>
      <c r="M38" s="98">
        <v>37634267.378359832</v>
      </c>
      <c r="N38" s="98">
        <v>102140779.50780031</v>
      </c>
      <c r="O38" s="117">
        <f t="shared" si="3"/>
        <v>106138404</v>
      </c>
      <c r="P38" s="98">
        <v>19487264</v>
      </c>
      <c r="Q38" s="98">
        <v>18853326</v>
      </c>
      <c r="R38" s="98">
        <v>7896707</v>
      </c>
      <c r="S38" s="98">
        <v>17763216</v>
      </c>
      <c r="T38" s="98">
        <v>42137891</v>
      </c>
      <c r="U38" s="143">
        <v>14900</v>
      </c>
      <c r="V38" s="559"/>
      <c r="W38" s="10"/>
      <c r="X38" s="559"/>
    </row>
    <row r="39" spans="1:24" ht="23.25" customHeight="1">
      <c r="A39" s="118">
        <v>30</v>
      </c>
      <c r="B39" s="119" t="s">
        <v>266</v>
      </c>
      <c r="C39" s="117">
        <f t="shared" si="2"/>
        <v>167492533</v>
      </c>
      <c r="D39" s="98">
        <v>88474406</v>
      </c>
      <c r="E39" s="98">
        <v>47325847</v>
      </c>
      <c r="F39" s="98">
        <v>2502571</v>
      </c>
      <c r="G39" s="98">
        <v>25544894</v>
      </c>
      <c r="H39" s="98">
        <v>23012236</v>
      </c>
      <c r="I39" s="117">
        <f t="shared" si="4"/>
        <v>46055608.274100006</v>
      </c>
      <c r="J39" s="98">
        <v>577958.61839000008</v>
      </c>
      <c r="K39" s="98">
        <v>3986770.1996799991</v>
      </c>
      <c r="L39" s="98">
        <v>2158207.8261699998</v>
      </c>
      <c r="M39" s="98">
        <v>4339938.0778599987</v>
      </c>
      <c r="N39" s="98">
        <v>34992733.552000009</v>
      </c>
      <c r="O39" s="117">
        <f t="shared" si="3"/>
        <v>19367421</v>
      </c>
      <c r="P39" s="98">
        <v>0</v>
      </c>
      <c r="Q39" s="98">
        <v>1208102</v>
      </c>
      <c r="R39" s="98">
        <v>540345</v>
      </c>
      <c r="S39" s="98">
        <v>6549972</v>
      </c>
      <c r="T39" s="98">
        <v>11069002</v>
      </c>
      <c r="U39" s="143">
        <v>15000</v>
      </c>
      <c r="V39" s="559"/>
      <c r="W39" s="10"/>
      <c r="X39" s="559"/>
    </row>
    <row r="40" spans="1:24" ht="33.75" customHeight="1">
      <c r="A40" s="118">
        <v>31</v>
      </c>
      <c r="B40" s="119" t="s">
        <v>775</v>
      </c>
      <c r="C40" s="117">
        <f t="shared" si="2"/>
        <v>218360021</v>
      </c>
      <c r="D40" s="98">
        <v>214884018</v>
      </c>
      <c r="E40" s="98">
        <v>3438109</v>
      </c>
      <c r="F40" s="98">
        <v>0</v>
      </c>
      <c r="G40" s="98">
        <v>75789</v>
      </c>
      <c r="H40" s="98">
        <v>0</v>
      </c>
      <c r="I40" s="117">
        <f t="shared" si="4"/>
        <v>665592.86338999995</v>
      </c>
      <c r="J40" s="98">
        <v>0</v>
      </c>
      <c r="K40" s="98">
        <v>466184.34288999997</v>
      </c>
      <c r="L40" s="98">
        <v>0</v>
      </c>
      <c r="M40" s="98">
        <v>0</v>
      </c>
      <c r="N40" s="98">
        <v>199408.52050000001</v>
      </c>
      <c r="O40" s="117">
        <f t="shared" si="3"/>
        <v>37895</v>
      </c>
      <c r="P40" s="98">
        <v>0</v>
      </c>
      <c r="Q40" s="98">
        <v>0</v>
      </c>
      <c r="R40" s="98">
        <v>0</v>
      </c>
      <c r="S40" s="98">
        <v>37895</v>
      </c>
      <c r="T40" s="98">
        <v>0</v>
      </c>
      <c r="U40" s="143">
        <v>15100</v>
      </c>
      <c r="V40" s="559"/>
      <c r="W40" s="560"/>
      <c r="X40" s="559"/>
    </row>
    <row r="41" spans="1:24" ht="23.25" customHeight="1">
      <c r="A41" s="118">
        <v>32</v>
      </c>
      <c r="B41" s="119" t="s">
        <v>267</v>
      </c>
      <c r="C41" s="117">
        <f t="shared" si="2"/>
        <v>5116454</v>
      </c>
      <c r="D41" s="98">
        <v>2017159</v>
      </c>
      <c r="E41" s="98">
        <v>3099295</v>
      </c>
      <c r="F41" s="98">
        <v>0</v>
      </c>
      <c r="G41" s="98">
        <v>0</v>
      </c>
      <c r="H41" s="98">
        <v>0</v>
      </c>
      <c r="I41" s="117">
        <f t="shared" si="4"/>
        <v>9280.5539700000008</v>
      </c>
      <c r="J41" s="98">
        <v>9280.5539700000008</v>
      </c>
      <c r="K41" s="98">
        <v>0</v>
      </c>
      <c r="L41" s="98">
        <v>0</v>
      </c>
      <c r="M41" s="98">
        <v>0</v>
      </c>
      <c r="N41" s="98">
        <v>0</v>
      </c>
      <c r="O41" s="117">
        <f t="shared" si="3"/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143">
        <v>15200</v>
      </c>
      <c r="V41" s="559"/>
      <c r="W41" s="10"/>
      <c r="X41" s="559"/>
    </row>
    <row r="42" spans="1:24" ht="23.25" customHeight="1">
      <c r="A42" s="118">
        <v>33</v>
      </c>
      <c r="B42" s="119" t="s">
        <v>268</v>
      </c>
      <c r="C42" s="117">
        <f t="shared" si="2"/>
        <v>216128868</v>
      </c>
      <c r="D42" s="98">
        <v>213149059</v>
      </c>
      <c r="E42" s="98">
        <v>5150288</v>
      </c>
      <c r="F42" s="98">
        <v>0</v>
      </c>
      <c r="G42" s="98">
        <v>0</v>
      </c>
      <c r="H42" s="98">
        <v>0</v>
      </c>
      <c r="I42" s="117">
        <f t="shared" si="4"/>
        <v>585710.71416000009</v>
      </c>
      <c r="J42" s="98">
        <v>0</v>
      </c>
      <c r="K42" s="98">
        <v>585710.71416000009</v>
      </c>
      <c r="L42" s="98">
        <v>0</v>
      </c>
      <c r="M42" s="98">
        <v>0</v>
      </c>
      <c r="N42" s="98">
        <v>0</v>
      </c>
      <c r="O42" s="117">
        <f t="shared" si="3"/>
        <v>2170479</v>
      </c>
      <c r="P42" s="98">
        <v>0</v>
      </c>
      <c r="Q42" s="98">
        <v>0</v>
      </c>
      <c r="R42" s="98">
        <v>2170479</v>
      </c>
      <c r="S42" s="98">
        <v>0</v>
      </c>
      <c r="T42" s="98">
        <v>0</v>
      </c>
      <c r="U42" s="143">
        <v>15300</v>
      </c>
      <c r="V42" s="559"/>
      <c r="W42" s="10"/>
      <c r="X42" s="559"/>
    </row>
    <row r="43" spans="1:24" ht="23.25" customHeight="1">
      <c r="A43" s="118">
        <v>34</v>
      </c>
      <c r="B43" s="119" t="s">
        <v>269</v>
      </c>
      <c r="C43" s="117">
        <f t="shared" si="2"/>
        <v>0</v>
      </c>
      <c r="D43" s="98"/>
      <c r="E43" s="98"/>
      <c r="F43" s="98"/>
      <c r="G43" s="98"/>
      <c r="H43" s="98"/>
      <c r="I43" s="117">
        <f t="shared" si="4"/>
        <v>0</v>
      </c>
      <c r="J43" s="98"/>
      <c r="K43" s="98"/>
      <c r="L43" s="98"/>
      <c r="M43" s="98"/>
      <c r="N43" s="98"/>
      <c r="O43" s="117">
        <f t="shared" si="3"/>
        <v>0</v>
      </c>
      <c r="P43" s="98"/>
      <c r="Q43" s="98"/>
      <c r="R43" s="98"/>
      <c r="S43" s="98"/>
      <c r="T43" s="98"/>
      <c r="U43" s="143">
        <v>15400</v>
      </c>
      <c r="V43" s="559"/>
      <c r="W43" s="10"/>
      <c r="X43" s="559"/>
    </row>
    <row r="44" spans="1:24" ht="33.75" customHeight="1">
      <c r="A44" s="118">
        <v>35</v>
      </c>
      <c r="B44" s="119" t="s">
        <v>270</v>
      </c>
      <c r="C44" s="117">
        <f t="shared" si="2"/>
        <v>6653500807</v>
      </c>
      <c r="D44" s="98">
        <v>4888572249</v>
      </c>
      <c r="E44" s="98">
        <v>1768505353</v>
      </c>
      <c r="F44" s="98">
        <v>25888403</v>
      </c>
      <c r="G44" s="98">
        <v>95482443</v>
      </c>
      <c r="H44" s="98">
        <v>62140374</v>
      </c>
      <c r="I44" s="117">
        <f t="shared" si="4"/>
        <v>239427996.92621011</v>
      </c>
      <c r="J44" s="98">
        <v>8653414.7725300025</v>
      </c>
      <c r="K44" s="98">
        <v>91696729.229220018</v>
      </c>
      <c r="L44" s="98">
        <v>26625252.579080008</v>
      </c>
      <c r="M44" s="98">
        <v>41403889.407420024</v>
      </c>
      <c r="N44" s="98">
        <v>71048710.937960044</v>
      </c>
      <c r="O44" s="117">
        <f t="shared" si="3"/>
        <v>216318910</v>
      </c>
      <c r="P44" s="98">
        <v>29230895</v>
      </c>
      <c r="Q44" s="98">
        <v>70004477</v>
      </c>
      <c r="R44" s="98">
        <v>34653068</v>
      </c>
      <c r="S44" s="98">
        <v>6107992</v>
      </c>
      <c r="T44" s="98">
        <v>76322478</v>
      </c>
      <c r="U44" s="143">
        <v>15500</v>
      </c>
      <c r="V44" s="559"/>
      <c r="W44" s="10"/>
      <c r="X44" s="559"/>
    </row>
    <row r="45" spans="1:24" ht="18" customHeight="1">
      <c r="A45" s="118">
        <v>36</v>
      </c>
      <c r="B45" s="119" t="s">
        <v>271</v>
      </c>
      <c r="C45" s="117">
        <f t="shared" si="2"/>
        <v>48037906</v>
      </c>
      <c r="D45" s="98">
        <v>48034446</v>
      </c>
      <c r="E45" s="98">
        <v>220849</v>
      </c>
      <c r="F45" s="98">
        <v>0</v>
      </c>
      <c r="G45" s="98">
        <v>6918</v>
      </c>
      <c r="H45" s="98">
        <v>0</v>
      </c>
      <c r="I45" s="117">
        <f t="shared" si="4"/>
        <v>141004.02916999999</v>
      </c>
      <c r="J45" s="98">
        <v>0</v>
      </c>
      <c r="K45" s="98">
        <v>0</v>
      </c>
      <c r="L45" s="98">
        <v>0</v>
      </c>
      <c r="M45" s="98">
        <v>6917.7706799999996</v>
      </c>
      <c r="N45" s="98">
        <v>134086.25849000001</v>
      </c>
      <c r="O45" s="117">
        <f t="shared" si="3"/>
        <v>224307</v>
      </c>
      <c r="P45" s="98">
        <v>0</v>
      </c>
      <c r="Q45" s="98">
        <v>0</v>
      </c>
      <c r="R45" s="98">
        <v>0</v>
      </c>
      <c r="S45" s="98">
        <v>3459</v>
      </c>
      <c r="T45" s="98">
        <v>220848</v>
      </c>
      <c r="U45" s="143">
        <v>15600</v>
      </c>
      <c r="V45" s="559"/>
      <c r="W45" s="10"/>
      <c r="X45" s="559"/>
    </row>
    <row r="46" spans="1:24" ht="23.25" customHeight="1">
      <c r="A46" s="118">
        <v>37</v>
      </c>
      <c r="B46" s="119" t="s">
        <v>782</v>
      </c>
      <c r="C46" s="117">
        <f t="shared" si="2"/>
        <v>17337481</v>
      </c>
      <c r="D46" s="98">
        <v>39846806</v>
      </c>
      <c r="E46" s="98"/>
      <c r="F46" s="98"/>
      <c r="G46" s="98"/>
      <c r="H46" s="98"/>
      <c r="I46" s="117">
        <f t="shared" si="4"/>
        <v>0</v>
      </c>
      <c r="J46" s="98"/>
      <c r="K46" s="98"/>
      <c r="L46" s="98"/>
      <c r="M46" s="98"/>
      <c r="N46" s="98"/>
      <c r="O46" s="117">
        <f t="shared" si="3"/>
        <v>22509325</v>
      </c>
      <c r="P46" s="98"/>
      <c r="Q46" s="98">
        <v>22509325</v>
      </c>
      <c r="R46" s="98"/>
      <c r="S46" s="98"/>
      <c r="T46" s="98"/>
      <c r="U46" s="143">
        <v>15700</v>
      </c>
      <c r="V46" s="559"/>
      <c r="W46" s="560"/>
      <c r="X46" s="559"/>
    </row>
    <row r="47" spans="1:24" ht="33.75" customHeight="1">
      <c r="A47" s="118">
        <v>38</v>
      </c>
      <c r="B47" s="119" t="s">
        <v>783</v>
      </c>
      <c r="C47" s="117">
        <f t="shared" si="2"/>
        <v>107220</v>
      </c>
      <c r="D47" s="98">
        <v>107220</v>
      </c>
      <c r="E47" s="98"/>
      <c r="F47" s="98"/>
      <c r="G47" s="98"/>
      <c r="H47" s="98"/>
      <c r="I47" s="117">
        <f t="shared" si="4"/>
        <v>0</v>
      </c>
      <c r="J47" s="98"/>
      <c r="K47" s="98"/>
      <c r="L47" s="98"/>
      <c r="M47" s="98"/>
      <c r="N47" s="98"/>
      <c r="O47" s="117">
        <f t="shared" si="3"/>
        <v>0</v>
      </c>
      <c r="P47" s="98"/>
      <c r="Q47" s="98">
        <v>0</v>
      </c>
      <c r="R47" s="98"/>
      <c r="S47" s="98"/>
      <c r="T47" s="98"/>
      <c r="U47" s="143">
        <v>15800</v>
      </c>
      <c r="V47" s="559"/>
      <c r="W47" s="560"/>
      <c r="X47" s="559"/>
    </row>
    <row r="48" spans="1:24" ht="23.25" customHeight="1">
      <c r="A48" s="118">
        <v>39</v>
      </c>
      <c r="B48" s="119" t="s">
        <v>780</v>
      </c>
      <c r="C48" s="117">
        <f t="shared" si="2"/>
        <v>0</v>
      </c>
      <c r="D48" s="98">
        <v>0</v>
      </c>
      <c r="E48" s="98"/>
      <c r="F48" s="98"/>
      <c r="G48" s="98"/>
      <c r="H48" s="98"/>
      <c r="I48" s="117">
        <f t="shared" si="4"/>
        <v>0</v>
      </c>
      <c r="J48" s="98"/>
      <c r="K48" s="98"/>
      <c r="L48" s="98"/>
      <c r="M48" s="98"/>
      <c r="N48" s="98"/>
      <c r="O48" s="117">
        <f t="shared" si="3"/>
        <v>0</v>
      </c>
      <c r="P48" s="98"/>
      <c r="Q48" s="98">
        <v>0</v>
      </c>
      <c r="R48" s="98"/>
      <c r="S48" s="98"/>
      <c r="T48" s="98"/>
      <c r="U48" s="143">
        <v>15900</v>
      </c>
      <c r="V48" s="559"/>
      <c r="W48" s="560"/>
      <c r="X48" s="559"/>
    </row>
    <row r="49" spans="1:30" ht="23.25" customHeight="1">
      <c r="A49" s="118">
        <v>40</v>
      </c>
      <c r="B49" s="119" t="s">
        <v>781</v>
      </c>
      <c r="C49" s="117">
        <f t="shared" si="2"/>
        <v>670807705</v>
      </c>
      <c r="D49" s="98">
        <v>674589000</v>
      </c>
      <c r="E49" s="98"/>
      <c r="F49" s="98"/>
      <c r="G49" s="98"/>
      <c r="H49" s="98"/>
      <c r="I49" s="117">
        <f t="shared" si="4"/>
        <v>0</v>
      </c>
      <c r="J49" s="98"/>
      <c r="K49" s="98"/>
      <c r="L49" s="98"/>
      <c r="M49" s="98"/>
      <c r="N49" s="98"/>
      <c r="O49" s="117">
        <f t="shared" si="3"/>
        <v>3781295</v>
      </c>
      <c r="P49" s="98"/>
      <c r="Q49" s="98">
        <v>3781295</v>
      </c>
      <c r="R49" s="98"/>
      <c r="S49" s="98"/>
      <c r="T49" s="98"/>
      <c r="U49" s="143">
        <v>16300</v>
      </c>
      <c r="V49" s="559"/>
      <c r="W49" s="560"/>
      <c r="X49" s="559"/>
    </row>
    <row r="50" spans="1:30" ht="23.25" customHeight="1">
      <c r="A50" s="118">
        <v>41</v>
      </c>
      <c r="B50" s="119" t="s">
        <v>779</v>
      </c>
      <c r="C50" s="117">
        <f t="shared" si="2"/>
        <v>281876</v>
      </c>
      <c r="D50" s="98">
        <v>281876</v>
      </c>
      <c r="E50" s="98"/>
      <c r="F50" s="98"/>
      <c r="G50" s="98"/>
      <c r="H50" s="98"/>
      <c r="I50" s="117">
        <f t="shared" si="4"/>
        <v>0</v>
      </c>
      <c r="J50" s="98"/>
      <c r="K50" s="98"/>
      <c r="L50" s="98"/>
      <c r="M50" s="98"/>
      <c r="N50" s="98"/>
      <c r="O50" s="117">
        <f t="shared" si="3"/>
        <v>0</v>
      </c>
      <c r="P50" s="98"/>
      <c r="Q50" s="98">
        <v>0</v>
      </c>
      <c r="R50" s="98"/>
      <c r="S50" s="98"/>
      <c r="T50" s="98"/>
      <c r="U50" s="143">
        <v>16400</v>
      </c>
      <c r="V50" s="559"/>
      <c r="W50" s="560"/>
      <c r="X50" s="559"/>
    </row>
    <row r="51" spans="1:30" ht="23.25" customHeight="1">
      <c r="A51" s="118">
        <v>42</v>
      </c>
      <c r="B51" s="119" t="s">
        <v>272</v>
      </c>
      <c r="C51" s="117">
        <f t="shared" si="2"/>
        <v>413614891</v>
      </c>
      <c r="D51" s="98">
        <v>413614891</v>
      </c>
      <c r="E51" s="98"/>
      <c r="F51" s="98"/>
      <c r="G51" s="98"/>
      <c r="H51" s="98"/>
      <c r="I51" s="117">
        <f t="shared" si="4"/>
        <v>0</v>
      </c>
      <c r="J51" s="98"/>
      <c r="K51" s="98"/>
      <c r="L51" s="98"/>
      <c r="M51" s="98"/>
      <c r="N51" s="98"/>
      <c r="O51" s="117">
        <f t="shared" si="3"/>
        <v>0</v>
      </c>
      <c r="P51" s="98"/>
      <c r="Q51" s="98">
        <v>0</v>
      </c>
      <c r="R51" s="98"/>
      <c r="S51" s="98"/>
      <c r="T51" s="98"/>
      <c r="U51" s="143">
        <v>16500</v>
      </c>
      <c r="V51" s="559"/>
      <c r="W51" s="560"/>
      <c r="X51" s="559"/>
    </row>
    <row r="52" spans="1:30" ht="23.25" customHeight="1">
      <c r="A52" s="118">
        <v>43</v>
      </c>
      <c r="B52" s="119" t="s">
        <v>273</v>
      </c>
      <c r="C52" s="117">
        <f t="shared" si="2"/>
        <v>2796641</v>
      </c>
      <c r="D52" s="98">
        <v>2796641</v>
      </c>
      <c r="E52" s="98"/>
      <c r="F52" s="98"/>
      <c r="G52" s="98"/>
      <c r="H52" s="98"/>
      <c r="I52" s="117">
        <f t="shared" si="4"/>
        <v>0</v>
      </c>
      <c r="J52" s="98"/>
      <c r="K52" s="98"/>
      <c r="L52" s="98"/>
      <c r="M52" s="98"/>
      <c r="N52" s="98"/>
      <c r="O52" s="117">
        <f t="shared" si="3"/>
        <v>0</v>
      </c>
      <c r="P52" s="98"/>
      <c r="Q52" s="98">
        <v>0</v>
      </c>
      <c r="R52" s="98"/>
      <c r="S52" s="98"/>
      <c r="T52" s="98"/>
      <c r="U52" s="143">
        <v>16600</v>
      </c>
      <c r="V52" s="559"/>
      <c r="W52" s="560"/>
      <c r="X52" s="559"/>
    </row>
    <row r="53" spans="1:30" ht="23.25" customHeight="1">
      <c r="A53" s="118">
        <v>44</v>
      </c>
      <c r="B53" s="119" t="s">
        <v>274</v>
      </c>
      <c r="C53" s="117">
        <f t="shared" si="2"/>
        <v>155586321</v>
      </c>
      <c r="D53" s="98">
        <v>161184317</v>
      </c>
      <c r="E53" s="98"/>
      <c r="F53" s="98"/>
      <c r="G53" s="98"/>
      <c r="H53" s="98"/>
      <c r="I53" s="117">
        <f t="shared" si="4"/>
        <v>0</v>
      </c>
      <c r="J53" s="98"/>
      <c r="K53" s="98"/>
      <c r="L53" s="98"/>
      <c r="M53" s="98"/>
      <c r="N53" s="98"/>
      <c r="O53" s="117">
        <f t="shared" si="3"/>
        <v>5597996</v>
      </c>
      <c r="P53" s="98"/>
      <c r="Q53" s="98">
        <v>5597996</v>
      </c>
      <c r="R53" s="98"/>
      <c r="S53" s="98"/>
      <c r="T53" s="98"/>
      <c r="U53" s="178">
        <v>16700</v>
      </c>
      <c r="V53" s="559"/>
      <c r="W53" s="560"/>
      <c r="X53" s="559"/>
    </row>
    <row r="54" spans="1:30" ht="23.25" customHeight="1">
      <c r="A54" s="118">
        <v>45</v>
      </c>
      <c r="B54" s="119" t="s">
        <v>778</v>
      </c>
      <c r="C54" s="117">
        <f t="shared" ref="C54" si="6">SUM(D54:H54)-O54+P54</f>
        <v>152466508</v>
      </c>
      <c r="D54" s="98">
        <v>152943932</v>
      </c>
      <c r="E54" s="98"/>
      <c r="F54" s="98"/>
      <c r="G54" s="98"/>
      <c r="H54" s="98"/>
      <c r="I54" s="117">
        <f t="shared" ref="I54" si="7">SUM(J54:N54)</f>
        <v>0</v>
      </c>
      <c r="J54" s="98"/>
      <c r="K54" s="98"/>
      <c r="L54" s="98"/>
      <c r="M54" s="98"/>
      <c r="N54" s="98"/>
      <c r="O54" s="117">
        <f t="shared" ref="O54" si="8">SUM(P54:T54)</f>
        <v>477424</v>
      </c>
      <c r="P54" s="98"/>
      <c r="Q54" s="98">
        <v>477424</v>
      </c>
      <c r="R54" s="98"/>
      <c r="S54" s="98"/>
      <c r="T54" s="98"/>
      <c r="U54" s="178">
        <v>16800</v>
      </c>
      <c r="V54" s="559"/>
      <c r="W54" s="560"/>
      <c r="X54" s="559"/>
    </row>
    <row r="55" spans="1:30" ht="23.25" customHeight="1">
      <c r="A55" s="118">
        <v>46</v>
      </c>
      <c r="B55" s="119" t="s">
        <v>275</v>
      </c>
      <c r="C55" s="117">
        <f t="shared" si="2"/>
        <v>0</v>
      </c>
      <c r="D55" s="98">
        <v>0</v>
      </c>
      <c r="E55" s="98"/>
      <c r="F55" s="98"/>
      <c r="G55" s="98"/>
      <c r="H55" s="98"/>
      <c r="I55" s="117">
        <f t="shared" si="4"/>
        <v>0</v>
      </c>
      <c r="J55" s="98"/>
      <c r="K55" s="98"/>
      <c r="L55" s="98"/>
      <c r="M55" s="98"/>
      <c r="N55" s="98"/>
      <c r="O55" s="117">
        <f t="shared" si="3"/>
        <v>0</v>
      </c>
      <c r="P55" s="98"/>
      <c r="Q55" s="98">
        <v>0</v>
      </c>
      <c r="R55" s="98"/>
      <c r="S55" s="98"/>
      <c r="T55" s="98"/>
      <c r="U55" s="178">
        <v>16900</v>
      </c>
      <c r="V55" s="559"/>
      <c r="W55" s="560"/>
      <c r="X55" s="559"/>
    </row>
    <row r="56" spans="1:30" ht="23.25" customHeight="1">
      <c r="A56" s="118">
        <v>47</v>
      </c>
      <c r="B56" s="119" t="s">
        <v>777</v>
      </c>
      <c r="C56" s="117">
        <f t="shared" si="2"/>
        <v>0</v>
      </c>
      <c r="D56" s="98">
        <v>0</v>
      </c>
      <c r="E56" s="98"/>
      <c r="F56" s="98"/>
      <c r="G56" s="98"/>
      <c r="H56" s="98"/>
      <c r="I56" s="117">
        <f t="shared" si="4"/>
        <v>0</v>
      </c>
      <c r="J56" s="98"/>
      <c r="K56" s="98"/>
      <c r="L56" s="98"/>
      <c r="M56" s="98"/>
      <c r="N56" s="98"/>
      <c r="O56" s="117">
        <f t="shared" si="3"/>
        <v>0</v>
      </c>
      <c r="P56" s="98"/>
      <c r="Q56" s="98">
        <v>0</v>
      </c>
      <c r="R56" s="98"/>
      <c r="S56" s="98"/>
      <c r="T56" s="98"/>
      <c r="U56" s="178">
        <v>17100</v>
      </c>
      <c r="V56" s="559"/>
      <c r="W56" s="560"/>
      <c r="X56" s="559"/>
    </row>
    <row r="57" spans="1:30" ht="23.25" customHeight="1">
      <c r="A57" s="118">
        <v>48</v>
      </c>
      <c r="B57" s="119" t="s">
        <v>276</v>
      </c>
      <c r="C57" s="117">
        <f t="shared" si="2"/>
        <v>0</v>
      </c>
      <c r="D57" s="98">
        <v>0</v>
      </c>
      <c r="E57" s="98"/>
      <c r="F57" s="98"/>
      <c r="G57" s="98"/>
      <c r="H57" s="98"/>
      <c r="I57" s="117">
        <f t="shared" si="4"/>
        <v>0</v>
      </c>
      <c r="J57" s="98"/>
      <c r="K57" s="98"/>
      <c r="L57" s="98"/>
      <c r="M57" s="98"/>
      <c r="N57" s="98"/>
      <c r="O57" s="117">
        <f t="shared" si="3"/>
        <v>0</v>
      </c>
      <c r="P57" s="98"/>
      <c r="Q57" s="98">
        <v>0</v>
      </c>
      <c r="R57" s="98"/>
      <c r="S57" s="98"/>
      <c r="T57" s="98"/>
      <c r="U57" s="178">
        <v>17300</v>
      </c>
      <c r="V57" s="559"/>
      <c r="W57" s="560"/>
      <c r="X57" s="559"/>
    </row>
    <row r="58" spans="1:30" ht="35.25" customHeight="1">
      <c r="A58" s="118">
        <v>49</v>
      </c>
      <c r="B58" s="119" t="s">
        <v>776</v>
      </c>
      <c r="C58" s="117">
        <f t="shared" si="2"/>
        <v>7206052</v>
      </c>
      <c r="D58" s="98">
        <v>7206052</v>
      </c>
      <c r="E58" s="98"/>
      <c r="F58" s="98"/>
      <c r="G58" s="98"/>
      <c r="H58" s="98"/>
      <c r="I58" s="117">
        <f t="shared" si="4"/>
        <v>0</v>
      </c>
      <c r="J58" s="98"/>
      <c r="K58" s="98"/>
      <c r="L58" s="98"/>
      <c r="M58" s="98"/>
      <c r="N58" s="98"/>
      <c r="O58" s="117">
        <f t="shared" si="3"/>
        <v>0</v>
      </c>
      <c r="P58" s="98"/>
      <c r="Q58" s="98">
        <v>0</v>
      </c>
      <c r="R58" s="98"/>
      <c r="S58" s="98"/>
      <c r="T58" s="98"/>
      <c r="U58" s="178">
        <v>17400</v>
      </c>
      <c r="V58" s="559"/>
      <c r="W58" s="560"/>
      <c r="X58" s="559"/>
      <c r="Y58" s="348"/>
      <c r="Z58" s="348"/>
      <c r="AA58" s="348"/>
      <c r="AB58" s="348"/>
      <c r="AC58" s="348"/>
      <c r="AD58" s="348"/>
    </row>
    <row r="59" spans="1:30" ht="23.25" customHeight="1">
      <c r="A59" s="118" t="s">
        <v>188</v>
      </c>
      <c r="B59" s="119" t="s">
        <v>767</v>
      </c>
      <c r="C59" s="117">
        <f>SUM(D59:H59)-O59</f>
        <v>48718159</v>
      </c>
      <c r="D59" s="98">
        <v>48718159</v>
      </c>
      <c r="E59" s="98"/>
      <c r="F59" s="98"/>
      <c r="G59" s="98"/>
      <c r="H59" s="98"/>
      <c r="I59" s="117">
        <f t="shared" si="4"/>
        <v>0</v>
      </c>
      <c r="J59" s="98"/>
      <c r="K59" s="98"/>
      <c r="L59" s="98"/>
      <c r="M59" s="98"/>
      <c r="N59" s="98"/>
      <c r="O59" s="117">
        <f t="shared" si="3"/>
        <v>0</v>
      </c>
      <c r="P59" s="98"/>
      <c r="Q59" s="98">
        <v>0</v>
      </c>
      <c r="R59" s="98"/>
      <c r="S59" s="98"/>
      <c r="T59" s="98"/>
      <c r="U59" s="178">
        <v>17700</v>
      </c>
      <c r="V59" s="559"/>
      <c r="W59" s="560"/>
      <c r="X59" s="559"/>
    </row>
    <row r="60" spans="1:30" s="348" customFormat="1" ht="23.25" customHeight="1">
      <c r="A60" s="345" t="s">
        <v>192</v>
      </c>
      <c r="B60" s="119" t="s">
        <v>277</v>
      </c>
      <c r="C60" s="117">
        <f t="shared" si="2"/>
        <v>333481227</v>
      </c>
      <c r="D60" s="98">
        <v>333554130</v>
      </c>
      <c r="E60" s="98"/>
      <c r="F60" s="98"/>
      <c r="G60" s="98"/>
      <c r="H60" s="98"/>
      <c r="I60" s="117">
        <f t="shared" si="4"/>
        <v>0</v>
      </c>
      <c r="J60" s="98"/>
      <c r="K60" s="98"/>
      <c r="L60" s="98"/>
      <c r="M60" s="98"/>
      <c r="N60" s="98"/>
      <c r="O60" s="117">
        <f t="shared" si="3"/>
        <v>72903</v>
      </c>
      <c r="P60" s="98"/>
      <c r="Q60" s="98">
        <v>72903</v>
      </c>
      <c r="R60" s="98"/>
      <c r="S60" s="98"/>
      <c r="T60" s="98"/>
      <c r="U60" s="178">
        <v>19900</v>
      </c>
      <c r="V60" s="559"/>
      <c r="W60" s="560"/>
      <c r="X60" s="559"/>
      <c r="Y60" s="10"/>
      <c r="Z60" s="10"/>
      <c r="AA60" s="10"/>
      <c r="AB60" s="10"/>
      <c r="AC60" s="10"/>
      <c r="AD60" s="10"/>
    </row>
    <row r="61" spans="1:30" s="348" customFormat="1" ht="15" customHeight="1">
      <c r="A61" s="345"/>
      <c r="B61" s="119"/>
      <c r="C61" s="117"/>
      <c r="D61" s="117"/>
      <c r="E61" s="118"/>
      <c r="F61" s="118"/>
      <c r="G61" s="118"/>
      <c r="H61" s="118"/>
      <c r="I61" s="117"/>
      <c r="J61" s="98"/>
      <c r="K61" s="98"/>
      <c r="L61" s="98"/>
      <c r="M61" s="98"/>
      <c r="N61" s="98"/>
      <c r="O61" s="117"/>
      <c r="P61" s="100"/>
      <c r="Q61" s="100"/>
      <c r="R61" s="100"/>
      <c r="S61" s="100"/>
      <c r="T61" s="100"/>
      <c r="U61" s="143"/>
      <c r="V61" s="346"/>
      <c r="W61" s="10"/>
      <c r="X61" s="10"/>
      <c r="Y61" s="10"/>
      <c r="Z61" s="10"/>
      <c r="AA61" s="10"/>
      <c r="AB61" s="10"/>
      <c r="AC61" s="10"/>
      <c r="AD61" s="10"/>
    </row>
    <row r="62" spans="1:30" s="10" customFormat="1" ht="23.25" customHeight="1">
      <c r="A62" s="144"/>
      <c r="B62" s="343" t="s">
        <v>278</v>
      </c>
      <c r="C62" s="145">
        <f t="shared" ref="C62:H62" si="9">SUM(C63:C65)</f>
        <v>563866317.13354993</v>
      </c>
      <c r="D62" s="145">
        <f t="shared" si="9"/>
        <v>563866317.13354993</v>
      </c>
      <c r="E62" s="145">
        <f t="shared" si="9"/>
        <v>0</v>
      </c>
      <c r="F62" s="145">
        <f t="shared" si="9"/>
        <v>0</v>
      </c>
      <c r="G62" s="145">
        <f t="shared" si="9"/>
        <v>0</v>
      </c>
      <c r="H62" s="145">
        <f t="shared" si="9"/>
        <v>0</v>
      </c>
      <c r="I62" s="145">
        <f t="shared" ref="I62:I63" si="10">SUM(J62:N62)</f>
        <v>0</v>
      </c>
      <c r="J62" s="145">
        <f>SUM(J63:J65)</f>
        <v>0</v>
      </c>
      <c r="K62" s="145">
        <f t="shared" ref="K62:L62" si="11">SUM(K63:K65)</f>
        <v>0</v>
      </c>
      <c r="L62" s="145">
        <f t="shared" si="11"/>
        <v>0</v>
      </c>
      <c r="M62" s="145">
        <f t="shared" ref="M62:T62" si="12">SUM(M63:M65)</f>
        <v>0</v>
      </c>
      <c r="N62" s="145">
        <f t="shared" si="12"/>
        <v>0</v>
      </c>
      <c r="O62" s="145">
        <f t="shared" si="12"/>
        <v>0</v>
      </c>
      <c r="P62" s="145">
        <f t="shared" si="12"/>
        <v>0</v>
      </c>
      <c r="Q62" s="145">
        <f t="shared" si="12"/>
        <v>0</v>
      </c>
      <c r="R62" s="145">
        <f t="shared" si="12"/>
        <v>0</v>
      </c>
      <c r="S62" s="145">
        <f t="shared" si="12"/>
        <v>0</v>
      </c>
      <c r="T62" s="145">
        <f t="shared" si="12"/>
        <v>0</v>
      </c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23.25" customHeight="1">
      <c r="A63" s="345" t="s">
        <v>2</v>
      </c>
      <c r="B63" s="119" t="s">
        <v>279</v>
      </c>
      <c r="C63" s="117">
        <f t="shared" ref="C63" si="13">SUM(D63:H63)-O63+P63</f>
        <v>22871109.133549999</v>
      </c>
      <c r="D63" s="98">
        <v>22871109.133549999</v>
      </c>
      <c r="E63" s="99"/>
      <c r="F63" s="99"/>
      <c r="G63" s="99"/>
      <c r="H63" s="99"/>
      <c r="I63" s="117">
        <f t="shared" si="10"/>
        <v>0</v>
      </c>
      <c r="J63" s="100"/>
      <c r="K63" s="100"/>
      <c r="L63" s="100"/>
      <c r="M63" s="100"/>
      <c r="N63" s="100"/>
      <c r="O63" s="117">
        <f t="shared" ref="O63" si="14">SUM(P63:T63)</f>
        <v>0</v>
      </c>
      <c r="P63" s="98"/>
      <c r="Q63" s="100"/>
      <c r="R63" s="100"/>
      <c r="S63" s="100"/>
      <c r="T63" s="100"/>
      <c r="U63" s="143" t="s">
        <v>199</v>
      </c>
    </row>
    <row r="64" spans="1:30" ht="23.25" customHeight="1">
      <c r="A64" s="345" t="s">
        <v>5</v>
      </c>
      <c r="B64" s="119" t="s">
        <v>280</v>
      </c>
      <c r="C64" s="117">
        <f>SUM(D64:H64)-O64+P64</f>
        <v>337713066</v>
      </c>
      <c r="D64" s="98">
        <v>337713066</v>
      </c>
      <c r="E64" s="99"/>
      <c r="F64" s="99"/>
      <c r="G64" s="99"/>
      <c r="H64" s="99"/>
      <c r="I64" s="117">
        <f>SUM(J64:N64)</f>
        <v>0</v>
      </c>
      <c r="J64" s="100"/>
      <c r="K64" s="100"/>
      <c r="L64" s="100"/>
      <c r="M64" s="100"/>
      <c r="N64" s="100"/>
      <c r="O64" s="117">
        <f>SUM(P64:T64)</f>
        <v>0</v>
      </c>
      <c r="P64" s="98"/>
      <c r="Q64" s="100"/>
      <c r="R64" s="100"/>
      <c r="S64" s="100"/>
      <c r="T64" s="100"/>
      <c r="U64" s="11">
        <v>90993</v>
      </c>
    </row>
    <row r="65" spans="1:33" ht="23.25" customHeight="1">
      <c r="A65" s="345" t="s">
        <v>6</v>
      </c>
      <c r="B65" s="119" t="s">
        <v>281</v>
      </c>
      <c r="C65" s="117">
        <f t="shared" ref="C65" si="15">SUM(D65:H65)-O65+P65</f>
        <v>203282142</v>
      </c>
      <c r="D65" s="98">
        <v>203282142</v>
      </c>
      <c r="E65" s="99"/>
      <c r="F65" s="99"/>
      <c r="G65" s="99"/>
      <c r="H65" s="99"/>
      <c r="I65" s="117">
        <f>SUM(J65:N65)</f>
        <v>0</v>
      </c>
      <c r="J65" s="100"/>
      <c r="K65" s="100"/>
      <c r="L65" s="100"/>
      <c r="M65" s="100"/>
      <c r="N65" s="100"/>
      <c r="O65" s="117">
        <f>SUM(P65:T65)</f>
        <v>0</v>
      </c>
      <c r="P65" s="98"/>
      <c r="Q65" s="100"/>
      <c r="R65" s="100"/>
      <c r="S65" s="100"/>
      <c r="T65" s="100"/>
      <c r="U65" s="11">
        <v>91809</v>
      </c>
    </row>
    <row r="67" spans="1:33" s="269" customFormat="1" ht="15" customHeight="1">
      <c r="A67" s="34"/>
      <c r="B67" s="198" t="s">
        <v>788</v>
      </c>
      <c r="C67" s="34"/>
      <c r="D67" s="34"/>
      <c r="E67" s="34"/>
      <c r="F67" s="349"/>
      <c r="G67" s="349"/>
      <c r="H67" s="349"/>
      <c r="I67" s="349"/>
      <c r="J67" s="349"/>
      <c r="K67" s="349"/>
      <c r="L67" s="349"/>
      <c r="M67" s="349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spans="1:33" s="269" customFormat="1" ht="11.25" customHeight="1">
      <c r="A68" s="34"/>
      <c r="B68" s="198"/>
      <c r="C68" s="34"/>
      <c r="D68" s="34"/>
      <c r="E68" s="34"/>
      <c r="F68" s="349"/>
      <c r="G68" s="349"/>
      <c r="H68" s="349"/>
      <c r="I68" s="349"/>
      <c r="J68" s="349"/>
      <c r="K68" s="349"/>
      <c r="L68" s="349"/>
      <c r="M68" s="349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spans="1:33" s="269" customFormat="1" ht="15" customHeight="1">
      <c r="A69" s="34"/>
      <c r="B69" s="198" t="s">
        <v>789</v>
      </c>
      <c r="C69" s="34"/>
      <c r="D69" s="34"/>
      <c r="E69" s="34"/>
      <c r="F69" s="349"/>
      <c r="G69" s="349"/>
      <c r="H69" s="349"/>
      <c r="I69" s="349"/>
      <c r="J69" s="349"/>
      <c r="K69" s="349"/>
      <c r="L69" s="349"/>
      <c r="M69" s="349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spans="1:33" s="269" customFormat="1" ht="15" customHeight="1">
      <c r="A70" s="34"/>
      <c r="B70" s="239"/>
      <c r="C70" s="34"/>
      <c r="D70" s="34"/>
      <c r="E70" s="34"/>
      <c r="F70" s="349"/>
      <c r="G70" s="349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34"/>
      <c r="AF70" s="34"/>
      <c r="AG70" s="34"/>
    </row>
    <row r="73" spans="1:33">
      <c r="C73" s="88">
        <f>+[8]Balance!$C$47</f>
        <v>16782496965</v>
      </c>
      <c r="D73" s="88"/>
    </row>
  </sheetData>
  <sheetProtection password="CACA" sheet="1" objects="1" scenarios="1"/>
  <mergeCells count="18">
    <mergeCell ref="K5:K7"/>
    <mergeCell ref="Q3:R3"/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</mergeCells>
  <conditionalFormatting sqref="C9">
    <cfRule type="cellIs" dxfId="354" priority="3" operator="notEqual">
      <formula>$C$73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6 C66 R66:T66 R62:T62 Q66 D62:H62 H64 I49:I53 H63 D66:H66 H65 D61:H61 I17:I18 I15:I16 I12:I14 I19:I35" unlockedFormula="1"/>
    <ignoredError sqref="T61 R65:T65 R63:T64 Q63:Q64 Q65 O49:O53 Q62 O17:O18 O12:O16 O19:O35" formulaRange="1" unlockedFormula="1"/>
    <ignoredError sqref="O36:O48 O10:O11" formulaRange="1"/>
    <ignoredError sqref="I60 I54:I58 I61 I65:N65 I59 I66:J66 L66:P66 I62 I64:N64 J62:N62 I63:N63 K66" formula="1" unlockedFormula="1"/>
    <ignoredError sqref="R61:S61 Q61 O54:O58 P62 O59 O65 O60 O61:P61 O63:O64 O62" formula="1" formulaRange="1" unlockedFormula="1"/>
    <ignoredError sqref="C60:C61 C54:C58" formula="1"/>
    <ignoredError sqref="A10:B10 A15:B15 A11 A12 A13 A14 B17:B25 A16 B28:B32 B35:B39 B41:B45 B51:B53 B55 B57 B59:B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AD93"/>
  <sheetViews>
    <sheetView tabSelected="1" view="pageBreakPreview" zoomScale="115" zoomScaleSheetLayoutView="115" workbookViewId="0">
      <pane xSplit="2" ySplit="4" topLeftCell="C68" activePane="bottomRight" state="frozen"/>
      <selection activeCell="C73" sqref="C73"/>
      <selection pane="topRight" activeCell="C73" sqref="C73"/>
      <selection pane="bottomLeft" activeCell="C73" sqref="C73"/>
      <selection pane="bottomRight" activeCell="C73" sqref="C73"/>
    </sheetView>
  </sheetViews>
  <sheetFormatPr defaultRowHeight="15" customHeight="1"/>
  <cols>
    <col min="1" max="1" width="5.7109375" style="243" customWidth="1"/>
    <col min="2" max="2" width="80.28515625" style="34" customWidth="1"/>
    <col min="3" max="3" width="16.85546875" style="34" customWidth="1"/>
    <col min="4" max="4" width="17.7109375" style="34" customWidth="1"/>
    <col min="5" max="5" width="16.85546875" style="34" customWidth="1"/>
    <col min="6" max="6" width="7.42578125" style="34" customWidth="1"/>
    <col min="7" max="7" width="12.140625" style="567" customWidth="1"/>
    <col min="8" max="10" width="7.42578125" style="34" customWidth="1"/>
    <col min="11" max="16384" width="9.140625" style="34"/>
  </cols>
  <sheetData>
    <row r="1" spans="1:7" ht="18.75" customHeight="1">
      <c r="A1" s="694" t="s">
        <v>283</v>
      </c>
      <c r="B1" s="694"/>
      <c r="C1" s="694"/>
      <c r="D1" s="694"/>
      <c r="E1" s="202" t="s">
        <v>284</v>
      </c>
    </row>
    <row r="2" spans="1:7" ht="7.5" customHeight="1">
      <c r="A2" s="235"/>
      <c r="B2" s="562"/>
      <c r="C2" s="202"/>
      <c r="D2" s="202"/>
      <c r="E2" s="202"/>
    </row>
    <row r="3" spans="1:7" ht="15" customHeight="1">
      <c r="A3" s="236"/>
      <c r="B3" s="234" t="str">
        <f>+'Asset quality'!B3</f>
        <v>"МКБАНК"</v>
      </c>
      <c r="D3" s="535">
        <f>+'Asset quality'!Q3</f>
        <v>44926</v>
      </c>
      <c r="E3" s="350" t="str">
        <f>+'Asset quality'!T3</f>
        <v>минг. сўмда</v>
      </c>
    </row>
    <row r="4" spans="1:7" ht="42" customHeight="1">
      <c r="A4" s="116" t="s">
        <v>62</v>
      </c>
      <c r="B4" s="116" t="s">
        <v>285</v>
      </c>
      <c r="C4" s="116" t="s">
        <v>235</v>
      </c>
      <c r="D4" s="116" t="s">
        <v>787</v>
      </c>
      <c r="E4" s="116" t="s">
        <v>287</v>
      </c>
    </row>
    <row r="5" spans="1:7" ht="15" customHeight="1">
      <c r="A5" s="351" t="s">
        <v>288</v>
      </c>
      <c r="B5" s="352" t="s">
        <v>289</v>
      </c>
      <c r="C5" s="116"/>
      <c r="D5" s="116"/>
      <c r="E5" s="116"/>
    </row>
    <row r="6" spans="1:7" ht="15" customHeight="1">
      <c r="A6" s="237" t="s">
        <v>290</v>
      </c>
      <c r="B6" s="353" t="s">
        <v>291</v>
      </c>
      <c r="C6" s="188">
        <f>+D6+E6</f>
        <v>31527277</v>
      </c>
      <c r="D6" s="187">
        <v>31527277</v>
      </c>
      <c r="E6" s="187"/>
    </row>
    <row r="7" spans="1:7" ht="15" customHeight="1">
      <c r="A7" s="237" t="s">
        <v>292</v>
      </c>
      <c r="B7" s="353" t="s">
        <v>293</v>
      </c>
      <c r="C7" s="188">
        <f t="shared" ref="C7:C14" si="0">+D7+E7</f>
        <v>25430621</v>
      </c>
      <c r="D7" s="187">
        <v>25430621</v>
      </c>
      <c r="E7" s="187"/>
    </row>
    <row r="8" spans="1:7" ht="25.5">
      <c r="A8" s="237" t="s">
        <v>294</v>
      </c>
      <c r="B8" s="354" t="s">
        <v>309</v>
      </c>
      <c r="C8" s="188">
        <f t="shared" si="0"/>
        <v>0</v>
      </c>
      <c r="D8" s="187">
        <v>0</v>
      </c>
      <c r="E8" s="187"/>
    </row>
    <row r="9" spans="1:7" ht="15" customHeight="1">
      <c r="A9" s="237" t="s">
        <v>295</v>
      </c>
      <c r="B9" s="354" t="s">
        <v>296</v>
      </c>
      <c r="C9" s="188">
        <f t="shared" ref="C9" si="1">+D9+E9</f>
        <v>71587753</v>
      </c>
      <c r="D9" s="187">
        <v>71587753</v>
      </c>
      <c r="E9" s="187"/>
    </row>
    <row r="10" spans="1:7" ht="15" customHeight="1">
      <c r="A10" s="355" t="s">
        <v>297</v>
      </c>
      <c r="B10" s="356" t="s">
        <v>298</v>
      </c>
      <c r="C10" s="188">
        <f t="shared" si="0"/>
        <v>0</v>
      </c>
      <c r="D10" s="187">
        <v>0</v>
      </c>
      <c r="E10" s="187"/>
    </row>
    <row r="11" spans="1:7" ht="25.5">
      <c r="A11" s="355" t="s">
        <v>299</v>
      </c>
      <c r="B11" s="356" t="s">
        <v>300</v>
      </c>
      <c r="C11" s="188">
        <f t="shared" si="0"/>
        <v>0</v>
      </c>
      <c r="D11" s="187">
        <v>0</v>
      </c>
      <c r="E11" s="187"/>
    </row>
    <row r="12" spans="1:7" ht="15" customHeight="1">
      <c r="A12" s="355" t="s">
        <v>301</v>
      </c>
      <c r="B12" s="357" t="s">
        <v>302</v>
      </c>
      <c r="C12" s="188">
        <f t="shared" si="0"/>
        <v>1753677130</v>
      </c>
      <c r="D12" s="187">
        <v>1753677130</v>
      </c>
      <c r="E12" s="187"/>
    </row>
    <row r="13" spans="1:7" ht="15" customHeight="1">
      <c r="A13" s="358" t="s">
        <v>303</v>
      </c>
      <c r="B13" s="359" t="s">
        <v>304</v>
      </c>
      <c r="C13" s="188">
        <f t="shared" si="0"/>
        <v>0</v>
      </c>
      <c r="D13" s="187">
        <v>0</v>
      </c>
      <c r="E13" s="187"/>
    </row>
    <row r="14" spans="1:7" ht="15" customHeight="1">
      <c r="A14" s="358" t="s">
        <v>305</v>
      </c>
      <c r="B14" s="360" t="s">
        <v>306</v>
      </c>
      <c r="C14" s="188">
        <f t="shared" si="0"/>
        <v>706809173</v>
      </c>
      <c r="D14" s="187">
        <v>706809173</v>
      </c>
      <c r="E14" s="187"/>
    </row>
    <row r="15" spans="1:7" ht="15" customHeight="1">
      <c r="A15" s="351" t="s">
        <v>307</v>
      </c>
      <c r="B15" s="361" t="s">
        <v>308</v>
      </c>
      <c r="C15" s="121">
        <f>SUM(C6:C14)</f>
        <v>2589031954</v>
      </c>
      <c r="D15" s="121">
        <f>SUM(D6:D14)</f>
        <v>2589031954</v>
      </c>
      <c r="E15" s="121">
        <f>SUM(E6:E14)</f>
        <v>0</v>
      </c>
      <c r="G15" s="568">
        <f>+'Analysis of Interest'!C42</f>
        <v>2589031954</v>
      </c>
    </row>
    <row r="16" spans="1:7" ht="7.5" customHeight="1">
      <c r="A16" s="351"/>
      <c r="B16" s="352"/>
      <c r="C16" s="362"/>
      <c r="D16" s="362"/>
      <c r="E16" s="362"/>
    </row>
    <row r="17" spans="1:7" ht="15" customHeight="1">
      <c r="A17" s="351" t="s">
        <v>310</v>
      </c>
      <c r="B17" s="352" t="s">
        <v>311</v>
      </c>
      <c r="C17" s="116"/>
      <c r="D17" s="116"/>
      <c r="E17" s="116"/>
    </row>
    <row r="18" spans="1:7" ht="15" customHeight="1">
      <c r="A18" s="563" t="s">
        <v>312</v>
      </c>
      <c r="B18" s="363" t="s">
        <v>313</v>
      </c>
      <c r="C18" s="188">
        <f t="shared" ref="C18:C21" si="2">+D18+E18</f>
        <v>30667852</v>
      </c>
      <c r="D18" s="187">
        <v>30667852</v>
      </c>
      <c r="E18" s="187"/>
    </row>
    <row r="19" spans="1:7" ht="15" customHeight="1">
      <c r="A19" s="563" t="s">
        <v>292</v>
      </c>
      <c r="B19" s="363" t="s">
        <v>314</v>
      </c>
      <c r="C19" s="188">
        <f t="shared" si="2"/>
        <v>453954471</v>
      </c>
      <c r="D19" s="187">
        <v>453954471</v>
      </c>
      <c r="E19" s="187"/>
    </row>
    <row r="20" spans="1:7" ht="15" customHeight="1">
      <c r="A20" s="563" t="s">
        <v>294</v>
      </c>
      <c r="B20" s="363" t="s">
        <v>315</v>
      </c>
      <c r="C20" s="188">
        <f t="shared" si="2"/>
        <v>0</v>
      </c>
      <c r="D20" s="187">
        <v>0</v>
      </c>
      <c r="E20" s="187"/>
    </row>
    <row r="21" spans="1:7" ht="15" customHeight="1">
      <c r="A21" s="563" t="s">
        <v>295</v>
      </c>
      <c r="B21" s="363" t="s">
        <v>316</v>
      </c>
      <c r="C21" s="188">
        <f t="shared" si="2"/>
        <v>204078097</v>
      </c>
      <c r="D21" s="187">
        <v>204078097</v>
      </c>
      <c r="E21" s="187"/>
    </row>
    <row r="22" spans="1:7" s="239" customFormat="1" ht="15" customHeight="1">
      <c r="A22" s="238" t="s">
        <v>297</v>
      </c>
      <c r="B22" s="364" t="s">
        <v>317</v>
      </c>
      <c r="C22" s="121">
        <f>SUM(C18:C21)</f>
        <v>688700420</v>
      </c>
      <c r="D22" s="121">
        <f>SUM(D18:D21)</f>
        <v>688700420</v>
      </c>
      <c r="E22" s="121">
        <f>SUM(E18:E21)</f>
        <v>0</v>
      </c>
      <c r="G22" s="569"/>
    </row>
    <row r="23" spans="1:7" ht="15.75" customHeight="1">
      <c r="A23" s="563" t="s">
        <v>299</v>
      </c>
      <c r="B23" s="363" t="s">
        <v>318</v>
      </c>
      <c r="C23" s="188">
        <f t="shared" ref="C23:C25" si="3">+D23+E23</f>
        <v>369289967</v>
      </c>
      <c r="D23" s="187">
        <v>369289967</v>
      </c>
      <c r="E23" s="187"/>
    </row>
    <row r="24" spans="1:7" ht="15.75" customHeight="1">
      <c r="A24" s="365" t="s">
        <v>301</v>
      </c>
      <c r="B24" s="366" t="s">
        <v>319</v>
      </c>
      <c r="C24" s="188">
        <f t="shared" si="3"/>
        <v>92658</v>
      </c>
      <c r="D24" s="187">
        <v>92658</v>
      </c>
      <c r="E24" s="187"/>
    </row>
    <row r="25" spans="1:7" ht="15.75" customHeight="1">
      <c r="A25" s="365" t="s">
        <v>303</v>
      </c>
      <c r="B25" s="366" t="s">
        <v>320</v>
      </c>
      <c r="C25" s="188">
        <f t="shared" si="3"/>
        <v>700206313</v>
      </c>
      <c r="D25" s="187">
        <v>700206313</v>
      </c>
      <c r="E25" s="187"/>
    </row>
    <row r="26" spans="1:7" ht="15" customHeight="1">
      <c r="A26" s="367" t="s">
        <v>305</v>
      </c>
      <c r="B26" s="368" t="s">
        <v>321</v>
      </c>
      <c r="C26" s="121">
        <f>SUM(C23:C25)</f>
        <v>1069588938</v>
      </c>
      <c r="D26" s="121">
        <f>SUM(D23:D25)</f>
        <v>1069588938</v>
      </c>
      <c r="E26" s="121">
        <f>SUM(E23:E25)</f>
        <v>0</v>
      </c>
    </row>
    <row r="27" spans="1:7" ht="15" customHeight="1">
      <c r="A27" s="367" t="s">
        <v>307</v>
      </c>
      <c r="B27" s="368" t="s">
        <v>322</v>
      </c>
      <c r="C27" s="121">
        <f>C26+C22</f>
        <v>1758289358</v>
      </c>
      <c r="D27" s="121">
        <f>D26+D22</f>
        <v>1758289358</v>
      </c>
      <c r="E27" s="121">
        <f>E26+E22</f>
        <v>0</v>
      </c>
      <c r="G27" s="568">
        <f>+'Analysis of Interest'!C72</f>
        <v>1758289358</v>
      </c>
    </row>
    <row r="28" spans="1:7" ht="7.5" customHeight="1">
      <c r="A28" s="563"/>
      <c r="B28" s="363"/>
      <c r="C28" s="362"/>
      <c r="D28" s="362"/>
      <c r="E28" s="362"/>
    </row>
    <row r="29" spans="1:7" s="239" customFormat="1" ht="25.5">
      <c r="A29" s="564" t="s">
        <v>92</v>
      </c>
      <c r="B29" s="369" t="s">
        <v>323</v>
      </c>
      <c r="C29" s="121">
        <f>C15-C27</f>
        <v>830742596</v>
      </c>
      <c r="D29" s="121">
        <f>D15-D27</f>
        <v>830742596</v>
      </c>
      <c r="E29" s="121">
        <f>E15-E27</f>
        <v>0</v>
      </c>
      <c r="G29" s="569"/>
    </row>
    <row r="30" spans="1:7" ht="15.75" customHeight="1">
      <c r="A30" s="565" t="s">
        <v>312</v>
      </c>
      <c r="B30" s="370" t="s">
        <v>324</v>
      </c>
      <c r="C30" s="188">
        <f t="shared" ref="C30:C33" si="4">+D30+E30</f>
        <v>525252371</v>
      </c>
      <c r="D30" s="187">
        <v>525252371</v>
      </c>
      <c r="E30" s="187"/>
    </row>
    <row r="31" spans="1:7" ht="15.75" customHeight="1">
      <c r="A31" s="365" t="s">
        <v>292</v>
      </c>
      <c r="B31" s="366" t="s">
        <v>325</v>
      </c>
      <c r="C31" s="188">
        <f t="shared" si="4"/>
        <v>0</v>
      </c>
      <c r="D31" s="187">
        <v>0</v>
      </c>
      <c r="E31" s="187"/>
    </row>
    <row r="32" spans="1:7" ht="15.75" customHeight="1">
      <c r="A32" s="365" t="s">
        <v>294</v>
      </c>
      <c r="B32" s="366" t="s">
        <v>326</v>
      </c>
      <c r="C32" s="188">
        <f t="shared" si="4"/>
        <v>0</v>
      </c>
      <c r="D32" s="187">
        <v>0</v>
      </c>
      <c r="E32" s="187"/>
    </row>
    <row r="33" spans="1:8" ht="15.75" customHeight="1">
      <c r="A33" s="365" t="s">
        <v>295</v>
      </c>
      <c r="B33" s="366" t="s">
        <v>327</v>
      </c>
      <c r="C33" s="188">
        <f t="shared" si="4"/>
        <v>5597996</v>
      </c>
      <c r="D33" s="187">
        <v>5597996</v>
      </c>
      <c r="E33" s="187"/>
    </row>
    <row r="34" spans="1:8" ht="12.75">
      <c r="A34" s="238" t="s">
        <v>297</v>
      </c>
      <c r="B34" s="371" t="s">
        <v>328</v>
      </c>
      <c r="C34" s="121">
        <f>C29-C30-C31-C32-C33</f>
        <v>299892229</v>
      </c>
      <c r="D34" s="121">
        <f>D29-D30-D31-D32-D33</f>
        <v>299892229</v>
      </c>
      <c r="E34" s="121">
        <f>E29-E30-E31-E32-E33</f>
        <v>0</v>
      </c>
    </row>
    <row r="35" spans="1:8" ht="7.5" customHeight="1">
      <c r="A35" s="563"/>
      <c r="B35" s="363"/>
      <c r="C35" s="362"/>
      <c r="D35" s="362"/>
      <c r="E35" s="362"/>
    </row>
    <row r="36" spans="1:8" ht="15" customHeight="1">
      <c r="A36" s="238" t="s">
        <v>329</v>
      </c>
      <c r="B36" s="364" t="s">
        <v>330</v>
      </c>
      <c r="C36" s="116"/>
      <c r="D36" s="116"/>
      <c r="E36" s="116"/>
    </row>
    <row r="37" spans="1:8" ht="15" customHeight="1">
      <c r="A37" s="563" t="s">
        <v>312</v>
      </c>
      <c r="B37" s="619" t="s">
        <v>793</v>
      </c>
      <c r="C37" s="188">
        <f t="shared" ref="C37:C41" si="5">+D37+E37</f>
        <v>189651306</v>
      </c>
      <c r="D37" s="187">
        <v>189651306</v>
      </c>
      <c r="E37" s="187">
        <v>0</v>
      </c>
      <c r="H37" s="615"/>
    </row>
    <row r="38" spans="1:8" ht="15" customHeight="1">
      <c r="A38" s="563" t="s">
        <v>292</v>
      </c>
      <c r="B38" s="363" t="s">
        <v>331</v>
      </c>
      <c r="C38" s="188">
        <f t="shared" si="5"/>
        <v>399827990</v>
      </c>
      <c r="D38" s="187">
        <v>0</v>
      </c>
      <c r="E38" s="187">
        <v>399827990</v>
      </c>
    </row>
    <row r="39" spans="1:8" ht="15" customHeight="1">
      <c r="A39" s="563" t="s">
        <v>294</v>
      </c>
      <c r="B39" s="363" t="s">
        <v>332</v>
      </c>
      <c r="C39" s="188">
        <f t="shared" si="5"/>
        <v>0</v>
      </c>
      <c r="D39" s="187">
        <v>0</v>
      </c>
      <c r="E39" s="187">
        <v>0</v>
      </c>
    </row>
    <row r="40" spans="1:8" ht="15" customHeight="1">
      <c r="A40" s="563" t="s">
        <v>295</v>
      </c>
      <c r="B40" s="363" t="s">
        <v>333</v>
      </c>
      <c r="C40" s="188">
        <f t="shared" si="5"/>
        <v>578356</v>
      </c>
      <c r="D40" s="187">
        <v>578356</v>
      </c>
      <c r="E40" s="187">
        <v>0</v>
      </c>
    </row>
    <row r="41" spans="1:8" ht="15" customHeight="1">
      <c r="A41" s="563" t="s">
        <v>297</v>
      </c>
      <c r="B41" s="363" t="s">
        <v>334</v>
      </c>
      <c r="C41" s="188">
        <f t="shared" si="5"/>
        <v>296911314</v>
      </c>
      <c r="D41" s="187">
        <v>296911314</v>
      </c>
      <c r="E41" s="187">
        <v>0</v>
      </c>
    </row>
    <row r="42" spans="1:8" ht="15" customHeight="1">
      <c r="A42" s="563"/>
      <c r="B42" s="372" t="s">
        <v>335</v>
      </c>
      <c r="C42" s="188"/>
      <c r="D42" s="187">
        <v>0</v>
      </c>
      <c r="E42" s="187">
        <v>0</v>
      </c>
    </row>
    <row r="43" spans="1:8" ht="15" customHeight="1">
      <c r="A43" s="563" t="s">
        <v>336</v>
      </c>
      <c r="B43" s="363" t="s">
        <v>337</v>
      </c>
      <c r="C43" s="188">
        <f>+D43+E43</f>
        <v>288590517</v>
      </c>
      <c r="D43" s="187">
        <v>288590517</v>
      </c>
      <c r="E43" s="187">
        <v>0</v>
      </c>
    </row>
    <row r="44" spans="1:8" ht="15" customHeight="1">
      <c r="A44" s="563" t="s">
        <v>338</v>
      </c>
      <c r="B44" s="363" t="s">
        <v>339</v>
      </c>
      <c r="C44" s="188">
        <f>+D44+E44</f>
        <v>0</v>
      </c>
      <c r="D44" s="187">
        <v>0</v>
      </c>
      <c r="E44" s="187">
        <v>0</v>
      </c>
    </row>
    <row r="45" spans="1:8" ht="15" customHeight="1">
      <c r="A45" s="238" t="s">
        <v>299</v>
      </c>
      <c r="B45" s="364" t="s">
        <v>340</v>
      </c>
      <c r="C45" s="121">
        <f>SUM(C37:C41)</f>
        <v>886968966</v>
      </c>
      <c r="D45" s="121">
        <f>SUM(D37:D41)</f>
        <v>487140976</v>
      </c>
      <c r="E45" s="121">
        <f>SUM(E37:E41)</f>
        <v>399827990</v>
      </c>
    </row>
    <row r="46" spans="1:8" ht="7.5" customHeight="1">
      <c r="A46" s="563"/>
      <c r="B46" s="363"/>
      <c r="C46" s="362"/>
      <c r="D46" s="362"/>
      <c r="E46" s="362"/>
    </row>
    <row r="47" spans="1:8" ht="15" customHeight="1">
      <c r="A47" s="238" t="s">
        <v>341</v>
      </c>
      <c r="B47" s="364" t="s">
        <v>342</v>
      </c>
      <c r="C47" s="116"/>
      <c r="D47" s="116"/>
      <c r="E47" s="116"/>
    </row>
    <row r="48" spans="1:8" ht="15" customHeight="1">
      <c r="A48" s="563" t="s">
        <v>312</v>
      </c>
      <c r="B48" s="619" t="s">
        <v>794</v>
      </c>
      <c r="C48" s="188">
        <f t="shared" ref="C48:C52" si="6">+D48+E48</f>
        <v>54082228</v>
      </c>
      <c r="D48" s="187">
        <v>54082228</v>
      </c>
      <c r="E48" s="187">
        <v>0</v>
      </c>
    </row>
    <row r="49" spans="1:5" ht="15" customHeight="1">
      <c r="A49" s="563" t="s">
        <v>292</v>
      </c>
      <c r="B49" s="363" t="s">
        <v>343</v>
      </c>
      <c r="C49" s="188">
        <f t="shared" si="6"/>
        <v>373164796</v>
      </c>
      <c r="D49" s="187">
        <v>0</v>
      </c>
      <c r="E49" s="187">
        <v>373164796</v>
      </c>
    </row>
    <row r="50" spans="1:5" ht="15" customHeight="1">
      <c r="A50" s="563" t="s">
        <v>294</v>
      </c>
      <c r="B50" s="363" t="s">
        <v>344</v>
      </c>
      <c r="C50" s="188">
        <f t="shared" si="6"/>
        <v>0</v>
      </c>
      <c r="D50" s="187">
        <v>0</v>
      </c>
      <c r="E50" s="187">
        <v>0</v>
      </c>
    </row>
    <row r="51" spans="1:5" ht="15" customHeight="1">
      <c r="A51" s="563" t="s">
        <v>295</v>
      </c>
      <c r="B51" s="363" t="s">
        <v>345</v>
      </c>
      <c r="C51" s="188">
        <f t="shared" si="6"/>
        <v>0</v>
      </c>
      <c r="D51" s="187">
        <v>0</v>
      </c>
      <c r="E51" s="187">
        <v>0</v>
      </c>
    </row>
    <row r="52" spans="1:5" ht="15" customHeight="1">
      <c r="A52" s="563" t="s">
        <v>297</v>
      </c>
      <c r="B52" s="363" t="s">
        <v>346</v>
      </c>
      <c r="C52" s="188">
        <f t="shared" si="6"/>
        <v>2570074</v>
      </c>
      <c r="D52" s="187">
        <v>2570074</v>
      </c>
      <c r="E52" s="187"/>
    </row>
    <row r="53" spans="1:5" ht="15" customHeight="1">
      <c r="A53" s="238" t="s">
        <v>299</v>
      </c>
      <c r="B53" s="364" t="s">
        <v>347</v>
      </c>
      <c r="C53" s="121">
        <f>SUM(C48:C52)</f>
        <v>429817098</v>
      </c>
      <c r="D53" s="121">
        <f>SUM(D48:D52)</f>
        <v>56652302</v>
      </c>
      <c r="E53" s="121">
        <f>SUM(E48:E52)</f>
        <v>373164796</v>
      </c>
    </row>
    <row r="54" spans="1:5" ht="7.5" customHeight="1">
      <c r="A54" s="238"/>
      <c r="B54" s="364"/>
      <c r="C54" s="373"/>
      <c r="D54" s="373"/>
      <c r="E54" s="373"/>
    </row>
    <row r="55" spans="1:5" ht="15" customHeight="1">
      <c r="A55" s="238" t="s">
        <v>348</v>
      </c>
      <c r="B55" s="364" t="s">
        <v>349</v>
      </c>
      <c r="C55" s="121">
        <f>C34+C45-C53</f>
        <v>757044097</v>
      </c>
      <c r="D55" s="121">
        <f>D34+D45-D53</f>
        <v>730380903</v>
      </c>
      <c r="E55" s="121">
        <f>E34+E45-E53</f>
        <v>26663194</v>
      </c>
    </row>
    <row r="56" spans="1:5" ht="7.5" customHeight="1">
      <c r="A56" s="238"/>
      <c r="B56" s="364"/>
      <c r="C56" s="374"/>
      <c r="D56" s="374"/>
      <c r="E56" s="374"/>
    </row>
    <row r="57" spans="1:5" ht="15" customHeight="1">
      <c r="A57" s="238" t="s">
        <v>350</v>
      </c>
      <c r="B57" s="364" t="s">
        <v>351</v>
      </c>
      <c r="C57" s="116"/>
      <c r="D57" s="116"/>
      <c r="E57" s="116"/>
    </row>
    <row r="58" spans="1:5" ht="15" customHeight="1">
      <c r="A58" s="563" t="s">
        <v>312</v>
      </c>
      <c r="B58" s="363" t="s">
        <v>352</v>
      </c>
      <c r="C58" s="187">
        <f>+D58</f>
        <v>474025238</v>
      </c>
      <c r="D58" s="187">
        <v>474025238</v>
      </c>
      <c r="E58" s="240"/>
    </row>
    <row r="59" spans="1:5" ht="15" customHeight="1">
      <c r="A59" s="375" t="s">
        <v>353</v>
      </c>
      <c r="B59" s="363" t="s">
        <v>354</v>
      </c>
      <c r="C59" s="187">
        <f t="shared" ref="C59:C68" si="7">+D59</f>
        <v>0</v>
      </c>
      <c r="D59" s="187">
        <v>0</v>
      </c>
      <c r="E59" s="240"/>
    </row>
    <row r="60" spans="1:5" ht="15" customHeight="1">
      <c r="A60" s="563" t="s">
        <v>292</v>
      </c>
      <c r="B60" s="363" t="s">
        <v>355</v>
      </c>
      <c r="C60" s="187">
        <f t="shared" si="7"/>
        <v>83376065</v>
      </c>
      <c r="D60" s="187">
        <v>83376065</v>
      </c>
      <c r="E60" s="240"/>
    </row>
    <row r="61" spans="1:5" ht="15" customHeight="1">
      <c r="A61" s="563" t="s">
        <v>294</v>
      </c>
      <c r="B61" s="363" t="s">
        <v>356</v>
      </c>
      <c r="C61" s="187">
        <f t="shared" si="7"/>
        <v>9816634</v>
      </c>
      <c r="D61" s="187">
        <v>9816634</v>
      </c>
      <c r="E61" s="240"/>
    </row>
    <row r="62" spans="1:5" ht="15" customHeight="1">
      <c r="A62" s="563" t="s">
        <v>295</v>
      </c>
      <c r="B62" s="363" t="s">
        <v>357</v>
      </c>
      <c r="C62" s="187">
        <f t="shared" si="7"/>
        <v>18239401</v>
      </c>
      <c r="D62" s="187">
        <v>18239401</v>
      </c>
      <c r="E62" s="240"/>
    </row>
    <row r="63" spans="1:5" ht="15" customHeight="1">
      <c r="A63" s="563" t="s">
        <v>297</v>
      </c>
      <c r="B63" s="363" t="s">
        <v>358</v>
      </c>
      <c r="C63" s="187">
        <f t="shared" si="7"/>
        <v>27863064</v>
      </c>
      <c r="D63" s="187">
        <v>27863064</v>
      </c>
      <c r="E63" s="240"/>
    </row>
    <row r="64" spans="1:5" ht="15" customHeight="1">
      <c r="A64" s="563" t="s">
        <v>299</v>
      </c>
      <c r="B64" s="363" t="s">
        <v>359</v>
      </c>
      <c r="C64" s="187">
        <f t="shared" si="7"/>
        <v>53572570</v>
      </c>
      <c r="D64" s="187">
        <v>53572570</v>
      </c>
      <c r="E64" s="240"/>
    </row>
    <row r="65" spans="1:30" ht="15" customHeight="1">
      <c r="A65" s="563" t="s">
        <v>301</v>
      </c>
      <c r="B65" s="363" t="s">
        <v>360</v>
      </c>
      <c r="C65" s="187">
        <f t="shared" si="7"/>
        <v>11151171</v>
      </c>
      <c r="D65" s="187">
        <v>11151171</v>
      </c>
      <c r="E65" s="240"/>
    </row>
    <row r="66" spans="1:30" ht="15" customHeight="1">
      <c r="A66" s="563" t="s">
        <v>303</v>
      </c>
      <c r="B66" s="363" t="s">
        <v>361</v>
      </c>
      <c r="C66" s="187">
        <f t="shared" si="7"/>
        <v>6894396</v>
      </c>
      <c r="D66" s="187">
        <v>6894396</v>
      </c>
      <c r="E66" s="240"/>
    </row>
    <row r="67" spans="1:30" ht="15" customHeight="1">
      <c r="A67" s="563" t="s">
        <v>305</v>
      </c>
      <c r="B67" s="363" t="s">
        <v>362</v>
      </c>
      <c r="C67" s="187">
        <f t="shared" si="7"/>
        <v>0</v>
      </c>
      <c r="D67" s="187">
        <v>0</v>
      </c>
      <c r="E67" s="240"/>
    </row>
    <row r="68" spans="1:30" ht="15" customHeight="1">
      <c r="A68" s="563" t="s">
        <v>307</v>
      </c>
      <c r="B68" s="363" t="s">
        <v>363</v>
      </c>
      <c r="C68" s="187">
        <f t="shared" si="7"/>
        <v>20132747</v>
      </c>
      <c r="D68" s="187">
        <v>20132747</v>
      </c>
      <c r="E68" s="240"/>
    </row>
    <row r="69" spans="1:30" ht="15" customHeight="1">
      <c r="A69" s="351" t="s">
        <v>364</v>
      </c>
      <c r="B69" s="352" t="s">
        <v>365</v>
      </c>
      <c r="C69" s="121">
        <f>SUM(C58:C68)-C59</f>
        <v>705071286</v>
      </c>
      <c r="D69" s="121">
        <f>SUM(D58:D68)-D59</f>
        <v>705071286</v>
      </c>
      <c r="E69" s="240"/>
      <c r="G69" s="570"/>
    </row>
    <row r="70" spans="1:30" ht="7.5" customHeight="1">
      <c r="A70" s="237" t="s">
        <v>9</v>
      </c>
      <c r="B70" s="353" t="s">
        <v>9</v>
      </c>
      <c r="C70" s="362"/>
      <c r="D70" s="362"/>
      <c r="E70" s="362"/>
    </row>
    <row r="71" spans="1:30" ht="15" customHeight="1">
      <c r="A71" s="351" t="s">
        <v>366</v>
      </c>
      <c r="B71" s="352" t="s">
        <v>367</v>
      </c>
      <c r="C71" s="121">
        <f>C55-C69</f>
        <v>51972811</v>
      </c>
      <c r="D71" s="121">
        <f>D55-D69</f>
        <v>25309617</v>
      </c>
      <c r="E71" s="121">
        <f>+E55-(C69-D69)</f>
        <v>26663194</v>
      </c>
      <c r="G71" s="570"/>
    </row>
    <row r="72" spans="1:30" ht="15" customHeight="1">
      <c r="A72" s="237" t="s">
        <v>312</v>
      </c>
      <c r="B72" s="353" t="s">
        <v>368</v>
      </c>
      <c r="C72" s="188">
        <f>+D72+E72</f>
        <v>30658146</v>
      </c>
      <c r="D72" s="187">
        <v>30658146</v>
      </c>
      <c r="E72" s="187"/>
    </row>
    <row r="73" spans="1:30" ht="7.5" customHeight="1">
      <c r="A73" s="237"/>
      <c r="B73" s="353"/>
      <c r="C73" s="373"/>
      <c r="D73" s="373"/>
      <c r="E73" s="373"/>
    </row>
    <row r="74" spans="1:30" ht="15" customHeight="1">
      <c r="A74" s="351" t="s">
        <v>369</v>
      </c>
      <c r="B74" s="352" t="s">
        <v>370</v>
      </c>
      <c r="C74" s="121">
        <f>C71-C72</f>
        <v>21314665</v>
      </c>
      <c r="D74" s="121">
        <f>D71-D72</f>
        <v>-5348529</v>
      </c>
      <c r="E74" s="121">
        <f>E71-E72</f>
        <v>26663194</v>
      </c>
      <c r="G74" s="570"/>
    </row>
    <row r="75" spans="1:30" ht="15" customHeight="1">
      <c r="A75" s="237" t="s">
        <v>312</v>
      </c>
      <c r="B75" s="353" t="s">
        <v>371</v>
      </c>
      <c r="C75" s="188">
        <f t="shared" ref="C75:C76" si="8">+D75+E75</f>
        <v>0</v>
      </c>
      <c r="D75" s="187">
        <v>0</v>
      </c>
      <c r="E75" s="187">
        <v>0</v>
      </c>
    </row>
    <row r="76" spans="1:30" ht="15" customHeight="1">
      <c r="A76" s="237" t="s">
        <v>292</v>
      </c>
      <c r="B76" s="353" t="s">
        <v>372</v>
      </c>
      <c r="C76" s="188">
        <f t="shared" si="8"/>
        <v>0</v>
      </c>
      <c r="D76" s="187">
        <v>0</v>
      </c>
      <c r="E76" s="187">
        <v>0</v>
      </c>
    </row>
    <row r="77" spans="1:30" ht="7.5" customHeight="1">
      <c r="A77" s="351"/>
      <c r="B77" s="352"/>
      <c r="C77" s="362"/>
      <c r="D77" s="362"/>
      <c r="E77" s="362"/>
    </row>
    <row r="78" spans="1:30" ht="15" customHeight="1">
      <c r="A78" s="351" t="s">
        <v>373</v>
      </c>
      <c r="B78" s="352" t="s">
        <v>374</v>
      </c>
      <c r="C78" s="121">
        <f>C74+C75+C76</f>
        <v>21314665</v>
      </c>
      <c r="D78" s="121">
        <f>D74+D75+D76</f>
        <v>-5348529</v>
      </c>
      <c r="E78" s="121">
        <f>E74+E75+E76</f>
        <v>26663194</v>
      </c>
      <c r="G78" s="570"/>
    </row>
    <row r="79" spans="1:30" ht="15" customHeight="1">
      <c r="A79" s="34"/>
    </row>
    <row r="80" spans="1:30" s="269" customFormat="1" ht="19.5" customHeight="1">
      <c r="A80" s="34"/>
      <c r="B80" s="239" t="s">
        <v>788</v>
      </c>
      <c r="C80" s="34"/>
      <c r="D80" s="34"/>
      <c r="E80" s="34"/>
      <c r="F80" s="349"/>
      <c r="G80" s="349"/>
      <c r="H80" s="349"/>
      <c r="I80" s="349"/>
      <c r="J80" s="349"/>
      <c r="K80" s="349"/>
      <c r="L80" s="349"/>
      <c r="M80" s="349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 spans="1:30" s="269" customFormat="1" ht="12.75" customHeight="1">
      <c r="A81" s="34"/>
      <c r="B81" s="239"/>
      <c r="C81" s="34"/>
      <c r="D81" s="34"/>
      <c r="E81" s="34"/>
      <c r="F81" s="349"/>
      <c r="G81" s="349"/>
      <c r="H81" s="349"/>
      <c r="I81" s="349"/>
      <c r="J81" s="349"/>
      <c r="K81" s="349"/>
      <c r="L81" s="349"/>
      <c r="M81" s="349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 spans="1:30" s="269" customFormat="1" ht="19.5" customHeight="1">
      <c r="A82" s="34"/>
      <c r="B82" s="239" t="s">
        <v>789</v>
      </c>
      <c r="C82" s="34"/>
      <c r="D82" s="34"/>
      <c r="E82" s="34"/>
      <c r="F82" s="349"/>
      <c r="G82" s="349"/>
      <c r="H82" s="349"/>
      <c r="I82" s="349"/>
      <c r="J82" s="349"/>
      <c r="K82" s="349"/>
      <c r="L82" s="349"/>
      <c r="M82" s="349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 spans="1:30" ht="15" customHeight="1">
      <c r="A83" s="34"/>
    </row>
    <row r="84" spans="1:30" ht="15" customHeight="1">
      <c r="A84" s="34"/>
    </row>
    <row r="85" spans="1:30" ht="15" customHeight="1">
      <c r="A85" s="34"/>
    </row>
    <row r="86" spans="1:30" ht="15" customHeight="1">
      <c r="A86" s="34"/>
    </row>
    <row r="87" spans="1:30" ht="15" customHeight="1">
      <c r="A87" s="34"/>
    </row>
    <row r="88" spans="1:30" ht="15" customHeight="1">
      <c r="A88" s="241"/>
    </row>
    <row r="89" spans="1:30" ht="15" customHeight="1">
      <c r="A89" s="241"/>
    </row>
    <row r="93" spans="1:30" ht="15" customHeight="1">
      <c r="A93" s="242"/>
    </row>
  </sheetData>
  <sheetProtection password="CACA" sheet="1" objects="1" scenarios="1"/>
  <mergeCells count="1">
    <mergeCell ref="A1:D1"/>
  </mergeCells>
  <phoneticPr fontId="15" type="noConversion"/>
  <conditionalFormatting sqref="G15">
    <cfRule type="cellIs" dxfId="353" priority="42" operator="notEqual">
      <formula>$G$15</formula>
    </cfRule>
  </conditionalFormatting>
  <conditionalFormatting sqref="C15">
    <cfRule type="cellIs" dxfId="352" priority="2" operator="notEqual">
      <formula>$G$15</formula>
    </cfRule>
  </conditionalFormatting>
  <conditionalFormatting sqref="C27">
    <cfRule type="cellIs" dxfId="351" priority="1" operator="notEqual">
      <formula>$G$27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5:F76 F17 F47 F58:F68 C58:D68 C30:F33 F29 C23:F25 C72:F72 C48:F52 C18:F21 C37:F44 C6:E14 F5:F14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8:E68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5" orientation="portrait" r:id="rId1"/>
  <headerFooter alignWithMargins="0"/>
  <ignoredErrors>
    <ignoredError sqref="C6:C8 C86:C92 C10:C21" unlockedFormula="1"/>
    <ignoredError sqref="C22:C34 C54:C57 C69:C71 C73:C79 C45:C52 C37:C41 C83:C85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AD98"/>
  <sheetViews>
    <sheetView view="pageBreakPreview" zoomScaleSheetLayoutView="100" workbookViewId="0">
      <pane xSplit="2" ySplit="4" topLeftCell="C71" activePane="bottomRight" state="frozen"/>
      <selection activeCell="C73" sqref="C73"/>
      <selection pane="topRight" activeCell="C73" sqref="C73"/>
      <selection pane="bottomLeft" activeCell="C73" sqref="C73"/>
      <selection pane="bottomRight" activeCell="C71" sqref="C71"/>
    </sheetView>
  </sheetViews>
  <sheetFormatPr defaultRowHeight="12.75"/>
  <cols>
    <col min="1" max="1" width="7.140625" style="530" customWidth="1"/>
    <col min="2" max="2" width="82.140625" style="273" customWidth="1"/>
    <col min="3" max="3" width="19" style="273" customWidth="1"/>
    <col min="4" max="10" width="6.42578125" style="273" customWidth="1"/>
    <col min="11" max="16384" width="9.140625" style="273"/>
  </cols>
  <sheetData>
    <row r="1" spans="1:20" s="16" customFormat="1" ht="21" customHeight="1">
      <c r="A1" s="4"/>
      <c r="B1" s="383" t="s">
        <v>376</v>
      </c>
      <c r="C1" s="17" t="s">
        <v>375</v>
      </c>
      <c r="D1" s="384"/>
      <c r="E1" s="384"/>
      <c r="F1" s="384"/>
      <c r="G1" s="384"/>
      <c r="H1" s="384"/>
    </row>
    <row r="2" spans="1:20" ht="9" customHeight="1">
      <c r="A2" s="4"/>
      <c r="B2" s="3"/>
      <c r="C2" s="17"/>
      <c r="D2" s="385"/>
      <c r="E2" s="385"/>
      <c r="F2" s="385"/>
      <c r="G2" s="385"/>
      <c r="H2" s="385"/>
    </row>
    <row r="3" spans="1:20" ht="15">
      <c r="A3" s="522"/>
      <c r="B3" s="92" t="str">
        <f>+'Asset quality'!B3</f>
        <v>"МКБАНК"</v>
      </c>
      <c r="C3" s="325">
        <f>+'Asset quality'!Q3</f>
        <v>44926</v>
      </c>
      <c r="D3" s="385"/>
      <c r="E3" s="385"/>
      <c r="F3" s="385"/>
      <c r="G3" s="385"/>
      <c r="H3" s="385"/>
    </row>
    <row r="4" spans="1:20" ht="24" customHeight="1">
      <c r="A4" s="116" t="s">
        <v>62</v>
      </c>
      <c r="B4" s="116" t="s">
        <v>285</v>
      </c>
      <c r="C4" s="116" t="str">
        <f>+'Asset quality'!T3</f>
        <v>минг. сўмда</v>
      </c>
      <c r="D4" s="385"/>
      <c r="E4" s="385"/>
      <c r="F4" s="385"/>
      <c r="G4" s="385"/>
      <c r="H4" s="385"/>
    </row>
    <row r="5" spans="1:20">
      <c r="A5" s="523" t="s">
        <v>288</v>
      </c>
      <c r="B5" s="386" t="s">
        <v>377</v>
      </c>
      <c r="C5" s="116"/>
      <c r="D5" s="385"/>
      <c r="E5" s="385"/>
      <c r="F5" s="385"/>
      <c r="G5" s="385"/>
      <c r="H5" s="385"/>
    </row>
    <row r="6" spans="1:20">
      <c r="A6" s="524" t="s">
        <v>290</v>
      </c>
      <c r="B6" s="670" t="s">
        <v>251</v>
      </c>
      <c r="C6" s="387">
        <v>0</v>
      </c>
      <c r="D6" s="385"/>
      <c r="E6" s="385"/>
      <c r="F6" s="385"/>
      <c r="G6" s="385"/>
      <c r="H6" s="385"/>
    </row>
    <row r="7" spans="1:20">
      <c r="A7" s="524" t="s">
        <v>292</v>
      </c>
      <c r="B7" s="670" t="s">
        <v>804</v>
      </c>
      <c r="C7" s="387">
        <v>14242</v>
      </c>
      <c r="D7" s="385"/>
      <c r="E7" s="385"/>
      <c r="F7" s="385"/>
      <c r="G7" s="385"/>
      <c r="H7" s="385"/>
    </row>
    <row r="8" spans="1:20">
      <c r="A8" s="525" t="s">
        <v>294</v>
      </c>
      <c r="B8" s="670" t="s">
        <v>805</v>
      </c>
      <c r="C8" s="387">
        <v>374</v>
      </c>
      <c r="D8" s="385"/>
      <c r="E8" s="385"/>
      <c r="F8" s="385"/>
      <c r="G8" s="385"/>
      <c r="H8" s="385"/>
    </row>
    <row r="9" spans="1:20">
      <c r="A9" s="525" t="s">
        <v>295</v>
      </c>
      <c r="B9" s="670" t="s">
        <v>806</v>
      </c>
      <c r="C9" s="387">
        <v>608248395</v>
      </c>
      <c r="D9" s="385"/>
      <c r="E9" s="385"/>
      <c r="F9" s="385"/>
      <c r="G9" s="385"/>
      <c r="H9" s="385"/>
    </row>
    <row r="10" spans="1:20">
      <c r="A10" s="526" t="s">
        <v>297</v>
      </c>
      <c r="B10" s="671" t="s">
        <v>807</v>
      </c>
      <c r="C10" s="387">
        <v>13041010</v>
      </c>
      <c r="D10" s="385"/>
      <c r="E10" s="385"/>
      <c r="F10" s="385"/>
      <c r="G10" s="385"/>
      <c r="H10" s="385"/>
    </row>
    <row r="11" spans="1:20">
      <c r="A11" s="526" t="s">
        <v>299</v>
      </c>
      <c r="B11" s="671" t="s">
        <v>808</v>
      </c>
      <c r="C11" s="387">
        <v>11673505</v>
      </c>
      <c r="D11" s="385"/>
      <c r="E11" s="385"/>
      <c r="F11" s="385"/>
      <c r="G11" s="385"/>
      <c r="H11" s="385"/>
    </row>
    <row r="12" spans="1:20" ht="15.75" customHeight="1">
      <c r="A12" s="525" t="s">
        <v>301</v>
      </c>
      <c r="B12" s="671" t="s">
        <v>809</v>
      </c>
      <c r="C12" s="387">
        <v>1065990214</v>
      </c>
      <c r="D12" s="385"/>
      <c r="E12" s="385"/>
      <c r="F12" s="385"/>
      <c r="G12" s="385"/>
      <c r="H12" s="385"/>
    </row>
    <row r="13" spans="1:20">
      <c r="A13" s="525" t="s">
        <v>303</v>
      </c>
      <c r="B13" s="670" t="s">
        <v>810</v>
      </c>
      <c r="C13" s="387">
        <v>54709389</v>
      </c>
      <c r="D13" s="385"/>
      <c r="E13" s="385"/>
      <c r="F13" s="385"/>
      <c r="G13" s="385"/>
      <c r="H13" s="385"/>
    </row>
    <row r="14" spans="1:20">
      <c r="A14" s="527" t="s">
        <v>305</v>
      </c>
      <c r="B14" s="390" t="s">
        <v>378</v>
      </c>
      <c r="C14" s="581">
        <f>SUM(C6:C13)</f>
        <v>1753677129</v>
      </c>
      <c r="D14" s="385"/>
      <c r="E14" s="385"/>
      <c r="F14" s="385"/>
      <c r="G14" s="385"/>
      <c r="H14" s="385"/>
    </row>
    <row r="15" spans="1:20" s="394" customFormat="1" ht="7.5" customHeight="1">
      <c r="A15" s="9"/>
      <c r="B15" s="391"/>
      <c r="C15" s="392"/>
      <c r="D15" s="393"/>
      <c r="E15" s="393"/>
      <c r="F15" s="393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</row>
    <row r="16" spans="1:20">
      <c r="A16" s="527" t="s">
        <v>310</v>
      </c>
      <c r="B16" s="390" t="s">
        <v>379</v>
      </c>
      <c r="C16" s="116"/>
      <c r="D16" s="385"/>
      <c r="E16" s="385"/>
      <c r="F16" s="385"/>
      <c r="G16" s="385"/>
      <c r="H16" s="385"/>
    </row>
    <row r="17" spans="1:20">
      <c r="A17" s="528" t="s">
        <v>290</v>
      </c>
      <c r="B17" s="395" t="s">
        <v>291</v>
      </c>
      <c r="C17" s="387">
        <v>31527277</v>
      </c>
      <c r="D17" s="385"/>
      <c r="E17" s="385"/>
      <c r="F17" s="385"/>
      <c r="G17" s="385"/>
      <c r="H17" s="385"/>
    </row>
    <row r="18" spans="1:20">
      <c r="A18" s="528" t="s">
        <v>292</v>
      </c>
      <c r="B18" s="395" t="s">
        <v>293</v>
      </c>
      <c r="C18" s="387">
        <v>25430621</v>
      </c>
      <c r="D18" s="385"/>
      <c r="E18" s="385"/>
      <c r="F18" s="385"/>
      <c r="G18" s="385"/>
      <c r="H18" s="385"/>
    </row>
    <row r="19" spans="1:20">
      <c r="A19" s="527"/>
      <c r="B19" s="390" t="s">
        <v>380</v>
      </c>
      <c r="C19" s="581">
        <f>SUM(C17:C18)</f>
        <v>56957898</v>
      </c>
      <c r="D19" s="385"/>
      <c r="E19" s="385"/>
      <c r="F19" s="385"/>
      <c r="G19" s="385"/>
      <c r="H19" s="385"/>
    </row>
    <row r="20" spans="1:20" s="394" customFormat="1" ht="7.5" customHeight="1">
      <c r="A20" s="9"/>
      <c r="B20" s="391"/>
      <c r="C20" s="392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</row>
    <row r="21" spans="1:20" ht="25.5">
      <c r="A21" s="529" t="s">
        <v>92</v>
      </c>
      <c r="B21" s="396" t="s">
        <v>381</v>
      </c>
      <c r="C21" s="116"/>
      <c r="D21" s="385"/>
      <c r="E21" s="385"/>
      <c r="F21" s="385"/>
      <c r="G21" s="385"/>
      <c r="H21" s="385"/>
    </row>
    <row r="22" spans="1:20">
      <c r="A22" s="526" t="s">
        <v>290</v>
      </c>
      <c r="B22" s="395" t="s">
        <v>382</v>
      </c>
      <c r="C22" s="387">
        <v>1547182</v>
      </c>
      <c r="D22" s="385"/>
      <c r="E22" s="385"/>
      <c r="F22" s="385"/>
      <c r="G22" s="385"/>
      <c r="H22" s="385"/>
    </row>
    <row r="23" spans="1:20">
      <c r="A23" s="525" t="s">
        <v>292</v>
      </c>
      <c r="B23" s="395" t="s">
        <v>383</v>
      </c>
      <c r="C23" s="387">
        <v>70040571</v>
      </c>
      <c r="D23" s="385"/>
      <c r="E23" s="385"/>
      <c r="F23" s="385"/>
      <c r="G23" s="385"/>
      <c r="H23" s="385"/>
    </row>
    <row r="24" spans="1:20">
      <c r="A24" s="525" t="s">
        <v>294</v>
      </c>
      <c r="B24" s="395" t="s">
        <v>384</v>
      </c>
      <c r="C24" s="387">
        <v>0</v>
      </c>
      <c r="D24" s="385"/>
      <c r="E24" s="385"/>
      <c r="F24" s="385"/>
      <c r="G24" s="385"/>
      <c r="H24" s="385"/>
    </row>
    <row r="25" spans="1:20">
      <c r="A25" s="525" t="s">
        <v>295</v>
      </c>
      <c r="B25" s="395" t="s">
        <v>385</v>
      </c>
      <c r="C25" s="387">
        <v>0</v>
      </c>
      <c r="D25" s="385"/>
      <c r="E25" s="385"/>
      <c r="F25" s="385"/>
      <c r="G25" s="385"/>
      <c r="H25" s="385"/>
    </row>
    <row r="26" spans="1:20">
      <c r="A26" s="525" t="s">
        <v>297</v>
      </c>
      <c r="B26" s="395" t="s">
        <v>386</v>
      </c>
      <c r="C26" s="387">
        <v>0</v>
      </c>
      <c r="D26" s="385"/>
      <c r="E26" s="385"/>
      <c r="F26" s="385"/>
      <c r="G26" s="385"/>
      <c r="H26" s="385"/>
    </row>
    <row r="27" spans="1:20">
      <c r="A27" s="525" t="s">
        <v>299</v>
      </c>
      <c r="B27" s="395" t="s">
        <v>387</v>
      </c>
      <c r="C27" s="387">
        <v>0</v>
      </c>
      <c r="D27" s="385"/>
      <c r="E27" s="385"/>
      <c r="F27" s="385"/>
      <c r="G27" s="385"/>
      <c r="H27" s="385"/>
    </row>
    <row r="28" spans="1:20">
      <c r="A28" s="525" t="s">
        <v>301</v>
      </c>
      <c r="B28" s="390" t="s">
        <v>388</v>
      </c>
      <c r="C28" s="581">
        <f>SUM(C22:C27)</f>
        <v>71587753</v>
      </c>
      <c r="D28" s="385"/>
      <c r="E28" s="385"/>
      <c r="F28" s="385"/>
      <c r="G28" s="385"/>
      <c r="H28" s="385"/>
    </row>
    <row r="29" spans="1:20" s="394" customFormat="1" ht="7.5" customHeight="1">
      <c r="A29" s="9"/>
      <c r="B29" s="391"/>
      <c r="C29" s="392"/>
      <c r="D29" s="393"/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</row>
    <row r="30" spans="1:20">
      <c r="A30" s="527" t="s">
        <v>329</v>
      </c>
      <c r="B30" s="390" t="s">
        <v>389</v>
      </c>
      <c r="C30" s="116"/>
      <c r="D30" s="385"/>
      <c r="E30" s="385"/>
      <c r="F30" s="385"/>
      <c r="G30" s="385"/>
      <c r="H30" s="385"/>
    </row>
    <row r="31" spans="1:20">
      <c r="A31" s="525" t="s">
        <v>290</v>
      </c>
      <c r="B31" s="388" t="s">
        <v>382</v>
      </c>
      <c r="C31" s="387">
        <v>0</v>
      </c>
      <c r="D31" s="385"/>
      <c r="E31" s="385"/>
      <c r="F31" s="385"/>
      <c r="G31" s="385"/>
      <c r="H31" s="385"/>
    </row>
    <row r="32" spans="1:20" ht="25.5">
      <c r="A32" s="526" t="s">
        <v>292</v>
      </c>
      <c r="B32" s="389" t="s">
        <v>390</v>
      </c>
      <c r="C32" s="387">
        <v>0</v>
      </c>
      <c r="D32" s="385"/>
      <c r="E32" s="385"/>
      <c r="F32" s="385"/>
      <c r="G32" s="385"/>
      <c r="H32" s="385"/>
    </row>
    <row r="33" spans="1:20" ht="25.5">
      <c r="A33" s="526" t="s">
        <v>294</v>
      </c>
      <c r="B33" s="389" t="s">
        <v>391</v>
      </c>
      <c r="C33" s="387">
        <v>0</v>
      </c>
      <c r="D33" s="385"/>
      <c r="E33" s="385"/>
      <c r="F33" s="385"/>
      <c r="G33" s="385"/>
      <c r="H33" s="385"/>
    </row>
    <row r="34" spans="1:20">
      <c r="A34" s="525" t="s">
        <v>295</v>
      </c>
      <c r="B34" s="388" t="s">
        <v>392</v>
      </c>
      <c r="C34" s="387">
        <v>0</v>
      </c>
      <c r="D34" s="385"/>
      <c r="E34" s="385"/>
      <c r="F34" s="385"/>
      <c r="G34" s="385"/>
      <c r="H34" s="385"/>
    </row>
    <row r="35" spans="1:20">
      <c r="A35" s="525" t="s">
        <v>297</v>
      </c>
      <c r="B35" s="388" t="s">
        <v>387</v>
      </c>
      <c r="C35" s="387">
        <v>0</v>
      </c>
      <c r="D35" s="385"/>
      <c r="E35" s="385"/>
      <c r="F35" s="385"/>
      <c r="G35" s="385"/>
      <c r="H35" s="385"/>
    </row>
    <row r="36" spans="1:20">
      <c r="A36" s="525" t="s">
        <v>299</v>
      </c>
      <c r="B36" s="390" t="s">
        <v>393</v>
      </c>
      <c r="C36" s="581">
        <f>SUM(C31:C35)</f>
        <v>0</v>
      </c>
      <c r="D36" s="385"/>
      <c r="E36" s="385"/>
      <c r="F36" s="385"/>
      <c r="G36" s="385"/>
      <c r="H36" s="385"/>
    </row>
    <row r="37" spans="1:20" s="394" customFormat="1" ht="7.5" customHeight="1">
      <c r="A37" s="9"/>
      <c r="B37" s="391"/>
      <c r="C37" s="392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</row>
    <row r="38" spans="1:20">
      <c r="A38" s="527" t="s">
        <v>341</v>
      </c>
      <c r="B38" s="390" t="s">
        <v>394</v>
      </c>
      <c r="C38" s="116"/>
      <c r="D38" s="385"/>
      <c r="E38" s="385"/>
      <c r="F38" s="385"/>
      <c r="G38" s="385"/>
      <c r="H38" s="385"/>
    </row>
    <row r="39" spans="1:20">
      <c r="A39" s="525" t="s">
        <v>290</v>
      </c>
      <c r="B39" s="397" t="s">
        <v>395</v>
      </c>
      <c r="C39" s="387">
        <v>0</v>
      </c>
      <c r="D39" s="385"/>
      <c r="E39" s="385"/>
      <c r="F39" s="385"/>
      <c r="G39" s="385"/>
      <c r="H39" s="385"/>
    </row>
    <row r="40" spans="1:20">
      <c r="A40" s="525" t="s">
        <v>292</v>
      </c>
      <c r="B40" s="397" t="s">
        <v>306</v>
      </c>
      <c r="C40" s="387">
        <v>706809174</v>
      </c>
      <c r="D40" s="385"/>
      <c r="E40" s="385"/>
      <c r="F40" s="385"/>
      <c r="G40" s="385"/>
      <c r="H40" s="385"/>
    </row>
    <row r="41" spans="1:20" s="394" customFormat="1" ht="7.5" customHeight="1">
      <c r="A41" s="9"/>
      <c r="B41" s="391"/>
      <c r="C41" s="392"/>
      <c r="D41" s="393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</row>
    <row r="42" spans="1:20">
      <c r="A42" s="527" t="s">
        <v>348</v>
      </c>
      <c r="B42" s="390" t="s">
        <v>396</v>
      </c>
      <c r="C42" s="581">
        <f>C14+C19+C28+C36+C39+C40</f>
        <v>2589031954</v>
      </c>
      <c r="D42" s="385"/>
      <c r="E42" s="385"/>
      <c r="F42" s="385"/>
      <c r="G42" s="385"/>
      <c r="H42" s="385"/>
    </row>
    <row r="43" spans="1:20" s="394" customFormat="1" ht="7.5" customHeight="1">
      <c r="A43" s="9"/>
      <c r="B43" s="391"/>
      <c r="C43" s="392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</row>
    <row r="44" spans="1:20">
      <c r="A44" s="527" t="s">
        <v>350</v>
      </c>
      <c r="B44" s="390" t="s">
        <v>397</v>
      </c>
      <c r="C44" s="116"/>
      <c r="D44" s="385"/>
      <c r="E44" s="385"/>
      <c r="F44" s="385"/>
      <c r="G44" s="385"/>
      <c r="H44" s="385"/>
    </row>
    <row r="45" spans="1:20">
      <c r="A45" s="527" t="s">
        <v>398</v>
      </c>
      <c r="B45" s="390" t="s">
        <v>399</v>
      </c>
      <c r="C45" s="387"/>
      <c r="D45" s="385"/>
      <c r="E45" s="385"/>
      <c r="F45" s="385"/>
      <c r="G45" s="385"/>
      <c r="H45" s="385"/>
    </row>
    <row r="46" spans="1:20">
      <c r="A46" s="525" t="s">
        <v>290</v>
      </c>
      <c r="B46" s="395" t="s">
        <v>400</v>
      </c>
      <c r="C46" s="387">
        <v>0</v>
      </c>
      <c r="D46" s="385"/>
      <c r="E46" s="385"/>
      <c r="F46" s="385"/>
      <c r="G46" s="385"/>
      <c r="H46" s="385"/>
    </row>
    <row r="47" spans="1:20">
      <c r="A47" s="525" t="s">
        <v>292</v>
      </c>
      <c r="B47" s="395" t="s">
        <v>401</v>
      </c>
      <c r="C47" s="387">
        <v>205</v>
      </c>
      <c r="D47" s="385"/>
      <c r="E47" s="385"/>
      <c r="F47" s="385"/>
      <c r="G47" s="385"/>
      <c r="H47" s="385"/>
    </row>
    <row r="48" spans="1:20">
      <c r="A48" s="525" t="s">
        <v>294</v>
      </c>
      <c r="B48" s="395" t="s">
        <v>402</v>
      </c>
      <c r="C48" s="387">
        <v>30577346</v>
      </c>
      <c r="D48" s="385"/>
      <c r="E48" s="385"/>
      <c r="F48" s="385"/>
      <c r="G48" s="385"/>
      <c r="H48" s="385"/>
    </row>
    <row r="49" spans="1:20">
      <c r="A49" s="525" t="s">
        <v>295</v>
      </c>
      <c r="B49" s="388" t="s">
        <v>403</v>
      </c>
      <c r="C49" s="387">
        <v>0</v>
      </c>
      <c r="D49" s="385"/>
      <c r="E49" s="385"/>
      <c r="F49" s="385"/>
      <c r="G49" s="385"/>
      <c r="H49" s="385"/>
    </row>
    <row r="50" spans="1:20">
      <c r="A50" s="525" t="s">
        <v>297</v>
      </c>
      <c r="B50" s="388" t="s">
        <v>404</v>
      </c>
      <c r="C50" s="387">
        <v>0</v>
      </c>
      <c r="D50" s="385"/>
      <c r="E50" s="385"/>
      <c r="F50" s="385"/>
      <c r="G50" s="385"/>
      <c r="H50" s="385"/>
    </row>
    <row r="51" spans="1:20">
      <c r="A51" s="525" t="s">
        <v>299</v>
      </c>
      <c r="B51" s="388" t="s">
        <v>405</v>
      </c>
      <c r="C51" s="387">
        <v>90302</v>
      </c>
      <c r="D51" s="385"/>
      <c r="E51" s="385"/>
      <c r="F51" s="385"/>
      <c r="G51" s="385"/>
      <c r="H51" s="385"/>
    </row>
    <row r="52" spans="1:20">
      <c r="A52" s="582" t="s">
        <v>301</v>
      </c>
      <c r="B52" s="583" t="s">
        <v>406</v>
      </c>
      <c r="C52" s="581">
        <f>SUM(C46:C51)</f>
        <v>30667853</v>
      </c>
      <c r="D52" s="385"/>
      <c r="E52" s="385"/>
      <c r="F52" s="385"/>
      <c r="G52" s="385"/>
      <c r="H52" s="385"/>
    </row>
    <row r="53" spans="1:20" s="394" customFormat="1" ht="7.5" customHeight="1">
      <c r="A53" s="9"/>
      <c r="B53" s="391"/>
      <c r="C53" s="392"/>
      <c r="D53" s="393"/>
      <c r="E53" s="393"/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</row>
    <row r="54" spans="1:20">
      <c r="A54" s="527" t="s">
        <v>407</v>
      </c>
      <c r="B54" s="390" t="s">
        <v>408</v>
      </c>
      <c r="C54" s="116"/>
      <c r="D54" s="385"/>
      <c r="E54" s="385"/>
      <c r="F54" s="385"/>
      <c r="G54" s="385"/>
      <c r="H54" s="385"/>
    </row>
    <row r="55" spans="1:20">
      <c r="A55" s="525" t="s">
        <v>290</v>
      </c>
      <c r="B55" s="395" t="s">
        <v>400</v>
      </c>
      <c r="C55" s="387">
        <v>261524200</v>
      </c>
      <c r="D55" s="385"/>
      <c r="E55" s="385"/>
      <c r="F55" s="385"/>
      <c r="G55" s="385"/>
      <c r="H55" s="385"/>
    </row>
    <row r="56" spans="1:20">
      <c r="A56" s="525" t="s">
        <v>292</v>
      </c>
      <c r="B56" s="395" t="s">
        <v>401</v>
      </c>
      <c r="C56" s="387">
        <v>145251945</v>
      </c>
      <c r="D56" s="385"/>
      <c r="E56" s="385"/>
      <c r="F56" s="385"/>
      <c r="G56" s="385"/>
      <c r="H56" s="385"/>
    </row>
    <row r="57" spans="1:20">
      <c r="A57" s="525" t="s">
        <v>294</v>
      </c>
      <c r="B57" s="395" t="s">
        <v>402</v>
      </c>
      <c r="C57" s="387">
        <v>14611105</v>
      </c>
      <c r="D57" s="385"/>
      <c r="E57" s="385"/>
      <c r="F57" s="385"/>
      <c r="G57" s="385"/>
      <c r="H57" s="385"/>
    </row>
    <row r="58" spans="1:20">
      <c r="A58" s="525" t="s">
        <v>295</v>
      </c>
      <c r="B58" s="388" t="s">
        <v>403</v>
      </c>
      <c r="C58" s="387">
        <v>524791</v>
      </c>
      <c r="D58" s="385"/>
      <c r="E58" s="385"/>
      <c r="F58" s="385"/>
      <c r="G58" s="385"/>
      <c r="H58" s="385"/>
    </row>
    <row r="59" spans="1:20">
      <c r="A59" s="525" t="s">
        <v>297</v>
      </c>
      <c r="B59" s="395" t="s">
        <v>404</v>
      </c>
      <c r="C59" s="387">
        <v>16695946</v>
      </c>
      <c r="D59" s="385"/>
      <c r="E59" s="385"/>
      <c r="F59" s="385"/>
      <c r="G59" s="385"/>
      <c r="H59" s="385"/>
    </row>
    <row r="60" spans="1:20">
      <c r="A60" s="525" t="s">
        <v>299</v>
      </c>
      <c r="B60" s="395" t="s">
        <v>405</v>
      </c>
      <c r="C60" s="387">
        <v>15346484</v>
      </c>
      <c r="D60" s="385"/>
      <c r="E60" s="385"/>
      <c r="F60" s="385"/>
      <c r="G60" s="385"/>
      <c r="H60" s="385"/>
    </row>
    <row r="61" spans="1:20" ht="13.5" customHeight="1">
      <c r="A61" s="582" t="s">
        <v>301</v>
      </c>
      <c r="B61" s="386" t="s">
        <v>409</v>
      </c>
      <c r="C61" s="581">
        <f>SUM(C55:C60)</f>
        <v>453954471</v>
      </c>
      <c r="D61" s="385"/>
      <c r="E61" s="385"/>
      <c r="F61" s="385"/>
      <c r="G61" s="385"/>
      <c r="H61" s="385"/>
    </row>
    <row r="62" spans="1:20" s="394" customFormat="1" ht="7.5" customHeight="1">
      <c r="A62" s="9"/>
      <c r="B62" s="391"/>
      <c r="C62" s="392"/>
      <c r="D62" s="393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</row>
    <row r="63" spans="1:20">
      <c r="A63" s="527" t="s">
        <v>410</v>
      </c>
      <c r="B63" s="390" t="s">
        <v>411</v>
      </c>
      <c r="C63" s="581">
        <f>C52+C61</f>
        <v>484622324</v>
      </c>
      <c r="D63" s="385"/>
      <c r="E63" s="385"/>
      <c r="F63" s="385"/>
      <c r="G63" s="385"/>
      <c r="H63" s="385"/>
    </row>
    <row r="64" spans="1:20" s="394" customFormat="1" ht="7.5" customHeight="1">
      <c r="A64" s="9"/>
      <c r="B64" s="391"/>
      <c r="C64" s="392"/>
      <c r="D64" s="393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</row>
    <row r="65" spans="1:30">
      <c r="A65" s="527" t="s">
        <v>366</v>
      </c>
      <c r="B65" s="390" t="s">
        <v>412</v>
      </c>
      <c r="C65" s="116"/>
      <c r="D65" s="385"/>
      <c r="E65" s="385"/>
      <c r="F65" s="385"/>
      <c r="G65" s="385"/>
      <c r="H65" s="385"/>
    </row>
    <row r="66" spans="1:30">
      <c r="A66" s="528" t="s">
        <v>312</v>
      </c>
      <c r="B66" s="395" t="s">
        <v>413</v>
      </c>
      <c r="C66" s="387">
        <v>0</v>
      </c>
      <c r="D66" s="385"/>
      <c r="E66" s="385"/>
      <c r="F66" s="385"/>
      <c r="G66" s="385"/>
      <c r="H66" s="385"/>
    </row>
    <row r="67" spans="1:30">
      <c r="A67" s="528" t="s">
        <v>292</v>
      </c>
      <c r="B67" s="397" t="s">
        <v>318</v>
      </c>
      <c r="C67" s="387">
        <v>369289967</v>
      </c>
      <c r="D67" s="385"/>
      <c r="E67" s="385"/>
      <c r="F67" s="385"/>
      <c r="G67" s="385"/>
      <c r="H67" s="385"/>
    </row>
    <row r="68" spans="1:30">
      <c r="A68" s="528" t="s">
        <v>294</v>
      </c>
      <c r="B68" s="397" t="s">
        <v>319</v>
      </c>
      <c r="C68" s="387">
        <v>92658</v>
      </c>
      <c r="D68" s="385"/>
      <c r="E68" s="385"/>
      <c r="F68" s="385"/>
      <c r="G68" s="385"/>
      <c r="H68" s="385"/>
    </row>
    <row r="69" spans="1:30">
      <c r="A69" s="528" t="s">
        <v>295</v>
      </c>
      <c r="B69" s="397" t="s">
        <v>320</v>
      </c>
      <c r="C69" s="387">
        <v>904284409</v>
      </c>
      <c r="D69" s="385"/>
      <c r="E69" s="385"/>
      <c r="F69" s="385"/>
      <c r="G69" s="385"/>
      <c r="H69" s="385"/>
    </row>
    <row r="70" spans="1:30">
      <c r="A70" s="527" t="s">
        <v>297</v>
      </c>
      <c r="B70" s="398" t="s">
        <v>414</v>
      </c>
      <c r="C70" s="581">
        <f>SUM(C66:C69)</f>
        <v>1273667034</v>
      </c>
      <c r="D70" s="385"/>
      <c r="E70" s="385"/>
      <c r="F70" s="385"/>
      <c r="G70" s="385"/>
      <c r="H70" s="385"/>
    </row>
    <row r="71" spans="1:30" s="394" customFormat="1" ht="7.5" customHeight="1">
      <c r="A71" s="9"/>
      <c r="B71" s="391"/>
      <c r="C71" s="584"/>
      <c r="D71" s="393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</row>
    <row r="72" spans="1:30">
      <c r="A72" s="527" t="s">
        <v>369</v>
      </c>
      <c r="B72" s="390" t="s">
        <v>415</v>
      </c>
      <c r="C72" s="581">
        <f>C63+C70</f>
        <v>1758289358</v>
      </c>
      <c r="D72" s="385"/>
      <c r="E72" s="385"/>
      <c r="F72" s="385"/>
      <c r="G72" s="385"/>
      <c r="H72" s="385"/>
    </row>
    <row r="73" spans="1:30">
      <c r="D73" s="385"/>
      <c r="E73" s="385"/>
      <c r="F73" s="385"/>
      <c r="G73" s="385"/>
      <c r="H73" s="385"/>
    </row>
    <row r="74" spans="1:30" s="269" customFormat="1" ht="15" customHeight="1">
      <c r="A74" s="34"/>
      <c r="B74" s="239" t="s">
        <v>788</v>
      </c>
      <c r="C74" s="34"/>
      <c r="D74" s="34"/>
      <c r="E74" s="34"/>
      <c r="F74" s="349"/>
      <c r="G74" s="349"/>
      <c r="H74" s="349"/>
      <c r="I74" s="349"/>
      <c r="J74" s="349"/>
      <c r="K74" s="349"/>
      <c r="L74" s="349"/>
      <c r="M74" s="349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spans="1:30" s="269" customFormat="1" ht="11.25" customHeight="1">
      <c r="A75" s="34"/>
      <c r="B75" s="239"/>
      <c r="C75" s="34"/>
      <c r="D75" s="34"/>
      <c r="E75" s="34"/>
      <c r="F75" s="349"/>
      <c r="G75" s="349"/>
      <c r="H75" s="349"/>
      <c r="I75" s="349"/>
      <c r="J75" s="349"/>
      <c r="K75" s="349"/>
      <c r="L75" s="349"/>
      <c r="M75" s="349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spans="1:30" s="269" customFormat="1" ht="15" customHeight="1">
      <c r="A76" s="34"/>
      <c r="B76" s="239" t="s">
        <v>789</v>
      </c>
      <c r="C76" s="34"/>
      <c r="D76" s="34"/>
      <c r="E76" s="34"/>
      <c r="F76" s="349"/>
      <c r="G76" s="349"/>
      <c r="H76" s="349"/>
      <c r="I76" s="349"/>
      <c r="J76" s="349"/>
      <c r="K76" s="349"/>
      <c r="L76" s="349"/>
      <c r="M76" s="349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0">
      <c r="D77" s="385"/>
      <c r="E77" s="385"/>
      <c r="F77" s="385"/>
      <c r="G77" s="385"/>
      <c r="H77" s="385"/>
    </row>
    <row r="78" spans="1:30">
      <c r="A78" s="531"/>
      <c r="D78" s="385"/>
      <c r="E78" s="385"/>
      <c r="F78" s="385"/>
      <c r="G78" s="385"/>
      <c r="H78" s="385"/>
    </row>
    <row r="79" spans="1:30">
      <c r="A79" s="532"/>
      <c r="D79" s="385"/>
      <c r="E79" s="385"/>
      <c r="F79" s="385"/>
      <c r="G79" s="385"/>
      <c r="H79" s="385"/>
    </row>
    <row r="80" spans="1:30">
      <c r="D80" s="385"/>
      <c r="E80" s="385"/>
      <c r="F80" s="385"/>
      <c r="G80" s="385"/>
      <c r="H80" s="385"/>
    </row>
    <row r="81" spans="4:8">
      <c r="D81" s="385"/>
      <c r="E81" s="385"/>
      <c r="F81" s="385"/>
      <c r="G81" s="385"/>
      <c r="H81" s="385"/>
    </row>
    <row r="82" spans="4:8">
      <c r="D82" s="385"/>
      <c r="E82" s="385"/>
      <c r="F82" s="385"/>
      <c r="G82" s="385"/>
      <c r="H82" s="385"/>
    </row>
    <row r="83" spans="4:8">
      <c r="D83" s="385"/>
      <c r="E83" s="385"/>
      <c r="F83" s="385"/>
      <c r="G83" s="385"/>
      <c r="H83" s="385"/>
    </row>
    <row r="84" spans="4:8">
      <c r="D84" s="385"/>
      <c r="E84" s="385"/>
      <c r="F84" s="385"/>
      <c r="G84" s="385"/>
      <c r="H84" s="385"/>
    </row>
    <row r="85" spans="4:8">
      <c r="D85" s="385"/>
      <c r="E85" s="385"/>
      <c r="F85" s="385"/>
      <c r="G85" s="385"/>
      <c r="H85" s="385"/>
    </row>
    <row r="86" spans="4:8">
      <c r="D86" s="385"/>
      <c r="E86" s="385"/>
      <c r="F86" s="385"/>
      <c r="G86" s="385"/>
      <c r="H86" s="385"/>
    </row>
    <row r="87" spans="4:8">
      <c r="D87" s="385"/>
      <c r="E87" s="385"/>
      <c r="F87" s="385"/>
      <c r="G87" s="385"/>
      <c r="H87" s="385"/>
    </row>
    <row r="88" spans="4:8">
      <c r="D88" s="385"/>
      <c r="E88" s="385"/>
      <c r="F88" s="385"/>
      <c r="G88" s="385"/>
      <c r="H88" s="385"/>
    </row>
    <row r="89" spans="4:8">
      <c r="D89" s="385"/>
      <c r="E89" s="385"/>
      <c r="F89" s="385"/>
      <c r="G89" s="385"/>
      <c r="H89" s="385"/>
    </row>
    <row r="90" spans="4:8">
      <c r="D90" s="385"/>
      <c r="E90" s="385"/>
      <c r="F90" s="385"/>
      <c r="G90" s="385"/>
      <c r="H90" s="385"/>
    </row>
    <row r="91" spans="4:8">
      <c r="D91" s="385"/>
      <c r="E91" s="385"/>
      <c r="F91" s="385"/>
      <c r="G91" s="385"/>
      <c r="H91" s="385"/>
    </row>
    <row r="92" spans="4:8">
      <c r="D92" s="385"/>
      <c r="E92" s="385"/>
      <c r="F92" s="385"/>
      <c r="G92" s="385"/>
      <c r="H92" s="385"/>
    </row>
    <row r="93" spans="4:8">
      <c r="D93" s="385"/>
      <c r="E93" s="385"/>
      <c r="F93" s="385"/>
      <c r="G93" s="385"/>
      <c r="H93" s="385"/>
    </row>
    <row r="94" spans="4:8">
      <c r="D94" s="385"/>
      <c r="E94" s="385"/>
      <c r="F94" s="385"/>
      <c r="G94" s="385"/>
      <c r="H94" s="385"/>
    </row>
    <row r="95" spans="4:8">
      <c r="D95" s="385"/>
      <c r="E95" s="385"/>
      <c r="F95" s="385"/>
      <c r="G95" s="385"/>
      <c r="H95" s="385"/>
    </row>
    <row r="96" spans="4:8">
      <c r="D96" s="385"/>
      <c r="E96" s="385"/>
      <c r="F96" s="385"/>
      <c r="G96" s="385"/>
      <c r="H96" s="385"/>
    </row>
    <row r="97" spans="4:8">
      <c r="D97" s="385"/>
      <c r="E97" s="385"/>
      <c r="F97" s="385"/>
      <c r="G97" s="385"/>
      <c r="H97" s="385"/>
    </row>
    <row r="98" spans="4:8">
      <c r="D98" s="385"/>
      <c r="E98" s="385"/>
      <c r="F98" s="385"/>
      <c r="G98" s="385"/>
      <c r="H98" s="385"/>
    </row>
  </sheetData>
  <sheetProtection password="CACA" sheet="1" objects="1" scenarios="1"/>
  <phoneticPr fontId="15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AD28"/>
  <sheetViews>
    <sheetView view="pageBreakPreview" topLeftCell="A11" zoomScaleSheetLayoutView="100" workbookViewId="0">
      <selection activeCell="C73" sqref="C73"/>
    </sheetView>
  </sheetViews>
  <sheetFormatPr defaultRowHeight="12.75"/>
  <cols>
    <col min="1" max="1" width="5.85546875" style="268" customWidth="1"/>
    <col min="2" max="2" width="89.42578125" style="269" customWidth="1"/>
    <col min="3" max="3" width="27.42578125" style="269" customWidth="1"/>
    <col min="4" max="5" width="15.7109375" style="269" customWidth="1"/>
    <col min="6" max="8" width="9.140625" style="269"/>
    <col min="9" max="9" width="10.28515625" style="269" bestFit="1" customWidth="1"/>
    <col min="10" max="16384" width="9.140625" style="269"/>
  </cols>
  <sheetData>
    <row r="1" spans="1:30" ht="15.75">
      <c r="A1" s="695" t="s">
        <v>416</v>
      </c>
      <c r="B1" s="695"/>
      <c r="C1" s="193" t="s">
        <v>417</v>
      </c>
    </row>
    <row r="2" spans="1:30" ht="8.25" customHeight="1">
      <c r="A2" s="263"/>
      <c r="B2" s="263"/>
      <c r="C2" s="193"/>
    </row>
    <row r="3" spans="1:30" ht="15.75">
      <c r="A3" s="264"/>
      <c r="B3" s="265" t="str">
        <f>+'Asset quality'!B3</f>
        <v>"МКБАНК"</v>
      </c>
      <c r="C3" s="325">
        <f>+'Asset quality'!Q3</f>
        <v>44926</v>
      </c>
    </row>
    <row r="4" spans="1:30" s="276" customFormat="1" ht="33.75" customHeight="1">
      <c r="A4" s="292" t="s">
        <v>62</v>
      </c>
      <c r="B4" s="292" t="s">
        <v>285</v>
      </c>
      <c r="C4" s="292" t="str">
        <f>+'Asset quality'!T3</f>
        <v>минг. сўмда</v>
      </c>
    </row>
    <row r="5" spans="1:30" ht="18.75" customHeight="1">
      <c r="A5" s="400" t="s">
        <v>148</v>
      </c>
      <c r="B5" s="401" t="s">
        <v>418</v>
      </c>
      <c r="C5" s="402">
        <v>2321096229</v>
      </c>
    </row>
    <row r="6" spans="1:30" ht="18.75" customHeight="1">
      <c r="A6" s="403" t="s">
        <v>149</v>
      </c>
      <c r="B6" s="404" t="s">
        <v>419</v>
      </c>
      <c r="C6" s="402">
        <v>0</v>
      </c>
    </row>
    <row r="7" spans="1:30" ht="18.75" customHeight="1">
      <c r="A7" s="403" t="s">
        <v>160</v>
      </c>
      <c r="B7" s="405" t="s">
        <v>420</v>
      </c>
      <c r="C7" s="373">
        <f>SUM(C5:C6)</f>
        <v>2321096229</v>
      </c>
    </row>
    <row r="8" spans="1:30" ht="18.75" customHeight="1">
      <c r="A8" s="403" t="s">
        <v>150</v>
      </c>
      <c r="B8" s="405" t="s">
        <v>421</v>
      </c>
      <c r="C8" s="373">
        <f>+'Income '!C78</f>
        <v>21314665</v>
      </c>
      <c r="D8" s="408">
        <f>+[8]Balance!$C$77</f>
        <v>21314665</v>
      </c>
      <c r="E8" s="596">
        <f>+C8-D8</f>
        <v>0</v>
      </c>
    </row>
    <row r="9" spans="1:30" ht="18.75" customHeight="1">
      <c r="A9" s="403" t="s">
        <v>151</v>
      </c>
      <c r="B9" s="404" t="s">
        <v>422</v>
      </c>
      <c r="C9" s="406">
        <v>1350190918</v>
      </c>
      <c r="D9" s="276"/>
    </row>
    <row r="10" spans="1:30" ht="18.75" customHeight="1">
      <c r="A10" s="403" t="s">
        <v>161</v>
      </c>
      <c r="B10" s="405" t="s">
        <v>423</v>
      </c>
      <c r="C10" s="406">
        <v>-1407510</v>
      </c>
      <c r="D10" s="276"/>
      <c r="I10" s="277"/>
    </row>
    <row r="11" spans="1:30" ht="18.75" customHeight="1">
      <c r="A11" s="403" t="s">
        <v>152</v>
      </c>
      <c r="B11" s="405" t="s">
        <v>424</v>
      </c>
      <c r="C11" s="407">
        <v>0</v>
      </c>
      <c r="D11" s="276"/>
    </row>
    <row r="12" spans="1:30" ht="18.75" customHeight="1">
      <c r="A12" s="403" t="s">
        <v>159</v>
      </c>
      <c r="B12" s="405" t="s">
        <v>425</v>
      </c>
      <c r="C12" s="406"/>
      <c r="D12" s="276"/>
    </row>
    <row r="13" spans="1:30" ht="18.75" customHeight="1">
      <c r="A13" s="403" t="s">
        <v>153</v>
      </c>
      <c r="B13" s="405" t="s">
        <v>426</v>
      </c>
      <c r="C13" s="406">
        <v>-47283221</v>
      </c>
      <c r="D13" s="276"/>
    </row>
    <row r="14" spans="1:30" ht="18.75" customHeight="1">
      <c r="A14" s="403" t="s">
        <v>154</v>
      </c>
      <c r="B14" s="405" t="s">
        <v>427</v>
      </c>
      <c r="C14" s="373">
        <f>C7+SUM(C8:C10)-SUM(C11:C12)+C13</f>
        <v>3643911081</v>
      </c>
      <c r="D14" s="408">
        <f>+[8]Balance!$C$78</f>
        <v>3643911081</v>
      </c>
      <c r="E14" s="596">
        <f>+C14-D14</f>
        <v>0</v>
      </c>
      <c r="I14" s="408"/>
    </row>
    <row r="15" spans="1:30">
      <c r="A15" s="247"/>
      <c r="B15" s="34"/>
      <c r="C15" s="34"/>
    </row>
    <row r="16" spans="1:30" ht="15" customHeight="1">
      <c r="A16" s="34"/>
      <c r="B16" s="239" t="s">
        <v>788</v>
      </c>
      <c r="C16" s="34"/>
      <c r="D16" s="34"/>
      <c r="E16" s="34"/>
      <c r="F16" s="349"/>
      <c r="G16" s="349"/>
      <c r="H16" s="349"/>
      <c r="I16" s="349"/>
      <c r="J16" s="349"/>
      <c r="K16" s="349"/>
      <c r="L16" s="349"/>
      <c r="M16" s="349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spans="1:30" ht="11.25" customHeight="1">
      <c r="A17" s="34"/>
      <c r="B17" s="239"/>
      <c r="C17" s="34"/>
      <c r="D17" s="34"/>
      <c r="E17" s="34"/>
      <c r="F17" s="349"/>
      <c r="G17" s="349"/>
      <c r="H17" s="349"/>
      <c r="I17" s="349"/>
      <c r="J17" s="349"/>
      <c r="K17" s="349"/>
      <c r="L17" s="349"/>
      <c r="M17" s="349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spans="1:30" ht="15" customHeight="1">
      <c r="A18" s="34"/>
      <c r="B18" s="239" t="s">
        <v>789</v>
      </c>
      <c r="C18" s="34"/>
      <c r="D18" s="34"/>
      <c r="E18" s="34"/>
      <c r="F18" s="349"/>
      <c r="G18" s="349"/>
      <c r="H18" s="349"/>
      <c r="I18" s="349"/>
      <c r="J18" s="349"/>
      <c r="K18" s="349"/>
      <c r="L18" s="349"/>
      <c r="M18" s="349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20" spans="1:30" ht="12.75" customHeight="1">
      <c r="A20" s="266"/>
    </row>
    <row r="21" spans="1:30">
      <c r="A21" s="267"/>
    </row>
    <row r="27" spans="1:30" ht="12.75" customHeight="1"/>
    <row r="28" spans="1:30" ht="12.75" customHeight="1"/>
  </sheetData>
  <sheetProtection password="CACA" sheet="1" objects="1" scenarios="1"/>
  <mergeCells count="1">
    <mergeCell ref="A1:B1"/>
  </mergeCells>
  <phoneticPr fontId="15" type="noConversion"/>
  <conditionalFormatting sqref="C14">
    <cfRule type="cellIs" dxfId="350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D95"/>
  <sheetViews>
    <sheetView view="pageBreakPreview" zoomScale="70" zoomScaleNormal="40" zoomScaleSheetLayoutView="70" workbookViewId="0">
      <pane xSplit="3" ySplit="8" topLeftCell="D79" activePane="bottomRight" state="frozen"/>
      <selection activeCell="C73" sqref="C73"/>
      <selection pane="topRight" activeCell="C73" sqref="C73"/>
      <selection pane="bottomLeft" activeCell="C73" sqref="C73"/>
      <selection pane="bottomRight" activeCell="D79" sqref="D79"/>
    </sheetView>
  </sheetViews>
  <sheetFormatPr defaultRowHeight="12.75"/>
  <cols>
    <col min="1" max="1" width="7" style="269" customWidth="1"/>
    <col min="2" max="2" width="57.5703125" style="269" customWidth="1"/>
    <col min="3" max="3" width="18.42578125" style="269" customWidth="1"/>
    <col min="4" max="9" width="17.140625" style="269" customWidth="1"/>
    <col min="10" max="10" width="13.7109375" style="269" customWidth="1"/>
    <col min="11" max="11" width="17" style="269" customWidth="1"/>
    <col min="12" max="12" width="25.28515625" style="269" bestFit="1" customWidth="1"/>
    <col min="13" max="13" width="16.85546875" style="269" customWidth="1"/>
    <col min="14" max="25" width="17.140625" style="269" customWidth="1"/>
    <col min="26" max="16384" width="9.140625" style="269"/>
  </cols>
  <sheetData>
    <row r="1" spans="1:28" s="251" customFormat="1" ht="31.5" customHeight="1">
      <c r="A1" s="248" t="s">
        <v>714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9" t="s">
        <v>713</v>
      </c>
      <c r="X1" s="250"/>
      <c r="Y1" s="249"/>
    </row>
    <row r="2" spans="1:28" ht="9" customHeight="1">
      <c r="A2" s="250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0"/>
      <c r="X2" s="252"/>
      <c r="Y2" s="252"/>
    </row>
    <row r="3" spans="1:28" s="34" customFormat="1" ht="15.75">
      <c r="A3" s="310"/>
      <c r="B3" s="253" t="str">
        <f>+'Asset quality'!B3</f>
        <v>"МКБАНК"</v>
      </c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705">
        <f>+'Asset quality'!Q3</f>
        <v>44926</v>
      </c>
      <c r="U3" s="705"/>
      <c r="V3" s="254"/>
      <c r="W3" s="254"/>
      <c r="X3" s="409" t="str">
        <f>+'Asset quality'!T3</f>
        <v>минг. сўмда</v>
      </c>
      <c r="Y3" s="286"/>
    </row>
    <row r="4" spans="1:28" s="255" customFormat="1" ht="32.25" customHeight="1">
      <c r="A4" s="697" t="s">
        <v>62</v>
      </c>
      <c r="B4" s="697" t="s">
        <v>715</v>
      </c>
      <c r="C4" s="700" t="s">
        <v>716</v>
      </c>
      <c r="D4" s="703" t="s">
        <v>335</v>
      </c>
      <c r="E4" s="704"/>
      <c r="F4" s="696" t="s">
        <v>720</v>
      </c>
      <c r="G4" s="696"/>
      <c r="H4" s="696"/>
      <c r="I4" s="696"/>
      <c r="J4" s="708" t="s">
        <v>335</v>
      </c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708"/>
      <c r="Y4" s="708"/>
    </row>
    <row r="5" spans="1:28" s="255" customFormat="1" ht="18" customHeight="1">
      <c r="A5" s="698"/>
      <c r="B5" s="698"/>
      <c r="C5" s="701"/>
      <c r="D5" s="700" t="s">
        <v>286</v>
      </c>
      <c r="E5" s="700" t="s">
        <v>287</v>
      </c>
      <c r="F5" s="696" t="s">
        <v>721</v>
      </c>
      <c r="G5" s="696" t="s">
        <v>335</v>
      </c>
      <c r="H5" s="696"/>
      <c r="I5" s="696"/>
      <c r="J5" s="707" t="s">
        <v>724</v>
      </c>
      <c r="K5" s="707" t="s">
        <v>725</v>
      </c>
      <c r="L5" s="534" t="s">
        <v>335</v>
      </c>
      <c r="M5" s="709" t="s">
        <v>727</v>
      </c>
      <c r="N5" s="709" t="s">
        <v>728</v>
      </c>
      <c r="O5" s="709" t="s">
        <v>729</v>
      </c>
      <c r="P5" s="708" t="s">
        <v>335</v>
      </c>
      <c r="Q5" s="708"/>
      <c r="R5" s="706" t="s">
        <v>732</v>
      </c>
      <c r="S5" s="706" t="s">
        <v>733</v>
      </c>
      <c r="T5" s="706" t="s">
        <v>734</v>
      </c>
      <c r="U5" s="706" t="s">
        <v>735</v>
      </c>
      <c r="V5" s="706" t="s">
        <v>736</v>
      </c>
      <c r="W5" s="706" t="s">
        <v>737</v>
      </c>
      <c r="X5" s="706" t="s">
        <v>738</v>
      </c>
      <c r="Y5" s="706" t="s">
        <v>739</v>
      </c>
    </row>
    <row r="6" spans="1:28" s="255" customFormat="1" ht="102" customHeight="1">
      <c r="A6" s="699"/>
      <c r="B6" s="699"/>
      <c r="C6" s="702"/>
      <c r="D6" s="702"/>
      <c r="E6" s="702"/>
      <c r="F6" s="696"/>
      <c r="G6" s="533" t="s">
        <v>659</v>
      </c>
      <c r="H6" s="533" t="s">
        <v>661</v>
      </c>
      <c r="I6" s="533" t="s">
        <v>663</v>
      </c>
      <c r="J6" s="707"/>
      <c r="K6" s="707"/>
      <c r="L6" s="533" t="s">
        <v>726</v>
      </c>
      <c r="M6" s="710"/>
      <c r="N6" s="710"/>
      <c r="O6" s="710"/>
      <c r="P6" s="533" t="s">
        <v>730</v>
      </c>
      <c r="Q6" s="533" t="s">
        <v>731</v>
      </c>
      <c r="R6" s="706"/>
      <c r="S6" s="706"/>
      <c r="T6" s="706"/>
      <c r="U6" s="706"/>
      <c r="V6" s="706"/>
      <c r="W6" s="706"/>
      <c r="X6" s="706"/>
      <c r="Y6" s="706"/>
      <c r="AA6" s="256"/>
      <c r="AB6" s="257"/>
    </row>
    <row r="7" spans="1:28" s="259" customFormat="1" ht="15">
      <c r="A7" s="258" t="s">
        <v>66</v>
      </c>
      <c r="B7" s="410" t="s">
        <v>67</v>
      </c>
      <c r="C7" s="410" t="s">
        <v>37</v>
      </c>
      <c r="D7" s="411" t="s">
        <v>182</v>
      </c>
      <c r="E7" s="411" t="s">
        <v>183</v>
      </c>
      <c r="F7" s="411" t="s">
        <v>38</v>
      </c>
      <c r="G7" s="411" t="s">
        <v>722</v>
      </c>
      <c r="H7" s="412" t="s">
        <v>723</v>
      </c>
      <c r="I7" s="412" t="s">
        <v>740</v>
      </c>
      <c r="J7" s="412" t="s">
        <v>39</v>
      </c>
      <c r="K7" s="412" t="s">
        <v>63</v>
      </c>
      <c r="L7" s="410" t="s">
        <v>741</v>
      </c>
      <c r="M7" s="412" t="s">
        <v>64</v>
      </c>
      <c r="N7" s="412" t="s">
        <v>65</v>
      </c>
      <c r="O7" s="412" t="s">
        <v>68</v>
      </c>
      <c r="P7" s="410" t="s">
        <v>167</v>
      </c>
      <c r="Q7" s="410" t="s">
        <v>742</v>
      </c>
      <c r="R7" s="412" t="s">
        <v>69</v>
      </c>
      <c r="S7" s="412" t="s">
        <v>70</v>
      </c>
      <c r="T7" s="412" t="s">
        <v>71</v>
      </c>
      <c r="U7" s="412" t="s">
        <v>72</v>
      </c>
      <c r="V7" s="412" t="s">
        <v>73</v>
      </c>
      <c r="W7" s="412" t="s">
        <v>74</v>
      </c>
      <c r="X7" s="412" t="s">
        <v>75</v>
      </c>
      <c r="Y7" s="413" t="s">
        <v>76</v>
      </c>
    </row>
    <row r="8" spans="1:28" s="255" customFormat="1" ht="15.75" customHeight="1">
      <c r="A8" s="538"/>
      <c r="B8" s="539" t="s">
        <v>471</v>
      </c>
      <c r="C8" s="540"/>
      <c r="D8" s="540"/>
      <c r="E8" s="540"/>
      <c r="F8" s="540"/>
      <c r="G8" s="540"/>
      <c r="H8" s="540"/>
      <c r="I8" s="540"/>
      <c r="J8" s="540"/>
      <c r="K8" s="540"/>
      <c r="L8" s="540"/>
      <c r="M8" s="540"/>
      <c r="N8" s="540"/>
      <c r="O8" s="540"/>
      <c r="P8" s="540"/>
      <c r="Q8" s="540"/>
      <c r="R8" s="540"/>
      <c r="S8" s="540"/>
      <c r="T8" s="540"/>
      <c r="U8" s="540"/>
      <c r="V8" s="540"/>
      <c r="W8" s="540"/>
      <c r="X8" s="540"/>
      <c r="Y8" s="540"/>
      <c r="AA8" s="257"/>
    </row>
    <row r="9" spans="1:28" s="255" customFormat="1" ht="15.75" customHeight="1">
      <c r="A9" s="541">
        <v>10</v>
      </c>
      <c r="B9" s="542" t="s">
        <v>672</v>
      </c>
      <c r="C9" s="543">
        <f t="shared" ref="C9:C10" si="0">SUM(J9:Y9)-L9-P9-Q9</f>
        <v>0</v>
      </c>
      <c r="D9" s="544">
        <v>0</v>
      </c>
      <c r="E9" s="544">
        <v>0</v>
      </c>
      <c r="F9" s="543">
        <f>+G9+H9+I9</f>
        <v>0</v>
      </c>
      <c r="G9" s="544">
        <v>0</v>
      </c>
      <c r="H9" s="544">
        <v>0</v>
      </c>
      <c r="I9" s="544">
        <v>0</v>
      </c>
      <c r="J9" s="544">
        <v>0</v>
      </c>
      <c r="K9" s="544">
        <v>0</v>
      </c>
      <c r="L9" s="544">
        <v>0</v>
      </c>
      <c r="M9" s="544">
        <v>0</v>
      </c>
      <c r="N9" s="544">
        <v>0</v>
      </c>
      <c r="O9" s="543">
        <f t="shared" ref="O9:O13" si="1">+P9+Q9</f>
        <v>0</v>
      </c>
      <c r="P9" s="544">
        <v>0</v>
      </c>
      <c r="Q9" s="544">
        <v>0</v>
      </c>
      <c r="R9" s="544">
        <v>0</v>
      </c>
      <c r="S9" s="544">
        <v>0</v>
      </c>
      <c r="T9" s="544">
        <v>0</v>
      </c>
      <c r="U9" s="544">
        <v>0</v>
      </c>
      <c r="V9" s="544">
        <v>0</v>
      </c>
      <c r="W9" s="544">
        <v>0</v>
      </c>
      <c r="X9" s="544">
        <v>0</v>
      </c>
      <c r="Y9" s="544">
        <v>0</v>
      </c>
      <c r="AB9" s="260"/>
    </row>
    <row r="10" spans="1:28" s="261" customFormat="1" ht="15.75" customHeight="1">
      <c r="A10" s="545">
        <f t="shared" ref="A10:A66" si="2">A9+10</f>
        <v>20</v>
      </c>
      <c r="B10" s="542" t="s">
        <v>403</v>
      </c>
      <c r="C10" s="543">
        <f t="shared" si="0"/>
        <v>739146908</v>
      </c>
      <c r="D10" s="544">
        <v>434659629</v>
      </c>
      <c r="E10" s="544">
        <v>304487279</v>
      </c>
      <c r="F10" s="543">
        <f t="shared" ref="F10:F14" si="3">+G10+H10+I10</f>
        <v>5592809</v>
      </c>
      <c r="G10" s="544">
        <v>394255</v>
      </c>
      <c r="H10" s="544">
        <v>2325827</v>
      </c>
      <c r="I10" s="544">
        <v>2872727</v>
      </c>
      <c r="J10" s="544">
        <v>0</v>
      </c>
      <c r="K10" s="544">
        <v>0</v>
      </c>
      <c r="L10" s="544">
        <v>0</v>
      </c>
      <c r="M10" s="544">
        <v>13362330</v>
      </c>
      <c r="N10" s="544">
        <v>0</v>
      </c>
      <c r="O10" s="543">
        <f t="shared" si="1"/>
        <v>553524732</v>
      </c>
      <c r="P10" s="544">
        <v>920000</v>
      </c>
      <c r="Q10" s="544">
        <v>552604732</v>
      </c>
      <c r="R10" s="544">
        <v>0</v>
      </c>
      <c r="S10" s="544">
        <v>0</v>
      </c>
      <c r="T10" s="544">
        <v>0</v>
      </c>
      <c r="U10" s="544">
        <v>0</v>
      </c>
      <c r="V10" s="544">
        <v>2753900</v>
      </c>
      <c r="W10" s="544">
        <v>18622606</v>
      </c>
      <c r="X10" s="544">
        <v>0</v>
      </c>
      <c r="Y10" s="544">
        <v>150883340</v>
      </c>
      <c r="AB10" s="260"/>
    </row>
    <row r="11" spans="1:28" s="261" customFormat="1" ht="15.75" customHeight="1">
      <c r="A11" s="545">
        <f t="shared" si="2"/>
        <v>30</v>
      </c>
      <c r="B11" s="542" t="s">
        <v>404</v>
      </c>
      <c r="C11" s="543">
        <f>SUM(J11:Y11)-L11-P11-Q11</f>
        <v>2890969465</v>
      </c>
      <c r="D11" s="544">
        <v>1361781789</v>
      </c>
      <c r="E11" s="544">
        <v>1529187676</v>
      </c>
      <c r="F11" s="543">
        <f t="shared" si="3"/>
        <v>81614189</v>
      </c>
      <c r="G11" s="544">
        <v>10755201</v>
      </c>
      <c r="H11" s="544">
        <v>37591348</v>
      </c>
      <c r="I11" s="544">
        <v>33267640</v>
      </c>
      <c r="J11" s="544">
        <v>475339</v>
      </c>
      <c r="K11" s="544">
        <v>0</v>
      </c>
      <c r="L11" s="544">
        <v>0</v>
      </c>
      <c r="M11" s="544">
        <v>142642986</v>
      </c>
      <c r="N11" s="544">
        <v>0</v>
      </c>
      <c r="O11" s="543">
        <f t="shared" si="1"/>
        <v>2367942755</v>
      </c>
      <c r="P11" s="544">
        <v>155983697</v>
      </c>
      <c r="Q11" s="544">
        <v>2211959058</v>
      </c>
      <c r="R11" s="544">
        <v>9660347</v>
      </c>
      <c r="S11" s="544">
        <v>0</v>
      </c>
      <c r="T11" s="544">
        <v>0</v>
      </c>
      <c r="U11" s="544">
        <v>0</v>
      </c>
      <c r="V11" s="544">
        <v>94693776</v>
      </c>
      <c r="W11" s="544">
        <v>270224760</v>
      </c>
      <c r="X11" s="544">
        <v>0</v>
      </c>
      <c r="Y11" s="544">
        <v>5329502</v>
      </c>
      <c r="AB11" s="260"/>
    </row>
    <row r="12" spans="1:28" s="261" customFormat="1" ht="15.75" customHeight="1">
      <c r="A12" s="545">
        <f t="shared" si="2"/>
        <v>40</v>
      </c>
      <c r="B12" s="542" t="s">
        <v>400</v>
      </c>
      <c r="C12" s="543">
        <f t="shared" ref="C12:C13" si="4">SUM(J12:Y12)-L12-P12-Q12</f>
        <v>0</v>
      </c>
      <c r="D12" s="544">
        <v>0</v>
      </c>
      <c r="E12" s="544">
        <v>0</v>
      </c>
      <c r="F12" s="543">
        <f t="shared" si="3"/>
        <v>0</v>
      </c>
      <c r="G12" s="544">
        <v>0</v>
      </c>
      <c r="H12" s="544">
        <v>0</v>
      </c>
      <c r="I12" s="544">
        <v>0</v>
      </c>
      <c r="J12" s="544">
        <v>0</v>
      </c>
      <c r="K12" s="544">
        <v>0</v>
      </c>
      <c r="L12" s="544">
        <v>0</v>
      </c>
      <c r="M12" s="544">
        <v>0</v>
      </c>
      <c r="N12" s="544">
        <v>0</v>
      </c>
      <c r="O12" s="543">
        <f t="shared" si="1"/>
        <v>0</v>
      </c>
      <c r="P12" s="544">
        <v>0</v>
      </c>
      <c r="Q12" s="544">
        <v>0</v>
      </c>
      <c r="R12" s="544">
        <v>0</v>
      </c>
      <c r="S12" s="544">
        <v>0</v>
      </c>
      <c r="T12" s="544">
        <v>0</v>
      </c>
      <c r="U12" s="544">
        <v>0</v>
      </c>
      <c r="V12" s="544">
        <v>0</v>
      </c>
      <c r="W12" s="544">
        <v>0</v>
      </c>
      <c r="X12" s="544">
        <v>0</v>
      </c>
      <c r="Y12" s="544">
        <v>0</v>
      </c>
      <c r="AB12" s="260"/>
    </row>
    <row r="13" spans="1:28" s="261" customFormat="1" ht="15.75" customHeight="1">
      <c r="A13" s="545">
        <f>A12+10</f>
        <v>50</v>
      </c>
      <c r="B13" s="542" t="s">
        <v>677</v>
      </c>
      <c r="C13" s="543">
        <f t="shared" si="4"/>
        <v>0</v>
      </c>
      <c r="D13" s="544">
        <v>0</v>
      </c>
      <c r="E13" s="544">
        <v>0</v>
      </c>
      <c r="F13" s="543">
        <f t="shared" si="3"/>
        <v>0</v>
      </c>
      <c r="G13" s="544">
        <v>0</v>
      </c>
      <c r="H13" s="544">
        <v>0</v>
      </c>
      <c r="I13" s="544">
        <v>0</v>
      </c>
      <c r="J13" s="544">
        <v>0</v>
      </c>
      <c r="K13" s="544">
        <v>0</v>
      </c>
      <c r="L13" s="544">
        <v>0</v>
      </c>
      <c r="M13" s="544">
        <v>0</v>
      </c>
      <c r="N13" s="544">
        <v>0</v>
      </c>
      <c r="O13" s="543">
        <f t="shared" si="1"/>
        <v>0</v>
      </c>
      <c r="P13" s="544">
        <v>0</v>
      </c>
      <c r="Q13" s="544">
        <v>0</v>
      </c>
      <c r="R13" s="544">
        <v>0</v>
      </c>
      <c r="S13" s="544">
        <v>0</v>
      </c>
      <c r="T13" s="544">
        <v>0</v>
      </c>
      <c r="U13" s="544">
        <v>0</v>
      </c>
      <c r="V13" s="544">
        <v>0</v>
      </c>
      <c r="W13" s="544">
        <v>0</v>
      </c>
      <c r="X13" s="544">
        <v>0</v>
      </c>
      <c r="Y13" s="544">
        <v>0</v>
      </c>
      <c r="AB13" s="260"/>
    </row>
    <row r="14" spans="1:28" s="606" customFormat="1" ht="15.75" customHeight="1">
      <c r="A14" s="604">
        <f>A13+10</f>
        <v>60</v>
      </c>
      <c r="B14" s="604" t="s">
        <v>235</v>
      </c>
      <c r="C14" s="605">
        <f t="shared" ref="C14" si="5">SUM(J14:Y14)-L14-P14-Q14</f>
        <v>3630116373</v>
      </c>
      <c r="D14" s="605">
        <f>SUM(D9:D13)</f>
        <v>1796441418</v>
      </c>
      <c r="E14" s="605">
        <f>SUM(E9:E13)</f>
        <v>1833674955</v>
      </c>
      <c r="F14" s="605">
        <f t="shared" si="3"/>
        <v>87206998</v>
      </c>
      <c r="G14" s="605">
        <f t="shared" ref="G14" si="6">SUM(G9:G13)</f>
        <v>11149456</v>
      </c>
      <c r="H14" s="605">
        <f t="shared" ref="H14:Y14" si="7">SUM(H9:H13)</f>
        <v>39917175</v>
      </c>
      <c r="I14" s="605">
        <f t="shared" si="7"/>
        <v>36140367</v>
      </c>
      <c r="J14" s="605">
        <f t="shared" si="7"/>
        <v>475339</v>
      </c>
      <c r="K14" s="605">
        <f t="shared" si="7"/>
        <v>0</v>
      </c>
      <c r="L14" s="605">
        <f t="shared" si="7"/>
        <v>0</v>
      </c>
      <c r="M14" s="605">
        <f t="shared" si="7"/>
        <v>156005316</v>
      </c>
      <c r="N14" s="605">
        <f t="shared" si="7"/>
        <v>0</v>
      </c>
      <c r="O14" s="605">
        <f t="shared" si="7"/>
        <v>2921467487</v>
      </c>
      <c r="P14" s="605">
        <f t="shared" si="7"/>
        <v>156903697</v>
      </c>
      <c r="Q14" s="605">
        <f t="shared" si="7"/>
        <v>2764563790</v>
      </c>
      <c r="R14" s="605">
        <f t="shared" si="7"/>
        <v>9660347</v>
      </c>
      <c r="S14" s="605">
        <f t="shared" si="7"/>
        <v>0</v>
      </c>
      <c r="T14" s="605">
        <f t="shared" si="7"/>
        <v>0</v>
      </c>
      <c r="U14" s="605">
        <f t="shared" si="7"/>
        <v>0</v>
      </c>
      <c r="V14" s="605">
        <f t="shared" si="7"/>
        <v>97447676</v>
      </c>
      <c r="W14" s="605">
        <f t="shared" si="7"/>
        <v>288847366</v>
      </c>
      <c r="X14" s="605">
        <f t="shared" si="7"/>
        <v>0</v>
      </c>
      <c r="Y14" s="605">
        <f t="shared" si="7"/>
        <v>156212842</v>
      </c>
      <c r="AA14" s="607"/>
      <c r="AB14" s="608"/>
    </row>
    <row r="15" spans="1:28" s="261" customFormat="1" ht="15.75" customHeight="1">
      <c r="A15" s="546"/>
      <c r="B15" s="539" t="s">
        <v>472</v>
      </c>
      <c r="C15" s="547"/>
      <c r="D15" s="547"/>
      <c r="E15" s="547"/>
      <c r="F15" s="547"/>
      <c r="G15" s="548"/>
      <c r="H15" s="547"/>
      <c r="I15" s="547"/>
      <c r="J15" s="547"/>
      <c r="K15" s="547"/>
      <c r="L15" s="547"/>
      <c r="M15" s="547"/>
      <c r="N15" s="547"/>
      <c r="O15" s="547"/>
      <c r="P15" s="547"/>
      <c r="Q15" s="547"/>
      <c r="R15" s="547"/>
      <c r="S15" s="547"/>
      <c r="T15" s="547"/>
      <c r="U15" s="547"/>
      <c r="V15" s="547"/>
      <c r="W15" s="547"/>
      <c r="X15" s="547"/>
      <c r="Y15" s="547"/>
      <c r="AA15" s="262"/>
      <c r="AB15" s="260"/>
    </row>
    <row r="16" spans="1:28" s="261" customFormat="1" ht="15.75" customHeight="1">
      <c r="A16" s="541">
        <v>70</v>
      </c>
      <c r="B16" s="542" t="s">
        <v>672</v>
      </c>
      <c r="C16" s="543">
        <f t="shared" ref="C16:C22" si="8">SUM(J16:Y16)-L16-P16-Q16</f>
        <v>50191388</v>
      </c>
      <c r="D16" s="544">
        <v>50191388</v>
      </c>
      <c r="E16" s="544">
        <v>0</v>
      </c>
      <c r="F16" s="543">
        <f t="shared" ref="F16:F22" si="9">+G16+H16+I16</f>
        <v>572474</v>
      </c>
      <c r="G16" s="544">
        <v>572474</v>
      </c>
      <c r="H16" s="544">
        <v>0</v>
      </c>
      <c r="I16" s="544">
        <v>0</v>
      </c>
      <c r="J16" s="544">
        <v>0</v>
      </c>
      <c r="K16" s="544">
        <v>0</v>
      </c>
      <c r="L16" s="544">
        <v>0</v>
      </c>
      <c r="M16" s="544">
        <v>0</v>
      </c>
      <c r="N16" s="544">
        <v>0</v>
      </c>
      <c r="O16" s="543">
        <f t="shared" ref="O16:O20" si="10">+P16+Q16</f>
        <v>0</v>
      </c>
      <c r="P16" s="544">
        <v>0</v>
      </c>
      <c r="Q16" s="544">
        <v>0</v>
      </c>
      <c r="R16" s="544">
        <v>0</v>
      </c>
      <c r="S16" s="544">
        <v>0</v>
      </c>
      <c r="T16" s="544">
        <v>0</v>
      </c>
      <c r="U16" s="544">
        <v>0</v>
      </c>
      <c r="V16" s="544">
        <v>48605580</v>
      </c>
      <c r="W16" s="544">
        <v>0</v>
      </c>
      <c r="X16" s="544">
        <v>1585808</v>
      </c>
      <c r="Y16" s="544">
        <v>0</v>
      </c>
      <c r="AB16" s="260"/>
    </row>
    <row r="17" spans="1:28" s="255" customFormat="1" ht="15.75" customHeight="1">
      <c r="A17" s="545">
        <f t="shared" si="2"/>
        <v>80</v>
      </c>
      <c r="B17" s="542" t="s">
        <v>403</v>
      </c>
      <c r="C17" s="543">
        <f t="shared" si="8"/>
        <v>346526466</v>
      </c>
      <c r="D17" s="544">
        <v>169339753</v>
      </c>
      <c r="E17" s="544">
        <v>177186713</v>
      </c>
      <c r="F17" s="543">
        <f t="shared" si="9"/>
        <v>1719054</v>
      </c>
      <c r="G17" s="544">
        <v>468806</v>
      </c>
      <c r="H17" s="544">
        <v>956826</v>
      </c>
      <c r="I17" s="544">
        <v>293422</v>
      </c>
      <c r="J17" s="544">
        <v>0</v>
      </c>
      <c r="K17" s="544">
        <v>0</v>
      </c>
      <c r="L17" s="544">
        <v>0</v>
      </c>
      <c r="M17" s="544">
        <v>1690081</v>
      </c>
      <c r="N17" s="544">
        <v>0</v>
      </c>
      <c r="O17" s="543">
        <f t="shared" si="10"/>
        <v>343059623</v>
      </c>
      <c r="P17" s="544">
        <v>0</v>
      </c>
      <c r="Q17" s="544">
        <v>343059623</v>
      </c>
      <c r="R17" s="544">
        <v>0</v>
      </c>
      <c r="S17" s="544">
        <v>0</v>
      </c>
      <c r="T17" s="544">
        <v>0</v>
      </c>
      <c r="U17" s="544">
        <v>0</v>
      </c>
      <c r="V17" s="544">
        <v>798687</v>
      </c>
      <c r="W17" s="544">
        <v>978075</v>
      </c>
      <c r="X17" s="544">
        <v>0</v>
      </c>
      <c r="Y17" s="544">
        <v>0</v>
      </c>
      <c r="AB17" s="260"/>
    </row>
    <row r="18" spans="1:28" s="255" customFormat="1" ht="15.75" customHeight="1">
      <c r="A18" s="545">
        <f t="shared" si="2"/>
        <v>90</v>
      </c>
      <c r="B18" s="542" t="s">
        <v>404</v>
      </c>
      <c r="C18" s="543">
        <f t="shared" si="8"/>
        <v>1221112377</v>
      </c>
      <c r="D18" s="544">
        <v>780190386</v>
      </c>
      <c r="E18" s="544">
        <v>440921991</v>
      </c>
      <c r="F18" s="543">
        <f t="shared" si="9"/>
        <v>49974130</v>
      </c>
      <c r="G18" s="544">
        <v>7623382</v>
      </c>
      <c r="H18" s="544">
        <v>20774441</v>
      </c>
      <c r="I18" s="544">
        <v>21576307</v>
      </c>
      <c r="J18" s="544">
        <v>0</v>
      </c>
      <c r="K18" s="544">
        <v>0</v>
      </c>
      <c r="L18" s="544">
        <v>0</v>
      </c>
      <c r="M18" s="544">
        <v>41698378</v>
      </c>
      <c r="N18" s="544">
        <v>0</v>
      </c>
      <c r="O18" s="543">
        <f t="shared" si="10"/>
        <v>1123848628</v>
      </c>
      <c r="P18" s="544">
        <v>51136508</v>
      </c>
      <c r="Q18" s="544">
        <v>1072712120</v>
      </c>
      <c r="R18" s="544">
        <v>1330897</v>
      </c>
      <c r="S18" s="544">
        <v>0</v>
      </c>
      <c r="T18" s="544">
        <v>0</v>
      </c>
      <c r="U18" s="544">
        <v>0</v>
      </c>
      <c r="V18" s="544">
        <v>10130994</v>
      </c>
      <c r="W18" s="544">
        <v>43637715</v>
      </c>
      <c r="X18" s="544">
        <v>300000</v>
      </c>
      <c r="Y18" s="544">
        <v>165765</v>
      </c>
      <c r="AB18" s="260"/>
    </row>
    <row r="19" spans="1:28" s="255" customFormat="1" ht="15.75" customHeight="1">
      <c r="A19" s="545">
        <f>A18+10</f>
        <v>100</v>
      </c>
      <c r="B19" s="542" t="s">
        <v>673</v>
      </c>
      <c r="C19" s="543">
        <f t="shared" si="8"/>
        <v>229585211</v>
      </c>
      <c r="D19" s="544">
        <v>128315969</v>
      </c>
      <c r="E19" s="544">
        <v>101269242</v>
      </c>
      <c r="F19" s="543">
        <f t="shared" si="9"/>
        <v>10712460</v>
      </c>
      <c r="G19" s="544">
        <v>761592</v>
      </c>
      <c r="H19" s="544">
        <v>6869332</v>
      </c>
      <c r="I19" s="544">
        <v>3081536</v>
      </c>
      <c r="J19" s="544">
        <v>0</v>
      </c>
      <c r="K19" s="544">
        <v>0</v>
      </c>
      <c r="L19" s="544">
        <v>0</v>
      </c>
      <c r="M19" s="544">
        <v>8396232</v>
      </c>
      <c r="N19" s="544">
        <v>0</v>
      </c>
      <c r="O19" s="543">
        <f t="shared" si="10"/>
        <v>199166678</v>
      </c>
      <c r="P19" s="544">
        <v>0</v>
      </c>
      <c r="Q19" s="544">
        <v>199166678</v>
      </c>
      <c r="R19" s="544">
        <v>672474</v>
      </c>
      <c r="S19" s="544">
        <v>0</v>
      </c>
      <c r="T19" s="544">
        <v>0</v>
      </c>
      <c r="U19" s="544">
        <v>0</v>
      </c>
      <c r="V19" s="544">
        <v>1828798</v>
      </c>
      <c r="W19" s="544">
        <v>19521029</v>
      </c>
      <c r="X19" s="544">
        <v>0</v>
      </c>
      <c r="Y19" s="544">
        <v>0</v>
      </c>
      <c r="AB19" s="260"/>
    </row>
    <row r="20" spans="1:28" s="255" customFormat="1" ht="15.75" customHeight="1">
      <c r="A20" s="545">
        <f t="shared" si="2"/>
        <v>110</v>
      </c>
      <c r="B20" s="542" t="s">
        <v>400</v>
      </c>
      <c r="C20" s="543">
        <f t="shared" si="8"/>
        <v>0</v>
      </c>
      <c r="D20" s="544">
        <v>0</v>
      </c>
      <c r="E20" s="544">
        <v>0</v>
      </c>
      <c r="F20" s="543">
        <f t="shared" si="9"/>
        <v>0</v>
      </c>
      <c r="G20" s="544">
        <v>0</v>
      </c>
      <c r="H20" s="544">
        <v>0</v>
      </c>
      <c r="I20" s="544">
        <v>0</v>
      </c>
      <c r="J20" s="544">
        <v>0</v>
      </c>
      <c r="K20" s="544">
        <v>0</v>
      </c>
      <c r="L20" s="544">
        <v>0</v>
      </c>
      <c r="M20" s="544">
        <v>0</v>
      </c>
      <c r="N20" s="544">
        <v>0</v>
      </c>
      <c r="O20" s="543">
        <f t="shared" si="10"/>
        <v>0</v>
      </c>
      <c r="P20" s="544">
        <v>0</v>
      </c>
      <c r="Q20" s="544">
        <v>0</v>
      </c>
      <c r="R20" s="544">
        <v>0</v>
      </c>
      <c r="S20" s="544">
        <v>0</v>
      </c>
      <c r="T20" s="544">
        <v>0</v>
      </c>
      <c r="U20" s="544">
        <v>0</v>
      </c>
      <c r="V20" s="544">
        <v>0</v>
      </c>
      <c r="W20" s="544">
        <v>0</v>
      </c>
      <c r="X20" s="544">
        <v>0</v>
      </c>
      <c r="Y20" s="544">
        <v>0</v>
      </c>
      <c r="AB20" s="260"/>
    </row>
    <row r="21" spans="1:28" s="255" customFormat="1" ht="15.75" customHeight="1">
      <c r="A21" s="545">
        <f>A20+10</f>
        <v>120</v>
      </c>
      <c r="B21" s="542" t="s">
        <v>677</v>
      </c>
      <c r="C21" s="543">
        <f t="shared" si="8"/>
        <v>0</v>
      </c>
      <c r="D21" s="544">
        <v>0</v>
      </c>
      <c r="E21" s="544">
        <v>0</v>
      </c>
      <c r="F21" s="543">
        <f t="shared" si="9"/>
        <v>0</v>
      </c>
      <c r="G21" s="544">
        <v>0</v>
      </c>
      <c r="H21" s="544">
        <v>0</v>
      </c>
      <c r="I21" s="544">
        <v>0</v>
      </c>
      <c r="J21" s="544">
        <v>0</v>
      </c>
      <c r="K21" s="544">
        <v>0</v>
      </c>
      <c r="L21" s="544">
        <v>0</v>
      </c>
      <c r="M21" s="544">
        <v>0</v>
      </c>
      <c r="N21" s="544">
        <v>0</v>
      </c>
      <c r="O21" s="543">
        <f>+P21+Q21</f>
        <v>0</v>
      </c>
      <c r="P21" s="544">
        <v>0</v>
      </c>
      <c r="Q21" s="544">
        <v>0</v>
      </c>
      <c r="R21" s="544">
        <v>0</v>
      </c>
      <c r="S21" s="544">
        <v>0</v>
      </c>
      <c r="T21" s="544">
        <v>0</v>
      </c>
      <c r="U21" s="544">
        <v>0</v>
      </c>
      <c r="V21" s="544">
        <v>0</v>
      </c>
      <c r="W21" s="544">
        <v>0</v>
      </c>
      <c r="X21" s="544">
        <v>0</v>
      </c>
      <c r="Y21" s="544">
        <v>0</v>
      </c>
      <c r="AB21" s="260"/>
    </row>
    <row r="22" spans="1:28" s="606" customFormat="1" ht="15.75" customHeight="1">
      <c r="A22" s="604">
        <f>A21+10</f>
        <v>130</v>
      </c>
      <c r="B22" s="604" t="s">
        <v>235</v>
      </c>
      <c r="C22" s="605">
        <f t="shared" si="8"/>
        <v>1847415442</v>
      </c>
      <c r="D22" s="605">
        <f>SUM(D16:D21)</f>
        <v>1128037496</v>
      </c>
      <c r="E22" s="605">
        <f>SUM(E16:E21)</f>
        <v>719377946</v>
      </c>
      <c r="F22" s="605">
        <f t="shared" si="9"/>
        <v>62405644</v>
      </c>
      <c r="G22" s="605">
        <f t="shared" ref="G22:I22" si="11">SUM(G17:G21)</f>
        <v>8853780</v>
      </c>
      <c r="H22" s="605">
        <f t="shared" si="11"/>
        <v>28600599</v>
      </c>
      <c r="I22" s="605">
        <f t="shared" si="11"/>
        <v>24951265</v>
      </c>
      <c r="J22" s="605">
        <f t="shared" ref="J22:Y22" si="12">SUM(J16:J21)</f>
        <v>0</v>
      </c>
      <c r="K22" s="605">
        <f t="shared" si="12"/>
        <v>0</v>
      </c>
      <c r="L22" s="605">
        <f t="shared" si="12"/>
        <v>0</v>
      </c>
      <c r="M22" s="605">
        <f t="shared" si="12"/>
        <v>51784691</v>
      </c>
      <c r="N22" s="605">
        <f t="shared" si="12"/>
        <v>0</v>
      </c>
      <c r="O22" s="605">
        <f t="shared" si="12"/>
        <v>1666074929</v>
      </c>
      <c r="P22" s="605">
        <f t="shared" si="12"/>
        <v>51136508</v>
      </c>
      <c r="Q22" s="605">
        <f t="shared" si="12"/>
        <v>1614938421</v>
      </c>
      <c r="R22" s="605">
        <f t="shared" si="12"/>
        <v>2003371</v>
      </c>
      <c r="S22" s="605">
        <f t="shared" si="12"/>
        <v>0</v>
      </c>
      <c r="T22" s="605">
        <f t="shared" si="12"/>
        <v>0</v>
      </c>
      <c r="U22" s="605">
        <f t="shared" si="12"/>
        <v>0</v>
      </c>
      <c r="V22" s="605">
        <f t="shared" si="12"/>
        <v>61364059</v>
      </c>
      <c r="W22" s="605">
        <f t="shared" si="12"/>
        <v>64136819</v>
      </c>
      <c r="X22" s="605">
        <f t="shared" si="12"/>
        <v>1885808</v>
      </c>
      <c r="Y22" s="605">
        <f t="shared" si="12"/>
        <v>165765</v>
      </c>
      <c r="AA22" s="607"/>
      <c r="AB22" s="608"/>
    </row>
    <row r="23" spans="1:28" s="255" customFormat="1" ht="15.75" customHeight="1">
      <c r="A23" s="546"/>
      <c r="B23" s="539" t="s">
        <v>473</v>
      </c>
      <c r="C23" s="547"/>
      <c r="D23" s="547"/>
      <c r="E23" s="547"/>
      <c r="F23" s="547"/>
      <c r="G23" s="548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7"/>
      <c r="S23" s="547"/>
      <c r="T23" s="547"/>
      <c r="U23" s="547"/>
      <c r="V23" s="547"/>
      <c r="W23" s="547"/>
      <c r="X23" s="547"/>
      <c r="Y23" s="547"/>
      <c r="AA23" s="257"/>
      <c r="AB23" s="260"/>
    </row>
    <row r="24" spans="1:28" s="255" customFormat="1" ht="15.75" customHeight="1">
      <c r="A24" s="541">
        <v>140</v>
      </c>
      <c r="B24" s="542" t="s">
        <v>672</v>
      </c>
      <c r="C24" s="543">
        <f t="shared" ref="C24:C29" si="13">SUM(J24:Y24)-L24-P24-Q24</f>
        <v>9816</v>
      </c>
      <c r="D24" s="544">
        <v>9816</v>
      </c>
      <c r="E24" s="544">
        <v>0</v>
      </c>
      <c r="F24" s="543">
        <f>+G24+H24+I24</f>
        <v>0</v>
      </c>
      <c r="G24" s="544">
        <v>0</v>
      </c>
      <c r="H24" s="544">
        <v>0</v>
      </c>
      <c r="I24" s="544">
        <v>0</v>
      </c>
      <c r="J24" s="544">
        <v>0</v>
      </c>
      <c r="K24" s="544">
        <v>0</v>
      </c>
      <c r="L24" s="544">
        <v>0</v>
      </c>
      <c r="M24" s="544">
        <v>9816</v>
      </c>
      <c r="N24" s="544">
        <v>0</v>
      </c>
      <c r="O24" s="543">
        <f t="shared" ref="O24:O28" si="14">+P24+Q24</f>
        <v>0</v>
      </c>
      <c r="P24" s="544">
        <v>0</v>
      </c>
      <c r="Q24" s="544">
        <v>0</v>
      </c>
      <c r="R24" s="544">
        <v>0</v>
      </c>
      <c r="S24" s="544">
        <v>0</v>
      </c>
      <c r="T24" s="544">
        <v>0</v>
      </c>
      <c r="U24" s="544">
        <v>0</v>
      </c>
      <c r="V24" s="544">
        <v>0</v>
      </c>
      <c r="W24" s="544">
        <v>0</v>
      </c>
      <c r="X24" s="544">
        <v>0</v>
      </c>
      <c r="Y24" s="544">
        <v>0</v>
      </c>
      <c r="AB24" s="260"/>
    </row>
    <row r="25" spans="1:28" s="255" customFormat="1" ht="15.75" customHeight="1">
      <c r="A25" s="545">
        <f t="shared" si="2"/>
        <v>150</v>
      </c>
      <c r="B25" s="542" t="s">
        <v>403</v>
      </c>
      <c r="C25" s="543">
        <f t="shared" si="13"/>
        <v>48053102</v>
      </c>
      <c r="D25" s="544">
        <v>3128811</v>
      </c>
      <c r="E25" s="544">
        <v>44924291</v>
      </c>
      <c r="F25" s="543">
        <f t="shared" ref="F25:F29" si="15">+G25+H25+I25</f>
        <v>0</v>
      </c>
      <c r="G25" s="544">
        <v>0</v>
      </c>
      <c r="H25" s="544">
        <v>0</v>
      </c>
      <c r="I25" s="544">
        <v>0</v>
      </c>
      <c r="J25" s="544">
        <v>13195</v>
      </c>
      <c r="K25" s="544">
        <v>0</v>
      </c>
      <c r="L25" s="544">
        <v>0</v>
      </c>
      <c r="M25" s="544">
        <v>402627</v>
      </c>
      <c r="N25" s="544">
        <v>0</v>
      </c>
      <c r="O25" s="543">
        <f t="shared" si="14"/>
        <v>47637280</v>
      </c>
      <c r="P25" s="544">
        <v>0</v>
      </c>
      <c r="Q25" s="544">
        <v>47637280</v>
      </c>
      <c r="R25" s="544">
        <v>0</v>
      </c>
      <c r="S25" s="544">
        <v>0</v>
      </c>
      <c r="T25" s="544">
        <v>0</v>
      </c>
      <c r="U25" s="544">
        <v>0</v>
      </c>
      <c r="V25" s="544">
        <v>0</v>
      </c>
      <c r="W25" s="544">
        <v>0</v>
      </c>
      <c r="X25" s="544">
        <v>0</v>
      </c>
      <c r="Y25" s="544">
        <v>0</v>
      </c>
      <c r="AB25" s="260"/>
    </row>
    <row r="26" spans="1:28" s="255" customFormat="1" ht="15.75" customHeight="1">
      <c r="A26" s="545">
        <f t="shared" si="2"/>
        <v>160</v>
      </c>
      <c r="B26" s="542" t="s">
        <v>404</v>
      </c>
      <c r="C26" s="543">
        <f t="shared" si="13"/>
        <v>132725910</v>
      </c>
      <c r="D26" s="544">
        <v>77339149</v>
      </c>
      <c r="E26" s="544">
        <v>55386761</v>
      </c>
      <c r="F26" s="543">
        <f t="shared" si="15"/>
        <v>11697865</v>
      </c>
      <c r="G26" s="544">
        <v>129890</v>
      </c>
      <c r="H26" s="544">
        <v>9619736</v>
      </c>
      <c r="I26" s="544">
        <v>1948239</v>
      </c>
      <c r="J26" s="544">
        <v>617454</v>
      </c>
      <c r="K26" s="544">
        <v>0</v>
      </c>
      <c r="L26" s="544">
        <v>0</v>
      </c>
      <c r="M26" s="544">
        <v>41077353</v>
      </c>
      <c r="N26" s="544">
        <v>0</v>
      </c>
      <c r="O26" s="543">
        <f t="shared" si="14"/>
        <v>85122090</v>
      </c>
      <c r="P26" s="544">
        <v>0</v>
      </c>
      <c r="Q26" s="544">
        <v>85122090</v>
      </c>
      <c r="R26" s="544">
        <v>0</v>
      </c>
      <c r="S26" s="544">
        <v>0</v>
      </c>
      <c r="T26" s="544">
        <v>0</v>
      </c>
      <c r="U26" s="544">
        <v>0</v>
      </c>
      <c r="V26" s="544">
        <v>5024136</v>
      </c>
      <c r="W26" s="544">
        <v>884877</v>
      </c>
      <c r="X26" s="544">
        <v>0</v>
      </c>
      <c r="Y26" s="544">
        <v>0</v>
      </c>
      <c r="AB26" s="260"/>
    </row>
    <row r="27" spans="1:28" s="255" customFormat="1" ht="15.75" customHeight="1">
      <c r="A27" s="545">
        <f t="shared" si="2"/>
        <v>170</v>
      </c>
      <c r="B27" s="542" t="s">
        <v>400</v>
      </c>
      <c r="C27" s="543">
        <f t="shared" si="13"/>
        <v>0</v>
      </c>
      <c r="D27" s="544">
        <v>0</v>
      </c>
      <c r="E27" s="544">
        <v>0</v>
      </c>
      <c r="F27" s="543">
        <f t="shared" si="15"/>
        <v>0</v>
      </c>
      <c r="G27" s="544">
        <v>0</v>
      </c>
      <c r="H27" s="544">
        <v>0</v>
      </c>
      <c r="I27" s="544">
        <v>0</v>
      </c>
      <c r="J27" s="544">
        <v>0</v>
      </c>
      <c r="K27" s="544">
        <v>0</v>
      </c>
      <c r="L27" s="544">
        <v>0</v>
      </c>
      <c r="M27" s="544">
        <v>0</v>
      </c>
      <c r="N27" s="544">
        <v>0</v>
      </c>
      <c r="O27" s="543">
        <f t="shared" si="14"/>
        <v>0</v>
      </c>
      <c r="P27" s="544">
        <v>0</v>
      </c>
      <c r="Q27" s="544">
        <v>0</v>
      </c>
      <c r="R27" s="544">
        <v>0</v>
      </c>
      <c r="S27" s="544">
        <v>0</v>
      </c>
      <c r="T27" s="544">
        <v>0</v>
      </c>
      <c r="U27" s="544">
        <v>0</v>
      </c>
      <c r="V27" s="544">
        <v>0</v>
      </c>
      <c r="W27" s="544">
        <v>0</v>
      </c>
      <c r="X27" s="544">
        <v>0</v>
      </c>
      <c r="Y27" s="544">
        <v>0</v>
      </c>
      <c r="AB27" s="260"/>
    </row>
    <row r="28" spans="1:28" s="255" customFormat="1" ht="15.75" customHeight="1">
      <c r="A28" s="545">
        <f>A27+10</f>
        <v>180</v>
      </c>
      <c r="B28" s="549" t="s">
        <v>677</v>
      </c>
      <c r="C28" s="543">
        <f t="shared" si="13"/>
        <v>0</v>
      </c>
      <c r="D28" s="544">
        <v>0</v>
      </c>
      <c r="E28" s="544">
        <v>0</v>
      </c>
      <c r="F28" s="543">
        <f t="shared" si="15"/>
        <v>0</v>
      </c>
      <c r="G28" s="544">
        <v>0</v>
      </c>
      <c r="H28" s="544">
        <v>0</v>
      </c>
      <c r="I28" s="544">
        <v>0</v>
      </c>
      <c r="J28" s="544">
        <v>0</v>
      </c>
      <c r="K28" s="544">
        <v>0</v>
      </c>
      <c r="L28" s="544">
        <v>0</v>
      </c>
      <c r="M28" s="544">
        <v>0</v>
      </c>
      <c r="N28" s="544">
        <v>0</v>
      </c>
      <c r="O28" s="543">
        <f t="shared" si="14"/>
        <v>0</v>
      </c>
      <c r="P28" s="544">
        <v>0</v>
      </c>
      <c r="Q28" s="544">
        <v>0</v>
      </c>
      <c r="R28" s="544">
        <v>0</v>
      </c>
      <c r="S28" s="544">
        <v>0</v>
      </c>
      <c r="T28" s="544">
        <v>0</v>
      </c>
      <c r="U28" s="544">
        <v>0</v>
      </c>
      <c r="V28" s="544">
        <v>0</v>
      </c>
      <c r="W28" s="544">
        <v>0</v>
      </c>
      <c r="X28" s="544">
        <v>0</v>
      </c>
      <c r="Y28" s="544">
        <v>0</v>
      </c>
      <c r="AB28" s="260"/>
    </row>
    <row r="29" spans="1:28" s="606" customFormat="1" ht="15.75" customHeight="1">
      <c r="A29" s="604">
        <f>A28+10</f>
        <v>190</v>
      </c>
      <c r="B29" s="604" t="s">
        <v>235</v>
      </c>
      <c r="C29" s="605">
        <f t="shared" si="13"/>
        <v>180788828</v>
      </c>
      <c r="D29" s="605">
        <f>SUM(D24:D28)</f>
        <v>80477776</v>
      </c>
      <c r="E29" s="605">
        <f>SUM(E24:E28)</f>
        <v>100311052</v>
      </c>
      <c r="F29" s="605">
        <f t="shared" si="15"/>
        <v>11697865</v>
      </c>
      <c r="G29" s="605">
        <f t="shared" ref="G29:I29" si="16">SUM(G24:G28)</f>
        <v>129890</v>
      </c>
      <c r="H29" s="605">
        <f t="shared" si="16"/>
        <v>9619736</v>
      </c>
      <c r="I29" s="605">
        <f t="shared" si="16"/>
        <v>1948239</v>
      </c>
      <c r="J29" s="605">
        <f t="shared" ref="J29:Y29" si="17">SUM(J24:J28)</f>
        <v>630649</v>
      </c>
      <c r="K29" s="605">
        <f t="shared" si="17"/>
        <v>0</v>
      </c>
      <c r="L29" s="605">
        <f t="shared" si="17"/>
        <v>0</v>
      </c>
      <c r="M29" s="605">
        <f t="shared" si="17"/>
        <v>41489796</v>
      </c>
      <c r="N29" s="605">
        <f t="shared" si="17"/>
        <v>0</v>
      </c>
      <c r="O29" s="605">
        <f t="shared" si="17"/>
        <v>132759370</v>
      </c>
      <c r="P29" s="605">
        <f t="shared" si="17"/>
        <v>0</v>
      </c>
      <c r="Q29" s="605">
        <f t="shared" si="17"/>
        <v>132759370</v>
      </c>
      <c r="R29" s="605">
        <f t="shared" si="17"/>
        <v>0</v>
      </c>
      <c r="S29" s="605">
        <f t="shared" si="17"/>
        <v>0</v>
      </c>
      <c r="T29" s="605">
        <f t="shared" si="17"/>
        <v>0</v>
      </c>
      <c r="U29" s="605">
        <f t="shared" si="17"/>
        <v>0</v>
      </c>
      <c r="V29" s="605">
        <f t="shared" si="17"/>
        <v>5024136</v>
      </c>
      <c r="W29" s="605">
        <f t="shared" si="17"/>
        <v>884877</v>
      </c>
      <c r="X29" s="605">
        <f t="shared" si="17"/>
        <v>0</v>
      </c>
      <c r="Y29" s="605">
        <f t="shared" si="17"/>
        <v>0</v>
      </c>
      <c r="AA29" s="607"/>
      <c r="AB29" s="608"/>
    </row>
    <row r="30" spans="1:28" s="255" customFormat="1" ht="15.75" customHeight="1">
      <c r="A30" s="546"/>
      <c r="B30" s="539" t="s">
        <v>474</v>
      </c>
      <c r="C30" s="547"/>
      <c r="D30" s="547"/>
      <c r="E30" s="547"/>
      <c r="F30" s="547"/>
      <c r="G30" s="548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AB30" s="260"/>
    </row>
    <row r="31" spans="1:28" s="255" customFormat="1" ht="15.75" customHeight="1">
      <c r="A31" s="541">
        <v>200</v>
      </c>
      <c r="B31" s="542" t="s">
        <v>672</v>
      </c>
      <c r="C31" s="543">
        <f t="shared" ref="C31:C36" si="18">SUM(J31:Y31)-L31-P31-Q31</f>
        <v>0</v>
      </c>
      <c r="D31" s="544">
        <v>0</v>
      </c>
      <c r="E31" s="544">
        <v>0</v>
      </c>
      <c r="F31" s="543">
        <f>+G31+H31+I31</f>
        <v>0</v>
      </c>
      <c r="G31" s="544">
        <v>0</v>
      </c>
      <c r="H31" s="544">
        <v>0</v>
      </c>
      <c r="I31" s="544">
        <v>0</v>
      </c>
      <c r="J31" s="544">
        <v>0</v>
      </c>
      <c r="K31" s="544">
        <v>0</v>
      </c>
      <c r="L31" s="544">
        <v>0</v>
      </c>
      <c r="M31" s="544">
        <v>0</v>
      </c>
      <c r="N31" s="544">
        <v>0</v>
      </c>
      <c r="O31" s="543">
        <f t="shared" ref="O31:O35" si="19">+P31+Q31</f>
        <v>0</v>
      </c>
      <c r="P31" s="544">
        <v>0</v>
      </c>
      <c r="Q31" s="544">
        <v>0</v>
      </c>
      <c r="R31" s="544">
        <v>0</v>
      </c>
      <c r="S31" s="544">
        <v>0</v>
      </c>
      <c r="T31" s="544">
        <v>0</v>
      </c>
      <c r="U31" s="544">
        <v>0</v>
      </c>
      <c r="V31" s="544">
        <v>0</v>
      </c>
      <c r="W31" s="544">
        <v>0</v>
      </c>
      <c r="X31" s="544">
        <v>0</v>
      </c>
      <c r="Y31" s="544">
        <v>0</v>
      </c>
      <c r="AB31" s="260"/>
    </row>
    <row r="32" spans="1:28" s="255" customFormat="1" ht="15.75" customHeight="1">
      <c r="A32" s="545">
        <f t="shared" si="2"/>
        <v>210</v>
      </c>
      <c r="B32" s="542" t="s">
        <v>403</v>
      </c>
      <c r="C32" s="543">
        <f t="shared" si="18"/>
        <v>6101922</v>
      </c>
      <c r="D32" s="544">
        <v>6101922</v>
      </c>
      <c r="E32" s="544">
        <v>0</v>
      </c>
      <c r="F32" s="543">
        <f t="shared" ref="F32:F36" si="20">+G32+H32+I32</f>
        <v>2000000</v>
      </c>
      <c r="G32" s="544">
        <v>0</v>
      </c>
      <c r="H32" s="544">
        <v>2000000</v>
      </c>
      <c r="I32" s="544">
        <v>0</v>
      </c>
      <c r="J32" s="544">
        <v>0</v>
      </c>
      <c r="K32" s="544">
        <v>0</v>
      </c>
      <c r="L32" s="544">
        <v>0</v>
      </c>
      <c r="M32" s="544">
        <v>0</v>
      </c>
      <c r="N32" s="544">
        <v>0</v>
      </c>
      <c r="O32" s="543">
        <f t="shared" si="19"/>
        <v>2268589</v>
      </c>
      <c r="P32" s="544">
        <v>0</v>
      </c>
      <c r="Q32" s="544">
        <v>2268589</v>
      </c>
      <c r="R32" s="544">
        <v>0</v>
      </c>
      <c r="S32" s="544">
        <v>0</v>
      </c>
      <c r="T32" s="544">
        <v>0</v>
      </c>
      <c r="U32" s="544">
        <v>0</v>
      </c>
      <c r="V32" s="544">
        <v>3833333</v>
      </c>
      <c r="W32" s="544">
        <v>0</v>
      </c>
      <c r="X32" s="544">
        <v>0</v>
      </c>
      <c r="Y32" s="544">
        <v>0</v>
      </c>
      <c r="AB32" s="260"/>
    </row>
    <row r="33" spans="1:28" s="255" customFormat="1" ht="15.75" customHeight="1">
      <c r="A33" s="545">
        <f t="shared" si="2"/>
        <v>220</v>
      </c>
      <c r="B33" s="542" t="s">
        <v>404</v>
      </c>
      <c r="C33" s="543">
        <f t="shared" si="18"/>
        <v>186083068</v>
      </c>
      <c r="D33" s="544">
        <v>182721043</v>
      </c>
      <c r="E33" s="544">
        <v>3362025</v>
      </c>
      <c r="F33" s="543">
        <f t="shared" si="20"/>
        <v>4751166</v>
      </c>
      <c r="G33" s="544">
        <v>2327364</v>
      </c>
      <c r="H33" s="544">
        <v>1046820</v>
      </c>
      <c r="I33" s="544">
        <v>1376982</v>
      </c>
      <c r="J33" s="544">
        <v>0</v>
      </c>
      <c r="K33" s="544">
        <v>0</v>
      </c>
      <c r="L33" s="544">
        <v>0</v>
      </c>
      <c r="M33" s="544">
        <v>2838682</v>
      </c>
      <c r="N33" s="544">
        <v>0</v>
      </c>
      <c r="O33" s="543">
        <f t="shared" si="19"/>
        <v>180332251</v>
      </c>
      <c r="P33" s="544">
        <v>0</v>
      </c>
      <c r="Q33" s="544">
        <v>180332251</v>
      </c>
      <c r="R33" s="544">
        <v>906271</v>
      </c>
      <c r="S33" s="544">
        <v>0</v>
      </c>
      <c r="T33" s="544">
        <v>0</v>
      </c>
      <c r="U33" s="544">
        <v>0</v>
      </c>
      <c r="V33" s="544">
        <v>185027</v>
      </c>
      <c r="W33" s="544">
        <v>1820837</v>
      </c>
      <c r="X33" s="544">
        <v>0</v>
      </c>
      <c r="Y33" s="544">
        <v>0</v>
      </c>
      <c r="AB33" s="260"/>
    </row>
    <row r="34" spans="1:28" s="255" customFormat="1" ht="15.75" customHeight="1">
      <c r="A34" s="545">
        <f t="shared" si="2"/>
        <v>230</v>
      </c>
      <c r="B34" s="542" t="s">
        <v>400</v>
      </c>
      <c r="C34" s="543">
        <f t="shared" si="18"/>
        <v>0</v>
      </c>
      <c r="D34" s="544">
        <v>0</v>
      </c>
      <c r="E34" s="544">
        <v>0</v>
      </c>
      <c r="F34" s="543">
        <f t="shared" si="20"/>
        <v>0</v>
      </c>
      <c r="G34" s="544">
        <v>0</v>
      </c>
      <c r="H34" s="544">
        <v>0</v>
      </c>
      <c r="I34" s="544">
        <v>0</v>
      </c>
      <c r="J34" s="544">
        <v>0</v>
      </c>
      <c r="K34" s="544">
        <v>0</v>
      </c>
      <c r="L34" s="544">
        <v>0</v>
      </c>
      <c r="M34" s="544">
        <v>0</v>
      </c>
      <c r="N34" s="544">
        <v>0</v>
      </c>
      <c r="O34" s="543">
        <f t="shared" si="19"/>
        <v>0</v>
      </c>
      <c r="P34" s="544">
        <v>0</v>
      </c>
      <c r="Q34" s="544">
        <v>0</v>
      </c>
      <c r="R34" s="544">
        <v>0</v>
      </c>
      <c r="S34" s="544">
        <v>0</v>
      </c>
      <c r="T34" s="544">
        <v>0</v>
      </c>
      <c r="U34" s="544">
        <v>0</v>
      </c>
      <c r="V34" s="544">
        <v>0</v>
      </c>
      <c r="W34" s="544">
        <v>0</v>
      </c>
      <c r="X34" s="544">
        <v>0</v>
      </c>
      <c r="Y34" s="544">
        <v>0</v>
      </c>
      <c r="AB34" s="260"/>
    </row>
    <row r="35" spans="1:28" s="255" customFormat="1" ht="15.75" customHeight="1">
      <c r="A35" s="545">
        <f>A34+10</f>
        <v>240</v>
      </c>
      <c r="B35" s="542" t="s">
        <v>677</v>
      </c>
      <c r="C35" s="543">
        <f t="shared" si="18"/>
        <v>0</v>
      </c>
      <c r="D35" s="544">
        <v>0</v>
      </c>
      <c r="E35" s="544">
        <v>0</v>
      </c>
      <c r="F35" s="543">
        <f t="shared" si="20"/>
        <v>0</v>
      </c>
      <c r="G35" s="544">
        <v>0</v>
      </c>
      <c r="H35" s="544">
        <v>0</v>
      </c>
      <c r="I35" s="544">
        <v>0</v>
      </c>
      <c r="J35" s="544">
        <v>0</v>
      </c>
      <c r="K35" s="544">
        <v>0</v>
      </c>
      <c r="L35" s="544">
        <v>0</v>
      </c>
      <c r="M35" s="544">
        <v>0</v>
      </c>
      <c r="N35" s="544">
        <v>0</v>
      </c>
      <c r="O35" s="543">
        <f t="shared" si="19"/>
        <v>0</v>
      </c>
      <c r="P35" s="544">
        <v>0</v>
      </c>
      <c r="Q35" s="544">
        <v>0</v>
      </c>
      <c r="R35" s="544">
        <v>0</v>
      </c>
      <c r="S35" s="544">
        <v>0</v>
      </c>
      <c r="T35" s="544">
        <v>0</v>
      </c>
      <c r="U35" s="544">
        <v>0</v>
      </c>
      <c r="V35" s="544">
        <v>0</v>
      </c>
      <c r="W35" s="544">
        <v>0</v>
      </c>
      <c r="X35" s="544">
        <v>0</v>
      </c>
      <c r="Y35" s="544">
        <v>0</v>
      </c>
      <c r="AB35" s="260"/>
    </row>
    <row r="36" spans="1:28" s="606" customFormat="1" ht="15.75" customHeight="1">
      <c r="A36" s="604">
        <f>A35+10</f>
        <v>250</v>
      </c>
      <c r="B36" s="604" t="s">
        <v>235</v>
      </c>
      <c r="C36" s="605">
        <f t="shared" si="18"/>
        <v>192184990</v>
      </c>
      <c r="D36" s="605">
        <f>SUM(D31:D35)</f>
        <v>188822965</v>
      </c>
      <c r="E36" s="605">
        <f>SUM(E31:E35)</f>
        <v>3362025</v>
      </c>
      <c r="F36" s="605">
        <f t="shared" si="20"/>
        <v>6751166</v>
      </c>
      <c r="G36" s="605">
        <f t="shared" ref="G36:I36" si="21">SUM(G31:G35)</f>
        <v>2327364</v>
      </c>
      <c r="H36" s="605">
        <f t="shared" si="21"/>
        <v>3046820</v>
      </c>
      <c r="I36" s="605">
        <f t="shared" si="21"/>
        <v>1376982</v>
      </c>
      <c r="J36" s="605">
        <f t="shared" ref="J36:Y36" si="22">SUM(J31:J35)</f>
        <v>0</v>
      </c>
      <c r="K36" s="605">
        <f t="shared" si="22"/>
        <v>0</v>
      </c>
      <c r="L36" s="605">
        <f t="shared" si="22"/>
        <v>0</v>
      </c>
      <c r="M36" s="605">
        <f t="shared" si="22"/>
        <v>2838682</v>
      </c>
      <c r="N36" s="605">
        <f t="shared" si="22"/>
        <v>0</v>
      </c>
      <c r="O36" s="605">
        <f t="shared" si="22"/>
        <v>182600840</v>
      </c>
      <c r="P36" s="605">
        <f t="shared" si="22"/>
        <v>0</v>
      </c>
      <c r="Q36" s="605">
        <f t="shared" si="22"/>
        <v>182600840</v>
      </c>
      <c r="R36" s="605">
        <f t="shared" si="22"/>
        <v>906271</v>
      </c>
      <c r="S36" s="605">
        <f t="shared" si="22"/>
        <v>0</v>
      </c>
      <c r="T36" s="605">
        <f t="shared" si="22"/>
        <v>0</v>
      </c>
      <c r="U36" s="605">
        <f t="shared" si="22"/>
        <v>0</v>
      </c>
      <c r="V36" s="605">
        <f t="shared" si="22"/>
        <v>4018360</v>
      </c>
      <c r="W36" s="605">
        <f t="shared" si="22"/>
        <v>1820837</v>
      </c>
      <c r="X36" s="605">
        <f t="shared" si="22"/>
        <v>0</v>
      </c>
      <c r="Y36" s="605">
        <f t="shared" si="22"/>
        <v>0</v>
      </c>
      <c r="AA36" s="607"/>
      <c r="AB36" s="608"/>
    </row>
    <row r="37" spans="1:28" s="255" customFormat="1" ht="15.75" customHeight="1">
      <c r="A37" s="546"/>
      <c r="B37" s="539" t="s">
        <v>475</v>
      </c>
      <c r="C37" s="547"/>
      <c r="D37" s="547"/>
      <c r="E37" s="547"/>
      <c r="F37" s="547"/>
      <c r="G37" s="548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AB37" s="260"/>
    </row>
    <row r="38" spans="1:28" s="255" customFormat="1" ht="15.75" customHeight="1">
      <c r="A38" s="541">
        <v>260</v>
      </c>
      <c r="B38" s="542" t="s">
        <v>672</v>
      </c>
      <c r="C38" s="543">
        <f t="shared" ref="C38:C42" si="23">SUM(J38:Y38)-L38-P38-Q38</f>
        <v>26193826</v>
      </c>
      <c r="D38" s="544">
        <v>26193826</v>
      </c>
      <c r="E38" s="544">
        <v>0</v>
      </c>
      <c r="F38" s="543">
        <f>+G38+H38+I38</f>
        <v>331481</v>
      </c>
      <c r="G38" s="544">
        <v>0</v>
      </c>
      <c r="H38" s="544">
        <v>170851</v>
      </c>
      <c r="I38" s="544">
        <v>160630</v>
      </c>
      <c r="J38" s="544">
        <v>0</v>
      </c>
      <c r="K38" s="544">
        <v>0</v>
      </c>
      <c r="L38" s="544">
        <v>0</v>
      </c>
      <c r="M38" s="544">
        <v>5144726</v>
      </c>
      <c r="N38" s="544">
        <v>0</v>
      </c>
      <c r="O38" s="543">
        <f t="shared" ref="O38:O42" si="24">+P38+Q38</f>
        <v>11933777</v>
      </c>
      <c r="P38" s="544">
        <v>0</v>
      </c>
      <c r="Q38" s="544">
        <v>11933777</v>
      </c>
      <c r="R38" s="544">
        <v>7631250</v>
      </c>
      <c r="S38" s="544">
        <v>0</v>
      </c>
      <c r="T38" s="544">
        <v>0</v>
      </c>
      <c r="U38" s="544">
        <v>0</v>
      </c>
      <c r="V38" s="544">
        <v>551119</v>
      </c>
      <c r="W38" s="544">
        <v>887652</v>
      </c>
      <c r="X38" s="544">
        <v>45302</v>
      </c>
      <c r="Y38" s="544">
        <v>0</v>
      </c>
      <c r="AB38" s="260"/>
    </row>
    <row r="39" spans="1:28" s="255" customFormat="1" ht="15.75" customHeight="1">
      <c r="A39" s="545">
        <f t="shared" si="2"/>
        <v>270</v>
      </c>
      <c r="B39" s="542" t="s">
        <v>403</v>
      </c>
      <c r="C39" s="543">
        <f t="shared" si="23"/>
        <v>136885937</v>
      </c>
      <c r="D39" s="544">
        <v>136418969</v>
      </c>
      <c r="E39" s="544">
        <v>466968</v>
      </c>
      <c r="F39" s="543">
        <f t="shared" ref="F39:F43" si="25">+G39+H39+I39</f>
        <v>169027</v>
      </c>
      <c r="G39" s="544">
        <v>106390</v>
      </c>
      <c r="H39" s="544">
        <v>30000</v>
      </c>
      <c r="I39" s="544">
        <v>32637</v>
      </c>
      <c r="J39" s="544">
        <v>0</v>
      </c>
      <c r="K39" s="544">
        <v>0</v>
      </c>
      <c r="L39" s="544">
        <v>0</v>
      </c>
      <c r="M39" s="544">
        <v>2350795</v>
      </c>
      <c r="N39" s="544">
        <v>0</v>
      </c>
      <c r="O39" s="543">
        <f t="shared" si="24"/>
        <v>124966280</v>
      </c>
      <c r="P39" s="544">
        <v>120000</v>
      </c>
      <c r="Q39" s="544">
        <v>124846280</v>
      </c>
      <c r="R39" s="544">
        <v>0</v>
      </c>
      <c r="S39" s="544">
        <v>0</v>
      </c>
      <c r="T39" s="544">
        <v>0</v>
      </c>
      <c r="U39" s="544">
        <v>0</v>
      </c>
      <c r="V39" s="544">
        <v>214730</v>
      </c>
      <c r="W39" s="544">
        <v>9354132</v>
      </c>
      <c r="X39" s="544">
        <v>0</v>
      </c>
      <c r="Y39" s="544">
        <v>0</v>
      </c>
      <c r="AB39" s="260"/>
    </row>
    <row r="40" spans="1:28" s="255" customFormat="1" ht="15.75" customHeight="1">
      <c r="A40" s="545">
        <f t="shared" si="2"/>
        <v>280</v>
      </c>
      <c r="B40" s="542" t="s">
        <v>404</v>
      </c>
      <c r="C40" s="543">
        <f t="shared" si="23"/>
        <v>1272260302</v>
      </c>
      <c r="D40" s="544">
        <v>784323057</v>
      </c>
      <c r="E40" s="544">
        <v>487937245</v>
      </c>
      <c r="F40" s="543">
        <f t="shared" si="25"/>
        <v>30250097</v>
      </c>
      <c r="G40" s="544">
        <v>885051</v>
      </c>
      <c r="H40" s="544">
        <v>14561177</v>
      </c>
      <c r="I40" s="544">
        <v>14803869</v>
      </c>
      <c r="J40" s="544">
        <v>64853</v>
      </c>
      <c r="K40" s="544">
        <v>0</v>
      </c>
      <c r="L40" s="544">
        <v>0</v>
      </c>
      <c r="M40" s="544">
        <v>52271304</v>
      </c>
      <c r="N40" s="544">
        <v>0</v>
      </c>
      <c r="O40" s="543">
        <f t="shared" si="24"/>
        <v>882774665</v>
      </c>
      <c r="P40" s="544">
        <v>31636252</v>
      </c>
      <c r="Q40" s="544">
        <v>851138413</v>
      </c>
      <c r="R40" s="544">
        <v>1191007</v>
      </c>
      <c r="S40" s="544">
        <v>0</v>
      </c>
      <c r="T40" s="544">
        <v>0</v>
      </c>
      <c r="U40" s="544">
        <v>0</v>
      </c>
      <c r="V40" s="544">
        <v>34239341</v>
      </c>
      <c r="W40" s="544">
        <v>283114649</v>
      </c>
      <c r="X40" s="544">
        <v>564032</v>
      </c>
      <c r="Y40" s="544">
        <v>18040451</v>
      </c>
      <c r="AB40" s="260"/>
    </row>
    <row r="41" spans="1:28" s="255" customFormat="1" ht="15.75" customHeight="1">
      <c r="A41" s="545">
        <f t="shared" si="2"/>
        <v>290</v>
      </c>
      <c r="B41" s="542" t="s">
        <v>400</v>
      </c>
      <c r="C41" s="543">
        <f t="shared" si="23"/>
        <v>0</v>
      </c>
      <c r="D41" s="544">
        <v>0</v>
      </c>
      <c r="E41" s="544">
        <v>0</v>
      </c>
      <c r="F41" s="543">
        <f t="shared" si="25"/>
        <v>0</v>
      </c>
      <c r="G41" s="544">
        <v>0</v>
      </c>
      <c r="H41" s="544">
        <v>0</v>
      </c>
      <c r="I41" s="544">
        <v>0</v>
      </c>
      <c r="J41" s="544">
        <v>0</v>
      </c>
      <c r="K41" s="544">
        <v>0</v>
      </c>
      <c r="L41" s="544">
        <v>0</v>
      </c>
      <c r="M41" s="544">
        <v>0</v>
      </c>
      <c r="N41" s="544">
        <v>0</v>
      </c>
      <c r="O41" s="543">
        <f t="shared" si="24"/>
        <v>0</v>
      </c>
      <c r="P41" s="544">
        <v>0</v>
      </c>
      <c r="Q41" s="544">
        <v>0</v>
      </c>
      <c r="R41" s="544">
        <v>0</v>
      </c>
      <c r="S41" s="544">
        <v>0</v>
      </c>
      <c r="T41" s="544">
        <v>0</v>
      </c>
      <c r="U41" s="544">
        <v>0</v>
      </c>
      <c r="V41" s="544">
        <v>0</v>
      </c>
      <c r="W41" s="544">
        <v>0</v>
      </c>
      <c r="X41" s="544">
        <v>0</v>
      </c>
      <c r="Y41" s="544">
        <v>0</v>
      </c>
      <c r="AB41" s="260"/>
    </row>
    <row r="42" spans="1:28" s="255" customFormat="1" ht="15.75" customHeight="1">
      <c r="A42" s="545">
        <f>A41+10</f>
        <v>300</v>
      </c>
      <c r="B42" s="542" t="s">
        <v>677</v>
      </c>
      <c r="C42" s="543">
        <f t="shared" si="23"/>
        <v>0</v>
      </c>
      <c r="D42" s="544">
        <v>0</v>
      </c>
      <c r="E42" s="544">
        <v>0</v>
      </c>
      <c r="F42" s="543">
        <f t="shared" si="25"/>
        <v>0</v>
      </c>
      <c r="G42" s="544">
        <v>0</v>
      </c>
      <c r="H42" s="544">
        <v>0</v>
      </c>
      <c r="I42" s="544">
        <v>0</v>
      </c>
      <c r="J42" s="544">
        <v>0</v>
      </c>
      <c r="K42" s="544">
        <v>0</v>
      </c>
      <c r="L42" s="544">
        <v>0</v>
      </c>
      <c r="M42" s="544">
        <v>0</v>
      </c>
      <c r="N42" s="544">
        <v>0</v>
      </c>
      <c r="O42" s="543">
        <f t="shared" si="24"/>
        <v>0</v>
      </c>
      <c r="P42" s="544">
        <v>0</v>
      </c>
      <c r="Q42" s="544">
        <v>0</v>
      </c>
      <c r="R42" s="544">
        <v>0</v>
      </c>
      <c r="S42" s="544">
        <v>0</v>
      </c>
      <c r="T42" s="544">
        <v>0</v>
      </c>
      <c r="U42" s="544">
        <v>0</v>
      </c>
      <c r="V42" s="544">
        <v>0</v>
      </c>
      <c r="W42" s="544">
        <v>0</v>
      </c>
      <c r="X42" s="544">
        <v>0</v>
      </c>
      <c r="Y42" s="544">
        <v>0</v>
      </c>
      <c r="AB42" s="260"/>
    </row>
    <row r="43" spans="1:28" s="606" customFormat="1" ht="15.75" customHeight="1">
      <c r="A43" s="604">
        <f>A42+10</f>
        <v>310</v>
      </c>
      <c r="B43" s="604" t="s">
        <v>235</v>
      </c>
      <c r="C43" s="605">
        <f t="shared" ref="C43" si="26">SUM(J43:Y43)-L43-P43-Q43</f>
        <v>1435340065</v>
      </c>
      <c r="D43" s="605">
        <f>SUM(D38:D42)</f>
        <v>946935852</v>
      </c>
      <c r="E43" s="605">
        <f>SUM(E38:E42)</f>
        <v>488404213</v>
      </c>
      <c r="F43" s="605">
        <f t="shared" si="25"/>
        <v>30750605</v>
      </c>
      <c r="G43" s="605">
        <f t="shared" ref="G43:I43" si="27">SUM(G38:G42)</f>
        <v>991441</v>
      </c>
      <c r="H43" s="605">
        <f t="shared" si="27"/>
        <v>14762028</v>
      </c>
      <c r="I43" s="605">
        <f t="shared" si="27"/>
        <v>14997136</v>
      </c>
      <c r="J43" s="605">
        <f t="shared" ref="J43:Y43" si="28">SUM(J38:J42)</f>
        <v>64853</v>
      </c>
      <c r="K43" s="605">
        <f t="shared" si="28"/>
        <v>0</v>
      </c>
      <c r="L43" s="605">
        <f t="shared" si="28"/>
        <v>0</v>
      </c>
      <c r="M43" s="605">
        <f t="shared" si="28"/>
        <v>59766825</v>
      </c>
      <c r="N43" s="605">
        <f t="shared" si="28"/>
        <v>0</v>
      </c>
      <c r="O43" s="605">
        <f t="shared" si="28"/>
        <v>1019674722</v>
      </c>
      <c r="P43" s="605">
        <f t="shared" si="28"/>
        <v>31756252</v>
      </c>
      <c r="Q43" s="605">
        <f t="shared" si="28"/>
        <v>987918470</v>
      </c>
      <c r="R43" s="605">
        <f t="shared" si="28"/>
        <v>8822257</v>
      </c>
      <c r="S43" s="605">
        <f t="shared" si="28"/>
        <v>0</v>
      </c>
      <c r="T43" s="605">
        <f t="shared" si="28"/>
        <v>0</v>
      </c>
      <c r="U43" s="605">
        <f t="shared" si="28"/>
        <v>0</v>
      </c>
      <c r="V43" s="605">
        <f t="shared" si="28"/>
        <v>35005190</v>
      </c>
      <c r="W43" s="605">
        <f t="shared" si="28"/>
        <v>293356433</v>
      </c>
      <c r="X43" s="605">
        <f t="shared" si="28"/>
        <v>609334</v>
      </c>
      <c r="Y43" s="605">
        <f t="shared" si="28"/>
        <v>18040451</v>
      </c>
      <c r="AA43" s="607"/>
      <c r="AB43" s="608"/>
    </row>
    <row r="44" spans="1:28" s="255" customFormat="1" ht="15.75" customHeight="1">
      <c r="A44" s="546"/>
      <c r="B44" s="539" t="s">
        <v>476</v>
      </c>
      <c r="C44" s="547"/>
      <c r="D44" s="547"/>
      <c r="E44" s="547"/>
      <c r="F44" s="547"/>
      <c r="G44" s="548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AB44" s="260"/>
    </row>
    <row r="45" spans="1:28" s="255" customFormat="1" ht="15.75" customHeight="1">
      <c r="A45" s="541">
        <v>320</v>
      </c>
      <c r="B45" s="542" t="s">
        <v>672</v>
      </c>
      <c r="C45" s="543">
        <f t="shared" ref="C45:C50" si="29">SUM(J45:Y45)-L45-P45-Q45</f>
        <v>1569655</v>
      </c>
      <c r="D45" s="544">
        <v>1569655</v>
      </c>
      <c r="E45" s="544">
        <v>0</v>
      </c>
      <c r="F45" s="543">
        <f>+G45+H45+I45</f>
        <v>161052</v>
      </c>
      <c r="G45" s="544">
        <v>0</v>
      </c>
      <c r="H45" s="544">
        <v>161052</v>
      </c>
      <c r="I45" s="544">
        <v>0</v>
      </c>
      <c r="J45" s="544">
        <v>0</v>
      </c>
      <c r="K45" s="544">
        <v>0</v>
      </c>
      <c r="L45" s="544">
        <v>0</v>
      </c>
      <c r="M45" s="544">
        <v>161051</v>
      </c>
      <c r="N45" s="544">
        <v>0</v>
      </c>
      <c r="O45" s="543">
        <f t="shared" ref="O45:O49" si="30">+P45+Q45</f>
        <v>1408604</v>
      </c>
      <c r="P45" s="544">
        <v>0</v>
      </c>
      <c r="Q45" s="544">
        <v>1408604</v>
      </c>
      <c r="R45" s="544">
        <v>0</v>
      </c>
      <c r="S45" s="544">
        <v>0</v>
      </c>
      <c r="T45" s="544">
        <v>0</v>
      </c>
      <c r="U45" s="544">
        <v>0</v>
      </c>
      <c r="V45" s="544">
        <v>0</v>
      </c>
      <c r="W45" s="544">
        <v>0</v>
      </c>
      <c r="X45" s="544">
        <v>0</v>
      </c>
      <c r="Y45" s="544">
        <v>0</v>
      </c>
      <c r="AB45" s="260"/>
    </row>
    <row r="46" spans="1:28" s="255" customFormat="1" ht="15.75" customHeight="1">
      <c r="A46" s="545">
        <f t="shared" si="2"/>
        <v>330</v>
      </c>
      <c r="B46" s="542" t="s">
        <v>403</v>
      </c>
      <c r="C46" s="543">
        <f t="shared" si="29"/>
        <v>87444702</v>
      </c>
      <c r="D46" s="544">
        <v>87444702</v>
      </c>
      <c r="E46" s="544">
        <v>0</v>
      </c>
      <c r="F46" s="543">
        <f t="shared" ref="F46:F50" si="31">+G46+H46+I46</f>
        <v>224929</v>
      </c>
      <c r="G46" s="544">
        <v>20682</v>
      </c>
      <c r="H46" s="544">
        <v>138241</v>
      </c>
      <c r="I46" s="544">
        <v>66006</v>
      </c>
      <c r="J46" s="544">
        <v>0</v>
      </c>
      <c r="K46" s="544">
        <v>0</v>
      </c>
      <c r="L46" s="544">
        <v>0</v>
      </c>
      <c r="M46" s="544">
        <v>7292176</v>
      </c>
      <c r="N46" s="544">
        <v>0</v>
      </c>
      <c r="O46" s="543">
        <f t="shared" si="30"/>
        <v>79131309</v>
      </c>
      <c r="P46" s="544">
        <v>2175000</v>
      </c>
      <c r="Q46" s="544">
        <v>76956309</v>
      </c>
      <c r="R46" s="544">
        <v>264828</v>
      </c>
      <c r="S46" s="544">
        <v>0</v>
      </c>
      <c r="T46" s="544">
        <v>0</v>
      </c>
      <c r="U46" s="544">
        <v>0</v>
      </c>
      <c r="V46" s="544">
        <v>357729</v>
      </c>
      <c r="W46" s="544">
        <v>398660</v>
      </c>
      <c r="X46" s="544">
        <v>0</v>
      </c>
      <c r="Y46" s="544">
        <v>0</v>
      </c>
      <c r="AB46" s="260"/>
    </row>
    <row r="47" spans="1:28" s="255" customFormat="1" ht="15.75" customHeight="1">
      <c r="A47" s="545">
        <f t="shared" si="2"/>
        <v>340</v>
      </c>
      <c r="B47" s="542" t="s">
        <v>404</v>
      </c>
      <c r="C47" s="543">
        <f t="shared" si="29"/>
        <v>910181324</v>
      </c>
      <c r="D47" s="544">
        <v>317589573</v>
      </c>
      <c r="E47" s="544">
        <v>592591751</v>
      </c>
      <c r="F47" s="543">
        <f t="shared" si="31"/>
        <v>33820116</v>
      </c>
      <c r="G47" s="544">
        <v>2067763</v>
      </c>
      <c r="H47" s="544">
        <v>17977387</v>
      </c>
      <c r="I47" s="544">
        <v>13774966</v>
      </c>
      <c r="J47" s="544">
        <v>19513</v>
      </c>
      <c r="K47" s="544">
        <v>0</v>
      </c>
      <c r="L47" s="544">
        <v>0</v>
      </c>
      <c r="M47" s="544">
        <v>33051531</v>
      </c>
      <c r="N47" s="544">
        <v>0</v>
      </c>
      <c r="O47" s="543">
        <f t="shared" si="30"/>
        <v>457174952</v>
      </c>
      <c r="P47" s="544">
        <v>0</v>
      </c>
      <c r="Q47" s="544">
        <v>457174952</v>
      </c>
      <c r="R47" s="544">
        <v>0</v>
      </c>
      <c r="S47" s="544">
        <v>0</v>
      </c>
      <c r="T47" s="544">
        <v>0</v>
      </c>
      <c r="U47" s="544">
        <v>0</v>
      </c>
      <c r="V47" s="544">
        <v>33712380</v>
      </c>
      <c r="W47" s="544">
        <v>386215031</v>
      </c>
      <c r="X47" s="544">
        <v>0</v>
      </c>
      <c r="Y47" s="544">
        <v>7917</v>
      </c>
      <c r="AB47" s="260"/>
    </row>
    <row r="48" spans="1:28" s="255" customFormat="1" ht="15.75" customHeight="1">
      <c r="A48" s="545">
        <f t="shared" si="2"/>
        <v>350</v>
      </c>
      <c r="B48" s="542" t="s">
        <v>400</v>
      </c>
      <c r="C48" s="543">
        <f t="shared" si="29"/>
        <v>0</v>
      </c>
      <c r="D48" s="544">
        <v>0</v>
      </c>
      <c r="E48" s="544">
        <v>0</v>
      </c>
      <c r="F48" s="543">
        <f t="shared" si="31"/>
        <v>0</v>
      </c>
      <c r="G48" s="544">
        <v>0</v>
      </c>
      <c r="H48" s="544">
        <v>0</v>
      </c>
      <c r="I48" s="544">
        <v>0</v>
      </c>
      <c r="J48" s="544">
        <v>0</v>
      </c>
      <c r="K48" s="544">
        <v>0</v>
      </c>
      <c r="L48" s="544">
        <v>0</v>
      </c>
      <c r="M48" s="544">
        <v>0</v>
      </c>
      <c r="N48" s="544">
        <v>0</v>
      </c>
      <c r="O48" s="543">
        <f t="shared" si="30"/>
        <v>0</v>
      </c>
      <c r="P48" s="544">
        <v>0</v>
      </c>
      <c r="Q48" s="544">
        <v>0</v>
      </c>
      <c r="R48" s="544">
        <v>0</v>
      </c>
      <c r="S48" s="544">
        <v>0</v>
      </c>
      <c r="T48" s="544">
        <v>0</v>
      </c>
      <c r="U48" s="544">
        <v>0</v>
      </c>
      <c r="V48" s="544">
        <v>0</v>
      </c>
      <c r="W48" s="544">
        <v>0</v>
      </c>
      <c r="X48" s="544">
        <v>0</v>
      </c>
      <c r="Y48" s="544">
        <v>0</v>
      </c>
      <c r="AB48" s="260"/>
    </row>
    <row r="49" spans="1:28" s="255" customFormat="1" ht="15.75" customHeight="1">
      <c r="A49" s="545">
        <f>A48+10</f>
        <v>360</v>
      </c>
      <c r="B49" s="542" t="s">
        <v>677</v>
      </c>
      <c r="C49" s="543">
        <f t="shared" si="29"/>
        <v>0</v>
      </c>
      <c r="D49" s="544">
        <v>0</v>
      </c>
      <c r="E49" s="544">
        <v>0</v>
      </c>
      <c r="F49" s="543">
        <f t="shared" si="31"/>
        <v>0</v>
      </c>
      <c r="G49" s="544">
        <v>0</v>
      </c>
      <c r="H49" s="544">
        <v>0</v>
      </c>
      <c r="I49" s="544">
        <v>0</v>
      </c>
      <c r="J49" s="544">
        <v>0</v>
      </c>
      <c r="K49" s="544">
        <v>0</v>
      </c>
      <c r="L49" s="544">
        <v>0</v>
      </c>
      <c r="M49" s="544">
        <v>0</v>
      </c>
      <c r="N49" s="544">
        <v>0</v>
      </c>
      <c r="O49" s="543">
        <f t="shared" si="30"/>
        <v>0</v>
      </c>
      <c r="P49" s="544">
        <v>0</v>
      </c>
      <c r="Q49" s="544">
        <v>0</v>
      </c>
      <c r="R49" s="544">
        <v>0</v>
      </c>
      <c r="S49" s="544">
        <v>0</v>
      </c>
      <c r="T49" s="544">
        <v>0</v>
      </c>
      <c r="U49" s="544">
        <v>0</v>
      </c>
      <c r="V49" s="544">
        <v>0</v>
      </c>
      <c r="W49" s="544">
        <v>0</v>
      </c>
      <c r="X49" s="544">
        <v>0</v>
      </c>
      <c r="Y49" s="544">
        <v>0</v>
      </c>
      <c r="AB49" s="260"/>
    </row>
    <row r="50" spans="1:28" s="606" customFormat="1" ht="15.75" customHeight="1">
      <c r="A50" s="604">
        <f>A49+10</f>
        <v>370</v>
      </c>
      <c r="B50" s="604" t="s">
        <v>235</v>
      </c>
      <c r="C50" s="605">
        <f t="shared" si="29"/>
        <v>999195681</v>
      </c>
      <c r="D50" s="605">
        <f>SUM(D45:D49)</f>
        <v>406603930</v>
      </c>
      <c r="E50" s="605">
        <f>SUM(E45:E49)</f>
        <v>592591751</v>
      </c>
      <c r="F50" s="605">
        <f t="shared" si="31"/>
        <v>34206097</v>
      </c>
      <c r="G50" s="605">
        <f t="shared" ref="G50:I50" si="32">SUM(G45:G49)</f>
        <v>2088445</v>
      </c>
      <c r="H50" s="605">
        <f t="shared" si="32"/>
        <v>18276680</v>
      </c>
      <c r="I50" s="605">
        <f t="shared" si="32"/>
        <v>13840972</v>
      </c>
      <c r="J50" s="605">
        <f t="shared" ref="J50:Y50" si="33">SUM(J45:J49)</f>
        <v>19513</v>
      </c>
      <c r="K50" s="605">
        <f t="shared" si="33"/>
        <v>0</v>
      </c>
      <c r="L50" s="605">
        <f t="shared" si="33"/>
        <v>0</v>
      </c>
      <c r="M50" s="605">
        <f t="shared" si="33"/>
        <v>40504758</v>
      </c>
      <c r="N50" s="605">
        <f t="shared" si="33"/>
        <v>0</v>
      </c>
      <c r="O50" s="605">
        <f t="shared" si="33"/>
        <v>537714865</v>
      </c>
      <c r="P50" s="605">
        <f t="shared" si="33"/>
        <v>2175000</v>
      </c>
      <c r="Q50" s="605">
        <f t="shared" si="33"/>
        <v>535539865</v>
      </c>
      <c r="R50" s="605">
        <f t="shared" si="33"/>
        <v>264828</v>
      </c>
      <c r="S50" s="605">
        <f t="shared" si="33"/>
        <v>0</v>
      </c>
      <c r="T50" s="605">
        <f t="shared" si="33"/>
        <v>0</v>
      </c>
      <c r="U50" s="605">
        <f t="shared" si="33"/>
        <v>0</v>
      </c>
      <c r="V50" s="605">
        <f t="shared" si="33"/>
        <v>34070109</v>
      </c>
      <c r="W50" s="605">
        <f t="shared" si="33"/>
        <v>386613691</v>
      </c>
      <c r="X50" s="605">
        <f t="shared" si="33"/>
        <v>0</v>
      </c>
      <c r="Y50" s="605">
        <f t="shared" si="33"/>
        <v>7917</v>
      </c>
      <c r="AA50" s="607"/>
      <c r="AB50" s="608"/>
    </row>
    <row r="51" spans="1:28" s="255" customFormat="1" ht="15.75" customHeight="1">
      <c r="A51" s="546"/>
      <c r="B51" s="539" t="s">
        <v>477</v>
      </c>
      <c r="C51" s="547"/>
      <c r="D51" s="547"/>
      <c r="E51" s="547"/>
      <c r="F51" s="547"/>
      <c r="G51" s="548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AB51" s="260"/>
    </row>
    <row r="52" spans="1:28" s="255" customFormat="1" ht="15.75" customHeight="1">
      <c r="A52" s="541">
        <v>380</v>
      </c>
      <c r="B52" s="542" t="s">
        <v>672</v>
      </c>
      <c r="C52" s="543">
        <f t="shared" ref="C52:C57" si="34">SUM(J52:Y52)-L52-P52-Q52</f>
        <v>4723131</v>
      </c>
      <c r="D52" s="544">
        <v>4723131</v>
      </c>
      <c r="E52" s="544">
        <v>0</v>
      </c>
      <c r="F52" s="543">
        <f t="shared" ref="F52" si="35">+G52+H52+I52</f>
        <v>0</v>
      </c>
      <c r="G52" s="544">
        <v>0</v>
      </c>
      <c r="H52" s="544">
        <v>0</v>
      </c>
      <c r="I52" s="544">
        <v>0</v>
      </c>
      <c r="J52" s="544">
        <v>0</v>
      </c>
      <c r="K52" s="544">
        <v>0</v>
      </c>
      <c r="L52" s="544">
        <v>0</v>
      </c>
      <c r="M52" s="544">
        <v>0</v>
      </c>
      <c r="N52" s="544">
        <v>0</v>
      </c>
      <c r="O52" s="543">
        <f t="shared" ref="O52:O57" si="36">+P52+Q52</f>
        <v>0</v>
      </c>
      <c r="P52" s="544">
        <v>0</v>
      </c>
      <c r="Q52" s="544">
        <v>0</v>
      </c>
      <c r="R52" s="544">
        <v>0</v>
      </c>
      <c r="S52" s="544">
        <v>0</v>
      </c>
      <c r="T52" s="544">
        <v>0</v>
      </c>
      <c r="U52" s="544">
        <v>0</v>
      </c>
      <c r="V52" s="544">
        <v>862808</v>
      </c>
      <c r="W52" s="544">
        <v>91256</v>
      </c>
      <c r="X52" s="544">
        <v>0</v>
      </c>
      <c r="Y52" s="544">
        <v>3769067</v>
      </c>
      <c r="AB52" s="260"/>
    </row>
    <row r="53" spans="1:28" s="255" customFormat="1" ht="15.75" customHeight="1">
      <c r="A53" s="545">
        <f t="shared" si="2"/>
        <v>390</v>
      </c>
      <c r="B53" s="542" t="s">
        <v>403</v>
      </c>
      <c r="C53" s="543">
        <f t="shared" si="34"/>
        <v>0</v>
      </c>
      <c r="D53" s="544">
        <v>0</v>
      </c>
      <c r="E53" s="544">
        <v>0</v>
      </c>
      <c r="F53" s="543">
        <f>+G53+H53+I53</f>
        <v>0</v>
      </c>
      <c r="G53" s="544">
        <v>0</v>
      </c>
      <c r="H53" s="544">
        <v>0</v>
      </c>
      <c r="I53" s="544">
        <v>0</v>
      </c>
      <c r="J53" s="544">
        <v>0</v>
      </c>
      <c r="K53" s="544">
        <v>0</v>
      </c>
      <c r="L53" s="544">
        <v>0</v>
      </c>
      <c r="M53" s="544">
        <v>0</v>
      </c>
      <c r="N53" s="544">
        <v>0</v>
      </c>
      <c r="O53" s="543">
        <f t="shared" si="36"/>
        <v>0</v>
      </c>
      <c r="P53" s="544">
        <v>0</v>
      </c>
      <c r="Q53" s="544">
        <v>0</v>
      </c>
      <c r="R53" s="544">
        <v>0</v>
      </c>
      <c r="S53" s="544">
        <v>0</v>
      </c>
      <c r="T53" s="544">
        <v>0</v>
      </c>
      <c r="U53" s="544">
        <v>0</v>
      </c>
      <c r="V53" s="544">
        <v>0</v>
      </c>
      <c r="W53" s="544">
        <v>0</v>
      </c>
      <c r="X53" s="544">
        <v>0</v>
      </c>
      <c r="Y53" s="544">
        <v>0</v>
      </c>
      <c r="AB53" s="260"/>
    </row>
    <row r="54" spans="1:28" s="255" customFormat="1" ht="15.75" customHeight="1">
      <c r="A54" s="545">
        <f t="shared" si="2"/>
        <v>400</v>
      </c>
      <c r="B54" s="542" t="s">
        <v>404</v>
      </c>
      <c r="C54" s="543">
        <f t="shared" si="34"/>
        <v>302032</v>
      </c>
      <c r="D54" s="544">
        <v>302032</v>
      </c>
      <c r="E54" s="544">
        <v>0</v>
      </c>
      <c r="F54" s="543">
        <f t="shared" ref="F54:F58" si="37">+G54+H54+I54</f>
        <v>0</v>
      </c>
      <c r="G54" s="544">
        <v>0</v>
      </c>
      <c r="H54" s="544">
        <v>0</v>
      </c>
      <c r="I54" s="544">
        <v>0</v>
      </c>
      <c r="J54" s="544">
        <v>0</v>
      </c>
      <c r="K54" s="544">
        <v>0</v>
      </c>
      <c r="L54" s="544">
        <v>0</v>
      </c>
      <c r="M54" s="544">
        <v>0</v>
      </c>
      <c r="N54" s="544">
        <v>0</v>
      </c>
      <c r="O54" s="543">
        <f t="shared" si="36"/>
        <v>0</v>
      </c>
      <c r="P54" s="544">
        <v>0</v>
      </c>
      <c r="Q54" s="544">
        <v>0</v>
      </c>
      <c r="R54" s="544">
        <v>0</v>
      </c>
      <c r="S54" s="544">
        <v>0</v>
      </c>
      <c r="T54" s="544">
        <v>0</v>
      </c>
      <c r="U54" s="544">
        <v>0</v>
      </c>
      <c r="V54" s="544">
        <v>302032</v>
      </c>
      <c r="W54" s="544">
        <v>0</v>
      </c>
      <c r="X54" s="544">
        <v>0</v>
      </c>
      <c r="Y54" s="544">
        <v>0</v>
      </c>
      <c r="AB54" s="260"/>
    </row>
    <row r="55" spans="1:28" s="255" customFormat="1" ht="15.75" customHeight="1">
      <c r="A55" s="545">
        <f t="shared" si="2"/>
        <v>410</v>
      </c>
      <c r="B55" s="542" t="s">
        <v>400</v>
      </c>
      <c r="C55" s="543">
        <f t="shared" si="34"/>
        <v>0</v>
      </c>
      <c r="D55" s="544">
        <v>0</v>
      </c>
      <c r="E55" s="544">
        <v>0</v>
      </c>
      <c r="F55" s="543">
        <f t="shared" si="37"/>
        <v>0</v>
      </c>
      <c r="G55" s="544">
        <v>0</v>
      </c>
      <c r="H55" s="544">
        <v>0</v>
      </c>
      <c r="I55" s="544">
        <v>0</v>
      </c>
      <c r="J55" s="544">
        <v>0</v>
      </c>
      <c r="K55" s="544">
        <v>0</v>
      </c>
      <c r="L55" s="544">
        <v>0</v>
      </c>
      <c r="M55" s="544">
        <v>0</v>
      </c>
      <c r="N55" s="544">
        <v>0</v>
      </c>
      <c r="O55" s="543">
        <f t="shared" si="36"/>
        <v>0</v>
      </c>
      <c r="P55" s="544">
        <v>0</v>
      </c>
      <c r="Q55" s="544">
        <v>0</v>
      </c>
      <c r="R55" s="544">
        <v>0</v>
      </c>
      <c r="S55" s="544">
        <v>0</v>
      </c>
      <c r="T55" s="544">
        <v>0</v>
      </c>
      <c r="U55" s="544">
        <v>0</v>
      </c>
      <c r="V55" s="544">
        <v>0</v>
      </c>
      <c r="W55" s="544">
        <v>0</v>
      </c>
      <c r="X55" s="544">
        <v>0</v>
      </c>
      <c r="Y55" s="544">
        <v>0</v>
      </c>
      <c r="AB55" s="260"/>
    </row>
    <row r="56" spans="1:28" s="255" customFormat="1" ht="15.75" customHeight="1">
      <c r="A56" s="545">
        <v>485</v>
      </c>
      <c r="B56" s="542" t="s">
        <v>675</v>
      </c>
      <c r="C56" s="543">
        <f t="shared" ref="C56" si="38">SUM(J56:Y56)-L56-P56-Q56</f>
        <v>99777910</v>
      </c>
      <c r="D56" s="544">
        <v>99777910</v>
      </c>
      <c r="E56" s="544">
        <v>0</v>
      </c>
      <c r="F56" s="543">
        <f t="shared" si="37"/>
        <v>0</v>
      </c>
      <c r="G56" s="544">
        <v>0</v>
      </c>
      <c r="H56" s="544">
        <v>0</v>
      </c>
      <c r="I56" s="544">
        <v>0</v>
      </c>
      <c r="J56" s="544">
        <v>0</v>
      </c>
      <c r="K56" s="544">
        <v>0</v>
      </c>
      <c r="L56" s="544">
        <v>0</v>
      </c>
      <c r="M56" s="544">
        <v>0</v>
      </c>
      <c r="N56" s="544">
        <v>0</v>
      </c>
      <c r="O56" s="543">
        <f t="shared" si="36"/>
        <v>0</v>
      </c>
      <c r="P56" s="544">
        <v>0</v>
      </c>
      <c r="Q56" s="544">
        <v>0</v>
      </c>
      <c r="R56" s="544">
        <v>0</v>
      </c>
      <c r="S56" s="544">
        <v>0</v>
      </c>
      <c r="T56" s="544">
        <v>0</v>
      </c>
      <c r="U56" s="544">
        <v>0</v>
      </c>
      <c r="V56" s="544">
        <v>29731745</v>
      </c>
      <c r="W56" s="544">
        <v>5227345</v>
      </c>
      <c r="X56" s="544">
        <v>0</v>
      </c>
      <c r="Y56" s="544">
        <v>64818820</v>
      </c>
      <c r="AB56" s="260"/>
    </row>
    <row r="57" spans="1:28" s="255" customFormat="1" ht="15.75" customHeight="1">
      <c r="A57" s="545">
        <f>A55+10</f>
        <v>420</v>
      </c>
      <c r="B57" s="542" t="s">
        <v>677</v>
      </c>
      <c r="C57" s="543">
        <f t="shared" si="34"/>
        <v>0</v>
      </c>
      <c r="D57" s="544">
        <v>0</v>
      </c>
      <c r="E57" s="544">
        <v>0</v>
      </c>
      <c r="F57" s="543">
        <f t="shared" si="37"/>
        <v>0</v>
      </c>
      <c r="G57" s="544">
        <v>0</v>
      </c>
      <c r="H57" s="544">
        <v>0</v>
      </c>
      <c r="I57" s="544">
        <v>0</v>
      </c>
      <c r="J57" s="544">
        <v>0</v>
      </c>
      <c r="K57" s="544">
        <v>0</v>
      </c>
      <c r="L57" s="544">
        <v>0</v>
      </c>
      <c r="M57" s="544">
        <v>0</v>
      </c>
      <c r="N57" s="544">
        <v>0</v>
      </c>
      <c r="O57" s="543">
        <f t="shared" si="36"/>
        <v>0</v>
      </c>
      <c r="P57" s="544">
        <v>0</v>
      </c>
      <c r="Q57" s="544">
        <v>0</v>
      </c>
      <c r="R57" s="544">
        <v>0</v>
      </c>
      <c r="S57" s="544">
        <v>0</v>
      </c>
      <c r="T57" s="544">
        <v>0</v>
      </c>
      <c r="U57" s="544">
        <v>0</v>
      </c>
      <c r="V57" s="544">
        <v>0</v>
      </c>
      <c r="W57" s="544">
        <v>0</v>
      </c>
      <c r="X57" s="544">
        <v>0</v>
      </c>
      <c r="Y57" s="544">
        <v>0</v>
      </c>
      <c r="AB57" s="260"/>
    </row>
    <row r="58" spans="1:28" s="606" customFormat="1" ht="15.75" customHeight="1">
      <c r="A58" s="604">
        <f>A57+10</f>
        <v>430</v>
      </c>
      <c r="B58" s="604" t="s">
        <v>235</v>
      </c>
      <c r="C58" s="605">
        <f t="shared" ref="C58:C71" si="39">SUM(J58:Y58)-L58-P58-Q58</f>
        <v>104803073</v>
      </c>
      <c r="D58" s="605">
        <f>SUM(D52:D57)</f>
        <v>104803073</v>
      </c>
      <c r="E58" s="605">
        <f>SUM(E52:E57)</f>
        <v>0</v>
      </c>
      <c r="F58" s="605">
        <f t="shared" si="37"/>
        <v>0</v>
      </c>
      <c r="G58" s="605">
        <f t="shared" ref="G58:I58" si="40">SUM(G53:G57)</f>
        <v>0</v>
      </c>
      <c r="H58" s="605">
        <f t="shared" si="40"/>
        <v>0</v>
      </c>
      <c r="I58" s="605">
        <f t="shared" si="40"/>
        <v>0</v>
      </c>
      <c r="J58" s="605">
        <f t="shared" ref="J58:Y58" si="41">SUM(J52:J57)</f>
        <v>0</v>
      </c>
      <c r="K58" s="605">
        <f t="shared" si="41"/>
        <v>0</v>
      </c>
      <c r="L58" s="605">
        <f t="shared" si="41"/>
        <v>0</v>
      </c>
      <c r="M58" s="605">
        <f t="shared" si="41"/>
        <v>0</v>
      </c>
      <c r="N58" s="605">
        <f t="shared" si="41"/>
        <v>0</v>
      </c>
      <c r="O58" s="605">
        <f t="shared" si="41"/>
        <v>0</v>
      </c>
      <c r="P58" s="605">
        <f t="shared" si="41"/>
        <v>0</v>
      </c>
      <c r="Q58" s="605">
        <f t="shared" si="41"/>
        <v>0</v>
      </c>
      <c r="R58" s="605">
        <f t="shared" si="41"/>
        <v>0</v>
      </c>
      <c r="S58" s="605">
        <f t="shared" si="41"/>
        <v>0</v>
      </c>
      <c r="T58" s="605">
        <f t="shared" si="41"/>
        <v>0</v>
      </c>
      <c r="U58" s="605">
        <f t="shared" si="41"/>
        <v>0</v>
      </c>
      <c r="V58" s="605">
        <f t="shared" si="41"/>
        <v>30896585</v>
      </c>
      <c r="W58" s="605">
        <f t="shared" si="41"/>
        <v>5318601</v>
      </c>
      <c r="X58" s="605">
        <f t="shared" si="41"/>
        <v>0</v>
      </c>
      <c r="Y58" s="605">
        <f t="shared" si="41"/>
        <v>68587887</v>
      </c>
      <c r="AA58" s="607"/>
      <c r="AB58" s="608"/>
    </row>
    <row r="59" spans="1:28" s="255" customFormat="1" ht="15.75" customHeight="1">
      <c r="A59" s="546"/>
      <c r="B59" s="539" t="s">
        <v>478</v>
      </c>
      <c r="C59" s="547"/>
      <c r="D59" s="550"/>
      <c r="E59" s="550"/>
      <c r="F59" s="547"/>
      <c r="G59" s="551"/>
      <c r="H59" s="550"/>
      <c r="I59" s="550"/>
      <c r="J59" s="550"/>
      <c r="K59" s="550"/>
      <c r="L59" s="550"/>
      <c r="M59" s="550"/>
      <c r="N59" s="550"/>
      <c r="O59" s="547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AB59" s="260"/>
    </row>
    <row r="60" spans="1:28" s="255" customFormat="1" ht="15.75" customHeight="1">
      <c r="A60" s="541">
        <v>440</v>
      </c>
      <c r="B60" s="542" t="s">
        <v>672</v>
      </c>
      <c r="C60" s="543">
        <f t="shared" si="39"/>
        <v>0</v>
      </c>
      <c r="D60" s="544">
        <v>0</v>
      </c>
      <c r="E60" s="544">
        <v>0</v>
      </c>
      <c r="F60" s="543">
        <f t="shared" ref="F60:F65" si="42">+G60+H60+I60</f>
        <v>0</v>
      </c>
      <c r="G60" s="544">
        <v>0</v>
      </c>
      <c r="H60" s="544">
        <v>0</v>
      </c>
      <c r="I60" s="544">
        <v>0</v>
      </c>
      <c r="J60" s="544">
        <v>0</v>
      </c>
      <c r="K60" s="544">
        <v>0</v>
      </c>
      <c r="L60" s="544">
        <v>0</v>
      </c>
      <c r="M60" s="544">
        <v>0</v>
      </c>
      <c r="N60" s="544">
        <v>0</v>
      </c>
      <c r="O60" s="543">
        <f t="shared" ref="O60:O71" si="43">+P60+Q60</f>
        <v>0</v>
      </c>
      <c r="P60" s="544">
        <v>0</v>
      </c>
      <c r="Q60" s="544">
        <v>0</v>
      </c>
      <c r="R60" s="544">
        <v>0</v>
      </c>
      <c r="S60" s="544">
        <v>0</v>
      </c>
      <c r="T60" s="544">
        <v>0</v>
      </c>
      <c r="U60" s="544">
        <v>0</v>
      </c>
      <c r="V60" s="544">
        <v>0</v>
      </c>
      <c r="W60" s="544">
        <v>0</v>
      </c>
      <c r="X60" s="544">
        <v>0</v>
      </c>
      <c r="Y60" s="544">
        <v>0</v>
      </c>
      <c r="AB60" s="260"/>
    </row>
    <row r="61" spans="1:28" s="255" customFormat="1" ht="15.75" customHeight="1">
      <c r="A61" s="545">
        <f t="shared" si="2"/>
        <v>450</v>
      </c>
      <c r="B61" s="542" t="s">
        <v>403</v>
      </c>
      <c r="C61" s="543">
        <f t="shared" si="39"/>
        <v>13596733</v>
      </c>
      <c r="D61" s="544">
        <v>13596733</v>
      </c>
      <c r="E61" s="544">
        <v>0</v>
      </c>
      <c r="F61" s="543">
        <f t="shared" si="42"/>
        <v>1324466</v>
      </c>
      <c r="G61" s="544">
        <v>173086</v>
      </c>
      <c r="H61" s="544">
        <v>1126380</v>
      </c>
      <c r="I61" s="544">
        <v>25000</v>
      </c>
      <c r="J61" s="544">
        <v>0</v>
      </c>
      <c r="K61" s="544">
        <v>0</v>
      </c>
      <c r="L61" s="544">
        <v>0</v>
      </c>
      <c r="M61" s="544">
        <v>1304042</v>
      </c>
      <c r="N61" s="544">
        <v>0</v>
      </c>
      <c r="O61" s="543">
        <f t="shared" si="43"/>
        <v>9023456</v>
      </c>
      <c r="P61" s="544">
        <v>0</v>
      </c>
      <c r="Q61" s="544">
        <v>9023456</v>
      </c>
      <c r="R61" s="544">
        <v>0</v>
      </c>
      <c r="S61" s="544">
        <v>0</v>
      </c>
      <c r="T61" s="544">
        <v>0</v>
      </c>
      <c r="U61" s="544">
        <v>0</v>
      </c>
      <c r="V61" s="544">
        <v>2150929</v>
      </c>
      <c r="W61" s="544">
        <v>851639</v>
      </c>
      <c r="X61" s="544">
        <v>220000</v>
      </c>
      <c r="Y61" s="544">
        <v>46667</v>
      </c>
      <c r="AB61" s="260"/>
    </row>
    <row r="62" spans="1:28" s="255" customFormat="1" ht="15.75" customHeight="1">
      <c r="A62" s="545">
        <f t="shared" si="2"/>
        <v>460</v>
      </c>
      <c r="B62" s="542" t="s">
        <v>404</v>
      </c>
      <c r="C62" s="543">
        <f t="shared" si="39"/>
        <v>234309625</v>
      </c>
      <c r="D62" s="544">
        <v>234309625</v>
      </c>
      <c r="E62" s="544">
        <v>0</v>
      </c>
      <c r="F62" s="543">
        <f t="shared" si="42"/>
        <v>21202021</v>
      </c>
      <c r="G62" s="544">
        <v>2003407</v>
      </c>
      <c r="H62" s="544">
        <v>14260482</v>
      </c>
      <c r="I62" s="544">
        <v>4938132</v>
      </c>
      <c r="J62" s="544">
        <v>52184</v>
      </c>
      <c r="K62" s="544">
        <v>0</v>
      </c>
      <c r="L62" s="544">
        <v>0</v>
      </c>
      <c r="M62" s="544">
        <v>29091913</v>
      </c>
      <c r="N62" s="544">
        <v>0</v>
      </c>
      <c r="O62" s="543">
        <f t="shared" si="43"/>
        <v>163181889</v>
      </c>
      <c r="P62" s="544">
        <v>0</v>
      </c>
      <c r="Q62" s="544">
        <v>163181889</v>
      </c>
      <c r="R62" s="544">
        <v>401091</v>
      </c>
      <c r="S62" s="544">
        <v>0</v>
      </c>
      <c r="T62" s="544">
        <v>0</v>
      </c>
      <c r="U62" s="544">
        <v>0</v>
      </c>
      <c r="V62" s="544">
        <v>33274911</v>
      </c>
      <c r="W62" s="544">
        <v>7849355</v>
      </c>
      <c r="X62" s="544">
        <v>130469</v>
      </c>
      <c r="Y62" s="544">
        <v>327813</v>
      </c>
      <c r="AB62" s="260"/>
    </row>
    <row r="63" spans="1:28" s="255" customFormat="1" ht="15.75" customHeight="1">
      <c r="A63" s="545">
        <f t="shared" si="2"/>
        <v>470</v>
      </c>
      <c r="B63" s="542" t="s">
        <v>669</v>
      </c>
      <c r="C63" s="543">
        <f t="shared" si="39"/>
        <v>0</v>
      </c>
      <c r="D63" s="544">
        <v>0</v>
      </c>
      <c r="E63" s="544">
        <v>0</v>
      </c>
      <c r="F63" s="543">
        <f t="shared" si="42"/>
        <v>0</v>
      </c>
      <c r="G63" s="544">
        <v>0</v>
      </c>
      <c r="H63" s="544">
        <v>0</v>
      </c>
      <c r="I63" s="544">
        <v>0</v>
      </c>
      <c r="J63" s="544">
        <v>0</v>
      </c>
      <c r="K63" s="544">
        <v>0</v>
      </c>
      <c r="L63" s="544">
        <v>0</v>
      </c>
      <c r="M63" s="544">
        <v>0</v>
      </c>
      <c r="N63" s="544">
        <v>0</v>
      </c>
      <c r="O63" s="543">
        <f t="shared" si="43"/>
        <v>0</v>
      </c>
      <c r="P63" s="544">
        <v>0</v>
      </c>
      <c r="Q63" s="544">
        <v>0</v>
      </c>
      <c r="R63" s="544">
        <v>0</v>
      </c>
      <c r="S63" s="544">
        <v>0</v>
      </c>
      <c r="T63" s="544">
        <v>0</v>
      </c>
      <c r="U63" s="544">
        <v>0</v>
      </c>
      <c r="V63" s="544">
        <v>0</v>
      </c>
      <c r="W63" s="544">
        <v>0</v>
      </c>
      <c r="X63" s="544">
        <v>0</v>
      </c>
      <c r="Y63" s="544">
        <v>0</v>
      </c>
      <c r="AB63" s="260"/>
    </row>
    <row r="64" spans="1:28" s="255" customFormat="1" ht="15.75" customHeight="1">
      <c r="A64" s="545">
        <f t="shared" si="2"/>
        <v>480</v>
      </c>
      <c r="B64" s="542" t="s">
        <v>671</v>
      </c>
      <c r="C64" s="543">
        <f t="shared" si="39"/>
        <v>0</v>
      </c>
      <c r="D64" s="544">
        <v>0</v>
      </c>
      <c r="E64" s="544">
        <v>0</v>
      </c>
      <c r="F64" s="543">
        <f t="shared" si="42"/>
        <v>0</v>
      </c>
      <c r="G64" s="544">
        <v>0</v>
      </c>
      <c r="H64" s="544">
        <v>0</v>
      </c>
      <c r="I64" s="544">
        <v>0</v>
      </c>
      <c r="J64" s="544">
        <v>0</v>
      </c>
      <c r="K64" s="544">
        <v>0</v>
      </c>
      <c r="L64" s="544">
        <v>0</v>
      </c>
      <c r="M64" s="544">
        <v>0</v>
      </c>
      <c r="N64" s="544">
        <v>0</v>
      </c>
      <c r="O64" s="543">
        <f t="shared" si="43"/>
        <v>0</v>
      </c>
      <c r="P64" s="544">
        <v>0</v>
      </c>
      <c r="Q64" s="544">
        <v>0</v>
      </c>
      <c r="R64" s="544">
        <v>0</v>
      </c>
      <c r="S64" s="544">
        <v>0</v>
      </c>
      <c r="T64" s="544">
        <v>0</v>
      </c>
      <c r="U64" s="544">
        <v>0</v>
      </c>
      <c r="V64" s="544">
        <v>0</v>
      </c>
      <c r="W64" s="544">
        <v>0</v>
      </c>
      <c r="X64" s="544">
        <v>0</v>
      </c>
      <c r="Y64" s="544">
        <v>0</v>
      </c>
      <c r="AB64" s="260"/>
    </row>
    <row r="65" spans="1:28" s="255" customFormat="1" ht="15.75" customHeight="1">
      <c r="A65" s="545">
        <f t="shared" si="2"/>
        <v>490</v>
      </c>
      <c r="B65" s="542" t="s">
        <v>400</v>
      </c>
      <c r="C65" s="543">
        <f t="shared" si="39"/>
        <v>0</v>
      </c>
      <c r="D65" s="544">
        <v>0</v>
      </c>
      <c r="E65" s="544">
        <v>0</v>
      </c>
      <c r="F65" s="543">
        <f t="shared" si="42"/>
        <v>0</v>
      </c>
      <c r="G65" s="544">
        <v>0</v>
      </c>
      <c r="H65" s="544">
        <v>0</v>
      </c>
      <c r="I65" s="544">
        <v>0</v>
      </c>
      <c r="J65" s="544">
        <v>0</v>
      </c>
      <c r="K65" s="544">
        <v>0</v>
      </c>
      <c r="L65" s="544">
        <v>0</v>
      </c>
      <c r="M65" s="544">
        <v>0</v>
      </c>
      <c r="N65" s="544">
        <v>0</v>
      </c>
      <c r="O65" s="543">
        <f t="shared" si="43"/>
        <v>0</v>
      </c>
      <c r="P65" s="544">
        <v>0</v>
      </c>
      <c r="Q65" s="544">
        <v>0</v>
      </c>
      <c r="R65" s="544">
        <v>0</v>
      </c>
      <c r="S65" s="544">
        <v>0</v>
      </c>
      <c r="T65" s="544">
        <v>0</v>
      </c>
      <c r="U65" s="544">
        <v>0</v>
      </c>
      <c r="V65" s="544">
        <v>0</v>
      </c>
      <c r="W65" s="544">
        <v>0</v>
      </c>
      <c r="X65" s="544">
        <v>0</v>
      </c>
      <c r="Y65" s="544">
        <v>0</v>
      </c>
      <c r="AB65" s="260"/>
    </row>
    <row r="66" spans="1:28" s="255" customFormat="1" ht="15.75" customHeight="1">
      <c r="A66" s="545">
        <f t="shared" si="2"/>
        <v>500</v>
      </c>
      <c r="B66" s="542" t="s">
        <v>719</v>
      </c>
      <c r="C66" s="543">
        <f t="shared" si="39"/>
        <v>0</v>
      </c>
      <c r="D66" s="544">
        <v>0</v>
      </c>
      <c r="E66" s="544">
        <v>0</v>
      </c>
      <c r="F66" s="543">
        <f t="shared" ref="F66:F71" si="44">+G66+H66+I66</f>
        <v>0</v>
      </c>
      <c r="G66" s="544">
        <v>0</v>
      </c>
      <c r="H66" s="544">
        <v>0</v>
      </c>
      <c r="I66" s="544">
        <v>0</v>
      </c>
      <c r="J66" s="544">
        <v>0</v>
      </c>
      <c r="K66" s="544">
        <v>0</v>
      </c>
      <c r="L66" s="544">
        <v>0</v>
      </c>
      <c r="M66" s="544">
        <v>0</v>
      </c>
      <c r="N66" s="544">
        <v>0</v>
      </c>
      <c r="O66" s="543">
        <f t="shared" si="43"/>
        <v>0</v>
      </c>
      <c r="P66" s="544">
        <v>0</v>
      </c>
      <c r="Q66" s="544">
        <v>0</v>
      </c>
      <c r="R66" s="544">
        <v>0</v>
      </c>
      <c r="S66" s="544">
        <v>0</v>
      </c>
      <c r="T66" s="544">
        <v>0</v>
      </c>
      <c r="U66" s="544">
        <v>0</v>
      </c>
      <c r="V66" s="544">
        <v>0</v>
      </c>
      <c r="W66" s="544">
        <v>0</v>
      </c>
      <c r="X66" s="544">
        <v>0</v>
      </c>
      <c r="Y66" s="544">
        <v>0</v>
      </c>
      <c r="AB66" s="260"/>
    </row>
    <row r="67" spans="1:28" s="255" customFormat="1" ht="15.75" customHeight="1">
      <c r="A67" s="545">
        <f t="shared" ref="A67:A85" si="45">A66+10</f>
        <v>510</v>
      </c>
      <c r="B67" s="542" t="s">
        <v>675</v>
      </c>
      <c r="C67" s="543">
        <f t="shared" si="39"/>
        <v>99487776</v>
      </c>
      <c r="D67" s="544">
        <v>98701994</v>
      </c>
      <c r="E67" s="544">
        <v>785782</v>
      </c>
      <c r="F67" s="543">
        <f t="shared" si="44"/>
        <v>138981</v>
      </c>
      <c r="G67" s="544">
        <v>105981</v>
      </c>
      <c r="H67" s="544">
        <v>33000</v>
      </c>
      <c r="I67" s="544">
        <v>0</v>
      </c>
      <c r="J67" s="544">
        <v>150052</v>
      </c>
      <c r="K67" s="544">
        <v>0</v>
      </c>
      <c r="L67" s="544">
        <v>0</v>
      </c>
      <c r="M67" s="544">
        <v>17536134</v>
      </c>
      <c r="N67" s="544">
        <v>0</v>
      </c>
      <c r="O67" s="543">
        <f t="shared" si="43"/>
        <v>67540291</v>
      </c>
      <c r="P67" s="544">
        <v>31125870</v>
      </c>
      <c r="Q67" s="544">
        <v>36414421</v>
      </c>
      <c r="R67" s="544">
        <v>195000</v>
      </c>
      <c r="S67" s="544">
        <v>0</v>
      </c>
      <c r="T67" s="544">
        <v>0</v>
      </c>
      <c r="U67" s="544">
        <v>0</v>
      </c>
      <c r="V67" s="544">
        <v>8160280</v>
      </c>
      <c r="W67" s="544">
        <v>3166452</v>
      </c>
      <c r="X67" s="544">
        <v>2239567</v>
      </c>
      <c r="Y67" s="544">
        <v>500000</v>
      </c>
      <c r="AB67" s="260"/>
    </row>
    <row r="68" spans="1:28" s="255" customFormat="1" ht="15.75" customHeight="1">
      <c r="A68" s="545">
        <f t="shared" si="45"/>
        <v>520</v>
      </c>
      <c r="B68" s="542" t="s">
        <v>676</v>
      </c>
      <c r="C68" s="543">
        <f t="shared" si="39"/>
        <v>0</v>
      </c>
      <c r="D68" s="544">
        <v>0</v>
      </c>
      <c r="E68" s="544">
        <v>0</v>
      </c>
      <c r="F68" s="543">
        <f t="shared" si="44"/>
        <v>0</v>
      </c>
      <c r="G68" s="544">
        <v>0</v>
      </c>
      <c r="H68" s="544">
        <v>0</v>
      </c>
      <c r="I68" s="544">
        <v>0</v>
      </c>
      <c r="J68" s="544">
        <v>0</v>
      </c>
      <c r="K68" s="544">
        <v>0</v>
      </c>
      <c r="L68" s="544">
        <v>0</v>
      </c>
      <c r="M68" s="544">
        <v>0</v>
      </c>
      <c r="N68" s="544">
        <v>0</v>
      </c>
      <c r="O68" s="543">
        <f t="shared" si="43"/>
        <v>0</v>
      </c>
      <c r="P68" s="544">
        <v>0</v>
      </c>
      <c r="Q68" s="544">
        <v>0</v>
      </c>
      <c r="R68" s="544">
        <v>0</v>
      </c>
      <c r="S68" s="544">
        <v>0</v>
      </c>
      <c r="T68" s="544">
        <v>0</v>
      </c>
      <c r="U68" s="544">
        <v>0</v>
      </c>
      <c r="V68" s="544">
        <v>0</v>
      </c>
      <c r="W68" s="544">
        <v>0</v>
      </c>
      <c r="X68" s="544">
        <v>0</v>
      </c>
      <c r="Y68" s="544">
        <v>0</v>
      </c>
      <c r="AB68" s="260"/>
    </row>
    <row r="69" spans="1:28" s="255" customFormat="1" ht="15.75" customHeight="1">
      <c r="A69" s="545">
        <f>A68+10</f>
        <v>530</v>
      </c>
      <c r="B69" s="542" t="s">
        <v>677</v>
      </c>
      <c r="C69" s="543">
        <f t="shared" si="39"/>
        <v>0</v>
      </c>
      <c r="D69" s="544">
        <v>0</v>
      </c>
      <c r="E69" s="544">
        <v>0</v>
      </c>
      <c r="F69" s="543">
        <f t="shared" si="44"/>
        <v>0</v>
      </c>
      <c r="G69" s="544">
        <v>0</v>
      </c>
      <c r="H69" s="544">
        <v>0</v>
      </c>
      <c r="I69" s="544">
        <v>0</v>
      </c>
      <c r="J69" s="544">
        <v>0</v>
      </c>
      <c r="K69" s="544">
        <v>0</v>
      </c>
      <c r="L69" s="544">
        <v>0</v>
      </c>
      <c r="M69" s="544">
        <v>0</v>
      </c>
      <c r="N69" s="544">
        <v>0</v>
      </c>
      <c r="O69" s="543">
        <f t="shared" si="43"/>
        <v>0</v>
      </c>
      <c r="P69" s="544">
        <v>0</v>
      </c>
      <c r="Q69" s="544">
        <v>0</v>
      </c>
      <c r="R69" s="544">
        <v>0</v>
      </c>
      <c r="S69" s="544">
        <v>0</v>
      </c>
      <c r="T69" s="544">
        <v>0</v>
      </c>
      <c r="U69" s="544">
        <v>0</v>
      </c>
      <c r="V69" s="544">
        <v>0</v>
      </c>
      <c r="W69" s="544">
        <v>0</v>
      </c>
      <c r="X69" s="544">
        <v>0</v>
      </c>
      <c r="Y69" s="544">
        <v>0</v>
      </c>
      <c r="AB69" s="260"/>
    </row>
    <row r="70" spans="1:28" s="606" customFormat="1" ht="15.75" customHeight="1">
      <c r="A70" s="604">
        <f>A69+10</f>
        <v>540</v>
      </c>
      <c r="B70" s="604" t="s">
        <v>235</v>
      </c>
      <c r="C70" s="605">
        <f t="shared" si="39"/>
        <v>347394134</v>
      </c>
      <c r="D70" s="605">
        <f>SUM(D60:D69)</f>
        <v>346608352</v>
      </c>
      <c r="E70" s="605">
        <f>SUM(E60:E69)</f>
        <v>785782</v>
      </c>
      <c r="F70" s="605">
        <f t="shared" si="44"/>
        <v>22665468</v>
      </c>
      <c r="G70" s="605">
        <f>SUM(G60:G69)</f>
        <v>2282474</v>
      </c>
      <c r="H70" s="605">
        <f>SUM(H60:H69)</f>
        <v>15419862</v>
      </c>
      <c r="I70" s="605">
        <f>SUM(I60:I69)</f>
        <v>4963132</v>
      </c>
      <c r="J70" s="605">
        <f t="shared" ref="J70:Y70" si="46">SUM(J60:J69)</f>
        <v>202236</v>
      </c>
      <c r="K70" s="605">
        <f t="shared" si="46"/>
        <v>0</v>
      </c>
      <c r="L70" s="605">
        <f t="shared" si="46"/>
        <v>0</v>
      </c>
      <c r="M70" s="605">
        <f t="shared" si="46"/>
        <v>47932089</v>
      </c>
      <c r="N70" s="605">
        <f t="shared" si="46"/>
        <v>0</v>
      </c>
      <c r="O70" s="605">
        <f t="shared" si="46"/>
        <v>239745636</v>
      </c>
      <c r="P70" s="605">
        <f t="shared" si="46"/>
        <v>31125870</v>
      </c>
      <c r="Q70" s="605">
        <f t="shared" si="46"/>
        <v>208619766</v>
      </c>
      <c r="R70" s="605">
        <f t="shared" si="46"/>
        <v>596091</v>
      </c>
      <c r="S70" s="605">
        <f t="shared" si="46"/>
        <v>0</v>
      </c>
      <c r="T70" s="605">
        <f t="shared" si="46"/>
        <v>0</v>
      </c>
      <c r="U70" s="605">
        <f t="shared" si="46"/>
        <v>0</v>
      </c>
      <c r="V70" s="605">
        <f t="shared" si="46"/>
        <v>43586120</v>
      </c>
      <c r="W70" s="605">
        <f t="shared" si="46"/>
        <v>11867446</v>
      </c>
      <c r="X70" s="605">
        <f t="shared" si="46"/>
        <v>2590036</v>
      </c>
      <c r="Y70" s="605">
        <f t="shared" si="46"/>
        <v>874480</v>
      </c>
      <c r="AA70" s="607"/>
      <c r="AB70" s="608"/>
    </row>
    <row r="71" spans="1:28" s="255" customFormat="1" ht="17.25" customHeight="1">
      <c r="A71" s="541">
        <v>550</v>
      </c>
      <c r="B71" s="552" t="s">
        <v>717</v>
      </c>
      <c r="C71" s="543">
        <f t="shared" si="39"/>
        <v>4581385255</v>
      </c>
      <c r="D71" s="544">
        <v>4581385255</v>
      </c>
      <c r="E71" s="544">
        <v>0</v>
      </c>
      <c r="F71" s="543">
        <f t="shared" si="44"/>
        <v>379194181</v>
      </c>
      <c r="G71" s="544">
        <v>82422065</v>
      </c>
      <c r="H71" s="544">
        <v>201882538</v>
      </c>
      <c r="I71" s="544">
        <v>94889578</v>
      </c>
      <c r="J71" s="544">
        <v>1366400</v>
      </c>
      <c r="K71" s="544">
        <v>0</v>
      </c>
      <c r="L71" s="544">
        <v>0</v>
      </c>
      <c r="M71" s="544">
        <v>36509946</v>
      </c>
      <c r="N71" s="544">
        <v>116410</v>
      </c>
      <c r="O71" s="543">
        <f t="shared" si="43"/>
        <v>769151327</v>
      </c>
      <c r="P71" s="544">
        <v>710211615</v>
      </c>
      <c r="Q71" s="544">
        <v>58939712</v>
      </c>
      <c r="R71" s="544">
        <v>0</v>
      </c>
      <c r="S71" s="544">
        <v>0</v>
      </c>
      <c r="T71" s="544">
        <v>0</v>
      </c>
      <c r="U71" s="544">
        <v>0</v>
      </c>
      <c r="V71" s="544">
        <v>656387523</v>
      </c>
      <c r="W71" s="544">
        <v>2981431429</v>
      </c>
      <c r="X71" s="544">
        <v>135895839</v>
      </c>
      <c r="Y71" s="544">
        <v>526381</v>
      </c>
    </row>
    <row r="72" spans="1:28" s="255" customFormat="1" ht="15.75" customHeight="1">
      <c r="A72" s="546"/>
      <c r="B72" s="539" t="s">
        <v>718</v>
      </c>
      <c r="C72" s="547"/>
      <c r="D72" s="547"/>
      <c r="E72" s="547"/>
      <c r="F72" s="547"/>
      <c r="G72" s="548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AB72" s="260"/>
    </row>
    <row r="73" spans="1:28" s="255" customFormat="1" ht="15.75" customHeight="1">
      <c r="A73" s="541">
        <f>A71+10</f>
        <v>560</v>
      </c>
      <c r="B73" s="542" t="s">
        <v>401</v>
      </c>
      <c r="C73" s="543">
        <f t="shared" ref="C73:C85" si="47">SUM(J73:Y73)-L73-P73-Q73</f>
        <v>4581385255</v>
      </c>
      <c r="D73" s="543">
        <f t="shared" ref="D73:Y73" si="48">+D71</f>
        <v>4581385255</v>
      </c>
      <c r="E73" s="543">
        <f t="shared" ref="E73" si="49">+E71</f>
        <v>0</v>
      </c>
      <c r="F73" s="543">
        <f t="shared" si="48"/>
        <v>379194181</v>
      </c>
      <c r="G73" s="543">
        <f t="shared" ref="G73" si="50">+G71</f>
        <v>82422065</v>
      </c>
      <c r="H73" s="543">
        <f t="shared" si="48"/>
        <v>201882538</v>
      </c>
      <c r="I73" s="543">
        <f t="shared" si="48"/>
        <v>94889578</v>
      </c>
      <c r="J73" s="543">
        <f t="shared" si="48"/>
        <v>1366400</v>
      </c>
      <c r="K73" s="543">
        <f t="shared" si="48"/>
        <v>0</v>
      </c>
      <c r="L73" s="543">
        <f t="shared" si="48"/>
        <v>0</v>
      </c>
      <c r="M73" s="543">
        <f t="shared" si="48"/>
        <v>36509946</v>
      </c>
      <c r="N73" s="543">
        <f t="shared" si="48"/>
        <v>116410</v>
      </c>
      <c r="O73" s="543">
        <f t="shared" si="48"/>
        <v>769151327</v>
      </c>
      <c r="P73" s="543">
        <f t="shared" si="48"/>
        <v>710211615</v>
      </c>
      <c r="Q73" s="543">
        <f t="shared" si="48"/>
        <v>58939712</v>
      </c>
      <c r="R73" s="543">
        <f t="shared" si="48"/>
        <v>0</v>
      </c>
      <c r="S73" s="543">
        <f t="shared" si="48"/>
        <v>0</v>
      </c>
      <c r="T73" s="543">
        <f t="shared" si="48"/>
        <v>0</v>
      </c>
      <c r="U73" s="543">
        <f t="shared" si="48"/>
        <v>0</v>
      </c>
      <c r="V73" s="543">
        <f t="shared" si="48"/>
        <v>656387523</v>
      </c>
      <c r="W73" s="543">
        <f t="shared" si="48"/>
        <v>2981431429</v>
      </c>
      <c r="X73" s="543">
        <f t="shared" si="48"/>
        <v>135895839</v>
      </c>
      <c r="Y73" s="543">
        <f t="shared" si="48"/>
        <v>526381</v>
      </c>
      <c r="AB73" s="260"/>
    </row>
    <row r="74" spans="1:28" s="255" customFormat="1" ht="15.75" customHeight="1">
      <c r="A74" s="541">
        <f t="shared" si="45"/>
        <v>570</v>
      </c>
      <c r="B74" s="542" t="s">
        <v>672</v>
      </c>
      <c r="C74" s="543">
        <f t="shared" si="47"/>
        <v>82687816</v>
      </c>
      <c r="D74" s="543">
        <f t="shared" ref="D74:F76" si="51">D9+D16+D24+D31+D38+D45+D52+D60</f>
        <v>82687816</v>
      </c>
      <c r="E74" s="543">
        <f t="shared" si="51"/>
        <v>0</v>
      </c>
      <c r="F74" s="543">
        <f t="shared" si="51"/>
        <v>1065007</v>
      </c>
      <c r="G74" s="543">
        <f t="shared" ref="G74" si="52">G9+G16+G24+G31+G38+G45+G52+G60</f>
        <v>572474</v>
      </c>
      <c r="H74" s="543">
        <f t="shared" ref="H74:Y74" si="53">H9+H16+H24+H31+H38+H45+H52+H60</f>
        <v>331903</v>
      </c>
      <c r="I74" s="543">
        <f t="shared" si="53"/>
        <v>160630</v>
      </c>
      <c r="J74" s="543">
        <f t="shared" si="53"/>
        <v>0</v>
      </c>
      <c r="K74" s="543">
        <f t="shared" si="53"/>
        <v>0</v>
      </c>
      <c r="L74" s="543">
        <f t="shared" si="53"/>
        <v>0</v>
      </c>
      <c r="M74" s="543">
        <f t="shared" si="53"/>
        <v>5315593</v>
      </c>
      <c r="N74" s="543">
        <f t="shared" si="53"/>
        <v>0</v>
      </c>
      <c r="O74" s="543">
        <f t="shared" si="53"/>
        <v>13342381</v>
      </c>
      <c r="P74" s="543">
        <f t="shared" si="53"/>
        <v>0</v>
      </c>
      <c r="Q74" s="543">
        <f t="shared" si="53"/>
        <v>13342381</v>
      </c>
      <c r="R74" s="543">
        <f t="shared" si="53"/>
        <v>7631250</v>
      </c>
      <c r="S74" s="543">
        <f t="shared" si="53"/>
        <v>0</v>
      </c>
      <c r="T74" s="543">
        <f t="shared" si="53"/>
        <v>0</v>
      </c>
      <c r="U74" s="543">
        <f t="shared" si="53"/>
        <v>0</v>
      </c>
      <c r="V74" s="543">
        <f t="shared" si="53"/>
        <v>50019507</v>
      </c>
      <c r="W74" s="543">
        <f t="shared" si="53"/>
        <v>978908</v>
      </c>
      <c r="X74" s="543">
        <f t="shared" si="53"/>
        <v>1631110</v>
      </c>
      <c r="Y74" s="543">
        <f t="shared" si="53"/>
        <v>3769067</v>
      </c>
      <c r="AB74" s="260"/>
    </row>
    <row r="75" spans="1:28" s="255" customFormat="1" ht="15.75" customHeight="1">
      <c r="A75" s="545">
        <f t="shared" si="45"/>
        <v>580</v>
      </c>
      <c r="B75" s="542" t="s">
        <v>403</v>
      </c>
      <c r="C75" s="543">
        <f t="shared" si="47"/>
        <v>1377755770</v>
      </c>
      <c r="D75" s="543">
        <f t="shared" si="51"/>
        <v>850690519</v>
      </c>
      <c r="E75" s="543">
        <f t="shared" si="51"/>
        <v>527065251</v>
      </c>
      <c r="F75" s="543">
        <f t="shared" si="51"/>
        <v>11030285</v>
      </c>
      <c r="G75" s="543">
        <f t="shared" ref="G75" si="54">G10+G17+G25+G32+G39+G46+G53+G61</f>
        <v>1163219</v>
      </c>
      <c r="H75" s="543">
        <f t="shared" ref="H75:Y75" si="55">H10+H17+H25+H32+H39+H46+H53+H61</f>
        <v>6577274</v>
      </c>
      <c r="I75" s="543">
        <f t="shared" si="55"/>
        <v>3289792</v>
      </c>
      <c r="J75" s="543">
        <f t="shared" si="55"/>
        <v>13195</v>
      </c>
      <c r="K75" s="543">
        <f t="shared" si="55"/>
        <v>0</v>
      </c>
      <c r="L75" s="543">
        <f t="shared" si="55"/>
        <v>0</v>
      </c>
      <c r="M75" s="543">
        <f t="shared" si="55"/>
        <v>26402051</v>
      </c>
      <c r="N75" s="543">
        <f t="shared" si="55"/>
        <v>0</v>
      </c>
      <c r="O75" s="543">
        <f t="shared" si="55"/>
        <v>1159611269</v>
      </c>
      <c r="P75" s="543">
        <f t="shared" si="55"/>
        <v>3215000</v>
      </c>
      <c r="Q75" s="543">
        <f t="shared" si="55"/>
        <v>1156396269</v>
      </c>
      <c r="R75" s="543">
        <f t="shared" si="55"/>
        <v>264828</v>
      </c>
      <c r="S75" s="543">
        <f t="shared" si="55"/>
        <v>0</v>
      </c>
      <c r="T75" s="543">
        <f t="shared" si="55"/>
        <v>0</v>
      </c>
      <c r="U75" s="543">
        <f t="shared" si="55"/>
        <v>0</v>
      </c>
      <c r="V75" s="543">
        <f t="shared" si="55"/>
        <v>10109308</v>
      </c>
      <c r="W75" s="543">
        <f t="shared" si="55"/>
        <v>30205112</v>
      </c>
      <c r="X75" s="543">
        <f t="shared" si="55"/>
        <v>220000</v>
      </c>
      <c r="Y75" s="543">
        <f t="shared" si="55"/>
        <v>150930007</v>
      </c>
      <c r="AB75" s="260"/>
    </row>
    <row r="76" spans="1:28" s="255" customFormat="1" ht="15.75" customHeight="1">
      <c r="A76" s="545">
        <f t="shared" si="45"/>
        <v>590</v>
      </c>
      <c r="B76" s="542" t="s">
        <v>404</v>
      </c>
      <c r="C76" s="543">
        <f t="shared" si="47"/>
        <v>6847944103</v>
      </c>
      <c r="D76" s="543">
        <f t="shared" si="51"/>
        <v>3738556654</v>
      </c>
      <c r="E76" s="543">
        <f t="shared" si="51"/>
        <v>3109387449</v>
      </c>
      <c r="F76" s="543">
        <f t="shared" si="51"/>
        <v>233309584</v>
      </c>
      <c r="G76" s="543">
        <f t="shared" ref="G76" si="56">G11+G18+G26+G33+G40+G47+G54+G62</f>
        <v>25792058</v>
      </c>
      <c r="H76" s="543">
        <f t="shared" ref="H76:Y76" si="57">H11+H18+H26+H33+H40+H47+H54+H62</f>
        <v>115831391</v>
      </c>
      <c r="I76" s="543">
        <f t="shared" si="57"/>
        <v>91686135</v>
      </c>
      <c r="J76" s="543">
        <f t="shared" si="57"/>
        <v>1229343</v>
      </c>
      <c r="K76" s="543">
        <f t="shared" si="57"/>
        <v>0</v>
      </c>
      <c r="L76" s="543">
        <f t="shared" si="57"/>
        <v>0</v>
      </c>
      <c r="M76" s="543">
        <f t="shared" si="57"/>
        <v>342672147</v>
      </c>
      <c r="N76" s="543">
        <f t="shared" si="57"/>
        <v>0</v>
      </c>
      <c r="O76" s="543">
        <f t="shared" si="57"/>
        <v>5260377230</v>
      </c>
      <c r="P76" s="543">
        <f t="shared" si="57"/>
        <v>238756457</v>
      </c>
      <c r="Q76" s="543">
        <f t="shared" si="57"/>
        <v>5021620773</v>
      </c>
      <c r="R76" s="543">
        <f t="shared" si="57"/>
        <v>13489613</v>
      </c>
      <c r="S76" s="543">
        <f t="shared" si="57"/>
        <v>0</v>
      </c>
      <c r="T76" s="543">
        <f t="shared" si="57"/>
        <v>0</v>
      </c>
      <c r="U76" s="543">
        <f t="shared" si="57"/>
        <v>0</v>
      </c>
      <c r="V76" s="543">
        <f t="shared" si="57"/>
        <v>211562597</v>
      </c>
      <c r="W76" s="543">
        <f t="shared" si="57"/>
        <v>993747224</v>
      </c>
      <c r="X76" s="543">
        <f t="shared" si="57"/>
        <v>994501</v>
      </c>
      <c r="Y76" s="543">
        <f t="shared" si="57"/>
        <v>23871448</v>
      </c>
      <c r="AB76" s="260"/>
    </row>
    <row r="77" spans="1:28" s="255" customFormat="1" ht="15.75" customHeight="1">
      <c r="A77" s="545">
        <f t="shared" si="45"/>
        <v>600</v>
      </c>
      <c r="B77" s="542" t="s">
        <v>673</v>
      </c>
      <c r="C77" s="543">
        <f t="shared" si="47"/>
        <v>229585211</v>
      </c>
      <c r="D77" s="543">
        <f>D19</f>
        <v>128315969</v>
      </c>
      <c r="E77" s="543">
        <f>E19</f>
        <v>101269242</v>
      </c>
      <c r="F77" s="543">
        <f>F19</f>
        <v>10712460</v>
      </c>
      <c r="G77" s="543">
        <f t="shared" ref="G77" si="58">G19</f>
        <v>761592</v>
      </c>
      <c r="H77" s="543">
        <f t="shared" ref="H77:Y77" si="59">H19</f>
        <v>6869332</v>
      </c>
      <c r="I77" s="543">
        <f t="shared" si="59"/>
        <v>3081536</v>
      </c>
      <c r="J77" s="543">
        <f t="shared" si="59"/>
        <v>0</v>
      </c>
      <c r="K77" s="543">
        <f t="shared" si="59"/>
        <v>0</v>
      </c>
      <c r="L77" s="543">
        <f t="shared" si="59"/>
        <v>0</v>
      </c>
      <c r="M77" s="543">
        <f t="shared" si="59"/>
        <v>8396232</v>
      </c>
      <c r="N77" s="543">
        <f t="shared" si="59"/>
        <v>0</v>
      </c>
      <c r="O77" s="543">
        <f t="shared" si="59"/>
        <v>199166678</v>
      </c>
      <c r="P77" s="543">
        <f t="shared" si="59"/>
        <v>0</v>
      </c>
      <c r="Q77" s="543">
        <f t="shared" si="59"/>
        <v>199166678</v>
      </c>
      <c r="R77" s="543">
        <f t="shared" si="59"/>
        <v>672474</v>
      </c>
      <c r="S77" s="543">
        <f t="shared" si="59"/>
        <v>0</v>
      </c>
      <c r="T77" s="543">
        <f t="shared" si="59"/>
        <v>0</v>
      </c>
      <c r="U77" s="543">
        <f t="shared" si="59"/>
        <v>0</v>
      </c>
      <c r="V77" s="543">
        <f t="shared" si="59"/>
        <v>1828798</v>
      </c>
      <c r="W77" s="543">
        <f t="shared" si="59"/>
        <v>19521029</v>
      </c>
      <c r="X77" s="543">
        <f t="shared" si="59"/>
        <v>0</v>
      </c>
      <c r="Y77" s="543">
        <f t="shared" si="59"/>
        <v>0</v>
      </c>
      <c r="AB77" s="260"/>
    </row>
    <row r="78" spans="1:28" s="255" customFormat="1" ht="15.75" customHeight="1">
      <c r="A78" s="545">
        <f t="shared" si="45"/>
        <v>610</v>
      </c>
      <c r="B78" s="542" t="s">
        <v>671</v>
      </c>
      <c r="C78" s="543">
        <f t="shared" si="47"/>
        <v>0</v>
      </c>
      <c r="D78" s="543">
        <f t="shared" ref="D78:Y78" si="60">D64</f>
        <v>0</v>
      </c>
      <c r="E78" s="543">
        <f t="shared" ref="E78" si="61">E64</f>
        <v>0</v>
      </c>
      <c r="F78" s="543">
        <f t="shared" si="60"/>
        <v>0</v>
      </c>
      <c r="G78" s="543">
        <f t="shared" ref="G78" si="62">G64</f>
        <v>0</v>
      </c>
      <c r="H78" s="543">
        <f t="shared" si="60"/>
        <v>0</v>
      </c>
      <c r="I78" s="543">
        <f t="shared" si="60"/>
        <v>0</v>
      </c>
      <c r="J78" s="543">
        <f t="shared" si="60"/>
        <v>0</v>
      </c>
      <c r="K78" s="543">
        <f t="shared" si="60"/>
        <v>0</v>
      </c>
      <c r="L78" s="543">
        <f t="shared" si="60"/>
        <v>0</v>
      </c>
      <c r="M78" s="543">
        <f t="shared" si="60"/>
        <v>0</v>
      </c>
      <c r="N78" s="543">
        <f t="shared" si="60"/>
        <v>0</v>
      </c>
      <c r="O78" s="543">
        <f t="shared" si="60"/>
        <v>0</v>
      </c>
      <c r="P78" s="543">
        <f t="shared" si="60"/>
        <v>0</v>
      </c>
      <c r="Q78" s="543">
        <f t="shared" si="60"/>
        <v>0</v>
      </c>
      <c r="R78" s="543">
        <f t="shared" si="60"/>
        <v>0</v>
      </c>
      <c r="S78" s="543">
        <f t="shared" si="60"/>
        <v>0</v>
      </c>
      <c r="T78" s="543">
        <f t="shared" si="60"/>
        <v>0</v>
      </c>
      <c r="U78" s="543">
        <f t="shared" si="60"/>
        <v>0</v>
      </c>
      <c r="V78" s="543">
        <f t="shared" si="60"/>
        <v>0</v>
      </c>
      <c r="W78" s="543">
        <f t="shared" si="60"/>
        <v>0</v>
      </c>
      <c r="X78" s="543">
        <f t="shared" si="60"/>
        <v>0</v>
      </c>
      <c r="Y78" s="543">
        <f t="shared" si="60"/>
        <v>0</v>
      </c>
      <c r="AB78" s="260"/>
    </row>
    <row r="79" spans="1:28" s="255" customFormat="1" ht="15.75" customHeight="1">
      <c r="A79" s="545">
        <f t="shared" si="45"/>
        <v>620</v>
      </c>
      <c r="B79" s="542" t="s">
        <v>669</v>
      </c>
      <c r="C79" s="543">
        <f t="shared" si="47"/>
        <v>0</v>
      </c>
      <c r="D79" s="543">
        <f t="shared" ref="D79:Y79" si="63">D63</f>
        <v>0</v>
      </c>
      <c r="E79" s="543">
        <f t="shared" ref="E79" si="64">E63</f>
        <v>0</v>
      </c>
      <c r="F79" s="543">
        <f t="shared" si="63"/>
        <v>0</v>
      </c>
      <c r="G79" s="543">
        <f t="shared" ref="G79" si="65">G63</f>
        <v>0</v>
      </c>
      <c r="H79" s="543">
        <f t="shared" si="63"/>
        <v>0</v>
      </c>
      <c r="I79" s="543">
        <f t="shared" si="63"/>
        <v>0</v>
      </c>
      <c r="J79" s="543">
        <f t="shared" si="63"/>
        <v>0</v>
      </c>
      <c r="K79" s="543">
        <f t="shared" si="63"/>
        <v>0</v>
      </c>
      <c r="L79" s="543">
        <f t="shared" si="63"/>
        <v>0</v>
      </c>
      <c r="M79" s="543">
        <f t="shared" si="63"/>
        <v>0</v>
      </c>
      <c r="N79" s="543">
        <f t="shared" si="63"/>
        <v>0</v>
      </c>
      <c r="O79" s="543">
        <f t="shared" si="63"/>
        <v>0</v>
      </c>
      <c r="P79" s="543">
        <f t="shared" si="63"/>
        <v>0</v>
      </c>
      <c r="Q79" s="543">
        <f t="shared" si="63"/>
        <v>0</v>
      </c>
      <c r="R79" s="543">
        <f t="shared" si="63"/>
        <v>0</v>
      </c>
      <c r="S79" s="543">
        <f t="shared" si="63"/>
        <v>0</v>
      </c>
      <c r="T79" s="543">
        <f t="shared" si="63"/>
        <v>0</v>
      </c>
      <c r="U79" s="543">
        <f t="shared" si="63"/>
        <v>0</v>
      </c>
      <c r="V79" s="543">
        <f t="shared" si="63"/>
        <v>0</v>
      </c>
      <c r="W79" s="543">
        <f t="shared" si="63"/>
        <v>0</v>
      </c>
      <c r="X79" s="543">
        <f t="shared" si="63"/>
        <v>0</v>
      </c>
      <c r="Y79" s="543">
        <f t="shared" si="63"/>
        <v>0</v>
      </c>
      <c r="AB79" s="260"/>
    </row>
    <row r="80" spans="1:28" s="255" customFormat="1" ht="15.75" customHeight="1">
      <c r="A80" s="545">
        <f t="shared" si="45"/>
        <v>630</v>
      </c>
      <c r="B80" s="542" t="s">
        <v>400</v>
      </c>
      <c r="C80" s="543">
        <f t="shared" si="47"/>
        <v>0</v>
      </c>
      <c r="D80" s="543">
        <f>D12+D20+D27+D34+D41+D48+D55+D65</f>
        <v>0</v>
      </c>
      <c r="E80" s="543">
        <f>E12+E20+E27+E34+E41+E48+E55+E65</f>
        <v>0</v>
      </c>
      <c r="F80" s="543">
        <f>F12+F20+F27+F34+F41+F48+F55+F65</f>
        <v>0</v>
      </c>
      <c r="G80" s="543">
        <f t="shared" ref="G80" si="66">G12+G20+G27+G34+G41+G48+G55+G65</f>
        <v>0</v>
      </c>
      <c r="H80" s="543">
        <f t="shared" ref="H80:Y80" si="67">H12+H20+H27+H34+H41+H48+H55+H65</f>
        <v>0</v>
      </c>
      <c r="I80" s="543">
        <f t="shared" si="67"/>
        <v>0</v>
      </c>
      <c r="J80" s="543">
        <f t="shared" si="67"/>
        <v>0</v>
      </c>
      <c r="K80" s="543">
        <f t="shared" si="67"/>
        <v>0</v>
      </c>
      <c r="L80" s="543">
        <f t="shared" si="67"/>
        <v>0</v>
      </c>
      <c r="M80" s="543">
        <f t="shared" si="67"/>
        <v>0</v>
      </c>
      <c r="N80" s="543">
        <f t="shared" si="67"/>
        <v>0</v>
      </c>
      <c r="O80" s="543">
        <f t="shared" si="67"/>
        <v>0</v>
      </c>
      <c r="P80" s="543">
        <f t="shared" si="67"/>
        <v>0</v>
      </c>
      <c r="Q80" s="543">
        <f t="shared" si="67"/>
        <v>0</v>
      </c>
      <c r="R80" s="543">
        <f t="shared" si="67"/>
        <v>0</v>
      </c>
      <c r="S80" s="543">
        <f t="shared" si="67"/>
        <v>0</v>
      </c>
      <c r="T80" s="543">
        <f t="shared" si="67"/>
        <v>0</v>
      </c>
      <c r="U80" s="543">
        <f t="shared" si="67"/>
        <v>0</v>
      </c>
      <c r="V80" s="543">
        <f t="shared" si="67"/>
        <v>0</v>
      </c>
      <c r="W80" s="543">
        <f t="shared" si="67"/>
        <v>0</v>
      </c>
      <c r="X80" s="543">
        <f t="shared" si="67"/>
        <v>0</v>
      </c>
      <c r="Y80" s="543">
        <f t="shared" si="67"/>
        <v>0</v>
      </c>
      <c r="AB80" s="260"/>
    </row>
    <row r="81" spans="1:30" s="255" customFormat="1" ht="15.75" customHeight="1">
      <c r="A81" s="545">
        <f t="shared" si="45"/>
        <v>640</v>
      </c>
      <c r="B81" s="542" t="s">
        <v>719</v>
      </c>
      <c r="C81" s="543">
        <f t="shared" si="47"/>
        <v>0</v>
      </c>
      <c r="D81" s="543">
        <f t="shared" ref="D81:Y81" si="68">D66</f>
        <v>0</v>
      </c>
      <c r="E81" s="543">
        <f t="shared" ref="E81" si="69">E66</f>
        <v>0</v>
      </c>
      <c r="F81" s="543">
        <f t="shared" si="68"/>
        <v>0</v>
      </c>
      <c r="G81" s="543">
        <f t="shared" ref="G81" si="70">G66</f>
        <v>0</v>
      </c>
      <c r="H81" s="543">
        <f t="shared" si="68"/>
        <v>0</v>
      </c>
      <c r="I81" s="543">
        <f t="shared" si="68"/>
        <v>0</v>
      </c>
      <c r="J81" s="543">
        <f t="shared" si="68"/>
        <v>0</v>
      </c>
      <c r="K81" s="543">
        <f t="shared" si="68"/>
        <v>0</v>
      </c>
      <c r="L81" s="543">
        <f t="shared" si="68"/>
        <v>0</v>
      </c>
      <c r="M81" s="543">
        <f t="shared" si="68"/>
        <v>0</v>
      </c>
      <c r="N81" s="543">
        <f t="shared" si="68"/>
        <v>0</v>
      </c>
      <c r="O81" s="543">
        <f t="shared" si="68"/>
        <v>0</v>
      </c>
      <c r="P81" s="543">
        <f t="shared" si="68"/>
        <v>0</v>
      </c>
      <c r="Q81" s="543">
        <f t="shared" si="68"/>
        <v>0</v>
      </c>
      <c r="R81" s="543">
        <f t="shared" si="68"/>
        <v>0</v>
      </c>
      <c r="S81" s="543">
        <f t="shared" si="68"/>
        <v>0</v>
      </c>
      <c r="T81" s="543">
        <f t="shared" si="68"/>
        <v>0</v>
      </c>
      <c r="U81" s="543">
        <f t="shared" si="68"/>
        <v>0</v>
      </c>
      <c r="V81" s="543">
        <f t="shared" si="68"/>
        <v>0</v>
      </c>
      <c r="W81" s="543">
        <f t="shared" si="68"/>
        <v>0</v>
      </c>
      <c r="X81" s="543">
        <f t="shared" si="68"/>
        <v>0</v>
      </c>
      <c r="Y81" s="543">
        <f t="shared" si="68"/>
        <v>0</v>
      </c>
      <c r="AB81" s="260"/>
    </row>
    <row r="82" spans="1:30" s="255" customFormat="1" ht="15.75" customHeight="1">
      <c r="A82" s="545">
        <f t="shared" si="45"/>
        <v>650</v>
      </c>
      <c r="B82" s="542" t="s">
        <v>675</v>
      </c>
      <c r="C82" s="543">
        <f>SUM(J82:Y82)-L82-P82-Q82</f>
        <v>199265686</v>
      </c>
      <c r="D82" s="543">
        <f>+D56+D67</f>
        <v>198479904</v>
      </c>
      <c r="E82" s="543">
        <f>+E56+E67</f>
        <v>785782</v>
      </c>
      <c r="F82" s="543">
        <f>+F56+F67</f>
        <v>138981</v>
      </c>
      <c r="G82" s="543">
        <f t="shared" ref="G82" si="71">+G56+G67</f>
        <v>105981</v>
      </c>
      <c r="H82" s="543">
        <f t="shared" ref="H82:Y82" si="72">+H56+H67</f>
        <v>33000</v>
      </c>
      <c r="I82" s="543">
        <f t="shared" si="72"/>
        <v>0</v>
      </c>
      <c r="J82" s="543">
        <f t="shared" si="72"/>
        <v>150052</v>
      </c>
      <c r="K82" s="543">
        <f t="shared" si="72"/>
        <v>0</v>
      </c>
      <c r="L82" s="543">
        <f t="shared" si="72"/>
        <v>0</v>
      </c>
      <c r="M82" s="543">
        <f t="shared" si="72"/>
        <v>17536134</v>
      </c>
      <c r="N82" s="543">
        <f t="shared" si="72"/>
        <v>0</v>
      </c>
      <c r="O82" s="543">
        <f t="shared" si="72"/>
        <v>67540291</v>
      </c>
      <c r="P82" s="543">
        <f t="shared" si="72"/>
        <v>31125870</v>
      </c>
      <c r="Q82" s="543">
        <f t="shared" si="72"/>
        <v>36414421</v>
      </c>
      <c r="R82" s="543">
        <f t="shared" si="72"/>
        <v>195000</v>
      </c>
      <c r="S82" s="543">
        <f t="shared" si="72"/>
        <v>0</v>
      </c>
      <c r="T82" s="543">
        <f t="shared" si="72"/>
        <v>0</v>
      </c>
      <c r="U82" s="543">
        <f t="shared" si="72"/>
        <v>0</v>
      </c>
      <c r="V82" s="543">
        <f t="shared" si="72"/>
        <v>37892025</v>
      </c>
      <c r="W82" s="543">
        <f t="shared" si="72"/>
        <v>8393797</v>
      </c>
      <c r="X82" s="543">
        <f t="shared" si="72"/>
        <v>2239567</v>
      </c>
      <c r="Y82" s="543">
        <f t="shared" si="72"/>
        <v>65318820</v>
      </c>
      <c r="AB82" s="260"/>
    </row>
    <row r="83" spans="1:30" s="255" customFormat="1" ht="15.75" customHeight="1">
      <c r="A83" s="545">
        <f t="shared" si="45"/>
        <v>660</v>
      </c>
      <c r="B83" s="542" t="s">
        <v>676</v>
      </c>
      <c r="C83" s="543">
        <f t="shared" si="47"/>
        <v>0</v>
      </c>
      <c r="D83" s="543">
        <f t="shared" ref="D83:Y83" si="73">D68</f>
        <v>0</v>
      </c>
      <c r="E83" s="543">
        <f t="shared" ref="E83" si="74">E68</f>
        <v>0</v>
      </c>
      <c r="F83" s="543">
        <f t="shared" si="73"/>
        <v>0</v>
      </c>
      <c r="G83" s="543">
        <f t="shared" ref="G83" si="75">G68</f>
        <v>0</v>
      </c>
      <c r="H83" s="543">
        <f t="shared" si="73"/>
        <v>0</v>
      </c>
      <c r="I83" s="543">
        <f t="shared" si="73"/>
        <v>0</v>
      </c>
      <c r="J83" s="543">
        <f t="shared" si="73"/>
        <v>0</v>
      </c>
      <c r="K83" s="543">
        <f t="shared" si="73"/>
        <v>0</v>
      </c>
      <c r="L83" s="543">
        <f t="shared" si="73"/>
        <v>0</v>
      </c>
      <c r="M83" s="543">
        <f t="shared" si="73"/>
        <v>0</v>
      </c>
      <c r="N83" s="543">
        <f t="shared" si="73"/>
        <v>0</v>
      </c>
      <c r="O83" s="543">
        <f t="shared" si="73"/>
        <v>0</v>
      </c>
      <c r="P83" s="543">
        <f t="shared" si="73"/>
        <v>0</v>
      </c>
      <c r="Q83" s="543">
        <f t="shared" si="73"/>
        <v>0</v>
      </c>
      <c r="R83" s="543">
        <f t="shared" si="73"/>
        <v>0</v>
      </c>
      <c r="S83" s="543">
        <f t="shared" si="73"/>
        <v>0</v>
      </c>
      <c r="T83" s="543">
        <f t="shared" si="73"/>
        <v>0</v>
      </c>
      <c r="U83" s="543">
        <f t="shared" si="73"/>
        <v>0</v>
      </c>
      <c r="V83" s="543">
        <f t="shared" si="73"/>
        <v>0</v>
      </c>
      <c r="W83" s="543">
        <f t="shared" si="73"/>
        <v>0</v>
      </c>
      <c r="X83" s="543">
        <f t="shared" si="73"/>
        <v>0</v>
      </c>
      <c r="Y83" s="543">
        <f t="shared" si="73"/>
        <v>0</v>
      </c>
      <c r="AB83" s="260"/>
    </row>
    <row r="84" spans="1:30" s="255" customFormat="1" ht="15.75" customHeight="1">
      <c r="A84" s="545">
        <f>A83+10</f>
        <v>670</v>
      </c>
      <c r="B84" s="542" t="s">
        <v>677</v>
      </c>
      <c r="C84" s="543">
        <f t="shared" si="47"/>
        <v>0</v>
      </c>
      <c r="D84" s="543">
        <f>D13+D21+D28+D35+D42+D49+D57+D69</f>
        <v>0</v>
      </c>
      <c r="E84" s="543">
        <f>E13+E21+E28+E35+E42+E49+E57+E69</f>
        <v>0</v>
      </c>
      <c r="F84" s="543">
        <f>F13+F21+F28+F35+F42+F49+F57+F69</f>
        <v>0</v>
      </c>
      <c r="G84" s="543">
        <f t="shared" ref="G84" si="76">G13+G21+G28+G35+G42+G49+G57+G69</f>
        <v>0</v>
      </c>
      <c r="H84" s="543">
        <f t="shared" ref="H84:Y84" si="77">H13+H21+H28+H35+H42+H49+H57+H69</f>
        <v>0</v>
      </c>
      <c r="I84" s="543">
        <f t="shared" si="77"/>
        <v>0</v>
      </c>
      <c r="J84" s="543">
        <f t="shared" si="77"/>
        <v>0</v>
      </c>
      <c r="K84" s="543">
        <f t="shared" si="77"/>
        <v>0</v>
      </c>
      <c r="L84" s="543">
        <f t="shared" si="77"/>
        <v>0</v>
      </c>
      <c r="M84" s="543">
        <f t="shared" si="77"/>
        <v>0</v>
      </c>
      <c r="N84" s="543">
        <f t="shared" si="77"/>
        <v>0</v>
      </c>
      <c r="O84" s="543">
        <f t="shared" si="77"/>
        <v>0</v>
      </c>
      <c r="P84" s="543">
        <f t="shared" si="77"/>
        <v>0</v>
      </c>
      <c r="Q84" s="543">
        <f t="shared" si="77"/>
        <v>0</v>
      </c>
      <c r="R84" s="543">
        <f t="shared" si="77"/>
        <v>0</v>
      </c>
      <c r="S84" s="543">
        <f t="shared" si="77"/>
        <v>0</v>
      </c>
      <c r="T84" s="543">
        <f t="shared" si="77"/>
        <v>0</v>
      </c>
      <c r="U84" s="543">
        <f t="shared" si="77"/>
        <v>0</v>
      </c>
      <c r="V84" s="543">
        <f t="shared" si="77"/>
        <v>0</v>
      </c>
      <c r="W84" s="543">
        <f t="shared" si="77"/>
        <v>0</v>
      </c>
      <c r="X84" s="543">
        <f t="shared" si="77"/>
        <v>0</v>
      </c>
      <c r="Y84" s="543">
        <f t="shared" si="77"/>
        <v>0</v>
      </c>
      <c r="AB84" s="260"/>
    </row>
    <row r="85" spans="1:30" s="606" customFormat="1" ht="15.75" customHeight="1">
      <c r="A85" s="604">
        <f t="shared" si="45"/>
        <v>680</v>
      </c>
      <c r="B85" s="604" t="s">
        <v>678</v>
      </c>
      <c r="C85" s="605">
        <f t="shared" si="47"/>
        <v>13318623841</v>
      </c>
      <c r="D85" s="605">
        <f>SUM(D73:D84)</f>
        <v>9580116117</v>
      </c>
      <c r="E85" s="605">
        <f>SUM(E73:E84)</f>
        <v>3738507724</v>
      </c>
      <c r="F85" s="605">
        <f>SUM(F73:F84)</f>
        <v>635450498</v>
      </c>
      <c r="G85" s="605">
        <f t="shared" ref="G85" si="78">SUM(G73:G84)</f>
        <v>110817389</v>
      </c>
      <c r="H85" s="605">
        <f t="shared" ref="H85:Y85" si="79">SUM(H73:H84)</f>
        <v>331525438</v>
      </c>
      <c r="I85" s="605">
        <f t="shared" si="79"/>
        <v>193107671</v>
      </c>
      <c r="J85" s="605">
        <f t="shared" si="79"/>
        <v>2758990</v>
      </c>
      <c r="K85" s="605">
        <f t="shared" si="79"/>
        <v>0</v>
      </c>
      <c r="L85" s="605">
        <f t="shared" si="79"/>
        <v>0</v>
      </c>
      <c r="M85" s="605">
        <f t="shared" si="79"/>
        <v>436832103</v>
      </c>
      <c r="N85" s="605">
        <f t="shared" si="79"/>
        <v>116410</v>
      </c>
      <c r="O85" s="605">
        <f t="shared" si="79"/>
        <v>7469189176</v>
      </c>
      <c r="P85" s="605">
        <f t="shared" si="79"/>
        <v>983308942</v>
      </c>
      <c r="Q85" s="605">
        <f t="shared" si="79"/>
        <v>6485880234</v>
      </c>
      <c r="R85" s="605">
        <f t="shared" si="79"/>
        <v>22253165</v>
      </c>
      <c r="S85" s="605">
        <f t="shared" si="79"/>
        <v>0</v>
      </c>
      <c r="T85" s="605">
        <f t="shared" si="79"/>
        <v>0</v>
      </c>
      <c r="U85" s="605">
        <f t="shared" si="79"/>
        <v>0</v>
      </c>
      <c r="V85" s="605">
        <f t="shared" si="79"/>
        <v>967799758</v>
      </c>
      <c r="W85" s="605">
        <f t="shared" si="79"/>
        <v>4034277499</v>
      </c>
      <c r="X85" s="605">
        <f t="shared" si="79"/>
        <v>140981017</v>
      </c>
      <c r="Y85" s="605">
        <f t="shared" si="79"/>
        <v>244415723</v>
      </c>
      <c r="AA85" s="607"/>
      <c r="AB85" s="608"/>
    </row>
    <row r="86" spans="1:30" ht="19.5" customHeight="1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</row>
    <row r="87" spans="1:30" ht="15.75" customHeight="1">
      <c r="A87" s="34"/>
      <c r="B87" s="592" t="s">
        <v>788</v>
      </c>
      <c r="C87" s="34"/>
      <c r="D87" s="34"/>
      <c r="E87" s="34"/>
      <c r="F87" s="349"/>
      <c r="G87" s="349"/>
      <c r="H87" s="349"/>
      <c r="I87" s="349"/>
      <c r="J87" s="349"/>
      <c r="K87" s="349"/>
      <c r="L87" s="349"/>
      <c r="M87" s="349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spans="1:30" ht="15.75" customHeight="1">
      <c r="A88" s="34"/>
      <c r="B88" s="592"/>
      <c r="C88" s="34"/>
      <c r="D88" s="34"/>
      <c r="E88" s="34"/>
      <c r="F88" s="349"/>
      <c r="G88" s="349"/>
      <c r="H88" s="349"/>
      <c r="I88" s="349"/>
      <c r="J88" s="349"/>
      <c r="K88" s="349"/>
      <c r="L88" s="349"/>
      <c r="M88" s="349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spans="1:30" ht="15.75" customHeight="1">
      <c r="A89" s="34"/>
      <c r="B89" s="592" t="s">
        <v>789</v>
      </c>
      <c r="C89" s="34"/>
      <c r="D89" s="34"/>
      <c r="E89" s="34"/>
      <c r="F89" s="349"/>
      <c r="G89" s="349"/>
      <c r="H89" s="349"/>
      <c r="I89" s="349"/>
      <c r="J89" s="349"/>
      <c r="K89" s="349"/>
      <c r="L89" s="349"/>
      <c r="M89" s="349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 spans="1:30">
      <c r="B90" s="239"/>
      <c r="C90" s="277"/>
    </row>
    <row r="91" spans="1:30">
      <c r="C91" s="277"/>
    </row>
    <row r="92" spans="1:30">
      <c r="C92" s="277">
        <f>+[8]Balance!C25</f>
        <v>13318623841</v>
      </c>
      <c r="D92" s="277">
        <f>+[8]Balance!D25</f>
        <v>9580116117</v>
      </c>
      <c r="E92" s="277">
        <f>+[8]Balance!E25</f>
        <v>3738507724</v>
      </c>
      <c r="F92" s="277">
        <f>+'Asset Classification'!M31+'Asset Classification'!Q31+'Asset Classification'!U31</f>
        <v>635450498</v>
      </c>
      <c r="G92" s="277">
        <f>+'Asset Classification'!M31</f>
        <v>110817389</v>
      </c>
      <c r="H92" s="277">
        <f>+'Asset Classification'!Q31</f>
        <v>331525438</v>
      </c>
      <c r="I92" s="277">
        <f>+'Asset Classification'!U31</f>
        <v>193107671</v>
      </c>
      <c r="J92" s="277">
        <f>+'[9]Calculation of Risk Weighted As'!$C$24+'[9]Calculation of Risk Weighted As'!$D$24</f>
        <v>0</v>
      </c>
    </row>
    <row r="93" spans="1:30">
      <c r="C93" s="277">
        <f t="shared" ref="C93:J93" si="80">+C85-C92</f>
        <v>0</v>
      </c>
      <c r="D93" s="277">
        <f t="shared" si="80"/>
        <v>0</v>
      </c>
      <c r="E93" s="277">
        <f t="shared" si="80"/>
        <v>0</v>
      </c>
      <c r="F93" s="277">
        <f t="shared" si="80"/>
        <v>0</v>
      </c>
      <c r="G93" s="277">
        <f t="shared" si="80"/>
        <v>0</v>
      </c>
      <c r="H93" s="277">
        <f t="shared" si="80"/>
        <v>0</v>
      </c>
      <c r="I93" s="277">
        <f t="shared" si="80"/>
        <v>0</v>
      </c>
      <c r="J93" s="277">
        <f t="shared" si="80"/>
        <v>2758990</v>
      </c>
    </row>
    <row r="94" spans="1:30">
      <c r="C94" s="277"/>
    </row>
    <row r="95" spans="1:30">
      <c r="C95" s="277"/>
    </row>
  </sheetData>
  <sheetProtection password="CACA" sheet="1" objects="1" scenarios="1"/>
  <mergeCells count="25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F5:F6"/>
    <mergeCell ref="F4:I4"/>
    <mergeCell ref="G5:I5"/>
    <mergeCell ref="A4:A6"/>
    <mergeCell ref="B4:B6"/>
    <mergeCell ref="C4:C6"/>
    <mergeCell ref="D4:E4"/>
    <mergeCell ref="D5:D6"/>
    <mergeCell ref="E5:E6"/>
  </mergeCells>
  <phoneticPr fontId="25" type="noConversion"/>
  <conditionalFormatting sqref="C9">
    <cfRule type="cellIs" dxfId="349" priority="23" operator="notEqual">
      <formula>D9+E9</formula>
    </cfRule>
  </conditionalFormatting>
  <conditionalFormatting sqref="C10:C13">
    <cfRule type="cellIs" dxfId="348" priority="20" operator="notEqual">
      <formula>D10+E10</formula>
    </cfRule>
  </conditionalFormatting>
  <conditionalFormatting sqref="C16">
    <cfRule type="cellIs" dxfId="347" priority="19" operator="notEqual">
      <formula>D16+E16</formula>
    </cfRule>
  </conditionalFormatting>
  <conditionalFormatting sqref="C17:C20">
    <cfRule type="cellIs" dxfId="346" priority="18" operator="notEqual">
      <formula>D17+E17</formula>
    </cfRule>
  </conditionalFormatting>
  <conditionalFormatting sqref="C21">
    <cfRule type="cellIs" dxfId="345" priority="17" operator="notEqual">
      <formula>D21+E21</formula>
    </cfRule>
  </conditionalFormatting>
  <conditionalFormatting sqref="C24:C28">
    <cfRule type="cellIs" dxfId="344" priority="16" operator="notEqual">
      <formula>D24+E24</formula>
    </cfRule>
  </conditionalFormatting>
  <conditionalFormatting sqref="C31:C35">
    <cfRule type="cellIs" dxfId="343" priority="15" operator="notEqual">
      <formula>D31+E31</formula>
    </cfRule>
  </conditionalFormatting>
  <conditionalFormatting sqref="C38:C42">
    <cfRule type="cellIs" dxfId="342" priority="14" operator="notEqual">
      <formula>D38+E38</formula>
    </cfRule>
  </conditionalFormatting>
  <conditionalFormatting sqref="C45:C49">
    <cfRule type="cellIs" dxfId="341" priority="13" operator="notEqual">
      <formula>D45+E45</formula>
    </cfRule>
  </conditionalFormatting>
  <conditionalFormatting sqref="C52:C57">
    <cfRule type="cellIs" dxfId="340" priority="12" operator="notEqual">
      <formula>D52+E52</formula>
    </cfRule>
  </conditionalFormatting>
  <conditionalFormatting sqref="C60:C69">
    <cfRule type="cellIs" dxfId="339" priority="11" operator="notEqual">
      <formula>D60+E60</formula>
    </cfRule>
  </conditionalFormatting>
  <conditionalFormatting sqref="C73:C84">
    <cfRule type="cellIs" dxfId="338" priority="10" operator="notEqual">
      <formula>D73+E73</formula>
    </cfRule>
  </conditionalFormatting>
  <conditionalFormatting sqref="C71">
    <cfRule type="cellIs" dxfId="337" priority="9" operator="notEqual">
      <formula>D71+E71</formula>
    </cfRule>
  </conditionalFormatting>
  <conditionalFormatting sqref="J85">
    <cfRule type="cellIs" dxfId="336" priority="8" operator="lessThan">
      <formula>$J$92</formula>
    </cfRule>
  </conditionalFormatting>
  <conditionalFormatting sqref="C85">
    <cfRule type="cellIs" dxfId="335" priority="7" operator="notEqual">
      <formula>C92</formula>
    </cfRule>
  </conditionalFormatting>
  <conditionalFormatting sqref="D85">
    <cfRule type="cellIs" dxfId="334" priority="6" operator="notEqual">
      <formula>D92</formula>
    </cfRule>
  </conditionalFormatting>
  <conditionalFormatting sqref="E85">
    <cfRule type="cellIs" dxfId="333" priority="5" operator="notEqual">
      <formula>E92</formula>
    </cfRule>
  </conditionalFormatting>
  <conditionalFormatting sqref="F85">
    <cfRule type="cellIs" dxfId="332" priority="4" operator="notEqual">
      <formula>F92</formula>
    </cfRule>
  </conditionalFormatting>
  <conditionalFormatting sqref="G85">
    <cfRule type="cellIs" dxfId="331" priority="3" operator="notEqual">
      <formula>G92</formula>
    </cfRule>
  </conditionalFormatting>
  <conditionalFormatting sqref="H85">
    <cfRule type="cellIs" dxfId="330" priority="2" operator="notEqual">
      <formula>H92</formula>
    </cfRule>
  </conditionalFormatting>
  <conditionalFormatting sqref="I85">
    <cfRule type="cellIs" dxfId="329" priority="1" operator="notEqual">
      <formula>I92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D42"/>
  <sheetViews>
    <sheetView view="pageBreakPreview" zoomScale="65" zoomScaleNormal="71" zoomScaleSheetLayoutView="65" workbookViewId="0">
      <pane xSplit="4" ySplit="8" topLeftCell="E30" activePane="bottomRight" state="frozen"/>
      <selection activeCell="C73" sqref="C73"/>
      <selection pane="topRight" activeCell="C73" sqref="C73"/>
      <selection pane="bottomLeft" activeCell="C73" sqref="C73"/>
      <selection pane="bottomRight" activeCell="E9" sqref="E9"/>
    </sheetView>
  </sheetViews>
  <sheetFormatPr defaultRowHeight="15"/>
  <cols>
    <col min="1" max="1" width="5" style="6" customWidth="1"/>
    <col min="2" max="2" width="48.140625" style="6" customWidth="1"/>
    <col min="3" max="3" width="19.140625" style="6" customWidth="1"/>
    <col min="4" max="4" width="7.140625" style="6" customWidth="1"/>
    <col min="5" max="5" width="21.85546875" style="6" customWidth="1"/>
    <col min="6" max="6" width="8.5703125" style="6" customWidth="1"/>
    <col min="7" max="7" width="21.85546875" style="6" customWidth="1"/>
    <col min="8" max="8" width="7.140625" style="6" customWidth="1"/>
    <col min="9" max="10" width="17.28515625" style="6" customWidth="1"/>
    <col min="11" max="11" width="8.7109375" style="6" customWidth="1"/>
    <col min="12" max="23" width="15" style="6" customWidth="1"/>
    <col min="24" max="25" width="13.140625" style="6" customWidth="1"/>
    <col min="26" max="26" width="14.28515625" style="290" bestFit="1" customWidth="1"/>
    <col min="27" max="16384" width="9.140625" style="6"/>
  </cols>
  <sheetData>
    <row r="1" spans="1:26" s="160" customFormat="1" ht="36.75" customHeight="1">
      <c r="A1" s="156" t="s">
        <v>697</v>
      </c>
      <c r="B1" s="157"/>
      <c r="C1" s="157"/>
      <c r="D1" s="157"/>
      <c r="E1" s="157"/>
      <c r="F1" s="157"/>
      <c r="G1" s="157"/>
      <c r="H1" s="157"/>
      <c r="I1" s="156"/>
      <c r="J1" s="156"/>
      <c r="K1" s="156"/>
      <c r="L1" s="156"/>
      <c r="M1" s="156"/>
      <c r="N1" s="156"/>
      <c r="O1" s="156"/>
      <c r="P1" s="156"/>
      <c r="Q1" s="156"/>
      <c r="R1" s="157"/>
      <c r="S1" s="157"/>
      <c r="T1" s="157"/>
      <c r="U1" s="157"/>
      <c r="V1" s="158"/>
      <c r="W1" s="159"/>
      <c r="X1" s="414" t="s">
        <v>698</v>
      </c>
      <c r="Y1" s="157"/>
    </row>
    <row r="2" spans="1:26" s="23" customFormat="1" ht="18">
      <c r="A2" s="154"/>
      <c r="B2" s="24"/>
      <c r="C2" s="24"/>
      <c r="D2" s="24"/>
      <c r="E2" s="24"/>
      <c r="F2" s="24"/>
      <c r="G2" s="24"/>
      <c r="H2" s="24"/>
      <c r="I2" s="5"/>
      <c r="J2" s="5"/>
      <c r="K2" s="5"/>
      <c r="L2" s="24"/>
      <c r="M2" s="24"/>
      <c r="N2" s="24"/>
      <c r="O2" s="24"/>
      <c r="P2" s="24"/>
      <c r="Q2" s="24"/>
      <c r="R2" s="24"/>
      <c r="S2" s="24"/>
      <c r="T2" s="155"/>
      <c r="U2" s="24"/>
      <c r="V2" s="24"/>
      <c r="W2" s="24"/>
      <c r="X2" s="24"/>
    </row>
    <row r="3" spans="1:26" ht="18">
      <c r="A3" s="151"/>
      <c r="B3" s="232" t="str">
        <f>+'Asset quality'!B3</f>
        <v>"МКБАНК"</v>
      </c>
      <c r="C3" s="7"/>
      <c r="D3" s="152"/>
      <c r="E3" s="152"/>
      <c r="F3" s="152"/>
      <c r="G3" s="152"/>
      <c r="H3" s="152"/>
      <c r="I3" s="152"/>
      <c r="J3" s="153"/>
      <c r="K3" s="153"/>
      <c r="L3" s="153"/>
      <c r="M3" s="152"/>
      <c r="N3" s="152"/>
      <c r="O3" s="152"/>
      <c r="P3" s="152"/>
      <c r="Q3" s="152"/>
      <c r="R3" s="152"/>
      <c r="S3" s="152"/>
      <c r="T3" s="714">
        <f>+'Asset quality'!Q3</f>
        <v>44926</v>
      </c>
      <c r="U3" s="714"/>
      <c r="V3" s="7"/>
      <c r="W3" s="7"/>
      <c r="X3" s="415" t="str">
        <f>+'Asset quality'!T3</f>
        <v>минг. сўмда</v>
      </c>
      <c r="Z3" s="6"/>
    </row>
    <row r="4" spans="1:26" ht="30" customHeight="1">
      <c r="A4" s="719" t="s">
        <v>62</v>
      </c>
      <c r="B4" s="719" t="s">
        <v>285</v>
      </c>
      <c r="C4" s="719" t="s">
        <v>699</v>
      </c>
      <c r="D4" s="719" t="s">
        <v>77</v>
      </c>
      <c r="E4" s="719" t="s">
        <v>700</v>
      </c>
      <c r="F4" s="719" t="s">
        <v>77</v>
      </c>
      <c r="G4" s="719" t="s">
        <v>701</v>
      </c>
      <c r="H4" s="719" t="s">
        <v>77</v>
      </c>
      <c r="I4" s="715" t="s">
        <v>702</v>
      </c>
      <c r="J4" s="716"/>
      <c r="K4" s="719" t="s">
        <v>77</v>
      </c>
      <c r="L4" s="711" t="s">
        <v>703</v>
      </c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2"/>
    </row>
    <row r="5" spans="1:26" ht="25.5" customHeight="1">
      <c r="A5" s="720"/>
      <c r="B5" s="720"/>
      <c r="C5" s="720"/>
      <c r="D5" s="720"/>
      <c r="E5" s="720"/>
      <c r="F5" s="720"/>
      <c r="G5" s="720"/>
      <c r="H5" s="720"/>
      <c r="I5" s="717"/>
      <c r="J5" s="718"/>
      <c r="K5" s="720"/>
      <c r="L5" s="711" t="s">
        <v>704</v>
      </c>
      <c r="M5" s="712"/>
      <c r="N5" s="711" t="s">
        <v>705</v>
      </c>
      <c r="O5" s="712"/>
      <c r="P5" s="711" t="s">
        <v>706</v>
      </c>
      <c r="Q5" s="712"/>
      <c r="R5" s="711" t="s">
        <v>548</v>
      </c>
      <c r="S5" s="712"/>
      <c r="T5" s="711" t="s">
        <v>549</v>
      </c>
      <c r="U5" s="712"/>
      <c r="V5" s="711" t="s">
        <v>550</v>
      </c>
      <c r="W5" s="712"/>
      <c r="X5" s="711" t="s">
        <v>551</v>
      </c>
      <c r="Y5" s="712"/>
    </row>
    <row r="6" spans="1:26" ht="47.25">
      <c r="A6" s="721"/>
      <c r="B6" s="721"/>
      <c r="C6" s="721"/>
      <c r="D6" s="721"/>
      <c r="E6" s="721"/>
      <c r="F6" s="721"/>
      <c r="G6" s="721"/>
      <c r="H6" s="721"/>
      <c r="I6" s="115" t="s">
        <v>707</v>
      </c>
      <c r="J6" s="115" t="s">
        <v>708</v>
      </c>
      <c r="K6" s="721"/>
      <c r="L6" s="115" t="s">
        <v>707</v>
      </c>
      <c r="M6" s="115" t="s">
        <v>708</v>
      </c>
      <c r="N6" s="115" t="s">
        <v>707</v>
      </c>
      <c r="O6" s="115" t="s">
        <v>708</v>
      </c>
      <c r="P6" s="115" t="s">
        <v>707</v>
      </c>
      <c r="Q6" s="115" t="s">
        <v>708</v>
      </c>
      <c r="R6" s="115" t="s">
        <v>707</v>
      </c>
      <c r="S6" s="115" t="s">
        <v>708</v>
      </c>
      <c r="T6" s="115" t="s">
        <v>707</v>
      </c>
      <c r="U6" s="115" t="s">
        <v>708</v>
      </c>
      <c r="V6" s="115" t="s">
        <v>707</v>
      </c>
      <c r="W6" s="115" t="s">
        <v>708</v>
      </c>
      <c r="X6" s="115" t="s">
        <v>707</v>
      </c>
      <c r="Y6" s="115" t="s">
        <v>708</v>
      </c>
    </row>
    <row r="7" spans="1:26" ht="15.75">
      <c r="A7" s="115"/>
      <c r="B7" s="115" t="s">
        <v>67</v>
      </c>
      <c r="C7" s="115" t="s">
        <v>37</v>
      </c>
      <c r="D7" s="115" t="s">
        <v>38</v>
      </c>
      <c r="E7" s="115" t="s">
        <v>39</v>
      </c>
      <c r="F7" s="115" t="s">
        <v>63</v>
      </c>
      <c r="G7" s="115" t="s">
        <v>64</v>
      </c>
      <c r="H7" s="115" t="s">
        <v>65</v>
      </c>
      <c r="I7" s="115" t="s">
        <v>68</v>
      </c>
      <c r="J7" s="115" t="s">
        <v>167</v>
      </c>
      <c r="K7" s="115" t="s">
        <v>69</v>
      </c>
      <c r="L7" s="115" t="s">
        <v>70</v>
      </c>
      <c r="M7" s="115" t="s">
        <v>166</v>
      </c>
      <c r="N7" s="115" t="s">
        <v>71</v>
      </c>
      <c r="O7" s="115" t="s">
        <v>168</v>
      </c>
      <c r="P7" s="115" t="s">
        <v>72</v>
      </c>
      <c r="Q7" s="115" t="s">
        <v>169</v>
      </c>
      <c r="R7" s="115" t="s">
        <v>73</v>
      </c>
      <c r="S7" s="115" t="s">
        <v>170</v>
      </c>
      <c r="T7" s="115" t="s">
        <v>74</v>
      </c>
      <c r="U7" s="115" t="s">
        <v>171</v>
      </c>
      <c r="V7" s="115" t="s">
        <v>75</v>
      </c>
      <c r="W7" s="115" t="s">
        <v>172</v>
      </c>
      <c r="X7" s="115" t="s">
        <v>76</v>
      </c>
      <c r="Y7" s="115" t="s">
        <v>173</v>
      </c>
    </row>
    <row r="8" spans="1:26" s="25" customFormat="1" ht="27.75" customHeight="1">
      <c r="A8" s="115"/>
      <c r="B8" s="115" t="s">
        <v>668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291"/>
    </row>
    <row r="9" spans="1:26" s="25" customFormat="1" ht="26.25" customHeight="1">
      <c r="A9" s="416">
        <v>1</v>
      </c>
      <c r="B9" s="417" t="s">
        <v>669</v>
      </c>
      <c r="C9" s="29">
        <f>+'Loans Receivable'!C79</f>
        <v>0</v>
      </c>
      <c r="D9" s="107">
        <f t="shared" ref="D9:D20" si="0">IF(C$22=0,"",C9/C$22)</f>
        <v>0</v>
      </c>
      <c r="E9" s="28"/>
      <c r="F9" s="107">
        <f t="shared" ref="F9:F20" si="1">IF(E$22=0,"",E9/E$22)</f>
        <v>0</v>
      </c>
      <c r="G9" s="28"/>
      <c r="H9" s="107">
        <f t="shared" ref="H9:H20" si="2">IF($G$22=0,"",G9/$G$22)</f>
        <v>0</v>
      </c>
      <c r="I9" s="29">
        <f t="shared" ref="I9:J20" si="3">+L9+N9+P9+R9+T9+V9+X9</f>
        <v>0</v>
      </c>
      <c r="J9" s="29">
        <f>+M9+O9+T9+S9+U9+W9+Y9</f>
        <v>0</v>
      </c>
      <c r="K9" s="107">
        <f t="shared" ref="K9:K20" si="4">IF($Z$22=0,"",Z9/$Z$22)</f>
        <v>0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3">
        <f>+I9+J9</f>
        <v>0</v>
      </c>
    </row>
    <row r="10" spans="1:26" s="25" customFormat="1" ht="26.25" customHeight="1">
      <c r="A10" s="416">
        <v>2</v>
      </c>
      <c r="B10" s="417" t="s">
        <v>671</v>
      </c>
      <c r="C10" s="29">
        <f>+'Loans Receivable'!C78</f>
        <v>0</v>
      </c>
      <c r="D10" s="107">
        <f t="shared" si="0"/>
        <v>0</v>
      </c>
      <c r="E10" s="28"/>
      <c r="F10" s="107">
        <f t="shared" si="1"/>
        <v>0</v>
      </c>
      <c r="G10" s="28"/>
      <c r="H10" s="107">
        <f t="shared" si="2"/>
        <v>0</v>
      </c>
      <c r="I10" s="29">
        <f t="shared" si="3"/>
        <v>0</v>
      </c>
      <c r="J10" s="29">
        <f t="shared" si="3"/>
        <v>0</v>
      </c>
      <c r="K10" s="107">
        <f t="shared" si="4"/>
        <v>0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3">
        <f t="shared" ref="Z10:Z35" si="5">+I10+J10</f>
        <v>0</v>
      </c>
    </row>
    <row r="11" spans="1:26" s="25" customFormat="1" ht="26.25" customHeight="1">
      <c r="A11" s="416">
        <v>3</v>
      </c>
      <c r="B11" s="417" t="s">
        <v>400</v>
      </c>
      <c r="C11" s="29">
        <f>+'Loans Receivable'!C80</f>
        <v>0</v>
      </c>
      <c r="D11" s="107">
        <f t="shared" si="0"/>
        <v>0</v>
      </c>
      <c r="E11" s="28"/>
      <c r="F11" s="107">
        <f t="shared" si="1"/>
        <v>0</v>
      </c>
      <c r="G11" s="28"/>
      <c r="H11" s="107">
        <f t="shared" si="2"/>
        <v>0</v>
      </c>
      <c r="I11" s="29">
        <f t="shared" si="3"/>
        <v>0</v>
      </c>
      <c r="J11" s="29">
        <f t="shared" si="3"/>
        <v>0</v>
      </c>
      <c r="K11" s="107">
        <f t="shared" si="4"/>
        <v>0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93">
        <f t="shared" si="5"/>
        <v>0</v>
      </c>
    </row>
    <row r="12" spans="1:26" s="25" customFormat="1" ht="26.25" customHeight="1">
      <c r="A12" s="416">
        <v>4</v>
      </c>
      <c r="B12" s="417" t="s">
        <v>401</v>
      </c>
      <c r="C12" s="29">
        <f>+'Loans Receivable'!C73</f>
        <v>4581385255</v>
      </c>
      <c r="D12" s="107">
        <f t="shared" si="0"/>
        <v>0.34398338069258189</v>
      </c>
      <c r="E12" s="28"/>
      <c r="F12" s="107">
        <f t="shared" si="1"/>
        <v>0</v>
      </c>
      <c r="G12" s="28"/>
      <c r="H12" s="107">
        <f t="shared" si="2"/>
        <v>0</v>
      </c>
      <c r="I12" s="29">
        <f t="shared" si="3"/>
        <v>210858439.90309998</v>
      </c>
      <c r="J12" s="29">
        <f t="shared" si="3"/>
        <v>85048575</v>
      </c>
      <c r="K12" s="107">
        <f t="shared" si="4"/>
        <v>0.3268812090436406</v>
      </c>
      <c r="L12" s="28">
        <v>10932587.41750782</v>
      </c>
      <c r="M12" s="28">
        <v>8560888</v>
      </c>
      <c r="N12" s="28">
        <v>11018433.912250988</v>
      </c>
      <c r="O12" s="28">
        <v>4386200</v>
      </c>
      <c r="P12" s="28">
        <v>12543619.934666799</v>
      </c>
      <c r="Q12" s="28">
        <v>5251065</v>
      </c>
      <c r="R12" s="28">
        <v>38240762.044165276</v>
      </c>
      <c r="S12" s="28">
        <v>14467723</v>
      </c>
      <c r="T12" s="28">
        <v>39156244.081399687</v>
      </c>
      <c r="U12" s="28">
        <v>23036470</v>
      </c>
      <c r="V12" s="28">
        <v>85180068.963764369</v>
      </c>
      <c r="W12" s="28">
        <v>22209213</v>
      </c>
      <c r="X12" s="28">
        <v>13786723.549345059</v>
      </c>
      <c r="Y12" s="28">
        <v>7137016</v>
      </c>
      <c r="Z12" s="293">
        <f t="shared" si="5"/>
        <v>295907014.90310001</v>
      </c>
    </row>
    <row r="13" spans="1:26" s="25" customFormat="1" ht="26.25" customHeight="1">
      <c r="A13" s="416">
        <v>5</v>
      </c>
      <c r="B13" s="417" t="s">
        <v>402</v>
      </c>
      <c r="C13" s="29">
        <f>+'Loans Receivable'!C74</f>
        <v>82687816</v>
      </c>
      <c r="D13" s="107">
        <f t="shared" si="0"/>
        <v>6.2084354199909266E-3</v>
      </c>
      <c r="E13" s="28"/>
      <c r="F13" s="107">
        <f t="shared" si="1"/>
        <v>0</v>
      </c>
      <c r="G13" s="28"/>
      <c r="H13" s="107">
        <f t="shared" si="2"/>
        <v>0</v>
      </c>
      <c r="I13" s="29">
        <f t="shared" si="3"/>
        <v>2066822.7917906756</v>
      </c>
      <c r="J13" s="29">
        <f t="shared" si="3"/>
        <v>746862</v>
      </c>
      <c r="K13" s="107">
        <f t="shared" si="4"/>
        <v>3.1082084583544784E-3</v>
      </c>
      <c r="L13" s="28">
        <v>463546.60242895788</v>
      </c>
      <c r="M13" s="28">
        <v>16439</v>
      </c>
      <c r="N13" s="28">
        <v>125816.41262679776</v>
      </c>
      <c r="O13" s="28">
        <v>31075</v>
      </c>
      <c r="P13" s="28">
        <v>113485.30130859763</v>
      </c>
      <c r="Q13" s="28">
        <v>25161</v>
      </c>
      <c r="R13" s="28">
        <v>208582.52821976133</v>
      </c>
      <c r="S13" s="28">
        <v>167429</v>
      </c>
      <c r="T13" s="28">
        <v>666867.43664880365</v>
      </c>
      <c r="U13" s="28">
        <v>114079</v>
      </c>
      <c r="V13" s="28">
        <v>488524.51055775752</v>
      </c>
      <c r="W13" s="28">
        <v>392679</v>
      </c>
      <c r="X13" s="28">
        <v>0</v>
      </c>
      <c r="Y13" s="28"/>
      <c r="Z13" s="293">
        <f t="shared" si="5"/>
        <v>2813684.7917906754</v>
      </c>
    </row>
    <row r="14" spans="1:26" s="25" customFormat="1" ht="26.25" customHeight="1">
      <c r="A14" s="416">
        <v>6</v>
      </c>
      <c r="B14" s="418" t="s">
        <v>403</v>
      </c>
      <c r="C14" s="29">
        <f>+'Loans Receivable'!C75</f>
        <v>1377755770</v>
      </c>
      <c r="D14" s="107">
        <f t="shared" si="0"/>
        <v>0.10344580539610421</v>
      </c>
      <c r="E14" s="28"/>
      <c r="F14" s="107">
        <f t="shared" si="1"/>
        <v>0</v>
      </c>
      <c r="G14" s="28"/>
      <c r="H14" s="107">
        <f t="shared" si="2"/>
        <v>0</v>
      </c>
      <c r="I14" s="29">
        <f t="shared" si="3"/>
        <v>31590359.797209147</v>
      </c>
      <c r="J14" s="29">
        <f t="shared" si="3"/>
        <v>20841990</v>
      </c>
      <c r="K14" s="107">
        <f t="shared" si="4"/>
        <v>5.7920728578615577E-2</v>
      </c>
      <c r="L14" s="28">
        <v>2615925.8143183063</v>
      </c>
      <c r="M14" s="28">
        <v>6006908</v>
      </c>
      <c r="N14" s="28">
        <v>14819836.870955657</v>
      </c>
      <c r="O14" s="28">
        <v>3487772</v>
      </c>
      <c r="P14" s="28">
        <v>1815789.8497106167</v>
      </c>
      <c r="Q14" s="28">
        <v>3016039</v>
      </c>
      <c r="R14" s="28">
        <v>6533005.4984552283</v>
      </c>
      <c r="S14" s="28">
        <v>3965534</v>
      </c>
      <c r="T14" s="28">
        <v>1754854.4758797702</v>
      </c>
      <c r="U14" s="28">
        <v>1744428</v>
      </c>
      <c r="V14" s="28">
        <v>3210289.7397063435</v>
      </c>
      <c r="W14" s="28">
        <v>1440066</v>
      </c>
      <c r="X14" s="28">
        <v>840657.54818322486</v>
      </c>
      <c r="Y14" s="28">
        <v>1181243</v>
      </c>
      <c r="Z14" s="293">
        <f t="shared" si="5"/>
        <v>52432349.797209144</v>
      </c>
    </row>
    <row r="15" spans="1:26" s="25" customFormat="1" ht="26.25" customHeight="1">
      <c r="A15" s="416">
        <v>7</v>
      </c>
      <c r="B15" s="418" t="s">
        <v>404</v>
      </c>
      <c r="C15" s="29">
        <f>+'Loans Receivable'!C76</f>
        <v>6847944103</v>
      </c>
      <c r="D15" s="107">
        <f t="shared" si="0"/>
        <v>0.51416303852049006</v>
      </c>
      <c r="E15" s="28">
        <v>22445529</v>
      </c>
      <c r="F15" s="107">
        <f t="shared" si="1"/>
        <v>1</v>
      </c>
      <c r="G15" s="28">
        <v>39846807</v>
      </c>
      <c r="H15" s="107">
        <f t="shared" si="2"/>
        <v>1</v>
      </c>
      <c r="I15" s="29">
        <f t="shared" si="3"/>
        <v>335565122.21681148</v>
      </c>
      <c r="J15" s="29">
        <f t="shared" si="3"/>
        <v>198979819</v>
      </c>
      <c r="K15" s="107">
        <f t="shared" si="4"/>
        <v>0.5904986630017286</v>
      </c>
      <c r="L15" s="28">
        <v>28391193.328676172</v>
      </c>
      <c r="M15" s="28">
        <v>23981305</v>
      </c>
      <c r="N15" s="28">
        <v>40664912.862882145</v>
      </c>
      <c r="O15" s="28">
        <v>14994415</v>
      </c>
      <c r="P15" s="28">
        <v>51823479.450535499</v>
      </c>
      <c r="Q15" s="28">
        <v>50220051</v>
      </c>
      <c r="R15" s="28">
        <v>75555943.321157396</v>
      </c>
      <c r="S15" s="28">
        <v>22860008</v>
      </c>
      <c r="T15" s="28">
        <v>47406472.63126497</v>
      </c>
      <c r="U15" s="28">
        <v>21104543</v>
      </c>
      <c r="V15" s="28">
        <v>83439426.7276043</v>
      </c>
      <c r="W15" s="28">
        <v>55315598</v>
      </c>
      <c r="X15" s="28">
        <v>8283693.8946910575</v>
      </c>
      <c r="Y15" s="28">
        <v>10503899</v>
      </c>
      <c r="Z15" s="293">
        <f t="shared" si="5"/>
        <v>534544941.21681148</v>
      </c>
    </row>
    <row r="16" spans="1:26" s="25" customFormat="1" ht="26.25" customHeight="1">
      <c r="A16" s="416">
        <v>8</v>
      </c>
      <c r="B16" s="418" t="s">
        <v>709</v>
      </c>
      <c r="C16" s="29">
        <f>+'Loans Receivable'!C77</f>
        <v>229585211</v>
      </c>
      <c r="D16" s="107">
        <f t="shared" si="0"/>
        <v>1.7237907890546904E-2</v>
      </c>
      <c r="E16" s="28"/>
      <c r="F16" s="107">
        <f t="shared" si="1"/>
        <v>0</v>
      </c>
      <c r="G16" s="28"/>
      <c r="H16" s="107">
        <f t="shared" si="2"/>
        <v>0</v>
      </c>
      <c r="I16" s="29">
        <f t="shared" si="3"/>
        <v>10525054.431688691</v>
      </c>
      <c r="J16" s="29">
        <f t="shared" si="3"/>
        <v>6937340</v>
      </c>
      <c r="K16" s="107">
        <f t="shared" si="4"/>
        <v>1.9290278084473814E-2</v>
      </c>
      <c r="L16" s="28">
        <v>472594.90757811454</v>
      </c>
      <c r="M16" s="28">
        <v>335051</v>
      </c>
      <c r="N16" s="28">
        <v>1580936.7983407476</v>
      </c>
      <c r="O16" s="28">
        <v>629719</v>
      </c>
      <c r="P16" s="28">
        <v>1815401.5000383812</v>
      </c>
      <c r="Q16" s="28">
        <v>2110473</v>
      </c>
      <c r="R16" s="28">
        <v>675221.39519063674</v>
      </c>
      <c r="S16" s="28">
        <v>1171886</v>
      </c>
      <c r="T16" s="28">
        <v>4037586.767357022</v>
      </c>
      <c r="U16" s="28">
        <v>992023</v>
      </c>
      <c r="V16" s="28">
        <v>1894875.1209049898</v>
      </c>
      <c r="W16" s="28">
        <v>1681743</v>
      </c>
      <c r="X16" s="28">
        <v>48437.942278799135</v>
      </c>
      <c r="Y16" s="28">
        <v>16445</v>
      </c>
      <c r="Z16" s="293">
        <f t="shared" si="5"/>
        <v>17462394.431688689</v>
      </c>
    </row>
    <row r="17" spans="1:26" s="25" customFormat="1" ht="26.25" customHeight="1">
      <c r="A17" s="416">
        <v>9</v>
      </c>
      <c r="B17" s="419" t="s">
        <v>710</v>
      </c>
      <c r="C17" s="29">
        <f>+'Loans Receivable'!C81</f>
        <v>0</v>
      </c>
      <c r="D17" s="107">
        <f t="shared" si="0"/>
        <v>0</v>
      </c>
      <c r="E17" s="28"/>
      <c r="F17" s="107">
        <f t="shared" si="1"/>
        <v>0</v>
      </c>
      <c r="G17" s="28"/>
      <c r="H17" s="107">
        <f t="shared" si="2"/>
        <v>0</v>
      </c>
      <c r="I17" s="29">
        <f t="shared" si="3"/>
        <v>0</v>
      </c>
      <c r="J17" s="29">
        <f t="shared" si="3"/>
        <v>0</v>
      </c>
      <c r="K17" s="107">
        <f t="shared" si="4"/>
        <v>0</v>
      </c>
      <c r="L17" s="28">
        <v>0</v>
      </c>
      <c r="M17" s="28"/>
      <c r="N17" s="28">
        <v>0</v>
      </c>
      <c r="O17" s="28"/>
      <c r="P17" s="28">
        <v>0</v>
      </c>
      <c r="Q17" s="28"/>
      <c r="R17" s="28">
        <v>0</v>
      </c>
      <c r="S17" s="28"/>
      <c r="T17" s="28">
        <v>0</v>
      </c>
      <c r="U17" s="28"/>
      <c r="V17" s="28">
        <v>0</v>
      </c>
      <c r="W17" s="28"/>
      <c r="X17" s="28">
        <v>0</v>
      </c>
      <c r="Y17" s="28"/>
      <c r="Z17" s="293">
        <f t="shared" si="5"/>
        <v>0</v>
      </c>
    </row>
    <row r="18" spans="1:26" s="25" customFormat="1" ht="38.25" customHeight="1">
      <c r="A18" s="416">
        <v>10</v>
      </c>
      <c r="B18" s="419" t="s">
        <v>675</v>
      </c>
      <c r="C18" s="29">
        <f>+'Loans Receivable'!C82</f>
        <v>199265686</v>
      </c>
      <c r="D18" s="107">
        <f t="shared" si="0"/>
        <v>1.4961432080286049E-2</v>
      </c>
      <c r="E18" s="28"/>
      <c r="F18" s="107">
        <f t="shared" si="1"/>
        <v>0</v>
      </c>
      <c r="G18" s="28"/>
      <c r="H18" s="107">
        <f t="shared" si="2"/>
        <v>0</v>
      </c>
      <c r="I18" s="29">
        <f t="shared" si="3"/>
        <v>1493441.8594000007</v>
      </c>
      <c r="J18" s="29">
        <f t="shared" si="3"/>
        <v>589444</v>
      </c>
      <c r="K18" s="107">
        <f t="shared" si="4"/>
        <v>2.3009128331869153E-3</v>
      </c>
      <c r="L18" s="28">
        <v>138476.93489358859</v>
      </c>
      <c r="M18" s="28">
        <v>132352</v>
      </c>
      <c r="N18" s="28">
        <v>380890.29048552451</v>
      </c>
      <c r="O18" s="28">
        <v>328210</v>
      </c>
      <c r="P18" s="28">
        <v>76886.776064440463</v>
      </c>
      <c r="Q18" s="28">
        <v>53869</v>
      </c>
      <c r="R18" s="28">
        <v>891457.88368647592</v>
      </c>
      <c r="S18" s="28">
        <v>52210</v>
      </c>
      <c r="T18" s="28">
        <v>5729.974269970955</v>
      </c>
      <c r="U18" s="28">
        <v>22803</v>
      </c>
      <c r="V18" s="28">
        <v>0</v>
      </c>
      <c r="W18" s="28"/>
      <c r="X18" s="28">
        <v>0</v>
      </c>
      <c r="Y18" s="28"/>
      <c r="Z18" s="293">
        <f t="shared" si="5"/>
        <v>2082885.8594000007</v>
      </c>
    </row>
    <row r="19" spans="1:26" s="25" customFormat="1" ht="26.25" customHeight="1">
      <c r="A19" s="416">
        <v>11</v>
      </c>
      <c r="B19" s="419" t="s">
        <v>676</v>
      </c>
      <c r="C19" s="29">
        <f>+'Loans Receivable'!C83</f>
        <v>0</v>
      </c>
      <c r="D19" s="107">
        <f t="shared" si="0"/>
        <v>0</v>
      </c>
      <c r="E19" s="28"/>
      <c r="F19" s="107">
        <f t="shared" si="1"/>
        <v>0</v>
      </c>
      <c r="G19" s="28"/>
      <c r="H19" s="107">
        <f t="shared" si="2"/>
        <v>0</v>
      </c>
      <c r="I19" s="29">
        <f t="shared" si="3"/>
        <v>0</v>
      </c>
      <c r="J19" s="29">
        <f t="shared" si="3"/>
        <v>0</v>
      </c>
      <c r="K19" s="107">
        <f t="shared" si="4"/>
        <v>0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93">
        <f t="shared" si="5"/>
        <v>0</v>
      </c>
    </row>
    <row r="20" spans="1:26" s="25" customFormat="1" ht="26.25" customHeight="1">
      <c r="A20" s="416">
        <v>12</v>
      </c>
      <c r="B20" s="419" t="s">
        <v>677</v>
      </c>
      <c r="C20" s="29">
        <f>+'Loans Receivable'!C84</f>
        <v>0</v>
      </c>
      <c r="D20" s="107">
        <f t="shared" si="0"/>
        <v>0</v>
      </c>
      <c r="E20" s="28"/>
      <c r="F20" s="107">
        <f t="shared" si="1"/>
        <v>0</v>
      </c>
      <c r="G20" s="28"/>
      <c r="H20" s="107">
        <f t="shared" si="2"/>
        <v>0</v>
      </c>
      <c r="I20" s="29">
        <f t="shared" si="3"/>
        <v>0</v>
      </c>
      <c r="J20" s="29">
        <f t="shared" si="3"/>
        <v>0</v>
      </c>
      <c r="K20" s="107">
        <f t="shared" si="4"/>
        <v>0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93">
        <f t="shared" si="5"/>
        <v>0</v>
      </c>
    </row>
    <row r="21" spans="1:26" s="25" customFormat="1" ht="18.75" customHeight="1">
      <c r="A21" s="26"/>
      <c r="B21" s="27"/>
      <c r="C21" s="29"/>
      <c r="D21" s="107"/>
      <c r="E21" s="106"/>
      <c r="F21" s="107"/>
      <c r="G21" s="106"/>
      <c r="H21" s="107"/>
      <c r="I21" s="29"/>
      <c r="J21" s="107"/>
      <c r="K21" s="10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93">
        <f>+I21+J21</f>
        <v>0</v>
      </c>
    </row>
    <row r="22" spans="1:26" s="25" customFormat="1" ht="27.75" customHeight="1">
      <c r="A22" s="115">
        <v>13</v>
      </c>
      <c r="B22" s="115" t="s">
        <v>678</v>
      </c>
      <c r="C22" s="609">
        <f>SUM(C9:C20)</f>
        <v>13318623841</v>
      </c>
      <c r="D22" s="610">
        <f>IF(C$22=0,"",C22/C$22)</f>
        <v>1</v>
      </c>
      <c r="E22" s="609">
        <f>SUM(E9:E20)</f>
        <v>22445529</v>
      </c>
      <c r="F22" s="610">
        <f>IF(E$22=0,"",E22/E$22)</f>
        <v>1</v>
      </c>
      <c r="G22" s="609">
        <f>SUM(G9:G20)</f>
        <v>39846807</v>
      </c>
      <c r="H22" s="610">
        <f>IF($G$22=0,"",G22/$G$22)</f>
        <v>1</v>
      </c>
      <c r="I22" s="609">
        <f>SUM(I9:I20)</f>
        <v>592099241</v>
      </c>
      <c r="J22" s="609">
        <f>SUM(J9:J20)</f>
        <v>313144030</v>
      </c>
      <c r="K22" s="610">
        <f>IF($Z$22=0,"",Z22/$Z$22)</f>
        <v>1</v>
      </c>
      <c r="L22" s="609">
        <f t="shared" ref="L22:Y22" si="6">SUM(L9:L20)</f>
        <v>43014325.00540296</v>
      </c>
      <c r="M22" s="609">
        <f t="shared" si="6"/>
        <v>39032943</v>
      </c>
      <c r="N22" s="609">
        <f t="shared" si="6"/>
        <v>68590827.147541866</v>
      </c>
      <c r="O22" s="609">
        <f t="shared" si="6"/>
        <v>23857391</v>
      </c>
      <c r="P22" s="609">
        <f t="shared" si="6"/>
        <v>68188662.81232433</v>
      </c>
      <c r="Q22" s="609">
        <f t="shared" si="6"/>
        <v>60676658</v>
      </c>
      <c r="R22" s="609">
        <f t="shared" si="6"/>
        <v>122104972.67087479</v>
      </c>
      <c r="S22" s="609">
        <f t="shared" si="6"/>
        <v>42684790</v>
      </c>
      <c r="T22" s="609">
        <f t="shared" si="6"/>
        <v>93027755.366820231</v>
      </c>
      <c r="U22" s="609">
        <f t="shared" si="6"/>
        <v>47014346</v>
      </c>
      <c r="V22" s="609">
        <f t="shared" si="6"/>
        <v>174213185.06253773</v>
      </c>
      <c r="W22" s="609">
        <f t="shared" si="6"/>
        <v>81039299</v>
      </c>
      <c r="X22" s="609">
        <f t="shared" si="6"/>
        <v>22959512.934498142</v>
      </c>
      <c r="Y22" s="609">
        <f t="shared" si="6"/>
        <v>18838603</v>
      </c>
      <c r="Z22" s="293">
        <f t="shared" si="5"/>
        <v>905243271</v>
      </c>
    </row>
    <row r="23" spans="1:26" s="25" customFormat="1" ht="18.75" customHeight="1">
      <c r="A23" s="416"/>
      <c r="B23" s="417"/>
      <c r="C23" s="29"/>
      <c r="D23" s="611"/>
      <c r="E23" s="106"/>
      <c r="F23" s="107"/>
      <c r="G23" s="106"/>
      <c r="H23" s="611"/>
      <c r="I23" s="29"/>
      <c r="J23" s="107"/>
      <c r="K23" s="61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93">
        <f t="shared" si="5"/>
        <v>0</v>
      </c>
    </row>
    <row r="24" spans="1:26" s="25" customFormat="1" ht="27.75" customHeight="1">
      <c r="A24" s="115"/>
      <c r="B24" s="115" t="s">
        <v>679</v>
      </c>
      <c r="C24" s="420"/>
      <c r="D24" s="420"/>
      <c r="E24" s="420"/>
      <c r="F24" s="420"/>
      <c r="G24" s="420"/>
      <c r="H24" s="420"/>
      <c r="I24" s="420"/>
      <c r="J24" s="420"/>
      <c r="K24" s="420"/>
      <c r="L24" s="420"/>
      <c r="M24" s="420"/>
      <c r="N24" s="420"/>
      <c r="O24" s="420"/>
      <c r="P24" s="420"/>
      <c r="Q24" s="420"/>
      <c r="R24" s="420"/>
      <c r="S24" s="420"/>
      <c r="T24" s="420"/>
      <c r="U24" s="420"/>
      <c r="V24" s="420"/>
      <c r="W24" s="420"/>
      <c r="X24" s="420"/>
      <c r="Y24" s="420"/>
      <c r="Z24" s="291">
        <f t="shared" si="5"/>
        <v>0</v>
      </c>
    </row>
    <row r="25" spans="1:26" s="25" customFormat="1" ht="26.25" customHeight="1">
      <c r="A25" s="26">
        <v>14</v>
      </c>
      <c r="B25" s="536" t="s">
        <v>471</v>
      </c>
      <c r="C25" s="29">
        <f>+'Loans Receivable'!C14</f>
        <v>3630116373</v>
      </c>
      <c r="D25" s="107">
        <f t="shared" ref="D25:D32" si="7">IF(C$35=0,"",C25/C$35)</f>
        <v>0.27255941877606482</v>
      </c>
      <c r="E25" s="28">
        <v>2572161</v>
      </c>
      <c r="F25" s="107">
        <f t="shared" ref="F25:F33" si="8">IF($E$35=0,"",E25/$E$35)</f>
        <v>0.11459569520504506</v>
      </c>
      <c r="G25" s="28">
        <v>9150659</v>
      </c>
      <c r="H25" s="107">
        <f t="shared" ref="H25:H33" si="9">IF($G$35=0,"",G25/$G$35)</f>
        <v>0.22964597891118352</v>
      </c>
      <c r="I25" s="29">
        <f t="shared" ref="I25:J32" si="10">+L25+N25+P25+R25+T25+V25+X25</f>
        <v>138691876.18051699</v>
      </c>
      <c r="J25" s="29">
        <f t="shared" si="10"/>
        <v>95293332.962364346</v>
      </c>
      <c r="K25" s="107">
        <f t="shared" ref="K25:K33" si="11">IF($Z$35=0,"",Z25/$Z$35)</f>
        <v>0.25847771161491612</v>
      </c>
      <c r="L25" s="28">
        <v>8501843.1970932875</v>
      </c>
      <c r="M25" s="28">
        <v>8905798.9397228081</v>
      </c>
      <c r="N25" s="28">
        <v>25052517.301832952</v>
      </c>
      <c r="O25" s="28">
        <v>8081340.648173118</v>
      </c>
      <c r="P25" s="28">
        <v>21653230.722121853</v>
      </c>
      <c r="Q25" s="28">
        <v>29521374.0312718</v>
      </c>
      <c r="R25" s="28">
        <v>37780244.110254452</v>
      </c>
      <c r="S25" s="28">
        <v>11792556.055874199</v>
      </c>
      <c r="T25" s="28">
        <v>7450404.3597115278</v>
      </c>
      <c r="U25" s="28">
        <v>7520315.911963216</v>
      </c>
      <c r="V25" s="28">
        <v>31929793.310200632</v>
      </c>
      <c r="W25" s="28">
        <v>22042893.098545227</v>
      </c>
      <c r="X25" s="28">
        <v>6323843.1793023031</v>
      </c>
      <c r="Y25" s="28">
        <v>7429054.276813969</v>
      </c>
      <c r="Z25" s="293">
        <f t="shared" si="5"/>
        <v>233985209.14288133</v>
      </c>
    </row>
    <row r="26" spans="1:26" s="25" customFormat="1" ht="26.25" customHeight="1">
      <c r="A26" s="26">
        <v>15</v>
      </c>
      <c r="B26" s="536" t="s">
        <v>472</v>
      </c>
      <c r="C26" s="29">
        <f>+'Loans Receivable'!C22</f>
        <v>1847415442</v>
      </c>
      <c r="D26" s="107">
        <f t="shared" si="7"/>
        <v>0.13870918377564831</v>
      </c>
      <c r="E26" s="28">
        <v>1045741</v>
      </c>
      <c r="F26" s="107">
        <f t="shared" si="8"/>
        <v>4.6590169472058331E-2</v>
      </c>
      <c r="G26" s="28">
        <v>9138262</v>
      </c>
      <c r="H26" s="107">
        <f t="shared" si="9"/>
        <v>0.2293348623893503</v>
      </c>
      <c r="I26" s="29">
        <f t="shared" si="10"/>
        <v>55016872.245666705</v>
      </c>
      <c r="J26" s="29">
        <f t="shared" si="10"/>
        <v>43422471.160976715</v>
      </c>
      <c r="K26" s="107">
        <f t="shared" si="11"/>
        <v>0.1087435240450889</v>
      </c>
      <c r="L26" s="28">
        <v>2211351.1349447104</v>
      </c>
      <c r="M26" s="28">
        <v>4920314.6709584296</v>
      </c>
      <c r="N26" s="28">
        <v>5774947.7501708223</v>
      </c>
      <c r="O26" s="28">
        <v>2805291.7774115182</v>
      </c>
      <c r="P26" s="28">
        <v>7265116.7609690866</v>
      </c>
      <c r="Q26" s="28">
        <v>10143094.216186769</v>
      </c>
      <c r="R26" s="28">
        <v>8318064.1056155739</v>
      </c>
      <c r="S26" s="28">
        <v>7149884.2540384578</v>
      </c>
      <c r="T26" s="28">
        <v>12959419.808554528</v>
      </c>
      <c r="U26" s="28">
        <v>6594788.8825899996</v>
      </c>
      <c r="V26" s="28">
        <v>17411742.135367386</v>
      </c>
      <c r="W26" s="28">
        <v>10737613.543444093</v>
      </c>
      <c r="X26" s="28">
        <v>1076230.5500445941</v>
      </c>
      <c r="Y26" s="28">
        <v>1071483.81634744</v>
      </c>
      <c r="Z26" s="293">
        <f t="shared" si="5"/>
        <v>98439343.40664342</v>
      </c>
    </row>
    <row r="27" spans="1:26" s="25" customFormat="1" ht="26.25" customHeight="1">
      <c r="A27" s="26">
        <v>16</v>
      </c>
      <c r="B27" s="536" t="s">
        <v>473</v>
      </c>
      <c r="C27" s="29">
        <f>+'Loans Receivable'!C29</f>
        <v>180788828</v>
      </c>
      <c r="D27" s="107">
        <f t="shared" si="7"/>
        <v>1.3574137250085881E-2</v>
      </c>
      <c r="E27" s="28">
        <v>0</v>
      </c>
      <c r="F27" s="107">
        <f t="shared" si="8"/>
        <v>0</v>
      </c>
      <c r="G27" s="28">
        <v>3642444</v>
      </c>
      <c r="H27" s="107">
        <f t="shared" si="9"/>
        <v>9.1411188856361819E-2</v>
      </c>
      <c r="I27" s="29">
        <f t="shared" si="10"/>
        <v>14647042.649675621</v>
      </c>
      <c r="J27" s="29">
        <f t="shared" si="10"/>
        <v>7204394.5054648677</v>
      </c>
      <c r="K27" s="107">
        <f t="shared" si="11"/>
        <v>2.4138745744005083E-2</v>
      </c>
      <c r="L27" s="28">
        <v>1521845.6763503936</v>
      </c>
      <c r="M27" s="28">
        <v>355832.09670046787</v>
      </c>
      <c r="N27" s="28">
        <v>711542.72020875697</v>
      </c>
      <c r="O27" s="28">
        <v>376004.23867666221</v>
      </c>
      <c r="P27" s="28">
        <v>1506384.8383903012</v>
      </c>
      <c r="Q27" s="28">
        <v>625726.97131743224</v>
      </c>
      <c r="R27" s="28">
        <v>490836.89634970116</v>
      </c>
      <c r="S27" s="28">
        <v>52907.480140715576</v>
      </c>
      <c r="T27" s="28">
        <v>3151968.6758153425</v>
      </c>
      <c r="U27" s="28">
        <v>2488672.7455612742</v>
      </c>
      <c r="V27" s="28">
        <v>6491973.6353043178</v>
      </c>
      <c r="W27" s="28">
        <v>2713272.4600807284</v>
      </c>
      <c r="X27" s="28">
        <v>772490.20725680771</v>
      </c>
      <c r="Y27" s="28">
        <v>591978.51298758632</v>
      </c>
      <c r="Z27" s="293">
        <f t="shared" si="5"/>
        <v>21851437.155140489</v>
      </c>
    </row>
    <row r="28" spans="1:26" s="25" customFormat="1" ht="26.25" customHeight="1">
      <c r="A28" s="26">
        <v>17</v>
      </c>
      <c r="B28" s="536" t="s">
        <v>474</v>
      </c>
      <c r="C28" s="29">
        <f>+'Loans Receivable'!C36</f>
        <v>192184990</v>
      </c>
      <c r="D28" s="107">
        <f t="shared" si="7"/>
        <v>1.4429793370121204E-2</v>
      </c>
      <c r="E28" s="28">
        <v>1423986</v>
      </c>
      <c r="F28" s="107">
        <f t="shared" si="8"/>
        <v>6.3441855168572772E-2</v>
      </c>
      <c r="G28" s="28">
        <v>2710259</v>
      </c>
      <c r="H28" s="107">
        <f t="shared" si="9"/>
        <v>6.8016968084795348E-2</v>
      </c>
      <c r="I28" s="29">
        <f t="shared" si="10"/>
        <v>13507442.740813913</v>
      </c>
      <c r="J28" s="29">
        <f t="shared" si="10"/>
        <v>4591040.4944618903</v>
      </c>
      <c r="K28" s="107">
        <f t="shared" si="11"/>
        <v>1.9992949757342969E-2</v>
      </c>
      <c r="L28" s="28">
        <v>221341.87099032541</v>
      </c>
      <c r="M28" s="28">
        <v>305857.68801256991</v>
      </c>
      <c r="N28" s="28">
        <v>520194.60492058366</v>
      </c>
      <c r="O28" s="28">
        <v>41608.786140416712</v>
      </c>
      <c r="P28" s="28">
        <v>8615285.3870897628</v>
      </c>
      <c r="Q28" s="28">
        <v>1579489.7674222484</v>
      </c>
      <c r="R28" s="28">
        <v>1533640.3858854226</v>
      </c>
      <c r="S28" s="28">
        <v>494575.57126453798</v>
      </c>
      <c r="T28" s="28">
        <v>1092330.8093912946</v>
      </c>
      <c r="U28" s="28">
        <v>730864.54983969964</v>
      </c>
      <c r="V28" s="28">
        <v>1393053.7243428058</v>
      </c>
      <c r="W28" s="28">
        <v>584094.56538964738</v>
      </c>
      <c r="X28" s="28">
        <v>131595.95819371531</v>
      </c>
      <c r="Y28" s="28">
        <v>854549.56639276957</v>
      </c>
      <c r="Z28" s="293">
        <f t="shared" si="5"/>
        <v>18098483.235275805</v>
      </c>
    </row>
    <row r="29" spans="1:26" s="25" customFormat="1" ht="26.25" customHeight="1">
      <c r="A29" s="26">
        <v>18</v>
      </c>
      <c r="B29" s="537" t="s">
        <v>711</v>
      </c>
      <c r="C29" s="29">
        <f>+'Loans Receivable'!C43</f>
        <v>1435340065</v>
      </c>
      <c r="D29" s="107">
        <f t="shared" si="7"/>
        <v>0.10776939735931686</v>
      </c>
      <c r="E29" s="28">
        <v>14416468</v>
      </c>
      <c r="F29" s="107">
        <f t="shared" si="8"/>
        <v>0.64228684474311115</v>
      </c>
      <c r="G29" s="28">
        <v>4804495</v>
      </c>
      <c r="H29" s="107">
        <f t="shared" si="9"/>
        <v>0.12057415290514997</v>
      </c>
      <c r="I29" s="29">
        <f t="shared" si="10"/>
        <v>91062704.132488146</v>
      </c>
      <c r="J29" s="29">
        <f t="shared" si="10"/>
        <v>34514034.68791458</v>
      </c>
      <c r="K29" s="107">
        <f t="shared" si="11"/>
        <v>0.13872153800345977</v>
      </c>
      <c r="L29" s="28">
        <v>3393241.4295251742</v>
      </c>
      <c r="M29" s="28">
        <v>4480349.7352166148</v>
      </c>
      <c r="N29" s="28">
        <v>18162648.918352753</v>
      </c>
      <c r="O29" s="28">
        <v>4793921.8144963728</v>
      </c>
      <c r="P29" s="28">
        <v>8883634.0091979522</v>
      </c>
      <c r="Q29" s="28">
        <v>2279952.2766638612</v>
      </c>
      <c r="R29" s="28">
        <v>24459579.628773458</v>
      </c>
      <c r="S29" s="28">
        <v>6453487.7224794971</v>
      </c>
      <c r="T29" s="28">
        <v>19699064.629253928</v>
      </c>
      <c r="U29" s="28">
        <v>3735412.0099246982</v>
      </c>
      <c r="V29" s="28">
        <v>15916850.854223169</v>
      </c>
      <c r="W29" s="28">
        <v>11522403.754972843</v>
      </c>
      <c r="X29" s="28">
        <v>547684.66316171701</v>
      </c>
      <c r="Y29" s="28">
        <v>1248507.3741606935</v>
      </c>
      <c r="Z29" s="293">
        <f t="shared" si="5"/>
        <v>125576738.82040273</v>
      </c>
    </row>
    <row r="30" spans="1:26" s="25" customFormat="1" ht="38.25" customHeight="1">
      <c r="A30" s="26">
        <v>19</v>
      </c>
      <c r="B30" s="537" t="s">
        <v>476</v>
      </c>
      <c r="C30" s="29">
        <f>+'Loans Receivable'!C50</f>
        <v>999195681</v>
      </c>
      <c r="D30" s="107">
        <f t="shared" si="7"/>
        <v>7.502244172735624E-2</v>
      </c>
      <c r="E30" s="28">
        <v>2987173</v>
      </c>
      <c r="F30" s="107">
        <f t="shared" si="8"/>
        <v>0.13308543541121262</v>
      </c>
      <c r="G30" s="28">
        <v>10400688</v>
      </c>
      <c r="H30" s="107">
        <f t="shared" si="9"/>
        <v>0.26101684885315907</v>
      </c>
      <c r="I30" s="29">
        <f t="shared" si="10"/>
        <v>49338695.607906826</v>
      </c>
      <c r="J30" s="29">
        <f t="shared" si="10"/>
        <v>37844279.613837518</v>
      </c>
      <c r="K30" s="107">
        <f t="shared" si="11"/>
        <v>9.6308890675801936E-2</v>
      </c>
      <c r="L30" s="28">
        <v>15144844.852607407</v>
      </c>
      <c r="M30" s="28">
        <v>11140632.070359189</v>
      </c>
      <c r="N30" s="28">
        <v>5974469.9990160279</v>
      </c>
      <c r="O30" s="28">
        <v>2852965.7875225297</v>
      </c>
      <c r="P30" s="28">
        <v>4204043.7754568793</v>
      </c>
      <c r="Q30" s="28">
        <v>10556141.029967293</v>
      </c>
      <c r="R30" s="28">
        <v>8026791.6363028074</v>
      </c>
      <c r="S30" s="28">
        <v>1691013.9677360835</v>
      </c>
      <c r="T30" s="28">
        <v>4202624.9010871239</v>
      </c>
      <c r="U30" s="28">
        <v>1714924.7846271149</v>
      </c>
      <c r="V30" s="28">
        <v>11623829.652622979</v>
      </c>
      <c r="W30" s="28">
        <v>9382588.5203277674</v>
      </c>
      <c r="X30" s="28">
        <v>162090.7908136051</v>
      </c>
      <c r="Y30" s="28">
        <v>506013.45329754165</v>
      </c>
      <c r="Z30" s="293">
        <f t="shared" si="5"/>
        <v>87182975.221744344</v>
      </c>
    </row>
    <row r="31" spans="1:26" s="25" customFormat="1" ht="26.25" customHeight="1">
      <c r="A31" s="26">
        <v>20</v>
      </c>
      <c r="B31" s="536" t="s">
        <v>712</v>
      </c>
      <c r="C31" s="29">
        <f>+'Loans Receivable'!C58</f>
        <v>104803073</v>
      </c>
      <c r="D31" s="107">
        <f t="shared" si="7"/>
        <v>7.8689115520610038E-3</v>
      </c>
      <c r="E31" s="28"/>
      <c r="F31" s="107">
        <f t="shared" si="8"/>
        <v>0</v>
      </c>
      <c r="G31" s="28"/>
      <c r="H31" s="107">
        <f t="shared" si="9"/>
        <v>0</v>
      </c>
      <c r="I31" s="29">
        <f t="shared" si="10"/>
        <v>0</v>
      </c>
      <c r="J31" s="29">
        <f t="shared" si="10"/>
        <v>22664.873107363732</v>
      </c>
      <c r="K31" s="107">
        <f t="shared" si="11"/>
        <v>2.5037328454622374E-5</v>
      </c>
      <c r="L31" s="28">
        <v>0</v>
      </c>
      <c r="M31" s="28">
        <v>22664.873107363732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93">
        <f t="shared" si="5"/>
        <v>22664.873107363732</v>
      </c>
    </row>
    <row r="32" spans="1:26" s="25" customFormat="1" ht="26.25" customHeight="1">
      <c r="A32" s="26">
        <v>21</v>
      </c>
      <c r="B32" s="536" t="s">
        <v>478</v>
      </c>
      <c r="C32" s="29">
        <f>+'Loans Receivable'!C70</f>
        <v>347394134</v>
      </c>
      <c r="D32" s="107">
        <f t="shared" si="7"/>
        <v>2.6083335496763806E-2</v>
      </c>
      <c r="E32" s="28"/>
      <c r="F32" s="107">
        <f t="shared" si="8"/>
        <v>0</v>
      </c>
      <c r="G32" s="28"/>
      <c r="H32" s="107">
        <f t="shared" si="9"/>
        <v>0</v>
      </c>
      <c r="I32" s="29">
        <f t="shared" si="10"/>
        <v>18976167.539831791</v>
      </c>
      <c r="J32" s="29">
        <f t="shared" si="10"/>
        <v>5203236.7018727371</v>
      </c>
      <c r="K32" s="107">
        <f t="shared" si="11"/>
        <v>2.6710393787290055E-2</v>
      </c>
      <c r="L32" s="28">
        <v>1087269.4263838441</v>
      </c>
      <c r="M32" s="28">
        <v>340604.92592255282</v>
      </c>
      <c r="N32" s="28">
        <v>1376071.9407889745</v>
      </c>
      <c r="O32" s="28">
        <v>520057.94757938257</v>
      </c>
      <c r="P32" s="28">
        <v>3517347.384431697</v>
      </c>
      <c r="Q32" s="28">
        <v>719814.70717060042</v>
      </c>
      <c r="R32" s="28">
        <v>3255053.8635280887</v>
      </c>
      <c r="S32" s="28">
        <v>582641.94846650911</v>
      </c>
      <c r="T32" s="28">
        <v>5315698.1016067853</v>
      </c>
      <c r="U32" s="28">
        <v>1192897.1154939993</v>
      </c>
      <c r="V32" s="28">
        <v>4265872.7867120607</v>
      </c>
      <c r="W32" s="28">
        <v>1847220.0572396931</v>
      </c>
      <c r="X32" s="28">
        <v>158854.03638034046</v>
      </c>
      <c r="Y32" s="28">
        <v>0</v>
      </c>
      <c r="Z32" s="293">
        <f t="shared" si="5"/>
        <v>24179404.241704527</v>
      </c>
    </row>
    <row r="33" spans="1:30" s="25" customFormat="1" ht="26.25" customHeight="1">
      <c r="A33" s="26">
        <v>22</v>
      </c>
      <c r="B33" s="536" t="s">
        <v>401</v>
      </c>
      <c r="C33" s="29">
        <f>+'Loans Receivable'!C71</f>
        <v>4581385255</v>
      </c>
      <c r="D33" s="107">
        <f t="shared" ref="D33" si="12">IF(C$35=0,"",C33/C$35)</f>
        <v>0.34398338069258189</v>
      </c>
      <c r="E33" s="28"/>
      <c r="F33" s="107">
        <f t="shared" si="8"/>
        <v>0</v>
      </c>
      <c r="G33" s="28"/>
      <c r="H33" s="107">
        <f t="shared" si="9"/>
        <v>0</v>
      </c>
      <c r="I33" s="29">
        <f t="shared" ref="I33" si="13">+L33+N33+P33+R33+T33+V33+X33</f>
        <v>210858439.90309998</v>
      </c>
      <c r="J33" s="29">
        <f t="shared" ref="J33" si="14">+M33+O33+Q33+S33+U33+W33+Y33</f>
        <v>85048575</v>
      </c>
      <c r="K33" s="107">
        <f t="shared" si="11"/>
        <v>0.3268812090436406</v>
      </c>
      <c r="L33" s="28">
        <v>10932587.41750782</v>
      </c>
      <c r="M33" s="28">
        <v>8560888</v>
      </c>
      <c r="N33" s="28">
        <v>11018433.912250988</v>
      </c>
      <c r="O33" s="28">
        <v>4386200</v>
      </c>
      <c r="P33" s="28">
        <v>12543619.934666799</v>
      </c>
      <c r="Q33" s="28">
        <v>5251065</v>
      </c>
      <c r="R33" s="28">
        <v>38240762.044165276</v>
      </c>
      <c r="S33" s="28">
        <v>14467723</v>
      </c>
      <c r="T33" s="28">
        <v>39156244.081399687</v>
      </c>
      <c r="U33" s="28">
        <v>23036470</v>
      </c>
      <c r="V33" s="28">
        <v>85180068.963764369</v>
      </c>
      <c r="W33" s="28">
        <v>22209213</v>
      </c>
      <c r="X33" s="28">
        <v>13786723.549345059</v>
      </c>
      <c r="Y33" s="28">
        <v>7137016</v>
      </c>
      <c r="Z33" s="293">
        <f t="shared" si="5"/>
        <v>295907014.90310001</v>
      </c>
    </row>
    <row r="34" spans="1:30" s="25" customFormat="1" ht="18.75" customHeight="1">
      <c r="A34" s="26"/>
      <c r="B34" s="27"/>
      <c r="C34" s="29"/>
      <c r="D34" s="107"/>
      <c r="E34" s="106"/>
      <c r="F34" s="107"/>
      <c r="G34" s="106"/>
      <c r="H34" s="107"/>
      <c r="I34" s="29"/>
      <c r="J34" s="107"/>
      <c r="K34" s="10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3">
        <f t="shared" si="5"/>
        <v>0</v>
      </c>
    </row>
    <row r="35" spans="1:30" s="25" customFormat="1" ht="27.75" customHeight="1">
      <c r="A35" s="420">
        <v>23</v>
      </c>
      <c r="B35" s="420" t="s">
        <v>678</v>
      </c>
      <c r="C35" s="609">
        <f>SUM(C25:C33)</f>
        <v>13318623841</v>
      </c>
      <c r="D35" s="610">
        <f>IF(C$35=0,"",C35/C$35)</f>
        <v>1</v>
      </c>
      <c r="E35" s="609">
        <f>SUM(E25:E33)</f>
        <v>22445529</v>
      </c>
      <c r="F35" s="610">
        <f>IF($E$35=0,"",E35/$E$35)</f>
        <v>1</v>
      </c>
      <c r="G35" s="609">
        <f>SUM(G25:G33)</f>
        <v>39846807</v>
      </c>
      <c r="H35" s="610">
        <f>IF($G$35=0,"",G35/$G$35)</f>
        <v>1</v>
      </c>
      <c r="I35" s="609">
        <f>SUM(I25:I33)</f>
        <v>592099241</v>
      </c>
      <c r="J35" s="609">
        <f>SUM(J25:J33)</f>
        <v>313144030</v>
      </c>
      <c r="K35" s="610">
        <f>IF($Z$35=0,"",Z35/$Z$35)</f>
        <v>1</v>
      </c>
      <c r="L35" s="609">
        <f t="shared" ref="L35:Y35" si="15">SUM(L25:L33)</f>
        <v>43014325.005402967</v>
      </c>
      <c r="M35" s="609">
        <f t="shared" si="15"/>
        <v>39032943</v>
      </c>
      <c r="N35" s="609">
        <f t="shared" si="15"/>
        <v>68590827.147541866</v>
      </c>
      <c r="O35" s="609">
        <f t="shared" si="15"/>
        <v>23857391</v>
      </c>
      <c r="P35" s="609">
        <f t="shared" si="15"/>
        <v>68188662.81232433</v>
      </c>
      <c r="Q35" s="609">
        <f t="shared" si="15"/>
        <v>60676658.000000007</v>
      </c>
      <c r="R35" s="609">
        <f t="shared" si="15"/>
        <v>122104972.67087477</v>
      </c>
      <c r="S35" s="609">
        <f t="shared" si="15"/>
        <v>42684790</v>
      </c>
      <c r="T35" s="609">
        <f t="shared" si="15"/>
        <v>93027755.366820216</v>
      </c>
      <c r="U35" s="609">
        <f t="shared" si="15"/>
        <v>47014346</v>
      </c>
      <c r="V35" s="609">
        <f t="shared" si="15"/>
        <v>174213185.06253773</v>
      </c>
      <c r="W35" s="609">
        <f t="shared" si="15"/>
        <v>81039299</v>
      </c>
      <c r="X35" s="609">
        <f t="shared" si="15"/>
        <v>22959512.934498142</v>
      </c>
      <c r="Y35" s="609">
        <f t="shared" si="15"/>
        <v>18838603</v>
      </c>
      <c r="Z35" s="293">
        <f t="shared" si="5"/>
        <v>905243271</v>
      </c>
    </row>
    <row r="36" spans="1:30" ht="22.5" customHeight="1">
      <c r="A36" s="30"/>
    </row>
    <row r="37" spans="1:30" s="269" customFormat="1" ht="18.75" customHeight="1">
      <c r="A37" s="34"/>
      <c r="B37" s="198" t="s">
        <v>788</v>
      </c>
      <c r="C37" s="34"/>
      <c r="D37" s="34"/>
      <c r="E37" s="34"/>
      <c r="F37" s="349"/>
      <c r="G37" s="349"/>
      <c r="H37" s="349"/>
      <c r="I37" s="349"/>
      <c r="J37" s="349"/>
      <c r="K37" s="349"/>
      <c r="L37" s="349"/>
      <c r="M37" s="349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spans="1:30" s="269" customFormat="1" ht="18.75" customHeight="1">
      <c r="A38" s="34"/>
      <c r="B38" s="198"/>
      <c r="C38" s="34"/>
      <c r="D38" s="34"/>
      <c r="E38" s="34"/>
      <c r="F38" s="349"/>
      <c r="G38" s="349"/>
      <c r="H38" s="349"/>
      <c r="I38" s="349"/>
      <c r="J38" s="349"/>
      <c r="K38" s="349"/>
      <c r="L38" s="349"/>
      <c r="M38" s="349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1:30" s="269" customFormat="1" ht="18.75" customHeight="1">
      <c r="A39" s="34"/>
      <c r="B39" s="198" t="s">
        <v>789</v>
      </c>
      <c r="C39" s="34"/>
      <c r="D39" s="34"/>
      <c r="E39" s="34"/>
      <c r="F39" s="349"/>
      <c r="G39" s="349"/>
      <c r="H39" s="349"/>
      <c r="I39" s="349"/>
      <c r="J39" s="349"/>
      <c r="K39" s="349"/>
      <c r="L39" s="349"/>
      <c r="M39" s="349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spans="1:30" ht="15.75">
      <c r="A40" s="30"/>
      <c r="B40" s="31"/>
    </row>
    <row r="42" spans="1:30">
      <c r="G42" s="616">
        <f>+'[8]Bank Assets Analysis'!$S$31</f>
        <v>17337481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5" type="noConversion"/>
  <conditionalFormatting sqref="G35">
    <cfRule type="cellIs" dxfId="328" priority="736" operator="lessThan">
      <formula>$G$42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topLeftCell="A22" zoomScale="25" zoomScaleNormal="62" zoomScaleSheetLayoutView="25" workbookViewId="0"/>
  </sheetViews>
  <sheetFormatPr defaultColWidth="9.42578125" defaultRowHeight="12.75"/>
  <cols>
    <col min="1" max="1" width="5" style="273" customWidth="1"/>
    <col min="2" max="2" width="47.42578125" style="273" customWidth="1"/>
    <col min="3" max="4" width="21.28515625" style="273" customWidth="1"/>
    <col min="5" max="7" width="18.7109375" style="273" customWidth="1"/>
    <col min="8" max="8" width="17" style="273" customWidth="1"/>
    <col min="9" max="11" width="18" style="273" customWidth="1"/>
    <col min="12" max="12" width="17" style="273" customWidth="1"/>
    <col min="13" max="14" width="14.7109375" style="273" customWidth="1"/>
    <col min="15" max="15" width="13.7109375" style="273" customWidth="1"/>
    <col min="16" max="16" width="17" style="273" customWidth="1"/>
    <col min="17" max="19" width="14.7109375" style="273" customWidth="1"/>
    <col min="20" max="20" width="17" style="273" customWidth="1"/>
    <col min="21" max="21" width="18" style="273" customWidth="1"/>
    <col min="22" max="22" width="17" style="273" customWidth="1"/>
    <col min="23" max="23" width="14.42578125" style="273" customWidth="1"/>
    <col min="24" max="24" width="12.42578125" style="273" customWidth="1"/>
    <col min="25" max="25" width="17" style="273" bestFit="1" customWidth="1"/>
    <col min="26" max="28" width="14.7109375" style="273" customWidth="1"/>
    <col min="29" max="29" width="19.140625" style="290" customWidth="1"/>
    <col min="30" max="30" width="14.7109375" style="290" customWidth="1"/>
    <col min="31" max="36" width="9.42578125" style="290"/>
    <col min="37" max="16384" width="9.42578125" style="273"/>
  </cols>
  <sheetData>
    <row r="1" spans="1:36" ht="21" customHeight="1">
      <c r="A1" s="421" t="s">
        <v>652</v>
      </c>
      <c r="B1" s="422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X1" s="271"/>
      <c r="Y1" s="271"/>
      <c r="Z1" s="423" t="s">
        <v>653</v>
      </c>
      <c r="AA1" s="271"/>
    </row>
    <row r="2" spans="1:36" ht="12.75" customHeight="1">
      <c r="A2" s="421"/>
      <c r="B2" s="422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X2" s="271"/>
      <c r="Y2" s="271"/>
      <c r="Z2" s="423"/>
      <c r="AA2" s="271"/>
    </row>
    <row r="3" spans="1:36" ht="15.75">
      <c r="A3" s="424"/>
      <c r="B3" s="96" t="str">
        <f>+'Asset quality'!B3</f>
        <v>"МКБАНК"</v>
      </c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714">
        <f>+'Asset quality'!Q3</f>
        <v>44926</v>
      </c>
      <c r="V3" s="714"/>
      <c r="W3" s="95"/>
      <c r="X3" s="424"/>
      <c r="Y3" s="424"/>
      <c r="AA3" s="272"/>
      <c r="AB3" s="425" t="str">
        <f>+'Asset quality'!T3</f>
        <v>минг. сўмда</v>
      </c>
    </row>
    <row r="4" spans="1:36" ht="125.25" customHeight="1">
      <c r="A4" s="426" t="s">
        <v>62</v>
      </c>
      <c r="B4" s="427" t="s">
        <v>285</v>
      </c>
      <c r="C4" s="428" t="s">
        <v>654</v>
      </c>
      <c r="D4" s="428" t="s">
        <v>655</v>
      </c>
      <c r="E4" s="428" t="s">
        <v>656</v>
      </c>
      <c r="F4" s="428" t="s">
        <v>655</v>
      </c>
      <c r="G4" s="428" t="s">
        <v>790</v>
      </c>
      <c r="H4" s="428" t="s">
        <v>655</v>
      </c>
      <c r="I4" s="428" t="s">
        <v>657</v>
      </c>
      <c r="J4" s="428" t="s">
        <v>655</v>
      </c>
      <c r="K4" s="428" t="s">
        <v>658</v>
      </c>
      <c r="L4" s="428" t="s">
        <v>655</v>
      </c>
      <c r="M4" s="428" t="s">
        <v>659</v>
      </c>
      <c r="N4" s="428" t="s">
        <v>655</v>
      </c>
      <c r="O4" s="428" t="s">
        <v>660</v>
      </c>
      <c r="P4" s="428" t="s">
        <v>655</v>
      </c>
      <c r="Q4" s="428" t="s">
        <v>661</v>
      </c>
      <c r="R4" s="428" t="s">
        <v>655</v>
      </c>
      <c r="S4" s="428" t="s">
        <v>662</v>
      </c>
      <c r="T4" s="428" t="s">
        <v>655</v>
      </c>
      <c r="U4" s="428" t="s">
        <v>663</v>
      </c>
      <c r="V4" s="428" t="s">
        <v>655</v>
      </c>
      <c r="W4" s="428" t="s">
        <v>664</v>
      </c>
      <c r="X4" s="428" t="s">
        <v>655</v>
      </c>
      <c r="Y4" s="428" t="s">
        <v>665</v>
      </c>
      <c r="Z4" s="428" t="s">
        <v>655</v>
      </c>
      <c r="AA4" s="428" t="s">
        <v>666</v>
      </c>
      <c r="AB4" s="428" t="s">
        <v>667</v>
      </c>
    </row>
    <row r="5" spans="1:36" s="16" customFormat="1" ht="25.5">
      <c r="A5" s="15" t="s">
        <v>67</v>
      </c>
      <c r="B5" s="15" t="s">
        <v>37</v>
      </c>
      <c r="C5" s="15" t="s">
        <v>38</v>
      </c>
      <c r="D5" s="15" t="s">
        <v>743</v>
      </c>
      <c r="E5" s="15" t="s">
        <v>39</v>
      </c>
      <c r="F5" s="15" t="s">
        <v>744</v>
      </c>
      <c r="G5" s="15" t="s">
        <v>63</v>
      </c>
      <c r="H5" s="15" t="s">
        <v>745</v>
      </c>
      <c r="I5" s="15" t="s">
        <v>64</v>
      </c>
      <c r="J5" s="15" t="s">
        <v>746</v>
      </c>
      <c r="K5" s="15" t="s">
        <v>65</v>
      </c>
      <c r="L5" s="15" t="s">
        <v>747</v>
      </c>
      <c r="M5" s="15" t="s">
        <v>68</v>
      </c>
      <c r="N5" s="15" t="s">
        <v>748</v>
      </c>
      <c r="O5" s="15" t="s">
        <v>69</v>
      </c>
      <c r="P5" s="15" t="s">
        <v>749</v>
      </c>
      <c r="Q5" s="15" t="s">
        <v>70</v>
      </c>
      <c r="R5" s="15" t="s">
        <v>750</v>
      </c>
      <c r="S5" s="15" t="s">
        <v>71</v>
      </c>
      <c r="T5" s="15" t="s">
        <v>751</v>
      </c>
      <c r="U5" s="15" t="s">
        <v>72</v>
      </c>
      <c r="V5" s="15" t="s">
        <v>752</v>
      </c>
      <c r="W5" s="15" t="s">
        <v>73</v>
      </c>
      <c r="X5" s="15" t="s">
        <v>753</v>
      </c>
      <c r="Y5" s="15" t="s">
        <v>32</v>
      </c>
      <c r="Z5" s="15" t="s">
        <v>754</v>
      </c>
      <c r="AA5" s="15" t="s">
        <v>156</v>
      </c>
      <c r="AB5" s="15" t="s">
        <v>157</v>
      </c>
      <c r="AC5" s="291"/>
      <c r="AD5" s="291"/>
      <c r="AE5" s="291"/>
      <c r="AF5" s="291"/>
      <c r="AG5" s="291"/>
      <c r="AH5" s="291"/>
      <c r="AI5" s="291"/>
      <c r="AJ5" s="291"/>
    </row>
    <row r="6" spans="1:36" s="627" customFormat="1" ht="27.75" customHeight="1">
      <c r="A6" s="625"/>
      <c r="B6" s="625" t="s">
        <v>668</v>
      </c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5"/>
      <c r="W6" s="625"/>
      <c r="X6" s="625"/>
      <c r="Y6" s="625"/>
      <c r="Z6" s="625"/>
      <c r="AA6" s="625"/>
      <c r="AB6" s="625"/>
    </row>
    <row r="7" spans="1:36" s="16" customFormat="1" ht="23.25" customHeight="1">
      <c r="A7" s="432">
        <v>1</v>
      </c>
      <c r="B7" s="429" t="s">
        <v>669</v>
      </c>
      <c r="C7" s="601">
        <f t="shared" ref="C7:C30" si="0">E7+I7+M7+Q7+U7</f>
        <v>0</v>
      </c>
      <c r="D7" s="599">
        <f>F7+J7+N7+R7+V7</f>
        <v>0</v>
      </c>
      <c r="E7" s="600"/>
      <c r="F7" s="600"/>
      <c r="G7" s="600"/>
      <c r="H7" s="600"/>
      <c r="I7" s="600"/>
      <c r="J7" s="600"/>
      <c r="K7" s="600"/>
      <c r="L7" s="600"/>
      <c r="M7" s="600"/>
      <c r="N7" s="600"/>
      <c r="O7" s="600"/>
      <c r="P7" s="600"/>
      <c r="Q7" s="600"/>
      <c r="R7" s="600"/>
      <c r="S7" s="600"/>
      <c r="T7" s="600"/>
      <c r="U7" s="600"/>
      <c r="V7" s="600"/>
      <c r="W7" s="600"/>
      <c r="X7" s="600"/>
      <c r="Y7" s="598">
        <f t="shared" ref="Y7:Y30" si="1">+W7+S7+O7+K7</f>
        <v>0</v>
      </c>
      <c r="Z7" s="599">
        <f t="shared" ref="Z7:Z30" si="2">+X7+T7+P7+L7</f>
        <v>0</v>
      </c>
      <c r="AA7" s="18"/>
      <c r="AB7" s="18"/>
      <c r="AC7" s="293">
        <f>+'Aging Analysis'!C9</f>
        <v>0</v>
      </c>
      <c r="AD7" s="291"/>
      <c r="AE7" s="291"/>
      <c r="AF7" s="291"/>
      <c r="AG7" s="291"/>
      <c r="AH7" s="291"/>
      <c r="AI7" s="291"/>
      <c r="AJ7" s="291"/>
    </row>
    <row r="8" spans="1:36" s="16" customFormat="1" ht="14.25" customHeight="1">
      <c r="A8" s="432"/>
      <c r="B8" s="430" t="s">
        <v>670</v>
      </c>
      <c r="C8" s="601">
        <f t="shared" si="0"/>
        <v>0</v>
      </c>
      <c r="D8" s="599">
        <f t="shared" ref="D8:D30" si="3">F8+J8+N8+R8+V8</f>
        <v>0</v>
      </c>
      <c r="E8" s="602"/>
      <c r="F8" s="600"/>
      <c r="G8" s="602"/>
      <c r="H8" s="600"/>
      <c r="I8" s="602"/>
      <c r="J8" s="600"/>
      <c r="K8" s="602"/>
      <c r="L8" s="600"/>
      <c r="M8" s="602"/>
      <c r="N8" s="600"/>
      <c r="O8" s="602"/>
      <c r="P8" s="600"/>
      <c r="Q8" s="602"/>
      <c r="R8" s="600"/>
      <c r="S8" s="602"/>
      <c r="T8" s="600"/>
      <c r="U8" s="602"/>
      <c r="V8" s="600"/>
      <c r="W8" s="602"/>
      <c r="X8" s="600"/>
      <c r="Y8" s="598">
        <f t="shared" si="1"/>
        <v>0</v>
      </c>
      <c r="Z8" s="599">
        <f t="shared" si="2"/>
        <v>0</v>
      </c>
      <c r="AA8" s="18"/>
      <c r="AB8" s="18"/>
      <c r="AD8" s="291"/>
      <c r="AE8" s="291"/>
      <c r="AF8" s="291"/>
      <c r="AG8" s="291"/>
      <c r="AH8" s="291"/>
      <c r="AI8" s="291"/>
      <c r="AJ8" s="291"/>
    </row>
    <row r="9" spans="1:36" s="16" customFormat="1" ht="23.25" customHeight="1">
      <c r="A9" s="432">
        <v>2</v>
      </c>
      <c r="B9" s="429" t="s">
        <v>671</v>
      </c>
      <c r="C9" s="601">
        <f t="shared" si="0"/>
        <v>0</v>
      </c>
      <c r="D9" s="599">
        <f t="shared" si="3"/>
        <v>0</v>
      </c>
      <c r="E9" s="602"/>
      <c r="F9" s="600"/>
      <c r="G9" s="602"/>
      <c r="H9" s="600"/>
      <c r="I9" s="602"/>
      <c r="J9" s="600"/>
      <c r="K9" s="602"/>
      <c r="L9" s="600"/>
      <c r="M9" s="602"/>
      <c r="N9" s="600"/>
      <c r="O9" s="602"/>
      <c r="P9" s="600"/>
      <c r="Q9" s="602"/>
      <c r="R9" s="600"/>
      <c r="S9" s="602"/>
      <c r="T9" s="600"/>
      <c r="U9" s="602"/>
      <c r="V9" s="600"/>
      <c r="W9" s="602"/>
      <c r="X9" s="600"/>
      <c r="Y9" s="598">
        <f t="shared" si="1"/>
        <v>0</v>
      </c>
      <c r="Z9" s="599">
        <f t="shared" si="2"/>
        <v>0</v>
      </c>
      <c r="AA9" s="18"/>
      <c r="AB9" s="18"/>
      <c r="AC9" s="293">
        <f>+'Aging Analysis'!C10</f>
        <v>0</v>
      </c>
      <c r="AD9" s="291"/>
      <c r="AE9" s="291"/>
      <c r="AF9" s="291"/>
      <c r="AG9" s="291"/>
      <c r="AH9" s="291"/>
      <c r="AI9" s="291"/>
      <c r="AJ9" s="291"/>
    </row>
    <row r="10" spans="1:36" s="16" customFormat="1" ht="14.25" customHeight="1">
      <c r="A10" s="432"/>
      <c r="B10" s="430" t="s">
        <v>670</v>
      </c>
      <c r="C10" s="601">
        <f t="shared" si="0"/>
        <v>0</v>
      </c>
      <c r="D10" s="599">
        <f t="shared" si="3"/>
        <v>0</v>
      </c>
      <c r="E10" s="602"/>
      <c r="F10" s="600"/>
      <c r="G10" s="602"/>
      <c r="H10" s="600"/>
      <c r="I10" s="602"/>
      <c r="J10" s="600"/>
      <c r="K10" s="602"/>
      <c r="L10" s="600"/>
      <c r="M10" s="602"/>
      <c r="N10" s="600"/>
      <c r="O10" s="602"/>
      <c r="P10" s="600"/>
      <c r="Q10" s="602"/>
      <c r="R10" s="600"/>
      <c r="S10" s="602"/>
      <c r="T10" s="600"/>
      <c r="U10" s="602"/>
      <c r="V10" s="600"/>
      <c r="W10" s="602"/>
      <c r="X10" s="600"/>
      <c r="Y10" s="598">
        <f t="shared" si="1"/>
        <v>0</v>
      </c>
      <c r="Z10" s="599">
        <f t="shared" si="2"/>
        <v>0</v>
      </c>
      <c r="AA10" s="18"/>
      <c r="AB10" s="18"/>
      <c r="AD10" s="291"/>
      <c r="AE10" s="291"/>
      <c r="AF10" s="291"/>
      <c r="AG10" s="291"/>
      <c r="AH10" s="291"/>
      <c r="AI10" s="291"/>
      <c r="AJ10" s="291"/>
    </row>
    <row r="11" spans="1:36" s="16" customFormat="1" ht="23.25" customHeight="1">
      <c r="A11" s="432">
        <v>3</v>
      </c>
      <c r="B11" s="429" t="s">
        <v>400</v>
      </c>
      <c r="C11" s="601">
        <f t="shared" si="0"/>
        <v>0</v>
      </c>
      <c r="D11" s="599">
        <f t="shared" si="3"/>
        <v>0</v>
      </c>
      <c r="E11" s="602"/>
      <c r="F11" s="600"/>
      <c r="G11" s="602"/>
      <c r="H11" s="600"/>
      <c r="I11" s="602"/>
      <c r="J11" s="600"/>
      <c r="K11" s="602"/>
      <c r="L11" s="600"/>
      <c r="M11" s="602"/>
      <c r="N11" s="600"/>
      <c r="O11" s="602"/>
      <c r="P11" s="600"/>
      <c r="Q11" s="602"/>
      <c r="R11" s="600"/>
      <c r="S11" s="602"/>
      <c r="T11" s="600"/>
      <c r="U11" s="602"/>
      <c r="V11" s="600"/>
      <c r="W11" s="602"/>
      <c r="X11" s="600"/>
      <c r="Y11" s="598">
        <f t="shared" si="1"/>
        <v>0</v>
      </c>
      <c r="Z11" s="599">
        <f t="shared" si="2"/>
        <v>0</v>
      </c>
      <c r="AA11" s="18"/>
      <c r="AB11" s="18"/>
      <c r="AC11" s="293">
        <f>+'Aging Analysis'!C11</f>
        <v>0</v>
      </c>
      <c r="AD11" s="291"/>
      <c r="AE11" s="291"/>
      <c r="AF11" s="291"/>
      <c r="AG11" s="291"/>
      <c r="AH11" s="291"/>
      <c r="AI11" s="291"/>
      <c r="AJ11" s="291"/>
    </row>
    <row r="12" spans="1:36" s="16" customFormat="1" ht="14.25" customHeight="1">
      <c r="A12" s="432"/>
      <c r="B12" s="430" t="s">
        <v>670</v>
      </c>
      <c r="C12" s="601">
        <f t="shared" si="0"/>
        <v>0</v>
      </c>
      <c r="D12" s="599">
        <f t="shared" si="3"/>
        <v>0</v>
      </c>
      <c r="E12" s="602"/>
      <c r="F12" s="600"/>
      <c r="G12" s="602"/>
      <c r="H12" s="600"/>
      <c r="I12" s="602"/>
      <c r="J12" s="600"/>
      <c r="K12" s="602"/>
      <c r="L12" s="600"/>
      <c r="M12" s="602"/>
      <c r="N12" s="600"/>
      <c r="O12" s="602"/>
      <c r="P12" s="600"/>
      <c r="Q12" s="602"/>
      <c r="R12" s="600"/>
      <c r="S12" s="602"/>
      <c r="T12" s="600"/>
      <c r="U12" s="602"/>
      <c r="V12" s="600"/>
      <c r="W12" s="602"/>
      <c r="X12" s="600"/>
      <c r="Y12" s="598">
        <f t="shared" si="1"/>
        <v>0</v>
      </c>
      <c r="Z12" s="599">
        <f t="shared" si="2"/>
        <v>0</v>
      </c>
      <c r="AA12" s="18"/>
      <c r="AB12" s="18"/>
      <c r="AD12" s="291"/>
      <c r="AE12" s="291"/>
      <c r="AF12" s="291"/>
      <c r="AG12" s="291"/>
      <c r="AH12" s="291"/>
      <c r="AI12" s="291"/>
      <c r="AJ12" s="291"/>
    </row>
    <row r="13" spans="1:36" s="16" customFormat="1" ht="23.25" customHeight="1">
      <c r="A13" s="432">
        <v>4</v>
      </c>
      <c r="B13" s="429" t="s">
        <v>401</v>
      </c>
      <c r="C13" s="601">
        <f t="shared" si="0"/>
        <v>4581385255</v>
      </c>
      <c r="D13" s="599">
        <f t="shared" si="3"/>
        <v>0</v>
      </c>
      <c r="E13" s="602">
        <v>3611077438</v>
      </c>
      <c r="F13" s="600">
        <v>0</v>
      </c>
      <c r="G13" s="602">
        <v>19487264</v>
      </c>
      <c r="H13" s="600">
        <v>0</v>
      </c>
      <c r="I13" s="602">
        <v>591113637</v>
      </c>
      <c r="J13" s="600">
        <v>0</v>
      </c>
      <c r="K13" s="602">
        <v>19725504</v>
      </c>
      <c r="L13" s="600">
        <v>0</v>
      </c>
      <c r="M13" s="602">
        <v>82422064</v>
      </c>
      <c r="N13" s="600">
        <v>0</v>
      </c>
      <c r="O13" s="602">
        <v>5604350</v>
      </c>
      <c r="P13" s="600">
        <v>0</v>
      </c>
      <c r="Q13" s="602">
        <v>201882538</v>
      </c>
      <c r="R13" s="600">
        <v>0</v>
      </c>
      <c r="S13" s="602">
        <v>20577296</v>
      </c>
      <c r="T13" s="600">
        <v>0</v>
      </c>
      <c r="U13" s="602">
        <v>94889578</v>
      </c>
      <c r="V13" s="600">
        <v>0</v>
      </c>
      <c r="W13" s="602">
        <v>46126485</v>
      </c>
      <c r="X13" s="600">
        <v>0</v>
      </c>
      <c r="Y13" s="598">
        <f t="shared" ref="Y13:Y29" si="4">+W13+S13+O13+K13</f>
        <v>92033635</v>
      </c>
      <c r="Z13" s="599">
        <f t="shared" si="2"/>
        <v>0</v>
      </c>
      <c r="AA13" s="18"/>
      <c r="AB13" s="18"/>
      <c r="AC13" s="293">
        <f>+'Aging Analysis'!C12</f>
        <v>4581385255</v>
      </c>
      <c r="AD13" s="291"/>
      <c r="AE13" s="291"/>
      <c r="AF13" s="291"/>
      <c r="AG13" s="291"/>
      <c r="AH13" s="291"/>
      <c r="AI13" s="291"/>
      <c r="AJ13" s="291"/>
    </row>
    <row r="14" spans="1:36" s="16" customFormat="1" ht="14.25" customHeight="1">
      <c r="A14" s="432"/>
      <c r="B14" s="430" t="s">
        <v>670</v>
      </c>
      <c r="C14" s="601">
        <f t="shared" si="0"/>
        <v>0</v>
      </c>
      <c r="D14" s="599">
        <f t="shared" si="3"/>
        <v>0</v>
      </c>
      <c r="E14" s="602"/>
      <c r="F14" s="600"/>
      <c r="G14" s="602"/>
      <c r="H14" s="600"/>
      <c r="I14" s="602"/>
      <c r="J14" s="600"/>
      <c r="K14" s="602"/>
      <c r="L14" s="600"/>
      <c r="M14" s="602"/>
      <c r="N14" s="600"/>
      <c r="O14" s="602"/>
      <c r="P14" s="600"/>
      <c r="Q14" s="602"/>
      <c r="R14" s="600"/>
      <c r="S14" s="602"/>
      <c r="T14" s="600"/>
      <c r="U14" s="602"/>
      <c r="V14" s="600"/>
      <c r="W14" s="602"/>
      <c r="X14" s="600"/>
      <c r="Y14" s="598">
        <f t="shared" si="4"/>
        <v>0</v>
      </c>
      <c r="Z14" s="599">
        <f t="shared" si="2"/>
        <v>0</v>
      </c>
      <c r="AA14" s="18"/>
      <c r="AB14" s="18"/>
      <c r="AD14" s="291"/>
      <c r="AE14" s="291"/>
      <c r="AF14" s="291"/>
      <c r="AG14" s="291"/>
      <c r="AH14" s="291"/>
      <c r="AI14" s="291"/>
      <c r="AJ14" s="291"/>
    </row>
    <row r="15" spans="1:36" s="16" customFormat="1" ht="23.25" customHeight="1">
      <c r="A15" s="432">
        <v>5</v>
      </c>
      <c r="B15" s="429" t="s">
        <v>672</v>
      </c>
      <c r="C15" s="601">
        <f t="shared" si="0"/>
        <v>82687815</v>
      </c>
      <c r="D15" s="599">
        <f t="shared" si="3"/>
        <v>0</v>
      </c>
      <c r="E15" s="602">
        <v>72411648</v>
      </c>
      <c r="F15" s="600">
        <v>0</v>
      </c>
      <c r="G15" s="602">
        <v>0</v>
      </c>
      <c r="H15" s="600">
        <v>0</v>
      </c>
      <c r="I15" s="602">
        <v>9211160</v>
      </c>
      <c r="J15" s="600">
        <v>0</v>
      </c>
      <c r="K15" s="602">
        <v>869759</v>
      </c>
      <c r="L15" s="600">
        <v>0</v>
      </c>
      <c r="M15" s="602">
        <v>572474</v>
      </c>
      <c r="N15" s="600">
        <v>0</v>
      </c>
      <c r="O15" s="602">
        <v>57247</v>
      </c>
      <c r="P15" s="600">
        <v>0</v>
      </c>
      <c r="Q15" s="602">
        <v>331903</v>
      </c>
      <c r="R15" s="600">
        <v>0</v>
      </c>
      <c r="S15" s="602">
        <v>208978</v>
      </c>
      <c r="T15" s="600">
        <v>0</v>
      </c>
      <c r="U15" s="602">
        <v>160630</v>
      </c>
      <c r="V15" s="600">
        <v>0</v>
      </c>
      <c r="W15" s="602">
        <v>160630</v>
      </c>
      <c r="X15" s="600">
        <v>0</v>
      </c>
      <c r="Y15" s="598">
        <f t="shared" si="4"/>
        <v>1296614</v>
      </c>
      <c r="Z15" s="599">
        <f t="shared" si="2"/>
        <v>0</v>
      </c>
      <c r="AA15" s="18"/>
      <c r="AB15" s="18"/>
      <c r="AC15" s="293">
        <f>+'Aging Analysis'!C13</f>
        <v>82687816</v>
      </c>
      <c r="AD15" s="291"/>
      <c r="AE15" s="291"/>
      <c r="AF15" s="291"/>
      <c r="AG15" s="291"/>
      <c r="AH15" s="291"/>
      <c r="AI15" s="291"/>
      <c r="AJ15" s="291"/>
    </row>
    <row r="16" spans="1:36" s="16" customFormat="1" ht="14.25" customHeight="1">
      <c r="A16" s="432"/>
      <c r="B16" s="430" t="s">
        <v>670</v>
      </c>
      <c r="C16" s="601">
        <f t="shared" si="0"/>
        <v>0</v>
      </c>
      <c r="D16" s="599">
        <f t="shared" si="3"/>
        <v>0</v>
      </c>
      <c r="E16" s="602"/>
      <c r="F16" s="600"/>
      <c r="G16" s="602"/>
      <c r="H16" s="600"/>
      <c r="I16" s="602"/>
      <c r="J16" s="600"/>
      <c r="K16" s="602"/>
      <c r="L16" s="600"/>
      <c r="M16" s="602"/>
      <c r="N16" s="600"/>
      <c r="O16" s="602"/>
      <c r="P16" s="600"/>
      <c r="Q16" s="602"/>
      <c r="R16" s="600"/>
      <c r="S16" s="602"/>
      <c r="T16" s="600"/>
      <c r="U16" s="602"/>
      <c r="V16" s="600"/>
      <c r="W16" s="602"/>
      <c r="X16" s="600"/>
      <c r="Y16" s="598">
        <f t="shared" si="4"/>
        <v>0</v>
      </c>
      <c r="Z16" s="599">
        <f t="shared" si="2"/>
        <v>0</v>
      </c>
      <c r="AA16" s="18"/>
      <c r="AB16" s="18"/>
      <c r="AD16" s="291"/>
      <c r="AE16" s="291"/>
      <c r="AF16" s="291"/>
      <c r="AG16" s="291"/>
      <c r="AH16" s="291"/>
      <c r="AI16" s="291"/>
      <c r="AJ16" s="291"/>
    </row>
    <row r="17" spans="1:36" s="16" customFormat="1" ht="23.25" customHeight="1">
      <c r="A17" s="432">
        <v>6</v>
      </c>
      <c r="B17" s="429" t="s">
        <v>403</v>
      </c>
      <c r="C17" s="601">
        <f t="shared" si="0"/>
        <v>1377755770</v>
      </c>
      <c r="D17" s="599">
        <f t="shared" si="3"/>
        <v>527065251</v>
      </c>
      <c r="E17" s="602">
        <v>1223105546</v>
      </c>
      <c r="F17" s="600">
        <v>496515520</v>
      </c>
      <c r="G17" s="602">
        <v>0</v>
      </c>
      <c r="H17" s="600">
        <v>2170479</v>
      </c>
      <c r="I17" s="602">
        <v>143619938</v>
      </c>
      <c r="J17" s="600">
        <v>29957368</v>
      </c>
      <c r="K17" s="602">
        <v>6353725</v>
      </c>
      <c r="L17" s="600">
        <v>261722</v>
      </c>
      <c r="M17" s="602">
        <v>1163220</v>
      </c>
      <c r="N17" s="600">
        <v>0</v>
      </c>
      <c r="O17" s="602">
        <v>99386</v>
      </c>
      <c r="P17" s="600">
        <v>0</v>
      </c>
      <c r="Q17" s="602">
        <v>6577274</v>
      </c>
      <c r="R17" s="600">
        <v>0</v>
      </c>
      <c r="S17" s="602">
        <v>1586327</v>
      </c>
      <c r="T17" s="600">
        <v>0</v>
      </c>
      <c r="U17" s="602">
        <v>3289792</v>
      </c>
      <c r="V17" s="600">
        <v>592363</v>
      </c>
      <c r="W17" s="602">
        <v>1829070</v>
      </c>
      <c r="X17" s="600">
        <v>592364</v>
      </c>
      <c r="Y17" s="598">
        <f t="shared" si="4"/>
        <v>9868508</v>
      </c>
      <c r="Z17" s="599">
        <f t="shared" si="2"/>
        <v>854086</v>
      </c>
      <c r="AA17" s="18"/>
      <c r="AB17" s="18"/>
      <c r="AC17" s="293">
        <f>+'Aging Analysis'!C14</f>
        <v>1377755770</v>
      </c>
      <c r="AD17" s="291"/>
      <c r="AE17" s="291"/>
      <c r="AF17" s="291"/>
      <c r="AG17" s="291"/>
      <c r="AH17" s="291"/>
      <c r="AI17" s="291"/>
      <c r="AJ17" s="291"/>
    </row>
    <row r="18" spans="1:36" s="16" customFormat="1" ht="14.25" customHeight="1">
      <c r="A18" s="432"/>
      <c r="B18" s="430" t="s">
        <v>670</v>
      </c>
      <c r="C18" s="601">
        <f t="shared" si="0"/>
        <v>0</v>
      </c>
      <c r="D18" s="599">
        <f t="shared" si="3"/>
        <v>0</v>
      </c>
      <c r="E18" s="602"/>
      <c r="F18" s="600"/>
      <c r="G18" s="602"/>
      <c r="H18" s="600"/>
      <c r="I18" s="602"/>
      <c r="J18" s="600"/>
      <c r="K18" s="602"/>
      <c r="L18" s="600"/>
      <c r="M18" s="602"/>
      <c r="N18" s="600"/>
      <c r="O18" s="602"/>
      <c r="P18" s="600"/>
      <c r="Q18" s="602"/>
      <c r="R18" s="600"/>
      <c r="S18" s="602"/>
      <c r="T18" s="600"/>
      <c r="U18" s="602"/>
      <c r="V18" s="600"/>
      <c r="W18" s="602"/>
      <c r="X18" s="600"/>
      <c r="Y18" s="598">
        <f t="shared" si="4"/>
        <v>0</v>
      </c>
      <c r="Z18" s="599">
        <f t="shared" si="2"/>
        <v>0</v>
      </c>
      <c r="AA18" s="18"/>
      <c r="AB18" s="18"/>
      <c r="AD18" s="291"/>
      <c r="AE18" s="291"/>
      <c r="AF18" s="291"/>
      <c r="AG18" s="291"/>
      <c r="AH18" s="291"/>
      <c r="AI18" s="291"/>
      <c r="AJ18" s="291"/>
    </row>
    <row r="19" spans="1:36" s="16" customFormat="1" ht="23.25" customHeight="1">
      <c r="A19" s="432">
        <v>7</v>
      </c>
      <c r="B19" s="429" t="s">
        <v>404</v>
      </c>
      <c r="C19" s="601">
        <f t="shared" si="0"/>
        <v>6847944102</v>
      </c>
      <c r="D19" s="599">
        <f t="shared" si="3"/>
        <v>3109387449</v>
      </c>
      <c r="E19" s="602">
        <v>4862399861</v>
      </c>
      <c r="F19" s="600">
        <v>2271450246</v>
      </c>
      <c r="G19" s="602">
        <v>29230895</v>
      </c>
      <c r="H19" s="600">
        <v>11936336</v>
      </c>
      <c r="I19" s="602">
        <v>1752234657</v>
      </c>
      <c r="J19" s="600">
        <v>825783161</v>
      </c>
      <c r="K19" s="602">
        <v>89993078</v>
      </c>
      <c r="L19" s="600">
        <v>55830129</v>
      </c>
      <c r="M19" s="602">
        <v>25792059</v>
      </c>
      <c r="N19" s="600">
        <v>0</v>
      </c>
      <c r="O19" s="602">
        <v>40013972</v>
      </c>
      <c r="P19" s="600">
        <v>0</v>
      </c>
      <c r="Q19" s="602">
        <v>115831390</v>
      </c>
      <c r="R19" s="600">
        <v>4142609</v>
      </c>
      <c r="S19" s="602">
        <v>6627648</v>
      </c>
      <c r="T19" s="600">
        <v>1655738</v>
      </c>
      <c r="U19" s="602">
        <v>91686135</v>
      </c>
      <c r="V19" s="600">
        <v>8011433</v>
      </c>
      <c r="W19" s="602">
        <v>106083021</v>
      </c>
      <c r="X19" s="600">
        <v>8011432</v>
      </c>
      <c r="Y19" s="598">
        <f t="shared" si="4"/>
        <v>242717719</v>
      </c>
      <c r="Z19" s="599">
        <f t="shared" si="2"/>
        <v>65497299</v>
      </c>
      <c r="AA19" s="18"/>
      <c r="AB19" s="18"/>
      <c r="AC19" s="293">
        <f>+'Aging Analysis'!C15</f>
        <v>6847944103</v>
      </c>
      <c r="AD19" s="291"/>
      <c r="AE19" s="291"/>
      <c r="AF19" s="291"/>
      <c r="AG19" s="291"/>
      <c r="AH19" s="291"/>
      <c r="AI19" s="291"/>
      <c r="AJ19" s="291"/>
    </row>
    <row r="20" spans="1:36" s="16" customFormat="1" ht="14.25" customHeight="1">
      <c r="A20" s="432"/>
      <c r="B20" s="430" t="s">
        <v>670</v>
      </c>
      <c r="C20" s="601">
        <f t="shared" si="0"/>
        <v>0</v>
      </c>
      <c r="D20" s="599">
        <f t="shared" si="3"/>
        <v>0</v>
      </c>
      <c r="E20" s="602"/>
      <c r="F20" s="600"/>
      <c r="G20" s="602"/>
      <c r="H20" s="600"/>
      <c r="I20" s="602"/>
      <c r="J20" s="600"/>
      <c r="K20" s="602"/>
      <c r="L20" s="600"/>
      <c r="M20" s="602"/>
      <c r="N20" s="600"/>
      <c r="O20" s="602"/>
      <c r="P20" s="600"/>
      <c r="Q20" s="602"/>
      <c r="R20" s="600"/>
      <c r="S20" s="602"/>
      <c r="T20" s="600"/>
      <c r="U20" s="602"/>
      <c r="V20" s="600"/>
      <c r="W20" s="602"/>
      <c r="X20" s="600"/>
      <c r="Y20" s="598">
        <f t="shared" si="4"/>
        <v>0</v>
      </c>
      <c r="Z20" s="599">
        <f t="shared" si="2"/>
        <v>0</v>
      </c>
      <c r="AA20" s="18"/>
      <c r="AB20" s="18"/>
      <c r="AD20" s="291"/>
      <c r="AE20" s="291"/>
      <c r="AF20" s="291"/>
      <c r="AG20" s="291"/>
      <c r="AH20" s="291"/>
      <c r="AI20" s="291"/>
      <c r="AJ20" s="291"/>
    </row>
    <row r="21" spans="1:36" s="16" customFormat="1" ht="23.25" customHeight="1">
      <c r="A21" s="432">
        <v>8</v>
      </c>
      <c r="B21" s="429" t="s">
        <v>673</v>
      </c>
      <c r="C21" s="601">
        <f t="shared" si="0"/>
        <v>229585212</v>
      </c>
      <c r="D21" s="599">
        <f t="shared" si="3"/>
        <v>101269242</v>
      </c>
      <c r="E21" s="602">
        <v>160872982</v>
      </c>
      <c r="F21" s="600">
        <v>72744186</v>
      </c>
      <c r="G21" s="602">
        <v>0</v>
      </c>
      <c r="H21" s="600">
        <v>0</v>
      </c>
      <c r="I21" s="602">
        <v>57999770</v>
      </c>
      <c r="J21" s="600">
        <v>28525056</v>
      </c>
      <c r="K21" s="602">
        <v>3782400</v>
      </c>
      <c r="L21" s="600">
        <v>1807799</v>
      </c>
      <c r="M21" s="602">
        <v>761591</v>
      </c>
      <c r="N21" s="600">
        <v>0</v>
      </c>
      <c r="O21" s="602">
        <v>1293</v>
      </c>
      <c r="P21" s="600">
        <v>0</v>
      </c>
      <c r="Q21" s="602">
        <v>6869333</v>
      </c>
      <c r="R21" s="600">
        <v>0</v>
      </c>
      <c r="S21" s="602">
        <v>2237850</v>
      </c>
      <c r="T21" s="600">
        <v>0</v>
      </c>
      <c r="U21" s="602">
        <v>3081536</v>
      </c>
      <c r="V21" s="600">
        <v>0</v>
      </c>
      <c r="W21" s="602">
        <v>1788942</v>
      </c>
      <c r="X21" s="600">
        <v>0</v>
      </c>
      <c r="Y21" s="598">
        <f t="shared" si="4"/>
        <v>7810485</v>
      </c>
      <c r="Z21" s="599">
        <f t="shared" si="2"/>
        <v>1807799</v>
      </c>
      <c r="AA21" s="18"/>
      <c r="AB21" s="18"/>
      <c r="AC21" s="293">
        <f>+'Aging Analysis'!C16</f>
        <v>229585211</v>
      </c>
      <c r="AD21" s="291"/>
      <c r="AE21" s="291"/>
      <c r="AF21" s="291"/>
      <c r="AG21" s="291"/>
      <c r="AH21" s="291"/>
      <c r="AI21" s="291"/>
      <c r="AJ21" s="291"/>
    </row>
    <row r="22" spans="1:36" s="16" customFormat="1" ht="14.25" customHeight="1">
      <c r="A22" s="432"/>
      <c r="B22" s="430" t="s">
        <v>670</v>
      </c>
      <c r="C22" s="601">
        <f t="shared" si="0"/>
        <v>0</v>
      </c>
      <c r="D22" s="599">
        <f t="shared" si="3"/>
        <v>0</v>
      </c>
      <c r="E22" s="602"/>
      <c r="F22" s="600"/>
      <c r="G22" s="602"/>
      <c r="H22" s="600"/>
      <c r="I22" s="602"/>
      <c r="J22" s="600"/>
      <c r="K22" s="602"/>
      <c r="L22" s="600"/>
      <c r="M22" s="602"/>
      <c r="N22" s="600"/>
      <c r="O22" s="602"/>
      <c r="P22" s="600"/>
      <c r="Q22" s="602"/>
      <c r="R22" s="600"/>
      <c r="S22" s="602"/>
      <c r="T22" s="600"/>
      <c r="U22" s="602"/>
      <c r="V22" s="600"/>
      <c r="W22" s="602"/>
      <c r="X22" s="600"/>
      <c r="Y22" s="598">
        <f t="shared" si="4"/>
        <v>0</v>
      </c>
      <c r="Z22" s="599">
        <f t="shared" si="2"/>
        <v>0</v>
      </c>
      <c r="AA22" s="18"/>
      <c r="AB22" s="18"/>
      <c r="AD22" s="291"/>
      <c r="AE22" s="291"/>
      <c r="AF22" s="291"/>
      <c r="AG22" s="291"/>
      <c r="AH22" s="291"/>
      <c r="AI22" s="291"/>
      <c r="AJ22" s="291"/>
    </row>
    <row r="23" spans="1:36" s="16" customFormat="1" ht="23.25" customHeight="1">
      <c r="A23" s="432">
        <v>9</v>
      </c>
      <c r="B23" s="429" t="s">
        <v>674</v>
      </c>
      <c r="C23" s="601">
        <f t="shared" si="0"/>
        <v>0</v>
      </c>
      <c r="D23" s="599">
        <f t="shared" si="3"/>
        <v>0</v>
      </c>
      <c r="E23" s="602">
        <v>0</v>
      </c>
      <c r="F23" s="600">
        <v>0</v>
      </c>
      <c r="G23" s="602">
        <v>0</v>
      </c>
      <c r="H23" s="600">
        <v>0</v>
      </c>
      <c r="I23" s="602">
        <v>0</v>
      </c>
      <c r="J23" s="600">
        <v>0</v>
      </c>
      <c r="K23" s="602">
        <v>0</v>
      </c>
      <c r="L23" s="600">
        <v>0</v>
      </c>
      <c r="M23" s="602">
        <v>0</v>
      </c>
      <c r="N23" s="600">
        <v>0</v>
      </c>
      <c r="O23" s="602">
        <v>0</v>
      </c>
      <c r="P23" s="600">
        <v>0</v>
      </c>
      <c r="Q23" s="602">
        <v>0</v>
      </c>
      <c r="R23" s="600">
        <v>0</v>
      </c>
      <c r="S23" s="602">
        <v>0</v>
      </c>
      <c r="T23" s="600">
        <v>0</v>
      </c>
      <c r="U23" s="602">
        <v>0</v>
      </c>
      <c r="V23" s="600">
        <v>0</v>
      </c>
      <c r="W23" s="602">
        <v>0</v>
      </c>
      <c r="X23" s="600">
        <v>0</v>
      </c>
      <c r="Y23" s="598">
        <f t="shared" si="4"/>
        <v>0</v>
      </c>
      <c r="Z23" s="599">
        <f t="shared" si="2"/>
        <v>0</v>
      </c>
      <c r="AA23" s="18"/>
      <c r="AB23" s="18"/>
      <c r="AC23" s="293">
        <f>+'Aging Analysis'!C17</f>
        <v>0</v>
      </c>
      <c r="AD23" s="291"/>
      <c r="AE23" s="291"/>
      <c r="AF23" s="291"/>
      <c r="AG23" s="291"/>
      <c r="AH23" s="291"/>
      <c r="AI23" s="291"/>
      <c r="AJ23" s="291"/>
    </row>
    <row r="24" spans="1:36" s="16" customFormat="1" ht="14.25" customHeight="1">
      <c r="A24" s="432"/>
      <c r="B24" s="430" t="s">
        <v>670</v>
      </c>
      <c r="C24" s="601">
        <f t="shared" si="0"/>
        <v>0</v>
      </c>
      <c r="D24" s="599">
        <f t="shared" si="3"/>
        <v>0</v>
      </c>
      <c r="E24" s="602"/>
      <c r="F24" s="600"/>
      <c r="G24" s="602"/>
      <c r="H24" s="600"/>
      <c r="I24" s="602"/>
      <c r="J24" s="600"/>
      <c r="K24" s="602"/>
      <c r="L24" s="600"/>
      <c r="M24" s="602"/>
      <c r="N24" s="600"/>
      <c r="O24" s="602"/>
      <c r="P24" s="600"/>
      <c r="Q24" s="602"/>
      <c r="R24" s="600"/>
      <c r="S24" s="602"/>
      <c r="T24" s="600"/>
      <c r="U24" s="602"/>
      <c r="V24" s="600"/>
      <c r="W24" s="602"/>
      <c r="X24" s="600"/>
      <c r="Y24" s="598">
        <f t="shared" si="4"/>
        <v>0</v>
      </c>
      <c r="Z24" s="599">
        <f t="shared" si="2"/>
        <v>0</v>
      </c>
      <c r="AA24" s="18"/>
      <c r="AB24" s="18"/>
      <c r="AD24" s="291"/>
      <c r="AE24" s="291"/>
      <c r="AF24" s="291"/>
      <c r="AG24" s="291"/>
      <c r="AH24" s="291"/>
      <c r="AI24" s="291"/>
      <c r="AJ24" s="291"/>
    </row>
    <row r="25" spans="1:36" s="16" customFormat="1" ht="23.25" customHeight="1">
      <c r="A25" s="432">
        <v>10</v>
      </c>
      <c r="B25" s="429" t="s">
        <v>675</v>
      </c>
      <c r="C25" s="601">
        <f t="shared" si="0"/>
        <v>199265687</v>
      </c>
      <c r="D25" s="599">
        <f t="shared" si="3"/>
        <v>785783</v>
      </c>
      <c r="E25" s="602">
        <v>180331784</v>
      </c>
      <c r="F25" s="600">
        <v>785783</v>
      </c>
      <c r="G25" s="602">
        <v>0</v>
      </c>
      <c r="H25" s="600">
        <v>0</v>
      </c>
      <c r="I25" s="602">
        <v>18794922</v>
      </c>
      <c r="J25" s="600">
        <v>0</v>
      </c>
      <c r="K25" s="602">
        <v>467846</v>
      </c>
      <c r="L25" s="600">
        <v>0</v>
      </c>
      <c r="M25" s="602">
        <v>105981</v>
      </c>
      <c r="N25" s="600">
        <v>0</v>
      </c>
      <c r="O25" s="602">
        <v>0</v>
      </c>
      <c r="P25" s="600">
        <v>0</v>
      </c>
      <c r="Q25" s="602">
        <v>33000</v>
      </c>
      <c r="R25" s="600">
        <v>0</v>
      </c>
      <c r="S25" s="602">
        <v>16500</v>
      </c>
      <c r="T25" s="600">
        <v>0</v>
      </c>
      <c r="U25" s="602">
        <v>0</v>
      </c>
      <c r="V25" s="600">
        <v>0</v>
      </c>
      <c r="W25" s="602">
        <v>0</v>
      </c>
      <c r="X25" s="600">
        <v>0</v>
      </c>
      <c r="Y25" s="598">
        <f t="shared" si="4"/>
        <v>484346</v>
      </c>
      <c r="Z25" s="599">
        <f t="shared" si="2"/>
        <v>0</v>
      </c>
      <c r="AA25" s="18"/>
      <c r="AB25" s="18"/>
      <c r="AC25" s="293">
        <f>+'Aging Analysis'!C18</f>
        <v>199265686</v>
      </c>
      <c r="AD25" s="291"/>
      <c r="AE25" s="291"/>
      <c r="AF25" s="291"/>
      <c r="AG25" s="291"/>
      <c r="AH25" s="291"/>
      <c r="AI25" s="291"/>
      <c r="AJ25" s="291"/>
    </row>
    <row r="26" spans="1:36" s="16" customFormat="1" ht="14.25" customHeight="1">
      <c r="A26" s="432"/>
      <c r="B26" s="430" t="s">
        <v>670</v>
      </c>
      <c r="C26" s="601">
        <f t="shared" si="0"/>
        <v>0</v>
      </c>
      <c r="D26" s="599">
        <f t="shared" si="3"/>
        <v>0</v>
      </c>
      <c r="E26" s="602"/>
      <c r="F26" s="600"/>
      <c r="G26" s="602"/>
      <c r="H26" s="600"/>
      <c r="I26" s="602"/>
      <c r="J26" s="600"/>
      <c r="K26" s="602"/>
      <c r="L26" s="600"/>
      <c r="M26" s="602"/>
      <c r="N26" s="600"/>
      <c r="O26" s="602"/>
      <c r="P26" s="600"/>
      <c r="Q26" s="602"/>
      <c r="R26" s="600"/>
      <c r="S26" s="602"/>
      <c r="T26" s="600"/>
      <c r="U26" s="602"/>
      <c r="V26" s="600"/>
      <c r="W26" s="602"/>
      <c r="X26" s="600"/>
      <c r="Y26" s="598">
        <f t="shared" si="4"/>
        <v>0</v>
      </c>
      <c r="Z26" s="599">
        <f t="shared" si="2"/>
        <v>0</v>
      </c>
      <c r="AA26" s="18"/>
      <c r="AB26" s="18"/>
      <c r="AD26" s="291"/>
      <c r="AE26" s="291"/>
      <c r="AF26" s="291"/>
      <c r="AG26" s="291"/>
      <c r="AH26" s="291"/>
      <c r="AI26" s="291"/>
      <c r="AJ26" s="291"/>
    </row>
    <row r="27" spans="1:36" s="16" customFormat="1" ht="23.25" customHeight="1">
      <c r="A27" s="432">
        <v>11</v>
      </c>
      <c r="B27" s="429" t="s">
        <v>676</v>
      </c>
      <c r="C27" s="601">
        <f t="shared" si="0"/>
        <v>0</v>
      </c>
      <c r="D27" s="599">
        <f t="shared" si="3"/>
        <v>0</v>
      </c>
      <c r="E27" s="602">
        <v>0</v>
      </c>
      <c r="F27" s="600">
        <v>0</v>
      </c>
      <c r="G27" s="602">
        <v>0</v>
      </c>
      <c r="H27" s="600">
        <v>0</v>
      </c>
      <c r="I27" s="602">
        <v>0</v>
      </c>
      <c r="J27" s="600">
        <v>0</v>
      </c>
      <c r="K27" s="602">
        <v>0</v>
      </c>
      <c r="L27" s="600">
        <v>0</v>
      </c>
      <c r="M27" s="602">
        <v>0</v>
      </c>
      <c r="N27" s="600">
        <v>0</v>
      </c>
      <c r="O27" s="602">
        <v>0</v>
      </c>
      <c r="P27" s="600">
        <v>0</v>
      </c>
      <c r="Q27" s="602">
        <v>0</v>
      </c>
      <c r="R27" s="600">
        <v>0</v>
      </c>
      <c r="S27" s="602">
        <v>0</v>
      </c>
      <c r="T27" s="600">
        <v>0</v>
      </c>
      <c r="U27" s="602">
        <v>0</v>
      </c>
      <c r="V27" s="600">
        <v>0</v>
      </c>
      <c r="W27" s="602">
        <v>0</v>
      </c>
      <c r="X27" s="600">
        <v>0</v>
      </c>
      <c r="Y27" s="598">
        <f t="shared" si="4"/>
        <v>0</v>
      </c>
      <c r="Z27" s="599">
        <f t="shared" si="2"/>
        <v>0</v>
      </c>
      <c r="AA27" s="18"/>
      <c r="AB27" s="18"/>
      <c r="AC27" s="293">
        <f>+'Aging Analysis'!C19</f>
        <v>0</v>
      </c>
      <c r="AD27" s="291"/>
      <c r="AE27" s="291"/>
      <c r="AF27" s="291"/>
      <c r="AG27" s="291"/>
      <c r="AH27" s="291"/>
      <c r="AI27" s="291"/>
      <c r="AJ27" s="291"/>
    </row>
    <row r="28" spans="1:36" s="16" customFormat="1" ht="14.25" customHeight="1">
      <c r="A28" s="432"/>
      <c r="B28" s="430" t="s">
        <v>670</v>
      </c>
      <c r="C28" s="601">
        <f t="shared" si="0"/>
        <v>0</v>
      </c>
      <c r="D28" s="599">
        <f t="shared" si="3"/>
        <v>0</v>
      </c>
      <c r="E28" s="602"/>
      <c r="F28" s="600"/>
      <c r="G28" s="602"/>
      <c r="H28" s="600"/>
      <c r="I28" s="602"/>
      <c r="J28" s="600"/>
      <c r="K28" s="602"/>
      <c r="L28" s="600"/>
      <c r="M28" s="602"/>
      <c r="N28" s="600"/>
      <c r="O28" s="602"/>
      <c r="P28" s="600"/>
      <c r="Q28" s="602"/>
      <c r="R28" s="600"/>
      <c r="S28" s="602"/>
      <c r="T28" s="600"/>
      <c r="U28" s="602"/>
      <c r="V28" s="600"/>
      <c r="W28" s="602"/>
      <c r="X28" s="600"/>
      <c r="Y28" s="598">
        <f t="shared" si="4"/>
        <v>0</v>
      </c>
      <c r="Z28" s="599">
        <f t="shared" si="2"/>
        <v>0</v>
      </c>
      <c r="AA28" s="18"/>
      <c r="AB28" s="18"/>
      <c r="AD28" s="291"/>
      <c r="AE28" s="291"/>
      <c r="AF28" s="291"/>
      <c r="AG28" s="291"/>
      <c r="AH28" s="291"/>
      <c r="AI28" s="291"/>
      <c r="AJ28" s="291"/>
    </row>
    <row r="29" spans="1:36" s="16" customFormat="1" ht="23.25" customHeight="1">
      <c r="A29" s="432">
        <v>12</v>
      </c>
      <c r="B29" s="429" t="s">
        <v>677</v>
      </c>
      <c r="C29" s="601">
        <f t="shared" si="0"/>
        <v>0</v>
      </c>
      <c r="D29" s="599">
        <f t="shared" si="3"/>
        <v>0</v>
      </c>
      <c r="E29" s="602">
        <v>0</v>
      </c>
      <c r="F29" s="600">
        <v>0</v>
      </c>
      <c r="G29" s="602">
        <v>0</v>
      </c>
      <c r="H29" s="600">
        <v>0</v>
      </c>
      <c r="I29" s="602">
        <v>0</v>
      </c>
      <c r="J29" s="600">
        <v>0</v>
      </c>
      <c r="K29" s="602">
        <v>0</v>
      </c>
      <c r="L29" s="600">
        <v>0</v>
      </c>
      <c r="M29" s="602">
        <v>0</v>
      </c>
      <c r="N29" s="600">
        <v>0</v>
      </c>
      <c r="O29" s="602">
        <v>0</v>
      </c>
      <c r="P29" s="600">
        <v>0</v>
      </c>
      <c r="Q29" s="602">
        <v>0</v>
      </c>
      <c r="R29" s="600">
        <v>0</v>
      </c>
      <c r="S29" s="602">
        <v>0</v>
      </c>
      <c r="T29" s="600">
        <v>0</v>
      </c>
      <c r="U29" s="602">
        <v>0</v>
      </c>
      <c r="V29" s="600">
        <v>0</v>
      </c>
      <c r="W29" s="602">
        <v>0</v>
      </c>
      <c r="X29" s="600">
        <v>0</v>
      </c>
      <c r="Y29" s="598">
        <f t="shared" si="4"/>
        <v>0</v>
      </c>
      <c r="Z29" s="599">
        <f t="shared" si="2"/>
        <v>0</v>
      </c>
      <c r="AA29" s="18"/>
      <c r="AB29" s="18"/>
      <c r="AC29" s="293">
        <f>+'Aging Analysis'!C20</f>
        <v>0</v>
      </c>
      <c r="AD29" s="291"/>
      <c r="AE29" s="291"/>
      <c r="AF29" s="291"/>
      <c r="AG29" s="291"/>
      <c r="AH29" s="291"/>
      <c r="AI29" s="291"/>
      <c r="AJ29" s="291"/>
    </row>
    <row r="30" spans="1:36" s="16" customFormat="1" ht="14.25" customHeight="1">
      <c r="A30" s="432"/>
      <c r="B30" s="430" t="s">
        <v>670</v>
      </c>
      <c r="C30" s="601">
        <f t="shared" si="0"/>
        <v>0</v>
      </c>
      <c r="D30" s="599">
        <f t="shared" si="3"/>
        <v>0</v>
      </c>
      <c r="E30" s="602"/>
      <c r="F30" s="599"/>
      <c r="G30" s="602"/>
      <c r="H30" s="599"/>
      <c r="I30" s="602"/>
      <c r="J30" s="599"/>
      <c r="K30" s="602"/>
      <c r="L30" s="599"/>
      <c r="M30" s="602"/>
      <c r="N30" s="599"/>
      <c r="O30" s="602"/>
      <c r="P30" s="599"/>
      <c r="Q30" s="602"/>
      <c r="R30" s="599"/>
      <c r="S30" s="602"/>
      <c r="T30" s="599"/>
      <c r="U30" s="602"/>
      <c r="V30" s="599"/>
      <c r="W30" s="602"/>
      <c r="X30" s="599"/>
      <c r="Y30" s="598">
        <f t="shared" si="1"/>
        <v>0</v>
      </c>
      <c r="Z30" s="599">
        <f t="shared" si="2"/>
        <v>0</v>
      </c>
      <c r="AA30" s="18"/>
      <c r="AB30" s="18"/>
      <c r="AC30" s="291"/>
      <c r="AD30" s="291"/>
      <c r="AE30" s="291"/>
      <c r="AF30" s="291"/>
      <c r="AG30" s="291"/>
      <c r="AH30" s="291"/>
      <c r="AI30" s="291"/>
      <c r="AJ30" s="291"/>
    </row>
    <row r="31" spans="1:36" s="627" customFormat="1" ht="28.5" customHeight="1">
      <c r="A31" s="625">
        <v>13</v>
      </c>
      <c r="B31" s="625" t="s">
        <v>678</v>
      </c>
      <c r="C31" s="625">
        <f t="shared" ref="C31:AB31" si="5">+C7+C9+C11+C13+C15+C17+C19+C21+C23+C25+C27+C29</f>
        <v>13318623841</v>
      </c>
      <c r="D31" s="625">
        <f t="shared" si="5"/>
        <v>3738507725</v>
      </c>
      <c r="E31" s="625">
        <f t="shared" si="5"/>
        <v>10110199259</v>
      </c>
      <c r="F31" s="625">
        <f t="shared" si="5"/>
        <v>2841495735</v>
      </c>
      <c r="G31" s="625">
        <f t="shared" si="5"/>
        <v>48718159</v>
      </c>
      <c r="H31" s="625">
        <f t="shared" si="5"/>
        <v>14106815</v>
      </c>
      <c r="I31" s="625">
        <f t="shared" si="5"/>
        <v>2572974084</v>
      </c>
      <c r="J31" s="625">
        <f t="shared" si="5"/>
        <v>884265585</v>
      </c>
      <c r="K31" s="625">
        <f t="shared" si="5"/>
        <v>121192312</v>
      </c>
      <c r="L31" s="625">
        <f t="shared" si="5"/>
        <v>57899650</v>
      </c>
      <c r="M31" s="625">
        <f t="shared" si="5"/>
        <v>110817389</v>
      </c>
      <c r="N31" s="625">
        <f t="shared" si="5"/>
        <v>0</v>
      </c>
      <c r="O31" s="625">
        <f>+O7+O9+O11+O13+O15+O17+O19+O21+O23+O25+O27+O29</f>
        <v>45776248</v>
      </c>
      <c r="P31" s="625">
        <f t="shared" si="5"/>
        <v>0</v>
      </c>
      <c r="Q31" s="625">
        <f t="shared" si="5"/>
        <v>331525438</v>
      </c>
      <c r="R31" s="625">
        <f t="shared" si="5"/>
        <v>4142609</v>
      </c>
      <c r="S31" s="625">
        <f t="shared" si="5"/>
        <v>31254599</v>
      </c>
      <c r="T31" s="625">
        <f t="shared" si="5"/>
        <v>1655738</v>
      </c>
      <c r="U31" s="625">
        <f t="shared" si="5"/>
        <v>193107671</v>
      </c>
      <c r="V31" s="625">
        <f t="shared" si="5"/>
        <v>8603796</v>
      </c>
      <c r="W31" s="625">
        <f t="shared" si="5"/>
        <v>155988148</v>
      </c>
      <c r="X31" s="625">
        <f t="shared" si="5"/>
        <v>8603796</v>
      </c>
      <c r="Y31" s="625">
        <f t="shared" si="5"/>
        <v>354211307</v>
      </c>
      <c r="Z31" s="625">
        <f t="shared" si="5"/>
        <v>68159184</v>
      </c>
      <c r="AA31" s="625">
        <f>+AA7+AA9+AA11+AA13+AA15+AA17+AA19+AA21+AA23+AA25+AA27+AA29</f>
        <v>0</v>
      </c>
      <c r="AB31" s="625">
        <f t="shared" si="5"/>
        <v>0</v>
      </c>
      <c r="AC31" s="626">
        <f>+'Loans Receivable'!C85</f>
        <v>13318623841</v>
      </c>
    </row>
    <row r="32" spans="1:36" s="16" customFormat="1" ht="13.5" customHeight="1">
      <c r="A32" s="432"/>
      <c r="B32" s="433" t="s">
        <v>670</v>
      </c>
      <c r="C32" s="21">
        <f t="shared" ref="C32:Z32" si="6">+C8+C10+C12+C14+C16+C18+C20+C22+C24+C26+C28+C30</f>
        <v>0</v>
      </c>
      <c r="D32" s="122">
        <f t="shared" si="6"/>
        <v>0</v>
      </c>
      <c r="E32" s="21">
        <f t="shared" si="6"/>
        <v>0</v>
      </c>
      <c r="F32" s="21">
        <f t="shared" si="6"/>
        <v>0</v>
      </c>
      <c r="G32" s="21">
        <f t="shared" si="6"/>
        <v>0</v>
      </c>
      <c r="H32" s="21">
        <f t="shared" si="6"/>
        <v>0</v>
      </c>
      <c r="I32" s="21">
        <f t="shared" si="6"/>
        <v>0</v>
      </c>
      <c r="J32" s="21">
        <f t="shared" si="6"/>
        <v>0</v>
      </c>
      <c r="K32" s="21">
        <f t="shared" si="6"/>
        <v>0</v>
      </c>
      <c r="L32" s="21">
        <f t="shared" si="6"/>
        <v>0</v>
      </c>
      <c r="M32" s="21">
        <f t="shared" si="6"/>
        <v>0</v>
      </c>
      <c r="N32" s="21">
        <f t="shared" si="6"/>
        <v>0</v>
      </c>
      <c r="O32" s="21">
        <f>+O8+O10+O12+O14+O16+O18+O20+O22+O24+O26+O28+O30</f>
        <v>0</v>
      </c>
      <c r="P32" s="21">
        <f t="shared" si="6"/>
        <v>0</v>
      </c>
      <c r="Q32" s="21">
        <f t="shared" si="6"/>
        <v>0</v>
      </c>
      <c r="R32" s="21">
        <f t="shared" si="6"/>
        <v>0</v>
      </c>
      <c r="S32" s="21">
        <f t="shared" si="6"/>
        <v>0</v>
      </c>
      <c r="T32" s="21">
        <f t="shared" si="6"/>
        <v>0</v>
      </c>
      <c r="U32" s="21">
        <f t="shared" si="6"/>
        <v>0</v>
      </c>
      <c r="V32" s="21">
        <f t="shared" si="6"/>
        <v>0</v>
      </c>
      <c r="W32" s="21">
        <f t="shared" si="6"/>
        <v>0</v>
      </c>
      <c r="X32" s="21">
        <f t="shared" si="6"/>
        <v>0</v>
      </c>
      <c r="Y32" s="21">
        <f t="shared" si="6"/>
        <v>0</v>
      </c>
      <c r="Z32" s="21">
        <f t="shared" si="6"/>
        <v>0</v>
      </c>
      <c r="AA32" s="21"/>
      <c r="AB32" s="21"/>
      <c r="AC32" s="291"/>
      <c r="AD32" s="291"/>
      <c r="AE32" s="291"/>
      <c r="AF32" s="291"/>
      <c r="AG32" s="291"/>
      <c r="AH32" s="291"/>
      <c r="AI32" s="291"/>
      <c r="AJ32" s="291"/>
    </row>
    <row r="33" spans="1:36" s="627" customFormat="1" ht="27.75" customHeight="1">
      <c r="A33" s="625"/>
      <c r="B33" s="625" t="s">
        <v>679</v>
      </c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25"/>
      <c r="AB33" s="625"/>
    </row>
    <row r="34" spans="1:36" s="16" customFormat="1" ht="7.5" customHeight="1">
      <c r="A34" s="15"/>
      <c r="B34" s="15"/>
      <c r="C34" s="15"/>
      <c r="D34" s="597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291"/>
      <c r="AD34" s="291"/>
      <c r="AE34" s="291"/>
      <c r="AF34" s="291"/>
      <c r="AG34" s="291"/>
      <c r="AH34" s="291"/>
      <c r="AI34" s="291"/>
      <c r="AJ34" s="291"/>
    </row>
    <row r="35" spans="1:36" s="16" customFormat="1" ht="23.25" customHeight="1">
      <c r="A35" s="432">
        <v>14</v>
      </c>
      <c r="B35" s="434" t="s">
        <v>471</v>
      </c>
      <c r="C35" s="601">
        <f t="shared" ref="C35:D50" si="7">E35+I35+M35+Q35+U35</f>
        <v>3630116370</v>
      </c>
      <c r="D35" s="170">
        <f t="shared" si="7"/>
        <v>1833674955</v>
      </c>
      <c r="E35" s="22">
        <v>2589061577</v>
      </c>
      <c r="F35" s="603">
        <v>1173200612</v>
      </c>
      <c r="G35" s="22">
        <v>29230895</v>
      </c>
      <c r="H35" s="603">
        <v>6032016</v>
      </c>
      <c r="I35" s="22">
        <v>953847796</v>
      </c>
      <c r="J35" s="603">
        <v>656430591</v>
      </c>
      <c r="K35" s="22">
        <v>29758177</v>
      </c>
      <c r="L35" s="603">
        <v>39626166</v>
      </c>
      <c r="M35" s="22">
        <v>11149456</v>
      </c>
      <c r="N35" s="603">
        <v>0</v>
      </c>
      <c r="O35" s="22">
        <v>37068529</v>
      </c>
      <c r="P35" s="603">
        <v>0</v>
      </c>
      <c r="Q35" s="22">
        <v>39917175</v>
      </c>
      <c r="R35" s="603">
        <v>1417931</v>
      </c>
      <c r="S35" s="22">
        <v>6468351</v>
      </c>
      <c r="T35" s="603">
        <v>1417931</v>
      </c>
      <c r="U35" s="22">
        <v>36140366</v>
      </c>
      <c r="V35" s="603">
        <v>2625821</v>
      </c>
      <c r="W35" s="22">
        <v>66595013</v>
      </c>
      <c r="X35" s="603">
        <v>2625821</v>
      </c>
      <c r="Y35" s="169">
        <f>+W35+S35+O35+K35</f>
        <v>139890070</v>
      </c>
      <c r="Z35" s="170">
        <f>+X35+T35+P35+L35</f>
        <v>43669918</v>
      </c>
      <c r="AA35" s="18"/>
      <c r="AB35" s="18"/>
      <c r="AC35" s="293">
        <f>+'Aging Analysis'!C25</f>
        <v>3630116373</v>
      </c>
      <c r="AD35" s="291"/>
      <c r="AE35" s="291"/>
      <c r="AF35" s="291"/>
      <c r="AG35" s="291"/>
      <c r="AH35" s="291"/>
      <c r="AI35" s="291"/>
      <c r="AJ35" s="291"/>
    </row>
    <row r="36" spans="1:36" s="16" customFormat="1" ht="14.25" customHeight="1">
      <c r="A36" s="432"/>
      <c r="B36" s="433" t="s">
        <v>670</v>
      </c>
      <c r="C36" s="601">
        <f t="shared" si="7"/>
        <v>0</v>
      </c>
      <c r="D36" s="170">
        <f t="shared" si="7"/>
        <v>0</v>
      </c>
      <c r="E36" s="22"/>
      <c r="F36" s="603"/>
      <c r="G36" s="22"/>
      <c r="H36" s="603"/>
      <c r="I36" s="22"/>
      <c r="J36" s="603"/>
      <c r="K36" s="22"/>
      <c r="L36" s="603"/>
      <c r="M36" s="22"/>
      <c r="N36" s="603"/>
      <c r="O36" s="22"/>
      <c r="P36" s="603"/>
      <c r="Q36" s="22"/>
      <c r="R36" s="603"/>
      <c r="S36" s="22"/>
      <c r="T36" s="603"/>
      <c r="U36" s="22"/>
      <c r="V36" s="603"/>
      <c r="W36" s="22"/>
      <c r="X36" s="603"/>
      <c r="Y36" s="431">
        <f t="shared" ref="Y36:Y50" si="8">+W36+S36+O36+K36</f>
        <v>0</v>
      </c>
      <c r="Z36" s="170">
        <f t="shared" ref="Z36:Z50" si="9">+X36+T36+P36+L36</f>
        <v>0</v>
      </c>
      <c r="AA36" s="18"/>
      <c r="AB36" s="18"/>
      <c r="AD36" s="291"/>
      <c r="AE36" s="291"/>
      <c r="AF36" s="291"/>
      <c r="AG36" s="291"/>
      <c r="AH36" s="291"/>
      <c r="AI36" s="291"/>
      <c r="AJ36" s="291"/>
    </row>
    <row r="37" spans="1:36" s="16" customFormat="1" ht="23.25" customHeight="1">
      <c r="A37" s="432">
        <v>15</v>
      </c>
      <c r="B37" s="434" t="s">
        <v>472</v>
      </c>
      <c r="C37" s="601">
        <f t="shared" si="7"/>
        <v>1847415442</v>
      </c>
      <c r="D37" s="170">
        <f t="shared" si="7"/>
        <v>719377947</v>
      </c>
      <c r="E37" s="22">
        <v>1295812299</v>
      </c>
      <c r="F37" s="603">
        <v>566095514</v>
      </c>
      <c r="G37" s="22">
        <v>0</v>
      </c>
      <c r="H37" s="603">
        <v>2170479</v>
      </c>
      <c r="I37" s="22">
        <v>488625025</v>
      </c>
      <c r="J37" s="603">
        <v>147317408</v>
      </c>
      <c r="K37" s="22">
        <v>29726446</v>
      </c>
      <c r="L37" s="603">
        <v>7452227</v>
      </c>
      <c r="M37" s="22">
        <v>9426254</v>
      </c>
      <c r="N37" s="603">
        <v>0</v>
      </c>
      <c r="O37" s="22">
        <v>1814654</v>
      </c>
      <c r="P37" s="603">
        <v>0</v>
      </c>
      <c r="Q37" s="22">
        <v>28600599</v>
      </c>
      <c r="R37" s="603">
        <v>821429</v>
      </c>
      <c r="S37" s="22">
        <v>4667665</v>
      </c>
      <c r="T37" s="603">
        <v>47351</v>
      </c>
      <c r="U37" s="22">
        <v>24951265</v>
      </c>
      <c r="V37" s="603">
        <v>5143596</v>
      </c>
      <c r="W37" s="22">
        <v>16154772</v>
      </c>
      <c r="X37" s="603">
        <v>5143596</v>
      </c>
      <c r="Y37" s="169">
        <f t="shared" si="8"/>
        <v>52363537</v>
      </c>
      <c r="Z37" s="170">
        <f t="shared" si="9"/>
        <v>12643174</v>
      </c>
      <c r="AA37" s="18"/>
      <c r="AB37" s="18"/>
      <c r="AC37" s="293">
        <f>+'Aging Analysis'!C26</f>
        <v>1847415442</v>
      </c>
      <c r="AD37" s="291"/>
      <c r="AE37" s="291"/>
      <c r="AF37" s="291"/>
      <c r="AG37" s="291"/>
      <c r="AH37" s="291"/>
      <c r="AI37" s="291"/>
      <c r="AJ37" s="291"/>
    </row>
    <row r="38" spans="1:36" s="16" customFormat="1" ht="14.25" customHeight="1">
      <c r="A38" s="432"/>
      <c r="B38" s="433" t="s">
        <v>670</v>
      </c>
      <c r="C38" s="601">
        <f t="shared" si="7"/>
        <v>0</v>
      </c>
      <c r="D38" s="170">
        <f t="shared" si="7"/>
        <v>0</v>
      </c>
      <c r="E38" s="22"/>
      <c r="F38" s="603"/>
      <c r="G38" s="22"/>
      <c r="H38" s="603"/>
      <c r="I38" s="22"/>
      <c r="J38" s="603"/>
      <c r="K38" s="22"/>
      <c r="L38" s="603"/>
      <c r="M38" s="22"/>
      <c r="N38" s="603"/>
      <c r="O38" s="22"/>
      <c r="P38" s="603"/>
      <c r="Q38" s="22"/>
      <c r="R38" s="603"/>
      <c r="S38" s="22"/>
      <c r="T38" s="603"/>
      <c r="U38" s="22"/>
      <c r="V38" s="603"/>
      <c r="W38" s="22"/>
      <c r="X38" s="603"/>
      <c r="Y38" s="431">
        <f t="shared" si="8"/>
        <v>0</v>
      </c>
      <c r="Z38" s="170">
        <f t="shared" si="9"/>
        <v>0</v>
      </c>
      <c r="AA38" s="18"/>
      <c r="AB38" s="18"/>
      <c r="AD38" s="291"/>
      <c r="AE38" s="291"/>
      <c r="AF38" s="291"/>
      <c r="AG38" s="291"/>
      <c r="AH38" s="291"/>
      <c r="AI38" s="291"/>
      <c r="AJ38" s="291"/>
    </row>
    <row r="39" spans="1:36" s="16" customFormat="1" ht="23.25" customHeight="1">
      <c r="A39" s="432">
        <v>16</v>
      </c>
      <c r="B39" s="434" t="s">
        <v>473</v>
      </c>
      <c r="C39" s="601">
        <f t="shared" si="7"/>
        <v>180788828</v>
      </c>
      <c r="D39" s="170">
        <f t="shared" si="7"/>
        <v>100311052</v>
      </c>
      <c r="E39" s="22">
        <v>126936248</v>
      </c>
      <c r="F39" s="603">
        <v>88010778</v>
      </c>
      <c r="G39" s="22">
        <v>0</v>
      </c>
      <c r="H39" s="603">
        <v>0</v>
      </c>
      <c r="I39" s="22">
        <v>42154715</v>
      </c>
      <c r="J39" s="603">
        <v>11084983</v>
      </c>
      <c r="K39" s="22">
        <v>3937727</v>
      </c>
      <c r="L39" s="603">
        <v>990851</v>
      </c>
      <c r="M39" s="22">
        <v>129890</v>
      </c>
      <c r="N39" s="603">
        <v>0</v>
      </c>
      <c r="O39" s="22">
        <v>27424</v>
      </c>
      <c r="P39" s="603">
        <v>0</v>
      </c>
      <c r="Q39" s="22">
        <v>9619736</v>
      </c>
      <c r="R39" s="603">
        <v>380912</v>
      </c>
      <c r="S39" s="22">
        <v>2106662</v>
      </c>
      <c r="T39" s="603">
        <v>190456</v>
      </c>
      <c r="U39" s="22">
        <v>1948239</v>
      </c>
      <c r="V39" s="603">
        <v>834379</v>
      </c>
      <c r="W39" s="22">
        <v>1948239</v>
      </c>
      <c r="X39" s="603">
        <v>834379</v>
      </c>
      <c r="Y39" s="169">
        <f t="shared" si="8"/>
        <v>8020052</v>
      </c>
      <c r="Z39" s="170">
        <f t="shared" si="9"/>
        <v>2015686</v>
      </c>
      <c r="AA39" s="18"/>
      <c r="AB39" s="18"/>
      <c r="AC39" s="293">
        <f>+'Aging Analysis'!C27</f>
        <v>180788828</v>
      </c>
      <c r="AD39" s="291"/>
      <c r="AE39" s="291"/>
      <c r="AF39" s="291"/>
      <c r="AG39" s="291"/>
      <c r="AH39" s="291"/>
      <c r="AI39" s="291"/>
      <c r="AJ39" s="291"/>
    </row>
    <row r="40" spans="1:36" s="16" customFormat="1" ht="14.25" customHeight="1">
      <c r="A40" s="432"/>
      <c r="B40" s="433" t="s">
        <v>670</v>
      </c>
      <c r="C40" s="601">
        <f t="shared" si="7"/>
        <v>0</v>
      </c>
      <c r="D40" s="170">
        <f t="shared" si="7"/>
        <v>0</v>
      </c>
      <c r="E40" s="22"/>
      <c r="F40" s="603"/>
      <c r="G40" s="22"/>
      <c r="H40" s="603"/>
      <c r="I40" s="22"/>
      <c r="J40" s="603"/>
      <c r="K40" s="22"/>
      <c r="L40" s="603"/>
      <c r="M40" s="22"/>
      <c r="N40" s="603"/>
      <c r="O40" s="22"/>
      <c r="P40" s="603"/>
      <c r="Q40" s="22"/>
      <c r="R40" s="603"/>
      <c r="S40" s="22"/>
      <c r="T40" s="603"/>
      <c r="U40" s="22"/>
      <c r="V40" s="603"/>
      <c r="W40" s="22"/>
      <c r="X40" s="603"/>
      <c r="Y40" s="431">
        <f t="shared" si="8"/>
        <v>0</v>
      </c>
      <c r="Z40" s="170">
        <f t="shared" si="9"/>
        <v>0</v>
      </c>
      <c r="AA40" s="18"/>
      <c r="AB40" s="18"/>
      <c r="AD40" s="291"/>
      <c r="AE40" s="291"/>
      <c r="AF40" s="291"/>
      <c r="AG40" s="291"/>
      <c r="AH40" s="291"/>
      <c r="AI40" s="291"/>
      <c r="AJ40" s="291"/>
    </row>
    <row r="41" spans="1:36" s="16" customFormat="1" ht="23.25" customHeight="1">
      <c r="A41" s="432">
        <v>17</v>
      </c>
      <c r="B41" s="434" t="s">
        <v>474</v>
      </c>
      <c r="C41" s="601">
        <f t="shared" si="7"/>
        <v>192184990</v>
      </c>
      <c r="D41" s="170">
        <f t="shared" si="7"/>
        <v>3362025</v>
      </c>
      <c r="E41" s="22">
        <v>139909913</v>
      </c>
      <c r="F41" s="603">
        <v>0</v>
      </c>
      <c r="G41" s="22">
        <v>0</v>
      </c>
      <c r="H41" s="603">
        <v>0</v>
      </c>
      <c r="I41" s="22">
        <v>45523911</v>
      </c>
      <c r="J41" s="603">
        <v>3362025</v>
      </c>
      <c r="K41" s="22">
        <v>2756526</v>
      </c>
      <c r="L41" s="603">
        <v>0</v>
      </c>
      <c r="M41" s="22">
        <v>2327364</v>
      </c>
      <c r="N41" s="603">
        <v>0</v>
      </c>
      <c r="O41" s="22">
        <v>827364</v>
      </c>
      <c r="P41" s="603">
        <v>0</v>
      </c>
      <c r="Q41" s="22">
        <v>3046820</v>
      </c>
      <c r="R41" s="603">
        <v>0</v>
      </c>
      <c r="S41" s="22">
        <v>615181</v>
      </c>
      <c r="T41" s="603">
        <v>0</v>
      </c>
      <c r="U41" s="22">
        <v>1376982</v>
      </c>
      <c r="V41" s="603">
        <v>0</v>
      </c>
      <c r="W41" s="22">
        <v>1155982</v>
      </c>
      <c r="X41" s="603">
        <v>0</v>
      </c>
      <c r="Y41" s="169">
        <f t="shared" si="8"/>
        <v>5355053</v>
      </c>
      <c r="Z41" s="170">
        <f t="shared" si="9"/>
        <v>0</v>
      </c>
      <c r="AA41" s="18"/>
      <c r="AB41" s="18"/>
      <c r="AC41" s="293">
        <f>+'Aging Analysis'!C28</f>
        <v>192184990</v>
      </c>
      <c r="AD41" s="291"/>
      <c r="AE41" s="291"/>
      <c r="AF41" s="291"/>
      <c r="AG41" s="291"/>
      <c r="AH41" s="291"/>
      <c r="AI41" s="291"/>
      <c r="AJ41" s="291"/>
    </row>
    <row r="42" spans="1:36" s="16" customFormat="1" ht="14.25" customHeight="1">
      <c r="A42" s="432"/>
      <c r="B42" s="433" t="s">
        <v>670</v>
      </c>
      <c r="C42" s="601">
        <f t="shared" si="7"/>
        <v>0</v>
      </c>
      <c r="D42" s="170">
        <f t="shared" si="7"/>
        <v>0</v>
      </c>
      <c r="E42" s="22"/>
      <c r="F42" s="603"/>
      <c r="G42" s="22"/>
      <c r="H42" s="603"/>
      <c r="I42" s="22"/>
      <c r="J42" s="603"/>
      <c r="K42" s="22"/>
      <c r="L42" s="603"/>
      <c r="M42" s="22"/>
      <c r="N42" s="603"/>
      <c r="O42" s="22"/>
      <c r="P42" s="603"/>
      <c r="Q42" s="22"/>
      <c r="R42" s="603"/>
      <c r="S42" s="22"/>
      <c r="T42" s="603"/>
      <c r="U42" s="22"/>
      <c r="V42" s="603"/>
      <c r="W42" s="22"/>
      <c r="X42" s="603"/>
      <c r="Y42" s="431">
        <f t="shared" si="8"/>
        <v>0</v>
      </c>
      <c r="Z42" s="170">
        <f t="shared" si="9"/>
        <v>0</v>
      </c>
      <c r="AA42" s="18"/>
      <c r="AB42" s="18"/>
      <c r="AD42" s="291"/>
      <c r="AE42" s="291"/>
      <c r="AF42" s="291"/>
      <c r="AG42" s="291"/>
      <c r="AH42" s="291"/>
      <c r="AI42" s="291"/>
      <c r="AJ42" s="291"/>
    </row>
    <row r="43" spans="1:36" s="16" customFormat="1" ht="23.25" customHeight="1">
      <c r="A43" s="432">
        <v>18</v>
      </c>
      <c r="B43" s="434" t="s">
        <v>475</v>
      </c>
      <c r="C43" s="601">
        <f t="shared" si="7"/>
        <v>1435340066</v>
      </c>
      <c r="D43" s="170">
        <f t="shared" si="7"/>
        <v>488404213</v>
      </c>
      <c r="E43" s="22">
        <v>1210160129</v>
      </c>
      <c r="F43" s="603">
        <v>479046171</v>
      </c>
      <c r="G43" s="22">
        <v>0</v>
      </c>
      <c r="H43" s="603">
        <v>5792698</v>
      </c>
      <c r="I43" s="22">
        <v>194429331</v>
      </c>
      <c r="J43" s="603">
        <v>9358042</v>
      </c>
      <c r="K43" s="22">
        <v>14463284</v>
      </c>
      <c r="L43" s="603">
        <v>272518</v>
      </c>
      <c r="M43" s="22">
        <v>991442</v>
      </c>
      <c r="N43" s="603">
        <v>0</v>
      </c>
      <c r="O43" s="22">
        <v>78553</v>
      </c>
      <c r="P43" s="603">
        <v>0</v>
      </c>
      <c r="Q43" s="22">
        <v>14762028</v>
      </c>
      <c r="R43" s="603">
        <v>0</v>
      </c>
      <c r="S43" s="22">
        <v>3627068</v>
      </c>
      <c r="T43" s="603">
        <v>0</v>
      </c>
      <c r="U43" s="22">
        <v>14997136</v>
      </c>
      <c r="V43" s="603">
        <v>0</v>
      </c>
      <c r="W43" s="22">
        <v>12151074</v>
      </c>
      <c r="X43" s="603">
        <v>0</v>
      </c>
      <c r="Y43" s="169">
        <f t="shared" si="8"/>
        <v>30319979</v>
      </c>
      <c r="Z43" s="170">
        <f t="shared" si="9"/>
        <v>272518</v>
      </c>
      <c r="AA43" s="18"/>
      <c r="AB43" s="18"/>
      <c r="AC43" s="293">
        <f>+'Aging Analysis'!C29</f>
        <v>1435340065</v>
      </c>
      <c r="AD43" s="291"/>
      <c r="AE43" s="291"/>
      <c r="AF43" s="291"/>
      <c r="AG43" s="291"/>
      <c r="AH43" s="291"/>
      <c r="AI43" s="291"/>
      <c r="AJ43" s="291"/>
    </row>
    <row r="44" spans="1:36" s="16" customFormat="1" ht="14.25" customHeight="1">
      <c r="A44" s="432"/>
      <c r="B44" s="433" t="s">
        <v>670</v>
      </c>
      <c r="C44" s="601">
        <f t="shared" si="7"/>
        <v>0</v>
      </c>
      <c r="D44" s="170">
        <f t="shared" si="7"/>
        <v>0</v>
      </c>
      <c r="E44" s="22"/>
      <c r="F44" s="603"/>
      <c r="G44" s="22"/>
      <c r="H44" s="603"/>
      <c r="I44" s="22"/>
      <c r="J44" s="603"/>
      <c r="K44" s="22"/>
      <c r="L44" s="603"/>
      <c r="M44" s="22"/>
      <c r="N44" s="603"/>
      <c r="O44" s="22"/>
      <c r="P44" s="603"/>
      <c r="Q44" s="22"/>
      <c r="R44" s="603"/>
      <c r="S44" s="22"/>
      <c r="T44" s="603"/>
      <c r="U44" s="22"/>
      <c r="V44" s="603"/>
      <c r="W44" s="22"/>
      <c r="X44" s="603"/>
      <c r="Y44" s="431">
        <f t="shared" si="8"/>
        <v>0</v>
      </c>
      <c r="Z44" s="170">
        <f t="shared" si="9"/>
        <v>0</v>
      </c>
      <c r="AA44" s="18"/>
      <c r="AB44" s="18"/>
      <c r="AD44" s="291"/>
      <c r="AE44" s="291"/>
      <c r="AF44" s="291"/>
      <c r="AG44" s="291"/>
      <c r="AH44" s="291"/>
      <c r="AI44" s="291"/>
      <c r="AJ44" s="291"/>
    </row>
    <row r="45" spans="1:36" s="16" customFormat="1" ht="23.25" customHeight="1">
      <c r="A45" s="432">
        <v>19</v>
      </c>
      <c r="B45" s="434" t="s">
        <v>476</v>
      </c>
      <c r="C45" s="601">
        <f t="shared" si="7"/>
        <v>999195680</v>
      </c>
      <c r="D45" s="170">
        <f t="shared" si="7"/>
        <v>592591751</v>
      </c>
      <c r="E45" s="22">
        <v>792497765</v>
      </c>
      <c r="F45" s="603">
        <v>534356878</v>
      </c>
      <c r="G45" s="22">
        <v>0</v>
      </c>
      <c r="H45" s="603">
        <v>111622</v>
      </c>
      <c r="I45" s="22">
        <v>172491820</v>
      </c>
      <c r="J45" s="603">
        <v>56712536</v>
      </c>
      <c r="K45" s="22">
        <v>16765449</v>
      </c>
      <c r="L45" s="603">
        <v>9557888</v>
      </c>
      <c r="M45" s="22">
        <v>2088444</v>
      </c>
      <c r="N45" s="603">
        <v>0</v>
      </c>
      <c r="O45" s="22">
        <v>217537</v>
      </c>
      <c r="P45" s="603">
        <v>0</v>
      </c>
      <c r="Q45" s="22">
        <v>18276679</v>
      </c>
      <c r="R45" s="603">
        <v>1522337</v>
      </c>
      <c r="S45" s="22">
        <v>1430526</v>
      </c>
      <c r="T45" s="603">
        <v>0</v>
      </c>
      <c r="U45" s="22">
        <v>13840972</v>
      </c>
      <c r="V45" s="603">
        <v>0</v>
      </c>
      <c r="W45" s="22">
        <v>10146914</v>
      </c>
      <c r="X45" s="603">
        <v>0</v>
      </c>
      <c r="Y45" s="169">
        <f t="shared" si="8"/>
        <v>28560426</v>
      </c>
      <c r="Z45" s="170">
        <f t="shared" si="9"/>
        <v>9557888</v>
      </c>
      <c r="AA45" s="18"/>
      <c r="AB45" s="18"/>
      <c r="AC45" s="293">
        <f>+'Aging Analysis'!C30</f>
        <v>999195681</v>
      </c>
      <c r="AD45" s="291"/>
      <c r="AE45" s="291"/>
      <c r="AF45" s="291"/>
      <c r="AG45" s="291"/>
      <c r="AH45" s="291"/>
      <c r="AI45" s="291"/>
      <c r="AJ45" s="291"/>
    </row>
    <row r="46" spans="1:36" s="16" customFormat="1" ht="14.25" customHeight="1">
      <c r="A46" s="432"/>
      <c r="B46" s="433" t="s">
        <v>670</v>
      </c>
      <c r="C46" s="601">
        <f t="shared" si="7"/>
        <v>0</v>
      </c>
      <c r="D46" s="170">
        <f t="shared" si="7"/>
        <v>0</v>
      </c>
      <c r="E46" s="22"/>
      <c r="F46" s="603"/>
      <c r="G46" s="22"/>
      <c r="H46" s="603"/>
      <c r="I46" s="22"/>
      <c r="J46" s="603"/>
      <c r="K46" s="22"/>
      <c r="L46" s="603"/>
      <c r="M46" s="22"/>
      <c r="N46" s="603"/>
      <c r="O46" s="22"/>
      <c r="P46" s="603"/>
      <c r="Q46" s="22"/>
      <c r="R46" s="603"/>
      <c r="S46" s="22"/>
      <c r="T46" s="603"/>
      <c r="U46" s="22"/>
      <c r="V46" s="603"/>
      <c r="W46" s="22"/>
      <c r="X46" s="603"/>
      <c r="Y46" s="431">
        <f t="shared" si="8"/>
        <v>0</v>
      </c>
      <c r="Z46" s="170">
        <f t="shared" si="9"/>
        <v>0</v>
      </c>
      <c r="AA46" s="18"/>
      <c r="AB46" s="18"/>
      <c r="AD46" s="291"/>
      <c r="AE46" s="291"/>
      <c r="AF46" s="291"/>
      <c r="AG46" s="291"/>
      <c r="AH46" s="291"/>
      <c r="AI46" s="291"/>
      <c r="AJ46" s="291"/>
    </row>
    <row r="47" spans="1:36" s="16" customFormat="1" ht="23.25" customHeight="1">
      <c r="A47" s="432">
        <v>20</v>
      </c>
      <c r="B47" s="434" t="s">
        <v>477</v>
      </c>
      <c r="C47" s="601">
        <f t="shared" si="7"/>
        <v>104803072</v>
      </c>
      <c r="D47" s="170">
        <f t="shared" si="7"/>
        <v>0</v>
      </c>
      <c r="E47" s="22">
        <v>104803072</v>
      </c>
      <c r="F47" s="603">
        <v>0</v>
      </c>
      <c r="G47" s="22">
        <v>0</v>
      </c>
      <c r="H47" s="603">
        <v>0</v>
      </c>
      <c r="I47" s="22">
        <v>0</v>
      </c>
      <c r="J47" s="603">
        <v>0</v>
      </c>
      <c r="K47" s="22">
        <v>0</v>
      </c>
      <c r="L47" s="603">
        <v>0</v>
      </c>
      <c r="M47" s="22">
        <v>0</v>
      </c>
      <c r="N47" s="603">
        <v>0</v>
      </c>
      <c r="O47" s="22">
        <v>0</v>
      </c>
      <c r="P47" s="603">
        <v>0</v>
      </c>
      <c r="Q47" s="22">
        <v>0</v>
      </c>
      <c r="R47" s="603">
        <v>0</v>
      </c>
      <c r="S47" s="22"/>
      <c r="T47" s="603">
        <v>0</v>
      </c>
      <c r="U47" s="22">
        <v>0</v>
      </c>
      <c r="V47" s="603">
        <v>0</v>
      </c>
      <c r="W47" s="22">
        <v>0</v>
      </c>
      <c r="X47" s="603">
        <v>0</v>
      </c>
      <c r="Y47" s="169">
        <f t="shared" si="8"/>
        <v>0</v>
      </c>
      <c r="Z47" s="170">
        <f t="shared" si="9"/>
        <v>0</v>
      </c>
      <c r="AA47" s="18"/>
      <c r="AB47" s="18"/>
      <c r="AC47" s="293">
        <f>+'Aging Analysis'!C31</f>
        <v>104803073</v>
      </c>
      <c r="AD47" s="291"/>
      <c r="AE47" s="291"/>
      <c r="AF47" s="291"/>
      <c r="AG47" s="291"/>
      <c r="AH47" s="291"/>
      <c r="AI47" s="291"/>
      <c r="AJ47" s="291"/>
    </row>
    <row r="48" spans="1:36" s="16" customFormat="1" ht="14.25" customHeight="1">
      <c r="A48" s="432"/>
      <c r="B48" s="433" t="s">
        <v>670</v>
      </c>
      <c r="C48" s="601">
        <f t="shared" si="7"/>
        <v>0</v>
      </c>
      <c r="D48" s="170">
        <f t="shared" si="7"/>
        <v>0</v>
      </c>
      <c r="E48" s="22"/>
      <c r="F48" s="603"/>
      <c r="G48" s="22"/>
      <c r="H48" s="603"/>
      <c r="I48" s="22"/>
      <c r="J48" s="603"/>
      <c r="K48" s="22"/>
      <c r="L48" s="603"/>
      <c r="M48" s="22"/>
      <c r="N48" s="603"/>
      <c r="O48" s="22"/>
      <c r="P48" s="603"/>
      <c r="Q48" s="22"/>
      <c r="R48" s="603"/>
      <c r="S48" s="22"/>
      <c r="T48" s="603"/>
      <c r="U48" s="22"/>
      <c r="V48" s="603"/>
      <c r="W48" s="22"/>
      <c r="X48" s="603"/>
      <c r="Y48" s="431">
        <f t="shared" si="8"/>
        <v>0</v>
      </c>
      <c r="Z48" s="170">
        <f t="shared" si="9"/>
        <v>0</v>
      </c>
      <c r="AA48" s="18"/>
      <c r="AB48" s="18"/>
      <c r="AD48" s="291"/>
      <c r="AE48" s="291"/>
      <c r="AF48" s="291"/>
      <c r="AG48" s="291"/>
      <c r="AH48" s="291"/>
      <c r="AI48" s="291"/>
      <c r="AJ48" s="291"/>
    </row>
    <row r="49" spans="1:36" s="16" customFormat="1" ht="23.25" customHeight="1">
      <c r="A49" s="432">
        <v>21</v>
      </c>
      <c r="B49" s="434" t="s">
        <v>478</v>
      </c>
      <c r="C49" s="601">
        <f t="shared" si="7"/>
        <v>347394137</v>
      </c>
      <c r="D49" s="170">
        <f t="shared" si="7"/>
        <v>785782</v>
      </c>
      <c r="E49" s="22">
        <v>239940817</v>
      </c>
      <c r="F49" s="603">
        <v>785782</v>
      </c>
      <c r="G49" s="22">
        <v>0</v>
      </c>
      <c r="H49" s="603">
        <v>0</v>
      </c>
      <c r="I49" s="22">
        <v>84787850</v>
      </c>
      <c r="J49" s="603">
        <v>0</v>
      </c>
      <c r="K49" s="22">
        <v>4059199</v>
      </c>
      <c r="L49" s="603">
        <v>0</v>
      </c>
      <c r="M49" s="22">
        <v>2282475</v>
      </c>
      <c r="N49" s="603">
        <v>0</v>
      </c>
      <c r="O49" s="22">
        <v>137837</v>
      </c>
      <c r="P49" s="603">
        <v>0</v>
      </c>
      <c r="Q49" s="22">
        <v>15419862</v>
      </c>
      <c r="R49" s="603">
        <v>0</v>
      </c>
      <c r="S49" s="22">
        <v>997299</v>
      </c>
      <c r="T49" s="603">
        <v>0</v>
      </c>
      <c r="U49" s="22">
        <v>4963133</v>
      </c>
      <c r="V49" s="603">
        <v>0</v>
      </c>
      <c r="W49" s="22">
        <v>1709669</v>
      </c>
      <c r="X49" s="603">
        <v>0</v>
      </c>
      <c r="Y49" s="169">
        <f t="shared" si="8"/>
        <v>6904004</v>
      </c>
      <c r="Z49" s="170">
        <f t="shared" si="9"/>
        <v>0</v>
      </c>
      <c r="AA49" s="18"/>
      <c r="AB49" s="18"/>
      <c r="AC49" s="293">
        <f>+'Aging Analysis'!C32</f>
        <v>347394134</v>
      </c>
      <c r="AD49" s="291"/>
      <c r="AE49" s="291"/>
      <c r="AF49" s="291"/>
      <c r="AG49" s="291"/>
      <c r="AH49" s="291"/>
      <c r="AI49" s="291"/>
      <c r="AJ49" s="291"/>
    </row>
    <row r="50" spans="1:36" s="16" customFormat="1" ht="14.25" customHeight="1">
      <c r="A50" s="432"/>
      <c r="B50" s="433" t="s">
        <v>670</v>
      </c>
      <c r="C50" s="601">
        <f t="shared" si="7"/>
        <v>0</v>
      </c>
      <c r="D50" s="170">
        <f t="shared" si="7"/>
        <v>0</v>
      </c>
      <c r="E50" s="22"/>
      <c r="F50" s="603">
        <v>0</v>
      </c>
      <c r="G50" s="22">
        <v>0</v>
      </c>
      <c r="H50" s="603">
        <v>0</v>
      </c>
      <c r="I50" s="22">
        <v>0</v>
      </c>
      <c r="J50" s="603">
        <v>0</v>
      </c>
      <c r="K50" s="22">
        <v>0</v>
      </c>
      <c r="L50" s="603">
        <v>0</v>
      </c>
      <c r="M50" s="22">
        <v>0</v>
      </c>
      <c r="N50" s="603">
        <v>0</v>
      </c>
      <c r="O50" s="22">
        <v>0</v>
      </c>
      <c r="P50" s="603">
        <v>0</v>
      </c>
      <c r="Q50" s="22">
        <v>0</v>
      </c>
      <c r="R50" s="603">
        <v>0</v>
      </c>
      <c r="S50" s="22"/>
      <c r="T50" s="603">
        <v>0</v>
      </c>
      <c r="U50" s="22">
        <v>0</v>
      </c>
      <c r="V50" s="603">
        <v>0</v>
      </c>
      <c r="W50" s="22">
        <v>0</v>
      </c>
      <c r="X50" s="603">
        <v>0</v>
      </c>
      <c r="Y50" s="431">
        <f t="shared" si="8"/>
        <v>0</v>
      </c>
      <c r="Z50" s="170">
        <f t="shared" si="9"/>
        <v>0</v>
      </c>
      <c r="AA50" s="18"/>
      <c r="AB50" s="18"/>
      <c r="AC50" s="291"/>
      <c r="AD50" s="291"/>
      <c r="AE50" s="291"/>
      <c r="AF50" s="291"/>
      <c r="AG50" s="291"/>
      <c r="AH50" s="291"/>
      <c r="AI50" s="291"/>
      <c r="AJ50" s="291"/>
    </row>
    <row r="51" spans="1:36" s="16" customFormat="1" ht="23.25" customHeight="1">
      <c r="A51" s="432">
        <v>22</v>
      </c>
      <c r="B51" s="434" t="s">
        <v>401</v>
      </c>
      <c r="C51" s="601">
        <f t="shared" ref="C51:C54" si="10">E51+I51+M51+Q51+U51</f>
        <v>4581385256</v>
      </c>
      <c r="D51" s="170">
        <f t="shared" ref="D51:D52" si="11">F51+J51+N51+R51+V51</f>
        <v>0</v>
      </c>
      <c r="E51" s="22">
        <v>3611077439</v>
      </c>
      <c r="F51" s="603">
        <v>0</v>
      </c>
      <c r="G51" s="22">
        <v>19487264</v>
      </c>
      <c r="H51" s="603">
        <v>0</v>
      </c>
      <c r="I51" s="22">
        <v>591113636</v>
      </c>
      <c r="J51" s="603">
        <v>0</v>
      </c>
      <c r="K51" s="22">
        <v>19725504</v>
      </c>
      <c r="L51" s="603">
        <v>0</v>
      </c>
      <c r="M51" s="22">
        <v>82422064</v>
      </c>
      <c r="N51" s="603">
        <v>0</v>
      </c>
      <c r="O51" s="22">
        <v>5604350</v>
      </c>
      <c r="P51" s="603">
        <v>0</v>
      </c>
      <c r="Q51" s="22">
        <v>201882539</v>
      </c>
      <c r="R51" s="603">
        <v>0</v>
      </c>
      <c r="S51" s="22">
        <v>11341847</v>
      </c>
      <c r="T51" s="603">
        <v>0</v>
      </c>
      <c r="U51" s="22">
        <v>94889578</v>
      </c>
      <c r="V51" s="603">
        <v>0</v>
      </c>
      <c r="W51" s="22">
        <v>46126485</v>
      </c>
      <c r="X51" s="603">
        <v>0</v>
      </c>
      <c r="Y51" s="431">
        <f t="shared" ref="Y51:Y52" si="12">+W51+S51+O51+K51</f>
        <v>82798186</v>
      </c>
      <c r="Z51" s="170">
        <f t="shared" ref="Z51:Z52" si="13">+X51+T51+P51+L51</f>
        <v>0</v>
      </c>
      <c r="AA51" s="18"/>
      <c r="AB51" s="18"/>
      <c r="AC51" s="293">
        <f>+'Aging Analysis'!C33</f>
        <v>4581385255</v>
      </c>
      <c r="AD51" s="291"/>
      <c r="AE51" s="291"/>
      <c r="AF51" s="291"/>
      <c r="AG51" s="291"/>
      <c r="AH51" s="291"/>
      <c r="AI51" s="291"/>
      <c r="AJ51" s="291"/>
    </row>
    <row r="52" spans="1:36" s="16" customFormat="1" ht="14.25" customHeight="1">
      <c r="A52" s="432"/>
      <c r="B52" s="433" t="s">
        <v>670</v>
      </c>
      <c r="C52" s="601">
        <f t="shared" si="10"/>
        <v>0</v>
      </c>
      <c r="D52" s="170">
        <f t="shared" si="11"/>
        <v>0</v>
      </c>
      <c r="E52" s="22"/>
      <c r="F52" s="170"/>
      <c r="G52" s="22"/>
      <c r="H52" s="170"/>
      <c r="I52" s="22"/>
      <c r="J52" s="170"/>
      <c r="K52" s="22"/>
      <c r="L52" s="170"/>
      <c r="M52" s="22"/>
      <c r="N52" s="170"/>
      <c r="O52" s="22">
        <v>0</v>
      </c>
      <c r="P52" s="170"/>
      <c r="Q52" s="22"/>
      <c r="R52" s="170"/>
      <c r="S52" s="22"/>
      <c r="T52" s="170"/>
      <c r="U52" s="22"/>
      <c r="V52" s="170"/>
      <c r="W52" s="22"/>
      <c r="X52" s="170"/>
      <c r="Y52" s="431">
        <f t="shared" si="12"/>
        <v>0</v>
      </c>
      <c r="Z52" s="170">
        <f t="shared" si="13"/>
        <v>0</v>
      </c>
      <c r="AA52" s="18"/>
      <c r="AB52" s="18"/>
      <c r="AC52" s="291"/>
      <c r="AD52" s="291"/>
      <c r="AE52" s="291"/>
      <c r="AF52" s="291"/>
      <c r="AG52" s="291"/>
      <c r="AH52" s="291"/>
      <c r="AI52" s="291"/>
      <c r="AJ52" s="291"/>
    </row>
    <row r="53" spans="1:36" s="627" customFormat="1" ht="28.5" customHeight="1">
      <c r="A53" s="625">
        <v>23</v>
      </c>
      <c r="B53" s="625" t="s">
        <v>678</v>
      </c>
      <c r="C53" s="625">
        <f>+C35+C37+C39+C41+C43+C45+C47+C49+C51</f>
        <v>13318623841</v>
      </c>
      <c r="D53" s="625">
        <f t="shared" ref="D53:AB53" si="14">+D35+D37+D39+D41+D43+D45+D47+D49+D51</f>
        <v>3738507725</v>
      </c>
      <c r="E53" s="625">
        <f t="shared" si="14"/>
        <v>10110199259</v>
      </c>
      <c r="F53" s="625">
        <f t="shared" si="14"/>
        <v>2841495735</v>
      </c>
      <c r="G53" s="625">
        <f t="shared" si="14"/>
        <v>48718159</v>
      </c>
      <c r="H53" s="625">
        <f t="shared" si="14"/>
        <v>14106815</v>
      </c>
      <c r="I53" s="625">
        <f t="shared" si="14"/>
        <v>2572974084</v>
      </c>
      <c r="J53" s="625">
        <f t="shared" si="14"/>
        <v>884265585</v>
      </c>
      <c r="K53" s="625">
        <f t="shared" si="14"/>
        <v>121192312</v>
      </c>
      <c r="L53" s="625">
        <f t="shared" si="14"/>
        <v>57899650</v>
      </c>
      <c r="M53" s="625">
        <f t="shared" si="14"/>
        <v>110817389</v>
      </c>
      <c r="N53" s="625">
        <f t="shared" si="14"/>
        <v>0</v>
      </c>
      <c r="O53" s="625">
        <f t="shared" si="14"/>
        <v>45776248</v>
      </c>
      <c r="P53" s="625">
        <f t="shared" si="14"/>
        <v>0</v>
      </c>
      <c r="Q53" s="625">
        <f t="shared" si="14"/>
        <v>331525438</v>
      </c>
      <c r="R53" s="625">
        <f t="shared" si="14"/>
        <v>4142609</v>
      </c>
      <c r="S53" s="625">
        <f t="shared" si="14"/>
        <v>31254599</v>
      </c>
      <c r="T53" s="625">
        <f t="shared" si="14"/>
        <v>1655738</v>
      </c>
      <c r="U53" s="625">
        <f t="shared" si="14"/>
        <v>193107671</v>
      </c>
      <c r="V53" s="625">
        <f t="shared" si="14"/>
        <v>8603796</v>
      </c>
      <c r="W53" s="625">
        <f t="shared" si="14"/>
        <v>155988148</v>
      </c>
      <c r="X53" s="625">
        <f t="shared" si="14"/>
        <v>8603796</v>
      </c>
      <c r="Y53" s="625">
        <f t="shared" si="14"/>
        <v>354211307</v>
      </c>
      <c r="Z53" s="625">
        <f t="shared" si="14"/>
        <v>68159184</v>
      </c>
      <c r="AA53" s="625">
        <f t="shared" si="14"/>
        <v>0</v>
      </c>
      <c r="AB53" s="625">
        <f t="shared" si="14"/>
        <v>0</v>
      </c>
      <c r="AC53" s="626">
        <f>+'Aging Analysis'!C35</f>
        <v>13318623841</v>
      </c>
    </row>
    <row r="54" spans="1:36" s="16" customFormat="1" ht="23.25" customHeight="1">
      <c r="A54" s="432"/>
      <c r="B54" s="433" t="s">
        <v>670</v>
      </c>
      <c r="C54" s="553">
        <f t="shared" si="10"/>
        <v>0</v>
      </c>
      <c r="D54" s="122">
        <f t="shared" ref="D54:AB54" si="15">+D36+D38+D40+D42+D44+D46+D48+D50+D52</f>
        <v>0</v>
      </c>
      <c r="E54" s="22">
        <v>0</v>
      </c>
      <c r="F54" s="22">
        <v>0</v>
      </c>
      <c r="G54" s="22">
        <f t="shared" si="15"/>
        <v>0</v>
      </c>
      <c r="H54" s="22">
        <f t="shared" si="15"/>
        <v>0</v>
      </c>
      <c r="I54" s="22">
        <f t="shared" si="15"/>
        <v>0</v>
      </c>
      <c r="J54" s="22">
        <f t="shared" si="15"/>
        <v>0</v>
      </c>
      <c r="K54" s="22">
        <f t="shared" si="15"/>
        <v>0</v>
      </c>
      <c r="L54" s="22">
        <f t="shared" si="15"/>
        <v>0</v>
      </c>
      <c r="M54" s="22">
        <f t="shared" si="15"/>
        <v>0</v>
      </c>
      <c r="N54" s="22">
        <f t="shared" si="15"/>
        <v>0</v>
      </c>
      <c r="O54" s="22">
        <f t="shared" si="15"/>
        <v>0</v>
      </c>
      <c r="P54" s="22">
        <f t="shared" si="15"/>
        <v>0</v>
      </c>
      <c r="Q54" s="22">
        <f t="shared" si="15"/>
        <v>0</v>
      </c>
      <c r="R54" s="22">
        <f t="shared" si="15"/>
        <v>0</v>
      </c>
      <c r="S54" s="22">
        <f t="shared" si="15"/>
        <v>0</v>
      </c>
      <c r="T54" s="22">
        <f t="shared" si="15"/>
        <v>0</v>
      </c>
      <c r="U54" s="22">
        <f t="shared" si="15"/>
        <v>0</v>
      </c>
      <c r="V54" s="22">
        <f t="shared" si="15"/>
        <v>0</v>
      </c>
      <c r="W54" s="22">
        <f t="shared" si="15"/>
        <v>0</v>
      </c>
      <c r="X54" s="22">
        <f t="shared" si="15"/>
        <v>0</v>
      </c>
      <c r="Y54" s="21">
        <f t="shared" si="15"/>
        <v>0</v>
      </c>
      <c r="Z54" s="21">
        <f t="shared" si="15"/>
        <v>0</v>
      </c>
      <c r="AA54" s="21">
        <f t="shared" si="15"/>
        <v>0</v>
      </c>
      <c r="AB54" s="21">
        <f t="shared" si="15"/>
        <v>0</v>
      </c>
      <c r="AC54" s="291"/>
      <c r="AD54" s="291"/>
      <c r="AE54" s="291"/>
      <c r="AF54" s="291"/>
      <c r="AG54" s="291"/>
      <c r="AH54" s="291"/>
      <c r="AI54" s="291"/>
      <c r="AJ54" s="291"/>
    </row>
    <row r="55" spans="1:36" s="627" customFormat="1" ht="27.75" customHeight="1">
      <c r="A55" s="625"/>
      <c r="B55" s="625" t="s">
        <v>680</v>
      </c>
      <c r="C55" s="625"/>
      <c r="D55" s="625"/>
      <c r="E55" s="625"/>
      <c r="F55" s="625"/>
      <c r="G55" s="625"/>
      <c r="H55" s="625"/>
      <c r="I55" s="625"/>
      <c r="J55" s="625"/>
      <c r="K55" s="625"/>
      <c r="L55" s="625"/>
      <c r="M55" s="625"/>
      <c r="N55" s="625"/>
      <c r="O55" s="625"/>
      <c r="P55" s="625"/>
      <c r="Q55" s="625"/>
      <c r="R55" s="625"/>
      <c r="S55" s="625"/>
      <c r="T55" s="625"/>
      <c r="U55" s="625"/>
      <c r="V55" s="625"/>
      <c r="W55" s="625"/>
      <c r="X55" s="625"/>
      <c r="Y55" s="625"/>
      <c r="Z55" s="625"/>
      <c r="AA55" s="625"/>
      <c r="AB55" s="625"/>
    </row>
    <row r="56" spans="1:36" s="16" customFormat="1" ht="7.5" customHeight="1">
      <c r="A56" s="15"/>
      <c r="B56" s="15"/>
      <c r="C56" s="15"/>
      <c r="D56" s="59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291"/>
      <c r="AD56" s="291"/>
      <c r="AE56" s="291"/>
      <c r="AF56" s="291"/>
      <c r="AG56" s="291"/>
      <c r="AH56" s="291"/>
      <c r="AI56" s="291"/>
      <c r="AJ56" s="291"/>
    </row>
    <row r="57" spans="1:36" s="177" customFormat="1" ht="21.75" customHeight="1">
      <c r="A57" s="432">
        <v>24</v>
      </c>
      <c r="B57" s="434" t="s">
        <v>681</v>
      </c>
      <c r="C57" s="601">
        <f t="shared" ref="C57:D73" si="16">E57+I57+M57+Q57+U57</f>
        <v>737164230</v>
      </c>
      <c r="D57" s="599">
        <f t="shared" si="16"/>
        <v>64903826</v>
      </c>
      <c r="E57" s="602">
        <v>662992080</v>
      </c>
      <c r="F57" s="600">
        <v>61612139</v>
      </c>
      <c r="G57" s="602"/>
      <c r="H57" s="600">
        <v>0</v>
      </c>
      <c r="I57" s="602">
        <v>66895930</v>
      </c>
      <c r="J57" s="600">
        <v>3291687</v>
      </c>
      <c r="K57" s="602">
        <v>3931062</v>
      </c>
      <c r="L57" s="600">
        <v>0</v>
      </c>
      <c r="M57" s="602">
        <v>618952</v>
      </c>
      <c r="N57" s="600">
        <v>0</v>
      </c>
      <c r="O57" s="602">
        <v>105841</v>
      </c>
      <c r="P57" s="600">
        <v>0</v>
      </c>
      <c r="Q57" s="602">
        <v>3030361</v>
      </c>
      <c r="R57" s="600">
        <v>0</v>
      </c>
      <c r="S57" s="602">
        <v>868061</v>
      </c>
      <c r="T57" s="600">
        <v>0</v>
      </c>
      <c r="U57" s="602">
        <v>3626907</v>
      </c>
      <c r="V57" s="600">
        <v>0</v>
      </c>
      <c r="W57" s="602">
        <v>4646028</v>
      </c>
      <c r="X57" s="600">
        <v>0</v>
      </c>
      <c r="Y57" s="169">
        <f>+W57+S57+O57+K57</f>
        <v>9550992</v>
      </c>
      <c r="Z57" s="599">
        <f>+X57+T57+P57+L57</f>
        <v>0</v>
      </c>
      <c r="AA57" s="18"/>
      <c r="AB57" s="18"/>
      <c r="AC57" s="294"/>
      <c r="AD57" s="294"/>
      <c r="AE57" s="294"/>
      <c r="AF57" s="294"/>
      <c r="AG57" s="294"/>
      <c r="AH57" s="294"/>
      <c r="AI57" s="294"/>
      <c r="AJ57" s="294"/>
    </row>
    <row r="58" spans="1:36" s="177" customFormat="1" ht="21.75" customHeight="1">
      <c r="A58" s="432">
        <v>25</v>
      </c>
      <c r="B58" s="434" t="s">
        <v>682</v>
      </c>
      <c r="C58" s="601">
        <f t="shared" si="16"/>
        <v>731000316</v>
      </c>
      <c r="D58" s="599">
        <f t="shared" si="16"/>
        <v>143340314</v>
      </c>
      <c r="E58" s="602">
        <v>370796789</v>
      </c>
      <c r="F58" s="600">
        <v>82345033</v>
      </c>
      <c r="G58" s="602"/>
      <c r="H58" s="600">
        <v>0</v>
      </c>
      <c r="I58" s="602">
        <v>218749275</v>
      </c>
      <c r="J58" s="600">
        <v>55851685</v>
      </c>
      <c r="K58" s="602">
        <v>16985689</v>
      </c>
      <c r="L58" s="600">
        <v>5585168</v>
      </c>
      <c r="M58" s="602">
        <v>29408847</v>
      </c>
      <c r="N58" s="600">
        <v>0</v>
      </c>
      <c r="O58" s="602">
        <v>7910626</v>
      </c>
      <c r="P58" s="600">
        <v>0</v>
      </c>
      <c r="Q58" s="602">
        <v>83160477</v>
      </c>
      <c r="R58" s="600">
        <v>0</v>
      </c>
      <c r="S58" s="602">
        <v>8578688</v>
      </c>
      <c r="T58" s="600">
        <v>0</v>
      </c>
      <c r="U58" s="602">
        <v>28884928</v>
      </c>
      <c r="V58" s="600">
        <v>5143596</v>
      </c>
      <c r="W58" s="602">
        <v>36280374</v>
      </c>
      <c r="X58" s="600">
        <v>5143596</v>
      </c>
      <c r="Y58" s="169">
        <f t="shared" ref="Y58:Z70" si="17">+W58+S58+O58+K58</f>
        <v>69755377</v>
      </c>
      <c r="Z58" s="599">
        <f t="shared" si="17"/>
        <v>10728764</v>
      </c>
      <c r="AA58" s="18"/>
      <c r="AB58" s="18"/>
      <c r="AC58" s="294"/>
      <c r="AD58" s="294"/>
      <c r="AE58" s="294"/>
      <c r="AF58" s="294"/>
      <c r="AG58" s="294"/>
      <c r="AH58" s="294"/>
      <c r="AI58" s="294"/>
      <c r="AJ58" s="294"/>
    </row>
    <row r="59" spans="1:36" s="177" customFormat="1" ht="21.75" customHeight="1">
      <c r="A59" s="432">
        <v>26</v>
      </c>
      <c r="B59" s="434" t="s">
        <v>683</v>
      </c>
      <c r="C59" s="601">
        <f t="shared" si="16"/>
        <v>931531942</v>
      </c>
      <c r="D59" s="599">
        <f t="shared" si="16"/>
        <v>151911145</v>
      </c>
      <c r="E59" s="602">
        <v>716582556</v>
      </c>
      <c r="F59" s="600">
        <v>114627505</v>
      </c>
      <c r="G59" s="602"/>
      <c r="H59" s="600">
        <v>2245092</v>
      </c>
      <c r="I59" s="602">
        <v>178965885</v>
      </c>
      <c r="J59" s="600">
        <v>35865709</v>
      </c>
      <c r="K59" s="602">
        <v>10006896</v>
      </c>
      <c r="L59" s="600">
        <v>1927810</v>
      </c>
      <c r="M59" s="602">
        <v>4482037</v>
      </c>
      <c r="N59" s="600">
        <v>0</v>
      </c>
      <c r="O59" s="602">
        <v>927748</v>
      </c>
      <c r="P59" s="600">
        <v>0</v>
      </c>
      <c r="Q59" s="602">
        <v>24342093</v>
      </c>
      <c r="R59" s="600">
        <v>1417931</v>
      </c>
      <c r="S59" s="602">
        <v>2928672</v>
      </c>
      <c r="T59" s="600">
        <v>1417931</v>
      </c>
      <c r="U59" s="602">
        <v>7159371</v>
      </c>
      <c r="V59" s="600">
        <v>0</v>
      </c>
      <c r="W59" s="602">
        <v>6493027</v>
      </c>
      <c r="X59" s="600">
        <v>0</v>
      </c>
      <c r="Y59" s="169">
        <f t="shared" si="17"/>
        <v>20356343</v>
      </c>
      <c r="Z59" s="599">
        <f t="shared" si="17"/>
        <v>3345741</v>
      </c>
      <c r="AA59" s="18"/>
      <c r="AB59" s="18"/>
      <c r="AC59" s="294"/>
      <c r="AD59" s="294"/>
      <c r="AE59" s="294"/>
      <c r="AF59" s="294"/>
      <c r="AG59" s="294"/>
      <c r="AH59" s="294"/>
      <c r="AI59" s="294"/>
      <c r="AJ59" s="294"/>
    </row>
    <row r="60" spans="1:36" s="177" customFormat="1" ht="21.75" customHeight="1">
      <c r="A60" s="432">
        <v>27</v>
      </c>
      <c r="B60" s="434" t="s">
        <v>684</v>
      </c>
      <c r="C60" s="601">
        <f t="shared" si="16"/>
        <v>547996554</v>
      </c>
      <c r="D60" s="599">
        <f t="shared" si="16"/>
        <v>72605909</v>
      </c>
      <c r="E60" s="602">
        <v>398360019</v>
      </c>
      <c r="F60" s="600">
        <v>68724397</v>
      </c>
      <c r="G60" s="602"/>
      <c r="H60" s="600">
        <v>4680384</v>
      </c>
      <c r="I60" s="602">
        <v>84895131</v>
      </c>
      <c r="J60" s="600">
        <v>3060083</v>
      </c>
      <c r="K60" s="602">
        <v>4312030</v>
      </c>
      <c r="L60" s="600">
        <v>223505</v>
      </c>
      <c r="M60" s="602">
        <v>17893144</v>
      </c>
      <c r="N60" s="600">
        <v>0</v>
      </c>
      <c r="O60" s="602">
        <v>3733460</v>
      </c>
      <c r="P60" s="600">
        <v>0</v>
      </c>
      <c r="Q60" s="602">
        <v>36092738</v>
      </c>
      <c r="R60" s="600">
        <v>821429</v>
      </c>
      <c r="S60" s="602">
        <v>1402606</v>
      </c>
      <c r="T60" s="600">
        <v>47351</v>
      </c>
      <c r="U60" s="602">
        <v>10755522</v>
      </c>
      <c r="V60" s="600">
        <v>0</v>
      </c>
      <c r="W60" s="602">
        <v>7024264</v>
      </c>
      <c r="X60" s="600">
        <v>0</v>
      </c>
      <c r="Y60" s="169">
        <f t="shared" si="17"/>
        <v>16472360</v>
      </c>
      <c r="Z60" s="599">
        <f t="shared" si="17"/>
        <v>270856</v>
      </c>
      <c r="AA60" s="18"/>
      <c r="AB60" s="18"/>
      <c r="AC60" s="294"/>
      <c r="AD60" s="294"/>
      <c r="AE60" s="294"/>
      <c r="AF60" s="294"/>
      <c r="AG60" s="294"/>
      <c r="AH60" s="294"/>
      <c r="AI60" s="294"/>
      <c r="AJ60" s="294"/>
    </row>
    <row r="61" spans="1:36" s="177" customFormat="1" ht="21.75" customHeight="1">
      <c r="A61" s="432">
        <v>28</v>
      </c>
      <c r="B61" s="434" t="s">
        <v>685</v>
      </c>
      <c r="C61" s="601">
        <f t="shared" si="16"/>
        <v>767743114</v>
      </c>
      <c r="D61" s="599">
        <f t="shared" si="16"/>
        <v>69621298</v>
      </c>
      <c r="E61" s="602">
        <v>577941767</v>
      </c>
      <c r="F61" s="600">
        <v>32960450</v>
      </c>
      <c r="G61" s="602"/>
      <c r="H61" s="600">
        <v>0</v>
      </c>
      <c r="I61" s="602">
        <v>142784244</v>
      </c>
      <c r="J61" s="600">
        <v>36660848</v>
      </c>
      <c r="K61" s="602">
        <v>6750330</v>
      </c>
      <c r="L61" s="600">
        <v>3158664</v>
      </c>
      <c r="M61" s="602">
        <v>10765668</v>
      </c>
      <c r="N61" s="600">
        <v>0</v>
      </c>
      <c r="O61" s="602">
        <v>2933811</v>
      </c>
      <c r="P61" s="600">
        <v>0</v>
      </c>
      <c r="Q61" s="602">
        <v>18968896</v>
      </c>
      <c r="R61" s="600">
        <v>0</v>
      </c>
      <c r="S61" s="602">
        <v>2900386</v>
      </c>
      <c r="T61" s="600">
        <v>0</v>
      </c>
      <c r="U61" s="602">
        <v>17282539</v>
      </c>
      <c r="V61" s="600">
        <v>0</v>
      </c>
      <c r="W61" s="602">
        <v>12766299</v>
      </c>
      <c r="X61" s="600">
        <v>0</v>
      </c>
      <c r="Y61" s="169">
        <f t="shared" si="17"/>
        <v>25350826</v>
      </c>
      <c r="Z61" s="599">
        <f t="shared" si="17"/>
        <v>3158664</v>
      </c>
      <c r="AA61" s="18"/>
      <c r="AB61" s="18"/>
      <c r="AC61" s="294"/>
      <c r="AD61" s="294"/>
      <c r="AE61" s="294"/>
      <c r="AF61" s="294"/>
      <c r="AG61" s="294"/>
      <c r="AH61" s="294"/>
      <c r="AI61" s="294"/>
      <c r="AJ61" s="294"/>
    </row>
    <row r="62" spans="1:36" s="177" customFormat="1" ht="21.75" customHeight="1">
      <c r="A62" s="432">
        <v>29</v>
      </c>
      <c r="B62" s="434" t="s">
        <v>686</v>
      </c>
      <c r="C62" s="601">
        <f t="shared" si="16"/>
        <v>507490838</v>
      </c>
      <c r="D62" s="599">
        <f t="shared" si="16"/>
        <v>20403943</v>
      </c>
      <c r="E62" s="602">
        <v>407075144</v>
      </c>
      <c r="F62" s="600">
        <v>17268363</v>
      </c>
      <c r="G62" s="602"/>
      <c r="H62" s="600">
        <v>0</v>
      </c>
      <c r="I62" s="602">
        <v>77288530</v>
      </c>
      <c r="J62" s="600">
        <v>1613243</v>
      </c>
      <c r="K62" s="602">
        <v>2179861</v>
      </c>
      <c r="L62" s="600">
        <v>0</v>
      </c>
      <c r="M62" s="602">
        <v>3291673</v>
      </c>
      <c r="N62" s="600">
        <v>0</v>
      </c>
      <c r="O62" s="602">
        <v>2358680</v>
      </c>
      <c r="P62" s="600">
        <v>0</v>
      </c>
      <c r="Q62" s="602">
        <v>9484731</v>
      </c>
      <c r="R62" s="600">
        <v>1522337</v>
      </c>
      <c r="S62" s="602">
        <v>1314657</v>
      </c>
      <c r="T62" s="600">
        <v>0</v>
      </c>
      <c r="U62" s="602">
        <v>10350760</v>
      </c>
      <c r="V62" s="600">
        <v>0</v>
      </c>
      <c r="W62" s="602">
        <v>4701480</v>
      </c>
      <c r="X62" s="600">
        <v>0</v>
      </c>
      <c r="Y62" s="169">
        <f t="shared" si="17"/>
        <v>10554678</v>
      </c>
      <c r="Z62" s="599">
        <f t="shared" si="17"/>
        <v>0</v>
      </c>
      <c r="AA62" s="18"/>
      <c r="AB62" s="18"/>
      <c r="AC62" s="294"/>
      <c r="AD62" s="294"/>
      <c r="AE62" s="294"/>
      <c r="AF62" s="294"/>
      <c r="AG62" s="294"/>
      <c r="AH62" s="294"/>
      <c r="AI62" s="294"/>
      <c r="AJ62" s="294"/>
    </row>
    <row r="63" spans="1:36" s="177" customFormat="1" ht="21.75" customHeight="1">
      <c r="A63" s="432">
        <v>30</v>
      </c>
      <c r="B63" s="434" t="s">
        <v>687</v>
      </c>
      <c r="C63" s="601">
        <f t="shared" si="16"/>
        <v>727974842</v>
      </c>
      <c r="D63" s="599">
        <f t="shared" si="16"/>
        <v>52845608</v>
      </c>
      <c r="E63" s="602">
        <v>455508185</v>
      </c>
      <c r="F63" s="600">
        <v>44094001</v>
      </c>
      <c r="G63" s="602"/>
      <c r="H63" s="600">
        <v>0</v>
      </c>
      <c r="I63" s="602">
        <v>216053183</v>
      </c>
      <c r="J63" s="600">
        <v>8751607</v>
      </c>
      <c r="K63" s="602">
        <v>13576487</v>
      </c>
      <c r="L63" s="600">
        <v>875161</v>
      </c>
      <c r="M63" s="602">
        <v>11231296</v>
      </c>
      <c r="N63" s="600">
        <v>0</v>
      </c>
      <c r="O63" s="602">
        <v>7375185</v>
      </c>
      <c r="P63" s="600">
        <v>0</v>
      </c>
      <c r="Q63" s="602">
        <v>23942746</v>
      </c>
      <c r="R63" s="600">
        <v>0</v>
      </c>
      <c r="S63" s="602">
        <v>2373046</v>
      </c>
      <c r="T63" s="600">
        <v>0</v>
      </c>
      <c r="U63" s="602">
        <v>21239432</v>
      </c>
      <c r="V63" s="600">
        <v>0</v>
      </c>
      <c r="W63" s="602">
        <v>9016164</v>
      </c>
      <c r="X63" s="600">
        <v>0</v>
      </c>
      <c r="Y63" s="169">
        <f t="shared" si="17"/>
        <v>32340882</v>
      </c>
      <c r="Z63" s="599">
        <f t="shared" si="17"/>
        <v>875161</v>
      </c>
      <c r="AA63" s="18"/>
      <c r="AB63" s="18"/>
      <c r="AC63" s="294"/>
      <c r="AD63" s="294"/>
      <c r="AE63" s="294"/>
      <c r="AF63" s="294"/>
      <c r="AG63" s="294"/>
      <c r="AH63" s="294"/>
      <c r="AI63" s="294"/>
      <c r="AJ63" s="294"/>
    </row>
    <row r="64" spans="1:36" s="177" customFormat="1" ht="21.75" customHeight="1">
      <c r="A64" s="432">
        <v>31</v>
      </c>
      <c r="B64" s="434" t="s">
        <v>688</v>
      </c>
      <c r="C64" s="601">
        <f t="shared" si="16"/>
        <v>1153767885</v>
      </c>
      <c r="D64" s="599">
        <f t="shared" si="16"/>
        <v>54525847</v>
      </c>
      <c r="E64" s="602">
        <v>922745537</v>
      </c>
      <c r="F64" s="600">
        <v>48716419</v>
      </c>
      <c r="G64" s="602"/>
      <c r="H64" s="600">
        <v>2170479</v>
      </c>
      <c r="I64" s="602">
        <v>184592845</v>
      </c>
      <c r="J64" s="600">
        <v>5809428</v>
      </c>
      <c r="K64" s="602">
        <v>9261236</v>
      </c>
      <c r="L64" s="600">
        <v>0</v>
      </c>
      <c r="M64" s="602">
        <v>10320155</v>
      </c>
      <c r="N64" s="600">
        <v>0</v>
      </c>
      <c r="O64" s="602">
        <v>9046312</v>
      </c>
      <c r="P64" s="600">
        <v>0</v>
      </c>
      <c r="Q64" s="602">
        <v>16311211</v>
      </c>
      <c r="R64" s="600">
        <v>0</v>
      </c>
      <c r="S64" s="602">
        <v>1057389</v>
      </c>
      <c r="T64" s="600">
        <v>0</v>
      </c>
      <c r="U64" s="602">
        <v>19798137</v>
      </c>
      <c r="V64" s="600">
        <v>0</v>
      </c>
      <c r="W64" s="602">
        <v>18866796</v>
      </c>
      <c r="X64" s="600">
        <v>0</v>
      </c>
      <c r="Y64" s="169">
        <f t="shared" si="17"/>
        <v>38231733</v>
      </c>
      <c r="Z64" s="599">
        <f t="shared" si="17"/>
        <v>0</v>
      </c>
      <c r="AA64" s="18"/>
      <c r="AB64" s="18"/>
      <c r="AC64" s="294"/>
      <c r="AD64" s="294"/>
      <c r="AE64" s="294"/>
      <c r="AF64" s="294"/>
      <c r="AG64" s="294"/>
      <c r="AH64" s="294"/>
      <c r="AI64" s="294"/>
      <c r="AJ64" s="294"/>
    </row>
    <row r="65" spans="1:36" s="177" customFormat="1" ht="21.75" customHeight="1">
      <c r="A65" s="432">
        <v>32</v>
      </c>
      <c r="B65" s="434" t="s">
        <v>689</v>
      </c>
      <c r="C65" s="601">
        <f t="shared" si="16"/>
        <v>1425912155</v>
      </c>
      <c r="D65" s="599">
        <f t="shared" si="16"/>
        <v>324648476</v>
      </c>
      <c r="E65" s="602">
        <v>987707189</v>
      </c>
      <c r="F65" s="600">
        <v>140265297</v>
      </c>
      <c r="G65" s="602"/>
      <c r="H65" s="600">
        <v>3547607</v>
      </c>
      <c r="I65" s="602">
        <v>375756114</v>
      </c>
      <c r="J65" s="600">
        <v>183167888</v>
      </c>
      <c r="K65" s="602">
        <v>9747282</v>
      </c>
      <c r="L65" s="600">
        <v>27010739</v>
      </c>
      <c r="M65" s="602">
        <v>9475624</v>
      </c>
      <c r="N65" s="600">
        <v>0</v>
      </c>
      <c r="O65" s="602">
        <v>5110652</v>
      </c>
      <c r="P65" s="600">
        <v>0</v>
      </c>
      <c r="Q65" s="602">
        <v>37109176</v>
      </c>
      <c r="R65" s="600">
        <v>380912</v>
      </c>
      <c r="S65" s="602">
        <v>4311531</v>
      </c>
      <c r="T65" s="600">
        <v>190456</v>
      </c>
      <c r="U65" s="602">
        <v>15864052</v>
      </c>
      <c r="V65" s="600">
        <v>834379</v>
      </c>
      <c r="W65" s="602">
        <v>10385494</v>
      </c>
      <c r="X65" s="600">
        <v>834379</v>
      </c>
      <c r="Y65" s="169">
        <f t="shared" si="17"/>
        <v>29554959</v>
      </c>
      <c r="Z65" s="599">
        <f t="shared" si="17"/>
        <v>28035574</v>
      </c>
      <c r="AA65" s="18"/>
      <c r="AB65" s="18"/>
      <c r="AC65" s="294"/>
      <c r="AD65" s="294"/>
      <c r="AE65" s="294"/>
      <c r="AF65" s="294"/>
      <c r="AG65" s="294"/>
      <c r="AH65" s="294"/>
      <c r="AI65" s="294"/>
      <c r="AJ65" s="294"/>
    </row>
    <row r="66" spans="1:36" s="177" customFormat="1" ht="21.75" customHeight="1">
      <c r="A66" s="432">
        <v>33</v>
      </c>
      <c r="B66" s="434" t="s">
        <v>690</v>
      </c>
      <c r="C66" s="601">
        <f t="shared" si="16"/>
        <v>710286876</v>
      </c>
      <c r="D66" s="599">
        <f t="shared" si="16"/>
        <v>249092460</v>
      </c>
      <c r="E66" s="602">
        <v>355290328</v>
      </c>
      <c r="F66" s="600">
        <v>54401572</v>
      </c>
      <c r="G66" s="602"/>
      <c r="H66" s="600">
        <v>449018</v>
      </c>
      <c r="I66" s="602">
        <v>319889419</v>
      </c>
      <c r="J66" s="600">
        <v>194690888</v>
      </c>
      <c r="K66" s="602">
        <v>5516399</v>
      </c>
      <c r="L66" s="600">
        <v>564218</v>
      </c>
      <c r="M66" s="602">
        <v>1859501</v>
      </c>
      <c r="N66" s="600">
        <v>0</v>
      </c>
      <c r="O66" s="602">
        <v>3117932</v>
      </c>
      <c r="P66" s="600">
        <v>0</v>
      </c>
      <c r="Q66" s="602">
        <v>19501824</v>
      </c>
      <c r="R66" s="600">
        <v>0</v>
      </c>
      <c r="S66" s="602">
        <v>2168715</v>
      </c>
      <c r="T66" s="600">
        <v>0</v>
      </c>
      <c r="U66" s="602">
        <v>13745804</v>
      </c>
      <c r="V66" s="600">
        <v>0</v>
      </c>
      <c r="W66" s="602">
        <v>5152982</v>
      </c>
      <c r="X66" s="600">
        <v>0</v>
      </c>
      <c r="Y66" s="169">
        <f t="shared" si="17"/>
        <v>15956028</v>
      </c>
      <c r="Z66" s="599">
        <f t="shared" si="17"/>
        <v>564218</v>
      </c>
      <c r="AA66" s="18"/>
      <c r="AB66" s="18"/>
      <c r="AC66" s="294"/>
      <c r="AD66" s="294"/>
      <c r="AE66" s="294"/>
      <c r="AF66" s="294"/>
      <c r="AG66" s="294"/>
      <c r="AH66" s="294"/>
      <c r="AI66" s="294"/>
      <c r="AJ66" s="294"/>
    </row>
    <row r="67" spans="1:36" s="177" customFormat="1" ht="21.75" customHeight="1">
      <c r="A67" s="432">
        <v>34</v>
      </c>
      <c r="B67" s="434" t="s">
        <v>691</v>
      </c>
      <c r="C67" s="601">
        <f>E67+I67+M67+Q67+U67</f>
        <v>2434783949</v>
      </c>
      <c r="D67" s="599">
        <f t="shared" si="16"/>
        <v>1618798019</v>
      </c>
      <c r="E67" s="602">
        <v>2196589058</v>
      </c>
      <c r="F67" s="600">
        <v>1472710406</v>
      </c>
      <c r="G67" s="602">
        <v>48718159</v>
      </c>
      <c r="H67" s="600">
        <v>0</v>
      </c>
      <c r="I67" s="602">
        <v>221675613</v>
      </c>
      <c r="J67" s="600">
        <v>144142571</v>
      </c>
      <c r="K67" s="602">
        <v>20555244</v>
      </c>
      <c r="L67" s="600">
        <v>14148070</v>
      </c>
      <c r="M67" s="602">
        <v>2087192</v>
      </c>
      <c r="N67" s="600">
        <v>0</v>
      </c>
      <c r="O67" s="602">
        <v>901788</v>
      </c>
      <c r="P67" s="600">
        <v>0</v>
      </c>
      <c r="Q67" s="602">
        <v>9683108</v>
      </c>
      <c r="R67" s="600">
        <v>0</v>
      </c>
      <c r="S67" s="602">
        <v>502539</v>
      </c>
      <c r="T67" s="600">
        <v>0</v>
      </c>
      <c r="U67" s="602">
        <v>4748978</v>
      </c>
      <c r="V67" s="600">
        <v>1945042</v>
      </c>
      <c r="W67" s="602">
        <v>4820388</v>
      </c>
      <c r="X67" s="600">
        <v>1945042</v>
      </c>
      <c r="Y67" s="169">
        <f>+W67+S67+O67+K67</f>
        <v>26779959</v>
      </c>
      <c r="Z67" s="599">
        <f>+X67+T67+P67+L67</f>
        <v>16093112</v>
      </c>
      <c r="AA67" s="18"/>
      <c r="AB67" s="18"/>
      <c r="AC67" s="294"/>
      <c r="AD67" s="294"/>
      <c r="AE67" s="294"/>
      <c r="AF67" s="294"/>
      <c r="AG67" s="294"/>
      <c r="AH67" s="294"/>
      <c r="AI67" s="294"/>
      <c r="AJ67" s="294"/>
    </row>
    <row r="68" spans="1:36" s="177" customFormat="1" ht="21.75" customHeight="1">
      <c r="A68" s="432">
        <v>35</v>
      </c>
      <c r="B68" s="434" t="s">
        <v>692</v>
      </c>
      <c r="C68" s="601">
        <f t="shared" si="16"/>
        <v>1128100978</v>
      </c>
      <c r="D68" s="599">
        <f t="shared" si="16"/>
        <v>426623226</v>
      </c>
      <c r="E68" s="602">
        <v>966919229</v>
      </c>
      <c r="F68" s="600">
        <v>409992395</v>
      </c>
      <c r="G68" s="602"/>
      <c r="H68" s="600">
        <v>1014235</v>
      </c>
      <c r="I68" s="602">
        <v>112408835</v>
      </c>
      <c r="J68" s="600">
        <v>15950052</v>
      </c>
      <c r="K68" s="602">
        <v>6952873</v>
      </c>
      <c r="L68" s="600">
        <v>473457</v>
      </c>
      <c r="M68" s="602">
        <v>2640885</v>
      </c>
      <c r="N68" s="600">
        <v>0</v>
      </c>
      <c r="O68" s="602">
        <v>767085</v>
      </c>
      <c r="P68" s="600">
        <v>0</v>
      </c>
      <c r="Q68" s="602">
        <v>25854761</v>
      </c>
      <c r="R68" s="600">
        <v>0</v>
      </c>
      <c r="S68" s="602">
        <v>1568413</v>
      </c>
      <c r="T68" s="600">
        <v>0</v>
      </c>
      <c r="U68" s="602">
        <v>20277268</v>
      </c>
      <c r="V68" s="600">
        <v>680779</v>
      </c>
      <c r="W68" s="602">
        <v>19000251</v>
      </c>
      <c r="X68" s="600">
        <v>680779</v>
      </c>
      <c r="Y68" s="169">
        <f t="shared" si="17"/>
        <v>28288622</v>
      </c>
      <c r="Z68" s="599">
        <f t="shared" si="17"/>
        <v>1154236</v>
      </c>
      <c r="AA68" s="18"/>
      <c r="AB68" s="18"/>
      <c r="AC68" s="294"/>
      <c r="AD68" s="294"/>
      <c r="AE68" s="294"/>
      <c r="AF68" s="294"/>
      <c r="AG68" s="294"/>
      <c r="AH68" s="294"/>
      <c r="AI68" s="294"/>
      <c r="AJ68" s="294"/>
    </row>
    <row r="69" spans="1:36" s="177" customFormat="1" ht="21.75" customHeight="1">
      <c r="A69" s="432">
        <v>36</v>
      </c>
      <c r="B69" s="434" t="s">
        <v>693</v>
      </c>
      <c r="C69" s="601">
        <f t="shared" si="16"/>
        <v>775637756</v>
      </c>
      <c r="D69" s="599">
        <f t="shared" si="16"/>
        <v>226834178</v>
      </c>
      <c r="E69" s="602">
        <v>544774185</v>
      </c>
      <c r="F69" s="600">
        <v>133840332</v>
      </c>
      <c r="G69" s="602"/>
      <c r="H69" s="600">
        <v>0</v>
      </c>
      <c r="I69" s="602">
        <v>210770466</v>
      </c>
      <c r="J69" s="600">
        <v>92993846</v>
      </c>
      <c r="K69" s="602">
        <v>7813059</v>
      </c>
      <c r="L69" s="600">
        <v>1771957</v>
      </c>
      <c r="M69" s="602">
        <v>1045519</v>
      </c>
      <c r="N69" s="600">
        <v>0</v>
      </c>
      <c r="O69" s="602">
        <v>536492</v>
      </c>
      <c r="P69" s="600">
        <v>0</v>
      </c>
      <c r="Q69" s="602">
        <v>8464139</v>
      </c>
      <c r="R69" s="600">
        <v>0</v>
      </c>
      <c r="S69" s="602">
        <v>675972</v>
      </c>
      <c r="T69" s="600">
        <v>0</v>
      </c>
      <c r="U69" s="602">
        <v>10583447</v>
      </c>
      <c r="V69" s="600">
        <v>0</v>
      </c>
      <c r="W69" s="602">
        <v>7972012</v>
      </c>
      <c r="X69" s="600">
        <v>0</v>
      </c>
      <c r="Y69" s="169">
        <f t="shared" si="17"/>
        <v>16997535</v>
      </c>
      <c r="Z69" s="599">
        <f t="shared" si="17"/>
        <v>1771957</v>
      </c>
      <c r="AA69" s="18"/>
      <c r="AB69" s="18"/>
      <c r="AC69" s="294"/>
      <c r="AD69" s="294"/>
      <c r="AE69" s="294"/>
      <c r="AF69" s="294"/>
      <c r="AG69" s="294"/>
      <c r="AH69" s="294"/>
      <c r="AI69" s="294"/>
      <c r="AJ69" s="294"/>
    </row>
    <row r="70" spans="1:36" s="177" customFormat="1" ht="21.75" customHeight="1">
      <c r="A70" s="432">
        <v>37</v>
      </c>
      <c r="B70" s="434" t="s">
        <v>694</v>
      </c>
      <c r="C70" s="601">
        <f t="shared" si="16"/>
        <v>739232406</v>
      </c>
      <c r="D70" s="599">
        <f t="shared" si="16"/>
        <v>262353476</v>
      </c>
      <c r="E70" s="602">
        <v>546917193</v>
      </c>
      <c r="F70" s="600">
        <v>159937426</v>
      </c>
      <c r="G70" s="602"/>
      <c r="H70" s="600">
        <v>0</v>
      </c>
      <c r="I70" s="602">
        <v>162248614</v>
      </c>
      <c r="J70" s="600">
        <v>102416050</v>
      </c>
      <c r="K70" s="602">
        <v>3603864</v>
      </c>
      <c r="L70" s="600">
        <v>2160901</v>
      </c>
      <c r="M70" s="602">
        <v>5696896</v>
      </c>
      <c r="N70" s="600">
        <v>0</v>
      </c>
      <c r="O70" s="602">
        <v>950636</v>
      </c>
      <c r="P70" s="600">
        <v>0</v>
      </c>
      <c r="Q70" s="602">
        <v>15579177</v>
      </c>
      <c r="R70" s="600">
        <v>0</v>
      </c>
      <c r="S70" s="602">
        <v>603924</v>
      </c>
      <c r="T70" s="600">
        <v>0</v>
      </c>
      <c r="U70" s="602">
        <v>8790526</v>
      </c>
      <c r="V70" s="600">
        <v>0</v>
      </c>
      <c r="W70" s="602">
        <v>8862589</v>
      </c>
      <c r="X70" s="600">
        <v>0</v>
      </c>
      <c r="Y70" s="169">
        <f t="shared" si="17"/>
        <v>14021013</v>
      </c>
      <c r="Z70" s="599">
        <f t="shared" si="17"/>
        <v>2160901</v>
      </c>
      <c r="AA70" s="18"/>
      <c r="AB70" s="18"/>
      <c r="AC70" s="294"/>
      <c r="AD70" s="294"/>
      <c r="AE70" s="294"/>
      <c r="AF70" s="294"/>
      <c r="AG70" s="294"/>
      <c r="AH70" s="294"/>
      <c r="AI70" s="294"/>
      <c r="AJ70" s="294"/>
    </row>
    <row r="71" spans="1:36" s="627" customFormat="1" ht="28.5" customHeight="1">
      <c r="A71" s="625">
        <v>38</v>
      </c>
      <c r="B71" s="625" t="s">
        <v>678</v>
      </c>
      <c r="C71" s="625">
        <f t="shared" ref="C71:AB71" si="18">SUM(C57:C70)</f>
        <v>13318623841</v>
      </c>
      <c r="D71" s="625">
        <f t="shared" si="18"/>
        <v>3738507725</v>
      </c>
      <c r="E71" s="625">
        <f t="shared" si="18"/>
        <v>10110199259</v>
      </c>
      <c r="F71" s="625">
        <f t="shared" si="18"/>
        <v>2841495735</v>
      </c>
      <c r="G71" s="625">
        <f t="shared" si="18"/>
        <v>48718159</v>
      </c>
      <c r="H71" s="625">
        <f t="shared" si="18"/>
        <v>14106815</v>
      </c>
      <c r="I71" s="625">
        <f t="shared" si="18"/>
        <v>2572974084</v>
      </c>
      <c r="J71" s="625">
        <f t="shared" si="18"/>
        <v>884265585</v>
      </c>
      <c r="K71" s="625">
        <f t="shared" si="18"/>
        <v>121192312</v>
      </c>
      <c r="L71" s="625">
        <f t="shared" si="18"/>
        <v>57899650</v>
      </c>
      <c r="M71" s="625">
        <f t="shared" si="18"/>
        <v>110817389</v>
      </c>
      <c r="N71" s="625">
        <f t="shared" si="18"/>
        <v>0</v>
      </c>
      <c r="O71" s="625">
        <f t="shared" si="18"/>
        <v>45776248</v>
      </c>
      <c r="P71" s="625">
        <f t="shared" si="18"/>
        <v>0</v>
      </c>
      <c r="Q71" s="625">
        <f t="shared" si="18"/>
        <v>331525438</v>
      </c>
      <c r="R71" s="625">
        <f t="shared" si="18"/>
        <v>4142609</v>
      </c>
      <c r="S71" s="625">
        <f t="shared" si="18"/>
        <v>31254599</v>
      </c>
      <c r="T71" s="625">
        <f t="shared" si="18"/>
        <v>1655738</v>
      </c>
      <c r="U71" s="625">
        <f t="shared" si="18"/>
        <v>193107671</v>
      </c>
      <c r="V71" s="625">
        <f t="shared" si="18"/>
        <v>8603796</v>
      </c>
      <c r="W71" s="625">
        <f t="shared" si="18"/>
        <v>155988148</v>
      </c>
      <c r="X71" s="625">
        <f t="shared" si="18"/>
        <v>8603796</v>
      </c>
      <c r="Y71" s="625">
        <f t="shared" si="18"/>
        <v>354211307</v>
      </c>
      <c r="Z71" s="625">
        <f t="shared" si="18"/>
        <v>68159184</v>
      </c>
      <c r="AA71" s="625">
        <f t="shared" si="18"/>
        <v>0</v>
      </c>
      <c r="AB71" s="625">
        <f t="shared" si="18"/>
        <v>0</v>
      </c>
      <c r="AC71" s="626">
        <f>+'Loans Receivable'!C85</f>
        <v>13318623841</v>
      </c>
    </row>
    <row r="72" spans="1:36" s="177" customFormat="1" ht="21.75" customHeight="1">
      <c r="A72" s="432">
        <v>39</v>
      </c>
      <c r="B72" s="434" t="s">
        <v>695</v>
      </c>
      <c r="C72" s="601">
        <f t="shared" ref="C72" si="19">E72+I72+M72+Q72+U72</f>
        <v>0</v>
      </c>
      <c r="D72" s="599">
        <f t="shared" si="16"/>
        <v>0</v>
      </c>
      <c r="E72" s="602"/>
      <c r="F72" s="600"/>
      <c r="G72" s="602"/>
      <c r="H72" s="600"/>
      <c r="I72" s="602"/>
      <c r="J72" s="600"/>
      <c r="K72" s="602">
        <v>10044527</v>
      </c>
      <c r="L72" s="600"/>
      <c r="M72" s="602"/>
      <c r="N72" s="600"/>
      <c r="O72" s="602"/>
      <c r="P72" s="600"/>
      <c r="Q72" s="602"/>
      <c r="R72" s="600"/>
      <c r="S72" s="602"/>
      <c r="T72" s="600"/>
      <c r="U72" s="602"/>
      <c r="V72" s="600"/>
      <c r="W72" s="602"/>
      <c r="X72" s="600"/>
      <c r="Y72" s="169">
        <f t="shared" ref="Y72:Z72" si="20">+W72+S72+O72+K72</f>
        <v>10044527</v>
      </c>
      <c r="Z72" s="599">
        <f t="shared" si="20"/>
        <v>0</v>
      </c>
      <c r="AA72" s="18"/>
      <c r="AB72" s="18"/>
      <c r="AC72" s="294"/>
      <c r="AD72" s="294"/>
      <c r="AE72" s="294"/>
      <c r="AF72" s="294"/>
      <c r="AG72" s="294"/>
      <c r="AH72" s="294"/>
      <c r="AI72" s="294"/>
      <c r="AJ72" s="294"/>
    </row>
    <row r="73" spans="1:36" s="177" customFormat="1" ht="21.75" customHeight="1">
      <c r="A73" s="432"/>
      <c r="B73" s="434" t="s">
        <v>670</v>
      </c>
      <c r="C73" s="601">
        <f t="shared" ref="C73" si="21">E73+I73+M73+Q73+U73</f>
        <v>0</v>
      </c>
      <c r="D73" s="599">
        <f t="shared" si="16"/>
        <v>0</v>
      </c>
      <c r="E73" s="602"/>
      <c r="F73" s="600"/>
      <c r="G73" s="602"/>
      <c r="H73" s="600"/>
      <c r="I73" s="602"/>
      <c r="J73" s="600"/>
      <c r="K73" s="602"/>
      <c r="L73" s="600"/>
      <c r="M73" s="602"/>
      <c r="N73" s="600"/>
      <c r="O73" s="602"/>
      <c r="P73" s="600"/>
      <c r="Q73" s="602"/>
      <c r="R73" s="600"/>
      <c r="S73" s="602"/>
      <c r="T73" s="600"/>
      <c r="U73" s="602"/>
      <c r="V73" s="600"/>
      <c r="W73" s="602"/>
      <c r="X73" s="600"/>
      <c r="Y73" s="169">
        <f t="shared" ref="Y73" si="22">+W73+S73+O73+K73</f>
        <v>0</v>
      </c>
      <c r="Z73" s="599">
        <f t="shared" ref="Z73" si="23">+X73+T73+P73+L73</f>
        <v>0</v>
      </c>
      <c r="AA73" s="18"/>
      <c r="AB73" s="18"/>
      <c r="AC73" s="294"/>
      <c r="AD73" s="294"/>
      <c r="AE73" s="294"/>
      <c r="AF73" s="294"/>
      <c r="AG73" s="294"/>
      <c r="AH73" s="294"/>
      <c r="AI73" s="294"/>
      <c r="AJ73" s="294"/>
    </row>
    <row r="74" spans="1:36" s="627" customFormat="1" ht="28.5" customHeight="1">
      <c r="A74" s="625">
        <v>40</v>
      </c>
      <c r="B74" s="625" t="s">
        <v>696</v>
      </c>
      <c r="C74" s="625">
        <f t="shared" ref="C74:AB74" si="24">+C53+C72</f>
        <v>13318623841</v>
      </c>
      <c r="D74" s="625">
        <f t="shared" si="24"/>
        <v>3738507725</v>
      </c>
      <c r="E74" s="625">
        <f t="shared" si="24"/>
        <v>10110199259</v>
      </c>
      <c r="F74" s="625">
        <f t="shared" si="24"/>
        <v>2841495735</v>
      </c>
      <c r="G74" s="625">
        <f>+G53+G72</f>
        <v>48718159</v>
      </c>
      <c r="H74" s="625">
        <f>+H53+H72</f>
        <v>14106815</v>
      </c>
      <c r="I74" s="625">
        <f t="shared" si="24"/>
        <v>2572974084</v>
      </c>
      <c r="J74" s="625">
        <f t="shared" si="24"/>
        <v>884265585</v>
      </c>
      <c r="K74" s="625">
        <f t="shared" si="24"/>
        <v>131236839</v>
      </c>
      <c r="L74" s="625">
        <f t="shared" si="24"/>
        <v>57899650</v>
      </c>
      <c r="M74" s="625">
        <f t="shared" si="24"/>
        <v>110817389</v>
      </c>
      <c r="N74" s="625">
        <f t="shared" si="24"/>
        <v>0</v>
      </c>
      <c r="O74" s="625">
        <f t="shared" si="24"/>
        <v>45776248</v>
      </c>
      <c r="P74" s="625">
        <f t="shared" si="24"/>
        <v>0</v>
      </c>
      <c r="Q74" s="625">
        <f t="shared" si="24"/>
        <v>331525438</v>
      </c>
      <c r="R74" s="625">
        <f t="shared" si="24"/>
        <v>4142609</v>
      </c>
      <c r="S74" s="625">
        <f t="shared" si="24"/>
        <v>31254599</v>
      </c>
      <c r="T74" s="625">
        <f t="shared" si="24"/>
        <v>1655738</v>
      </c>
      <c r="U74" s="625">
        <f t="shared" si="24"/>
        <v>193107671</v>
      </c>
      <c r="V74" s="625">
        <f t="shared" si="24"/>
        <v>8603796</v>
      </c>
      <c r="W74" s="625">
        <f t="shared" si="24"/>
        <v>155988148</v>
      </c>
      <c r="X74" s="625">
        <f t="shared" si="24"/>
        <v>8603796</v>
      </c>
      <c r="Y74" s="625">
        <f t="shared" si="24"/>
        <v>364255834</v>
      </c>
      <c r="Z74" s="625">
        <f t="shared" si="24"/>
        <v>68159184</v>
      </c>
      <c r="AA74" s="625">
        <f t="shared" si="24"/>
        <v>0</v>
      </c>
      <c r="AB74" s="625">
        <f t="shared" si="24"/>
        <v>0</v>
      </c>
    </row>
    <row r="75" spans="1:36">
      <c r="Y75" s="435"/>
    </row>
    <row r="76" spans="1:36" s="269" customFormat="1" ht="15" customHeight="1">
      <c r="A76" s="34"/>
      <c r="B76" s="239" t="s">
        <v>788</v>
      </c>
      <c r="C76" s="34"/>
      <c r="D76" s="34"/>
      <c r="E76" s="34"/>
      <c r="F76" s="349"/>
      <c r="G76" s="349"/>
      <c r="H76" s="349"/>
      <c r="I76" s="349"/>
      <c r="J76" s="349"/>
      <c r="K76" s="349"/>
      <c r="L76" s="349"/>
      <c r="M76" s="349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6" s="269" customFormat="1" ht="11.25" customHeight="1">
      <c r="A77" s="34"/>
      <c r="B77" s="239"/>
      <c r="C77" s="34"/>
      <c r="D77" s="34"/>
      <c r="E77" s="34"/>
      <c r="F77" s="349"/>
      <c r="G77" s="349"/>
      <c r="H77" s="349"/>
      <c r="I77" s="349"/>
      <c r="J77" s="349"/>
      <c r="K77" s="349"/>
      <c r="L77" s="349"/>
      <c r="M77" s="349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 spans="1:36" s="269" customFormat="1" ht="15" customHeight="1">
      <c r="A78" s="34"/>
      <c r="B78" s="239" t="s">
        <v>789</v>
      </c>
      <c r="C78" s="34"/>
      <c r="D78" s="34"/>
      <c r="E78" s="34"/>
      <c r="F78" s="349"/>
      <c r="G78" s="349"/>
      <c r="H78" s="349"/>
      <c r="I78" s="349"/>
      <c r="J78" s="349"/>
      <c r="K78" s="349"/>
      <c r="L78" s="349"/>
      <c r="M78" s="349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 spans="1:36">
      <c r="B79" s="399"/>
    </row>
    <row r="80" spans="1:36">
      <c r="E80" s="424">
        <f>SUM('Asset quality'!D20:D46)+'Asset quality'!D16</f>
        <v>10110199259</v>
      </c>
      <c r="F80" s="424"/>
      <c r="G80" s="424">
        <f>SUM('Asset quality'!P20:P46)+'Asset quality'!P16</f>
        <v>48718159</v>
      </c>
      <c r="H80" s="424"/>
      <c r="I80" s="424">
        <f>SUM('Asset quality'!E20:E46)+'Asset quality'!E16</f>
        <v>2572974084</v>
      </c>
      <c r="K80" s="424">
        <f>SUM('Asset quality'!Q20:Q46)+'Asset quality'!Q16</f>
        <v>121192312</v>
      </c>
      <c r="L80" s="424"/>
      <c r="M80" s="424">
        <f>SUM('Asset quality'!F20:F46)+'Asset quality'!F16</f>
        <v>110817389</v>
      </c>
      <c r="O80" s="424">
        <f>SUM('Asset quality'!R20:R46)+'Asset quality'!R16</f>
        <v>45776248</v>
      </c>
      <c r="P80" s="424"/>
      <c r="Q80" s="424">
        <f>SUM('Asset quality'!G20:G46)+'Asset quality'!G16</f>
        <v>331525438</v>
      </c>
      <c r="S80" s="424">
        <f>SUM('Asset quality'!S20:S46)+'Asset quality'!S16</f>
        <v>31254599</v>
      </c>
      <c r="T80" s="424"/>
      <c r="U80" s="424">
        <f>SUM('Asset quality'!H20:H46)+'Asset quality'!H16</f>
        <v>193107671</v>
      </c>
      <c r="W80" s="424">
        <f>SUM('Asset quality'!T20:T46)+'Asset quality'!T16</f>
        <v>155988148</v>
      </c>
      <c r="Y80" s="424">
        <f>+W80+S80+O80+K80</f>
        <v>354211307</v>
      </c>
    </row>
    <row r="81" spans="5:36">
      <c r="E81" s="424"/>
      <c r="G81" s="424">
        <f>+'Asset quality'!P9+'Asset quality'!P62</f>
        <v>48718159</v>
      </c>
      <c r="I81" s="424"/>
      <c r="K81" s="424">
        <f>+'Asset quality'!Q9+'Asset quality'!Q62</f>
        <v>131236839</v>
      </c>
      <c r="M81" s="424"/>
      <c r="O81" s="424">
        <f>+'Asset quality'!R9+'Asset quality'!R62</f>
        <v>45776248</v>
      </c>
      <c r="S81" s="424">
        <f>+'Asset quality'!S9+'Asset quality'!S62</f>
        <v>31254599</v>
      </c>
      <c r="U81" s="424"/>
      <c r="W81" s="424">
        <f>+'Asset quality'!T9+'Asset quality'!T62</f>
        <v>155988148</v>
      </c>
      <c r="Y81" s="424">
        <f>+W81+S81+O81+K81</f>
        <v>364255834</v>
      </c>
    </row>
    <row r="82" spans="5:36">
      <c r="E82" s="436">
        <f>+E80-E53</f>
        <v>0</v>
      </c>
      <c r="F82" s="436"/>
      <c r="G82" s="436">
        <f>+G80-G53</f>
        <v>0</v>
      </c>
      <c r="I82" s="436">
        <f>+I80-I53</f>
        <v>0</v>
      </c>
      <c r="K82" s="436">
        <f>+K80-K53</f>
        <v>0</v>
      </c>
      <c r="M82" s="436">
        <f>+M80-M53</f>
        <v>0</v>
      </c>
      <c r="O82" s="436">
        <f>+O80-O53</f>
        <v>0</v>
      </c>
      <c r="Q82" s="436">
        <f>+Q80-Q53</f>
        <v>0</v>
      </c>
      <c r="S82" s="436">
        <f>+S80-S53</f>
        <v>0</v>
      </c>
      <c r="U82" s="436">
        <f>+U80-U53</f>
        <v>0</v>
      </c>
      <c r="W82" s="436">
        <f>+W80-W53</f>
        <v>0</v>
      </c>
      <c r="Y82" s="436">
        <f>+Y80-Y53</f>
        <v>0</v>
      </c>
    </row>
    <row r="83" spans="5:36">
      <c r="E83" s="437"/>
      <c r="F83" s="436"/>
      <c r="G83" s="620">
        <f>+G81-G74</f>
        <v>0</v>
      </c>
      <c r="I83" s="436"/>
      <c r="K83" s="436">
        <f>+K81-K74</f>
        <v>0</v>
      </c>
      <c r="M83" s="436"/>
      <c r="O83" s="436">
        <f>+O81-O74</f>
        <v>0</v>
      </c>
      <c r="Q83" s="436"/>
      <c r="S83" s="436">
        <f>+S81-S74</f>
        <v>0</v>
      </c>
      <c r="U83" s="436"/>
      <c r="W83" s="436">
        <f>+W81-W74</f>
        <v>0</v>
      </c>
      <c r="Y83" s="436">
        <f>+Y81-Y74</f>
        <v>0</v>
      </c>
    </row>
    <row r="84" spans="5:36">
      <c r="AC84" s="273"/>
      <c r="AD84" s="273"/>
      <c r="AE84" s="273"/>
      <c r="AF84" s="273"/>
      <c r="AG84" s="273"/>
      <c r="AH84" s="273"/>
      <c r="AI84" s="273"/>
      <c r="AJ84" s="273"/>
    </row>
    <row r="87" spans="5:36" ht="79.5" customHeight="1"/>
  </sheetData>
  <sheetProtection password="CACA" sheet="1" objects="1" scenarios="1"/>
  <mergeCells count="1">
    <mergeCell ref="U3:V3"/>
  </mergeCells>
  <phoneticPr fontId="15" type="noConversion"/>
  <conditionalFormatting sqref="D31">
    <cfRule type="cellIs" dxfId="327" priority="178" operator="notEqual">
      <formula>$D$53</formula>
    </cfRule>
  </conditionalFormatting>
  <conditionalFormatting sqref="E31">
    <cfRule type="cellIs" dxfId="326" priority="177" operator="notEqual">
      <formula>$E$53</formula>
    </cfRule>
  </conditionalFormatting>
  <conditionalFormatting sqref="F31">
    <cfRule type="cellIs" dxfId="325" priority="176" operator="notEqual">
      <formula>$F$53</formula>
    </cfRule>
  </conditionalFormatting>
  <conditionalFormatting sqref="G31">
    <cfRule type="cellIs" dxfId="324" priority="175" operator="notEqual">
      <formula>$G$53</formula>
    </cfRule>
  </conditionalFormatting>
  <conditionalFormatting sqref="H31">
    <cfRule type="cellIs" dxfId="323" priority="174" operator="notEqual">
      <formula>$H$53</formula>
    </cfRule>
  </conditionalFormatting>
  <conditionalFormatting sqref="I31">
    <cfRule type="cellIs" dxfId="322" priority="173" operator="notEqual">
      <formula>$I$53</formula>
    </cfRule>
  </conditionalFormatting>
  <conditionalFormatting sqref="J31">
    <cfRule type="cellIs" dxfId="321" priority="171" operator="notEqual">
      <formula>$J$53</formula>
    </cfRule>
  </conditionalFormatting>
  <conditionalFormatting sqref="K31">
    <cfRule type="cellIs" dxfId="320" priority="170" operator="notEqual">
      <formula>$K$53</formula>
    </cfRule>
  </conditionalFormatting>
  <conditionalFormatting sqref="L31">
    <cfRule type="cellIs" dxfId="319" priority="169" operator="notEqual">
      <formula>$L$53</formula>
    </cfRule>
  </conditionalFormatting>
  <conditionalFormatting sqref="M31">
    <cfRule type="cellIs" dxfId="318" priority="167" operator="notEqual">
      <formula>$M$53</formula>
    </cfRule>
  </conditionalFormatting>
  <conditionalFormatting sqref="N31">
    <cfRule type="cellIs" dxfId="317" priority="166" operator="notEqual">
      <formula>$N$53</formula>
    </cfRule>
  </conditionalFormatting>
  <conditionalFormatting sqref="O31">
    <cfRule type="cellIs" dxfId="316" priority="165" operator="notEqual">
      <formula>$O$53</formula>
    </cfRule>
  </conditionalFormatting>
  <conditionalFormatting sqref="P31">
    <cfRule type="cellIs" dxfId="315" priority="164" operator="notEqual">
      <formula>$P$53</formula>
    </cfRule>
  </conditionalFormatting>
  <conditionalFormatting sqref="Q31">
    <cfRule type="cellIs" dxfId="314" priority="162" operator="notEqual">
      <formula>$Q$53</formula>
    </cfRule>
  </conditionalFormatting>
  <conditionalFormatting sqref="R31">
    <cfRule type="cellIs" dxfId="313" priority="161" operator="notEqual">
      <formula>$R$53</formula>
    </cfRule>
  </conditionalFormatting>
  <conditionalFormatting sqref="S31">
    <cfRule type="cellIs" dxfId="312" priority="160" operator="notEqual">
      <formula>$S$53</formula>
    </cfRule>
  </conditionalFormatting>
  <conditionalFormatting sqref="T31">
    <cfRule type="cellIs" dxfId="311" priority="159" operator="notEqual">
      <formula>$T$53</formula>
    </cfRule>
  </conditionalFormatting>
  <conditionalFormatting sqref="U31">
    <cfRule type="cellIs" dxfId="310" priority="158" operator="notEqual">
      <formula>$U$53</formula>
    </cfRule>
  </conditionalFormatting>
  <conditionalFormatting sqref="V31">
    <cfRule type="cellIs" dxfId="309" priority="157" operator="notEqual">
      <formula>$V$53</formula>
    </cfRule>
  </conditionalFormatting>
  <conditionalFormatting sqref="W31">
    <cfRule type="cellIs" dxfId="308" priority="156" operator="notEqual">
      <formula>$W$53</formula>
    </cfRule>
  </conditionalFormatting>
  <conditionalFormatting sqref="X31">
    <cfRule type="cellIs" dxfId="307" priority="155" operator="notEqual">
      <formula>$X$53</formula>
    </cfRule>
  </conditionalFormatting>
  <conditionalFormatting sqref="Y31">
    <cfRule type="cellIs" dxfId="306" priority="154" operator="notEqual">
      <formula>$Y$53</formula>
    </cfRule>
  </conditionalFormatting>
  <conditionalFormatting sqref="D32">
    <cfRule type="cellIs" dxfId="305" priority="151" operator="notEqual">
      <formula>$D$54</formula>
    </cfRule>
  </conditionalFormatting>
  <conditionalFormatting sqref="I32">
    <cfRule type="cellIs" dxfId="304" priority="141" operator="notEqual">
      <formula>$I$54</formula>
    </cfRule>
  </conditionalFormatting>
  <conditionalFormatting sqref="J32">
    <cfRule type="cellIs" dxfId="303" priority="140" operator="notEqual">
      <formula>$J$54</formula>
    </cfRule>
  </conditionalFormatting>
  <conditionalFormatting sqref="K32">
    <cfRule type="cellIs" dxfId="302" priority="139" operator="notEqual">
      <formula>$K$54</formula>
    </cfRule>
  </conditionalFormatting>
  <conditionalFormatting sqref="L32">
    <cfRule type="cellIs" dxfId="301" priority="138" operator="notEqual">
      <formula>$L$54</formula>
    </cfRule>
  </conditionalFormatting>
  <conditionalFormatting sqref="M32">
    <cfRule type="cellIs" dxfId="300" priority="137" operator="notEqual">
      <formula>$M$54</formula>
    </cfRule>
  </conditionalFormatting>
  <conditionalFormatting sqref="N32">
    <cfRule type="cellIs" dxfId="299" priority="136" operator="notEqual">
      <formula>$N$54</formula>
    </cfRule>
  </conditionalFormatting>
  <conditionalFormatting sqref="O32">
    <cfRule type="cellIs" dxfId="298" priority="135" operator="notEqual">
      <formula>$O$54</formula>
    </cfRule>
  </conditionalFormatting>
  <conditionalFormatting sqref="P32">
    <cfRule type="cellIs" dxfId="297" priority="134" operator="notEqual">
      <formula>$P$54</formula>
    </cfRule>
  </conditionalFormatting>
  <conditionalFormatting sqref="Q32">
    <cfRule type="cellIs" dxfId="296" priority="133" operator="notEqual">
      <formula>$Q$54</formula>
    </cfRule>
  </conditionalFormatting>
  <conditionalFormatting sqref="R32">
    <cfRule type="cellIs" dxfId="295" priority="132" operator="notEqual">
      <formula>$R$54</formula>
    </cfRule>
  </conditionalFormatting>
  <conditionalFormatting sqref="S32">
    <cfRule type="cellIs" dxfId="294" priority="131" operator="notEqual">
      <formula>$S$54</formula>
    </cfRule>
  </conditionalFormatting>
  <conditionalFormatting sqref="T32">
    <cfRule type="cellIs" dxfId="293" priority="130" operator="notEqual">
      <formula>$T$54</formula>
    </cfRule>
  </conditionalFormatting>
  <conditionalFormatting sqref="U32">
    <cfRule type="cellIs" dxfId="292" priority="129" operator="notEqual">
      <formula>$U$54</formula>
    </cfRule>
  </conditionalFormatting>
  <conditionalFormatting sqref="V32">
    <cfRule type="cellIs" dxfId="291" priority="128" operator="notEqual">
      <formula>$V$54</formula>
    </cfRule>
  </conditionalFormatting>
  <conditionalFormatting sqref="W32">
    <cfRule type="cellIs" dxfId="290" priority="127" operator="notEqual">
      <formula>$W$54</formula>
    </cfRule>
  </conditionalFormatting>
  <conditionalFormatting sqref="X32">
    <cfRule type="cellIs" dxfId="289" priority="126" operator="notEqual">
      <formula>$X$54</formula>
    </cfRule>
  </conditionalFormatting>
  <conditionalFormatting sqref="Y32">
    <cfRule type="cellIs" dxfId="288" priority="125" operator="notEqual">
      <formula>$Y$54</formula>
    </cfRule>
  </conditionalFormatting>
  <conditionalFormatting sqref="Z32:AB32">
    <cfRule type="cellIs" dxfId="287" priority="124" operator="notEqual">
      <formula>$Z$54</formula>
    </cfRule>
  </conditionalFormatting>
  <conditionalFormatting sqref="E32">
    <cfRule type="cellIs" dxfId="286" priority="123" operator="notEqual">
      <formula>$E$54</formula>
    </cfRule>
  </conditionalFormatting>
  <conditionalFormatting sqref="F32">
    <cfRule type="cellIs" dxfId="285" priority="122" operator="notEqual">
      <formula>$F$54</formula>
    </cfRule>
  </conditionalFormatting>
  <conditionalFormatting sqref="G32">
    <cfRule type="cellIs" dxfId="284" priority="121" operator="notEqual">
      <formula>$G$54</formula>
    </cfRule>
  </conditionalFormatting>
  <conditionalFormatting sqref="H32">
    <cfRule type="cellIs" dxfId="283" priority="119" operator="notEqual">
      <formula>$H$50</formula>
    </cfRule>
  </conditionalFormatting>
  <conditionalFormatting sqref="G74">
    <cfRule type="cellIs" dxfId="282" priority="51" operator="notEqual">
      <formula>$G$81</formula>
    </cfRule>
    <cfRule type="cellIs" dxfId="281" priority="116" operator="notEqual">
      <formula>$G$81</formula>
    </cfRule>
  </conditionalFormatting>
  <conditionalFormatting sqref="K74">
    <cfRule type="cellIs" dxfId="280" priority="50" operator="notEqual">
      <formula>$K$81</formula>
    </cfRule>
    <cfRule type="cellIs" dxfId="279" priority="114" operator="notEqual">
      <formula>$K$81</formula>
    </cfRule>
  </conditionalFormatting>
  <conditionalFormatting sqref="S74">
    <cfRule type="cellIs" dxfId="278" priority="48" operator="notEqual">
      <formula>$S$81</formula>
    </cfRule>
    <cfRule type="cellIs" dxfId="277" priority="110" operator="notEqual">
      <formula>$S$81</formula>
    </cfRule>
  </conditionalFormatting>
  <conditionalFormatting sqref="W74">
    <cfRule type="cellIs" dxfId="276" priority="47" operator="notEqual">
      <formula>$W$81</formula>
    </cfRule>
    <cfRule type="cellIs" dxfId="275" priority="108" operator="notEqual">
      <formula>$W$81</formula>
    </cfRule>
  </conditionalFormatting>
  <conditionalFormatting sqref="Y74">
    <cfRule type="cellIs" dxfId="274" priority="46" operator="notEqual">
      <formula>$Y$81</formula>
    </cfRule>
    <cfRule type="cellIs" dxfId="273" priority="105" operator="notEqual">
      <formula>$Y$81</formula>
    </cfRule>
  </conditionalFormatting>
  <conditionalFormatting sqref="O74">
    <cfRule type="cellIs" dxfId="272" priority="49" operator="notEqual">
      <formula>$O$81</formula>
    </cfRule>
    <cfRule type="cellIs" dxfId="271" priority="103" operator="notEqual">
      <formula>$O$81</formula>
    </cfRule>
  </conditionalFormatting>
  <conditionalFormatting sqref="G71">
    <cfRule type="cellIs" dxfId="270" priority="45" operator="notEqual">
      <formula>$G$80</formula>
    </cfRule>
    <cfRule type="cellIs" dxfId="269" priority="78" operator="notEqual">
      <formula>$G$31</formula>
    </cfRule>
  </conditionalFormatting>
  <conditionalFormatting sqref="K71">
    <cfRule type="cellIs" dxfId="268" priority="43" operator="notEqual">
      <formula>$K$80</formula>
    </cfRule>
    <cfRule type="cellIs" dxfId="267" priority="77" operator="notEqual">
      <formula>$K$31</formula>
    </cfRule>
  </conditionalFormatting>
  <conditionalFormatting sqref="S71">
    <cfRule type="cellIs" dxfId="266" priority="39" operator="notEqual">
      <formula>$S$80</formula>
    </cfRule>
    <cfRule type="cellIs" dxfId="265" priority="76" operator="notEqual">
      <formula>$S$31</formula>
    </cfRule>
  </conditionalFormatting>
  <conditionalFormatting sqref="W71">
    <cfRule type="cellIs" dxfId="264" priority="37" operator="notEqual">
      <formula>$W$80</formula>
    </cfRule>
    <cfRule type="cellIs" dxfId="263" priority="75" operator="notEqual">
      <formula>$W$31</formula>
    </cfRule>
  </conditionalFormatting>
  <conditionalFormatting sqref="Y71">
    <cfRule type="cellIs" dxfId="262" priority="36" operator="notEqual">
      <formula>$Y$80</formula>
    </cfRule>
    <cfRule type="cellIs" dxfId="261" priority="74" operator="notEqual">
      <formula>$Y$31</formula>
    </cfRule>
  </conditionalFormatting>
  <conditionalFormatting sqref="O71">
    <cfRule type="cellIs" dxfId="260" priority="41" operator="notEqual">
      <formula>$O$80</formula>
    </cfRule>
    <cfRule type="cellIs" dxfId="259" priority="73" operator="notEqual">
      <formula>$O$31</formula>
    </cfRule>
  </conditionalFormatting>
  <conditionalFormatting sqref="E71">
    <cfRule type="cellIs" dxfId="258" priority="35" operator="notEqual">
      <formula>$E$80</formula>
    </cfRule>
    <cfRule type="cellIs" dxfId="257" priority="72" operator="notEqual">
      <formula>$E$31</formula>
    </cfRule>
  </conditionalFormatting>
  <conditionalFormatting sqref="M71">
    <cfRule type="cellIs" dxfId="256" priority="42" operator="notEqual">
      <formula>$M$80</formula>
    </cfRule>
    <cfRule type="cellIs" dxfId="255" priority="70" operator="notEqual">
      <formula>$M$31</formula>
    </cfRule>
  </conditionalFormatting>
  <conditionalFormatting sqref="Q71">
    <cfRule type="cellIs" dxfId="254" priority="40" operator="notEqual">
      <formula>$Q$80</formula>
    </cfRule>
    <cfRule type="cellIs" dxfId="253" priority="69" operator="notEqual">
      <formula>$Q$31</formula>
    </cfRule>
  </conditionalFormatting>
  <conditionalFormatting sqref="U71">
    <cfRule type="cellIs" dxfId="252" priority="38" operator="notEqual">
      <formula>$U$80</formula>
    </cfRule>
    <cfRule type="cellIs" dxfId="251" priority="68" operator="notEqual">
      <formula>$U$31</formula>
    </cfRule>
  </conditionalFormatting>
  <conditionalFormatting sqref="H53">
    <cfRule type="cellIs" dxfId="250" priority="67" operator="notEqual">
      <formula>H71</formula>
    </cfRule>
  </conditionalFormatting>
  <conditionalFormatting sqref="J71">
    <cfRule type="cellIs" dxfId="249" priority="66" operator="notEqual">
      <formula>$J$31</formula>
    </cfRule>
  </conditionalFormatting>
  <conditionalFormatting sqref="I71">
    <cfRule type="cellIs" dxfId="248" priority="44" operator="notEqual">
      <formula>$I$80</formula>
    </cfRule>
  </conditionalFormatting>
  <conditionalFormatting sqref="G53">
    <cfRule type="cellIs" dxfId="247" priority="572" operator="notEqual">
      <formula>$G$71</formula>
    </cfRule>
  </conditionalFormatting>
  <conditionalFormatting sqref="K53">
    <cfRule type="cellIs" dxfId="246" priority="573" operator="notEqual">
      <formula>$K$71</formula>
    </cfRule>
  </conditionalFormatting>
  <conditionalFormatting sqref="S53">
    <cfRule type="cellIs" dxfId="245" priority="574" operator="notEqual">
      <formula>$S$71</formula>
    </cfRule>
  </conditionalFormatting>
  <conditionalFormatting sqref="W53">
    <cfRule type="cellIs" dxfId="244" priority="575" operator="notEqual">
      <formula>$W$71</formula>
    </cfRule>
  </conditionalFormatting>
  <conditionalFormatting sqref="Y53">
    <cfRule type="cellIs" dxfId="243" priority="576" operator="notEqual">
      <formula>$Y$71</formula>
    </cfRule>
  </conditionalFormatting>
  <conditionalFormatting sqref="O53">
    <cfRule type="cellIs" dxfId="242" priority="577" operator="notEqual">
      <formula>$O$71</formula>
    </cfRule>
  </conditionalFormatting>
  <conditionalFormatting sqref="E53">
    <cfRule type="cellIs" dxfId="241" priority="578" operator="notEqual">
      <formula>$E$71</formula>
    </cfRule>
  </conditionalFormatting>
  <conditionalFormatting sqref="M53">
    <cfRule type="cellIs" dxfId="240" priority="579" operator="notEqual">
      <formula>$M$71</formula>
    </cfRule>
  </conditionalFormatting>
  <conditionalFormatting sqref="Q53">
    <cfRule type="cellIs" dxfId="239" priority="580" operator="notEqual">
      <formula>$Q$71</formula>
    </cfRule>
  </conditionalFormatting>
  <conditionalFormatting sqref="U53">
    <cfRule type="cellIs" dxfId="238" priority="581" operator="notEqual">
      <formula>$U$71</formula>
    </cfRule>
  </conditionalFormatting>
  <conditionalFormatting sqref="D53">
    <cfRule type="cellIs" dxfId="237" priority="582" operator="notEqual">
      <formula>$D$71</formula>
    </cfRule>
  </conditionalFormatting>
  <conditionalFormatting sqref="F53">
    <cfRule type="cellIs" dxfId="236" priority="583" operator="notEqual">
      <formula>$F$71</formula>
    </cfRule>
  </conditionalFormatting>
  <conditionalFormatting sqref="I53">
    <cfRule type="cellIs" dxfId="235" priority="584" operator="notEqual">
      <formula>$I$71</formula>
    </cfRule>
  </conditionalFormatting>
  <conditionalFormatting sqref="J53">
    <cfRule type="cellIs" dxfId="234" priority="585" operator="notEqual">
      <formula>$J$71</formula>
    </cfRule>
  </conditionalFormatting>
  <conditionalFormatting sqref="L53">
    <cfRule type="cellIs" dxfId="233" priority="586" operator="notEqual">
      <formula>$L$71</formula>
    </cfRule>
  </conditionalFormatting>
  <conditionalFormatting sqref="N53">
    <cfRule type="cellIs" dxfId="232" priority="587" operator="notEqual">
      <formula>$N$71</formula>
    </cfRule>
  </conditionalFormatting>
  <conditionalFormatting sqref="P53">
    <cfRule type="cellIs" dxfId="231" priority="588" operator="notEqual">
      <formula>$P$71</formula>
    </cfRule>
  </conditionalFormatting>
  <conditionalFormatting sqref="R53">
    <cfRule type="cellIs" dxfId="230" priority="589" operator="notEqual">
      <formula>$R$71</formula>
    </cfRule>
  </conditionalFormatting>
  <conditionalFormatting sqref="T53">
    <cfRule type="cellIs" dxfId="229" priority="590" operator="notEqual">
      <formula>$T$71</formula>
    </cfRule>
  </conditionalFormatting>
  <conditionalFormatting sqref="V53">
    <cfRule type="cellIs" dxfId="228" priority="591" operator="notEqual">
      <formula>$V$71</formula>
    </cfRule>
  </conditionalFormatting>
  <conditionalFormatting sqref="X53">
    <cfRule type="cellIs" dxfId="227" priority="592" operator="notEqual">
      <formula>$X$71</formula>
    </cfRule>
  </conditionalFormatting>
  <conditionalFormatting sqref="AB53">
    <cfRule type="cellIs" dxfId="226" priority="593" operator="notEqual">
      <formula>$AB$71</formula>
    </cfRule>
  </conditionalFormatting>
  <conditionalFormatting sqref="C7">
    <cfRule type="cellIs" dxfId="225" priority="33" operator="notEqual">
      <formula>AC7</formula>
    </cfRule>
  </conditionalFormatting>
  <conditionalFormatting sqref="AA31">
    <cfRule type="cellIs" dxfId="224" priority="13" operator="notEqual">
      <formula>$AA$53</formula>
    </cfRule>
  </conditionalFormatting>
  <conditionalFormatting sqref="Z53">
    <cfRule type="cellIs" dxfId="223" priority="12" operator="notEqual">
      <formula>$Z$71</formula>
    </cfRule>
  </conditionalFormatting>
  <conditionalFormatting sqref="AA53">
    <cfRule type="cellIs" dxfId="222" priority="11" operator="notEqual">
      <formula>$AA$71</formula>
    </cfRule>
  </conditionalFormatting>
  <conditionalFormatting sqref="AB31">
    <cfRule type="cellIs" dxfId="221" priority="10" operator="notEqual">
      <formula>$AB$53</formula>
    </cfRule>
  </conditionalFormatting>
  <conditionalFormatting sqref="C31">
    <cfRule type="cellIs" dxfId="220" priority="3" operator="notEqual">
      <formula>AC31</formula>
    </cfRule>
  </conditionalFormatting>
  <conditionalFormatting sqref="C53">
    <cfRule type="cellIs" dxfId="219" priority="2" operator="notEqual">
      <formula>AC53</formula>
    </cfRule>
  </conditionalFormatting>
  <conditionalFormatting sqref="C71">
    <cfRule type="cellIs" dxfId="218" priority="1" operator="notEqual">
      <formula>AC71</formula>
    </cfRule>
  </conditionalFormatting>
  <dataValidations disablePrompts="1"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0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87"/>
  <sheetViews>
    <sheetView view="pageBreakPreview" zoomScale="70" zoomScaleNormal="62" zoomScaleSheetLayoutView="70" workbookViewId="0">
      <pane xSplit="2" ySplit="6" topLeftCell="C63" activePane="bottomRight" state="frozen"/>
      <selection activeCell="C73" sqref="C73"/>
      <selection pane="topRight" activeCell="C73" sqref="C73"/>
      <selection pane="bottomLeft" activeCell="C73" sqref="C73"/>
      <selection pane="bottomRight" activeCell="C7" sqref="C7"/>
    </sheetView>
  </sheetViews>
  <sheetFormatPr defaultColWidth="9.42578125" defaultRowHeight="12.75"/>
  <cols>
    <col min="1" max="1" width="5" style="269" customWidth="1"/>
    <col min="2" max="2" width="47.42578125" style="269" customWidth="1"/>
    <col min="3" max="3" width="17.28515625" style="269" customWidth="1"/>
    <col min="4" max="4" width="16.85546875" style="269" customWidth="1"/>
    <col min="5" max="6" width="18.28515625" style="269" customWidth="1"/>
    <col min="7" max="8" width="15.42578125" style="269" customWidth="1"/>
    <col min="9" max="9" width="12.28515625" style="269" customWidth="1"/>
    <col min="10" max="11" width="18.28515625" style="269" customWidth="1"/>
    <col min="12" max="13" width="15.42578125" style="269" customWidth="1"/>
    <col min="14" max="14" width="13.28515625" style="269" customWidth="1"/>
    <col min="15" max="16" width="15.42578125" style="269" customWidth="1"/>
    <col min="17" max="17" width="14.28515625" style="269" customWidth="1"/>
    <col min="18" max="19" width="18.28515625" style="269" customWidth="1"/>
    <col min="20" max="21" width="15.42578125" style="269" customWidth="1"/>
    <col min="22" max="22" width="13.7109375" style="269" customWidth="1"/>
    <col min="23" max="24" width="15.42578125" style="269" customWidth="1"/>
    <col min="25" max="25" width="12.7109375" style="269" customWidth="1"/>
    <col min="26" max="27" width="18.28515625" style="269" customWidth="1"/>
    <col min="28" max="29" width="15.42578125" style="269" customWidth="1"/>
    <col min="30" max="30" width="13.7109375" style="269" customWidth="1"/>
    <col min="31" max="32" width="15.42578125" style="269" customWidth="1"/>
    <col min="33" max="33" width="13.7109375" style="269" customWidth="1"/>
    <col min="34" max="35" width="18.28515625" style="269" customWidth="1"/>
    <col min="36" max="37" width="15.42578125" style="269" customWidth="1"/>
    <col min="38" max="38" width="13.7109375" style="269" customWidth="1"/>
    <col min="39" max="40" width="15.42578125" style="269" customWidth="1"/>
    <col min="41" max="41" width="14.42578125" style="269" customWidth="1"/>
    <col min="42" max="43" width="15.42578125" style="269" customWidth="1"/>
    <col min="44" max="44" width="17.140625" style="269" customWidth="1"/>
    <col min="45" max="46" width="15.42578125" style="269" customWidth="1"/>
    <col min="47" max="47" width="14.42578125" style="269" customWidth="1"/>
    <col min="48" max="48" width="15.5703125" style="647" customWidth="1"/>
    <col min="49" max="49" width="14.7109375" style="647" customWidth="1"/>
    <col min="50" max="55" width="9.42578125" style="647"/>
    <col min="56" max="16384" width="9.42578125" style="269"/>
  </cols>
  <sheetData>
    <row r="1" spans="1:55" ht="21" customHeight="1">
      <c r="A1" s="645" t="s">
        <v>811</v>
      </c>
      <c r="B1" s="279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  <c r="U1" s="646"/>
      <c r="V1" s="646"/>
      <c r="W1" s="646"/>
      <c r="X1" s="646"/>
      <c r="Y1" s="646"/>
      <c r="Z1" s="646"/>
      <c r="AA1" s="646"/>
      <c r="AB1" s="646"/>
      <c r="AC1" s="646"/>
      <c r="AD1" s="646"/>
      <c r="AE1" s="646"/>
      <c r="AF1" s="646"/>
      <c r="AG1" s="646"/>
      <c r="AH1" s="646"/>
      <c r="AI1" s="646"/>
      <c r="AK1" s="646"/>
      <c r="AL1" s="646"/>
      <c r="AM1" s="646"/>
      <c r="AN1" s="646"/>
      <c r="AO1" s="646"/>
      <c r="AP1" s="646"/>
      <c r="AQ1" s="646"/>
      <c r="AR1" s="646"/>
      <c r="AS1" s="438"/>
      <c r="AT1" s="438" t="s">
        <v>803</v>
      </c>
      <c r="AU1" s="438"/>
    </row>
    <row r="2" spans="1:55" ht="12.75" customHeight="1">
      <c r="A2" s="645"/>
      <c r="B2" s="279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646"/>
      <c r="AA2" s="646"/>
      <c r="AB2" s="646"/>
      <c r="AC2" s="646"/>
      <c r="AD2" s="646"/>
      <c r="AE2" s="646"/>
      <c r="AF2" s="646"/>
      <c r="AG2" s="646"/>
      <c r="AH2" s="646"/>
      <c r="AI2" s="646"/>
      <c r="AK2" s="646"/>
      <c r="AL2" s="646"/>
      <c r="AM2" s="646"/>
      <c r="AN2" s="646"/>
      <c r="AO2" s="646"/>
      <c r="AP2" s="646"/>
      <c r="AQ2" s="646"/>
      <c r="AR2" s="646"/>
      <c r="AS2" s="438"/>
      <c r="AT2" s="438"/>
      <c r="AU2" s="438"/>
    </row>
    <row r="3" spans="1:55" ht="15.75">
      <c r="A3" s="277"/>
      <c r="B3" s="311" t="str">
        <f>+'Asset quality'!B3</f>
        <v>"МКБАНК"</v>
      </c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722">
        <f>+'Asset quality'!Q3</f>
        <v>44926</v>
      </c>
      <c r="AI3" s="722"/>
      <c r="AJ3" s="648"/>
      <c r="AK3" s="277"/>
      <c r="AL3" s="277"/>
      <c r="AM3" s="277"/>
      <c r="AN3" s="277"/>
      <c r="AO3" s="277"/>
      <c r="AP3" s="277"/>
      <c r="AQ3" s="277"/>
      <c r="AR3" s="277"/>
      <c r="AT3" s="649"/>
      <c r="AU3" s="649" t="str">
        <f>+'Asset quality'!T3</f>
        <v>минг. сўмда</v>
      </c>
    </row>
    <row r="4" spans="1:55" s="33" customFormat="1" ht="51" customHeight="1">
      <c r="A4" s="723" t="s">
        <v>62</v>
      </c>
      <c r="B4" s="725" t="s">
        <v>285</v>
      </c>
      <c r="C4" s="727" t="s">
        <v>654</v>
      </c>
      <c r="D4" s="727" t="s">
        <v>655</v>
      </c>
      <c r="E4" s="727" t="s">
        <v>656</v>
      </c>
      <c r="F4" s="727" t="s">
        <v>655</v>
      </c>
      <c r="G4" s="729" t="s">
        <v>796</v>
      </c>
      <c r="H4" s="730"/>
      <c r="I4" s="730"/>
      <c r="J4" s="727" t="s">
        <v>657</v>
      </c>
      <c r="K4" s="727" t="s">
        <v>655</v>
      </c>
      <c r="L4" s="729" t="s">
        <v>797</v>
      </c>
      <c r="M4" s="730"/>
      <c r="N4" s="730"/>
      <c r="O4" s="729" t="s">
        <v>655</v>
      </c>
      <c r="P4" s="730"/>
      <c r="Q4" s="730"/>
      <c r="R4" s="727" t="s">
        <v>659</v>
      </c>
      <c r="S4" s="727" t="s">
        <v>655</v>
      </c>
      <c r="T4" s="729" t="s">
        <v>798</v>
      </c>
      <c r="U4" s="730"/>
      <c r="V4" s="730"/>
      <c r="W4" s="729" t="s">
        <v>655</v>
      </c>
      <c r="X4" s="730"/>
      <c r="Y4" s="730"/>
      <c r="Z4" s="727" t="s">
        <v>661</v>
      </c>
      <c r="AA4" s="727" t="s">
        <v>655</v>
      </c>
      <c r="AB4" s="729" t="s">
        <v>799</v>
      </c>
      <c r="AC4" s="730"/>
      <c r="AD4" s="730"/>
      <c r="AE4" s="729" t="s">
        <v>655</v>
      </c>
      <c r="AF4" s="730"/>
      <c r="AG4" s="730"/>
      <c r="AH4" s="727" t="s">
        <v>663</v>
      </c>
      <c r="AI4" s="727" t="s">
        <v>655</v>
      </c>
      <c r="AJ4" s="729" t="s">
        <v>800</v>
      </c>
      <c r="AK4" s="730"/>
      <c r="AL4" s="730"/>
      <c r="AM4" s="729" t="s">
        <v>655</v>
      </c>
      <c r="AN4" s="730"/>
      <c r="AO4" s="730"/>
      <c r="AP4" s="729" t="s">
        <v>665</v>
      </c>
      <c r="AQ4" s="730"/>
      <c r="AR4" s="730"/>
      <c r="AS4" s="729" t="s">
        <v>655</v>
      </c>
      <c r="AT4" s="730"/>
      <c r="AU4" s="730"/>
      <c r="AV4" s="214"/>
      <c r="AW4" s="214"/>
      <c r="AX4" s="214"/>
      <c r="AY4" s="214"/>
      <c r="AZ4" s="214"/>
      <c r="BA4" s="214"/>
      <c r="BB4" s="214"/>
      <c r="BC4" s="214"/>
    </row>
    <row r="5" spans="1:55" s="33" customFormat="1" ht="51" customHeight="1">
      <c r="A5" s="724"/>
      <c r="B5" s="726"/>
      <c r="C5" s="728"/>
      <c r="D5" s="728"/>
      <c r="E5" s="728"/>
      <c r="F5" s="728"/>
      <c r="G5" s="650" t="s">
        <v>801</v>
      </c>
      <c r="H5" s="650" t="s">
        <v>802</v>
      </c>
      <c r="I5" s="650" t="s">
        <v>468</v>
      </c>
      <c r="J5" s="728"/>
      <c r="K5" s="728"/>
      <c r="L5" s="650" t="s">
        <v>801</v>
      </c>
      <c r="M5" s="650" t="s">
        <v>802</v>
      </c>
      <c r="N5" s="650" t="s">
        <v>468</v>
      </c>
      <c r="O5" s="650" t="s">
        <v>801</v>
      </c>
      <c r="P5" s="650" t="s">
        <v>802</v>
      </c>
      <c r="Q5" s="650" t="s">
        <v>468</v>
      </c>
      <c r="R5" s="728"/>
      <c r="S5" s="728"/>
      <c r="T5" s="650" t="s">
        <v>801</v>
      </c>
      <c r="U5" s="650" t="s">
        <v>802</v>
      </c>
      <c r="V5" s="650" t="s">
        <v>468</v>
      </c>
      <c r="W5" s="650" t="s">
        <v>801</v>
      </c>
      <c r="X5" s="650" t="s">
        <v>802</v>
      </c>
      <c r="Y5" s="650" t="s">
        <v>468</v>
      </c>
      <c r="Z5" s="728"/>
      <c r="AA5" s="728"/>
      <c r="AB5" s="650" t="s">
        <v>801</v>
      </c>
      <c r="AC5" s="650" t="s">
        <v>802</v>
      </c>
      <c r="AD5" s="650" t="s">
        <v>468</v>
      </c>
      <c r="AE5" s="650" t="s">
        <v>801</v>
      </c>
      <c r="AF5" s="650" t="s">
        <v>802</v>
      </c>
      <c r="AG5" s="650" t="s">
        <v>468</v>
      </c>
      <c r="AH5" s="728"/>
      <c r="AI5" s="728"/>
      <c r="AJ5" s="650" t="s">
        <v>801</v>
      </c>
      <c r="AK5" s="650" t="s">
        <v>802</v>
      </c>
      <c r="AL5" s="650" t="s">
        <v>468</v>
      </c>
      <c r="AM5" s="650" t="s">
        <v>801</v>
      </c>
      <c r="AN5" s="650" t="s">
        <v>802</v>
      </c>
      <c r="AO5" s="650" t="s">
        <v>468</v>
      </c>
      <c r="AP5" s="650" t="s">
        <v>801</v>
      </c>
      <c r="AQ5" s="650" t="s">
        <v>802</v>
      </c>
      <c r="AR5" s="650" t="s">
        <v>468</v>
      </c>
      <c r="AS5" s="650" t="s">
        <v>801</v>
      </c>
      <c r="AT5" s="650" t="s">
        <v>802</v>
      </c>
      <c r="AU5" s="650" t="s">
        <v>468</v>
      </c>
      <c r="AV5" s="214"/>
      <c r="AW5" s="214"/>
      <c r="AX5" s="214"/>
      <c r="AY5" s="214"/>
      <c r="AZ5" s="214"/>
      <c r="BA5" s="214"/>
      <c r="BB5" s="214"/>
      <c r="BC5" s="214"/>
    </row>
    <row r="6" spans="1:55" s="651" customFormat="1" ht="27.75" customHeight="1">
      <c r="A6" s="625"/>
      <c r="B6" s="625" t="s">
        <v>668</v>
      </c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5"/>
      <c r="W6" s="625"/>
      <c r="X6" s="625"/>
      <c r="Y6" s="625"/>
      <c r="Z6" s="625"/>
      <c r="AA6" s="625"/>
      <c r="AB6" s="625"/>
      <c r="AC6" s="625"/>
      <c r="AD6" s="625"/>
      <c r="AE6" s="625"/>
      <c r="AF6" s="625"/>
      <c r="AG6" s="625"/>
      <c r="AH6" s="625"/>
      <c r="AI6" s="625"/>
      <c r="AJ6" s="625"/>
      <c r="AK6" s="625"/>
      <c r="AL6" s="625"/>
      <c r="AM6" s="625"/>
      <c r="AN6" s="625"/>
      <c r="AO6" s="625"/>
      <c r="AP6" s="625"/>
      <c r="AQ6" s="625"/>
      <c r="AR6" s="625"/>
      <c r="AS6" s="625"/>
      <c r="AT6" s="625"/>
      <c r="AU6" s="625"/>
    </row>
    <row r="7" spans="1:55" s="276" customFormat="1" ht="23.25" customHeight="1">
      <c r="A7" s="652">
        <v>1</v>
      </c>
      <c r="B7" s="169" t="s">
        <v>669</v>
      </c>
      <c r="C7" s="653">
        <f>+'Asset Classification'!C7</f>
        <v>0</v>
      </c>
      <c r="D7" s="654">
        <f>+'Asset Classification'!D7</f>
        <v>0</v>
      </c>
      <c r="E7" s="654">
        <f>+'Asset Classification'!E7</f>
        <v>0</v>
      </c>
      <c r="F7" s="654">
        <f>+'Asset Classification'!F7</f>
        <v>0</v>
      </c>
      <c r="G7" s="654">
        <f>+'Asset Classification'!G7</f>
        <v>0</v>
      </c>
      <c r="H7" s="654">
        <f>+E7*1%</f>
        <v>0</v>
      </c>
      <c r="I7" s="654">
        <f>+G7-H7</f>
        <v>0</v>
      </c>
      <c r="J7" s="654">
        <f>+'Asset Classification'!I7</f>
        <v>0</v>
      </c>
      <c r="K7" s="654">
        <f>+'Asset Classification'!J7</f>
        <v>0</v>
      </c>
      <c r="L7" s="654">
        <f>+'Asset Classification'!K7</f>
        <v>0</v>
      </c>
      <c r="M7" s="654">
        <f>+J7*10%</f>
        <v>0</v>
      </c>
      <c r="N7" s="654">
        <f>+L7-M7</f>
        <v>0</v>
      </c>
      <c r="O7" s="654">
        <f>+'Asset Classification'!L7</f>
        <v>0</v>
      </c>
      <c r="P7" s="654">
        <f>+K7*10%</f>
        <v>0</v>
      </c>
      <c r="Q7" s="654">
        <f>+O7-P7</f>
        <v>0</v>
      </c>
      <c r="R7" s="654">
        <f>+'Asset Classification'!M7</f>
        <v>0</v>
      </c>
      <c r="S7" s="654">
        <f>+'Asset Classification'!N7</f>
        <v>0</v>
      </c>
      <c r="T7" s="654">
        <f>+'Asset Classification'!O7</f>
        <v>0</v>
      </c>
      <c r="U7" s="654">
        <f>+R7*25%</f>
        <v>0</v>
      </c>
      <c r="V7" s="654">
        <f>+T7-U7</f>
        <v>0</v>
      </c>
      <c r="W7" s="654">
        <f>+'Asset Classification'!P7</f>
        <v>0</v>
      </c>
      <c r="X7" s="654">
        <f>+S7*25%</f>
        <v>0</v>
      </c>
      <c r="Y7" s="654">
        <f>+W7-X7</f>
        <v>0</v>
      </c>
      <c r="Z7" s="654">
        <f>+'Asset Classification'!Q7</f>
        <v>0</v>
      </c>
      <c r="AA7" s="654">
        <f>+'Asset Classification'!R7</f>
        <v>0</v>
      </c>
      <c r="AB7" s="654">
        <f>+'Asset Classification'!S7</f>
        <v>0</v>
      </c>
      <c r="AC7" s="654">
        <f>+Z7*50%</f>
        <v>0</v>
      </c>
      <c r="AD7" s="654">
        <f>+AB7-AC7</f>
        <v>0</v>
      </c>
      <c r="AE7" s="654">
        <f>+'Asset Classification'!T7</f>
        <v>0</v>
      </c>
      <c r="AF7" s="654">
        <f>+AA7*50%</f>
        <v>0</v>
      </c>
      <c r="AG7" s="654">
        <f>+AE7-AF7</f>
        <v>0</v>
      </c>
      <c r="AH7" s="654">
        <f>+'Asset Classification'!U7</f>
        <v>0</v>
      </c>
      <c r="AI7" s="654">
        <f>+'Asset Classification'!V7</f>
        <v>0</v>
      </c>
      <c r="AJ7" s="654">
        <f>+'Asset Classification'!W7</f>
        <v>0</v>
      </c>
      <c r="AK7" s="654">
        <f>+AH7*100%</f>
        <v>0</v>
      </c>
      <c r="AL7" s="654">
        <f>+AJ7-AK7</f>
        <v>0</v>
      </c>
      <c r="AM7" s="654">
        <f>+'Asset Classification'!X7</f>
        <v>0</v>
      </c>
      <c r="AN7" s="654">
        <f>+AI7*100%</f>
        <v>0</v>
      </c>
      <c r="AO7" s="654">
        <f>+AM7-AN7</f>
        <v>0</v>
      </c>
      <c r="AP7" s="641">
        <f>+L7+T7+AB7+AJ7</f>
        <v>0</v>
      </c>
      <c r="AQ7" s="641">
        <f>+M7+U7+AC7+AK7</f>
        <v>0</v>
      </c>
      <c r="AR7" s="641">
        <f>+AP7-AQ7</f>
        <v>0</v>
      </c>
      <c r="AS7" s="654">
        <f t="shared" ref="AS7:AT30" si="0">+O7+W7+AE7+AM7</f>
        <v>0</v>
      </c>
      <c r="AT7" s="654">
        <f t="shared" si="0"/>
        <v>0</v>
      </c>
      <c r="AU7" s="654">
        <f>+AS7-AT7</f>
        <v>0</v>
      </c>
      <c r="AV7" s="655">
        <f>+'Aging Analysis'!C9</f>
        <v>0</v>
      </c>
      <c r="AW7" s="656"/>
      <c r="AX7" s="656"/>
      <c r="AY7" s="656"/>
      <c r="AZ7" s="656"/>
      <c r="BA7" s="656"/>
      <c r="BB7" s="656"/>
      <c r="BC7" s="656"/>
    </row>
    <row r="8" spans="1:55" s="276" customFormat="1" ht="14.25" customHeight="1">
      <c r="A8" s="652"/>
      <c r="B8" s="657" t="s">
        <v>670</v>
      </c>
      <c r="C8" s="653">
        <f>+'Asset Classification'!C8</f>
        <v>0</v>
      </c>
      <c r="D8" s="654">
        <f>+'Asset Classification'!D8</f>
        <v>0</v>
      </c>
      <c r="E8" s="658">
        <f>+'Asset Classification'!E8</f>
        <v>0</v>
      </c>
      <c r="F8" s="654">
        <f>+'Asset Classification'!F8</f>
        <v>0</v>
      </c>
      <c r="G8" s="658">
        <f>+'Asset Classification'!G8</f>
        <v>0</v>
      </c>
      <c r="H8" s="654">
        <f t="shared" ref="H8:H30" si="1">+E8*1%</f>
        <v>0</v>
      </c>
      <c r="I8" s="654">
        <f t="shared" ref="I8:I30" si="2">+G8-H8</f>
        <v>0</v>
      </c>
      <c r="J8" s="658">
        <f>+'Asset Classification'!I8</f>
        <v>0</v>
      </c>
      <c r="K8" s="654">
        <f>+'Asset Classification'!J8</f>
        <v>0</v>
      </c>
      <c r="L8" s="658">
        <f>+'Asset Classification'!K8</f>
        <v>0</v>
      </c>
      <c r="M8" s="654">
        <f t="shared" ref="M8:M30" si="3">+J8*10%</f>
        <v>0</v>
      </c>
      <c r="N8" s="654">
        <f t="shared" ref="N8:N30" si="4">+L8-M8</f>
        <v>0</v>
      </c>
      <c r="O8" s="654">
        <f>+'Asset Classification'!L8</f>
        <v>0</v>
      </c>
      <c r="P8" s="654">
        <f t="shared" ref="P8:P30" si="5">+K8*10%</f>
        <v>0</v>
      </c>
      <c r="Q8" s="654">
        <f t="shared" ref="Q8:Q30" si="6">+O8-P8</f>
        <v>0</v>
      </c>
      <c r="R8" s="658">
        <f>+'Asset Classification'!M8</f>
        <v>0</v>
      </c>
      <c r="S8" s="654">
        <f>+'Asset Classification'!N8</f>
        <v>0</v>
      </c>
      <c r="T8" s="658">
        <f>+'Asset Classification'!O8</f>
        <v>0</v>
      </c>
      <c r="U8" s="654">
        <f t="shared" ref="U8:U30" si="7">+R8*25%</f>
        <v>0</v>
      </c>
      <c r="V8" s="654">
        <f t="shared" ref="V8:V30" si="8">+T8-U8</f>
        <v>0</v>
      </c>
      <c r="W8" s="654">
        <f>+'Asset Classification'!P8</f>
        <v>0</v>
      </c>
      <c r="X8" s="654">
        <f t="shared" ref="X8:X30" si="9">+S8*25%</f>
        <v>0</v>
      </c>
      <c r="Y8" s="654">
        <f t="shared" ref="Y8:Y30" si="10">+W8-X8</f>
        <v>0</v>
      </c>
      <c r="Z8" s="658">
        <f>+'Asset Classification'!Q8</f>
        <v>0</v>
      </c>
      <c r="AA8" s="654">
        <f>+'Asset Classification'!R8</f>
        <v>0</v>
      </c>
      <c r="AB8" s="658">
        <f>+'Asset Classification'!S8</f>
        <v>0</v>
      </c>
      <c r="AC8" s="654">
        <f t="shared" ref="AC8:AC30" si="11">+Z8*50%</f>
        <v>0</v>
      </c>
      <c r="AD8" s="654">
        <f t="shared" ref="AD8:AD30" si="12">+AB8-AC8</f>
        <v>0</v>
      </c>
      <c r="AE8" s="654">
        <f>+'Asset Classification'!T8</f>
        <v>0</v>
      </c>
      <c r="AF8" s="654">
        <f t="shared" ref="AF8:AF30" si="13">+AA8*50%</f>
        <v>0</v>
      </c>
      <c r="AG8" s="654">
        <f t="shared" ref="AG8:AG30" si="14">+AE8-AF8</f>
        <v>0</v>
      </c>
      <c r="AH8" s="658">
        <f>+'Asset Classification'!U8</f>
        <v>0</v>
      </c>
      <c r="AI8" s="654">
        <f>+'Asset Classification'!V8</f>
        <v>0</v>
      </c>
      <c r="AJ8" s="658">
        <f>+'Asset Classification'!W8</f>
        <v>0</v>
      </c>
      <c r="AK8" s="654">
        <f t="shared" ref="AK8:AK30" si="15">+AH8*100%</f>
        <v>0</v>
      </c>
      <c r="AL8" s="654">
        <f t="shared" ref="AL8:AL30" si="16">+AJ8-AK8</f>
        <v>0</v>
      </c>
      <c r="AM8" s="654">
        <f>+'Asset Classification'!X8</f>
        <v>0</v>
      </c>
      <c r="AN8" s="654">
        <f t="shared" ref="AN8:AN30" si="17">+AI8*100%</f>
        <v>0</v>
      </c>
      <c r="AO8" s="654">
        <f t="shared" ref="AO8:AO30" si="18">+AM8-AN8</f>
        <v>0</v>
      </c>
      <c r="AP8" s="641">
        <f t="shared" ref="AP8:AQ30" si="19">+L8+T8+AB8+AJ8</f>
        <v>0</v>
      </c>
      <c r="AQ8" s="641">
        <f t="shared" si="19"/>
        <v>0</v>
      </c>
      <c r="AR8" s="641">
        <f t="shared" ref="AR8:AR30" si="20">+AP8-AQ8</f>
        <v>0</v>
      </c>
      <c r="AS8" s="654">
        <f t="shared" si="0"/>
        <v>0</v>
      </c>
      <c r="AT8" s="654">
        <f t="shared" si="0"/>
        <v>0</v>
      </c>
      <c r="AU8" s="654">
        <f t="shared" ref="AU8:AU30" si="21">+AS8-AT8</f>
        <v>0</v>
      </c>
      <c r="AW8" s="656"/>
      <c r="AX8" s="656"/>
      <c r="AY8" s="656"/>
      <c r="AZ8" s="656"/>
      <c r="BA8" s="656"/>
      <c r="BB8" s="656"/>
      <c r="BC8" s="656"/>
    </row>
    <row r="9" spans="1:55" s="276" customFormat="1" ht="23.25" customHeight="1">
      <c r="A9" s="652">
        <v>2</v>
      </c>
      <c r="B9" s="169" t="s">
        <v>671</v>
      </c>
      <c r="C9" s="653">
        <f>+'Asset Classification'!C9</f>
        <v>0</v>
      </c>
      <c r="D9" s="654">
        <f>+'Asset Classification'!D9</f>
        <v>0</v>
      </c>
      <c r="E9" s="659">
        <f>+'Asset Classification'!E9</f>
        <v>0</v>
      </c>
      <c r="F9" s="660">
        <f>+'Asset Classification'!F9</f>
        <v>0</v>
      </c>
      <c r="G9" s="659">
        <f>+'Asset Classification'!G9</f>
        <v>0</v>
      </c>
      <c r="H9" s="654">
        <f t="shared" si="1"/>
        <v>0</v>
      </c>
      <c r="I9" s="654">
        <f t="shared" si="2"/>
        <v>0</v>
      </c>
      <c r="J9" s="659">
        <f>+'Asset Classification'!I9</f>
        <v>0</v>
      </c>
      <c r="K9" s="660">
        <f>+'Asset Classification'!J9</f>
        <v>0</v>
      </c>
      <c r="L9" s="659">
        <f>+'Asset Classification'!K9</f>
        <v>0</v>
      </c>
      <c r="M9" s="654">
        <f t="shared" si="3"/>
        <v>0</v>
      </c>
      <c r="N9" s="654">
        <f t="shared" si="4"/>
        <v>0</v>
      </c>
      <c r="O9" s="660">
        <f>+'Asset Classification'!L9</f>
        <v>0</v>
      </c>
      <c r="P9" s="654">
        <f t="shared" si="5"/>
        <v>0</v>
      </c>
      <c r="Q9" s="654">
        <f t="shared" si="6"/>
        <v>0</v>
      </c>
      <c r="R9" s="659">
        <f>+'Asset Classification'!M9</f>
        <v>0</v>
      </c>
      <c r="S9" s="660">
        <f>+'Asset Classification'!N9</f>
        <v>0</v>
      </c>
      <c r="T9" s="659">
        <f>+'Asset Classification'!O9</f>
        <v>0</v>
      </c>
      <c r="U9" s="654">
        <f t="shared" si="7"/>
        <v>0</v>
      </c>
      <c r="V9" s="654">
        <f t="shared" si="8"/>
        <v>0</v>
      </c>
      <c r="W9" s="660">
        <f>+'Asset Classification'!P9</f>
        <v>0</v>
      </c>
      <c r="X9" s="654">
        <f t="shared" si="9"/>
        <v>0</v>
      </c>
      <c r="Y9" s="654">
        <f t="shared" si="10"/>
        <v>0</v>
      </c>
      <c r="Z9" s="659">
        <f>+'Asset Classification'!Q9</f>
        <v>0</v>
      </c>
      <c r="AA9" s="660">
        <f>+'Asset Classification'!R9</f>
        <v>0</v>
      </c>
      <c r="AB9" s="659">
        <f>+'Asset Classification'!S9</f>
        <v>0</v>
      </c>
      <c r="AC9" s="654">
        <f t="shared" si="11"/>
        <v>0</v>
      </c>
      <c r="AD9" s="654">
        <f t="shared" si="12"/>
        <v>0</v>
      </c>
      <c r="AE9" s="660">
        <f>+'Asset Classification'!T9</f>
        <v>0</v>
      </c>
      <c r="AF9" s="654">
        <f t="shared" si="13"/>
        <v>0</v>
      </c>
      <c r="AG9" s="654">
        <f t="shared" si="14"/>
        <v>0</v>
      </c>
      <c r="AH9" s="659">
        <f>+'Asset Classification'!U9</f>
        <v>0</v>
      </c>
      <c r="AI9" s="660">
        <f>+'Asset Classification'!V9</f>
        <v>0</v>
      </c>
      <c r="AJ9" s="659">
        <f>+'Asset Classification'!W9</f>
        <v>0</v>
      </c>
      <c r="AK9" s="654">
        <f t="shared" si="15"/>
        <v>0</v>
      </c>
      <c r="AL9" s="654">
        <f t="shared" si="16"/>
        <v>0</v>
      </c>
      <c r="AM9" s="660">
        <f>+'Asset Classification'!X9</f>
        <v>0</v>
      </c>
      <c r="AN9" s="654">
        <f t="shared" si="17"/>
        <v>0</v>
      </c>
      <c r="AO9" s="654">
        <f t="shared" si="18"/>
        <v>0</v>
      </c>
      <c r="AP9" s="641">
        <f t="shared" si="19"/>
        <v>0</v>
      </c>
      <c r="AQ9" s="641">
        <f t="shared" si="19"/>
        <v>0</v>
      </c>
      <c r="AR9" s="641">
        <f t="shared" si="20"/>
        <v>0</v>
      </c>
      <c r="AS9" s="654">
        <f t="shared" si="0"/>
        <v>0</v>
      </c>
      <c r="AT9" s="654">
        <f t="shared" si="0"/>
        <v>0</v>
      </c>
      <c r="AU9" s="654">
        <f t="shared" si="21"/>
        <v>0</v>
      </c>
      <c r="AV9" s="655">
        <f>+'Aging Analysis'!C10</f>
        <v>0</v>
      </c>
      <c r="AW9" s="656"/>
      <c r="AX9" s="656"/>
      <c r="AY9" s="656"/>
      <c r="AZ9" s="656"/>
      <c r="BA9" s="656"/>
      <c r="BB9" s="656"/>
      <c r="BC9" s="656"/>
    </row>
    <row r="10" spans="1:55" s="276" customFormat="1" ht="14.25" customHeight="1">
      <c r="A10" s="652"/>
      <c r="B10" s="657" t="s">
        <v>670</v>
      </c>
      <c r="C10" s="653">
        <f>+'Asset Classification'!C10</f>
        <v>0</v>
      </c>
      <c r="D10" s="654">
        <f>+'Asset Classification'!D10</f>
        <v>0</v>
      </c>
      <c r="E10" s="659">
        <f>+'Asset Classification'!E10</f>
        <v>0</v>
      </c>
      <c r="F10" s="660">
        <f>+'Asset Classification'!F10</f>
        <v>0</v>
      </c>
      <c r="G10" s="659">
        <f>+'Asset Classification'!G10</f>
        <v>0</v>
      </c>
      <c r="H10" s="654">
        <f t="shared" si="1"/>
        <v>0</v>
      </c>
      <c r="I10" s="654">
        <f t="shared" si="2"/>
        <v>0</v>
      </c>
      <c r="J10" s="659">
        <f>+'Asset Classification'!I10</f>
        <v>0</v>
      </c>
      <c r="K10" s="660">
        <f>+'Asset Classification'!J10</f>
        <v>0</v>
      </c>
      <c r="L10" s="659">
        <f>+'Asset Classification'!K10</f>
        <v>0</v>
      </c>
      <c r="M10" s="654">
        <f t="shared" si="3"/>
        <v>0</v>
      </c>
      <c r="N10" s="654">
        <f t="shared" si="4"/>
        <v>0</v>
      </c>
      <c r="O10" s="660">
        <f>+'Asset Classification'!L10</f>
        <v>0</v>
      </c>
      <c r="P10" s="654">
        <f t="shared" si="5"/>
        <v>0</v>
      </c>
      <c r="Q10" s="654">
        <f t="shared" si="6"/>
        <v>0</v>
      </c>
      <c r="R10" s="659">
        <f>+'Asset Classification'!M10</f>
        <v>0</v>
      </c>
      <c r="S10" s="660">
        <f>+'Asset Classification'!N10</f>
        <v>0</v>
      </c>
      <c r="T10" s="659">
        <f>+'Asset Classification'!O10</f>
        <v>0</v>
      </c>
      <c r="U10" s="654">
        <f t="shared" si="7"/>
        <v>0</v>
      </c>
      <c r="V10" s="654">
        <f t="shared" si="8"/>
        <v>0</v>
      </c>
      <c r="W10" s="660">
        <f>+'Asset Classification'!P10</f>
        <v>0</v>
      </c>
      <c r="X10" s="654">
        <f t="shared" si="9"/>
        <v>0</v>
      </c>
      <c r="Y10" s="654">
        <f t="shared" si="10"/>
        <v>0</v>
      </c>
      <c r="Z10" s="659">
        <f>+'Asset Classification'!Q10</f>
        <v>0</v>
      </c>
      <c r="AA10" s="660">
        <f>+'Asset Classification'!R10</f>
        <v>0</v>
      </c>
      <c r="AB10" s="659">
        <f>+'Asset Classification'!S10</f>
        <v>0</v>
      </c>
      <c r="AC10" s="654">
        <f t="shared" si="11"/>
        <v>0</v>
      </c>
      <c r="AD10" s="654">
        <f t="shared" si="12"/>
        <v>0</v>
      </c>
      <c r="AE10" s="660">
        <f>+'Asset Classification'!T10</f>
        <v>0</v>
      </c>
      <c r="AF10" s="654">
        <f t="shared" si="13"/>
        <v>0</v>
      </c>
      <c r="AG10" s="654">
        <f t="shared" si="14"/>
        <v>0</v>
      </c>
      <c r="AH10" s="659">
        <f>+'Asset Classification'!U10</f>
        <v>0</v>
      </c>
      <c r="AI10" s="660">
        <f>+'Asset Classification'!V10</f>
        <v>0</v>
      </c>
      <c r="AJ10" s="659">
        <f>+'Asset Classification'!W10</f>
        <v>0</v>
      </c>
      <c r="AK10" s="654">
        <f t="shared" si="15"/>
        <v>0</v>
      </c>
      <c r="AL10" s="654">
        <f t="shared" si="16"/>
        <v>0</v>
      </c>
      <c r="AM10" s="660">
        <f>+'Asset Classification'!X10</f>
        <v>0</v>
      </c>
      <c r="AN10" s="654">
        <f t="shared" si="17"/>
        <v>0</v>
      </c>
      <c r="AO10" s="654">
        <f t="shared" si="18"/>
        <v>0</v>
      </c>
      <c r="AP10" s="641">
        <f t="shared" si="19"/>
        <v>0</v>
      </c>
      <c r="AQ10" s="641">
        <f t="shared" si="19"/>
        <v>0</v>
      </c>
      <c r="AR10" s="641">
        <f t="shared" si="20"/>
        <v>0</v>
      </c>
      <c r="AS10" s="654">
        <f t="shared" si="0"/>
        <v>0</v>
      </c>
      <c r="AT10" s="654">
        <f t="shared" si="0"/>
        <v>0</v>
      </c>
      <c r="AU10" s="654">
        <f t="shared" si="21"/>
        <v>0</v>
      </c>
      <c r="AW10" s="656"/>
      <c r="AX10" s="656"/>
      <c r="AY10" s="656"/>
      <c r="AZ10" s="656"/>
      <c r="BA10" s="656"/>
      <c r="BB10" s="656"/>
      <c r="BC10" s="656"/>
    </row>
    <row r="11" spans="1:55" s="276" customFormat="1" ht="23.25" customHeight="1">
      <c r="A11" s="652">
        <v>3</v>
      </c>
      <c r="B11" s="169" t="s">
        <v>400</v>
      </c>
      <c r="C11" s="653">
        <f>+'Asset Classification'!C11</f>
        <v>0</v>
      </c>
      <c r="D11" s="654">
        <f>+'Asset Classification'!D11</f>
        <v>0</v>
      </c>
      <c r="E11" s="659">
        <f>+'Asset Classification'!E11</f>
        <v>0</v>
      </c>
      <c r="F11" s="660">
        <f>+'Asset Classification'!F11</f>
        <v>0</v>
      </c>
      <c r="G11" s="659">
        <f>+'Asset Classification'!G11</f>
        <v>0</v>
      </c>
      <c r="H11" s="654">
        <f t="shared" si="1"/>
        <v>0</v>
      </c>
      <c r="I11" s="654">
        <f t="shared" si="2"/>
        <v>0</v>
      </c>
      <c r="J11" s="659">
        <f>+'Asset Classification'!I11</f>
        <v>0</v>
      </c>
      <c r="K11" s="660">
        <f>+'Asset Classification'!J11</f>
        <v>0</v>
      </c>
      <c r="L11" s="659">
        <f>+'Asset Classification'!K11</f>
        <v>0</v>
      </c>
      <c r="M11" s="654">
        <f t="shared" si="3"/>
        <v>0</v>
      </c>
      <c r="N11" s="654">
        <f t="shared" si="4"/>
        <v>0</v>
      </c>
      <c r="O11" s="660">
        <f>+'Asset Classification'!L11</f>
        <v>0</v>
      </c>
      <c r="P11" s="654">
        <f t="shared" si="5"/>
        <v>0</v>
      </c>
      <c r="Q11" s="654">
        <f t="shared" si="6"/>
        <v>0</v>
      </c>
      <c r="R11" s="659">
        <f>+'Asset Classification'!M11</f>
        <v>0</v>
      </c>
      <c r="S11" s="660">
        <f>+'Asset Classification'!N11</f>
        <v>0</v>
      </c>
      <c r="T11" s="659">
        <f>+'Asset Classification'!O11</f>
        <v>0</v>
      </c>
      <c r="U11" s="654">
        <f t="shared" si="7"/>
        <v>0</v>
      </c>
      <c r="V11" s="654">
        <f t="shared" si="8"/>
        <v>0</v>
      </c>
      <c r="W11" s="660">
        <f>+'Asset Classification'!P11</f>
        <v>0</v>
      </c>
      <c r="X11" s="654">
        <f t="shared" si="9"/>
        <v>0</v>
      </c>
      <c r="Y11" s="654">
        <f t="shared" si="10"/>
        <v>0</v>
      </c>
      <c r="Z11" s="659">
        <f>+'Asset Classification'!Q11</f>
        <v>0</v>
      </c>
      <c r="AA11" s="660">
        <f>+'Asset Classification'!R11</f>
        <v>0</v>
      </c>
      <c r="AB11" s="659">
        <f>+'Asset Classification'!S11</f>
        <v>0</v>
      </c>
      <c r="AC11" s="654">
        <f t="shared" si="11"/>
        <v>0</v>
      </c>
      <c r="AD11" s="654">
        <f t="shared" si="12"/>
        <v>0</v>
      </c>
      <c r="AE11" s="660">
        <f>+'Asset Classification'!T11</f>
        <v>0</v>
      </c>
      <c r="AF11" s="654">
        <f t="shared" si="13"/>
        <v>0</v>
      </c>
      <c r="AG11" s="654">
        <f t="shared" si="14"/>
        <v>0</v>
      </c>
      <c r="AH11" s="659">
        <f>+'Asset Classification'!U11</f>
        <v>0</v>
      </c>
      <c r="AI11" s="660">
        <f>+'Asset Classification'!V11</f>
        <v>0</v>
      </c>
      <c r="AJ11" s="659">
        <f>+'Asset Classification'!W11</f>
        <v>0</v>
      </c>
      <c r="AK11" s="654">
        <f t="shared" si="15"/>
        <v>0</v>
      </c>
      <c r="AL11" s="654">
        <f t="shared" si="16"/>
        <v>0</v>
      </c>
      <c r="AM11" s="660">
        <f>+'Asset Classification'!X11</f>
        <v>0</v>
      </c>
      <c r="AN11" s="654">
        <f t="shared" si="17"/>
        <v>0</v>
      </c>
      <c r="AO11" s="654">
        <f t="shared" si="18"/>
        <v>0</v>
      </c>
      <c r="AP11" s="641">
        <f t="shared" si="19"/>
        <v>0</v>
      </c>
      <c r="AQ11" s="641">
        <f t="shared" si="19"/>
        <v>0</v>
      </c>
      <c r="AR11" s="641">
        <f t="shared" si="20"/>
        <v>0</v>
      </c>
      <c r="AS11" s="654">
        <f t="shared" si="0"/>
        <v>0</v>
      </c>
      <c r="AT11" s="654">
        <f t="shared" si="0"/>
        <v>0</v>
      </c>
      <c r="AU11" s="654">
        <f t="shared" si="21"/>
        <v>0</v>
      </c>
      <c r="AV11" s="655">
        <f>+'Aging Analysis'!C11</f>
        <v>0</v>
      </c>
      <c r="AW11" s="656"/>
      <c r="AX11" s="656"/>
      <c r="AY11" s="656"/>
      <c r="AZ11" s="656"/>
      <c r="BA11" s="656"/>
      <c r="BB11" s="656"/>
      <c r="BC11" s="656"/>
    </row>
    <row r="12" spans="1:55" s="276" customFormat="1" ht="14.25" customHeight="1">
      <c r="A12" s="652"/>
      <c r="B12" s="657" t="s">
        <v>670</v>
      </c>
      <c r="C12" s="653">
        <f>+'Asset Classification'!C12</f>
        <v>0</v>
      </c>
      <c r="D12" s="654">
        <f>+'Asset Classification'!D12</f>
        <v>0</v>
      </c>
      <c r="E12" s="659">
        <f>+'Asset Classification'!E12</f>
        <v>0</v>
      </c>
      <c r="F12" s="660">
        <f>+'Asset Classification'!F12</f>
        <v>0</v>
      </c>
      <c r="G12" s="659">
        <f>+'Asset Classification'!G12</f>
        <v>0</v>
      </c>
      <c r="H12" s="654">
        <f t="shared" si="1"/>
        <v>0</v>
      </c>
      <c r="I12" s="654">
        <f t="shared" si="2"/>
        <v>0</v>
      </c>
      <c r="J12" s="659">
        <f>+'Asset Classification'!I12</f>
        <v>0</v>
      </c>
      <c r="K12" s="660">
        <f>+'Asset Classification'!J12</f>
        <v>0</v>
      </c>
      <c r="L12" s="659">
        <f>+'Asset Classification'!K12</f>
        <v>0</v>
      </c>
      <c r="M12" s="654">
        <f t="shared" si="3"/>
        <v>0</v>
      </c>
      <c r="N12" s="654">
        <f t="shared" si="4"/>
        <v>0</v>
      </c>
      <c r="O12" s="660">
        <f>+'Asset Classification'!L12</f>
        <v>0</v>
      </c>
      <c r="P12" s="654">
        <f t="shared" si="5"/>
        <v>0</v>
      </c>
      <c r="Q12" s="654">
        <f t="shared" si="6"/>
        <v>0</v>
      </c>
      <c r="R12" s="659">
        <f>+'Asset Classification'!M12</f>
        <v>0</v>
      </c>
      <c r="S12" s="660">
        <f>+'Asset Classification'!N12</f>
        <v>0</v>
      </c>
      <c r="T12" s="659">
        <f>+'Asset Classification'!O12</f>
        <v>0</v>
      </c>
      <c r="U12" s="654">
        <f t="shared" si="7"/>
        <v>0</v>
      </c>
      <c r="V12" s="654">
        <f t="shared" si="8"/>
        <v>0</v>
      </c>
      <c r="W12" s="660">
        <f>+'Asset Classification'!P12</f>
        <v>0</v>
      </c>
      <c r="X12" s="654">
        <f t="shared" si="9"/>
        <v>0</v>
      </c>
      <c r="Y12" s="654">
        <f t="shared" si="10"/>
        <v>0</v>
      </c>
      <c r="Z12" s="659">
        <f>+'Asset Classification'!Q12</f>
        <v>0</v>
      </c>
      <c r="AA12" s="660">
        <f>+'Asset Classification'!R12</f>
        <v>0</v>
      </c>
      <c r="AB12" s="659">
        <f>+'Asset Classification'!S12</f>
        <v>0</v>
      </c>
      <c r="AC12" s="654">
        <f t="shared" si="11"/>
        <v>0</v>
      </c>
      <c r="AD12" s="654">
        <f t="shared" si="12"/>
        <v>0</v>
      </c>
      <c r="AE12" s="660">
        <f>+'Asset Classification'!T12</f>
        <v>0</v>
      </c>
      <c r="AF12" s="654">
        <f t="shared" si="13"/>
        <v>0</v>
      </c>
      <c r="AG12" s="654">
        <f t="shared" si="14"/>
        <v>0</v>
      </c>
      <c r="AH12" s="659">
        <f>+'Asset Classification'!U12</f>
        <v>0</v>
      </c>
      <c r="AI12" s="660">
        <f>+'Asset Classification'!V12</f>
        <v>0</v>
      </c>
      <c r="AJ12" s="659">
        <f>+'Asset Classification'!W12</f>
        <v>0</v>
      </c>
      <c r="AK12" s="654">
        <f t="shared" si="15"/>
        <v>0</v>
      </c>
      <c r="AL12" s="654">
        <f t="shared" si="16"/>
        <v>0</v>
      </c>
      <c r="AM12" s="660">
        <f>+'Asset Classification'!X12</f>
        <v>0</v>
      </c>
      <c r="AN12" s="654">
        <f t="shared" si="17"/>
        <v>0</v>
      </c>
      <c r="AO12" s="654">
        <f t="shared" si="18"/>
        <v>0</v>
      </c>
      <c r="AP12" s="641">
        <f t="shared" si="19"/>
        <v>0</v>
      </c>
      <c r="AQ12" s="641">
        <f t="shared" si="19"/>
        <v>0</v>
      </c>
      <c r="AR12" s="641">
        <f t="shared" si="20"/>
        <v>0</v>
      </c>
      <c r="AS12" s="654">
        <f t="shared" si="0"/>
        <v>0</v>
      </c>
      <c r="AT12" s="654">
        <f t="shared" si="0"/>
        <v>0</v>
      </c>
      <c r="AU12" s="654">
        <f t="shared" si="21"/>
        <v>0</v>
      </c>
      <c r="AW12" s="656"/>
      <c r="AX12" s="656"/>
      <c r="AY12" s="656"/>
      <c r="AZ12" s="656"/>
      <c r="BA12" s="656"/>
      <c r="BB12" s="656"/>
      <c r="BC12" s="656"/>
    </row>
    <row r="13" spans="1:55" s="276" customFormat="1" ht="23.25" customHeight="1">
      <c r="A13" s="652">
        <v>4</v>
      </c>
      <c r="B13" s="169" t="s">
        <v>401</v>
      </c>
      <c r="C13" s="653">
        <f>+'Asset Classification'!C13</f>
        <v>4581385255</v>
      </c>
      <c r="D13" s="654">
        <f>+'Asset Classification'!D13</f>
        <v>0</v>
      </c>
      <c r="E13" s="659">
        <f>+'Asset Classification'!E13</f>
        <v>3611077438</v>
      </c>
      <c r="F13" s="660">
        <f>+'Asset Classification'!F13</f>
        <v>0</v>
      </c>
      <c r="G13" s="659">
        <f>+'Asset Classification'!G13</f>
        <v>19487264</v>
      </c>
      <c r="H13" s="654">
        <f t="shared" si="1"/>
        <v>36110774.380000003</v>
      </c>
      <c r="I13" s="654">
        <f t="shared" si="2"/>
        <v>-16623510.380000003</v>
      </c>
      <c r="J13" s="659">
        <f>+'Asset Classification'!I13</f>
        <v>591113637</v>
      </c>
      <c r="K13" s="660">
        <f>+'Asset Classification'!J13</f>
        <v>0</v>
      </c>
      <c r="L13" s="659">
        <f>+'Asset Classification'!K13</f>
        <v>19725504</v>
      </c>
      <c r="M13" s="654">
        <f t="shared" si="3"/>
        <v>59111363.700000003</v>
      </c>
      <c r="N13" s="654">
        <f t="shared" si="4"/>
        <v>-39385859.700000003</v>
      </c>
      <c r="O13" s="660">
        <f>+'Asset Classification'!L13</f>
        <v>0</v>
      </c>
      <c r="P13" s="654">
        <f t="shared" si="5"/>
        <v>0</v>
      </c>
      <c r="Q13" s="654">
        <f t="shared" si="6"/>
        <v>0</v>
      </c>
      <c r="R13" s="659">
        <f>+'Asset Classification'!M13</f>
        <v>82422064</v>
      </c>
      <c r="S13" s="660">
        <f>+'Asset Classification'!N13</f>
        <v>0</v>
      </c>
      <c r="T13" s="659">
        <f>+'Asset Classification'!O13</f>
        <v>5604350</v>
      </c>
      <c r="U13" s="654">
        <f t="shared" si="7"/>
        <v>20605516</v>
      </c>
      <c r="V13" s="654">
        <f t="shared" si="8"/>
        <v>-15001166</v>
      </c>
      <c r="W13" s="660">
        <f>+'Asset Classification'!P13</f>
        <v>0</v>
      </c>
      <c r="X13" s="654">
        <f t="shared" si="9"/>
        <v>0</v>
      </c>
      <c r="Y13" s="654">
        <f t="shared" si="10"/>
        <v>0</v>
      </c>
      <c r="Z13" s="659">
        <f>+'Asset Classification'!Q13</f>
        <v>201882538</v>
      </c>
      <c r="AA13" s="660">
        <f>+'Asset Classification'!R13</f>
        <v>0</v>
      </c>
      <c r="AB13" s="659">
        <f>+'Asset Classification'!S13</f>
        <v>20577296</v>
      </c>
      <c r="AC13" s="654">
        <f t="shared" si="11"/>
        <v>100941269</v>
      </c>
      <c r="AD13" s="654">
        <f t="shared" si="12"/>
        <v>-80363973</v>
      </c>
      <c r="AE13" s="660">
        <f>+'Asset Classification'!T13</f>
        <v>0</v>
      </c>
      <c r="AF13" s="654">
        <f t="shared" si="13"/>
        <v>0</v>
      </c>
      <c r="AG13" s="654">
        <f t="shared" si="14"/>
        <v>0</v>
      </c>
      <c r="AH13" s="659">
        <f>+'Asset Classification'!U13</f>
        <v>94889578</v>
      </c>
      <c r="AI13" s="660">
        <f>+'Asset Classification'!V13</f>
        <v>0</v>
      </c>
      <c r="AJ13" s="659">
        <f>+'Asset Classification'!W13</f>
        <v>46126485</v>
      </c>
      <c r="AK13" s="654">
        <f t="shared" si="15"/>
        <v>94889578</v>
      </c>
      <c r="AL13" s="654">
        <f t="shared" si="16"/>
        <v>-48763093</v>
      </c>
      <c r="AM13" s="660">
        <f>+'Asset Classification'!X13</f>
        <v>0</v>
      </c>
      <c r="AN13" s="654">
        <f t="shared" si="17"/>
        <v>0</v>
      </c>
      <c r="AO13" s="654">
        <f t="shared" si="18"/>
        <v>0</v>
      </c>
      <c r="AP13" s="641">
        <f t="shared" si="19"/>
        <v>92033635</v>
      </c>
      <c r="AQ13" s="641">
        <f t="shared" si="19"/>
        <v>275547726.69999999</v>
      </c>
      <c r="AR13" s="641">
        <f t="shared" si="20"/>
        <v>-183514091.69999999</v>
      </c>
      <c r="AS13" s="654">
        <f t="shared" si="0"/>
        <v>0</v>
      </c>
      <c r="AT13" s="654">
        <f t="shared" si="0"/>
        <v>0</v>
      </c>
      <c r="AU13" s="654">
        <f t="shared" si="21"/>
        <v>0</v>
      </c>
      <c r="AV13" s="655">
        <f>+'Aging Analysis'!C12</f>
        <v>4581385255</v>
      </c>
      <c r="AW13" s="656"/>
      <c r="AX13" s="656"/>
      <c r="AY13" s="656"/>
      <c r="AZ13" s="656"/>
      <c r="BA13" s="656"/>
      <c r="BB13" s="656"/>
      <c r="BC13" s="656"/>
    </row>
    <row r="14" spans="1:55" s="276" customFormat="1" ht="14.25" customHeight="1">
      <c r="A14" s="652"/>
      <c r="B14" s="657" t="s">
        <v>670</v>
      </c>
      <c r="C14" s="653">
        <f>+'Asset Classification'!C14</f>
        <v>0</v>
      </c>
      <c r="D14" s="654">
        <f>+'Asset Classification'!D14</f>
        <v>0</v>
      </c>
      <c r="E14" s="659">
        <f>+'Asset Classification'!E14</f>
        <v>0</v>
      </c>
      <c r="F14" s="660">
        <f>+'Asset Classification'!F14</f>
        <v>0</v>
      </c>
      <c r="G14" s="659">
        <f>+'Asset Classification'!G14</f>
        <v>0</v>
      </c>
      <c r="H14" s="654">
        <f t="shared" si="1"/>
        <v>0</v>
      </c>
      <c r="I14" s="654">
        <f t="shared" si="2"/>
        <v>0</v>
      </c>
      <c r="J14" s="659">
        <f>+'Asset Classification'!I14</f>
        <v>0</v>
      </c>
      <c r="K14" s="660">
        <f>+'Asset Classification'!J14</f>
        <v>0</v>
      </c>
      <c r="L14" s="659">
        <f>+'Asset Classification'!K14</f>
        <v>0</v>
      </c>
      <c r="M14" s="654">
        <f t="shared" si="3"/>
        <v>0</v>
      </c>
      <c r="N14" s="654">
        <f t="shared" si="4"/>
        <v>0</v>
      </c>
      <c r="O14" s="660">
        <f>+'Asset Classification'!L14</f>
        <v>0</v>
      </c>
      <c r="P14" s="654">
        <f t="shared" si="5"/>
        <v>0</v>
      </c>
      <c r="Q14" s="654">
        <f t="shared" si="6"/>
        <v>0</v>
      </c>
      <c r="R14" s="659">
        <f>+'Asset Classification'!M14</f>
        <v>0</v>
      </c>
      <c r="S14" s="660">
        <f>+'Asset Classification'!N14</f>
        <v>0</v>
      </c>
      <c r="T14" s="659">
        <f>+'Asset Classification'!O14</f>
        <v>0</v>
      </c>
      <c r="U14" s="654">
        <f t="shared" si="7"/>
        <v>0</v>
      </c>
      <c r="V14" s="654">
        <f t="shared" si="8"/>
        <v>0</v>
      </c>
      <c r="W14" s="660">
        <f>+'Asset Classification'!P14</f>
        <v>0</v>
      </c>
      <c r="X14" s="654">
        <f t="shared" si="9"/>
        <v>0</v>
      </c>
      <c r="Y14" s="654">
        <f t="shared" si="10"/>
        <v>0</v>
      </c>
      <c r="Z14" s="659">
        <f>+'Asset Classification'!Q14</f>
        <v>0</v>
      </c>
      <c r="AA14" s="660">
        <f>+'Asset Classification'!R14</f>
        <v>0</v>
      </c>
      <c r="AB14" s="659">
        <f>+'Asset Classification'!S14</f>
        <v>0</v>
      </c>
      <c r="AC14" s="654">
        <f t="shared" si="11"/>
        <v>0</v>
      </c>
      <c r="AD14" s="654">
        <f t="shared" si="12"/>
        <v>0</v>
      </c>
      <c r="AE14" s="660">
        <f>+'Asset Classification'!T14</f>
        <v>0</v>
      </c>
      <c r="AF14" s="654">
        <f t="shared" si="13"/>
        <v>0</v>
      </c>
      <c r="AG14" s="654">
        <f t="shared" si="14"/>
        <v>0</v>
      </c>
      <c r="AH14" s="659">
        <f>+'Asset Classification'!U14</f>
        <v>0</v>
      </c>
      <c r="AI14" s="660">
        <f>+'Asset Classification'!V14</f>
        <v>0</v>
      </c>
      <c r="AJ14" s="659">
        <f>+'Asset Classification'!W14</f>
        <v>0</v>
      </c>
      <c r="AK14" s="654">
        <f t="shared" si="15"/>
        <v>0</v>
      </c>
      <c r="AL14" s="654">
        <f t="shared" si="16"/>
        <v>0</v>
      </c>
      <c r="AM14" s="660">
        <f>+'Asset Classification'!X14</f>
        <v>0</v>
      </c>
      <c r="AN14" s="654">
        <f t="shared" si="17"/>
        <v>0</v>
      </c>
      <c r="AO14" s="654">
        <f t="shared" si="18"/>
        <v>0</v>
      </c>
      <c r="AP14" s="641">
        <f t="shared" si="19"/>
        <v>0</v>
      </c>
      <c r="AQ14" s="641">
        <f t="shared" si="19"/>
        <v>0</v>
      </c>
      <c r="AR14" s="641">
        <f t="shared" si="20"/>
        <v>0</v>
      </c>
      <c r="AS14" s="654">
        <f t="shared" si="0"/>
        <v>0</v>
      </c>
      <c r="AT14" s="654">
        <f t="shared" si="0"/>
        <v>0</v>
      </c>
      <c r="AU14" s="654">
        <f t="shared" si="21"/>
        <v>0</v>
      </c>
      <c r="AW14" s="656"/>
      <c r="AX14" s="656"/>
      <c r="AY14" s="656"/>
      <c r="AZ14" s="656"/>
      <c r="BA14" s="656"/>
      <c r="BB14" s="656"/>
      <c r="BC14" s="656"/>
    </row>
    <row r="15" spans="1:55" s="276" customFormat="1" ht="23.25" customHeight="1">
      <c r="A15" s="652">
        <v>5</v>
      </c>
      <c r="B15" s="169" t="s">
        <v>672</v>
      </c>
      <c r="C15" s="653">
        <f>+'Asset Classification'!C15</f>
        <v>82687815</v>
      </c>
      <c r="D15" s="654">
        <f>+'Asset Classification'!D15</f>
        <v>0</v>
      </c>
      <c r="E15" s="659">
        <f>+'Asset Classification'!E15</f>
        <v>72411648</v>
      </c>
      <c r="F15" s="660">
        <f>+'Asset Classification'!F15</f>
        <v>0</v>
      </c>
      <c r="G15" s="659">
        <f>+'Asset Classification'!G15</f>
        <v>0</v>
      </c>
      <c r="H15" s="654">
        <f t="shared" si="1"/>
        <v>724116.47999999998</v>
      </c>
      <c r="I15" s="654">
        <f t="shared" si="2"/>
        <v>-724116.47999999998</v>
      </c>
      <c r="J15" s="659">
        <f>+'Asset Classification'!I15</f>
        <v>9211160</v>
      </c>
      <c r="K15" s="660">
        <f>+'Asset Classification'!J15</f>
        <v>0</v>
      </c>
      <c r="L15" s="659">
        <f>+'Asset Classification'!K15</f>
        <v>869759</v>
      </c>
      <c r="M15" s="654">
        <f t="shared" si="3"/>
        <v>921116</v>
      </c>
      <c r="N15" s="654">
        <f t="shared" si="4"/>
        <v>-51357</v>
      </c>
      <c r="O15" s="660">
        <f>+'Asset Classification'!L15</f>
        <v>0</v>
      </c>
      <c r="P15" s="654">
        <f t="shared" si="5"/>
        <v>0</v>
      </c>
      <c r="Q15" s="654">
        <f t="shared" si="6"/>
        <v>0</v>
      </c>
      <c r="R15" s="659">
        <f>+'Asset Classification'!M15</f>
        <v>572474</v>
      </c>
      <c r="S15" s="660">
        <f>+'Asset Classification'!N15</f>
        <v>0</v>
      </c>
      <c r="T15" s="659">
        <f>+'Asset Classification'!O15</f>
        <v>57247</v>
      </c>
      <c r="U15" s="654">
        <f t="shared" si="7"/>
        <v>143118.5</v>
      </c>
      <c r="V15" s="654">
        <f t="shared" si="8"/>
        <v>-85871.5</v>
      </c>
      <c r="W15" s="660">
        <f>+'Asset Classification'!P15</f>
        <v>0</v>
      </c>
      <c r="X15" s="654">
        <f t="shared" si="9"/>
        <v>0</v>
      </c>
      <c r="Y15" s="654">
        <f t="shared" si="10"/>
        <v>0</v>
      </c>
      <c r="Z15" s="659">
        <f>+'Asset Classification'!Q15</f>
        <v>331903</v>
      </c>
      <c r="AA15" s="660">
        <f>+'Asset Classification'!R15</f>
        <v>0</v>
      </c>
      <c r="AB15" s="659">
        <f>+'Asset Classification'!S15</f>
        <v>208978</v>
      </c>
      <c r="AC15" s="654">
        <f t="shared" si="11"/>
        <v>165951.5</v>
      </c>
      <c r="AD15" s="654">
        <f t="shared" si="12"/>
        <v>43026.5</v>
      </c>
      <c r="AE15" s="660">
        <f>+'Asset Classification'!T15</f>
        <v>0</v>
      </c>
      <c r="AF15" s="654">
        <f t="shared" si="13"/>
        <v>0</v>
      </c>
      <c r="AG15" s="654">
        <f t="shared" si="14"/>
        <v>0</v>
      </c>
      <c r="AH15" s="659">
        <f>+'Asset Classification'!U15</f>
        <v>160630</v>
      </c>
      <c r="AI15" s="660">
        <f>+'Asset Classification'!V15</f>
        <v>0</v>
      </c>
      <c r="AJ15" s="659">
        <f>+'Asset Classification'!W15</f>
        <v>160630</v>
      </c>
      <c r="AK15" s="654">
        <f t="shared" si="15"/>
        <v>160630</v>
      </c>
      <c r="AL15" s="654">
        <f t="shared" si="16"/>
        <v>0</v>
      </c>
      <c r="AM15" s="660">
        <f>+'Asset Classification'!X15</f>
        <v>0</v>
      </c>
      <c r="AN15" s="654">
        <f t="shared" si="17"/>
        <v>0</v>
      </c>
      <c r="AO15" s="654">
        <f t="shared" si="18"/>
        <v>0</v>
      </c>
      <c r="AP15" s="641">
        <f t="shared" si="19"/>
        <v>1296614</v>
      </c>
      <c r="AQ15" s="641">
        <f t="shared" si="19"/>
        <v>1390816</v>
      </c>
      <c r="AR15" s="641">
        <f t="shared" si="20"/>
        <v>-94202</v>
      </c>
      <c r="AS15" s="654">
        <f t="shared" si="0"/>
        <v>0</v>
      </c>
      <c r="AT15" s="654">
        <f t="shared" si="0"/>
        <v>0</v>
      </c>
      <c r="AU15" s="654">
        <f t="shared" si="21"/>
        <v>0</v>
      </c>
      <c r="AV15" s="655">
        <f>+'Aging Analysis'!C13</f>
        <v>82687816</v>
      </c>
      <c r="AW15" s="656"/>
      <c r="AX15" s="656"/>
      <c r="AY15" s="656"/>
      <c r="AZ15" s="656"/>
      <c r="BA15" s="656"/>
      <c r="BB15" s="656"/>
      <c r="BC15" s="656"/>
    </row>
    <row r="16" spans="1:55" s="276" customFormat="1" ht="14.25" customHeight="1">
      <c r="A16" s="652"/>
      <c r="B16" s="657" t="s">
        <v>670</v>
      </c>
      <c r="C16" s="653">
        <f>+'Asset Classification'!C16</f>
        <v>0</v>
      </c>
      <c r="D16" s="654">
        <f>+'Asset Classification'!D16</f>
        <v>0</v>
      </c>
      <c r="E16" s="659">
        <f>+'Asset Classification'!E16</f>
        <v>0</v>
      </c>
      <c r="F16" s="660">
        <f>+'Asset Classification'!F16</f>
        <v>0</v>
      </c>
      <c r="G16" s="659">
        <f>+'Asset Classification'!G16</f>
        <v>0</v>
      </c>
      <c r="H16" s="654">
        <f t="shared" si="1"/>
        <v>0</v>
      </c>
      <c r="I16" s="654">
        <f t="shared" si="2"/>
        <v>0</v>
      </c>
      <c r="J16" s="659">
        <f>+'Asset Classification'!I16</f>
        <v>0</v>
      </c>
      <c r="K16" s="660">
        <f>+'Asset Classification'!J16</f>
        <v>0</v>
      </c>
      <c r="L16" s="659">
        <f>+'Asset Classification'!K16</f>
        <v>0</v>
      </c>
      <c r="M16" s="654">
        <f t="shared" si="3"/>
        <v>0</v>
      </c>
      <c r="N16" s="654">
        <f t="shared" si="4"/>
        <v>0</v>
      </c>
      <c r="O16" s="660">
        <f>+'Asset Classification'!L16</f>
        <v>0</v>
      </c>
      <c r="P16" s="654">
        <f t="shared" si="5"/>
        <v>0</v>
      </c>
      <c r="Q16" s="654">
        <f t="shared" si="6"/>
        <v>0</v>
      </c>
      <c r="R16" s="659">
        <f>+'Asset Classification'!M16</f>
        <v>0</v>
      </c>
      <c r="S16" s="660">
        <f>+'Asset Classification'!N16</f>
        <v>0</v>
      </c>
      <c r="T16" s="659">
        <f>+'Asset Classification'!O16</f>
        <v>0</v>
      </c>
      <c r="U16" s="654">
        <f t="shared" si="7"/>
        <v>0</v>
      </c>
      <c r="V16" s="654">
        <f t="shared" si="8"/>
        <v>0</v>
      </c>
      <c r="W16" s="660">
        <f>+'Asset Classification'!P16</f>
        <v>0</v>
      </c>
      <c r="X16" s="654">
        <f t="shared" si="9"/>
        <v>0</v>
      </c>
      <c r="Y16" s="654">
        <f t="shared" si="10"/>
        <v>0</v>
      </c>
      <c r="Z16" s="659">
        <f>+'Asset Classification'!Q16</f>
        <v>0</v>
      </c>
      <c r="AA16" s="660">
        <f>+'Asset Classification'!R16</f>
        <v>0</v>
      </c>
      <c r="AB16" s="659">
        <f>+'Asset Classification'!S16</f>
        <v>0</v>
      </c>
      <c r="AC16" s="654">
        <f t="shared" si="11"/>
        <v>0</v>
      </c>
      <c r="AD16" s="654">
        <f t="shared" si="12"/>
        <v>0</v>
      </c>
      <c r="AE16" s="660">
        <f>+'Asset Classification'!T16</f>
        <v>0</v>
      </c>
      <c r="AF16" s="654">
        <f t="shared" si="13"/>
        <v>0</v>
      </c>
      <c r="AG16" s="654">
        <f t="shared" si="14"/>
        <v>0</v>
      </c>
      <c r="AH16" s="659">
        <f>+'Asset Classification'!U16</f>
        <v>0</v>
      </c>
      <c r="AI16" s="660">
        <f>+'Asset Classification'!V16</f>
        <v>0</v>
      </c>
      <c r="AJ16" s="659">
        <f>+'Asset Classification'!W16</f>
        <v>0</v>
      </c>
      <c r="AK16" s="654">
        <f t="shared" si="15"/>
        <v>0</v>
      </c>
      <c r="AL16" s="654">
        <f t="shared" si="16"/>
        <v>0</v>
      </c>
      <c r="AM16" s="660">
        <f>+'Asset Classification'!X16</f>
        <v>0</v>
      </c>
      <c r="AN16" s="654">
        <f t="shared" si="17"/>
        <v>0</v>
      </c>
      <c r="AO16" s="654">
        <f t="shared" si="18"/>
        <v>0</v>
      </c>
      <c r="AP16" s="641">
        <f t="shared" si="19"/>
        <v>0</v>
      </c>
      <c r="AQ16" s="641">
        <f t="shared" si="19"/>
        <v>0</v>
      </c>
      <c r="AR16" s="641">
        <f t="shared" si="20"/>
        <v>0</v>
      </c>
      <c r="AS16" s="654">
        <f t="shared" si="0"/>
        <v>0</v>
      </c>
      <c r="AT16" s="654">
        <f t="shared" si="0"/>
        <v>0</v>
      </c>
      <c r="AU16" s="654">
        <f t="shared" si="21"/>
        <v>0</v>
      </c>
      <c r="AW16" s="656"/>
      <c r="AX16" s="656"/>
      <c r="AY16" s="656"/>
      <c r="AZ16" s="656"/>
      <c r="BA16" s="656"/>
      <c r="BB16" s="656"/>
      <c r="BC16" s="656"/>
    </row>
    <row r="17" spans="1:55" s="276" customFormat="1" ht="23.25" customHeight="1">
      <c r="A17" s="652">
        <v>6</v>
      </c>
      <c r="B17" s="169" t="s">
        <v>403</v>
      </c>
      <c r="C17" s="653">
        <f>+'Asset Classification'!C17</f>
        <v>1377755770</v>
      </c>
      <c r="D17" s="654">
        <f>+'Asset Classification'!D17</f>
        <v>527065251</v>
      </c>
      <c r="E17" s="659">
        <f>+'Asset Classification'!E17</f>
        <v>1223105546</v>
      </c>
      <c r="F17" s="660">
        <f>+'Asset Classification'!F17</f>
        <v>496515520</v>
      </c>
      <c r="G17" s="659">
        <f>+'Asset Classification'!G17</f>
        <v>0</v>
      </c>
      <c r="H17" s="654">
        <f t="shared" si="1"/>
        <v>12231055.460000001</v>
      </c>
      <c r="I17" s="654">
        <f t="shared" si="2"/>
        <v>-12231055.460000001</v>
      </c>
      <c r="J17" s="659">
        <f>+'Asset Classification'!I17</f>
        <v>143619938</v>
      </c>
      <c r="K17" s="660">
        <f>+'Asset Classification'!J17</f>
        <v>29957368</v>
      </c>
      <c r="L17" s="659">
        <f>+'Asset Classification'!K17</f>
        <v>6353725</v>
      </c>
      <c r="M17" s="654">
        <f t="shared" si="3"/>
        <v>14361993.800000001</v>
      </c>
      <c r="N17" s="654">
        <f t="shared" si="4"/>
        <v>-8008268.8000000007</v>
      </c>
      <c r="O17" s="660">
        <f>+'Asset Classification'!L17</f>
        <v>261722</v>
      </c>
      <c r="P17" s="654">
        <f t="shared" si="5"/>
        <v>2995736.8000000003</v>
      </c>
      <c r="Q17" s="654">
        <f t="shared" si="6"/>
        <v>-2734014.8000000003</v>
      </c>
      <c r="R17" s="659">
        <f>+'Asset Classification'!M17</f>
        <v>1163220</v>
      </c>
      <c r="S17" s="660">
        <f>+'Asset Classification'!N17</f>
        <v>0</v>
      </c>
      <c r="T17" s="659">
        <f>+'Asset Classification'!O17</f>
        <v>99386</v>
      </c>
      <c r="U17" s="654">
        <f t="shared" si="7"/>
        <v>290805</v>
      </c>
      <c r="V17" s="654">
        <f t="shared" si="8"/>
        <v>-191419</v>
      </c>
      <c r="W17" s="660">
        <f>+'Asset Classification'!P17</f>
        <v>0</v>
      </c>
      <c r="X17" s="654">
        <f t="shared" si="9"/>
        <v>0</v>
      </c>
      <c r="Y17" s="654">
        <f t="shared" si="10"/>
        <v>0</v>
      </c>
      <c r="Z17" s="659">
        <f>+'Asset Classification'!Q17</f>
        <v>6577274</v>
      </c>
      <c r="AA17" s="660">
        <f>+'Asset Classification'!R17</f>
        <v>0</v>
      </c>
      <c r="AB17" s="659">
        <f>+'Asset Classification'!S17</f>
        <v>1586327</v>
      </c>
      <c r="AC17" s="654">
        <f t="shared" si="11"/>
        <v>3288637</v>
      </c>
      <c r="AD17" s="654">
        <f t="shared" si="12"/>
        <v>-1702310</v>
      </c>
      <c r="AE17" s="660">
        <f>+'Asset Classification'!T17</f>
        <v>0</v>
      </c>
      <c r="AF17" s="654">
        <f t="shared" si="13"/>
        <v>0</v>
      </c>
      <c r="AG17" s="654">
        <f t="shared" si="14"/>
        <v>0</v>
      </c>
      <c r="AH17" s="659">
        <f>+'Asset Classification'!U17</f>
        <v>3289792</v>
      </c>
      <c r="AI17" s="660">
        <f>+'Asset Classification'!V17</f>
        <v>592363</v>
      </c>
      <c r="AJ17" s="659">
        <f>+'Asset Classification'!W17</f>
        <v>1829070</v>
      </c>
      <c r="AK17" s="654">
        <f t="shared" si="15"/>
        <v>3289792</v>
      </c>
      <c r="AL17" s="654">
        <f t="shared" si="16"/>
        <v>-1460722</v>
      </c>
      <c r="AM17" s="660">
        <f>+'Asset Classification'!X17</f>
        <v>592364</v>
      </c>
      <c r="AN17" s="654">
        <f t="shared" si="17"/>
        <v>592363</v>
      </c>
      <c r="AO17" s="654">
        <f t="shared" si="18"/>
        <v>1</v>
      </c>
      <c r="AP17" s="641">
        <f t="shared" si="19"/>
        <v>9868508</v>
      </c>
      <c r="AQ17" s="641">
        <f t="shared" si="19"/>
        <v>21231227.800000001</v>
      </c>
      <c r="AR17" s="641">
        <f t="shared" si="20"/>
        <v>-11362719.800000001</v>
      </c>
      <c r="AS17" s="654">
        <f t="shared" si="0"/>
        <v>854086</v>
      </c>
      <c r="AT17" s="654">
        <f t="shared" si="0"/>
        <v>3588099.8000000003</v>
      </c>
      <c r="AU17" s="654">
        <f t="shared" si="21"/>
        <v>-2734013.8000000003</v>
      </c>
      <c r="AV17" s="655">
        <f>+'Aging Analysis'!C14</f>
        <v>1377755770</v>
      </c>
      <c r="AW17" s="656"/>
      <c r="AX17" s="656"/>
      <c r="AY17" s="656"/>
      <c r="AZ17" s="656"/>
      <c r="BA17" s="656"/>
      <c r="BB17" s="656"/>
      <c r="BC17" s="656"/>
    </row>
    <row r="18" spans="1:55" s="276" customFormat="1" ht="14.25" customHeight="1">
      <c r="A18" s="652"/>
      <c r="B18" s="657" t="s">
        <v>670</v>
      </c>
      <c r="C18" s="653">
        <f>+'Asset Classification'!C18</f>
        <v>0</v>
      </c>
      <c r="D18" s="654">
        <f>+'Asset Classification'!D18</f>
        <v>0</v>
      </c>
      <c r="E18" s="659">
        <f>+'Asset Classification'!E18</f>
        <v>0</v>
      </c>
      <c r="F18" s="660">
        <f>+'Asset Classification'!F18</f>
        <v>0</v>
      </c>
      <c r="G18" s="659">
        <f>+'Asset Classification'!G18</f>
        <v>0</v>
      </c>
      <c r="H18" s="654">
        <f t="shared" si="1"/>
        <v>0</v>
      </c>
      <c r="I18" s="654">
        <f t="shared" si="2"/>
        <v>0</v>
      </c>
      <c r="J18" s="659">
        <f>+'Asset Classification'!I18</f>
        <v>0</v>
      </c>
      <c r="K18" s="660">
        <f>+'Asset Classification'!J18</f>
        <v>0</v>
      </c>
      <c r="L18" s="659">
        <f>+'Asset Classification'!K18</f>
        <v>0</v>
      </c>
      <c r="M18" s="654">
        <f t="shared" si="3"/>
        <v>0</v>
      </c>
      <c r="N18" s="654">
        <f t="shared" si="4"/>
        <v>0</v>
      </c>
      <c r="O18" s="660">
        <f>+'Asset Classification'!L18</f>
        <v>0</v>
      </c>
      <c r="P18" s="654">
        <f t="shared" si="5"/>
        <v>0</v>
      </c>
      <c r="Q18" s="654">
        <f t="shared" si="6"/>
        <v>0</v>
      </c>
      <c r="R18" s="659">
        <f>+'Asset Classification'!M18</f>
        <v>0</v>
      </c>
      <c r="S18" s="660">
        <f>+'Asset Classification'!N18</f>
        <v>0</v>
      </c>
      <c r="T18" s="659">
        <f>+'Asset Classification'!O18</f>
        <v>0</v>
      </c>
      <c r="U18" s="654">
        <f t="shared" si="7"/>
        <v>0</v>
      </c>
      <c r="V18" s="654">
        <f t="shared" si="8"/>
        <v>0</v>
      </c>
      <c r="W18" s="660">
        <f>+'Asset Classification'!P18</f>
        <v>0</v>
      </c>
      <c r="X18" s="654">
        <f t="shared" si="9"/>
        <v>0</v>
      </c>
      <c r="Y18" s="654">
        <f t="shared" si="10"/>
        <v>0</v>
      </c>
      <c r="Z18" s="659">
        <f>+'Asset Classification'!Q18</f>
        <v>0</v>
      </c>
      <c r="AA18" s="660">
        <f>+'Asset Classification'!R18</f>
        <v>0</v>
      </c>
      <c r="AB18" s="659">
        <f>+'Asset Classification'!S18</f>
        <v>0</v>
      </c>
      <c r="AC18" s="654">
        <f t="shared" si="11"/>
        <v>0</v>
      </c>
      <c r="AD18" s="654">
        <f t="shared" si="12"/>
        <v>0</v>
      </c>
      <c r="AE18" s="660">
        <f>+'Asset Classification'!T18</f>
        <v>0</v>
      </c>
      <c r="AF18" s="654">
        <f t="shared" si="13"/>
        <v>0</v>
      </c>
      <c r="AG18" s="654">
        <f t="shared" si="14"/>
        <v>0</v>
      </c>
      <c r="AH18" s="659">
        <f>+'Asset Classification'!U18</f>
        <v>0</v>
      </c>
      <c r="AI18" s="660">
        <f>+'Asset Classification'!V18</f>
        <v>0</v>
      </c>
      <c r="AJ18" s="659">
        <f>+'Asset Classification'!W18</f>
        <v>0</v>
      </c>
      <c r="AK18" s="654">
        <f t="shared" si="15"/>
        <v>0</v>
      </c>
      <c r="AL18" s="654">
        <f t="shared" si="16"/>
        <v>0</v>
      </c>
      <c r="AM18" s="660">
        <f>+'Asset Classification'!X18</f>
        <v>0</v>
      </c>
      <c r="AN18" s="654">
        <f t="shared" si="17"/>
        <v>0</v>
      </c>
      <c r="AO18" s="654">
        <f t="shared" si="18"/>
        <v>0</v>
      </c>
      <c r="AP18" s="641">
        <f t="shared" si="19"/>
        <v>0</v>
      </c>
      <c r="AQ18" s="641">
        <f t="shared" si="19"/>
        <v>0</v>
      </c>
      <c r="AR18" s="641">
        <f t="shared" si="20"/>
        <v>0</v>
      </c>
      <c r="AS18" s="654">
        <f t="shared" si="0"/>
        <v>0</v>
      </c>
      <c r="AT18" s="654">
        <f t="shared" si="0"/>
        <v>0</v>
      </c>
      <c r="AU18" s="654">
        <f t="shared" si="21"/>
        <v>0</v>
      </c>
      <c r="AW18" s="656"/>
      <c r="AX18" s="656"/>
      <c r="AY18" s="656"/>
      <c r="AZ18" s="656"/>
      <c r="BA18" s="656"/>
      <c r="BB18" s="656"/>
      <c r="BC18" s="656"/>
    </row>
    <row r="19" spans="1:55" s="276" customFormat="1" ht="23.25" customHeight="1">
      <c r="A19" s="652">
        <v>7</v>
      </c>
      <c r="B19" s="169" t="s">
        <v>404</v>
      </c>
      <c r="C19" s="653">
        <f>+'Asset Classification'!C19</f>
        <v>6847944102</v>
      </c>
      <c r="D19" s="654">
        <f>+'Asset Classification'!D19</f>
        <v>3109387449</v>
      </c>
      <c r="E19" s="659">
        <f>+'Asset Classification'!E19</f>
        <v>4862399861</v>
      </c>
      <c r="F19" s="660">
        <f>+'Asset Classification'!F19</f>
        <v>2271450246</v>
      </c>
      <c r="G19" s="659">
        <f>+'Asset Classification'!G19</f>
        <v>29230895</v>
      </c>
      <c r="H19" s="654">
        <f t="shared" si="1"/>
        <v>48623998.609999999</v>
      </c>
      <c r="I19" s="654">
        <f t="shared" si="2"/>
        <v>-19393103.609999999</v>
      </c>
      <c r="J19" s="659">
        <f>+'Asset Classification'!I19</f>
        <v>1752234657</v>
      </c>
      <c r="K19" s="660">
        <f>+'Asset Classification'!J19</f>
        <v>825783161</v>
      </c>
      <c r="L19" s="659">
        <f>+'Asset Classification'!K19</f>
        <v>89993078</v>
      </c>
      <c r="M19" s="654">
        <f t="shared" si="3"/>
        <v>175223465.70000002</v>
      </c>
      <c r="N19" s="654">
        <f t="shared" si="4"/>
        <v>-85230387.700000018</v>
      </c>
      <c r="O19" s="660">
        <f>+'Asset Classification'!L19</f>
        <v>55830129</v>
      </c>
      <c r="P19" s="654">
        <f t="shared" si="5"/>
        <v>82578316.100000009</v>
      </c>
      <c r="Q19" s="654">
        <f t="shared" si="6"/>
        <v>-26748187.100000009</v>
      </c>
      <c r="R19" s="659">
        <f>+'Asset Classification'!M19</f>
        <v>25792059</v>
      </c>
      <c r="S19" s="660">
        <f>+'Asset Classification'!N19</f>
        <v>0</v>
      </c>
      <c r="T19" s="659">
        <f>+'Asset Classification'!O19</f>
        <v>40013972</v>
      </c>
      <c r="U19" s="654">
        <f t="shared" si="7"/>
        <v>6448014.75</v>
      </c>
      <c r="V19" s="654">
        <f t="shared" si="8"/>
        <v>33565957.25</v>
      </c>
      <c r="W19" s="660">
        <f>+'Asset Classification'!P19</f>
        <v>0</v>
      </c>
      <c r="X19" s="654">
        <f t="shared" si="9"/>
        <v>0</v>
      </c>
      <c r="Y19" s="654">
        <f t="shared" si="10"/>
        <v>0</v>
      </c>
      <c r="Z19" s="659">
        <f>+'Asset Classification'!Q19</f>
        <v>115831390</v>
      </c>
      <c r="AA19" s="660">
        <f>+'Asset Classification'!R19</f>
        <v>4142609</v>
      </c>
      <c r="AB19" s="659">
        <f>+'Asset Classification'!S19</f>
        <v>6627648</v>
      </c>
      <c r="AC19" s="654">
        <f t="shared" si="11"/>
        <v>57915695</v>
      </c>
      <c r="AD19" s="654">
        <f t="shared" si="12"/>
        <v>-51288047</v>
      </c>
      <c r="AE19" s="660">
        <f>+'Asset Classification'!T19</f>
        <v>1655738</v>
      </c>
      <c r="AF19" s="654">
        <f t="shared" si="13"/>
        <v>2071304.5</v>
      </c>
      <c r="AG19" s="654">
        <f t="shared" si="14"/>
        <v>-415566.5</v>
      </c>
      <c r="AH19" s="659">
        <f>+'Asset Classification'!U19</f>
        <v>91686135</v>
      </c>
      <c r="AI19" s="660">
        <f>+'Asset Classification'!V19</f>
        <v>8011433</v>
      </c>
      <c r="AJ19" s="659">
        <f>+'Asset Classification'!W19</f>
        <v>106083021</v>
      </c>
      <c r="AK19" s="654">
        <f t="shared" si="15"/>
        <v>91686135</v>
      </c>
      <c r="AL19" s="654">
        <f t="shared" si="16"/>
        <v>14396886</v>
      </c>
      <c r="AM19" s="660">
        <f>+'Asset Classification'!X19</f>
        <v>8011432</v>
      </c>
      <c r="AN19" s="654">
        <f t="shared" si="17"/>
        <v>8011433</v>
      </c>
      <c r="AO19" s="654">
        <f t="shared" si="18"/>
        <v>-1</v>
      </c>
      <c r="AP19" s="641">
        <f t="shared" si="19"/>
        <v>242717719</v>
      </c>
      <c r="AQ19" s="641">
        <f t="shared" si="19"/>
        <v>331273310.45000005</v>
      </c>
      <c r="AR19" s="641">
        <f t="shared" si="20"/>
        <v>-88555591.450000048</v>
      </c>
      <c r="AS19" s="654">
        <f t="shared" si="0"/>
        <v>65497299</v>
      </c>
      <c r="AT19" s="654">
        <f t="shared" si="0"/>
        <v>92661053.600000009</v>
      </c>
      <c r="AU19" s="654">
        <f t="shared" si="21"/>
        <v>-27163754.600000009</v>
      </c>
      <c r="AV19" s="655">
        <f>+'Aging Analysis'!C15</f>
        <v>6847944103</v>
      </c>
      <c r="AW19" s="656"/>
      <c r="AX19" s="656"/>
      <c r="AY19" s="656"/>
      <c r="AZ19" s="656"/>
      <c r="BA19" s="656"/>
      <c r="BB19" s="656"/>
      <c r="BC19" s="656"/>
    </row>
    <row r="20" spans="1:55" s="276" customFormat="1" ht="14.25" customHeight="1">
      <c r="A20" s="652"/>
      <c r="B20" s="657" t="s">
        <v>670</v>
      </c>
      <c r="C20" s="653">
        <f>+'Asset Classification'!C20</f>
        <v>0</v>
      </c>
      <c r="D20" s="654">
        <f>+'Asset Classification'!D20</f>
        <v>0</v>
      </c>
      <c r="E20" s="659">
        <f>+'Asset Classification'!E20</f>
        <v>0</v>
      </c>
      <c r="F20" s="660">
        <f>+'Asset Classification'!F20</f>
        <v>0</v>
      </c>
      <c r="G20" s="659">
        <f>+'Asset Classification'!G20</f>
        <v>0</v>
      </c>
      <c r="H20" s="654">
        <f t="shared" si="1"/>
        <v>0</v>
      </c>
      <c r="I20" s="654">
        <f t="shared" si="2"/>
        <v>0</v>
      </c>
      <c r="J20" s="659">
        <f>+'Asset Classification'!I20</f>
        <v>0</v>
      </c>
      <c r="K20" s="660">
        <f>+'Asset Classification'!J20</f>
        <v>0</v>
      </c>
      <c r="L20" s="659">
        <f>+'Asset Classification'!K20</f>
        <v>0</v>
      </c>
      <c r="M20" s="654">
        <f t="shared" si="3"/>
        <v>0</v>
      </c>
      <c r="N20" s="654">
        <f t="shared" si="4"/>
        <v>0</v>
      </c>
      <c r="O20" s="660">
        <f>+'Asset Classification'!L20</f>
        <v>0</v>
      </c>
      <c r="P20" s="654">
        <f t="shared" si="5"/>
        <v>0</v>
      </c>
      <c r="Q20" s="654">
        <f t="shared" si="6"/>
        <v>0</v>
      </c>
      <c r="R20" s="659">
        <f>+'Asset Classification'!M20</f>
        <v>0</v>
      </c>
      <c r="S20" s="660">
        <f>+'Asset Classification'!N20</f>
        <v>0</v>
      </c>
      <c r="T20" s="659">
        <f>+'Asset Classification'!O20</f>
        <v>0</v>
      </c>
      <c r="U20" s="654">
        <f t="shared" si="7"/>
        <v>0</v>
      </c>
      <c r="V20" s="654">
        <f t="shared" si="8"/>
        <v>0</v>
      </c>
      <c r="W20" s="660">
        <f>+'Asset Classification'!P20</f>
        <v>0</v>
      </c>
      <c r="X20" s="654">
        <f t="shared" si="9"/>
        <v>0</v>
      </c>
      <c r="Y20" s="654">
        <f t="shared" si="10"/>
        <v>0</v>
      </c>
      <c r="Z20" s="659">
        <f>+'Asset Classification'!Q20</f>
        <v>0</v>
      </c>
      <c r="AA20" s="660">
        <f>+'Asset Classification'!R20</f>
        <v>0</v>
      </c>
      <c r="AB20" s="659">
        <f>+'Asset Classification'!S20</f>
        <v>0</v>
      </c>
      <c r="AC20" s="654">
        <f t="shared" si="11"/>
        <v>0</v>
      </c>
      <c r="AD20" s="654">
        <f t="shared" si="12"/>
        <v>0</v>
      </c>
      <c r="AE20" s="660">
        <f>+'Asset Classification'!T20</f>
        <v>0</v>
      </c>
      <c r="AF20" s="654">
        <f t="shared" si="13"/>
        <v>0</v>
      </c>
      <c r="AG20" s="654">
        <f t="shared" si="14"/>
        <v>0</v>
      </c>
      <c r="AH20" s="659">
        <f>+'Asset Classification'!U20</f>
        <v>0</v>
      </c>
      <c r="AI20" s="660">
        <f>+'Asset Classification'!V20</f>
        <v>0</v>
      </c>
      <c r="AJ20" s="659">
        <f>+'Asset Classification'!W20</f>
        <v>0</v>
      </c>
      <c r="AK20" s="654">
        <f t="shared" si="15"/>
        <v>0</v>
      </c>
      <c r="AL20" s="654">
        <f t="shared" si="16"/>
        <v>0</v>
      </c>
      <c r="AM20" s="660">
        <f>+'Asset Classification'!X20</f>
        <v>0</v>
      </c>
      <c r="AN20" s="654">
        <f t="shared" si="17"/>
        <v>0</v>
      </c>
      <c r="AO20" s="654">
        <f t="shared" si="18"/>
        <v>0</v>
      </c>
      <c r="AP20" s="641">
        <f t="shared" si="19"/>
        <v>0</v>
      </c>
      <c r="AQ20" s="641">
        <f t="shared" si="19"/>
        <v>0</v>
      </c>
      <c r="AR20" s="641">
        <f t="shared" si="20"/>
        <v>0</v>
      </c>
      <c r="AS20" s="654">
        <f t="shared" si="0"/>
        <v>0</v>
      </c>
      <c r="AT20" s="654">
        <f t="shared" si="0"/>
        <v>0</v>
      </c>
      <c r="AU20" s="654">
        <f t="shared" si="21"/>
        <v>0</v>
      </c>
      <c r="AW20" s="656"/>
      <c r="AX20" s="656"/>
      <c r="AY20" s="656"/>
      <c r="AZ20" s="656"/>
      <c r="BA20" s="656"/>
      <c r="BB20" s="656"/>
      <c r="BC20" s="656"/>
    </row>
    <row r="21" spans="1:55" s="276" customFormat="1" ht="23.25" customHeight="1">
      <c r="A21" s="652">
        <v>8</v>
      </c>
      <c r="B21" s="169" t="s">
        <v>673</v>
      </c>
      <c r="C21" s="653">
        <f>+'Asset Classification'!C21</f>
        <v>229585212</v>
      </c>
      <c r="D21" s="654">
        <f>+'Asset Classification'!D21</f>
        <v>101269242</v>
      </c>
      <c r="E21" s="659">
        <f>+'Asset Classification'!E21</f>
        <v>160872982</v>
      </c>
      <c r="F21" s="660">
        <f>+'Asset Classification'!F21</f>
        <v>72744186</v>
      </c>
      <c r="G21" s="659">
        <f>+'Asset Classification'!G21</f>
        <v>0</v>
      </c>
      <c r="H21" s="654">
        <f t="shared" si="1"/>
        <v>1608729.82</v>
      </c>
      <c r="I21" s="654">
        <f t="shared" si="2"/>
        <v>-1608729.82</v>
      </c>
      <c r="J21" s="659">
        <f>+'Asset Classification'!I21</f>
        <v>57999770</v>
      </c>
      <c r="K21" s="660">
        <f>+'Asset Classification'!J21</f>
        <v>28525056</v>
      </c>
      <c r="L21" s="659">
        <f>+'Asset Classification'!K21</f>
        <v>3782400</v>
      </c>
      <c r="M21" s="654">
        <f t="shared" si="3"/>
        <v>5799977</v>
      </c>
      <c r="N21" s="654">
        <f t="shared" si="4"/>
        <v>-2017577</v>
      </c>
      <c r="O21" s="660">
        <f>+'Asset Classification'!L21</f>
        <v>1807799</v>
      </c>
      <c r="P21" s="654">
        <f t="shared" si="5"/>
        <v>2852505.6000000001</v>
      </c>
      <c r="Q21" s="654">
        <f t="shared" si="6"/>
        <v>-1044706.6000000001</v>
      </c>
      <c r="R21" s="659">
        <f>+'Asset Classification'!M21</f>
        <v>761591</v>
      </c>
      <c r="S21" s="660">
        <f>+'Asset Classification'!N21</f>
        <v>0</v>
      </c>
      <c r="T21" s="659">
        <f>+'Asset Classification'!O21</f>
        <v>1293</v>
      </c>
      <c r="U21" s="654">
        <f t="shared" si="7"/>
        <v>190397.75</v>
      </c>
      <c r="V21" s="654">
        <f t="shared" si="8"/>
        <v>-189104.75</v>
      </c>
      <c r="W21" s="660">
        <f>+'Asset Classification'!P21</f>
        <v>0</v>
      </c>
      <c r="X21" s="654">
        <f t="shared" si="9"/>
        <v>0</v>
      </c>
      <c r="Y21" s="654">
        <f t="shared" si="10"/>
        <v>0</v>
      </c>
      <c r="Z21" s="659">
        <f>+'Asset Classification'!Q21</f>
        <v>6869333</v>
      </c>
      <c r="AA21" s="660">
        <f>+'Asset Classification'!R21</f>
        <v>0</v>
      </c>
      <c r="AB21" s="659">
        <f>+'Asset Classification'!S21</f>
        <v>2237850</v>
      </c>
      <c r="AC21" s="654">
        <f t="shared" si="11"/>
        <v>3434666.5</v>
      </c>
      <c r="AD21" s="654">
        <f t="shared" si="12"/>
        <v>-1196816.5</v>
      </c>
      <c r="AE21" s="660">
        <f>+'Asset Classification'!T21</f>
        <v>0</v>
      </c>
      <c r="AF21" s="654">
        <f t="shared" si="13"/>
        <v>0</v>
      </c>
      <c r="AG21" s="654">
        <f t="shared" si="14"/>
        <v>0</v>
      </c>
      <c r="AH21" s="659">
        <f>+'Asset Classification'!U21</f>
        <v>3081536</v>
      </c>
      <c r="AI21" s="660">
        <f>+'Asset Classification'!V21</f>
        <v>0</v>
      </c>
      <c r="AJ21" s="659">
        <f>+'Asset Classification'!W21</f>
        <v>1788942</v>
      </c>
      <c r="AK21" s="654">
        <f t="shared" si="15"/>
        <v>3081536</v>
      </c>
      <c r="AL21" s="654">
        <f t="shared" si="16"/>
        <v>-1292594</v>
      </c>
      <c r="AM21" s="660">
        <f>+'Asset Classification'!X21</f>
        <v>0</v>
      </c>
      <c r="AN21" s="654">
        <f t="shared" si="17"/>
        <v>0</v>
      </c>
      <c r="AO21" s="654">
        <f t="shared" si="18"/>
        <v>0</v>
      </c>
      <c r="AP21" s="641">
        <f t="shared" si="19"/>
        <v>7810485</v>
      </c>
      <c r="AQ21" s="641">
        <f t="shared" si="19"/>
        <v>12506577.25</v>
      </c>
      <c r="AR21" s="641">
        <f t="shared" si="20"/>
        <v>-4696092.25</v>
      </c>
      <c r="AS21" s="654">
        <f t="shared" si="0"/>
        <v>1807799</v>
      </c>
      <c r="AT21" s="654">
        <f t="shared" si="0"/>
        <v>2852505.6000000001</v>
      </c>
      <c r="AU21" s="654">
        <f t="shared" si="21"/>
        <v>-1044706.6000000001</v>
      </c>
      <c r="AV21" s="655">
        <f>+'Aging Analysis'!C16</f>
        <v>229585211</v>
      </c>
      <c r="AW21" s="656"/>
      <c r="AX21" s="656"/>
      <c r="AY21" s="656"/>
      <c r="AZ21" s="656"/>
      <c r="BA21" s="656"/>
      <c r="BB21" s="656"/>
      <c r="BC21" s="656"/>
    </row>
    <row r="22" spans="1:55" s="276" customFormat="1" ht="14.25" customHeight="1">
      <c r="A22" s="652"/>
      <c r="B22" s="657" t="s">
        <v>670</v>
      </c>
      <c r="C22" s="653">
        <f>+'Asset Classification'!C22</f>
        <v>0</v>
      </c>
      <c r="D22" s="654">
        <f>+'Asset Classification'!D22</f>
        <v>0</v>
      </c>
      <c r="E22" s="659">
        <f>+'Asset Classification'!E22</f>
        <v>0</v>
      </c>
      <c r="F22" s="660">
        <f>+'Asset Classification'!F22</f>
        <v>0</v>
      </c>
      <c r="G22" s="659">
        <f>+'Asset Classification'!G22</f>
        <v>0</v>
      </c>
      <c r="H22" s="654">
        <f t="shared" si="1"/>
        <v>0</v>
      </c>
      <c r="I22" s="654">
        <f t="shared" si="2"/>
        <v>0</v>
      </c>
      <c r="J22" s="659">
        <f>+'Asset Classification'!I22</f>
        <v>0</v>
      </c>
      <c r="K22" s="660">
        <f>+'Asset Classification'!J22</f>
        <v>0</v>
      </c>
      <c r="L22" s="659">
        <f>+'Asset Classification'!K22</f>
        <v>0</v>
      </c>
      <c r="M22" s="654">
        <f t="shared" si="3"/>
        <v>0</v>
      </c>
      <c r="N22" s="654">
        <f t="shared" si="4"/>
        <v>0</v>
      </c>
      <c r="O22" s="660">
        <f>+'Asset Classification'!L22</f>
        <v>0</v>
      </c>
      <c r="P22" s="654">
        <f t="shared" si="5"/>
        <v>0</v>
      </c>
      <c r="Q22" s="654">
        <f t="shared" si="6"/>
        <v>0</v>
      </c>
      <c r="R22" s="659">
        <f>+'Asset Classification'!M22</f>
        <v>0</v>
      </c>
      <c r="S22" s="660">
        <f>+'Asset Classification'!N22</f>
        <v>0</v>
      </c>
      <c r="T22" s="659">
        <f>+'Asset Classification'!O22</f>
        <v>0</v>
      </c>
      <c r="U22" s="654">
        <f t="shared" si="7"/>
        <v>0</v>
      </c>
      <c r="V22" s="654">
        <f t="shared" si="8"/>
        <v>0</v>
      </c>
      <c r="W22" s="660">
        <f>+'Asset Classification'!P22</f>
        <v>0</v>
      </c>
      <c r="X22" s="654">
        <f t="shared" si="9"/>
        <v>0</v>
      </c>
      <c r="Y22" s="654">
        <f t="shared" si="10"/>
        <v>0</v>
      </c>
      <c r="Z22" s="659">
        <f>+'Asset Classification'!Q22</f>
        <v>0</v>
      </c>
      <c r="AA22" s="660">
        <f>+'Asset Classification'!R22</f>
        <v>0</v>
      </c>
      <c r="AB22" s="659">
        <f>+'Asset Classification'!S22</f>
        <v>0</v>
      </c>
      <c r="AC22" s="654">
        <f t="shared" si="11"/>
        <v>0</v>
      </c>
      <c r="AD22" s="654">
        <f t="shared" si="12"/>
        <v>0</v>
      </c>
      <c r="AE22" s="660">
        <f>+'Asset Classification'!T22</f>
        <v>0</v>
      </c>
      <c r="AF22" s="654">
        <f t="shared" si="13"/>
        <v>0</v>
      </c>
      <c r="AG22" s="654">
        <f t="shared" si="14"/>
        <v>0</v>
      </c>
      <c r="AH22" s="659">
        <f>+'Asset Classification'!U22</f>
        <v>0</v>
      </c>
      <c r="AI22" s="660">
        <f>+'Asset Classification'!V22</f>
        <v>0</v>
      </c>
      <c r="AJ22" s="659">
        <f>+'Asset Classification'!W22</f>
        <v>0</v>
      </c>
      <c r="AK22" s="654">
        <f t="shared" si="15"/>
        <v>0</v>
      </c>
      <c r="AL22" s="654">
        <f t="shared" si="16"/>
        <v>0</v>
      </c>
      <c r="AM22" s="660">
        <f>+'Asset Classification'!X22</f>
        <v>0</v>
      </c>
      <c r="AN22" s="654">
        <f t="shared" si="17"/>
        <v>0</v>
      </c>
      <c r="AO22" s="654">
        <f t="shared" si="18"/>
        <v>0</v>
      </c>
      <c r="AP22" s="641">
        <f t="shared" si="19"/>
        <v>0</v>
      </c>
      <c r="AQ22" s="641">
        <f t="shared" si="19"/>
        <v>0</v>
      </c>
      <c r="AR22" s="641">
        <f t="shared" si="20"/>
        <v>0</v>
      </c>
      <c r="AS22" s="654">
        <f t="shared" si="0"/>
        <v>0</v>
      </c>
      <c r="AT22" s="654">
        <f t="shared" si="0"/>
        <v>0</v>
      </c>
      <c r="AU22" s="654">
        <f t="shared" si="21"/>
        <v>0</v>
      </c>
      <c r="AW22" s="656"/>
      <c r="AX22" s="656"/>
      <c r="AY22" s="656"/>
      <c r="AZ22" s="656"/>
      <c r="BA22" s="656"/>
      <c r="BB22" s="656"/>
      <c r="BC22" s="656"/>
    </row>
    <row r="23" spans="1:55" s="276" customFormat="1" ht="23.25" customHeight="1">
      <c r="A23" s="652">
        <v>9</v>
      </c>
      <c r="B23" s="169" t="s">
        <v>674</v>
      </c>
      <c r="C23" s="653">
        <f>+'Asset Classification'!C23</f>
        <v>0</v>
      </c>
      <c r="D23" s="654">
        <f>+'Asset Classification'!D23</f>
        <v>0</v>
      </c>
      <c r="E23" s="659">
        <f>+'Asset Classification'!E23</f>
        <v>0</v>
      </c>
      <c r="F23" s="660">
        <f>+'Asset Classification'!F23</f>
        <v>0</v>
      </c>
      <c r="G23" s="659">
        <f>+'Asset Classification'!G23</f>
        <v>0</v>
      </c>
      <c r="H23" s="654">
        <f t="shared" si="1"/>
        <v>0</v>
      </c>
      <c r="I23" s="654">
        <f t="shared" si="2"/>
        <v>0</v>
      </c>
      <c r="J23" s="659">
        <f>+'Asset Classification'!I23</f>
        <v>0</v>
      </c>
      <c r="K23" s="660">
        <f>+'Asset Classification'!J23</f>
        <v>0</v>
      </c>
      <c r="L23" s="659">
        <f>+'Asset Classification'!K23</f>
        <v>0</v>
      </c>
      <c r="M23" s="654">
        <f t="shared" si="3"/>
        <v>0</v>
      </c>
      <c r="N23" s="654">
        <f t="shared" si="4"/>
        <v>0</v>
      </c>
      <c r="O23" s="660">
        <f>+'Asset Classification'!L23</f>
        <v>0</v>
      </c>
      <c r="P23" s="654">
        <f t="shared" si="5"/>
        <v>0</v>
      </c>
      <c r="Q23" s="654">
        <f t="shared" si="6"/>
        <v>0</v>
      </c>
      <c r="R23" s="659">
        <f>+'Asset Classification'!M23</f>
        <v>0</v>
      </c>
      <c r="S23" s="660">
        <f>+'Asset Classification'!N23</f>
        <v>0</v>
      </c>
      <c r="T23" s="659">
        <f>+'Asset Classification'!O23</f>
        <v>0</v>
      </c>
      <c r="U23" s="654">
        <f t="shared" si="7"/>
        <v>0</v>
      </c>
      <c r="V23" s="654">
        <f t="shared" si="8"/>
        <v>0</v>
      </c>
      <c r="W23" s="660">
        <f>+'Asset Classification'!P23</f>
        <v>0</v>
      </c>
      <c r="X23" s="654">
        <f t="shared" si="9"/>
        <v>0</v>
      </c>
      <c r="Y23" s="654">
        <f t="shared" si="10"/>
        <v>0</v>
      </c>
      <c r="Z23" s="659">
        <f>+'Asset Classification'!Q23</f>
        <v>0</v>
      </c>
      <c r="AA23" s="660">
        <f>+'Asset Classification'!R23</f>
        <v>0</v>
      </c>
      <c r="AB23" s="659">
        <f>+'Asset Classification'!S23</f>
        <v>0</v>
      </c>
      <c r="AC23" s="654">
        <f t="shared" si="11"/>
        <v>0</v>
      </c>
      <c r="AD23" s="654">
        <f t="shared" si="12"/>
        <v>0</v>
      </c>
      <c r="AE23" s="660">
        <f>+'Asset Classification'!T23</f>
        <v>0</v>
      </c>
      <c r="AF23" s="654">
        <f t="shared" si="13"/>
        <v>0</v>
      </c>
      <c r="AG23" s="654">
        <f t="shared" si="14"/>
        <v>0</v>
      </c>
      <c r="AH23" s="659">
        <f>+'Asset Classification'!U23</f>
        <v>0</v>
      </c>
      <c r="AI23" s="660">
        <f>+'Asset Classification'!V23</f>
        <v>0</v>
      </c>
      <c r="AJ23" s="659">
        <f>+'Asset Classification'!W23</f>
        <v>0</v>
      </c>
      <c r="AK23" s="654">
        <f t="shared" si="15"/>
        <v>0</v>
      </c>
      <c r="AL23" s="654">
        <f t="shared" si="16"/>
        <v>0</v>
      </c>
      <c r="AM23" s="660">
        <f>+'Asset Classification'!X23</f>
        <v>0</v>
      </c>
      <c r="AN23" s="654">
        <f t="shared" si="17"/>
        <v>0</v>
      </c>
      <c r="AO23" s="654">
        <f t="shared" si="18"/>
        <v>0</v>
      </c>
      <c r="AP23" s="641">
        <f t="shared" si="19"/>
        <v>0</v>
      </c>
      <c r="AQ23" s="641">
        <f t="shared" si="19"/>
        <v>0</v>
      </c>
      <c r="AR23" s="641">
        <f t="shared" si="20"/>
        <v>0</v>
      </c>
      <c r="AS23" s="654">
        <f t="shared" si="0"/>
        <v>0</v>
      </c>
      <c r="AT23" s="654">
        <f t="shared" si="0"/>
        <v>0</v>
      </c>
      <c r="AU23" s="654">
        <f t="shared" si="21"/>
        <v>0</v>
      </c>
      <c r="AV23" s="655">
        <f>+'Aging Analysis'!C17</f>
        <v>0</v>
      </c>
      <c r="AW23" s="656"/>
      <c r="AX23" s="656"/>
      <c r="AY23" s="656"/>
      <c r="AZ23" s="656"/>
      <c r="BA23" s="656"/>
      <c r="BB23" s="656"/>
      <c r="BC23" s="656"/>
    </row>
    <row r="24" spans="1:55" s="276" customFormat="1" ht="14.25" customHeight="1">
      <c r="A24" s="652"/>
      <c r="B24" s="657" t="s">
        <v>670</v>
      </c>
      <c r="C24" s="653">
        <f>+'Asset Classification'!C24</f>
        <v>0</v>
      </c>
      <c r="D24" s="654">
        <f>+'Asset Classification'!D24</f>
        <v>0</v>
      </c>
      <c r="E24" s="659">
        <f>+'Asset Classification'!E24</f>
        <v>0</v>
      </c>
      <c r="F24" s="660">
        <f>+'Asset Classification'!F24</f>
        <v>0</v>
      </c>
      <c r="G24" s="659">
        <f>+'Asset Classification'!G24</f>
        <v>0</v>
      </c>
      <c r="H24" s="654">
        <f t="shared" si="1"/>
        <v>0</v>
      </c>
      <c r="I24" s="654">
        <f t="shared" si="2"/>
        <v>0</v>
      </c>
      <c r="J24" s="659">
        <f>+'Asset Classification'!I24</f>
        <v>0</v>
      </c>
      <c r="K24" s="660">
        <f>+'Asset Classification'!J24</f>
        <v>0</v>
      </c>
      <c r="L24" s="659">
        <f>+'Asset Classification'!K24</f>
        <v>0</v>
      </c>
      <c r="M24" s="654">
        <f t="shared" si="3"/>
        <v>0</v>
      </c>
      <c r="N24" s="654">
        <f t="shared" si="4"/>
        <v>0</v>
      </c>
      <c r="O24" s="660">
        <f>+'Asset Classification'!L24</f>
        <v>0</v>
      </c>
      <c r="P24" s="654">
        <f t="shared" si="5"/>
        <v>0</v>
      </c>
      <c r="Q24" s="654">
        <f t="shared" si="6"/>
        <v>0</v>
      </c>
      <c r="R24" s="659">
        <f>+'Asset Classification'!M24</f>
        <v>0</v>
      </c>
      <c r="S24" s="660">
        <f>+'Asset Classification'!N24</f>
        <v>0</v>
      </c>
      <c r="T24" s="659">
        <f>+'Asset Classification'!O24</f>
        <v>0</v>
      </c>
      <c r="U24" s="654">
        <f t="shared" si="7"/>
        <v>0</v>
      </c>
      <c r="V24" s="654">
        <f t="shared" si="8"/>
        <v>0</v>
      </c>
      <c r="W24" s="660">
        <f>+'Asset Classification'!P24</f>
        <v>0</v>
      </c>
      <c r="X24" s="654">
        <f t="shared" si="9"/>
        <v>0</v>
      </c>
      <c r="Y24" s="654">
        <f t="shared" si="10"/>
        <v>0</v>
      </c>
      <c r="Z24" s="659">
        <f>+'Asset Classification'!Q24</f>
        <v>0</v>
      </c>
      <c r="AA24" s="660">
        <f>+'Asset Classification'!R24</f>
        <v>0</v>
      </c>
      <c r="AB24" s="659">
        <f>+'Asset Classification'!S24</f>
        <v>0</v>
      </c>
      <c r="AC24" s="654">
        <f t="shared" si="11"/>
        <v>0</v>
      </c>
      <c r="AD24" s="654">
        <f t="shared" si="12"/>
        <v>0</v>
      </c>
      <c r="AE24" s="660">
        <f>+'Asset Classification'!T24</f>
        <v>0</v>
      </c>
      <c r="AF24" s="654">
        <f t="shared" si="13"/>
        <v>0</v>
      </c>
      <c r="AG24" s="654">
        <f t="shared" si="14"/>
        <v>0</v>
      </c>
      <c r="AH24" s="659">
        <f>+'Asset Classification'!U24</f>
        <v>0</v>
      </c>
      <c r="AI24" s="660">
        <f>+'Asset Classification'!V24</f>
        <v>0</v>
      </c>
      <c r="AJ24" s="659">
        <f>+'Asset Classification'!W24</f>
        <v>0</v>
      </c>
      <c r="AK24" s="654">
        <f t="shared" si="15"/>
        <v>0</v>
      </c>
      <c r="AL24" s="654">
        <f t="shared" si="16"/>
        <v>0</v>
      </c>
      <c r="AM24" s="660">
        <f>+'Asset Classification'!X24</f>
        <v>0</v>
      </c>
      <c r="AN24" s="654">
        <f t="shared" si="17"/>
        <v>0</v>
      </c>
      <c r="AO24" s="654">
        <f t="shared" si="18"/>
        <v>0</v>
      </c>
      <c r="AP24" s="641">
        <f t="shared" si="19"/>
        <v>0</v>
      </c>
      <c r="AQ24" s="641">
        <f t="shared" si="19"/>
        <v>0</v>
      </c>
      <c r="AR24" s="641">
        <f t="shared" si="20"/>
        <v>0</v>
      </c>
      <c r="AS24" s="654">
        <f t="shared" si="0"/>
        <v>0</v>
      </c>
      <c r="AT24" s="654">
        <f t="shared" si="0"/>
        <v>0</v>
      </c>
      <c r="AU24" s="654">
        <f t="shared" si="21"/>
        <v>0</v>
      </c>
      <c r="AW24" s="656"/>
      <c r="AX24" s="656"/>
      <c r="AY24" s="656"/>
      <c r="AZ24" s="656"/>
      <c r="BA24" s="656"/>
      <c r="BB24" s="656"/>
      <c r="BC24" s="656"/>
    </row>
    <row r="25" spans="1:55" s="276" customFormat="1" ht="23.25" customHeight="1">
      <c r="A25" s="652">
        <v>10</v>
      </c>
      <c r="B25" s="169" t="s">
        <v>675</v>
      </c>
      <c r="C25" s="653">
        <f>+'Asset Classification'!C25</f>
        <v>199265687</v>
      </c>
      <c r="D25" s="654">
        <f>+'Asset Classification'!D25</f>
        <v>785783</v>
      </c>
      <c r="E25" s="659">
        <f>+'Asset Classification'!E25</f>
        <v>180331784</v>
      </c>
      <c r="F25" s="660">
        <f>+'Asset Classification'!F25</f>
        <v>785783</v>
      </c>
      <c r="G25" s="659">
        <f>+'Asset Classification'!G25</f>
        <v>0</v>
      </c>
      <c r="H25" s="654">
        <f t="shared" si="1"/>
        <v>1803317.84</v>
      </c>
      <c r="I25" s="654">
        <f t="shared" si="2"/>
        <v>-1803317.84</v>
      </c>
      <c r="J25" s="659">
        <f>+'Asset Classification'!I25</f>
        <v>18794922</v>
      </c>
      <c r="K25" s="660">
        <f>+'Asset Classification'!J25</f>
        <v>0</v>
      </c>
      <c r="L25" s="659">
        <f>+'Asset Classification'!K25</f>
        <v>467846</v>
      </c>
      <c r="M25" s="654">
        <f t="shared" si="3"/>
        <v>1879492.2000000002</v>
      </c>
      <c r="N25" s="654">
        <f t="shared" si="4"/>
        <v>-1411646.2000000002</v>
      </c>
      <c r="O25" s="660">
        <f>+'Asset Classification'!L25</f>
        <v>0</v>
      </c>
      <c r="P25" s="654">
        <f t="shared" si="5"/>
        <v>0</v>
      </c>
      <c r="Q25" s="654">
        <f t="shared" si="6"/>
        <v>0</v>
      </c>
      <c r="R25" s="659">
        <f>+'Asset Classification'!M25</f>
        <v>105981</v>
      </c>
      <c r="S25" s="660">
        <f>+'Asset Classification'!N25</f>
        <v>0</v>
      </c>
      <c r="T25" s="659">
        <f>+'Asset Classification'!O25</f>
        <v>0</v>
      </c>
      <c r="U25" s="654">
        <f t="shared" si="7"/>
        <v>26495.25</v>
      </c>
      <c r="V25" s="654">
        <f t="shared" si="8"/>
        <v>-26495.25</v>
      </c>
      <c r="W25" s="660">
        <f>+'Asset Classification'!P25</f>
        <v>0</v>
      </c>
      <c r="X25" s="654">
        <f t="shared" si="9"/>
        <v>0</v>
      </c>
      <c r="Y25" s="654">
        <f t="shared" si="10"/>
        <v>0</v>
      </c>
      <c r="Z25" s="659">
        <f>+'Asset Classification'!Q25</f>
        <v>33000</v>
      </c>
      <c r="AA25" s="660">
        <f>+'Asset Classification'!R25</f>
        <v>0</v>
      </c>
      <c r="AB25" s="659">
        <f>+'Asset Classification'!S25</f>
        <v>16500</v>
      </c>
      <c r="AC25" s="654">
        <f t="shared" si="11"/>
        <v>16500</v>
      </c>
      <c r="AD25" s="654">
        <f t="shared" si="12"/>
        <v>0</v>
      </c>
      <c r="AE25" s="660">
        <f>+'Asset Classification'!T25</f>
        <v>0</v>
      </c>
      <c r="AF25" s="654">
        <f t="shared" si="13"/>
        <v>0</v>
      </c>
      <c r="AG25" s="654">
        <f t="shared" si="14"/>
        <v>0</v>
      </c>
      <c r="AH25" s="659">
        <f>+'Asset Classification'!U25</f>
        <v>0</v>
      </c>
      <c r="AI25" s="660">
        <f>+'Asset Classification'!V25</f>
        <v>0</v>
      </c>
      <c r="AJ25" s="659">
        <f>+'Asset Classification'!W25</f>
        <v>0</v>
      </c>
      <c r="AK25" s="654">
        <f t="shared" si="15"/>
        <v>0</v>
      </c>
      <c r="AL25" s="654">
        <f t="shared" si="16"/>
        <v>0</v>
      </c>
      <c r="AM25" s="660">
        <f>+'Asset Classification'!X25</f>
        <v>0</v>
      </c>
      <c r="AN25" s="654">
        <f t="shared" si="17"/>
        <v>0</v>
      </c>
      <c r="AO25" s="654">
        <f t="shared" si="18"/>
        <v>0</v>
      </c>
      <c r="AP25" s="641">
        <f t="shared" si="19"/>
        <v>484346</v>
      </c>
      <c r="AQ25" s="641">
        <f t="shared" si="19"/>
        <v>1922487.4500000002</v>
      </c>
      <c r="AR25" s="641">
        <f t="shared" si="20"/>
        <v>-1438141.4500000002</v>
      </c>
      <c r="AS25" s="654">
        <f t="shared" si="0"/>
        <v>0</v>
      </c>
      <c r="AT25" s="654">
        <f t="shared" si="0"/>
        <v>0</v>
      </c>
      <c r="AU25" s="654">
        <f t="shared" si="21"/>
        <v>0</v>
      </c>
      <c r="AV25" s="655">
        <f>+'Aging Analysis'!C18</f>
        <v>199265686</v>
      </c>
      <c r="AW25" s="656"/>
      <c r="AX25" s="656"/>
      <c r="AY25" s="656"/>
      <c r="AZ25" s="656"/>
      <c r="BA25" s="656"/>
      <c r="BB25" s="656"/>
      <c r="BC25" s="656"/>
    </row>
    <row r="26" spans="1:55" s="276" customFormat="1" ht="14.25" customHeight="1">
      <c r="A26" s="652"/>
      <c r="B26" s="657" t="s">
        <v>670</v>
      </c>
      <c r="C26" s="653">
        <f>+'Asset Classification'!C26</f>
        <v>0</v>
      </c>
      <c r="D26" s="654">
        <f>+'Asset Classification'!D26</f>
        <v>0</v>
      </c>
      <c r="E26" s="659">
        <f>+'Asset Classification'!E26</f>
        <v>0</v>
      </c>
      <c r="F26" s="660">
        <f>+'Asset Classification'!F26</f>
        <v>0</v>
      </c>
      <c r="G26" s="659">
        <f>+'Asset Classification'!G26</f>
        <v>0</v>
      </c>
      <c r="H26" s="654">
        <f t="shared" si="1"/>
        <v>0</v>
      </c>
      <c r="I26" s="654">
        <f t="shared" si="2"/>
        <v>0</v>
      </c>
      <c r="J26" s="659">
        <f>+'Asset Classification'!I26</f>
        <v>0</v>
      </c>
      <c r="K26" s="660">
        <f>+'Asset Classification'!J26</f>
        <v>0</v>
      </c>
      <c r="L26" s="659">
        <f>+'Asset Classification'!K26</f>
        <v>0</v>
      </c>
      <c r="M26" s="654">
        <f t="shared" si="3"/>
        <v>0</v>
      </c>
      <c r="N26" s="654">
        <f t="shared" si="4"/>
        <v>0</v>
      </c>
      <c r="O26" s="660">
        <f>+'Asset Classification'!L26</f>
        <v>0</v>
      </c>
      <c r="P26" s="654">
        <f t="shared" si="5"/>
        <v>0</v>
      </c>
      <c r="Q26" s="654">
        <f t="shared" si="6"/>
        <v>0</v>
      </c>
      <c r="R26" s="659">
        <f>+'Asset Classification'!M26</f>
        <v>0</v>
      </c>
      <c r="S26" s="660">
        <f>+'Asset Classification'!N26</f>
        <v>0</v>
      </c>
      <c r="T26" s="659">
        <f>+'Asset Classification'!O26</f>
        <v>0</v>
      </c>
      <c r="U26" s="654">
        <f t="shared" si="7"/>
        <v>0</v>
      </c>
      <c r="V26" s="654">
        <f t="shared" si="8"/>
        <v>0</v>
      </c>
      <c r="W26" s="660">
        <f>+'Asset Classification'!P26</f>
        <v>0</v>
      </c>
      <c r="X26" s="654">
        <f t="shared" si="9"/>
        <v>0</v>
      </c>
      <c r="Y26" s="654">
        <f t="shared" si="10"/>
        <v>0</v>
      </c>
      <c r="Z26" s="659">
        <f>+'Asset Classification'!Q26</f>
        <v>0</v>
      </c>
      <c r="AA26" s="660">
        <f>+'Asset Classification'!R26</f>
        <v>0</v>
      </c>
      <c r="AB26" s="659">
        <f>+'Asset Classification'!S26</f>
        <v>0</v>
      </c>
      <c r="AC26" s="654">
        <f t="shared" si="11"/>
        <v>0</v>
      </c>
      <c r="AD26" s="654">
        <f t="shared" si="12"/>
        <v>0</v>
      </c>
      <c r="AE26" s="660">
        <f>+'Asset Classification'!T26</f>
        <v>0</v>
      </c>
      <c r="AF26" s="654">
        <f t="shared" si="13"/>
        <v>0</v>
      </c>
      <c r="AG26" s="654">
        <f t="shared" si="14"/>
        <v>0</v>
      </c>
      <c r="AH26" s="659">
        <f>+'Asset Classification'!U26</f>
        <v>0</v>
      </c>
      <c r="AI26" s="660">
        <f>+'Asset Classification'!V26</f>
        <v>0</v>
      </c>
      <c r="AJ26" s="659">
        <f>+'Asset Classification'!W26</f>
        <v>0</v>
      </c>
      <c r="AK26" s="654">
        <f t="shared" si="15"/>
        <v>0</v>
      </c>
      <c r="AL26" s="654">
        <f t="shared" si="16"/>
        <v>0</v>
      </c>
      <c r="AM26" s="660">
        <f>+'Asset Classification'!X26</f>
        <v>0</v>
      </c>
      <c r="AN26" s="654">
        <f t="shared" si="17"/>
        <v>0</v>
      </c>
      <c r="AO26" s="654">
        <f t="shared" si="18"/>
        <v>0</v>
      </c>
      <c r="AP26" s="641">
        <f t="shared" si="19"/>
        <v>0</v>
      </c>
      <c r="AQ26" s="641">
        <f t="shared" si="19"/>
        <v>0</v>
      </c>
      <c r="AR26" s="641">
        <f t="shared" si="20"/>
        <v>0</v>
      </c>
      <c r="AS26" s="654">
        <f t="shared" si="0"/>
        <v>0</v>
      </c>
      <c r="AT26" s="654">
        <f t="shared" si="0"/>
        <v>0</v>
      </c>
      <c r="AU26" s="654">
        <f t="shared" si="21"/>
        <v>0</v>
      </c>
      <c r="AW26" s="656"/>
      <c r="AX26" s="656"/>
      <c r="AY26" s="656"/>
      <c r="AZ26" s="656"/>
      <c r="BA26" s="656"/>
      <c r="BB26" s="656"/>
      <c r="BC26" s="656"/>
    </row>
    <row r="27" spans="1:55" s="276" customFormat="1" ht="23.25" customHeight="1">
      <c r="A27" s="652">
        <v>11</v>
      </c>
      <c r="B27" s="169" t="s">
        <v>676</v>
      </c>
      <c r="C27" s="653">
        <f>+'Asset Classification'!C27</f>
        <v>0</v>
      </c>
      <c r="D27" s="654">
        <f>+'Asset Classification'!D27</f>
        <v>0</v>
      </c>
      <c r="E27" s="659">
        <f>+'Asset Classification'!E27</f>
        <v>0</v>
      </c>
      <c r="F27" s="660">
        <f>+'Asset Classification'!F27</f>
        <v>0</v>
      </c>
      <c r="G27" s="659">
        <f>+'Asset Classification'!G27</f>
        <v>0</v>
      </c>
      <c r="H27" s="654">
        <f t="shared" si="1"/>
        <v>0</v>
      </c>
      <c r="I27" s="654">
        <f t="shared" si="2"/>
        <v>0</v>
      </c>
      <c r="J27" s="659">
        <f>+'Asset Classification'!I27</f>
        <v>0</v>
      </c>
      <c r="K27" s="660">
        <f>+'Asset Classification'!J27</f>
        <v>0</v>
      </c>
      <c r="L27" s="659">
        <f>+'Asset Classification'!K27</f>
        <v>0</v>
      </c>
      <c r="M27" s="654">
        <f t="shared" si="3"/>
        <v>0</v>
      </c>
      <c r="N27" s="654">
        <f t="shared" si="4"/>
        <v>0</v>
      </c>
      <c r="O27" s="660">
        <f>+'Asset Classification'!L27</f>
        <v>0</v>
      </c>
      <c r="P27" s="654">
        <f t="shared" si="5"/>
        <v>0</v>
      </c>
      <c r="Q27" s="654">
        <f t="shared" si="6"/>
        <v>0</v>
      </c>
      <c r="R27" s="659">
        <f>+'Asset Classification'!M27</f>
        <v>0</v>
      </c>
      <c r="S27" s="660">
        <f>+'Asset Classification'!N27</f>
        <v>0</v>
      </c>
      <c r="T27" s="659">
        <f>+'Asset Classification'!O27</f>
        <v>0</v>
      </c>
      <c r="U27" s="654">
        <f t="shared" si="7"/>
        <v>0</v>
      </c>
      <c r="V27" s="654">
        <f t="shared" si="8"/>
        <v>0</v>
      </c>
      <c r="W27" s="660">
        <f>+'Asset Classification'!P27</f>
        <v>0</v>
      </c>
      <c r="X27" s="654">
        <f t="shared" si="9"/>
        <v>0</v>
      </c>
      <c r="Y27" s="654">
        <f t="shared" si="10"/>
        <v>0</v>
      </c>
      <c r="Z27" s="659">
        <f>+'Asset Classification'!Q27</f>
        <v>0</v>
      </c>
      <c r="AA27" s="660">
        <f>+'Asset Classification'!R27</f>
        <v>0</v>
      </c>
      <c r="AB27" s="659">
        <f>+'Asset Classification'!S27</f>
        <v>0</v>
      </c>
      <c r="AC27" s="654">
        <f t="shared" si="11"/>
        <v>0</v>
      </c>
      <c r="AD27" s="654">
        <f t="shared" si="12"/>
        <v>0</v>
      </c>
      <c r="AE27" s="660">
        <f>+'Asset Classification'!T27</f>
        <v>0</v>
      </c>
      <c r="AF27" s="654">
        <f t="shared" si="13"/>
        <v>0</v>
      </c>
      <c r="AG27" s="654">
        <f t="shared" si="14"/>
        <v>0</v>
      </c>
      <c r="AH27" s="659">
        <f>+'Asset Classification'!U27</f>
        <v>0</v>
      </c>
      <c r="AI27" s="660">
        <f>+'Asset Classification'!V27</f>
        <v>0</v>
      </c>
      <c r="AJ27" s="659">
        <f>+'Asset Classification'!W27</f>
        <v>0</v>
      </c>
      <c r="AK27" s="654">
        <f t="shared" si="15"/>
        <v>0</v>
      </c>
      <c r="AL27" s="654">
        <f t="shared" si="16"/>
        <v>0</v>
      </c>
      <c r="AM27" s="660">
        <f>+'Asset Classification'!X27</f>
        <v>0</v>
      </c>
      <c r="AN27" s="654">
        <f t="shared" si="17"/>
        <v>0</v>
      </c>
      <c r="AO27" s="654">
        <f t="shared" si="18"/>
        <v>0</v>
      </c>
      <c r="AP27" s="641">
        <f t="shared" si="19"/>
        <v>0</v>
      </c>
      <c r="AQ27" s="641">
        <f t="shared" si="19"/>
        <v>0</v>
      </c>
      <c r="AR27" s="641">
        <f t="shared" si="20"/>
        <v>0</v>
      </c>
      <c r="AS27" s="654">
        <f t="shared" si="0"/>
        <v>0</v>
      </c>
      <c r="AT27" s="654">
        <f t="shared" si="0"/>
        <v>0</v>
      </c>
      <c r="AU27" s="654">
        <f t="shared" si="21"/>
        <v>0</v>
      </c>
      <c r="AV27" s="655">
        <f>+'Aging Analysis'!C19</f>
        <v>0</v>
      </c>
      <c r="AW27" s="656"/>
      <c r="AX27" s="656"/>
      <c r="AY27" s="656"/>
      <c r="AZ27" s="656"/>
      <c r="BA27" s="656"/>
      <c r="BB27" s="656"/>
      <c r="BC27" s="656"/>
    </row>
    <row r="28" spans="1:55" s="276" customFormat="1" ht="14.25" customHeight="1">
      <c r="A28" s="652"/>
      <c r="B28" s="657" t="s">
        <v>670</v>
      </c>
      <c r="C28" s="653">
        <f>+'Asset Classification'!C28</f>
        <v>0</v>
      </c>
      <c r="D28" s="654">
        <f>+'Asset Classification'!D28</f>
        <v>0</v>
      </c>
      <c r="E28" s="659">
        <f>+'Asset Classification'!E28</f>
        <v>0</v>
      </c>
      <c r="F28" s="660">
        <f>+'Asset Classification'!F28</f>
        <v>0</v>
      </c>
      <c r="G28" s="659">
        <f>+'Asset Classification'!G28</f>
        <v>0</v>
      </c>
      <c r="H28" s="654">
        <f t="shared" si="1"/>
        <v>0</v>
      </c>
      <c r="I28" s="654">
        <f t="shared" si="2"/>
        <v>0</v>
      </c>
      <c r="J28" s="659">
        <f>+'Asset Classification'!I28</f>
        <v>0</v>
      </c>
      <c r="K28" s="660">
        <f>+'Asset Classification'!J28</f>
        <v>0</v>
      </c>
      <c r="L28" s="659">
        <f>+'Asset Classification'!K28</f>
        <v>0</v>
      </c>
      <c r="M28" s="654">
        <f t="shared" si="3"/>
        <v>0</v>
      </c>
      <c r="N28" s="654">
        <f t="shared" si="4"/>
        <v>0</v>
      </c>
      <c r="O28" s="660">
        <f>+'Asset Classification'!L28</f>
        <v>0</v>
      </c>
      <c r="P28" s="654">
        <f t="shared" si="5"/>
        <v>0</v>
      </c>
      <c r="Q28" s="654">
        <f t="shared" si="6"/>
        <v>0</v>
      </c>
      <c r="R28" s="659">
        <f>+'Asset Classification'!M28</f>
        <v>0</v>
      </c>
      <c r="S28" s="660">
        <f>+'Asset Classification'!N28</f>
        <v>0</v>
      </c>
      <c r="T28" s="659">
        <f>+'Asset Classification'!O28</f>
        <v>0</v>
      </c>
      <c r="U28" s="654">
        <f t="shared" si="7"/>
        <v>0</v>
      </c>
      <c r="V28" s="654">
        <f t="shared" si="8"/>
        <v>0</v>
      </c>
      <c r="W28" s="660">
        <f>+'Asset Classification'!P28</f>
        <v>0</v>
      </c>
      <c r="X28" s="654">
        <f t="shared" si="9"/>
        <v>0</v>
      </c>
      <c r="Y28" s="654">
        <f t="shared" si="10"/>
        <v>0</v>
      </c>
      <c r="Z28" s="659">
        <f>+'Asset Classification'!Q28</f>
        <v>0</v>
      </c>
      <c r="AA28" s="660">
        <f>+'Asset Classification'!R28</f>
        <v>0</v>
      </c>
      <c r="AB28" s="659">
        <f>+'Asset Classification'!S28</f>
        <v>0</v>
      </c>
      <c r="AC28" s="654">
        <f t="shared" si="11"/>
        <v>0</v>
      </c>
      <c r="AD28" s="654">
        <f t="shared" si="12"/>
        <v>0</v>
      </c>
      <c r="AE28" s="660">
        <f>+'Asset Classification'!T28</f>
        <v>0</v>
      </c>
      <c r="AF28" s="654">
        <f t="shared" si="13"/>
        <v>0</v>
      </c>
      <c r="AG28" s="654">
        <f t="shared" si="14"/>
        <v>0</v>
      </c>
      <c r="AH28" s="659">
        <f>+'Asset Classification'!U28</f>
        <v>0</v>
      </c>
      <c r="AI28" s="660">
        <f>+'Asset Classification'!V28</f>
        <v>0</v>
      </c>
      <c r="AJ28" s="659">
        <f>+'Asset Classification'!W28</f>
        <v>0</v>
      </c>
      <c r="AK28" s="654">
        <f t="shared" si="15"/>
        <v>0</v>
      </c>
      <c r="AL28" s="654">
        <f t="shared" si="16"/>
        <v>0</v>
      </c>
      <c r="AM28" s="660">
        <f>+'Asset Classification'!X28</f>
        <v>0</v>
      </c>
      <c r="AN28" s="654">
        <f t="shared" si="17"/>
        <v>0</v>
      </c>
      <c r="AO28" s="654">
        <f t="shared" si="18"/>
        <v>0</v>
      </c>
      <c r="AP28" s="641">
        <f t="shared" si="19"/>
        <v>0</v>
      </c>
      <c r="AQ28" s="641">
        <f t="shared" si="19"/>
        <v>0</v>
      </c>
      <c r="AR28" s="641">
        <f t="shared" si="20"/>
        <v>0</v>
      </c>
      <c r="AS28" s="654">
        <f t="shared" si="0"/>
        <v>0</v>
      </c>
      <c r="AT28" s="654">
        <f t="shared" si="0"/>
        <v>0</v>
      </c>
      <c r="AU28" s="654">
        <f t="shared" si="21"/>
        <v>0</v>
      </c>
      <c r="AW28" s="656"/>
      <c r="AX28" s="656"/>
      <c r="AY28" s="656"/>
      <c r="AZ28" s="656"/>
      <c r="BA28" s="656"/>
      <c r="BB28" s="656"/>
      <c r="BC28" s="656"/>
    </row>
    <row r="29" spans="1:55" s="276" customFormat="1" ht="23.25" customHeight="1">
      <c r="A29" s="652">
        <v>12</v>
      </c>
      <c r="B29" s="169" t="s">
        <v>677</v>
      </c>
      <c r="C29" s="653">
        <f>+'Asset Classification'!C29</f>
        <v>0</v>
      </c>
      <c r="D29" s="654">
        <f>+'Asset Classification'!D29</f>
        <v>0</v>
      </c>
      <c r="E29" s="659">
        <f>+'Asset Classification'!E29</f>
        <v>0</v>
      </c>
      <c r="F29" s="660">
        <f>+'Asset Classification'!F29</f>
        <v>0</v>
      </c>
      <c r="G29" s="659">
        <f>+'Asset Classification'!G29</f>
        <v>0</v>
      </c>
      <c r="H29" s="654">
        <f t="shared" si="1"/>
        <v>0</v>
      </c>
      <c r="I29" s="654">
        <f t="shared" si="2"/>
        <v>0</v>
      </c>
      <c r="J29" s="659">
        <f>+'Asset Classification'!I29</f>
        <v>0</v>
      </c>
      <c r="K29" s="660">
        <f>+'Asset Classification'!J29</f>
        <v>0</v>
      </c>
      <c r="L29" s="659">
        <f>+'Asset Classification'!K29</f>
        <v>0</v>
      </c>
      <c r="M29" s="654">
        <f t="shared" si="3"/>
        <v>0</v>
      </c>
      <c r="N29" s="654">
        <f t="shared" si="4"/>
        <v>0</v>
      </c>
      <c r="O29" s="660">
        <f>+'Asset Classification'!L29</f>
        <v>0</v>
      </c>
      <c r="P29" s="654">
        <f t="shared" si="5"/>
        <v>0</v>
      </c>
      <c r="Q29" s="654">
        <f t="shared" si="6"/>
        <v>0</v>
      </c>
      <c r="R29" s="659">
        <f>+'Asset Classification'!M29</f>
        <v>0</v>
      </c>
      <c r="S29" s="660">
        <f>+'Asset Classification'!N29</f>
        <v>0</v>
      </c>
      <c r="T29" s="659">
        <f>+'Asset Classification'!O29</f>
        <v>0</v>
      </c>
      <c r="U29" s="654">
        <f t="shared" si="7"/>
        <v>0</v>
      </c>
      <c r="V29" s="654">
        <f t="shared" si="8"/>
        <v>0</v>
      </c>
      <c r="W29" s="660">
        <f>+'Asset Classification'!P29</f>
        <v>0</v>
      </c>
      <c r="X29" s="654">
        <f t="shared" si="9"/>
        <v>0</v>
      </c>
      <c r="Y29" s="654">
        <f t="shared" si="10"/>
        <v>0</v>
      </c>
      <c r="Z29" s="659">
        <f>+'Asset Classification'!Q29</f>
        <v>0</v>
      </c>
      <c r="AA29" s="660">
        <f>+'Asset Classification'!R29</f>
        <v>0</v>
      </c>
      <c r="AB29" s="659">
        <f>+'Asset Classification'!S29</f>
        <v>0</v>
      </c>
      <c r="AC29" s="654">
        <f t="shared" si="11"/>
        <v>0</v>
      </c>
      <c r="AD29" s="654">
        <f t="shared" si="12"/>
        <v>0</v>
      </c>
      <c r="AE29" s="660">
        <f>+'Asset Classification'!T29</f>
        <v>0</v>
      </c>
      <c r="AF29" s="654">
        <f t="shared" si="13"/>
        <v>0</v>
      </c>
      <c r="AG29" s="654">
        <f t="shared" si="14"/>
        <v>0</v>
      </c>
      <c r="AH29" s="659">
        <f>+'Asset Classification'!U29</f>
        <v>0</v>
      </c>
      <c r="AI29" s="660">
        <f>+'Asset Classification'!V29</f>
        <v>0</v>
      </c>
      <c r="AJ29" s="659">
        <f>+'Asset Classification'!W29</f>
        <v>0</v>
      </c>
      <c r="AK29" s="654">
        <f t="shared" si="15"/>
        <v>0</v>
      </c>
      <c r="AL29" s="654">
        <f t="shared" si="16"/>
        <v>0</v>
      </c>
      <c r="AM29" s="660">
        <f>+'Asset Classification'!X29</f>
        <v>0</v>
      </c>
      <c r="AN29" s="654">
        <f t="shared" si="17"/>
        <v>0</v>
      </c>
      <c r="AO29" s="654">
        <f t="shared" si="18"/>
        <v>0</v>
      </c>
      <c r="AP29" s="641">
        <f t="shared" si="19"/>
        <v>0</v>
      </c>
      <c r="AQ29" s="641">
        <f t="shared" si="19"/>
        <v>0</v>
      </c>
      <c r="AR29" s="641">
        <f t="shared" si="20"/>
        <v>0</v>
      </c>
      <c r="AS29" s="654">
        <f t="shared" si="0"/>
        <v>0</v>
      </c>
      <c r="AT29" s="654">
        <f t="shared" si="0"/>
        <v>0</v>
      </c>
      <c r="AU29" s="654">
        <f t="shared" si="21"/>
        <v>0</v>
      </c>
      <c r="AV29" s="655">
        <f>+'Aging Analysis'!C20</f>
        <v>0</v>
      </c>
      <c r="AW29" s="656"/>
      <c r="AX29" s="656"/>
      <c r="AY29" s="656"/>
      <c r="AZ29" s="656"/>
      <c r="BA29" s="656"/>
      <c r="BB29" s="656"/>
      <c r="BC29" s="656"/>
    </row>
    <row r="30" spans="1:55" s="276" customFormat="1" ht="14.25" customHeight="1">
      <c r="A30" s="652"/>
      <c r="B30" s="657" t="s">
        <v>670</v>
      </c>
      <c r="C30" s="653">
        <f>+'Asset Classification'!C30</f>
        <v>0</v>
      </c>
      <c r="D30" s="654">
        <f>+'Asset Classification'!D30</f>
        <v>0</v>
      </c>
      <c r="E30" s="658">
        <f>+'Asset Classification'!E30</f>
        <v>0</v>
      </c>
      <c r="F30" s="654">
        <f>+'Asset Classification'!F30</f>
        <v>0</v>
      </c>
      <c r="G30" s="658">
        <f>+'Asset Classification'!G30</f>
        <v>0</v>
      </c>
      <c r="H30" s="654">
        <f t="shared" si="1"/>
        <v>0</v>
      </c>
      <c r="I30" s="654">
        <f t="shared" si="2"/>
        <v>0</v>
      </c>
      <c r="J30" s="658">
        <f>+'Asset Classification'!I30</f>
        <v>0</v>
      </c>
      <c r="K30" s="654">
        <f>+'Asset Classification'!J30</f>
        <v>0</v>
      </c>
      <c r="L30" s="658">
        <f>+'Asset Classification'!K30</f>
        <v>0</v>
      </c>
      <c r="M30" s="654">
        <f t="shared" si="3"/>
        <v>0</v>
      </c>
      <c r="N30" s="654">
        <f t="shared" si="4"/>
        <v>0</v>
      </c>
      <c r="O30" s="654">
        <f>+'Asset Classification'!L30</f>
        <v>0</v>
      </c>
      <c r="P30" s="654">
        <f t="shared" si="5"/>
        <v>0</v>
      </c>
      <c r="Q30" s="654">
        <f t="shared" si="6"/>
        <v>0</v>
      </c>
      <c r="R30" s="658">
        <f>+'Asset Classification'!M30</f>
        <v>0</v>
      </c>
      <c r="S30" s="654">
        <f>+'Asset Classification'!N30</f>
        <v>0</v>
      </c>
      <c r="T30" s="658">
        <f>+'Asset Classification'!O30</f>
        <v>0</v>
      </c>
      <c r="U30" s="654">
        <f t="shared" si="7"/>
        <v>0</v>
      </c>
      <c r="V30" s="654">
        <f t="shared" si="8"/>
        <v>0</v>
      </c>
      <c r="W30" s="654">
        <f>+'Asset Classification'!P30</f>
        <v>0</v>
      </c>
      <c r="X30" s="654">
        <f t="shared" si="9"/>
        <v>0</v>
      </c>
      <c r="Y30" s="654">
        <f t="shared" si="10"/>
        <v>0</v>
      </c>
      <c r="Z30" s="658">
        <f>+'Asset Classification'!Q30</f>
        <v>0</v>
      </c>
      <c r="AA30" s="654">
        <f>+'Asset Classification'!R30</f>
        <v>0</v>
      </c>
      <c r="AB30" s="658">
        <f>+'Asset Classification'!S30</f>
        <v>0</v>
      </c>
      <c r="AC30" s="654">
        <f t="shared" si="11"/>
        <v>0</v>
      </c>
      <c r="AD30" s="654">
        <f t="shared" si="12"/>
        <v>0</v>
      </c>
      <c r="AE30" s="654">
        <f>+'Asset Classification'!T30</f>
        <v>0</v>
      </c>
      <c r="AF30" s="654">
        <f t="shared" si="13"/>
        <v>0</v>
      </c>
      <c r="AG30" s="654">
        <f t="shared" si="14"/>
        <v>0</v>
      </c>
      <c r="AH30" s="658">
        <f>+'Asset Classification'!U30</f>
        <v>0</v>
      </c>
      <c r="AI30" s="654">
        <f>+'Asset Classification'!V30</f>
        <v>0</v>
      </c>
      <c r="AJ30" s="658">
        <f>+'Asset Classification'!W30</f>
        <v>0</v>
      </c>
      <c r="AK30" s="654">
        <f t="shared" si="15"/>
        <v>0</v>
      </c>
      <c r="AL30" s="654">
        <f t="shared" si="16"/>
        <v>0</v>
      </c>
      <c r="AM30" s="654">
        <f>+'Asset Classification'!X30</f>
        <v>0</v>
      </c>
      <c r="AN30" s="654">
        <f t="shared" si="17"/>
        <v>0</v>
      </c>
      <c r="AO30" s="654">
        <f t="shared" si="18"/>
        <v>0</v>
      </c>
      <c r="AP30" s="641">
        <f t="shared" si="19"/>
        <v>0</v>
      </c>
      <c r="AQ30" s="641">
        <f t="shared" si="19"/>
        <v>0</v>
      </c>
      <c r="AR30" s="641">
        <f t="shared" si="20"/>
        <v>0</v>
      </c>
      <c r="AS30" s="654">
        <f t="shared" si="0"/>
        <v>0</v>
      </c>
      <c r="AT30" s="654">
        <f t="shared" si="0"/>
        <v>0</v>
      </c>
      <c r="AU30" s="654">
        <f t="shared" si="21"/>
        <v>0</v>
      </c>
      <c r="AV30" s="656"/>
      <c r="AW30" s="656"/>
      <c r="AX30" s="656"/>
      <c r="AY30" s="656"/>
      <c r="AZ30" s="656"/>
      <c r="BA30" s="656"/>
      <c r="BB30" s="656"/>
      <c r="BC30" s="656"/>
    </row>
    <row r="31" spans="1:55" s="651" customFormat="1" ht="28.5" customHeight="1">
      <c r="A31" s="625">
        <v>13</v>
      </c>
      <c r="B31" s="625" t="s">
        <v>678</v>
      </c>
      <c r="C31" s="642">
        <f>+'Asset Classification'!C31</f>
        <v>13318623841</v>
      </c>
      <c r="D31" s="642">
        <f>+'Asset Classification'!D31</f>
        <v>3738507725</v>
      </c>
      <c r="E31" s="642">
        <f>+'Asset Classification'!E31</f>
        <v>10110199259</v>
      </c>
      <c r="F31" s="642">
        <f>+'Asset Classification'!F31</f>
        <v>2841495735</v>
      </c>
      <c r="G31" s="642">
        <f>+'Asset Classification'!G31</f>
        <v>48718159</v>
      </c>
      <c r="H31" s="642">
        <f t="shared" ref="H31:I31" si="22">+H7+H9+H11+H13+H15+H17+H19+H21+H23+H25+H27+H29</f>
        <v>101101992.59</v>
      </c>
      <c r="I31" s="642">
        <f t="shared" si="22"/>
        <v>-52383833.590000011</v>
      </c>
      <c r="J31" s="642">
        <f>+'Asset Classification'!I31</f>
        <v>2572974084</v>
      </c>
      <c r="K31" s="642">
        <f>+'Asset Classification'!J31</f>
        <v>884265585</v>
      </c>
      <c r="L31" s="642">
        <f>+'Asset Classification'!K31</f>
        <v>121192312</v>
      </c>
      <c r="M31" s="642">
        <f t="shared" ref="M31:N31" si="23">+M7+M9+M11+M13+M15+M17+M19+M21+M23+M25+M27+M29</f>
        <v>257297408.40000001</v>
      </c>
      <c r="N31" s="642">
        <f t="shared" si="23"/>
        <v>-136105096.40000001</v>
      </c>
      <c r="O31" s="642">
        <f>+'Asset Classification'!L31</f>
        <v>57899650</v>
      </c>
      <c r="P31" s="642">
        <f t="shared" ref="P31:Q31" si="24">+P7+P9+P11+P13+P15+P17+P19+P21+P23+P25+P27+P29</f>
        <v>88426558.5</v>
      </c>
      <c r="Q31" s="642">
        <f t="shared" si="24"/>
        <v>-30526908.500000011</v>
      </c>
      <c r="R31" s="642">
        <f>+'Asset Classification'!M31</f>
        <v>110817389</v>
      </c>
      <c r="S31" s="642">
        <f>+'Asset Classification'!N31</f>
        <v>0</v>
      </c>
      <c r="T31" s="642">
        <f>+'Asset Classification'!O31</f>
        <v>45776248</v>
      </c>
      <c r="U31" s="642">
        <f t="shared" ref="U31:V31" si="25">+U7+U9+U11+U13+U15+U17+U19+U21+U23+U25+U27+U29</f>
        <v>27704347.25</v>
      </c>
      <c r="V31" s="642">
        <f t="shared" si="25"/>
        <v>18071900.75</v>
      </c>
      <c r="W31" s="642">
        <f>+'Asset Classification'!P31</f>
        <v>0</v>
      </c>
      <c r="X31" s="642">
        <f t="shared" ref="X31:Y31" si="26">+X7+X9+X11+X13+X15+X17+X19+X21+X23+X25+X27+X29</f>
        <v>0</v>
      </c>
      <c r="Y31" s="642">
        <f t="shared" si="26"/>
        <v>0</v>
      </c>
      <c r="Z31" s="642">
        <f>+'Asset Classification'!Q31</f>
        <v>331525438</v>
      </c>
      <c r="AA31" s="642">
        <f>+'Asset Classification'!R31</f>
        <v>4142609</v>
      </c>
      <c r="AB31" s="642">
        <f>+'Asset Classification'!S31</f>
        <v>31254599</v>
      </c>
      <c r="AC31" s="642">
        <f t="shared" ref="AC31:AD31" si="27">+AC7+AC9+AC11+AC13+AC15+AC17+AC19+AC21+AC23+AC25+AC27+AC29</f>
        <v>165762719</v>
      </c>
      <c r="AD31" s="642">
        <f t="shared" si="27"/>
        <v>-134508120</v>
      </c>
      <c r="AE31" s="642">
        <f>+'Asset Classification'!T31</f>
        <v>1655738</v>
      </c>
      <c r="AF31" s="642">
        <f t="shared" ref="AF31:AG31" si="28">+AF7+AF9+AF11+AF13+AF15+AF17+AF19+AF21+AF23+AF25+AF27+AF29</f>
        <v>2071304.5</v>
      </c>
      <c r="AG31" s="642">
        <f t="shared" si="28"/>
        <v>-415566.5</v>
      </c>
      <c r="AH31" s="642">
        <f>+'Asset Classification'!U31</f>
        <v>193107671</v>
      </c>
      <c r="AI31" s="642">
        <f>+'Asset Classification'!V31</f>
        <v>8603796</v>
      </c>
      <c r="AJ31" s="642">
        <f>+'Asset Classification'!W31</f>
        <v>155988148</v>
      </c>
      <c r="AK31" s="642">
        <f t="shared" ref="AK31:AL31" si="29">+AK7+AK9+AK11+AK13+AK15+AK17+AK19+AK21+AK23+AK25+AK27+AK29</f>
        <v>193107671</v>
      </c>
      <c r="AL31" s="642">
        <f t="shared" si="29"/>
        <v>-37119523</v>
      </c>
      <c r="AM31" s="642">
        <f>+'Asset Classification'!X31</f>
        <v>8603796</v>
      </c>
      <c r="AN31" s="642">
        <f t="shared" ref="AN31:AU31" si="30">+AN7+AN9+AN11+AN13+AN15+AN17+AN19+AN21+AN23+AN25+AN27+AN29</f>
        <v>8603796</v>
      </c>
      <c r="AO31" s="642">
        <f t="shared" si="30"/>
        <v>0</v>
      </c>
      <c r="AP31" s="642">
        <f t="shared" si="30"/>
        <v>354211307</v>
      </c>
      <c r="AQ31" s="642">
        <f t="shared" si="30"/>
        <v>643872145.6500001</v>
      </c>
      <c r="AR31" s="642">
        <f t="shared" si="30"/>
        <v>-289660838.65000004</v>
      </c>
      <c r="AS31" s="642">
        <f t="shared" si="30"/>
        <v>68159184</v>
      </c>
      <c r="AT31" s="642">
        <f t="shared" si="30"/>
        <v>99101659</v>
      </c>
      <c r="AU31" s="642">
        <f t="shared" si="30"/>
        <v>-30942475.000000011</v>
      </c>
      <c r="AV31" s="661">
        <f>+'Loans Receivable'!C85</f>
        <v>13318623841</v>
      </c>
    </row>
    <row r="32" spans="1:55" s="276" customFormat="1" ht="13.5" customHeight="1">
      <c r="A32" s="652"/>
      <c r="B32" s="662" t="s">
        <v>670</v>
      </c>
      <c r="C32" s="653">
        <f>+'Asset Classification'!C32</f>
        <v>0</v>
      </c>
      <c r="D32" s="654">
        <f>+'Asset Classification'!D32</f>
        <v>0</v>
      </c>
      <c r="E32" s="658">
        <f>+'Asset Classification'!E32</f>
        <v>0</v>
      </c>
      <c r="F32" s="654">
        <f>+'Asset Classification'!F32</f>
        <v>0</v>
      </c>
      <c r="G32" s="658">
        <f>+'Asset Classification'!G32</f>
        <v>0</v>
      </c>
      <c r="H32" s="654">
        <f t="shared" ref="H32" si="31">+E32*1%</f>
        <v>0</v>
      </c>
      <c r="I32" s="654">
        <f t="shared" ref="I32" si="32">+G32-H32</f>
        <v>0</v>
      </c>
      <c r="J32" s="658">
        <f>+'Asset Classification'!I32</f>
        <v>0</v>
      </c>
      <c r="K32" s="654">
        <f>+'Asset Classification'!J32</f>
        <v>0</v>
      </c>
      <c r="L32" s="658">
        <f>+'Asset Classification'!K32</f>
        <v>0</v>
      </c>
      <c r="M32" s="654">
        <f t="shared" ref="M32" si="33">+J32*10%</f>
        <v>0</v>
      </c>
      <c r="N32" s="654">
        <f t="shared" ref="N32" si="34">+L32-M32</f>
        <v>0</v>
      </c>
      <c r="O32" s="654">
        <f>+'Asset Classification'!L32</f>
        <v>0</v>
      </c>
      <c r="P32" s="654">
        <f t="shared" ref="P32" si="35">+K32*10%</f>
        <v>0</v>
      </c>
      <c r="Q32" s="654">
        <f t="shared" ref="Q32" si="36">+O32-P32</f>
        <v>0</v>
      </c>
      <c r="R32" s="658">
        <f>+'Asset Classification'!M32</f>
        <v>0</v>
      </c>
      <c r="S32" s="654">
        <f>+'Asset Classification'!N32</f>
        <v>0</v>
      </c>
      <c r="T32" s="658">
        <f>+'Asset Classification'!O32</f>
        <v>0</v>
      </c>
      <c r="U32" s="654">
        <f t="shared" ref="U32" si="37">+R32*25%</f>
        <v>0</v>
      </c>
      <c r="V32" s="654">
        <f t="shared" ref="V32" si="38">+T32-U32</f>
        <v>0</v>
      </c>
      <c r="W32" s="654">
        <f>+'Asset Classification'!P32</f>
        <v>0</v>
      </c>
      <c r="X32" s="654">
        <f t="shared" ref="X32" si="39">+S32*25%</f>
        <v>0</v>
      </c>
      <c r="Y32" s="654">
        <f t="shared" ref="Y32" si="40">+W32-X32</f>
        <v>0</v>
      </c>
      <c r="Z32" s="658">
        <f>+'Asset Classification'!Q32</f>
        <v>0</v>
      </c>
      <c r="AA32" s="654">
        <f>+'Asset Classification'!R32</f>
        <v>0</v>
      </c>
      <c r="AB32" s="658">
        <f>+'Asset Classification'!S32</f>
        <v>0</v>
      </c>
      <c r="AC32" s="654">
        <f t="shared" ref="AC32" si="41">+Z32*50%</f>
        <v>0</v>
      </c>
      <c r="AD32" s="654">
        <f t="shared" ref="AD32" si="42">+AB32-AC32</f>
        <v>0</v>
      </c>
      <c r="AE32" s="654">
        <f>+'Asset Classification'!T32</f>
        <v>0</v>
      </c>
      <c r="AF32" s="654">
        <f t="shared" ref="AF32" si="43">+AA32*50%</f>
        <v>0</v>
      </c>
      <c r="AG32" s="654">
        <f t="shared" ref="AG32" si="44">+AE32-AF32</f>
        <v>0</v>
      </c>
      <c r="AH32" s="658">
        <f>+'Asset Classification'!U32</f>
        <v>0</v>
      </c>
      <c r="AI32" s="654">
        <f>+'Asset Classification'!V32</f>
        <v>0</v>
      </c>
      <c r="AJ32" s="658">
        <f>+'Asset Classification'!W32</f>
        <v>0</v>
      </c>
      <c r="AK32" s="654">
        <f t="shared" ref="AK32" si="45">+AH32*100%</f>
        <v>0</v>
      </c>
      <c r="AL32" s="654">
        <f t="shared" ref="AL32" si="46">+AJ32-AK32</f>
        <v>0</v>
      </c>
      <c r="AM32" s="654">
        <f>+'Asset Classification'!X32</f>
        <v>0</v>
      </c>
      <c r="AN32" s="654">
        <f t="shared" ref="AN32" si="47">+AI32*100%</f>
        <v>0</v>
      </c>
      <c r="AO32" s="654">
        <f t="shared" ref="AO32" si="48">+AM32-AN32</f>
        <v>0</v>
      </c>
      <c r="AP32" s="641">
        <f t="shared" ref="AP32" si="49">+L32+T32+AB32+AJ32</f>
        <v>0</v>
      </c>
      <c r="AQ32" s="641">
        <f t="shared" ref="AQ32" si="50">+M32+U32+AC32+AK32</f>
        <v>0</v>
      </c>
      <c r="AR32" s="641">
        <f t="shared" ref="AR32" si="51">+AP32-AQ32</f>
        <v>0</v>
      </c>
      <c r="AS32" s="654">
        <f t="shared" ref="AS32" si="52">+O32+W32+AE32+AM32</f>
        <v>0</v>
      </c>
      <c r="AT32" s="654">
        <f t="shared" ref="AT32" si="53">+P32+X32+AF32+AN32</f>
        <v>0</v>
      </c>
      <c r="AU32" s="654">
        <f t="shared" ref="AU32" si="54">+AS32-AT32</f>
        <v>0</v>
      </c>
      <c r="AV32" s="656"/>
      <c r="AW32" s="656"/>
      <c r="AX32" s="656"/>
      <c r="AY32" s="656"/>
      <c r="AZ32" s="656"/>
      <c r="BA32" s="656"/>
      <c r="BB32" s="656"/>
      <c r="BC32" s="656"/>
    </row>
    <row r="33" spans="1:55" s="651" customFormat="1" ht="27.75" customHeight="1">
      <c r="A33" s="625"/>
      <c r="B33" s="625" t="s">
        <v>679</v>
      </c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42"/>
      <c r="AB33" s="642"/>
      <c r="AC33" s="642"/>
      <c r="AD33" s="642"/>
      <c r="AE33" s="642"/>
      <c r="AF33" s="642"/>
      <c r="AG33" s="642"/>
      <c r="AH33" s="642"/>
      <c r="AI33" s="642"/>
      <c r="AJ33" s="642"/>
      <c r="AK33" s="642"/>
      <c r="AL33" s="642"/>
      <c r="AM33" s="642"/>
      <c r="AN33" s="642"/>
      <c r="AO33" s="642"/>
      <c r="AP33" s="642"/>
      <c r="AQ33" s="642"/>
      <c r="AR33" s="642"/>
      <c r="AS33" s="642"/>
      <c r="AT33" s="642"/>
      <c r="AU33" s="642"/>
    </row>
    <row r="34" spans="1:55" s="276" customFormat="1" ht="7.5" customHeight="1">
      <c r="A34" s="305"/>
      <c r="B34" s="305"/>
      <c r="C34" s="664"/>
      <c r="D34" s="665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664"/>
      <c r="AB34" s="664"/>
      <c r="AC34" s="664"/>
      <c r="AD34" s="664"/>
      <c r="AE34" s="664"/>
      <c r="AF34" s="664"/>
      <c r="AG34" s="664"/>
      <c r="AH34" s="664"/>
      <c r="AI34" s="664"/>
      <c r="AJ34" s="664"/>
      <c r="AK34" s="664"/>
      <c r="AL34" s="664"/>
      <c r="AM34" s="664"/>
      <c r="AN34" s="664"/>
      <c r="AO34" s="664"/>
      <c r="AP34" s="664"/>
      <c r="AQ34" s="664"/>
      <c r="AR34" s="664"/>
      <c r="AS34" s="664"/>
      <c r="AT34" s="664"/>
      <c r="AU34" s="664"/>
      <c r="AV34" s="656"/>
      <c r="AW34" s="656"/>
      <c r="AX34" s="656"/>
      <c r="AY34" s="656"/>
      <c r="AZ34" s="656"/>
      <c r="BA34" s="656"/>
      <c r="BB34" s="656"/>
      <c r="BC34" s="656"/>
    </row>
    <row r="35" spans="1:55" s="276" customFormat="1" ht="23.25" customHeight="1">
      <c r="A35" s="652">
        <v>14</v>
      </c>
      <c r="B35" s="431" t="s">
        <v>471</v>
      </c>
      <c r="C35" s="653">
        <f>+'Asset Classification'!C35</f>
        <v>3630116370</v>
      </c>
      <c r="D35" s="666">
        <f>+'Asset Classification'!D35</f>
        <v>1833674955</v>
      </c>
      <c r="E35" s="664">
        <f>+'Asset Classification'!E35</f>
        <v>2589061577</v>
      </c>
      <c r="F35" s="667">
        <f>+'Asset Classification'!F35</f>
        <v>1173200612</v>
      </c>
      <c r="G35" s="664">
        <f>+'Asset Classification'!G35</f>
        <v>29230895</v>
      </c>
      <c r="H35" s="654">
        <f t="shared" ref="H35:H52" si="55">+E35*1%</f>
        <v>25890615.77</v>
      </c>
      <c r="I35" s="654">
        <f t="shared" ref="I35:I52" si="56">+G35-H35</f>
        <v>3340279.2300000004</v>
      </c>
      <c r="J35" s="664">
        <f>+'Asset Classification'!I35</f>
        <v>953847796</v>
      </c>
      <c r="K35" s="667">
        <f>+'Asset Classification'!J35</f>
        <v>656430591</v>
      </c>
      <c r="L35" s="664">
        <f>+'Asset Classification'!K35</f>
        <v>29758177</v>
      </c>
      <c r="M35" s="654">
        <f t="shared" ref="M35:M52" si="57">+J35*10%</f>
        <v>95384779.600000009</v>
      </c>
      <c r="N35" s="654">
        <f t="shared" ref="N35:N52" si="58">+L35-M35</f>
        <v>-65626602.600000009</v>
      </c>
      <c r="O35" s="667">
        <f>+'Asset Classification'!L35</f>
        <v>39626166</v>
      </c>
      <c r="P35" s="654">
        <f t="shared" ref="P35:P52" si="59">+K35*10%</f>
        <v>65643059.100000001</v>
      </c>
      <c r="Q35" s="654">
        <f t="shared" ref="Q35:Q52" si="60">+O35-P35</f>
        <v>-26016893.100000001</v>
      </c>
      <c r="R35" s="664">
        <f>+'Asset Classification'!M35</f>
        <v>11149456</v>
      </c>
      <c r="S35" s="667">
        <f>+'Asset Classification'!N35</f>
        <v>0</v>
      </c>
      <c r="T35" s="664">
        <f>+'Asset Classification'!O35</f>
        <v>37068529</v>
      </c>
      <c r="U35" s="654">
        <f t="shared" ref="U35:U52" si="61">+R35*25%</f>
        <v>2787364</v>
      </c>
      <c r="V35" s="654">
        <f t="shared" ref="V35:V52" si="62">+T35-U35</f>
        <v>34281165</v>
      </c>
      <c r="W35" s="667">
        <f>+'Asset Classification'!P35</f>
        <v>0</v>
      </c>
      <c r="X35" s="654">
        <f t="shared" ref="X35:X52" si="63">+S35*25%</f>
        <v>0</v>
      </c>
      <c r="Y35" s="654">
        <f t="shared" ref="Y35:Y52" si="64">+W35-X35</f>
        <v>0</v>
      </c>
      <c r="Z35" s="664">
        <f>+'Asset Classification'!Q35</f>
        <v>39917175</v>
      </c>
      <c r="AA35" s="667">
        <f>+'Asset Classification'!R35</f>
        <v>1417931</v>
      </c>
      <c r="AB35" s="664">
        <f>+'Asset Classification'!S35</f>
        <v>6468351</v>
      </c>
      <c r="AC35" s="654">
        <f t="shared" ref="AC35:AC52" si="65">+Z35*50%</f>
        <v>19958587.5</v>
      </c>
      <c r="AD35" s="654">
        <f t="shared" ref="AD35:AD52" si="66">+AB35-AC35</f>
        <v>-13490236.5</v>
      </c>
      <c r="AE35" s="667">
        <f>+'Asset Classification'!T35</f>
        <v>1417931</v>
      </c>
      <c r="AF35" s="654">
        <f t="shared" ref="AF35:AF52" si="67">+AA35*50%</f>
        <v>708965.5</v>
      </c>
      <c r="AG35" s="654">
        <f t="shared" ref="AG35:AG52" si="68">+AE35-AF35</f>
        <v>708965.5</v>
      </c>
      <c r="AH35" s="664">
        <f>+'Asset Classification'!U35</f>
        <v>36140366</v>
      </c>
      <c r="AI35" s="667">
        <f>+'Asset Classification'!V35</f>
        <v>2625821</v>
      </c>
      <c r="AJ35" s="664">
        <f>+'Asset Classification'!W35</f>
        <v>66595013</v>
      </c>
      <c r="AK35" s="654">
        <f t="shared" ref="AK35:AK52" si="69">+AH35*100%</f>
        <v>36140366</v>
      </c>
      <c r="AL35" s="654">
        <f t="shared" ref="AL35:AL52" si="70">+AJ35-AK35</f>
        <v>30454647</v>
      </c>
      <c r="AM35" s="667">
        <f>+'Asset Classification'!X35</f>
        <v>2625821</v>
      </c>
      <c r="AN35" s="654">
        <f t="shared" ref="AN35:AN52" si="71">+AI35*100%</f>
        <v>2625821</v>
      </c>
      <c r="AO35" s="654">
        <f t="shared" ref="AO35:AO52" si="72">+AM35-AN35</f>
        <v>0</v>
      </c>
      <c r="AP35" s="641">
        <f t="shared" ref="AP35:AQ52" si="73">+L35+T35+AB35+AJ35</f>
        <v>139890070</v>
      </c>
      <c r="AQ35" s="641">
        <f t="shared" si="73"/>
        <v>154271097.10000002</v>
      </c>
      <c r="AR35" s="641">
        <f t="shared" ref="AR35:AR52" si="74">+AP35-AQ35</f>
        <v>-14381027.100000024</v>
      </c>
      <c r="AS35" s="654">
        <f t="shared" ref="AS35:AT52" si="75">+O35+W35+AE35+AM35</f>
        <v>43669918</v>
      </c>
      <c r="AT35" s="654">
        <f t="shared" si="75"/>
        <v>68977845.599999994</v>
      </c>
      <c r="AU35" s="654">
        <f t="shared" ref="AU35:AU52" si="76">+AS35-AT35</f>
        <v>-25307927.599999994</v>
      </c>
      <c r="AV35" s="655">
        <f>+'Aging Analysis'!C25</f>
        <v>3630116373</v>
      </c>
      <c r="AW35" s="656"/>
      <c r="AX35" s="656"/>
      <c r="AY35" s="656"/>
      <c r="AZ35" s="656"/>
      <c r="BA35" s="656"/>
      <c r="BB35" s="656"/>
      <c r="BC35" s="656"/>
    </row>
    <row r="36" spans="1:55" s="276" customFormat="1" ht="14.25" customHeight="1">
      <c r="A36" s="652"/>
      <c r="B36" s="662" t="s">
        <v>670</v>
      </c>
      <c r="C36" s="653">
        <f>+'Asset Classification'!C36</f>
        <v>0</v>
      </c>
      <c r="D36" s="666">
        <f>+'Asset Classification'!D36</f>
        <v>0</v>
      </c>
      <c r="E36" s="664">
        <f>+'Asset Classification'!E36</f>
        <v>0</v>
      </c>
      <c r="F36" s="667">
        <f>+'Asset Classification'!F36</f>
        <v>0</v>
      </c>
      <c r="G36" s="664">
        <f>+'Asset Classification'!G36</f>
        <v>0</v>
      </c>
      <c r="H36" s="654">
        <f t="shared" si="55"/>
        <v>0</v>
      </c>
      <c r="I36" s="654">
        <f t="shared" si="56"/>
        <v>0</v>
      </c>
      <c r="J36" s="664">
        <f>+'Asset Classification'!I36</f>
        <v>0</v>
      </c>
      <c r="K36" s="667">
        <f>+'Asset Classification'!J36</f>
        <v>0</v>
      </c>
      <c r="L36" s="664">
        <f>+'Asset Classification'!K36</f>
        <v>0</v>
      </c>
      <c r="M36" s="654">
        <f t="shared" si="57"/>
        <v>0</v>
      </c>
      <c r="N36" s="654">
        <f t="shared" si="58"/>
        <v>0</v>
      </c>
      <c r="O36" s="667">
        <f>+'Asset Classification'!L36</f>
        <v>0</v>
      </c>
      <c r="P36" s="654">
        <f t="shared" si="59"/>
        <v>0</v>
      </c>
      <c r="Q36" s="654">
        <f t="shared" si="60"/>
        <v>0</v>
      </c>
      <c r="R36" s="664">
        <f>+'Asset Classification'!M36</f>
        <v>0</v>
      </c>
      <c r="S36" s="667">
        <f>+'Asset Classification'!N36</f>
        <v>0</v>
      </c>
      <c r="T36" s="664">
        <f>+'Asset Classification'!O36</f>
        <v>0</v>
      </c>
      <c r="U36" s="654">
        <f t="shared" si="61"/>
        <v>0</v>
      </c>
      <c r="V36" s="654">
        <f t="shared" si="62"/>
        <v>0</v>
      </c>
      <c r="W36" s="667">
        <f>+'Asset Classification'!P36</f>
        <v>0</v>
      </c>
      <c r="X36" s="654">
        <f t="shared" si="63"/>
        <v>0</v>
      </c>
      <c r="Y36" s="654">
        <f t="shared" si="64"/>
        <v>0</v>
      </c>
      <c r="Z36" s="664">
        <f>+'Asset Classification'!Q36</f>
        <v>0</v>
      </c>
      <c r="AA36" s="667">
        <f>+'Asset Classification'!R36</f>
        <v>0</v>
      </c>
      <c r="AB36" s="664">
        <f>+'Asset Classification'!S36</f>
        <v>0</v>
      </c>
      <c r="AC36" s="654">
        <f t="shared" si="65"/>
        <v>0</v>
      </c>
      <c r="AD36" s="654">
        <f t="shared" si="66"/>
        <v>0</v>
      </c>
      <c r="AE36" s="667">
        <f>+'Asset Classification'!T36</f>
        <v>0</v>
      </c>
      <c r="AF36" s="654">
        <f t="shared" si="67"/>
        <v>0</v>
      </c>
      <c r="AG36" s="654">
        <f t="shared" si="68"/>
        <v>0</v>
      </c>
      <c r="AH36" s="664">
        <f>+'Asset Classification'!U36</f>
        <v>0</v>
      </c>
      <c r="AI36" s="667">
        <f>+'Asset Classification'!V36</f>
        <v>0</v>
      </c>
      <c r="AJ36" s="664">
        <f>+'Asset Classification'!W36</f>
        <v>0</v>
      </c>
      <c r="AK36" s="654">
        <f t="shared" si="69"/>
        <v>0</v>
      </c>
      <c r="AL36" s="654">
        <f t="shared" si="70"/>
        <v>0</v>
      </c>
      <c r="AM36" s="667">
        <f>+'Asset Classification'!X36</f>
        <v>0</v>
      </c>
      <c r="AN36" s="654">
        <f t="shared" si="71"/>
        <v>0</v>
      </c>
      <c r="AO36" s="654">
        <f t="shared" si="72"/>
        <v>0</v>
      </c>
      <c r="AP36" s="641">
        <f t="shared" si="73"/>
        <v>0</v>
      </c>
      <c r="AQ36" s="641">
        <f t="shared" si="73"/>
        <v>0</v>
      </c>
      <c r="AR36" s="641">
        <f t="shared" si="74"/>
        <v>0</v>
      </c>
      <c r="AS36" s="654">
        <f t="shared" si="75"/>
        <v>0</v>
      </c>
      <c r="AT36" s="654">
        <f t="shared" si="75"/>
        <v>0</v>
      </c>
      <c r="AU36" s="654">
        <f t="shared" si="76"/>
        <v>0</v>
      </c>
      <c r="AW36" s="656"/>
      <c r="AX36" s="656"/>
      <c r="AY36" s="656"/>
      <c r="AZ36" s="656"/>
      <c r="BA36" s="656"/>
      <c r="BB36" s="656"/>
      <c r="BC36" s="656"/>
    </row>
    <row r="37" spans="1:55" s="276" customFormat="1" ht="23.25" customHeight="1">
      <c r="A37" s="652">
        <v>15</v>
      </c>
      <c r="B37" s="431" t="s">
        <v>472</v>
      </c>
      <c r="C37" s="653">
        <f>+'Asset Classification'!C37</f>
        <v>1847415442</v>
      </c>
      <c r="D37" s="666">
        <f>+'Asset Classification'!D37</f>
        <v>719377947</v>
      </c>
      <c r="E37" s="664">
        <f>+'Asset Classification'!E37</f>
        <v>1295812299</v>
      </c>
      <c r="F37" s="667">
        <f>+'Asset Classification'!F37</f>
        <v>566095514</v>
      </c>
      <c r="G37" s="664">
        <f>+'Asset Classification'!G37</f>
        <v>0</v>
      </c>
      <c r="H37" s="654">
        <f t="shared" si="55"/>
        <v>12958122.99</v>
      </c>
      <c r="I37" s="654">
        <f t="shared" si="56"/>
        <v>-12958122.99</v>
      </c>
      <c r="J37" s="664">
        <f>+'Asset Classification'!I37</f>
        <v>488625025</v>
      </c>
      <c r="K37" s="667">
        <f>+'Asset Classification'!J37</f>
        <v>147317408</v>
      </c>
      <c r="L37" s="664">
        <f>+'Asset Classification'!K37</f>
        <v>29726446</v>
      </c>
      <c r="M37" s="654">
        <f t="shared" si="57"/>
        <v>48862502.5</v>
      </c>
      <c r="N37" s="654">
        <f t="shared" si="58"/>
        <v>-19136056.5</v>
      </c>
      <c r="O37" s="667">
        <f>+'Asset Classification'!L37</f>
        <v>7452227</v>
      </c>
      <c r="P37" s="654">
        <f t="shared" si="59"/>
        <v>14731740.800000001</v>
      </c>
      <c r="Q37" s="654">
        <f t="shared" si="60"/>
        <v>-7279513.8000000007</v>
      </c>
      <c r="R37" s="664">
        <f>+'Asset Classification'!M37</f>
        <v>9426254</v>
      </c>
      <c r="S37" s="667">
        <f>+'Asset Classification'!N37</f>
        <v>0</v>
      </c>
      <c r="T37" s="664">
        <f>+'Asset Classification'!O37</f>
        <v>1814654</v>
      </c>
      <c r="U37" s="654">
        <f t="shared" si="61"/>
        <v>2356563.5</v>
      </c>
      <c r="V37" s="654">
        <f t="shared" si="62"/>
        <v>-541909.5</v>
      </c>
      <c r="W37" s="667">
        <f>+'Asset Classification'!P37</f>
        <v>0</v>
      </c>
      <c r="X37" s="654">
        <f t="shared" si="63"/>
        <v>0</v>
      </c>
      <c r="Y37" s="654">
        <f t="shared" si="64"/>
        <v>0</v>
      </c>
      <c r="Z37" s="664">
        <f>+'Asset Classification'!Q37</f>
        <v>28600599</v>
      </c>
      <c r="AA37" s="667">
        <f>+'Asset Classification'!R37</f>
        <v>821429</v>
      </c>
      <c r="AB37" s="664">
        <f>+'Asset Classification'!S37</f>
        <v>4667665</v>
      </c>
      <c r="AC37" s="654">
        <f t="shared" si="65"/>
        <v>14300299.5</v>
      </c>
      <c r="AD37" s="654">
        <f t="shared" si="66"/>
        <v>-9632634.5</v>
      </c>
      <c r="AE37" s="667">
        <f>+'Asset Classification'!T37</f>
        <v>47351</v>
      </c>
      <c r="AF37" s="654">
        <f t="shared" si="67"/>
        <v>410714.5</v>
      </c>
      <c r="AG37" s="654">
        <f t="shared" si="68"/>
        <v>-363363.5</v>
      </c>
      <c r="AH37" s="664">
        <f>+'Asset Classification'!U37</f>
        <v>24951265</v>
      </c>
      <c r="AI37" s="667">
        <f>+'Asset Classification'!V37</f>
        <v>5143596</v>
      </c>
      <c r="AJ37" s="664">
        <f>+'Asset Classification'!W37</f>
        <v>16154772</v>
      </c>
      <c r="AK37" s="654">
        <f t="shared" si="69"/>
        <v>24951265</v>
      </c>
      <c r="AL37" s="654">
        <f t="shared" si="70"/>
        <v>-8796493</v>
      </c>
      <c r="AM37" s="667">
        <f>+'Asset Classification'!X37</f>
        <v>5143596</v>
      </c>
      <c r="AN37" s="654">
        <f t="shared" si="71"/>
        <v>5143596</v>
      </c>
      <c r="AO37" s="654">
        <f t="shared" si="72"/>
        <v>0</v>
      </c>
      <c r="AP37" s="641">
        <f t="shared" si="73"/>
        <v>52363537</v>
      </c>
      <c r="AQ37" s="641">
        <f t="shared" si="73"/>
        <v>90470630.5</v>
      </c>
      <c r="AR37" s="641">
        <f t="shared" si="74"/>
        <v>-38107093.5</v>
      </c>
      <c r="AS37" s="654">
        <f t="shared" si="75"/>
        <v>12643174</v>
      </c>
      <c r="AT37" s="654">
        <f t="shared" si="75"/>
        <v>20286051.300000001</v>
      </c>
      <c r="AU37" s="654">
        <f t="shared" si="76"/>
        <v>-7642877.3000000007</v>
      </c>
      <c r="AV37" s="655">
        <f>+'Aging Analysis'!C26</f>
        <v>1847415442</v>
      </c>
      <c r="AW37" s="656"/>
      <c r="AX37" s="656"/>
      <c r="AY37" s="656"/>
      <c r="AZ37" s="656"/>
      <c r="BA37" s="656"/>
      <c r="BB37" s="656"/>
      <c r="BC37" s="656"/>
    </row>
    <row r="38" spans="1:55" s="276" customFormat="1" ht="14.25" customHeight="1">
      <c r="A38" s="652"/>
      <c r="B38" s="662" t="s">
        <v>670</v>
      </c>
      <c r="C38" s="653">
        <f>+'Asset Classification'!C38</f>
        <v>0</v>
      </c>
      <c r="D38" s="666">
        <f>+'Asset Classification'!D38</f>
        <v>0</v>
      </c>
      <c r="E38" s="664">
        <f>+'Asset Classification'!E38</f>
        <v>0</v>
      </c>
      <c r="F38" s="667">
        <f>+'Asset Classification'!F38</f>
        <v>0</v>
      </c>
      <c r="G38" s="664">
        <f>+'Asset Classification'!G38</f>
        <v>0</v>
      </c>
      <c r="H38" s="654">
        <f t="shared" si="55"/>
        <v>0</v>
      </c>
      <c r="I38" s="654">
        <f t="shared" si="56"/>
        <v>0</v>
      </c>
      <c r="J38" s="664">
        <f>+'Asset Classification'!I38</f>
        <v>0</v>
      </c>
      <c r="K38" s="667">
        <f>+'Asset Classification'!J38</f>
        <v>0</v>
      </c>
      <c r="L38" s="664">
        <f>+'Asset Classification'!K38</f>
        <v>0</v>
      </c>
      <c r="M38" s="654">
        <f t="shared" si="57"/>
        <v>0</v>
      </c>
      <c r="N38" s="654">
        <f t="shared" si="58"/>
        <v>0</v>
      </c>
      <c r="O38" s="667">
        <f>+'Asset Classification'!L38</f>
        <v>0</v>
      </c>
      <c r="P38" s="654">
        <f t="shared" si="59"/>
        <v>0</v>
      </c>
      <c r="Q38" s="654">
        <f t="shared" si="60"/>
        <v>0</v>
      </c>
      <c r="R38" s="664">
        <f>+'Asset Classification'!M38</f>
        <v>0</v>
      </c>
      <c r="S38" s="667">
        <f>+'Asset Classification'!N38</f>
        <v>0</v>
      </c>
      <c r="T38" s="664">
        <f>+'Asset Classification'!O38</f>
        <v>0</v>
      </c>
      <c r="U38" s="654">
        <f t="shared" si="61"/>
        <v>0</v>
      </c>
      <c r="V38" s="654">
        <f t="shared" si="62"/>
        <v>0</v>
      </c>
      <c r="W38" s="667">
        <f>+'Asset Classification'!P38</f>
        <v>0</v>
      </c>
      <c r="X38" s="654">
        <f t="shared" si="63"/>
        <v>0</v>
      </c>
      <c r="Y38" s="654">
        <f t="shared" si="64"/>
        <v>0</v>
      </c>
      <c r="Z38" s="664">
        <f>+'Asset Classification'!Q38</f>
        <v>0</v>
      </c>
      <c r="AA38" s="667">
        <f>+'Asset Classification'!R38</f>
        <v>0</v>
      </c>
      <c r="AB38" s="664">
        <f>+'Asset Classification'!S38</f>
        <v>0</v>
      </c>
      <c r="AC38" s="654">
        <f t="shared" si="65"/>
        <v>0</v>
      </c>
      <c r="AD38" s="654">
        <f t="shared" si="66"/>
        <v>0</v>
      </c>
      <c r="AE38" s="667">
        <f>+'Asset Classification'!T38</f>
        <v>0</v>
      </c>
      <c r="AF38" s="654">
        <f t="shared" si="67"/>
        <v>0</v>
      </c>
      <c r="AG38" s="654">
        <f t="shared" si="68"/>
        <v>0</v>
      </c>
      <c r="AH38" s="664">
        <f>+'Asset Classification'!U38</f>
        <v>0</v>
      </c>
      <c r="AI38" s="667">
        <f>+'Asset Classification'!V38</f>
        <v>0</v>
      </c>
      <c r="AJ38" s="664">
        <f>+'Asset Classification'!W38</f>
        <v>0</v>
      </c>
      <c r="AK38" s="654">
        <f t="shared" si="69"/>
        <v>0</v>
      </c>
      <c r="AL38" s="654">
        <f t="shared" si="70"/>
        <v>0</v>
      </c>
      <c r="AM38" s="667">
        <f>+'Asset Classification'!X38</f>
        <v>0</v>
      </c>
      <c r="AN38" s="654">
        <f t="shared" si="71"/>
        <v>0</v>
      </c>
      <c r="AO38" s="654">
        <f t="shared" si="72"/>
        <v>0</v>
      </c>
      <c r="AP38" s="641">
        <f t="shared" si="73"/>
        <v>0</v>
      </c>
      <c r="AQ38" s="641">
        <f t="shared" si="73"/>
        <v>0</v>
      </c>
      <c r="AR38" s="641">
        <f t="shared" si="74"/>
        <v>0</v>
      </c>
      <c r="AS38" s="654">
        <f t="shared" si="75"/>
        <v>0</v>
      </c>
      <c r="AT38" s="654">
        <f t="shared" si="75"/>
        <v>0</v>
      </c>
      <c r="AU38" s="654">
        <f t="shared" si="76"/>
        <v>0</v>
      </c>
      <c r="AW38" s="656"/>
      <c r="AX38" s="656"/>
      <c r="AY38" s="656"/>
      <c r="AZ38" s="656"/>
      <c r="BA38" s="656"/>
      <c r="BB38" s="656"/>
      <c r="BC38" s="656"/>
    </row>
    <row r="39" spans="1:55" s="276" customFormat="1" ht="23.25" customHeight="1">
      <c r="A39" s="652">
        <v>16</v>
      </c>
      <c r="B39" s="431" t="s">
        <v>473</v>
      </c>
      <c r="C39" s="653">
        <f>+'Asset Classification'!C39</f>
        <v>180788828</v>
      </c>
      <c r="D39" s="666">
        <f>+'Asset Classification'!D39</f>
        <v>100311052</v>
      </c>
      <c r="E39" s="664">
        <f>+'Asset Classification'!E39</f>
        <v>126936248</v>
      </c>
      <c r="F39" s="667">
        <f>+'Asset Classification'!F39</f>
        <v>88010778</v>
      </c>
      <c r="G39" s="664">
        <f>+'Asset Classification'!G39</f>
        <v>0</v>
      </c>
      <c r="H39" s="654">
        <f t="shared" si="55"/>
        <v>1269362.48</v>
      </c>
      <c r="I39" s="654">
        <f t="shared" si="56"/>
        <v>-1269362.48</v>
      </c>
      <c r="J39" s="664">
        <f>+'Asset Classification'!I39</f>
        <v>42154715</v>
      </c>
      <c r="K39" s="667">
        <f>+'Asset Classification'!J39</f>
        <v>11084983</v>
      </c>
      <c r="L39" s="664">
        <f>+'Asset Classification'!K39</f>
        <v>3937727</v>
      </c>
      <c r="M39" s="654">
        <f t="shared" si="57"/>
        <v>4215471.5</v>
      </c>
      <c r="N39" s="654">
        <f t="shared" si="58"/>
        <v>-277744.5</v>
      </c>
      <c r="O39" s="667">
        <f>+'Asset Classification'!L39</f>
        <v>990851</v>
      </c>
      <c r="P39" s="654">
        <f t="shared" si="59"/>
        <v>1108498.3</v>
      </c>
      <c r="Q39" s="654">
        <f t="shared" si="60"/>
        <v>-117647.30000000005</v>
      </c>
      <c r="R39" s="664">
        <f>+'Asset Classification'!M39</f>
        <v>129890</v>
      </c>
      <c r="S39" s="667">
        <f>+'Asset Classification'!N39</f>
        <v>0</v>
      </c>
      <c r="T39" s="664">
        <f>+'Asset Classification'!O39</f>
        <v>27424</v>
      </c>
      <c r="U39" s="654">
        <f t="shared" si="61"/>
        <v>32472.5</v>
      </c>
      <c r="V39" s="654">
        <f t="shared" si="62"/>
        <v>-5048.5</v>
      </c>
      <c r="W39" s="667">
        <f>+'Asset Classification'!P39</f>
        <v>0</v>
      </c>
      <c r="X39" s="654">
        <f t="shared" si="63"/>
        <v>0</v>
      </c>
      <c r="Y39" s="654">
        <f t="shared" si="64"/>
        <v>0</v>
      </c>
      <c r="Z39" s="664">
        <f>+'Asset Classification'!Q39</f>
        <v>9619736</v>
      </c>
      <c r="AA39" s="667">
        <f>+'Asset Classification'!R39</f>
        <v>380912</v>
      </c>
      <c r="AB39" s="664">
        <f>+'Asset Classification'!S39</f>
        <v>2106662</v>
      </c>
      <c r="AC39" s="654">
        <f t="shared" si="65"/>
        <v>4809868</v>
      </c>
      <c r="AD39" s="654">
        <f t="shared" si="66"/>
        <v>-2703206</v>
      </c>
      <c r="AE39" s="667">
        <f>+'Asset Classification'!T39</f>
        <v>190456</v>
      </c>
      <c r="AF39" s="654">
        <f t="shared" si="67"/>
        <v>190456</v>
      </c>
      <c r="AG39" s="654">
        <f t="shared" si="68"/>
        <v>0</v>
      </c>
      <c r="AH39" s="664">
        <f>+'Asset Classification'!U39</f>
        <v>1948239</v>
      </c>
      <c r="AI39" s="667">
        <f>+'Asset Classification'!V39</f>
        <v>834379</v>
      </c>
      <c r="AJ39" s="664">
        <f>+'Asset Classification'!W39</f>
        <v>1948239</v>
      </c>
      <c r="AK39" s="654">
        <f t="shared" si="69"/>
        <v>1948239</v>
      </c>
      <c r="AL39" s="654">
        <f t="shared" si="70"/>
        <v>0</v>
      </c>
      <c r="AM39" s="667">
        <f>+'Asset Classification'!X39</f>
        <v>834379</v>
      </c>
      <c r="AN39" s="654">
        <f t="shared" si="71"/>
        <v>834379</v>
      </c>
      <c r="AO39" s="654">
        <f t="shared" si="72"/>
        <v>0</v>
      </c>
      <c r="AP39" s="641">
        <f t="shared" si="73"/>
        <v>8020052</v>
      </c>
      <c r="AQ39" s="641">
        <f t="shared" si="73"/>
        <v>11006051</v>
      </c>
      <c r="AR39" s="641">
        <f t="shared" si="74"/>
        <v>-2985999</v>
      </c>
      <c r="AS39" s="654">
        <f t="shared" si="75"/>
        <v>2015686</v>
      </c>
      <c r="AT39" s="654">
        <f t="shared" si="75"/>
        <v>2133333.2999999998</v>
      </c>
      <c r="AU39" s="654">
        <f t="shared" si="76"/>
        <v>-117647.29999999981</v>
      </c>
      <c r="AV39" s="655">
        <f>+'Aging Analysis'!C27</f>
        <v>180788828</v>
      </c>
      <c r="AW39" s="656"/>
      <c r="AX39" s="656"/>
      <c r="AY39" s="656"/>
      <c r="AZ39" s="656"/>
      <c r="BA39" s="656"/>
      <c r="BB39" s="656"/>
      <c r="BC39" s="656"/>
    </row>
    <row r="40" spans="1:55" s="276" customFormat="1" ht="14.25" customHeight="1">
      <c r="A40" s="652"/>
      <c r="B40" s="662" t="s">
        <v>670</v>
      </c>
      <c r="C40" s="653">
        <f>+'Asset Classification'!C40</f>
        <v>0</v>
      </c>
      <c r="D40" s="666">
        <f>+'Asset Classification'!D40</f>
        <v>0</v>
      </c>
      <c r="E40" s="664">
        <f>+'Asset Classification'!E40</f>
        <v>0</v>
      </c>
      <c r="F40" s="667">
        <f>+'Asset Classification'!F40</f>
        <v>0</v>
      </c>
      <c r="G40" s="664">
        <f>+'Asset Classification'!G40</f>
        <v>0</v>
      </c>
      <c r="H40" s="654">
        <f t="shared" si="55"/>
        <v>0</v>
      </c>
      <c r="I40" s="654">
        <f t="shared" si="56"/>
        <v>0</v>
      </c>
      <c r="J40" s="664">
        <f>+'Asset Classification'!I40</f>
        <v>0</v>
      </c>
      <c r="K40" s="667">
        <f>+'Asset Classification'!J40</f>
        <v>0</v>
      </c>
      <c r="L40" s="664">
        <f>+'Asset Classification'!K40</f>
        <v>0</v>
      </c>
      <c r="M40" s="654">
        <f t="shared" si="57"/>
        <v>0</v>
      </c>
      <c r="N40" s="654">
        <f t="shared" si="58"/>
        <v>0</v>
      </c>
      <c r="O40" s="667">
        <f>+'Asset Classification'!L40</f>
        <v>0</v>
      </c>
      <c r="P40" s="654">
        <f t="shared" si="59"/>
        <v>0</v>
      </c>
      <c r="Q40" s="654">
        <f t="shared" si="60"/>
        <v>0</v>
      </c>
      <c r="R40" s="664">
        <f>+'Asset Classification'!M40</f>
        <v>0</v>
      </c>
      <c r="S40" s="667">
        <f>+'Asset Classification'!N40</f>
        <v>0</v>
      </c>
      <c r="T40" s="664">
        <f>+'Asset Classification'!O40</f>
        <v>0</v>
      </c>
      <c r="U40" s="654">
        <f t="shared" si="61"/>
        <v>0</v>
      </c>
      <c r="V40" s="654">
        <f t="shared" si="62"/>
        <v>0</v>
      </c>
      <c r="W40" s="667">
        <f>+'Asset Classification'!P40</f>
        <v>0</v>
      </c>
      <c r="X40" s="654">
        <f t="shared" si="63"/>
        <v>0</v>
      </c>
      <c r="Y40" s="654">
        <f t="shared" si="64"/>
        <v>0</v>
      </c>
      <c r="Z40" s="664">
        <f>+'Asset Classification'!Q40</f>
        <v>0</v>
      </c>
      <c r="AA40" s="667">
        <f>+'Asset Classification'!R40</f>
        <v>0</v>
      </c>
      <c r="AB40" s="664">
        <f>+'Asset Classification'!S40</f>
        <v>0</v>
      </c>
      <c r="AC40" s="654">
        <f t="shared" si="65"/>
        <v>0</v>
      </c>
      <c r="AD40" s="654">
        <f t="shared" si="66"/>
        <v>0</v>
      </c>
      <c r="AE40" s="667">
        <f>+'Asset Classification'!T40</f>
        <v>0</v>
      </c>
      <c r="AF40" s="654">
        <f t="shared" si="67"/>
        <v>0</v>
      </c>
      <c r="AG40" s="654">
        <f t="shared" si="68"/>
        <v>0</v>
      </c>
      <c r="AH40" s="664">
        <f>+'Asset Classification'!U40</f>
        <v>0</v>
      </c>
      <c r="AI40" s="667">
        <f>+'Asset Classification'!V40</f>
        <v>0</v>
      </c>
      <c r="AJ40" s="664">
        <f>+'Asset Classification'!W40</f>
        <v>0</v>
      </c>
      <c r="AK40" s="654">
        <f t="shared" si="69"/>
        <v>0</v>
      </c>
      <c r="AL40" s="654">
        <f t="shared" si="70"/>
        <v>0</v>
      </c>
      <c r="AM40" s="667">
        <f>+'Asset Classification'!X40</f>
        <v>0</v>
      </c>
      <c r="AN40" s="654">
        <f t="shared" si="71"/>
        <v>0</v>
      </c>
      <c r="AO40" s="654">
        <f t="shared" si="72"/>
        <v>0</v>
      </c>
      <c r="AP40" s="641">
        <f t="shared" si="73"/>
        <v>0</v>
      </c>
      <c r="AQ40" s="641">
        <f t="shared" si="73"/>
        <v>0</v>
      </c>
      <c r="AR40" s="641">
        <f t="shared" si="74"/>
        <v>0</v>
      </c>
      <c r="AS40" s="654">
        <f t="shared" si="75"/>
        <v>0</v>
      </c>
      <c r="AT40" s="654">
        <f t="shared" si="75"/>
        <v>0</v>
      </c>
      <c r="AU40" s="654">
        <f t="shared" si="76"/>
        <v>0</v>
      </c>
      <c r="AW40" s="656"/>
      <c r="AX40" s="656"/>
      <c r="AY40" s="656"/>
      <c r="AZ40" s="656"/>
      <c r="BA40" s="656"/>
      <c r="BB40" s="656"/>
      <c r="BC40" s="656"/>
    </row>
    <row r="41" spans="1:55" s="276" customFormat="1" ht="23.25" customHeight="1">
      <c r="A41" s="652">
        <v>17</v>
      </c>
      <c r="B41" s="431" t="s">
        <v>474</v>
      </c>
      <c r="C41" s="653">
        <f>+'Asset Classification'!C41</f>
        <v>192184990</v>
      </c>
      <c r="D41" s="666">
        <f>+'Asset Classification'!D41</f>
        <v>3362025</v>
      </c>
      <c r="E41" s="664">
        <f>+'Asset Classification'!E41</f>
        <v>139909913</v>
      </c>
      <c r="F41" s="667">
        <f>+'Asset Classification'!F41</f>
        <v>0</v>
      </c>
      <c r="G41" s="664">
        <f>+'Asset Classification'!G41</f>
        <v>0</v>
      </c>
      <c r="H41" s="654">
        <f t="shared" si="55"/>
        <v>1399099.1300000001</v>
      </c>
      <c r="I41" s="654">
        <f t="shared" si="56"/>
        <v>-1399099.1300000001</v>
      </c>
      <c r="J41" s="664">
        <f>+'Asset Classification'!I41</f>
        <v>45523911</v>
      </c>
      <c r="K41" s="667">
        <f>+'Asset Classification'!J41</f>
        <v>3362025</v>
      </c>
      <c r="L41" s="664">
        <f>+'Asset Classification'!K41</f>
        <v>2756526</v>
      </c>
      <c r="M41" s="654">
        <f t="shared" si="57"/>
        <v>4552391.1000000006</v>
      </c>
      <c r="N41" s="654">
        <f t="shared" si="58"/>
        <v>-1795865.1000000006</v>
      </c>
      <c r="O41" s="667">
        <f>+'Asset Classification'!L41</f>
        <v>0</v>
      </c>
      <c r="P41" s="654">
        <f t="shared" si="59"/>
        <v>336202.5</v>
      </c>
      <c r="Q41" s="654">
        <f t="shared" si="60"/>
        <v>-336202.5</v>
      </c>
      <c r="R41" s="664">
        <f>+'Asset Classification'!M41</f>
        <v>2327364</v>
      </c>
      <c r="S41" s="667">
        <f>+'Asset Classification'!N41</f>
        <v>0</v>
      </c>
      <c r="T41" s="664">
        <f>+'Asset Classification'!O41</f>
        <v>827364</v>
      </c>
      <c r="U41" s="654">
        <f t="shared" si="61"/>
        <v>581841</v>
      </c>
      <c r="V41" s="654">
        <f t="shared" si="62"/>
        <v>245523</v>
      </c>
      <c r="W41" s="667">
        <f>+'Asset Classification'!P41</f>
        <v>0</v>
      </c>
      <c r="X41" s="654">
        <f t="shared" si="63"/>
        <v>0</v>
      </c>
      <c r="Y41" s="654">
        <f t="shared" si="64"/>
        <v>0</v>
      </c>
      <c r="Z41" s="664">
        <f>+'Asset Classification'!Q41</f>
        <v>3046820</v>
      </c>
      <c r="AA41" s="667">
        <f>+'Asset Classification'!R41</f>
        <v>0</v>
      </c>
      <c r="AB41" s="664">
        <f>+'Asset Classification'!S41</f>
        <v>615181</v>
      </c>
      <c r="AC41" s="654">
        <f t="shared" si="65"/>
        <v>1523410</v>
      </c>
      <c r="AD41" s="654">
        <f t="shared" si="66"/>
        <v>-908229</v>
      </c>
      <c r="AE41" s="667">
        <f>+'Asset Classification'!T41</f>
        <v>0</v>
      </c>
      <c r="AF41" s="654">
        <f t="shared" si="67"/>
        <v>0</v>
      </c>
      <c r="AG41" s="654">
        <f t="shared" si="68"/>
        <v>0</v>
      </c>
      <c r="AH41" s="664">
        <f>+'Asset Classification'!U41</f>
        <v>1376982</v>
      </c>
      <c r="AI41" s="667">
        <f>+'Asset Classification'!V41</f>
        <v>0</v>
      </c>
      <c r="AJ41" s="664">
        <f>+'Asset Classification'!W41</f>
        <v>1155982</v>
      </c>
      <c r="AK41" s="654">
        <f t="shared" si="69"/>
        <v>1376982</v>
      </c>
      <c r="AL41" s="654">
        <f t="shared" si="70"/>
        <v>-221000</v>
      </c>
      <c r="AM41" s="667">
        <f>+'Asset Classification'!X41</f>
        <v>0</v>
      </c>
      <c r="AN41" s="654">
        <f t="shared" si="71"/>
        <v>0</v>
      </c>
      <c r="AO41" s="654">
        <f t="shared" si="72"/>
        <v>0</v>
      </c>
      <c r="AP41" s="641">
        <f t="shared" si="73"/>
        <v>5355053</v>
      </c>
      <c r="AQ41" s="641">
        <f t="shared" si="73"/>
        <v>8034624.1000000006</v>
      </c>
      <c r="AR41" s="641">
        <f t="shared" si="74"/>
        <v>-2679571.1000000006</v>
      </c>
      <c r="AS41" s="654">
        <f t="shared" si="75"/>
        <v>0</v>
      </c>
      <c r="AT41" s="654">
        <f t="shared" si="75"/>
        <v>336202.5</v>
      </c>
      <c r="AU41" s="654">
        <f t="shared" si="76"/>
        <v>-336202.5</v>
      </c>
      <c r="AV41" s="655">
        <f>+'Aging Analysis'!C28</f>
        <v>192184990</v>
      </c>
      <c r="AW41" s="656"/>
      <c r="AX41" s="656"/>
      <c r="AY41" s="656"/>
      <c r="AZ41" s="656"/>
      <c r="BA41" s="656"/>
      <c r="BB41" s="656"/>
      <c r="BC41" s="656"/>
    </row>
    <row r="42" spans="1:55" s="276" customFormat="1" ht="14.25" customHeight="1">
      <c r="A42" s="652"/>
      <c r="B42" s="662" t="s">
        <v>670</v>
      </c>
      <c r="C42" s="653">
        <f>+'Asset Classification'!C42</f>
        <v>0</v>
      </c>
      <c r="D42" s="666">
        <f>+'Asset Classification'!D42</f>
        <v>0</v>
      </c>
      <c r="E42" s="664">
        <f>+'Asset Classification'!E42</f>
        <v>0</v>
      </c>
      <c r="F42" s="667">
        <f>+'Asset Classification'!F42</f>
        <v>0</v>
      </c>
      <c r="G42" s="664">
        <f>+'Asset Classification'!G42</f>
        <v>0</v>
      </c>
      <c r="H42" s="654">
        <f t="shared" si="55"/>
        <v>0</v>
      </c>
      <c r="I42" s="654">
        <f t="shared" si="56"/>
        <v>0</v>
      </c>
      <c r="J42" s="664">
        <f>+'Asset Classification'!I42</f>
        <v>0</v>
      </c>
      <c r="K42" s="667">
        <f>+'Asset Classification'!J42</f>
        <v>0</v>
      </c>
      <c r="L42" s="664">
        <f>+'Asset Classification'!K42</f>
        <v>0</v>
      </c>
      <c r="M42" s="654">
        <f t="shared" si="57"/>
        <v>0</v>
      </c>
      <c r="N42" s="654">
        <f t="shared" si="58"/>
        <v>0</v>
      </c>
      <c r="O42" s="667">
        <f>+'Asset Classification'!L42</f>
        <v>0</v>
      </c>
      <c r="P42" s="654">
        <f t="shared" si="59"/>
        <v>0</v>
      </c>
      <c r="Q42" s="654">
        <f t="shared" si="60"/>
        <v>0</v>
      </c>
      <c r="R42" s="664">
        <f>+'Asset Classification'!M42</f>
        <v>0</v>
      </c>
      <c r="S42" s="667">
        <f>+'Asset Classification'!N42</f>
        <v>0</v>
      </c>
      <c r="T42" s="664">
        <f>+'Asset Classification'!O42</f>
        <v>0</v>
      </c>
      <c r="U42" s="654">
        <f t="shared" si="61"/>
        <v>0</v>
      </c>
      <c r="V42" s="654">
        <f t="shared" si="62"/>
        <v>0</v>
      </c>
      <c r="W42" s="667">
        <f>+'Asset Classification'!P42</f>
        <v>0</v>
      </c>
      <c r="X42" s="654">
        <f t="shared" si="63"/>
        <v>0</v>
      </c>
      <c r="Y42" s="654">
        <f t="shared" si="64"/>
        <v>0</v>
      </c>
      <c r="Z42" s="664">
        <f>+'Asset Classification'!Q42</f>
        <v>0</v>
      </c>
      <c r="AA42" s="667">
        <f>+'Asset Classification'!R42</f>
        <v>0</v>
      </c>
      <c r="AB42" s="664">
        <f>+'Asset Classification'!S42</f>
        <v>0</v>
      </c>
      <c r="AC42" s="654">
        <f t="shared" si="65"/>
        <v>0</v>
      </c>
      <c r="AD42" s="654">
        <f t="shared" si="66"/>
        <v>0</v>
      </c>
      <c r="AE42" s="667">
        <f>+'Asset Classification'!T42</f>
        <v>0</v>
      </c>
      <c r="AF42" s="654">
        <f t="shared" si="67"/>
        <v>0</v>
      </c>
      <c r="AG42" s="654">
        <f t="shared" si="68"/>
        <v>0</v>
      </c>
      <c r="AH42" s="664">
        <f>+'Asset Classification'!U42</f>
        <v>0</v>
      </c>
      <c r="AI42" s="667">
        <f>+'Asset Classification'!V42</f>
        <v>0</v>
      </c>
      <c r="AJ42" s="664">
        <f>+'Asset Classification'!W42</f>
        <v>0</v>
      </c>
      <c r="AK42" s="654">
        <f t="shared" si="69"/>
        <v>0</v>
      </c>
      <c r="AL42" s="654">
        <f t="shared" si="70"/>
        <v>0</v>
      </c>
      <c r="AM42" s="667">
        <f>+'Asset Classification'!X42</f>
        <v>0</v>
      </c>
      <c r="AN42" s="654">
        <f t="shared" si="71"/>
        <v>0</v>
      </c>
      <c r="AO42" s="654">
        <f t="shared" si="72"/>
        <v>0</v>
      </c>
      <c r="AP42" s="641">
        <f t="shared" si="73"/>
        <v>0</v>
      </c>
      <c r="AQ42" s="641">
        <f t="shared" si="73"/>
        <v>0</v>
      </c>
      <c r="AR42" s="641">
        <f t="shared" si="74"/>
        <v>0</v>
      </c>
      <c r="AS42" s="654">
        <f t="shared" si="75"/>
        <v>0</v>
      </c>
      <c r="AT42" s="654">
        <f t="shared" si="75"/>
        <v>0</v>
      </c>
      <c r="AU42" s="654">
        <f t="shared" si="76"/>
        <v>0</v>
      </c>
      <c r="AW42" s="656"/>
      <c r="AX42" s="656"/>
      <c r="AY42" s="656"/>
      <c r="AZ42" s="656"/>
      <c r="BA42" s="656"/>
      <c r="BB42" s="656"/>
      <c r="BC42" s="656"/>
    </row>
    <row r="43" spans="1:55" s="276" customFormat="1" ht="23.25" customHeight="1">
      <c r="A43" s="652">
        <v>18</v>
      </c>
      <c r="B43" s="431" t="s">
        <v>475</v>
      </c>
      <c r="C43" s="653">
        <f>+'Asset Classification'!C43</f>
        <v>1435340066</v>
      </c>
      <c r="D43" s="666">
        <f>+'Asset Classification'!D43</f>
        <v>488404213</v>
      </c>
      <c r="E43" s="664">
        <f>+'Asset Classification'!E43</f>
        <v>1210160129</v>
      </c>
      <c r="F43" s="667">
        <f>+'Asset Classification'!F43</f>
        <v>479046171</v>
      </c>
      <c r="G43" s="664">
        <f>+'Asset Classification'!G43</f>
        <v>0</v>
      </c>
      <c r="H43" s="654">
        <f t="shared" si="55"/>
        <v>12101601.290000001</v>
      </c>
      <c r="I43" s="654">
        <f t="shared" si="56"/>
        <v>-12101601.290000001</v>
      </c>
      <c r="J43" s="664">
        <f>+'Asset Classification'!I43</f>
        <v>194429331</v>
      </c>
      <c r="K43" s="667">
        <f>+'Asset Classification'!J43</f>
        <v>9358042</v>
      </c>
      <c r="L43" s="664">
        <f>+'Asset Classification'!K43</f>
        <v>14463284</v>
      </c>
      <c r="M43" s="654">
        <f t="shared" si="57"/>
        <v>19442933.100000001</v>
      </c>
      <c r="N43" s="654">
        <f t="shared" si="58"/>
        <v>-4979649.1000000015</v>
      </c>
      <c r="O43" s="667">
        <f>+'Asset Classification'!L43</f>
        <v>272518</v>
      </c>
      <c r="P43" s="654">
        <f t="shared" si="59"/>
        <v>935804.20000000007</v>
      </c>
      <c r="Q43" s="654">
        <f t="shared" si="60"/>
        <v>-663286.20000000007</v>
      </c>
      <c r="R43" s="664">
        <f>+'Asset Classification'!M43</f>
        <v>991442</v>
      </c>
      <c r="S43" s="667">
        <f>+'Asset Classification'!N43</f>
        <v>0</v>
      </c>
      <c r="T43" s="664">
        <f>+'Asset Classification'!O43</f>
        <v>78553</v>
      </c>
      <c r="U43" s="654">
        <f t="shared" si="61"/>
        <v>247860.5</v>
      </c>
      <c r="V43" s="654">
        <f t="shared" si="62"/>
        <v>-169307.5</v>
      </c>
      <c r="W43" s="667">
        <f>+'Asset Classification'!P43</f>
        <v>0</v>
      </c>
      <c r="X43" s="654">
        <f t="shared" si="63"/>
        <v>0</v>
      </c>
      <c r="Y43" s="654">
        <f t="shared" si="64"/>
        <v>0</v>
      </c>
      <c r="Z43" s="664">
        <f>+'Asset Classification'!Q43</f>
        <v>14762028</v>
      </c>
      <c r="AA43" s="667">
        <f>+'Asset Classification'!R43</f>
        <v>0</v>
      </c>
      <c r="AB43" s="664">
        <f>+'Asset Classification'!S43</f>
        <v>3627068</v>
      </c>
      <c r="AC43" s="654">
        <f t="shared" si="65"/>
        <v>7381014</v>
      </c>
      <c r="AD43" s="654">
        <f t="shared" si="66"/>
        <v>-3753946</v>
      </c>
      <c r="AE43" s="667">
        <f>+'Asset Classification'!T43</f>
        <v>0</v>
      </c>
      <c r="AF43" s="654">
        <f t="shared" si="67"/>
        <v>0</v>
      </c>
      <c r="AG43" s="654">
        <f t="shared" si="68"/>
        <v>0</v>
      </c>
      <c r="AH43" s="664">
        <f>+'Asset Classification'!U43</f>
        <v>14997136</v>
      </c>
      <c r="AI43" s="667">
        <f>+'Asset Classification'!V43</f>
        <v>0</v>
      </c>
      <c r="AJ43" s="664">
        <f>+'Asset Classification'!W43</f>
        <v>12151074</v>
      </c>
      <c r="AK43" s="654">
        <f t="shared" si="69"/>
        <v>14997136</v>
      </c>
      <c r="AL43" s="654">
        <f t="shared" si="70"/>
        <v>-2846062</v>
      </c>
      <c r="AM43" s="667">
        <f>+'Asset Classification'!X43</f>
        <v>0</v>
      </c>
      <c r="AN43" s="654">
        <f t="shared" si="71"/>
        <v>0</v>
      </c>
      <c r="AO43" s="654">
        <f t="shared" si="72"/>
        <v>0</v>
      </c>
      <c r="AP43" s="641">
        <f t="shared" si="73"/>
        <v>30319979</v>
      </c>
      <c r="AQ43" s="641">
        <f t="shared" si="73"/>
        <v>42068943.600000001</v>
      </c>
      <c r="AR43" s="641">
        <f t="shared" si="74"/>
        <v>-11748964.600000001</v>
      </c>
      <c r="AS43" s="654">
        <f t="shared" si="75"/>
        <v>272518</v>
      </c>
      <c r="AT43" s="654">
        <f t="shared" si="75"/>
        <v>935804.20000000007</v>
      </c>
      <c r="AU43" s="654">
        <f t="shared" si="76"/>
        <v>-663286.20000000007</v>
      </c>
      <c r="AV43" s="655">
        <f>+'Aging Analysis'!C29</f>
        <v>1435340065</v>
      </c>
      <c r="AW43" s="656"/>
      <c r="AX43" s="656"/>
      <c r="AY43" s="656"/>
      <c r="AZ43" s="656"/>
      <c r="BA43" s="656"/>
      <c r="BB43" s="656"/>
      <c r="BC43" s="656"/>
    </row>
    <row r="44" spans="1:55" s="276" customFormat="1" ht="14.25" customHeight="1">
      <c r="A44" s="652"/>
      <c r="B44" s="662" t="s">
        <v>670</v>
      </c>
      <c r="C44" s="653">
        <f>+'Asset Classification'!C44</f>
        <v>0</v>
      </c>
      <c r="D44" s="666">
        <f>+'Asset Classification'!D44</f>
        <v>0</v>
      </c>
      <c r="E44" s="664">
        <f>+'Asset Classification'!E44</f>
        <v>0</v>
      </c>
      <c r="F44" s="667">
        <f>+'Asset Classification'!F44</f>
        <v>0</v>
      </c>
      <c r="G44" s="664">
        <f>+'Asset Classification'!G44</f>
        <v>0</v>
      </c>
      <c r="H44" s="654">
        <f t="shared" si="55"/>
        <v>0</v>
      </c>
      <c r="I44" s="654">
        <f t="shared" si="56"/>
        <v>0</v>
      </c>
      <c r="J44" s="664">
        <f>+'Asset Classification'!I44</f>
        <v>0</v>
      </c>
      <c r="K44" s="667">
        <f>+'Asset Classification'!J44</f>
        <v>0</v>
      </c>
      <c r="L44" s="664">
        <f>+'Asset Classification'!K44</f>
        <v>0</v>
      </c>
      <c r="M44" s="654">
        <f t="shared" si="57"/>
        <v>0</v>
      </c>
      <c r="N44" s="654">
        <f t="shared" si="58"/>
        <v>0</v>
      </c>
      <c r="O44" s="667">
        <f>+'Asset Classification'!L44</f>
        <v>0</v>
      </c>
      <c r="P44" s="654">
        <f t="shared" si="59"/>
        <v>0</v>
      </c>
      <c r="Q44" s="654">
        <f t="shared" si="60"/>
        <v>0</v>
      </c>
      <c r="R44" s="664">
        <f>+'Asset Classification'!M44</f>
        <v>0</v>
      </c>
      <c r="S44" s="667">
        <f>+'Asset Classification'!N44</f>
        <v>0</v>
      </c>
      <c r="T44" s="664">
        <f>+'Asset Classification'!O44</f>
        <v>0</v>
      </c>
      <c r="U44" s="654">
        <f t="shared" si="61"/>
        <v>0</v>
      </c>
      <c r="V44" s="654">
        <f t="shared" si="62"/>
        <v>0</v>
      </c>
      <c r="W44" s="667">
        <f>+'Asset Classification'!P44</f>
        <v>0</v>
      </c>
      <c r="X44" s="654">
        <f t="shared" si="63"/>
        <v>0</v>
      </c>
      <c r="Y44" s="654">
        <f t="shared" si="64"/>
        <v>0</v>
      </c>
      <c r="Z44" s="664">
        <f>+'Asset Classification'!Q44</f>
        <v>0</v>
      </c>
      <c r="AA44" s="667">
        <f>+'Asset Classification'!R44</f>
        <v>0</v>
      </c>
      <c r="AB44" s="664">
        <f>+'Asset Classification'!S44</f>
        <v>0</v>
      </c>
      <c r="AC44" s="654">
        <f t="shared" si="65"/>
        <v>0</v>
      </c>
      <c r="AD44" s="654">
        <f t="shared" si="66"/>
        <v>0</v>
      </c>
      <c r="AE44" s="667">
        <f>+'Asset Classification'!T44</f>
        <v>0</v>
      </c>
      <c r="AF44" s="654">
        <f t="shared" si="67"/>
        <v>0</v>
      </c>
      <c r="AG44" s="654">
        <f t="shared" si="68"/>
        <v>0</v>
      </c>
      <c r="AH44" s="664">
        <f>+'Asset Classification'!U44</f>
        <v>0</v>
      </c>
      <c r="AI44" s="667">
        <f>+'Asset Classification'!V44</f>
        <v>0</v>
      </c>
      <c r="AJ44" s="664">
        <f>+'Asset Classification'!W44</f>
        <v>0</v>
      </c>
      <c r="AK44" s="654">
        <f t="shared" si="69"/>
        <v>0</v>
      </c>
      <c r="AL44" s="654">
        <f t="shared" si="70"/>
        <v>0</v>
      </c>
      <c r="AM44" s="667">
        <f>+'Asset Classification'!X44</f>
        <v>0</v>
      </c>
      <c r="AN44" s="654">
        <f t="shared" si="71"/>
        <v>0</v>
      </c>
      <c r="AO44" s="654">
        <f t="shared" si="72"/>
        <v>0</v>
      </c>
      <c r="AP44" s="641">
        <f t="shared" si="73"/>
        <v>0</v>
      </c>
      <c r="AQ44" s="641">
        <f t="shared" si="73"/>
        <v>0</v>
      </c>
      <c r="AR44" s="641">
        <f t="shared" si="74"/>
        <v>0</v>
      </c>
      <c r="AS44" s="654">
        <f t="shared" si="75"/>
        <v>0</v>
      </c>
      <c r="AT44" s="654">
        <f t="shared" si="75"/>
        <v>0</v>
      </c>
      <c r="AU44" s="654">
        <f t="shared" si="76"/>
        <v>0</v>
      </c>
      <c r="AW44" s="656"/>
      <c r="AX44" s="656"/>
      <c r="AY44" s="656"/>
      <c r="AZ44" s="656"/>
      <c r="BA44" s="656"/>
      <c r="BB44" s="656"/>
      <c r="BC44" s="656"/>
    </row>
    <row r="45" spans="1:55" s="276" customFormat="1" ht="23.25" customHeight="1">
      <c r="A45" s="652">
        <v>19</v>
      </c>
      <c r="B45" s="431" t="s">
        <v>476</v>
      </c>
      <c r="C45" s="653">
        <f>+'Asset Classification'!C45</f>
        <v>999195680</v>
      </c>
      <c r="D45" s="666">
        <f>+'Asset Classification'!D45</f>
        <v>592591751</v>
      </c>
      <c r="E45" s="664">
        <f>+'Asset Classification'!E45</f>
        <v>792497765</v>
      </c>
      <c r="F45" s="667">
        <f>+'Asset Classification'!F45</f>
        <v>534356878</v>
      </c>
      <c r="G45" s="664">
        <f>+'Asset Classification'!G45</f>
        <v>0</v>
      </c>
      <c r="H45" s="654">
        <f t="shared" si="55"/>
        <v>7924977.6500000004</v>
      </c>
      <c r="I45" s="654">
        <f t="shared" si="56"/>
        <v>-7924977.6500000004</v>
      </c>
      <c r="J45" s="664">
        <f>+'Asset Classification'!I45</f>
        <v>172491820</v>
      </c>
      <c r="K45" s="667">
        <f>+'Asset Classification'!J45</f>
        <v>56712536</v>
      </c>
      <c r="L45" s="664">
        <f>+'Asset Classification'!K45</f>
        <v>16765449</v>
      </c>
      <c r="M45" s="654">
        <f t="shared" si="57"/>
        <v>17249182</v>
      </c>
      <c r="N45" s="654">
        <f t="shared" si="58"/>
        <v>-483733</v>
      </c>
      <c r="O45" s="667">
        <f>+'Asset Classification'!L45</f>
        <v>9557888</v>
      </c>
      <c r="P45" s="654">
        <f t="shared" si="59"/>
        <v>5671253.6000000006</v>
      </c>
      <c r="Q45" s="654">
        <f t="shared" si="60"/>
        <v>3886634.3999999994</v>
      </c>
      <c r="R45" s="664">
        <f>+'Asset Classification'!M45</f>
        <v>2088444</v>
      </c>
      <c r="S45" s="667">
        <f>+'Asset Classification'!N45</f>
        <v>0</v>
      </c>
      <c r="T45" s="664">
        <f>+'Asset Classification'!O45</f>
        <v>217537</v>
      </c>
      <c r="U45" s="654">
        <f t="shared" si="61"/>
        <v>522111</v>
      </c>
      <c r="V45" s="654">
        <f t="shared" si="62"/>
        <v>-304574</v>
      </c>
      <c r="W45" s="667">
        <f>+'Asset Classification'!P45</f>
        <v>0</v>
      </c>
      <c r="X45" s="654">
        <f t="shared" si="63"/>
        <v>0</v>
      </c>
      <c r="Y45" s="654">
        <f t="shared" si="64"/>
        <v>0</v>
      </c>
      <c r="Z45" s="664">
        <f>+'Asset Classification'!Q45</f>
        <v>18276679</v>
      </c>
      <c r="AA45" s="667">
        <f>+'Asset Classification'!R45</f>
        <v>1522337</v>
      </c>
      <c r="AB45" s="664">
        <f>+'Asset Classification'!S45</f>
        <v>1430526</v>
      </c>
      <c r="AC45" s="654">
        <f t="shared" si="65"/>
        <v>9138339.5</v>
      </c>
      <c r="AD45" s="654">
        <f t="shared" si="66"/>
        <v>-7707813.5</v>
      </c>
      <c r="AE45" s="667">
        <f>+'Asset Classification'!T45</f>
        <v>0</v>
      </c>
      <c r="AF45" s="654">
        <f t="shared" si="67"/>
        <v>761168.5</v>
      </c>
      <c r="AG45" s="654">
        <f t="shared" si="68"/>
        <v>-761168.5</v>
      </c>
      <c r="AH45" s="664">
        <f>+'Asset Classification'!U45</f>
        <v>13840972</v>
      </c>
      <c r="AI45" s="667">
        <f>+'Asset Classification'!V45</f>
        <v>0</v>
      </c>
      <c r="AJ45" s="664">
        <f>+'Asset Classification'!W45</f>
        <v>10146914</v>
      </c>
      <c r="AK45" s="654">
        <f t="shared" si="69"/>
        <v>13840972</v>
      </c>
      <c r="AL45" s="654">
        <f t="shared" si="70"/>
        <v>-3694058</v>
      </c>
      <c r="AM45" s="667">
        <f>+'Asset Classification'!X45</f>
        <v>0</v>
      </c>
      <c r="AN45" s="654">
        <f t="shared" si="71"/>
        <v>0</v>
      </c>
      <c r="AO45" s="654">
        <f t="shared" si="72"/>
        <v>0</v>
      </c>
      <c r="AP45" s="641">
        <f t="shared" si="73"/>
        <v>28560426</v>
      </c>
      <c r="AQ45" s="641">
        <f t="shared" si="73"/>
        <v>40750604.5</v>
      </c>
      <c r="AR45" s="641">
        <f t="shared" si="74"/>
        <v>-12190178.5</v>
      </c>
      <c r="AS45" s="654">
        <f t="shared" si="75"/>
        <v>9557888</v>
      </c>
      <c r="AT45" s="654">
        <f t="shared" si="75"/>
        <v>6432422.1000000006</v>
      </c>
      <c r="AU45" s="654">
        <f t="shared" si="76"/>
        <v>3125465.8999999994</v>
      </c>
      <c r="AV45" s="655">
        <f>+'Aging Analysis'!C30</f>
        <v>999195681</v>
      </c>
      <c r="AW45" s="656"/>
      <c r="AX45" s="656"/>
      <c r="AY45" s="656"/>
      <c r="AZ45" s="656"/>
      <c r="BA45" s="656"/>
      <c r="BB45" s="656"/>
      <c r="BC45" s="656"/>
    </row>
    <row r="46" spans="1:55" s="276" customFormat="1" ht="14.25" customHeight="1">
      <c r="A46" s="652"/>
      <c r="B46" s="662" t="s">
        <v>670</v>
      </c>
      <c r="C46" s="653">
        <f>+'Asset Classification'!C46</f>
        <v>0</v>
      </c>
      <c r="D46" s="666">
        <f>+'Asset Classification'!D46</f>
        <v>0</v>
      </c>
      <c r="E46" s="664">
        <f>+'Asset Classification'!E46</f>
        <v>0</v>
      </c>
      <c r="F46" s="667">
        <f>+'Asset Classification'!F46</f>
        <v>0</v>
      </c>
      <c r="G46" s="664">
        <f>+'Asset Classification'!G46</f>
        <v>0</v>
      </c>
      <c r="H46" s="654">
        <f t="shared" si="55"/>
        <v>0</v>
      </c>
      <c r="I46" s="654">
        <f t="shared" si="56"/>
        <v>0</v>
      </c>
      <c r="J46" s="664">
        <f>+'Asset Classification'!I46</f>
        <v>0</v>
      </c>
      <c r="K46" s="667">
        <f>+'Asset Classification'!J46</f>
        <v>0</v>
      </c>
      <c r="L46" s="664">
        <f>+'Asset Classification'!K46</f>
        <v>0</v>
      </c>
      <c r="M46" s="654">
        <f t="shared" si="57"/>
        <v>0</v>
      </c>
      <c r="N46" s="654">
        <f t="shared" si="58"/>
        <v>0</v>
      </c>
      <c r="O46" s="667">
        <f>+'Asset Classification'!L46</f>
        <v>0</v>
      </c>
      <c r="P46" s="654">
        <f t="shared" si="59"/>
        <v>0</v>
      </c>
      <c r="Q46" s="654">
        <f t="shared" si="60"/>
        <v>0</v>
      </c>
      <c r="R46" s="664">
        <f>+'Asset Classification'!M46</f>
        <v>0</v>
      </c>
      <c r="S46" s="667">
        <f>+'Asset Classification'!N46</f>
        <v>0</v>
      </c>
      <c r="T46" s="664">
        <f>+'Asset Classification'!O46</f>
        <v>0</v>
      </c>
      <c r="U46" s="654">
        <f t="shared" si="61"/>
        <v>0</v>
      </c>
      <c r="V46" s="654">
        <f t="shared" si="62"/>
        <v>0</v>
      </c>
      <c r="W46" s="667">
        <f>+'Asset Classification'!P46</f>
        <v>0</v>
      </c>
      <c r="X46" s="654">
        <f t="shared" si="63"/>
        <v>0</v>
      </c>
      <c r="Y46" s="654">
        <f t="shared" si="64"/>
        <v>0</v>
      </c>
      <c r="Z46" s="664">
        <f>+'Asset Classification'!Q46</f>
        <v>0</v>
      </c>
      <c r="AA46" s="667">
        <f>+'Asset Classification'!R46</f>
        <v>0</v>
      </c>
      <c r="AB46" s="664">
        <f>+'Asset Classification'!S46</f>
        <v>0</v>
      </c>
      <c r="AC46" s="654">
        <f t="shared" si="65"/>
        <v>0</v>
      </c>
      <c r="AD46" s="654">
        <f t="shared" si="66"/>
        <v>0</v>
      </c>
      <c r="AE46" s="667">
        <f>+'Asset Classification'!T46</f>
        <v>0</v>
      </c>
      <c r="AF46" s="654">
        <f t="shared" si="67"/>
        <v>0</v>
      </c>
      <c r="AG46" s="654">
        <f t="shared" si="68"/>
        <v>0</v>
      </c>
      <c r="AH46" s="664">
        <f>+'Asset Classification'!U46</f>
        <v>0</v>
      </c>
      <c r="AI46" s="667">
        <f>+'Asset Classification'!V46</f>
        <v>0</v>
      </c>
      <c r="AJ46" s="664">
        <f>+'Asset Classification'!W46</f>
        <v>0</v>
      </c>
      <c r="AK46" s="654">
        <f t="shared" si="69"/>
        <v>0</v>
      </c>
      <c r="AL46" s="654">
        <f t="shared" si="70"/>
        <v>0</v>
      </c>
      <c r="AM46" s="667">
        <f>+'Asset Classification'!X46</f>
        <v>0</v>
      </c>
      <c r="AN46" s="654">
        <f t="shared" si="71"/>
        <v>0</v>
      </c>
      <c r="AO46" s="654">
        <f t="shared" si="72"/>
        <v>0</v>
      </c>
      <c r="AP46" s="641">
        <f t="shared" si="73"/>
        <v>0</v>
      </c>
      <c r="AQ46" s="641">
        <f t="shared" si="73"/>
        <v>0</v>
      </c>
      <c r="AR46" s="641">
        <f t="shared" si="74"/>
        <v>0</v>
      </c>
      <c r="AS46" s="654">
        <f t="shared" si="75"/>
        <v>0</v>
      </c>
      <c r="AT46" s="654">
        <f t="shared" si="75"/>
        <v>0</v>
      </c>
      <c r="AU46" s="654">
        <f t="shared" si="76"/>
        <v>0</v>
      </c>
      <c r="AW46" s="656"/>
      <c r="AX46" s="656"/>
      <c r="AY46" s="656"/>
      <c r="AZ46" s="656"/>
      <c r="BA46" s="656"/>
      <c r="BB46" s="656"/>
      <c r="BC46" s="656"/>
    </row>
    <row r="47" spans="1:55" s="276" customFormat="1" ht="23.25" customHeight="1">
      <c r="A47" s="652">
        <v>20</v>
      </c>
      <c r="B47" s="431" t="s">
        <v>477</v>
      </c>
      <c r="C47" s="653">
        <f>+'Asset Classification'!C47</f>
        <v>104803072</v>
      </c>
      <c r="D47" s="666">
        <f>+'Asset Classification'!D47</f>
        <v>0</v>
      </c>
      <c r="E47" s="664">
        <f>+'Asset Classification'!E47</f>
        <v>104803072</v>
      </c>
      <c r="F47" s="667">
        <f>+'Asset Classification'!F47</f>
        <v>0</v>
      </c>
      <c r="G47" s="664">
        <f>+'Asset Classification'!G47</f>
        <v>0</v>
      </c>
      <c r="H47" s="654">
        <f t="shared" si="55"/>
        <v>1048030.72</v>
      </c>
      <c r="I47" s="654">
        <f t="shared" si="56"/>
        <v>-1048030.72</v>
      </c>
      <c r="J47" s="664">
        <f>+'Asset Classification'!I47</f>
        <v>0</v>
      </c>
      <c r="K47" s="667">
        <f>+'Asset Classification'!J47</f>
        <v>0</v>
      </c>
      <c r="L47" s="664">
        <f>+'Asset Classification'!K47</f>
        <v>0</v>
      </c>
      <c r="M47" s="654">
        <f t="shared" si="57"/>
        <v>0</v>
      </c>
      <c r="N47" s="654">
        <f t="shared" si="58"/>
        <v>0</v>
      </c>
      <c r="O47" s="667">
        <f>+'Asset Classification'!L47</f>
        <v>0</v>
      </c>
      <c r="P47" s="654">
        <f t="shared" si="59"/>
        <v>0</v>
      </c>
      <c r="Q47" s="654">
        <f t="shared" si="60"/>
        <v>0</v>
      </c>
      <c r="R47" s="664">
        <f>+'Asset Classification'!M47</f>
        <v>0</v>
      </c>
      <c r="S47" s="667">
        <f>+'Asset Classification'!N47</f>
        <v>0</v>
      </c>
      <c r="T47" s="664">
        <f>+'Asset Classification'!O47</f>
        <v>0</v>
      </c>
      <c r="U47" s="654">
        <f t="shared" si="61"/>
        <v>0</v>
      </c>
      <c r="V47" s="654">
        <f t="shared" si="62"/>
        <v>0</v>
      </c>
      <c r="W47" s="667">
        <f>+'Asset Classification'!P47</f>
        <v>0</v>
      </c>
      <c r="X47" s="654">
        <f t="shared" si="63"/>
        <v>0</v>
      </c>
      <c r="Y47" s="654">
        <f t="shared" si="64"/>
        <v>0</v>
      </c>
      <c r="Z47" s="664">
        <f>+'Asset Classification'!Q47</f>
        <v>0</v>
      </c>
      <c r="AA47" s="667">
        <f>+'Asset Classification'!R47</f>
        <v>0</v>
      </c>
      <c r="AB47" s="664">
        <f>+'Asset Classification'!S47</f>
        <v>0</v>
      </c>
      <c r="AC47" s="654">
        <f t="shared" si="65"/>
        <v>0</v>
      </c>
      <c r="AD47" s="654">
        <f t="shared" si="66"/>
        <v>0</v>
      </c>
      <c r="AE47" s="667">
        <f>+'Asset Classification'!T47</f>
        <v>0</v>
      </c>
      <c r="AF47" s="654">
        <f t="shared" si="67"/>
        <v>0</v>
      </c>
      <c r="AG47" s="654">
        <f t="shared" si="68"/>
        <v>0</v>
      </c>
      <c r="AH47" s="664">
        <f>+'Asset Classification'!U47</f>
        <v>0</v>
      </c>
      <c r="AI47" s="667">
        <f>+'Asset Classification'!V47</f>
        <v>0</v>
      </c>
      <c r="AJ47" s="664">
        <f>+'Asset Classification'!W47</f>
        <v>0</v>
      </c>
      <c r="AK47" s="654">
        <f t="shared" si="69"/>
        <v>0</v>
      </c>
      <c r="AL47" s="654">
        <f t="shared" si="70"/>
        <v>0</v>
      </c>
      <c r="AM47" s="667">
        <f>+'Asset Classification'!X47</f>
        <v>0</v>
      </c>
      <c r="AN47" s="654">
        <f t="shared" si="71"/>
        <v>0</v>
      </c>
      <c r="AO47" s="654">
        <f t="shared" si="72"/>
        <v>0</v>
      </c>
      <c r="AP47" s="641">
        <f t="shared" si="73"/>
        <v>0</v>
      </c>
      <c r="AQ47" s="641">
        <f t="shared" si="73"/>
        <v>0</v>
      </c>
      <c r="AR47" s="641">
        <f t="shared" si="74"/>
        <v>0</v>
      </c>
      <c r="AS47" s="654">
        <f t="shared" si="75"/>
        <v>0</v>
      </c>
      <c r="AT47" s="654">
        <f t="shared" si="75"/>
        <v>0</v>
      </c>
      <c r="AU47" s="654">
        <f t="shared" si="76"/>
        <v>0</v>
      </c>
      <c r="AV47" s="655">
        <f>+'Aging Analysis'!C31</f>
        <v>104803073</v>
      </c>
      <c r="AW47" s="656"/>
      <c r="AX47" s="656"/>
      <c r="AY47" s="656"/>
      <c r="AZ47" s="656"/>
      <c r="BA47" s="656"/>
      <c r="BB47" s="656"/>
      <c r="BC47" s="656"/>
    </row>
    <row r="48" spans="1:55" s="276" customFormat="1" ht="14.25" customHeight="1">
      <c r="A48" s="652"/>
      <c r="B48" s="662" t="s">
        <v>670</v>
      </c>
      <c r="C48" s="653">
        <f>+'Asset Classification'!C48</f>
        <v>0</v>
      </c>
      <c r="D48" s="666">
        <f>+'Asset Classification'!D48</f>
        <v>0</v>
      </c>
      <c r="E48" s="664">
        <f>+'Asset Classification'!E48</f>
        <v>0</v>
      </c>
      <c r="F48" s="667">
        <f>+'Asset Classification'!F48</f>
        <v>0</v>
      </c>
      <c r="G48" s="664">
        <f>+'Asset Classification'!G48</f>
        <v>0</v>
      </c>
      <c r="H48" s="654">
        <f t="shared" si="55"/>
        <v>0</v>
      </c>
      <c r="I48" s="654">
        <f t="shared" si="56"/>
        <v>0</v>
      </c>
      <c r="J48" s="664">
        <f>+'Asset Classification'!I48</f>
        <v>0</v>
      </c>
      <c r="K48" s="667">
        <f>+'Asset Classification'!J48</f>
        <v>0</v>
      </c>
      <c r="L48" s="664">
        <f>+'Asset Classification'!K48</f>
        <v>0</v>
      </c>
      <c r="M48" s="654">
        <f t="shared" si="57"/>
        <v>0</v>
      </c>
      <c r="N48" s="654">
        <f t="shared" si="58"/>
        <v>0</v>
      </c>
      <c r="O48" s="667">
        <f>+'Asset Classification'!L48</f>
        <v>0</v>
      </c>
      <c r="P48" s="654">
        <f t="shared" si="59"/>
        <v>0</v>
      </c>
      <c r="Q48" s="654">
        <f t="shared" si="60"/>
        <v>0</v>
      </c>
      <c r="R48" s="664">
        <f>+'Asset Classification'!M48</f>
        <v>0</v>
      </c>
      <c r="S48" s="667">
        <f>+'Asset Classification'!N48</f>
        <v>0</v>
      </c>
      <c r="T48" s="664">
        <f>+'Asset Classification'!O48</f>
        <v>0</v>
      </c>
      <c r="U48" s="654">
        <f t="shared" si="61"/>
        <v>0</v>
      </c>
      <c r="V48" s="654">
        <f t="shared" si="62"/>
        <v>0</v>
      </c>
      <c r="W48" s="667">
        <f>+'Asset Classification'!P48</f>
        <v>0</v>
      </c>
      <c r="X48" s="654">
        <f t="shared" si="63"/>
        <v>0</v>
      </c>
      <c r="Y48" s="654">
        <f t="shared" si="64"/>
        <v>0</v>
      </c>
      <c r="Z48" s="664">
        <f>+'Asset Classification'!Q48</f>
        <v>0</v>
      </c>
      <c r="AA48" s="667">
        <f>+'Asset Classification'!R48</f>
        <v>0</v>
      </c>
      <c r="AB48" s="664">
        <f>+'Asset Classification'!S48</f>
        <v>0</v>
      </c>
      <c r="AC48" s="654">
        <f t="shared" si="65"/>
        <v>0</v>
      </c>
      <c r="AD48" s="654">
        <f t="shared" si="66"/>
        <v>0</v>
      </c>
      <c r="AE48" s="667">
        <f>+'Asset Classification'!T48</f>
        <v>0</v>
      </c>
      <c r="AF48" s="654">
        <f t="shared" si="67"/>
        <v>0</v>
      </c>
      <c r="AG48" s="654">
        <f t="shared" si="68"/>
        <v>0</v>
      </c>
      <c r="AH48" s="664">
        <f>+'Asset Classification'!U48</f>
        <v>0</v>
      </c>
      <c r="AI48" s="667">
        <f>+'Asset Classification'!V48</f>
        <v>0</v>
      </c>
      <c r="AJ48" s="664">
        <f>+'Asset Classification'!W48</f>
        <v>0</v>
      </c>
      <c r="AK48" s="654">
        <f t="shared" si="69"/>
        <v>0</v>
      </c>
      <c r="AL48" s="654">
        <f t="shared" si="70"/>
        <v>0</v>
      </c>
      <c r="AM48" s="667">
        <f>+'Asset Classification'!X48</f>
        <v>0</v>
      </c>
      <c r="AN48" s="654">
        <f t="shared" si="71"/>
        <v>0</v>
      </c>
      <c r="AO48" s="654">
        <f t="shared" si="72"/>
        <v>0</v>
      </c>
      <c r="AP48" s="641">
        <f t="shared" si="73"/>
        <v>0</v>
      </c>
      <c r="AQ48" s="641">
        <f t="shared" si="73"/>
        <v>0</v>
      </c>
      <c r="AR48" s="641">
        <f t="shared" si="74"/>
        <v>0</v>
      </c>
      <c r="AS48" s="654">
        <f t="shared" si="75"/>
        <v>0</v>
      </c>
      <c r="AT48" s="654">
        <f t="shared" si="75"/>
        <v>0</v>
      </c>
      <c r="AU48" s="654">
        <f t="shared" si="76"/>
        <v>0</v>
      </c>
      <c r="AW48" s="656"/>
      <c r="AX48" s="656"/>
      <c r="AY48" s="656"/>
      <c r="AZ48" s="656"/>
      <c r="BA48" s="656"/>
      <c r="BB48" s="656"/>
      <c r="BC48" s="656"/>
    </row>
    <row r="49" spans="1:55" s="276" customFormat="1" ht="23.25" customHeight="1">
      <c r="A49" s="652">
        <v>21</v>
      </c>
      <c r="B49" s="431" t="s">
        <v>478</v>
      </c>
      <c r="C49" s="653">
        <f>+'Asset Classification'!C49</f>
        <v>347394137</v>
      </c>
      <c r="D49" s="666">
        <f>+'Asset Classification'!D49</f>
        <v>785782</v>
      </c>
      <c r="E49" s="664">
        <f>+'Asset Classification'!E49</f>
        <v>239940817</v>
      </c>
      <c r="F49" s="667">
        <f>+'Asset Classification'!F49</f>
        <v>785782</v>
      </c>
      <c r="G49" s="664">
        <f>+'Asset Classification'!G49</f>
        <v>0</v>
      </c>
      <c r="H49" s="654">
        <f t="shared" si="55"/>
        <v>2399408.17</v>
      </c>
      <c r="I49" s="654">
        <f t="shared" si="56"/>
        <v>-2399408.17</v>
      </c>
      <c r="J49" s="664">
        <f>+'Asset Classification'!I49</f>
        <v>84787850</v>
      </c>
      <c r="K49" s="667">
        <f>+'Asset Classification'!J49</f>
        <v>0</v>
      </c>
      <c r="L49" s="664">
        <f>+'Asset Classification'!K49</f>
        <v>4059199</v>
      </c>
      <c r="M49" s="654">
        <f t="shared" si="57"/>
        <v>8478785</v>
      </c>
      <c r="N49" s="654">
        <f t="shared" si="58"/>
        <v>-4419586</v>
      </c>
      <c r="O49" s="667">
        <f>+'Asset Classification'!L49</f>
        <v>0</v>
      </c>
      <c r="P49" s="654">
        <f t="shared" si="59"/>
        <v>0</v>
      </c>
      <c r="Q49" s="654">
        <f t="shared" si="60"/>
        <v>0</v>
      </c>
      <c r="R49" s="664">
        <f>+'Asset Classification'!M49</f>
        <v>2282475</v>
      </c>
      <c r="S49" s="667">
        <f>+'Asset Classification'!N49</f>
        <v>0</v>
      </c>
      <c r="T49" s="664">
        <f>+'Asset Classification'!O49</f>
        <v>137837</v>
      </c>
      <c r="U49" s="654">
        <f t="shared" si="61"/>
        <v>570618.75</v>
      </c>
      <c r="V49" s="654">
        <f t="shared" si="62"/>
        <v>-432781.75</v>
      </c>
      <c r="W49" s="667">
        <f>+'Asset Classification'!P49</f>
        <v>0</v>
      </c>
      <c r="X49" s="654">
        <f t="shared" si="63"/>
        <v>0</v>
      </c>
      <c r="Y49" s="654">
        <f t="shared" si="64"/>
        <v>0</v>
      </c>
      <c r="Z49" s="664">
        <f>+'Asset Classification'!Q49</f>
        <v>15419862</v>
      </c>
      <c r="AA49" s="667">
        <f>+'Asset Classification'!R49</f>
        <v>0</v>
      </c>
      <c r="AB49" s="664">
        <f>+'Asset Classification'!S49</f>
        <v>997299</v>
      </c>
      <c r="AC49" s="654">
        <f t="shared" si="65"/>
        <v>7709931</v>
      </c>
      <c r="AD49" s="654">
        <f t="shared" si="66"/>
        <v>-6712632</v>
      </c>
      <c r="AE49" s="667">
        <f>+'Asset Classification'!T49</f>
        <v>0</v>
      </c>
      <c r="AF49" s="654">
        <f t="shared" si="67"/>
        <v>0</v>
      </c>
      <c r="AG49" s="654">
        <f t="shared" si="68"/>
        <v>0</v>
      </c>
      <c r="AH49" s="664">
        <f>+'Asset Classification'!U49</f>
        <v>4963133</v>
      </c>
      <c r="AI49" s="667">
        <f>+'Asset Classification'!V49</f>
        <v>0</v>
      </c>
      <c r="AJ49" s="664">
        <f>+'Asset Classification'!W49</f>
        <v>1709669</v>
      </c>
      <c r="AK49" s="654">
        <f t="shared" si="69"/>
        <v>4963133</v>
      </c>
      <c r="AL49" s="654">
        <f t="shared" si="70"/>
        <v>-3253464</v>
      </c>
      <c r="AM49" s="667">
        <f>+'Asset Classification'!X49</f>
        <v>0</v>
      </c>
      <c r="AN49" s="654">
        <f t="shared" si="71"/>
        <v>0</v>
      </c>
      <c r="AO49" s="654">
        <f t="shared" si="72"/>
        <v>0</v>
      </c>
      <c r="AP49" s="641">
        <f t="shared" si="73"/>
        <v>6904004</v>
      </c>
      <c r="AQ49" s="641">
        <f t="shared" si="73"/>
        <v>21722467.75</v>
      </c>
      <c r="AR49" s="641">
        <f t="shared" si="74"/>
        <v>-14818463.75</v>
      </c>
      <c r="AS49" s="654">
        <f t="shared" si="75"/>
        <v>0</v>
      </c>
      <c r="AT49" s="654">
        <f t="shared" si="75"/>
        <v>0</v>
      </c>
      <c r="AU49" s="654">
        <f t="shared" si="76"/>
        <v>0</v>
      </c>
      <c r="AV49" s="655">
        <f>+'Aging Analysis'!C32</f>
        <v>347394134</v>
      </c>
      <c r="AW49" s="656"/>
      <c r="AX49" s="656"/>
      <c r="AY49" s="656"/>
      <c r="AZ49" s="656"/>
      <c r="BA49" s="656"/>
      <c r="BB49" s="656"/>
      <c r="BC49" s="656"/>
    </row>
    <row r="50" spans="1:55" s="276" customFormat="1" ht="14.25" customHeight="1">
      <c r="A50" s="652"/>
      <c r="B50" s="662" t="s">
        <v>670</v>
      </c>
      <c r="C50" s="653">
        <f>+'Asset Classification'!C50</f>
        <v>0</v>
      </c>
      <c r="D50" s="666">
        <f>+'Asset Classification'!D50</f>
        <v>0</v>
      </c>
      <c r="E50" s="664">
        <f>+'Asset Classification'!E50</f>
        <v>0</v>
      </c>
      <c r="F50" s="667">
        <f>+'Asset Classification'!F50</f>
        <v>0</v>
      </c>
      <c r="G50" s="664">
        <f>+'Asset Classification'!G50</f>
        <v>0</v>
      </c>
      <c r="H50" s="654">
        <f t="shared" si="55"/>
        <v>0</v>
      </c>
      <c r="I50" s="654">
        <f t="shared" si="56"/>
        <v>0</v>
      </c>
      <c r="J50" s="664">
        <f>+'Asset Classification'!I50</f>
        <v>0</v>
      </c>
      <c r="K50" s="667">
        <f>+'Asset Classification'!J50</f>
        <v>0</v>
      </c>
      <c r="L50" s="664">
        <f>+'Asset Classification'!K50</f>
        <v>0</v>
      </c>
      <c r="M50" s="654">
        <f t="shared" si="57"/>
        <v>0</v>
      </c>
      <c r="N50" s="654">
        <f t="shared" si="58"/>
        <v>0</v>
      </c>
      <c r="O50" s="667">
        <f>+'Asset Classification'!L50</f>
        <v>0</v>
      </c>
      <c r="P50" s="654">
        <f t="shared" si="59"/>
        <v>0</v>
      </c>
      <c r="Q50" s="654">
        <f t="shared" si="60"/>
        <v>0</v>
      </c>
      <c r="R50" s="664">
        <f>+'Asset Classification'!M50</f>
        <v>0</v>
      </c>
      <c r="S50" s="667">
        <f>+'Asset Classification'!N50</f>
        <v>0</v>
      </c>
      <c r="T50" s="664">
        <f>+'Asset Classification'!O50</f>
        <v>0</v>
      </c>
      <c r="U50" s="654">
        <f t="shared" si="61"/>
        <v>0</v>
      </c>
      <c r="V50" s="654">
        <f t="shared" si="62"/>
        <v>0</v>
      </c>
      <c r="W50" s="667">
        <f>+'Asset Classification'!P50</f>
        <v>0</v>
      </c>
      <c r="X50" s="654">
        <f t="shared" si="63"/>
        <v>0</v>
      </c>
      <c r="Y50" s="654">
        <f t="shared" si="64"/>
        <v>0</v>
      </c>
      <c r="Z50" s="664">
        <f>+'Asset Classification'!Q50</f>
        <v>0</v>
      </c>
      <c r="AA50" s="667">
        <f>+'Asset Classification'!R50</f>
        <v>0</v>
      </c>
      <c r="AB50" s="664">
        <f>+'Asset Classification'!S50</f>
        <v>0</v>
      </c>
      <c r="AC50" s="654">
        <f t="shared" si="65"/>
        <v>0</v>
      </c>
      <c r="AD50" s="654">
        <f t="shared" si="66"/>
        <v>0</v>
      </c>
      <c r="AE50" s="667">
        <f>+'Asset Classification'!T50</f>
        <v>0</v>
      </c>
      <c r="AF50" s="654">
        <f t="shared" si="67"/>
        <v>0</v>
      </c>
      <c r="AG50" s="654">
        <f t="shared" si="68"/>
        <v>0</v>
      </c>
      <c r="AH50" s="664">
        <f>+'Asset Classification'!U50</f>
        <v>0</v>
      </c>
      <c r="AI50" s="667">
        <f>+'Asset Classification'!V50</f>
        <v>0</v>
      </c>
      <c r="AJ50" s="664">
        <f>+'Asset Classification'!W50</f>
        <v>0</v>
      </c>
      <c r="AK50" s="654">
        <f t="shared" si="69"/>
        <v>0</v>
      </c>
      <c r="AL50" s="654">
        <f t="shared" si="70"/>
        <v>0</v>
      </c>
      <c r="AM50" s="667">
        <f>+'Asset Classification'!X50</f>
        <v>0</v>
      </c>
      <c r="AN50" s="654">
        <f t="shared" si="71"/>
        <v>0</v>
      </c>
      <c r="AO50" s="654">
        <f t="shared" si="72"/>
        <v>0</v>
      </c>
      <c r="AP50" s="641">
        <f t="shared" si="73"/>
        <v>0</v>
      </c>
      <c r="AQ50" s="641">
        <f t="shared" si="73"/>
        <v>0</v>
      </c>
      <c r="AR50" s="641">
        <f t="shared" si="74"/>
        <v>0</v>
      </c>
      <c r="AS50" s="654">
        <f t="shared" si="75"/>
        <v>0</v>
      </c>
      <c r="AT50" s="654">
        <f t="shared" si="75"/>
        <v>0</v>
      </c>
      <c r="AU50" s="654">
        <f t="shared" si="76"/>
        <v>0</v>
      </c>
      <c r="AV50" s="656"/>
      <c r="AW50" s="656"/>
      <c r="AX50" s="656"/>
      <c r="AY50" s="656"/>
      <c r="AZ50" s="656"/>
      <c r="BA50" s="656"/>
      <c r="BB50" s="656"/>
      <c r="BC50" s="656"/>
    </row>
    <row r="51" spans="1:55" s="276" customFormat="1" ht="23.25" customHeight="1">
      <c r="A51" s="652">
        <v>22</v>
      </c>
      <c r="B51" s="431" t="s">
        <v>401</v>
      </c>
      <c r="C51" s="653">
        <f>+'Asset Classification'!C51</f>
        <v>4581385256</v>
      </c>
      <c r="D51" s="666">
        <f>+'Asset Classification'!D51</f>
        <v>0</v>
      </c>
      <c r="E51" s="664">
        <f>+'Asset Classification'!E51</f>
        <v>3611077439</v>
      </c>
      <c r="F51" s="667">
        <f>+'Asset Classification'!F51</f>
        <v>0</v>
      </c>
      <c r="G51" s="664">
        <f>+'Asset Classification'!G51</f>
        <v>19487264</v>
      </c>
      <c r="H51" s="654">
        <f t="shared" si="55"/>
        <v>36110774.390000001</v>
      </c>
      <c r="I51" s="654">
        <f t="shared" si="56"/>
        <v>-16623510.390000001</v>
      </c>
      <c r="J51" s="664">
        <f>+'Asset Classification'!I51</f>
        <v>591113636</v>
      </c>
      <c r="K51" s="667">
        <f>+'Asset Classification'!J51</f>
        <v>0</v>
      </c>
      <c r="L51" s="664">
        <f>+'Asset Classification'!K51</f>
        <v>19725504</v>
      </c>
      <c r="M51" s="654">
        <f t="shared" si="57"/>
        <v>59111363.600000001</v>
      </c>
      <c r="N51" s="654">
        <f t="shared" si="58"/>
        <v>-39385859.600000001</v>
      </c>
      <c r="O51" s="667">
        <f>+'Asset Classification'!L51</f>
        <v>0</v>
      </c>
      <c r="P51" s="654">
        <f t="shared" si="59"/>
        <v>0</v>
      </c>
      <c r="Q51" s="654">
        <f t="shared" si="60"/>
        <v>0</v>
      </c>
      <c r="R51" s="664">
        <f>+'Asset Classification'!M51</f>
        <v>82422064</v>
      </c>
      <c r="S51" s="667">
        <f>+'Asset Classification'!N51</f>
        <v>0</v>
      </c>
      <c r="T51" s="664">
        <f>+'Asset Classification'!O51</f>
        <v>5604350</v>
      </c>
      <c r="U51" s="654">
        <f t="shared" si="61"/>
        <v>20605516</v>
      </c>
      <c r="V51" s="654">
        <f t="shared" si="62"/>
        <v>-15001166</v>
      </c>
      <c r="W51" s="667">
        <f>+'Asset Classification'!P51</f>
        <v>0</v>
      </c>
      <c r="X51" s="654">
        <f t="shared" si="63"/>
        <v>0</v>
      </c>
      <c r="Y51" s="654">
        <f t="shared" si="64"/>
        <v>0</v>
      </c>
      <c r="Z51" s="664">
        <f>+'Asset Classification'!Q51</f>
        <v>201882539</v>
      </c>
      <c r="AA51" s="667">
        <f>+'Asset Classification'!R51</f>
        <v>0</v>
      </c>
      <c r="AB51" s="664">
        <f>+'Asset Classification'!S51</f>
        <v>11341847</v>
      </c>
      <c r="AC51" s="654">
        <f t="shared" si="65"/>
        <v>100941269.5</v>
      </c>
      <c r="AD51" s="654">
        <f t="shared" si="66"/>
        <v>-89599422.5</v>
      </c>
      <c r="AE51" s="667">
        <f>+'Asset Classification'!T51</f>
        <v>0</v>
      </c>
      <c r="AF51" s="654">
        <f t="shared" si="67"/>
        <v>0</v>
      </c>
      <c r="AG51" s="654">
        <f t="shared" si="68"/>
        <v>0</v>
      </c>
      <c r="AH51" s="664">
        <f>+'Asset Classification'!U51</f>
        <v>94889578</v>
      </c>
      <c r="AI51" s="667">
        <f>+'Asset Classification'!V51</f>
        <v>0</v>
      </c>
      <c r="AJ51" s="664">
        <f>+'Asset Classification'!W51</f>
        <v>46126485</v>
      </c>
      <c r="AK51" s="654">
        <f t="shared" si="69"/>
        <v>94889578</v>
      </c>
      <c r="AL51" s="654">
        <f t="shared" si="70"/>
        <v>-48763093</v>
      </c>
      <c r="AM51" s="667">
        <f>+'Asset Classification'!X51</f>
        <v>0</v>
      </c>
      <c r="AN51" s="654">
        <f t="shared" si="71"/>
        <v>0</v>
      </c>
      <c r="AO51" s="654">
        <f t="shared" si="72"/>
        <v>0</v>
      </c>
      <c r="AP51" s="641">
        <f t="shared" si="73"/>
        <v>82798186</v>
      </c>
      <c r="AQ51" s="641">
        <f t="shared" si="73"/>
        <v>275547727.10000002</v>
      </c>
      <c r="AR51" s="641">
        <f t="shared" si="74"/>
        <v>-192749541.10000002</v>
      </c>
      <c r="AS51" s="654">
        <f t="shared" si="75"/>
        <v>0</v>
      </c>
      <c r="AT51" s="654">
        <f t="shared" si="75"/>
        <v>0</v>
      </c>
      <c r="AU51" s="654">
        <f t="shared" si="76"/>
        <v>0</v>
      </c>
      <c r="AV51" s="655">
        <f>+'Aging Analysis'!C33</f>
        <v>4581385255</v>
      </c>
      <c r="AW51" s="656"/>
      <c r="AX51" s="656"/>
      <c r="AY51" s="656"/>
      <c r="AZ51" s="656"/>
      <c r="BA51" s="656"/>
      <c r="BB51" s="656"/>
      <c r="BC51" s="656"/>
    </row>
    <row r="52" spans="1:55" s="276" customFormat="1" ht="14.25" customHeight="1">
      <c r="A52" s="652"/>
      <c r="B52" s="662" t="s">
        <v>670</v>
      </c>
      <c r="C52" s="653">
        <f>+'Asset Classification'!C52</f>
        <v>0</v>
      </c>
      <c r="D52" s="666">
        <f>+'Asset Classification'!D52</f>
        <v>0</v>
      </c>
      <c r="E52" s="663">
        <f>+'Asset Classification'!E52</f>
        <v>0</v>
      </c>
      <c r="F52" s="666">
        <f>+'Asset Classification'!F52</f>
        <v>0</v>
      </c>
      <c r="G52" s="663">
        <f>+'Asset Classification'!G52</f>
        <v>0</v>
      </c>
      <c r="H52" s="654">
        <f t="shared" si="55"/>
        <v>0</v>
      </c>
      <c r="I52" s="654">
        <f t="shared" si="56"/>
        <v>0</v>
      </c>
      <c r="J52" s="663">
        <f>+'Asset Classification'!I52</f>
        <v>0</v>
      </c>
      <c r="K52" s="666">
        <f>+'Asset Classification'!J52</f>
        <v>0</v>
      </c>
      <c r="L52" s="663">
        <f>+'Asset Classification'!K52</f>
        <v>0</v>
      </c>
      <c r="M52" s="654">
        <f t="shared" si="57"/>
        <v>0</v>
      </c>
      <c r="N52" s="654">
        <f t="shared" si="58"/>
        <v>0</v>
      </c>
      <c r="O52" s="666">
        <f>+'Asset Classification'!L52</f>
        <v>0</v>
      </c>
      <c r="P52" s="654">
        <f t="shared" si="59"/>
        <v>0</v>
      </c>
      <c r="Q52" s="654">
        <f t="shared" si="60"/>
        <v>0</v>
      </c>
      <c r="R52" s="663">
        <f>+'Asset Classification'!M52</f>
        <v>0</v>
      </c>
      <c r="S52" s="666">
        <f>+'Asset Classification'!N52</f>
        <v>0</v>
      </c>
      <c r="T52" s="663">
        <f>+'Asset Classification'!O52</f>
        <v>0</v>
      </c>
      <c r="U52" s="654">
        <f t="shared" si="61"/>
        <v>0</v>
      </c>
      <c r="V52" s="654">
        <f t="shared" si="62"/>
        <v>0</v>
      </c>
      <c r="W52" s="666">
        <f>+'Asset Classification'!P52</f>
        <v>0</v>
      </c>
      <c r="X52" s="654">
        <f t="shared" si="63"/>
        <v>0</v>
      </c>
      <c r="Y52" s="654">
        <f t="shared" si="64"/>
        <v>0</v>
      </c>
      <c r="Z52" s="663">
        <f>+'Asset Classification'!Q52</f>
        <v>0</v>
      </c>
      <c r="AA52" s="666">
        <f>+'Asset Classification'!R52</f>
        <v>0</v>
      </c>
      <c r="AB52" s="663">
        <f>+'Asset Classification'!S52</f>
        <v>0</v>
      </c>
      <c r="AC52" s="654">
        <f t="shared" si="65"/>
        <v>0</v>
      </c>
      <c r="AD52" s="654">
        <f t="shared" si="66"/>
        <v>0</v>
      </c>
      <c r="AE52" s="666">
        <f>+'Asset Classification'!T52</f>
        <v>0</v>
      </c>
      <c r="AF52" s="654">
        <f t="shared" si="67"/>
        <v>0</v>
      </c>
      <c r="AG52" s="654">
        <f t="shared" si="68"/>
        <v>0</v>
      </c>
      <c r="AH52" s="663">
        <f>+'Asset Classification'!U52</f>
        <v>0</v>
      </c>
      <c r="AI52" s="666">
        <f>+'Asset Classification'!V52</f>
        <v>0</v>
      </c>
      <c r="AJ52" s="663">
        <f>+'Asset Classification'!W52</f>
        <v>0</v>
      </c>
      <c r="AK52" s="654">
        <f t="shared" si="69"/>
        <v>0</v>
      </c>
      <c r="AL52" s="654">
        <f t="shared" si="70"/>
        <v>0</v>
      </c>
      <c r="AM52" s="666">
        <f>+'Asset Classification'!X52</f>
        <v>0</v>
      </c>
      <c r="AN52" s="654">
        <f t="shared" si="71"/>
        <v>0</v>
      </c>
      <c r="AO52" s="654">
        <f t="shared" si="72"/>
        <v>0</v>
      </c>
      <c r="AP52" s="641">
        <f t="shared" si="73"/>
        <v>0</v>
      </c>
      <c r="AQ52" s="641">
        <f t="shared" si="73"/>
        <v>0</v>
      </c>
      <c r="AR52" s="641">
        <f t="shared" si="74"/>
        <v>0</v>
      </c>
      <c r="AS52" s="654">
        <f t="shared" si="75"/>
        <v>0</v>
      </c>
      <c r="AT52" s="654">
        <f t="shared" si="75"/>
        <v>0</v>
      </c>
      <c r="AU52" s="654">
        <f t="shared" si="76"/>
        <v>0</v>
      </c>
      <c r="AV52" s="656"/>
      <c r="AW52" s="656"/>
      <c r="AX52" s="656"/>
      <c r="AY52" s="656"/>
      <c r="AZ52" s="656"/>
      <c r="BA52" s="656"/>
      <c r="BB52" s="656"/>
      <c r="BC52" s="656"/>
    </row>
    <row r="53" spans="1:55" s="651" customFormat="1" ht="28.5" customHeight="1">
      <c r="A53" s="625">
        <v>23</v>
      </c>
      <c r="B53" s="625" t="s">
        <v>678</v>
      </c>
      <c r="C53" s="642">
        <f>+'Asset Classification'!C53</f>
        <v>13318623841</v>
      </c>
      <c r="D53" s="642">
        <f>+'Asset Classification'!D53</f>
        <v>3738507725</v>
      </c>
      <c r="E53" s="642">
        <f>+'Asset Classification'!E53</f>
        <v>10110199259</v>
      </c>
      <c r="F53" s="642">
        <f>+'Asset Classification'!F53</f>
        <v>2841495735</v>
      </c>
      <c r="G53" s="642">
        <f>+'Asset Classification'!G53</f>
        <v>48718159</v>
      </c>
      <c r="H53" s="642">
        <f t="shared" ref="H53:I53" si="77">+H35+H37+H39+H41+H43+H45+H47+H49+H51</f>
        <v>101101992.59</v>
      </c>
      <c r="I53" s="642">
        <f t="shared" si="77"/>
        <v>-52383833.590000004</v>
      </c>
      <c r="J53" s="642">
        <f>+'Asset Classification'!I53</f>
        <v>2572974084</v>
      </c>
      <c r="K53" s="642">
        <f>+'Asset Classification'!J53</f>
        <v>884265585</v>
      </c>
      <c r="L53" s="642">
        <f>+'Asset Classification'!K53</f>
        <v>121192312</v>
      </c>
      <c r="M53" s="642">
        <f t="shared" ref="M53:N53" si="78">+M35+M37+M39+M41+M43+M45+M47+M49+M51</f>
        <v>257297408.40000001</v>
      </c>
      <c r="N53" s="642">
        <f t="shared" si="78"/>
        <v>-136105096.40000001</v>
      </c>
      <c r="O53" s="642">
        <f>+'Asset Classification'!L53</f>
        <v>57899650</v>
      </c>
      <c r="P53" s="642">
        <f t="shared" ref="P53:Q53" si="79">+P35+P37+P39+P41+P43+P45+P47+P49+P51</f>
        <v>88426558.5</v>
      </c>
      <c r="Q53" s="642">
        <f t="shared" si="79"/>
        <v>-30526908.500000007</v>
      </c>
      <c r="R53" s="642">
        <f>+'Asset Classification'!M53</f>
        <v>110817389</v>
      </c>
      <c r="S53" s="642">
        <f>+'Asset Classification'!N53</f>
        <v>0</v>
      </c>
      <c r="T53" s="642">
        <f>+'Asset Classification'!O53</f>
        <v>45776248</v>
      </c>
      <c r="U53" s="642">
        <f t="shared" ref="U53:V53" si="80">+U35+U37+U39+U41+U43+U45+U47+U49+U51</f>
        <v>27704347.25</v>
      </c>
      <c r="V53" s="642">
        <f t="shared" si="80"/>
        <v>18071900.75</v>
      </c>
      <c r="W53" s="642">
        <f>+'Asset Classification'!P53</f>
        <v>0</v>
      </c>
      <c r="X53" s="642">
        <f t="shared" ref="X53:Y53" si="81">+X35+X37+X39+X41+X43+X45+X47+X49+X51</f>
        <v>0</v>
      </c>
      <c r="Y53" s="642">
        <f t="shared" si="81"/>
        <v>0</v>
      </c>
      <c r="Z53" s="642">
        <f>+'Asset Classification'!Q53</f>
        <v>331525438</v>
      </c>
      <c r="AA53" s="642">
        <f>+'Asset Classification'!R53</f>
        <v>4142609</v>
      </c>
      <c r="AB53" s="642">
        <f>+'Asset Classification'!S53</f>
        <v>31254599</v>
      </c>
      <c r="AC53" s="642">
        <f t="shared" ref="AC53:AG53" si="82">+AC35+AC37+AC39+AC41+AC43+AC45+AC47+AC49+AC51</f>
        <v>165762719</v>
      </c>
      <c r="AD53" s="642">
        <f t="shared" si="82"/>
        <v>-134508120</v>
      </c>
      <c r="AE53" s="642">
        <f>+'Asset Classification'!T53</f>
        <v>1655738</v>
      </c>
      <c r="AF53" s="642">
        <f t="shared" si="82"/>
        <v>2071304.5</v>
      </c>
      <c r="AG53" s="642">
        <f t="shared" si="82"/>
        <v>-415566.5</v>
      </c>
      <c r="AH53" s="642">
        <f>+'Asset Classification'!U53</f>
        <v>193107671</v>
      </c>
      <c r="AI53" s="642">
        <f>+'Asset Classification'!V53</f>
        <v>8603796</v>
      </c>
      <c r="AJ53" s="642">
        <f>+'Asset Classification'!W53</f>
        <v>155988148</v>
      </c>
      <c r="AK53" s="642">
        <f t="shared" ref="AK53:AL53" si="83">+AK35+AK37+AK39+AK41+AK43+AK45+AK47+AK49+AK51</f>
        <v>193107671</v>
      </c>
      <c r="AL53" s="642">
        <f t="shared" si="83"/>
        <v>-37119523</v>
      </c>
      <c r="AM53" s="642">
        <f>+'Asset Classification'!X53</f>
        <v>8603796</v>
      </c>
      <c r="AN53" s="642">
        <f t="shared" ref="AN53:AU53" si="84">+AN35+AN37+AN39+AN41+AN43+AN45+AN47+AN49+AN51</f>
        <v>8603796</v>
      </c>
      <c r="AO53" s="642">
        <f t="shared" si="84"/>
        <v>0</v>
      </c>
      <c r="AP53" s="642">
        <f t="shared" si="84"/>
        <v>354211307</v>
      </c>
      <c r="AQ53" s="642">
        <f t="shared" si="84"/>
        <v>643872145.6500001</v>
      </c>
      <c r="AR53" s="642">
        <f t="shared" si="84"/>
        <v>-289660838.65000004</v>
      </c>
      <c r="AS53" s="642">
        <f t="shared" si="84"/>
        <v>68159184</v>
      </c>
      <c r="AT53" s="642">
        <f t="shared" si="84"/>
        <v>99101658.999999985</v>
      </c>
      <c r="AU53" s="642">
        <f t="shared" si="84"/>
        <v>-30942475</v>
      </c>
      <c r="AV53" s="661">
        <f>+'Aging Analysis'!C35</f>
        <v>13318623841</v>
      </c>
    </row>
    <row r="54" spans="1:55" s="276" customFormat="1" ht="23.25" customHeight="1">
      <c r="A54" s="652"/>
      <c r="B54" s="662" t="s">
        <v>670</v>
      </c>
      <c r="C54" s="653">
        <f>+'Asset Classification'!C54</f>
        <v>0</v>
      </c>
      <c r="D54" s="666">
        <f>+'Asset Classification'!D54</f>
        <v>0</v>
      </c>
      <c r="E54" s="663">
        <f>+'Asset Classification'!E54</f>
        <v>0</v>
      </c>
      <c r="F54" s="666">
        <f>+'Asset Classification'!F54</f>
        <v>0</v>
      </c>
      <c r="G54" s="663">
        <f>+'Asset Classification'!G54</f>
        <v>0</v>
      </c>
      <c r="H54" s="654">
        <f t="shared" ref="H54" si="85">+E54*1%</f>
        <v>0</v>
      </c>
      <c r="I54" s="654">
        <f t="shared" ref="I54" si="86">+G54-H54</f>
        <v>0</v>
      </c>
      <c r="J54" s="663">
        <f>+'Asset Classification'!I54</f>
        <v>0</v>
      </c>
      <c r="K54" s="666">
        <f>+'Asset Classification'!J54</f>
        <v>0</v>
      </c>
      <c r="L54" s="663">
        <f>+'Asset Classification'!K54</f>
        <v>0</v>
      </c>
      <c r="M54" s="654">
        <f t="shared" ref="M54" si="87">+J54*10%</f>
        <v>0</v>
      </c>
      <c r="N54" s="654">
        <f t="shared" ref="N54" si="88">+L54-M54</f>
        <v>0</v>
      </c>
      <c r="O54" s="666">
        <f>+'Asset Classification'!L54</f>
        <v>0</v>
      </c>
      <c r="P54" s="654">
        <f t="shared" ref="P54" si="89">+K54*10%</f>
        <v>0</v>
      </c>
      <c r="Q54" s="654">
        <f t="shared" ref="Q54" si="90">+O54-P54</f>
        <v>0</v>
      </c>
      <c r="R54" s="663">
        <f>+'Asset Classification'!M54</f>
        <v>0</v>
      </c>
      <c r="S54" s="666">
        <f>+'Asset Classification'!N54</f>
        <v>0</v>
      </c>
      <c r="T54" s="663">
        <f>+'Asset Classification'!O54</f>
        <v>0</v>
      </c>
      <c r="U54" s="654">
        <f t="shared" ref="U54" si="91">+R54*25%</f>
        <v>0</v>
      </c>
      <c r="V54" s="654">
        <f t="shared" ref="V54" si="92">+T54-U54</f>
        <v>0</v>
      </c>
      <c r="W54" s="666">
        <f>+'Asset Classification'!P54</f>
        <v>0</v>
      </c>
      <c r="X54" s="654">
        <f t="shared" ref="X54" si="93">+S54*25%</f>
        <v>0</v>
      </c>
      <c r="Y54" s="654">
        <f t="shared" ref="Y54" si="94">+W54-X54</f>
        <v>0</v>
      </c>
      <c r="Z54" s="663">
        <f>+'Asset Classification'!Q54</f>
        <v>0</v>
      </c>
      <c r="AA54" s="666">
        <f>+'Asset Classification'!R54</f>
        <v>0</v>
      </c>
      <c r="AB54" s="663">
        <f>+'Asset Classification'!S54</f>
        <v>0</v>
      </c>
      <c r="AC54" s="654">
        <f t="shared" ref="AC54" si="95">+Z54*50%</f>
        <v>0</v>
      </c>
      <c r="AD54" s="654">
        <f t="shared" ref="AD54" si="96">+AB54-AC54</f>
        <v>0</v>
      </c>
      <c r="AE54" s="666">
        <f>+'Asset Classification'!T54</f>
        <v>0</v>
      </c>
      <c r="AF54" s="654">
        <f t="shared" ref="AF54" si="97">+AA54*50%</f>
        <v>0</v>
      </c>
      <c r="AG54" s="654">
        <f t="shared" ref="AG54" si="98">+AE54-AF54</f>
        <v>0</v>
      </c>
      <c r="AH54" s="663">
        <f>+'Asset Classification'!U54</f>
        <v>0</v>
      </c>
      <c r="AI54" s="666">
        <f>+'Asset Classification'!V54</f>
        <v>0</v>
      </c>
      <c r="AJ54" s="663">
        <f>+'Asset Classification'!W54</f>
        <v>0</v>
      </c>
      <c r="AK54" s="654">
        <f t="shared" ref="AK54" si="99">+AH54*100%</f>
        <v>0</v>
      </c>
      <c r="AL54" s="654">
        <f t="shared" ref="AL54" si="100">+AJ54-AK54</f>
        <v>0</v>
      </c>
      <c r="AM54" s="666">
        <f>+'Asset Classification'!X54</f>
        <v>0</v>
      </c>
      <c r="AN54" s="654">
        <f t="shared" ref="AN54" si="101">+AI54*100%</f>
        <v>0</v>
      </c>
      <c r="AO54" s="654">
        <f t="shared" ref="AO54" si="102">+AM54-AN54</f>
        <v>0</v>
      </c>
      <c r="AP54" s="641">
        <f t="shared" ref="AP54" si="103">+L54+T54+AB54+AJ54</f>
        <v>0</v>
      </c>
      <c r="AQ54" s="641">
        <f t="shared" ref="AQ54" si="104">+M54+U54+AC54+AK54</f>
        <v>0</v>
      </c>
      <c r="AR54" s="641">
        <f t="shared" ref="AR54" si="105">+AP54-AQ54</f>
        <v>0</v>
      </c>
      <c r="AS54" s="654">
        <f t="shared" ref="AS54" si="106">+O54+W54+AE54+AM54</f>
        <v>0</v>
      </c>
      <c r="AT54" s="654">
        <f t="shared" ref="AT54" si="107">+P54+X54+AF54+AN54</f>
        <v>0</v>
      </c>
      <c r="AU54" s="654">
        <f t="shared" ref="AU54" si="108">+AS54-AT54</f>
        <v>0</v>
      </c>
      <c r="AV54" s="656"/>
      <c r="AW54" s="656"/>
      <c r="AX54" s="656"/>
      <c r="AY54" s="656"/>
      <c r="AZ54" s="656"/>
      <c r="BA54" s="656"/>
      <c r="BB54" s="656"/>
      <c r="BC54" s="656"/>
    </row>
    <row r="55" spans="1:55" s="651" customFormat="1" ht="27.75" customHeight="1">
      <c r="A55" s="625"/>
      <c r="B55" s="625" t="s">
        <v>680</v>
      </c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42"/>
      <c r="P55" s="642"/>
      <c r="Q55" s="642"/>
      <c r="R55" s="642"/>
      <c r="S55" s="642"/>
      <c r="T55" s="642"/>
      <c r="U55" s="642"/>
      <c r="V55" s="642"/>
      <c r="W55" s="642"/>
      <c r="X55" s="642"/>
      <c r="Y55" s="642"/>
      <c r="Z55" s="642"/>
      <c r="AA55" s="642"/>
      <c r="AB55" s="642"/>
      <c r="AC55" s="642"/>
      <c r="AD55" s="642"/>
      <c r="AE55" s="642"/>
      <c r="AF55" s="642"/>
      <c r="AG55" s="642"/>
      <c r="AH55" s="642"/>
      <c r="AI55" s="642"/>
      <c r="AJ55" s="642"/>
      <c r="AK55" s="642"/>
      <c r="AL55" s="642"/>
      <c r="AM55" s="642"/>
      <c r="AN55" s="642"/>
      <c r="AO55" s="642"/>
      <c r="AP55" s="642"/>
      <c r="AQ55" s="642"/>
      <c r="AR55" s="642"/>
      <c r="AS55" s="642"/>
      <c r="AT55" s="642"/>
      <c r="AU55" s="642"/>
    </row>
    <row r="56" spans="1:55" s="276" customFormat="1" ht="7.5" customHeight="1">
      <c r="A56" s="305"/>
      <c r="B56" s="305"/>
      <c r="C56" s="664"/>
      <c r="D56" s="665"/>
      <c r="E56" s="664"/>
      <c r="F56" s="664"/>
      <c r="G56" s="664"/>
      <c r="H56" s="664"/>
      <c r="I56" s="664"/>
      <c r="J56" s="664"/>
      <c r="K56" s="664"/>
      <c r="L56" s="664"/>
      <c r="M56" s="664"/>
      <c r="N56" s="664"/>
      <c r="O56" s="664"/>
      <c r="P56" s="664"/>
      <c r="Q56" s="664"/>
      <c r="R56" s="664"/>
      <c r="S56" s="664"/>
      <c r="T56" s="664"/>
      <c r="U56" s="664"/>
      <c r="V56" s="664"/>
      <c r="W56" s="664"/>
      <c r="X56" s="664"/>
      <c r="Y56" s="664"/>
      <c r="Z56" s="664"/>
      <c r="AA56" s="664"/>
      <c r="AB56" s="664"/>
      <c r="AC56" s="664"/>
      <c r="AD56" s="664"/>
      <c r="AE56" s="664"/>
      <c r="AF56" s="664"/>
      <c r="AG56" s="664"/>
      <c r="AH56" s="664"/>
      <c r="AI56" s="664"/>
      <c r="AJ56" s="664"/>
      <c r="AK56" s="664"/>
      <c r="AL56" s="664"/>
      <c r="AM56" s="664"/>
      <c r="AN56" s="664"/>
      <c r="AO56" s="664"/>
      <c r="AP56" s="664"/>
      <c r="AQ56" s="664"/>
      <c r="AR56" s="664"/>
      <c r="AS56" s="664"/>
      <c r="AT56" s="664"/>
      <c r="AU56" s="664"/>
      <c r="AV56" s="656"/>
      <c r="AW56" s="656"/>
      <c r="AX56" s="656"/>
      <c r="AY56" s="656"/>
      <c r="AZ56" s="656"/>
      <c r="BA56" s="656"/>
      <c r="BB56" s="656"/>
      <c r="BC56" s="656"/>
    </row>
    <row r="57" spans="1:55" s="231" customFormat="1" ht="21.75" customHeight="1">
      <c r="A57" s="652">
        <v>24</v>
      </c>
      <c r="B57" s="431" t="s">
        <v>681</v>
      </c>
      <c r="C57" s="653">
        <f>+'Asset Classification'!C57</f>
        <v>737164230</v>
      </c>
      <c r="D57" s="654">
        <f>+'Asset Classification'!D57</f>
        <v>64903826</v>
      </c>
      <c r="E57" s="659">
        <f>+'Asset Classification'!E57</f>
        <v>662992080</v>
      </c>
      <c r="F57" s="660">
        <f>+'Asset Classification'!F57</f>
        <v>61612139</v>
      </c>
      <c r="G57" s="659">
        <f>+'Asset Classification'!G57</f>
        <v>0</v>
      </c>
      <c r="H57" s="654">
        <f t="shared" ref="H57:H70" si="109">+E57*1%</f>
        <v>6629920.7999999998</v>
      </c>
      <c r="I57" s="654">
        <f t="shared" ref="I57:I70" si="110">+G57-H57</f>
        <v>-6629920.7999999998</v>
      </c>
      <c r="J57" s="659">
        <f>+'Asset Classification'!I57</f>
        <v>66895930</v>
      </c>
      <c r="K57" s="660">
        <f>+'Asset Classification'!J57</f>
        <v>3291687</v>
      </c>
      <c r="L57" s="659">
        <f>+'Asset Classification'!K57</f>
        <v>3931062</v>
      </c>
      <c r="M57" s="654">
        <f t="shared" ref="M57:M70" si="111">+J57*10%</f>
        <v>6689593</v>
      </c>
      <c r="N57" s="654">
        <f t="shared" ref="N57:N70" si="112">+L57-M57</f>
        <v>-2758531</v>
      </c>
      <c r="O57" s="660">
        <f>+'Asset Classification'!L57</f>
        <v>0</v>
      </c>
      <c r="P57" s="654">
        <f t="shared" ref="P57:P70" si="113">+K57*10%</f>
        <v>329168.7</v>
      </c>
      <c r="Q57" s="654">
        <f t="shared" ref="Q57:Q70" si="114">+O57-P57</f>
        <v>-329168.7</v>
      </c>
      <c r="R57" s="659">
        <f>+'Asset Classification'!M57</f>
        <v>618952</v>
      </c>
      <c r="S57" s="660">
        <f>+'Asset Classification'!N57</f>
        <v>0</v>
      </c>
      <c r="T57" s="659">
        <f>+'Asset Classification'!O57</f>
        <v>105841</v>
      </c>
      <c r="U57" s="654">
        <f t="shared" ref="U57:U70" si="115">+R57*25%</f>
        <v>154738</v>
      </c>
      <c r="V57" s="654">
        <f t="shared" ref="V57:V70" si="116">+T57-U57</f>
        <v>-48897</v>
      </c>
      <c r="W57" s="660">
        <f>+'Asset Classification'!P57</f>
        <v>0</v>
      </c>
      <c r="X57" s="654">
        <f t="shared" ref="X57:X70" si="117">+S57*25%</f>
        <v>0</v>
      </c>
      <c r="Y57" s="654">
        <f t="shared" ref="Y57:Y70" si="118">+W57-X57</f>
        <v>0</v>
      </c>
      <c r="Z57" s="659">
        <f>+'Asset Classification'!Q57</f>
        <v>3030361</v>
      </c>
      <c r="AA57" s="660">
        <f>+'Asset Classification'!R57</f>
        <v>0</v>
      </c>
      <c r="AB57" s="659">
        <f>+'Asset Classification'!S57</f>
        <v>868061</v>
      </c>
      <c r="AC57" s="654">
        <f t="shared" ref="AC57:AC70" si="119">+Z57*50%</f>
        <v>1515180.5</v>
      </c>
      <c r="AD57" s="654">
        <f t="shared" ref="AD57:AD70" si="120">+AB57-AC57</f>
        <v>-647119.5</v>
      </c>
      <c r="AE57" s="660">
        <f>+'Asset Classification'!T57</f>
        <v>0</v>
      </c>
      <c r="AF57" s="654">
        <f t="shared" ref="AF57:AF70" si="121">+AA57*50%</f>
        <v>0</v>
      </c>
      <c r="AG57" s="654">
        <f t="shared" ref="AG57:AG70" si="122">+AE57-AF57</f>
        <v>0</v>
      </c>
      <c r="AH57" s="659">
        <f>+'Asset Classification'!U57</f>
        <v>3626907</v>
      </c>
      <c r="AI57" s="660">
        <f>+'Asset Classification'!V57</f>
        <v>0</v>
      </c>
      <c r="AJ57" s="659">
        <f>+'Asset Classification'!W57</f>
        <v>4646028</v>
      </c>
      <c r="AK57" s="654">
        <f t="shared" ref="AK57:AK70" si="123">+AH57*100%</f>
        <v>3626907</v>
      </c>
      <c r="AL57" s="654">
        <f t="shared" ref="AL57:AL70" si="124">+AJ57-AK57</f>
        <v>1019121</v>
      </c>
      <c r="AM57" s="660">
        <f>+'Asset Classification'!X57</f>
        <v>0</v>
      </c>
      <c r="AN57" s="654">
        <f t="shared" ref="AN57:AN70" si="125">+AI57*100%</f>
        <v>0</v>
      </c>
      <c r="AO57" s="654">
        <f t="shared" ref="AO57:AO70" si="126">+AM57-AN57</f>
        <v>0</v>
      </c>
      <c r="AP57" s="641">
        <f t="shared" ref="AP57:AQ70" si="127">+L57+T57+AB57+AJ57</f>
        <v>9550992</v>
      </c>
      <c r="AQ57" s="641">
        <f t="shared" si="127"/>
        <v>11986418.5</v>
      </c>
      <c r="AR57" s="641">
        <f t="shared" ref="AR57:AR70" si="128">+AP57-AQ57</f>
        <v>-2435426.5</v>
      </c>
      <c r="AS57" s="654">
        <f t="shared" ref="AS57:AT70" si="129">+O57+W57+AE57+AM57</f>
        <v>0</v>
      </c>
      <c r="AT57" s="654">
        <f t="shared" si="129"/>
        <v>329168.7</v>
      </c>
      <c r="AU57" s="654">
        <f t="shared" ref="AU57:AU70" si="130">+AS57-AT57</f>
        <v>-329168.7</v>
      </c>
      <c r="AV57" s="668"/>
      <c r="AW57" s="668"/>
      <c r="AX57" s="668"/>
      <c r="AY57" s="668"/>
      <c r="AZ57" s="668"/>
      <c r="BA57" s="668"/>
      <c r="BB57" s="668"/>
      <c r="BC57" s="668"/>
    </row>
    <row r="58" spans="1:55" s="231" customFormat="1" ht="21.75" customHeight="1">
      <c r="A58" s="652">
        <v>25</v>
      </c>
      <c r="B58" s="431" t="s">
        <v>682</v>
      </c>
      <c r="C58" s="653">
        <f>+'Asset Classification'!C58</f>
        <v>731000316</v>
      </c>
      <c r="D58" s="654">
        <f>+'Asset Classification'!D58</f>
        <v>143340314</v>
      </c>
      <c r="E58" s="659">
        <f>+'Asset Classification'!E58</f>
        <v>370796789</v>
      </c>
      <c r="F58" s="660">
        <f>+'Asset Classification'!F58</f>
        <v>82345033</v>
      </c>
      <c r="G58" s="659">
        <f>+'Asset Classification'!G58</f>
        <v>0</v>
      </c>
      <c r="H58" s="654">
        <f t="shared" si="109"/>
        <v>3707967.89</v>
      </c>
      <c r="I58" s="654">
        <f t="shared" si="110"/>
        <v>-3707967.89</v>
      </c>
      <c r="J58" s="659">
        <f>+'Asset Classification'!I58</f>
        <v>218749275</v>
      </c>
      <c r="K58" s="660">
        <f>+'Asset Classification'!J58</f>
        <v>55851685</v>
      </c>
      <c r="L58" s="659">
        <f>+'Asset Classification'!K58</f>
        <v>16985689</v>
      </c>
      <c r="M58" s="654">
        <f t="shared" si="111"/>
        <v>21874927.5</v>
      </c>
      <c r="N58" s="654">
        <f t="shared" si="112"/>
        <v>-4889238.5</v>
      </c>
      <c r="O58" s="660">
        <f>+'Asset Classification'!L58</f>
        <v>5585168</v>
      </c>
      <c r="P58" s="654">
        <f t="shared" si="113"/>
        <v>5585168.5</v>
      </c>
      <c r="Q58" s="654">
        <f t="shared" si="114"/>
        <v>-0.5</v>
      </c>
      <c r="R58" s="659">
        <f>+'Asset Classification'!M58</f>
        <v>29408847</v>
      </c>
      <c r="S58" s="660">
        <f>+'Asset Classification'!N58</f>
        <v>0</v>
      </c>
      <c r="T58" s="659">
        <f>+'Asset Classification'!O58</f>
        <v>7910626</v>
      </c>
      <c r="U58" s="654">
        <f t="shared" si="115"/>
        <v>7352211.75</v>
      </c>
      <c r="V58" s="654">
        <f t="shared" si="116"/>
        <v>558414.25</v>
      </c>
      <c r="W58" s="660">
        <f>+'Asset Classification'!P58</f>
        <v>0</v>
      </c>
      <c r="X58" s="654">
        <f t="shared" si="117"/>
        <v>0</v>
      </c>
      <c r="Y58" s="654">
        <f t="shared" si="118"/>
        <v>0</v>
      </c>
      <c r="Z58" s="659">
        <f>+'Asset Classification'!Q58</f>
        <v>83160477</v>
      </c>
      <c r="AA58" s="660">
        <f>+'Asset Classification'!R58</f>
        <v>0</v>
      </c>
      <c r="AB58" s="659">
        <f>+'Asset Classification'!S58</f>
        <v>8578688</v>
      </c>
      <c r="AC58" s="654">
        <f t="shared" si="119"/>
        <v>41580238.5</v>
      </c>
      <c r="AD58" s="654">
        <f t="shared" si="120"/>
        <v>-33001550.5</v>
      </c>
      <c r="AE58" s="660">
        <f>+'Asset Classification'!T58</f>
        <v>0</v>
      </c>
      <c r="AF58" s="654">
        <f t="shared" si="121"/>
        <v>0</v>
      </c>
      <c r="AG58" s="654">
        <f t="shared" si="122"/>
        <v>0</v>
      </c>
      <c r="AH58" s="659">
        <f>+'Asset Classification'!U58</f>
        <v>28884928</v>
      </c>
      <c r="AI58" s="660">
        <f>+'Asset Classification'!V58</f>
        <v>5143596</v>
      </c>
      <c r="AJ58" s="659">
        <f>+'Asset Classification'!W58</f>
        <v>36280374</v>
      </c>
      <c r="AK58" s="654">
        <f t="shared" si="123"/>
        <v>28884928</v>
      </c>
      <c r="AL58" s="654">
        <f t="shared" si="124"/>
        <v>7395446</v>
      </c>
      <c r="AM58" s="660">
        <f>+'Asset Classification'!X58</f>
        <v>5143596</v>
      </c>
      <c r="AN58" s="654">
        <f t="shared" si="125"/>
        <v>5143596</v>
      </c>
      <c r="AO58" s="654">
        <f t="shared" si="126"/>
        <v>0</v>
      </c>
      <c r="AP58" s="641">
        <f t="shared" si="127"/>
        <v>69755377</v>
      </c>
      <c r="AQ58" s="641">
        <f t="shared" si="127"/>
        <v>99692305.75</v>
      </c>
      <c r="AR58" s="641">
        <f t="shared" si="128"/>
        <v>-29936928.75</v>
      </c>
      <c r="AS58" s="654">
        <f t="shared" si="129"/>
        <v>10728764</v>
      </c>
      <c r="AT58" s="654">
        <f t="shared" si="129"/>
        <v>10728764.5</v>
      </c>
      <c r="AU58" s="654">
        <f t="shared" si="130"/>
        <v>-0.5</v>
      </c>
      <c r="AV58" s="668"/>
      <c r="AW58" s="668"/>
      <c r="AX58" s="668"/>
      <c r="AY58" s="668"/>
      <c r="AZ58" s="668"/>
      <c r="BA58" s="668"/>
      <c r="BB58" s="668"/>
      <c r="BC58" s="668"/>
    </row>
    <row r="59" spans="1:55" s="231" customFormat="1" ht="21.75" customHeight="1">
      <c r="A59" s="652">
        <v>26</v>
      </c>
      <c r="B59" s="431" t="s">
        <v>683</v>
      </c>
      <c r="C59" s="653">
        <f>+'Asset Classification'!C59</f>
        <v>931531942</v>
      </c>
      <c r="D59" s="654">
        <f>+'Asset Classification'!D59</f>
        <v>151911145</v>
      </c>
      <c r="E59" s="659">
        <f>+'Asset Classification'!E59</f>
        <v>716582556</v>
      </c>
      <c r="F59" s="660">
        <f>+'Asset Classification'!F59</f>
        <v>114627505</v>
      </c>
      <c r="G59" s="659">
        <f>+'Asset Classification'!G59</f>
        <v>0</v>
      </c>
      <c r="H59" s="654">
        <f t="shared" si="109"/>
        <v>7165825.5600000005</v>
      </c>
      <c r="I59" s="654">
        <f t="shared" si="110"/>
        <v>-7165825.5600000005</v>
      </c>
      <c r="J59" s="659">
        <f>+'Asset Classification'!I59</f>
        <v>178965885</v>
      </c>
      <c r="K59" s="660">
        <f>+'Asset Classification'!J59</f>
        <v>35865709</v>
      </c>
      <c r="L59" s="659">
        <f>+'Asset Classification'!K59</f>
        <v>10006896</v>
      </c>
      <c r="M59" s="654">
        <f t="shared" si="111"/>
        <v>17896588.5</v>
      </c>
      <c r="N59" s="654">
        <f t="shared" si="112"/>
        <v>-7889692.5</v>
      </c>
      <c r="O59" s="660">
        <f>+'Asset Classification'!L59</f>
        <v>1927810</v>
      </c>
      <c r="P59" s="654">
        <f t="shared" si="113"/>
        <v>3586570.9000000004</v>
      </c>
      <c r="Q59" s="654">
        <f t="shared" si="114"/>
        <v>-1658760.9000000004</v>
      </c>
      <c r="R59" s="659">
        <f>+'Asset Classification'!M59</f>
        <v>4482037</v>
      </c>
      <c r="S59" s="660">
        <f>+'Asset Classification'!N59</f>
        <v>0</v>
      </c>
      <c r="T59" s="659">
        <f>+'Asset Classification'!O59</f>
        <v>927748</v>
      </c>
      <c r="U59" s="654">
        <f t="shared" si="115"/>
        <v>1120509.25</v>
      </c>
      <c r="V59" s="654">
        <f t="shared" si="116"/>
        <v>-192761.25</v>
      </c>
      <c r="W59" s="660">
        <f>+'Asset Classification'!P59</f>
        <v>0</v>
      </c>
      <c r="X59" s="654">
        <f t="shared" si="117"/>
        <v>0</v>
      </c>
      <c r="Y59" s="654">
        <f t="shared" si="118"/>
        <v>0</v>
      </c>
      <c r="Z59" s="659">
        <f>+'Asset Classification'!Q59</f>
        <v>24342093</v>
      </c>
      <c r="AA59" s="660">
        <f>+'Asset Classification'!R59</f>
        <v>1417931</v>
      </c>
      <c r="AB59" s="659">
        <f>+'Asset Classification'!S59</f>
        <v>2928672</v>
      </c>
      <c r="AC59" s="654">
        <f t="shared" si="119"/>
        <v>12171046.5</v>
      </c>
      <c r="AD59" s="654">
        <f t="shared" si="120"/>
        <v>-9242374.5</v>
      </c>
      <c r="AE59" s="660">
        <f>+'Asset Classification'!T59</f>
        <v>1417931</v>
      </c>
      <c r="AF59" s="654">
        <f t="shared" si="121"/>
        <v>708965.5</v>
      </c>
      <c r="AG59" s="654">
        <f t="shared" si="122"/>
        <v>708965.5</v>
      </c>
      <c r="AH59" s="659">
        <f>+'Asset Classification'!U59</f>
        <v>7159371</v>
      </c>
      <c r="AI59" s="660">
        <f>+'Asset Classification'!V59</f>
        <v>0</v>
      </c>
      <c r="AJ59" s="659">
        <f>+'Asset Classification'!W59</f>
        <v>6493027</v>
      </c>
      <c r="AK59" s="654">
        <f t="shared" si="123"/>
        <v>7159371</v>
      </c>
      <c r="AL59" s="654">
        <f t="shared" si="124"/>
        <v>-666344</v>
      </c>
      <c r="AM59" s="660">
        <f>+'Asset Classification'!X59</f>
        <v>0</v>
      </c>
      <c r="AN59" s="654">
        <f t="shared" si="125"/>
        <v>0</v>
      </c>
      <c r="AO59" s="654">
        <f t="shared" si="126"/>
        <v>0</v>
      </c>
      <c r="AP59" s="641">
        <f t="shared" si="127"/>
        <v>20356343</v>
      </c>
      <c r="AQ59" s="641">
        <f t="shared" si="127"/>
        <v>38347515.25</v>
      </c>
      <c r="AR59" s="641">
        <f t="shared" si="128"/>
        <v>-17991172.25</v>
      </c>
      <c r="AS59" s="654">
        <f t="shared" si="129"/>
        <v>3345741</v>
      </c>
      <c r="AT59" s="654">
        <f t="shared" si="129"/>
        <v>4295536.4000000004</v>
      </c>
      <c r="AU59" s="654">
        <f t="shared" si="130"/>
        <v>-949795.40000000037</v>
      </c>
      <c r="AV59" s="668"/>
      <c r="AW59" s="668"/>
      <c r="AX59" s="668"/>
      <c r="AY59" s="668"/>
      <c r="AZ59" s="668"/>
      <c r="BA59" s="668"/>
      <c r="BB59" s="668"/>
      <c r="BC59" s="668"/>
    </row>
    <row r="60" spans="1:55" s="231" customFormat="1" ht="21.75" customHeight="1">
      <c r="A60" s="652">
        <v>27</v>
      </c>
      <c r="B60" s="431" t="s">
        <v>684</v>
      </c>
      <c r="C60" s="653">
        <f>+'Asset Classification'!C60</f>
        <v>547996554</v>
      </c>
      <c r="D60" s="654">
        <f>+'Asset Classification'!D60</f>
        <v>72605909</v>
      </c>
      <c r="E60" s="659">
        <f>+'Asset Classification'!E60</f>
        <v>398360019</v>
      </c>
      <c r="F60" s="660">
        <f>+'Asset Classification'!F60</f>
        <v>68724397</v>
      </c>
      <c r="G60" s="659">
        <f>+'Asset Classification'!G60</f>
        <v>0</v>
      </c>
      <c r="H60" s="654">
        <f t="shared" si="109"/>
        <v>3983600.19</v>
      </c>
      <c r="I60" s="654">
        <f t="shared" si="110"/>
        <v>-3983600.19</v>
      </c>
      <c r="J60" s="659">
        <f>+'Asset Classification'!I60</f>
        <v>84895131</v>
      </c>
      <c r="K60" s="660">
        <f>+'Asset Classification'!J60</f>
        <v>3060083</v>
      </c>
      <c r="L60" s="659">
        <f>+'Asset Classification'!K60</f>
        <v>4312030</v>
      </c>
      <c r="M60" s="654">
        <f t="shared" si="111"/>
        <v>8489513.0999999996</v>
      </c>
      <c r="N60" s="654">
        <f t="shared" si="112"/>
        <v>-4177483.0999999996</v>
      </c>
      <c r="O60" s="660">
        <f>+'Asset Classification'!L60</f>
        <v>223505</v>
      </c>
      <c r="P60" s="654">
        <f t="shared" si="113"/>
        <v>306008.3</v>
      </c>
      <c r="Q60" s="654">
        <f t="shared" si="114"/>
        <v>-82503.299999999988</v>
      </c>
      <c r="R60" s="659">
        <f>+'Asset Classification'!M60</f>
        <v>17893144</v>
      </c>
      <c r="S60" s="660">
        <f>+'Asset Classification'!N60</f>
        <v>0</v>
      </c>
      <c r="T60" s="659">
        <f>+'Asset Classification'!O60</f>
        <v>3733460</v>
      </c>
      <c r="U60" s="654">
        <f t="shared" si="115"/>
        <v>4473286</v>
      </c>
      <c r="V60" s="654">
        <f t="shared" si="116"/>
        <v>-739826</v>
      </c>
      <c r="W60" s="660">
        <f>+'Asset Classification'!P60</f>
        <v>0</v>
      </c>
      <c r="X60" s="654">
        <f t="shared" si="117"/>
        <v>0</v>
      </c>
      <c r="Y60" s="654">
        <f t="shared" si="118"/>
        <v>0</v>
      </c>
      <c r="Z60" s="659">
        <f>+'Asset Classification'!Q60</f>
        <v>36092738</v>
      </c>
      <c r="AA60" s="660">
        <f>+'Asset Classification'!R60</f>
        <v>821429</v>
      </c>
      <c r="AB60" s="659">
        <f>+'Asset Classification'!S60</f>
        <v>1402606</v>
      </c>
      <c r="AC60" s="654">
        <f t="shared" si="119"/>
        <v>18046369</v>
      </c>
      <c r="AD60" s="654">
        <f t="shared" si="120"/>
        <v>-16643763</v>
      </c>
      <c r="AE60" s="660">
        <f>+'Asset Classification'!T60</f>
        <v>47351</v>
      </c>
      <c r="AF60" s="654">
        <f t="shared" si="121"/>
        <v>410714.5</v>
      </c>
      <c r="AG60" s="654">
        <f t="shared" si="122"/>
        <v>-363363.5</v>
      </c>
      <c r="AH60" s="659">
        <f>+'Asset Classification'!U60</f>
        <v>10755522</v>
      </c>
      <c r="AI60" s="660">
        <f>+'Asset Classification'!V60</f>
        <v>0</v>
      </c>
      <c r="AJ60" s="659">
        <f>+'Asset Classification'!W60</f>
        <v>7024264</v>
      </c>
      <c r="AK60" s="654">
        <f t="shared" si="123"/>
        <v>10755522</v>
      </c>
      <c r="AL60" s="654">
        <f t="shared" si="124"/>
        <v>-3731258</v>
      </c>
      <c r="AM60" s="660">
        <f>+'Asset Classification'!X60</f>
        <v>0</v>
      </c>
      <c r="AN60" s="654">
        <f t="shared" si="125"/>
        <v>0</v>
      </c>
      <c r="AO60" s="654">
        <f t="shared" si="126"/>
        <v>0</v>
      </c>
      <c r="AP60" s="641">
        <f t="shared" si="127"/>
        <v>16472360</v>
      </c>
      <c r="AQ60" s="641">
        <f t="shared" si="127"/>
        <v>41764690.100000001</v>
      </c>
      <c r="AR60" s="641">
        <f t="shared" si="128"/>
        <v>-25292330.100000001</v>
      </c>
      <c r="AS60" s="654">
        <f t="shared" si="129"/>
        <v>270856</v>
      </c>
      <c r="AT60" s="654">
        <f t="shared" si="129"/>
        <v>716722.8</v>
      </c>
      <c r="AU60" s="654">
        <f t="shared" si="130"/>
        <v>-445866.80000000005</v>
      </c>
      <c r="AV60" s="668"/>
      <c r="AW60" s="668"/>
      <c r="AX60" s="668"/>
      <c r="AY60" s="668"/>
      <c r="AZ60" s="668"/>
      <c r="BA60" s="668"/>
      <c r="BB60" s="668"/>
      <c r="BC60" s="668"/>
    </row>
    <row r="61" spans="1:55" s="231" customFormat="1" ht="21.75" customHeight="1">
      <c r="A61" s="652">
        <v>28</v>
      </c>
      <c r="B61" s="431" t="s">
        <v>685</v>
      </c>
      <c r="C61" s="653">
        <f>+'Asset Classification'!C61</f>
        <v>767743114</v>
      </c>
      <c r="D61" s="654">
        <f>+'Asset Classification'!D61</f>
        <v>69621298</v>
      </c>
      <c r="E61" s="659">
        <f>+'Asset Classification'!E61</f>
        <v>577941767</v>
      </c>
      <c r="F61" s="660">
        <f>+'Asset Classification'!F61</f>
        <v>32960450</v>
      </c>
      <c r="G61" s="659">
        <f>+'Asset Classification'!G61</f>
        <v>0</v>
      </c>
      <c r="H61" s="654">
        <f t="shared" si="109"/>
        <v>5779417.6699999999</v>
      </c>
      <c r="I61" s="654">
        <f t="shared" si="110"/>
        <v>-5779417.6699999999</v>
      </c>
      <c r="J61" s="659">
        <f>+'Asset Classification'!I61</f>
        <v>142784244</v>
      </c>
      <c r="K61" s="660">
        <f>+'Asset Classification'!J61</f>
        <v>36660848</v>
      </c>
      <c r="L61" s="659">
        <f>+'Asset Classification'!K61</f>
        <v>6750330</v>
      </c>
      <c r="M61" s="654">
        <f t="shared" si="111"/>
        <v>14278424.4</v>
      </c>
      <c r="N61" s="654">
        <f t="shared" si="112"/>
        <v>-7528094.4000000004</v>
      </c>
      <c r="O61" s="660">
        <f>+'Asset Classification'!L61</f>
        <v>3158664</v>
      </c>
      <c r="P61" s="654">
        <f t="shared" si="113"/>
        <v>3666084.8000000003</v>
      </c>
      <c r="Q61" s="654">
        <f t="shared" si="114"/>
        <v>-507420.80000000028</v>
      </c>
      <c r="R61" s="659">
        <f>+'Asset Classification'!M61</f>
        <v>10765668</v>
      </c>
      <c r="S61" s="660">
        <f>+'Asset Classification'!N61</f>
        <v>0</v>
      </c>
      <c r="T61" s="659">
        <f>+'Asset Classification'!O61</f>
        <v>2933811</v>
      </c>
      <c r="U61" s="654">
        <f t="shared" si="115"/>
        <v>2691417</v>
      </c>
      <c r="V61" s="654">
        <f t="shared" si="116"/>
        <v>242394</v>
      </c>
      <c r="W61" s="660">
        <f>+'Asset Classification'!P61</f>
        <v>0</v>
      </c>
      <c r="X61" s="654">
        <f t="shared" si="117"/>
        <v>0</v>
      </c>
      <c r="Y61" s="654">
        <f t="shared" si="118"/>
        <v>0</v>
      </c>
      <c r="Z61" s="659">
        <f>+'Asset Classification'!Q61</f>
        <v>18968896</v>
      </c>
      <c r="AA61" s="660">
        <f>+'Asset Classification'!R61</f>
        <v>0</v>
      </c>
      <c r="AB61" s="659">
        <f>+'Asset Classification'!S61</f>
        <v>2900386</v>
      </c>
      <c r="AC61" s="654">
        <f t="shared" si="119"/>
        <v>9484448</v>
      </c>
      <c r="AD61" s="654">
        <f t="shared" si="120"/>
        <v>-6584062</v>
      </c>
      <c r="AE61" s="660">
        <f>+'Asset Classification'!T61</f>
        <v>0</v>
      </c>
      <c r="AF61" s="654">
        <f t="shared" si="121"/>
        <v>0</v>
      </c>
      <c r="AG61" s="654">
        <f t="shared" si="122"/>
        <v>0</v>
      </c>
      <c r="AH61" s="659">
        <f>+'Asset Classification'!U61</f>
        <v>17282539</v>
      </c>
      <c r="AI61" s="660">
        <f>+'Asset Classification'!V61</f>
        <v>0</v>
      </c>
      <c r="AJ61" s="659">
        <f>+'Asset Classification'!W61</f>
        <v>12766299</v>
      </c>
      <c r="AK61" s="654">
        <f t="shared" si="123"/>
        <v>17282539</v>
      </c>
      <c r="AL61" s="654">
        <f t="shared" si="124"/>
        <v>-4516240</v>
      </c>
      <c r="AM61" s="660">
        <f>+'Asset Classification'!X61</f>
        <v>0</v>
      </c>
      <c r="AN61" s="654">
        <f t="shared" si="125"/>
        <v>0</v>
      </c>
      <c r="AO61" s="654">
        <f t="shared" si="126"/>
        <v>0</v>
      </c>
      <c r="AP61" s="641">
        <f t="shared" si="127"/>
        <v>25350826</v>
      </c>
      <c r="AQ61" s="641">
        <f t="shared" si="127"/>
        <v>43736828.399999999</v>
      </c>
      <c r="AR61" s="641">
        <f t="shared" si="128"/>
        <v>-18386002.399999999</v>
      </c>
      <c r="AS61" s="654">
        <f t="shared" si="129"/>
        <v>3158664</v>
      </c>
      <c r="AT61" s="654">
        <f t="shared" si="129"/>
        <v>3666084.8000000003</v>
      </c>
      <c r="AU61" s="654">
        <f t="shared" si="130"/>
        <v>-507420.80000000028</v>
      </c>
      <c r="AV61" s="668"/>
      <c r="AW61" s="668"/>
      <c r="AX61" s="668"/>
      <c r="AY61" s="668"/>
      <c r="AZ61" s="668"/>
      <c r="BA61" s="668"/>
      <c r="BB61" s="668"/>
      <c r="BC61" s="668"/>
    </row>
    <row r="62" spans="1:55" s="231" customFormat="1" ht="21.75" customHeight="1">
      <c r="A62" s="652">
        <v>29</v>
      </c>
      <c r="B62" s="431" t="s">
        <v>686</v>
      </c>
      <c r="C62" s="653">
        <f>+'Asset Classification'!C62</f>
        <v>507490838</v>
      </c>
      <c r="D62" s="654">
        <f>+'Asset Classification'!D62</f>
        <v>20403943</v>
      </c>
      <c r="E62" s="659">
        <f>+'Asset Classification'!E62</f>
        <v>407075144</v>
      </c>
      <c r="F62" s="660">
        <f>+'Asset Classification'!F62</f>
        <v>17268363</v>
      </c>
      <c r="G62" s="659">
        <f>+'Asset Classification'!G62</f>
        <v>0</v>
      </c>
      <c r="H62" s="654">
        <f t="shared" si="109"/>
        <v>4070751.44</v>
      </c>
      <c r="I62" s="654">
        <f t="shared" si="110"/>
        <v>-4070751.44</v>
      </c>
      <c r="J62" s="659">
        <f>+'Asset Classification'!I62</f>
        <v>77288530</v>
      </c>
      <c r="K62" s="660">
        <f>+'Asset Classification'!J62</f>
        <v>1613243</v>
      </c>
      <c r="L62" s="659">
        <f>+'Asset Classification'!K62</f>
        <v>2179861</v>
      </c>
      <c r="M62" s="654">
        <f t="shared" si="111"/>
        <v>7728853</v>
      </c>
      <c r="N62" s="654">
        <f t="shared" si="112"/>
        <v>-5548992</v>
      </c>
      <c r="O62" s="660">
        <f>+'Asset Classification'!L62</f>
        <v>0</v>
      </c>
      <c r="P62" s="654">
        <f t="shared" si="113"/>
        <v>161324.30000000002</v>
      </c>
      <c r="Q62" s="654">
        <f t="shared" si="114"/>
        <v>-161324.30000000002</v>
      </c>
      <c r="R62" s="659">
        <f>+'Asset Classification'!M62</f>
        <v>3291673</v>
      </c>
      <c r="S62" s="660">
        <f>+'Asset Classification'!N62</f>
        <v>0</v>
      </c>
      <c r="T62" s="659">
        <f>+'Asset Classification'!O62</f>
        <v>2358680</v>
      </c>
      <c r="U62" s="654">
        <f t="shared" si="115"/>
        <v>822918.25</v>
      </c>
      <c r="V62" s="654">
        <f t="shared" si="116"/>
        <v>1535761.75</v>
      </c>
      <c r="W62" s="660">
        <f>+'Asset Classification'!P62</f>
        <v>0</v>
      </c>
      <c r="X62" s="654">
        <f t="shared" si="117"/>
        <v>0</v>
      </c>
      <c r="Y62" s="654">
        <f t="shared" si="118"/>
        <v>0</v>
      </c>
      <c r="Z62" s="659">
        <f>+'Asset Classification'!Q62</f>
        <v>9484731</v>
      </c>
      <c r="AA62" s="660">
        <f>+'Asset Classification'!R62</f>
        <v>1522337</v>
      </c>
      <c r="AB62" s="659">
        <f>+'Asset Classification'!S62</f>
        <v>1314657</v>
      </c>
      <c r="AC62" s="654">
        <f t="shared" si="119"/>
        <v>4742365.5</v>
      </c>
      <c r="AD62" s="654">
        <f t="shared" si="120"/>
        <v>-3427708.5</v>
      </c>
      <c r="AE62" s="660">
        <f>+'Asset Classification'!T62</f>
        <v>0</v>
      </c>
      <c r="AF62" s="654">
        <f t="shared" si="121"/>
        <v>761168.5</v>
      </c>
      <c r="AG62" s="654">
        <f t="shared" si="122"/>
        <v>-761168.5</v>
      </c>
      <c r="AH62" s="659">
        <f>+'Asset Classification'!U62</f>
        <v>10350760</v>
      </c>
      <c r="AI62" s="660">
        <f>+'Asset Classification'!V62</f>
        <v>0</v>
      </c>
      <c r="AJ62" s="659">
        <f>+'Asset Classification'!W62</f>
        <v>4701480</v>
      </c>
      <c r="AK62" s="654">
        <f t="shared" si="123"/>
        <v>10350760</v>
      </c>
      <c r="AL62" s="654">
        <f t="shared" si="124"/>
        <v>-5649280</v>
      </c>
      <c r="AM62" s="660">
        <f>+'Asset Classification'!X62</f>
        <v>0</v>
      </c>
      <c r="AN62" s="654">
        <f t="shared" si="125"/>
        <v>0</v>
      </c>
      <c r="AO62" s="654">
        <f t="shared" si="126"/>
        <v>0</v>
      </c>
      <c r="AP62" s="641">
        <f t="shared" si="127"/>
        <v>10554678</v>
      </c>
      <c r="AQ62" s="641">
        <f t="shared" si="127"/>
        <v>23644896.75</v>
      </c>
      <c r="AR62" s="641">
        <f t="shared" si="128"/>
        <v>-13090218.75</v>
      </c>
      <c r="AS62" s="654">
        <f t="shared" si="129"/>
        <v>0</v>
      </c>
      <c r="AT62" s="654">
        <f t="shared" si="129"/>
        <v>922492.8</v>
      </c>
      <c r="AU62" s="654">
        <f t="shared" si="130"/>
        <v>-922492.8</v>
      </c>
      <c r="AV62" s="668"/>
      <c r="AW62" s="668"/>
      <c r="AX62" s="668"/>
      <c r="AY62" s="668"/>
      <c r="AZ62" s="668"/>
      <c r="BA62" s="668"/>
      <c r="BB62" s="668"/>
      <c r="BC62" s="668"/>
    </row>
    <row r="63" spans="1:55" s="231" customFormat="1" ht="21.75" customHeight="1">
      <c r="A63" s="652">
        <v>30</v>
      </c>
      <c r="B63" s="431" t="s">
        <v>687</v>
      </c>
      <c r="C63" s="653">
        <f>+'Asset Classification'!C63</f>
        <v>727974842</v>
      </c>
      <c r="D63" s="654">
        <f>+'Asset Classification'!D63</f>
        <v>52845608</v>
      </c>
      <c r="E63" s="659">
        <f>+'Asset Classification'!E63</f>
        <v>455508185</v>
      </c>
      <c r="F63" s="660">
        <f>+'Asset Classification'!F63</f>
        <v>44094001</v>
      </c>
      <c r="G63" s="659">
        <f>+'Asset Classification'!G63</f>
        <v>0</v>
      </c>
      <c r="H63" s="654">
        <f t="shared" si="109"/>
        <v>4555081.8500000006</v>
      </c>
      <c r="I63" s="654">
        <f t="shared" si="110"/>
        <v>-4555081.8500000006</v>
      </c>
      <c r="J63" s="659">
        <f>+'Asset Classification'!I63</f>
        <v>216053183</v>
      </c>
      <c r="K63" s="660">
        <f>+'Asset Classification'!J63</f>
        <v>8751607</v>
      </c>
      <c r="L63" s="659">
        <f>+'Asset Classification'!K63</f>
        <v>13576487</v>
      </c>
      <c r="M63" s="654">
        <f t="shared" si="111"/>
        <v>21605318.300000001</v>
      </c>
      <c r="N63" s="654">
        <f t="shared" si="112"/>
        <v>-8028831.3000000007</v>
      </c>
      <c r="O63" s="660">
        <f>+'Asset Classification'!L63</f>
        <v>875161</v>
      </c>
      <c r="P63" s="654">
        <f t="shared" si="113"/>
        <v>875160.70000000007</v>
      </c>
      <c r="Q63" s="654">
        <f t="shared" si="114"/>
        <v>0.29999999993015081</v>
      </c>
      <c r="R63" s="659">
        <f>+'Asset Classification'!M63</f>
        <v>11231296</v>
      </c>
      <c r="S63" s="660">
        <f>+'Asset Classification'!N63</f>
        <v>0</v>
      </c>
      <c r="T63" s="659">
        <f>+'Asset Classification'!O63</f>
        <v>7375185</v>
      </c>
      <c r="U63" s="654">
        <f t="shared" si="115"/>
        <v>2807824</v>
      </c>
      <c r="V63" s="654">
        <f t="shared" si="116"/>
        <v>4567361</v>
      </c>
      <c r="W63" s="660">
        <f>+'Asset Classification'!P63</f>
        <v>0</v>
      </c>
      <c r="X63" s="654">
        <f t="shared" si="117"/>
        <v>0</v>
      </c>
      <c r="Y63" s="654">
        <f t="shared" si="118"/>
        <v>0</v>
      </c>
      <c r="Z63" s="659">
        <f>+'Asset Classification'!Q63</f>
        <v>23942746</v>
      </c>
      <c r="AA63" s="660">
        <f>+'Asset Classification'!R63</f>
        <v>0</v>
      </c>
      <c r="AB63" s="659">
        <f>+'Asset Classification'!S63</f>
        <v>2373046</v>
      </c>
      <c r="AC63" s="654">
        <f t="shared" si="119"/>
        <v>11971373</v>
      </c>
      <c r="AD63" s="654">
        <f t="shared" si="120"/>
        <v>-9598327</v>
      </c>
      <c r="AE63" s="660">
        <f>+'Asset Classification'!T63</f>
        <v>0</v>
      </c>
      <c r="AF63" s="654">
        <f t="shared" si="121"/>
        <v>0</v>
      </c>
      <c r="AG63" s="654">
        <f t="shared" si="122"/>
        <v>0</v>
      </c>
      <c r="AH63" s="659">
        <f>+'Asset Classification'!U63</f>
        <v>21239432</v>
      </c>
      <c r="AI63" s="660">
        <f>+'Asset Classification'!V63</f>
        <v>0</v>
      </c>
      <c r="AJ63" s="659">
        <f>+'Asset Classification'!W63</f>
        <v>9016164</v>
      </c>
      <c r="AK63" s="654">
        <f t="shared" si="123"/>
        <v>21239432</v>
      </c>
      <c r="AL63" s="654">
        <f t="shared" si="124"/>
        <v>-12223268</v>
      </c>
      <c r="AM63" s="660">
        <f>+'Asset Classification'!X63</f>
        <v>0</v>
      </c>
      <c r="AN63" s="654">
        <f t="shared" si="125"/>
        <v>0</v>
      </c>
      <c r="AO63" s="654">
        <f t="shared" si="126"/>
        <v>0</v>
      </c>
      <c r="AP63" s="641">
        <f t="shared" si="127"/>
        <v>32340882</v>
      </c>
      <c r="AQ63" s="641">
        <f t="shared" si="127"/>
        <v>57623947.299999997</v>
      </c>
      <c r="AR63" s="641">
        <f t="shared" si="128"/>
        <v>-25283065.299999997</v>
      </c>
      <c r="AS63" s="654">
        <f t="shared" si="129"/>
        <v>875161</v>
      </c>
      <c r="AT63" s="654">
        <f t="shared" si="129"/>
        <v>875160.70000000007</v>
      </c>
      <c r="AU63" s="654">
        <f t="shared" si="130"/>
        <v>0.29999999993015081</v>
      </c>
      <c r="AV63" s="668"/>
      <c r="AW63" s="668"/>
      <c r="AX63" s="668"/>
      <c r="AY63" s="668"/>
      <c r="AZ63" s="668"/>
      <c r="BA63" s="668"/>
      <c r="BB63" s="668"/>
      <c r="BC63" s="668"/>
    </row>
    <row r="64" spans="1:55" s="231" customFormat="1" ht="21.75" customHeight="1">
      <c r="A64" s="652">
        <v>31</v>
      </c>
      <c r="B64" s="431" t="s">
        <v>688</v>
      </c>
      <c r="C64" s="653">
        <f>+'Asset Classification'!C64</f>
        <v>1153767885</v>
      </c>
      <c r="D64" s="654">
        <f>+'Asset Classification'!D64</f>
        <v>54525847</v>
      </c>
      <c r="E64" s="659">
        <f>+'Asset Classification'!E64</f>
        <v>922745537</v>
      </c>
      <c r="F64" s="660">
        <f>+'Asset Classification'!F64</f>
        <v>48716419</v>
      </c>
      <c r="G64" s="659">
        <f>+'Asset Classification'!G64</f>
        <v>0</v>
      </c>
      <c r="H64" s="654">
        <f t="shared" si="109"/>
        <v>9227455.370000001</v>
      </c>
      <c r="I64" s="654">
        <f t="shared" si="110"/>
        <v>-9227455.370000001</v>
      </c>
      <c r="J64" s="659">
        <f>+'Asset Classification'!I64</f>
        <v>184592845</v>
      </c>
      <c r="K64" s="660">
        <f>+'Asset Classification'!J64</f>
        <v>5809428</v>
      </c>
      <c r="L64" s="659">
        <f>+'Asset Classification'!K64</f>
        <v>9261236</v>
      </c>
      <c r="M64" s="654">
        <f t="shared" si="111"/>
        <v>18459284.5</v>
      </c>
      <c r="N64" s="654">
        <f t="shared" si="112"/>
        <v>-9198048.5</v>
      </c>
      <c r="O64" s="660">
        <f>+'Asset Classification'!L64</f>
        <v>0</v>
      </c>
      <c r="P64" s="654">
        <f t="shared" si="113"/>
        <v>580942.80000000005</v>
      </c>
      <c r="Q64" s="654">
        <f t="shared" si="114"/>
        <v>-580942.80000000005</v>
      </c>
      <c r="R64" s="659">
        <f>+'Asset Classification'!M64</f>
        <v>10320155</v>
      </c>
      <c r="S64" s="660">
        <f>+'Asset Classification'!N64</f>
        <v>0</v>
      </c>
      <c r="T64" s="659">
        <f>+'Asset Classification'!O64</f>
        <v>9046312</v>
      </c>
      <c r="U64" s="654">
        <f t="shared" si="115"/>
        <v>2580038.75</v>
      </c>
      <c r="V64" s="654">
        <f t="shared" si="116"/>
        <v>6466273.25</v>
      </c>
      <c r="W64" s="660">
        <f>+'Asset Classification'!P64</f>
        <v>0</v>
      </c>
      <c r="X64" s="654">
        <f t="shared" si="117"/>
        <v>0</v>
      </c>
      <c r="Y64" s="654">
        <f t="shared" si="118"/>
        <v>0</v>
      </c>
      <c r="Z64" s="659">
        <f>+'Asset Classification'!Q64</f>
        <v>16311211</v>
      </c>
      <c r="AA64" s="660">
        <f>+'Asset Classification'!R64</f>
        <v>0</v>
      </c>
      <c r="AB64" s="659">
        <f>+'Asset Classification'!S64</f>
        <v>1057389</v>
      </c>
      <c r="AC64" s="654">
        <f t="shared" si="119"/>
        <v>8155605.5</v>
      </c>
      <c r="AD64" s="654">
        <f t="shared" si="120"/>
        <v>-7098216.5</v>
      </c>
      <c r="AE64" s="660">
        <f>+'Asset Classification'!T64</f>
        <v>0</v>
      </c>
      <c r="AF64" s="654">
        <f t="shared" si="121"/>
        <v>0</v>
      </c>
      <c r="AG64" s="654">
        <f t="shared" si="122"/>
        <v>0</v>
      </c>
      <c r="AH64" s="659">
        <f>+'Asset Classification'!U64</f>
        <v>19798137</v>
      </c>
      <c r="AI64" s="660">
        <f>+'Asset Classification'!V64</f>
        <v>0</v>
      </c>
      <c r="AJ64" s="659">
        <f>+'Asset Classification'!W64</f>
        <v>18866796</v>
      </c>
      <c r="AK64" s="654">
        <f t="shared" si="123"/>
        <v>19798137</v>
      </c>
      <c r="AL64" s="654">
        <f t="shared" si="124"/>
        <v>-931341</v>
      </c>
      <c r="AM64" s="660">
        <f>+'Asset Classification'!X64</f>
        <v>0</v>
      </c>
      <c r="AN64" s="654">
        <f t="shared" si="125"/>
        <v>0</v>
      </c>
      <c r="AO64" s="654">
        <f t="shared" si="126"/>
        <v>0</v>
      </c>
      <c r="AP64" s="641">
        <f t="shared" si="127"/>
        <v>38231733</v>
      </c>
      <c r="AQ64" s="641">
        <f t="shared" si="127"/>
        <v>48993065.75</v>
      </c>
      <c r="AR64" s="641">
        <f t="shared" si="128"/>
        <v>-10761332.75</v>
      </c>
      <c r="AS64" s="654">
        <f t="shared" si="129"/>
        <v>0</v>
      </c>
      <c r="AT64" s="654">
        <f t="shared" si="129"/>
        <v>580942.80000000005</v>
      </c>
      <c r="AU64" s="654">
        <f t="shared" si="130"/>
        <v>-580942.80000000005</v>
      </c>
      <c r="AV64" s="668"/>
      <c r="AW64" s="668"/>
      <c r="AX64" s="668"/>
      <c r="AY64" s="668"/>
      <c r="AZ64" s="668"/>
      <c r="BA64" s="668"/>
      <c r="BB64" s="668"/>
      <c r="BC64" s="668"/>
    </row>
    <row r="65" spans="1:55" s="231" customFormat="1" ht="21.75" customHeight="1">
      <c r="A65" s="652">
        <v>32</v>
      </c>
      <c r="B65" s="431" t="s">
        <v>689</v>
      </c>
      <c r="C65" s="653">
        <f>+'Asset Classification'!C65</f>
        <v>1425912155</v>
      </c>
      <c r="D65" s="654">
        <f>+'Asset Classification'!D65</f>
        <v>324648476</v>
      </c>
      <c r="E65" s="659">
        <f>+'Asset Classification'!E65</f>
        <v>987707189</v>
      </c>
      <c r="F65" s="660">
        <f>+'Asset Classification'!F65</f>
        <v>140265297</v>
      </c>
      <c r="G65" s="659">
        <f>+'Asset Classification'!G65</f>
        <v>0</v>
      </c>
      <c r="H65" s="654">
        <f t="shared" si="109"/>
        <v>9877071.8900000006</v>
      </c>
      <c r="I65" s="654">
        <f t="shared" si="110"/>
        <v>-9877071.8900000006</v>
      </c>
      <c r="J65" s="659">
        <f>+'Asset Classification'!I65</f>
        <v>375756114</v>
      </c>
      <c r="K65" s="660">
        <f>+'Asset Classification'!J65</f>
        <v>183167888</v>
      </c>
      <c r="L65" s="659">
        <f>+'Asset Classification'!K65</f>
        <v>9747282</v>
      </c>
      <c r="M65" s="654">
        <f t="shared" si="111"/>
        <v>37575611.399999999</v>
      </c>
      <c r="N65" s="654">
        <f t="shared" si="112"/>
        <v>-27828329.399999999</v>
      </c>
      <c r="O65" s="660">
        <f>+'Asset Classification'!L65</f>
        <v>27010739</v>
      </c>
      <c r="P65" s="654">
        <f t="shared" si="113"/>
        <v>18316788.800000001</v>
      </c>
      <c r="Q65" s="654">
        <f t="shared" si="114"/>
        <v>8693950.1999999993</v>
      </c>
      <c r="R65" s="659">
        <f>+'Asset Classification'!M65</f>
        <v>9475624</v>
      </c>
      <c r="S65" s="660">
        <f>+'Asset Classification'!N65</f>
        <v>0</v>
      </c>
      <c r="T65" s="659">
        <f>+'Asset Classification'!O65</f>
        <v>5110652</v>
      </c>
      <c r="U65" s="654">
        <f t="shared" si="115"/>
        <v>2368906</v>
      </c>
      <c r="V65" s="654">
        <f t="shared" si="116"/>
        <v>2741746</v>
      </c>
      <c r="W65" s="660">
        <f>+'Asset Classification'!P65</f>
        <v>0</v>
      </c>
      <c r="X65" s="654">
        <f t="shared" si="117"/>
        <v>0</v>
      </c>
      <c r="Y65" s="654">
        <f t="shared" si="118"/>
        <v>0</v>
      </c>
      <c r="Z65" s="659">
        <f>+'Asset Classification'!Q65</f>
        <v>37109176</v>
      </c>
      <c r="AA65" s="660">
        <f>+'Asset Classification'!R65</f>
        <v>380912</v>
      </c>
      <c r="AB65" s="659">
        <f>+'Asset Classification'!S65</f>
        <v>4311531</v>
      </c>
      <c r="AC65" s="654">
        <f t="shared" si="119"/>
        <v>18554588</v>
      </c>
      <c r="AD65" s="654">
        <f t="shared" si="120"/>
        <v>-14243057</v>
      </c>
      <c r="AE65" s="660">
        <f>+'Asset Classification'!T65</f>
        <v>190456</v>
      </c>
      <c r="AF65" s="654">
        <f t="shared" si="121"/>
        <v>190456</v>
      </c>
      <c r="AG65" s="654">
        <f t="shared" si="122"/>
        <v>0</v>
      </c>
      <c r="AH65" s="659">
        <f>+'Asset Classification'!U65</f>
        <v>15864052</v>
      </c>
      <c r="AI65" s="660">
        <f>+'Asset Classification'!V65</f>
        <v>834379</v>
      </c>
      <c r="AJ65" s="659">
        <f>+'Asset Classification'!W65</f>
        <v>10385494</v>
      </c>
      <c r="AK65" s="654">
        <f t="shared" si="123"/>
        <v>15864052</v>
      </c>
      <c r="AL65" s="654">
        <f t="shared" si="124"/>
        <v>-5478558</v>
      </c>
      <c r="AM65" s="660">
        <f>+'Asset Classification'!X65</f>
        <v>834379</v>
      </c>
      <c r="AN65" s="654">
        <f t="shared" si="125"/>
        <v>834379</v>
      </c>
      <c r="AO65" s="654">
        <f t="shared" si="126"/>
        <v>0</v>
      </c>
      <c r="AP65" s="641">
        <f t="shared" si="127"/>
        <v>29554959</v>
      </c>
      <c r="AQ65" s="641">
        <f t="shared" si="127"/>
        <v>74363157.400000006</v>
      </c>
      <c r="AR65" s="641">
        <f t="shared" si="128"/>
        <v>-44808198.400000006</v>
      </c>
      <c r="AS65" s="654">
        <f t="shared" si="129"/>
        <v>28035574</v>
      </c>
      <c r="AT65" s="654">
        <f t="shared" si="129"/>
        <v>19341623.800000001</v>
      </c>
      <c r="AU65" s="654">
        <f t="shared" si="130"/>
        <v>8693950.1999999993</v>
      </c>
      <c r="AV65" s="668"/>
      <c r="AW65" s="668"/>
      <c r="AX65" s="668"/>
      <c r="AY65" s="668"/>
      <c r="AZ65" s="668"/>
      <c r="BA65" s="668"/>
      <c r="BB65" s="668"/>
      <c r="BC65" s="668"/>
    </row>
    <row r="66" spans="1:55" s="231" customFormat="1" ht="21.75" customHeight="1">
      <c r="A66" s="652">
        <v>33</v>
      </c>
      <c r="B66" s="431" t="s">
        <v>690</v>
      </c>
      <c r="C66" s="653">
        <f>+'Asset Classification'!C66</f>
        <v>710286876</v>
      </c>
      <c r="D66" s="654">
        <f>+'Asset Classification'!D66</f>
        <v>249092460</v>
      </c>
      <c r="E66" s="659">
        <f>+'Asset Classification'!E66</f>
        <v>355290328</v>
      </c>
      <c r="F66" s="660">
        <f>+'Asset Classification'!F66</f>
        <v>54401572</v>
      </c>
      <c r="G66" s="659">
        <f>+'Asset Classification'!G66</f>
        <v>0</v>
      </c>
      <c r="H66" s="654">
        <f t="shared" si="109"/>
        <v>3552903.2800000003</v>
      </c>
      <c r="I66" s="654">
        <f t="shared" si="110"/>
        <v>-3552903.2800000003</v>
      </c>
      <c r="J66" s="659">
        <f>+'Asset Classification'!I66</f>
        <v>319889419</v>
      </c>
      <c r="K66" s="660">
        <f>+'Asset Classification'!J66</f>
        <v>194690888</v>
      </c>
      <c r="L66" s="659">
        <f>+'Asset Classification'!K66</f>
        <v>5516399</v>
      </c>
      <c r="M66" s="654">
        <f t="shared" si="111"/>
        <v>31988941.900000002</v>
      </c>
      <c r="N66" s="654">
        <f t="shared" si="112"/>
        <v>-26472542.900000002</v>
      </c>
      <c r="O66" s="660">
        <f>+'Asset Classification'!L66</f>
        <v>564218</v>
      </c>
      <c r="P66" s="654">
        <f t="shared" si="113"/>
        <v>19469088.800000001</v>
      </c>
      <c r="Q66" s="654">
        <f t="shared" si="114"/>
        <v>-18904870.800000001</v>
      </c>
      <c r="R66" s="659">
        <f>+'Asset Classification'!M66</f>
        <v>1859501</v>
      </c>
      <c r="S66" s="660">
        <f>+'Asset Classification'!N66</f>
        <v>0</v>
      </c>
      <c r="T66" s="659">
        <f>+'Asset Classification'!O66</f>
        <v>3117932</v>
      </c>
      <c r="U66" s="654">
        <f t="shared" si="115"/>
        <v>464875.25</v>
      </c>
      <c r="V66" s="654">
        <f t="shared" si="116"/>
        <v>2653056.75</v>
      </c>
      <c r="W66" s="660">
        <f>+'Asset Classification'!P66</f>
        <v>0</v>
      </c>
      <c r="X66" s="654">
        <f t="shared" si="117"/>
        <v>0</v>
      </c>
      <c r="Y66" s="654">
        <f t="shared" si="118"/>
        <v>0</v>
      </c>
      <c r="Z66" s="659">
        <f>+'Asset Classification'!Q66</f>
        <v>19501824</v>
      </c>
      <c r="AA66" s="660">
        <f>+'Asset Classification'!R66</f>
        <v>0</v>
      </c>
      <c r="AB66" s="659">
        <f>+'Asset Classification'!S66</f>
        <v>2168715</v>
      </c>
      <c r="AC66" s="654">
        <f t="shared" si="119"/>
        <v>9750912</v>
      </c>
      <c r="AD66" s="654">
        <f t="shared" si="120"/>
        <v>-7582197</v>
      </c>
      <c r="AE66" s="660">
        <f>+'Asset Classification'!T66</f>
        <v>0</v>
      </c>
      <c r="AF66" s="654">
        <f t="shared" si="121"/>
        <v>0</v>
      </c>
      <c r="AG66" s="654">
        <f t="shared" si="122"/>
        <v>0</v>
      </c>
      <c r="AH66" s="659">
        <f>+'Asset Classification'!U66</f>
        <v>13745804</v>
      </c>
      <c r="AI66" s="660">
        <f>+'Asset Classification'!V66</f>
        <v>0</v>
      </c>
      <c r="AJ66" s="659">
        <f>+'Asset Classification'!W66</f>
        <v>5152982</v>
      </c>
      <c r="AK66" s="654">
        <f t="shared" si="123"/>
        <v>13745804</v>
      </c>
      <c r="AL66" s="654">
        <f t="shared" si="124"/>
        <v>-8592822</v>
      </c>
      <c r="AM66" s="660">
        <f>+'Asset Classification'!X66</f>
        <v>0</v>
      </c>
      <c r="AN66" s="654">
        <f t="shared" si="125"/>
        <v>0</v>
      </c>
      <c r="AO66" s="654">
        <f t="shared" si="126"/>
        <v>0</v>
      </c>
      <c r="AP66" s="641">
        <f t="shared" si="127"/>
        <v>15956028</v>
      </c>
      <c r="AQ66" s="641">
        <f t="shared" si="127"/>
        <v>55950533.150000006</v>
      </c>
      <c r="AR66" s="641">
        <f t="shared" si="128"/>
        <v>-39994505.150000006</v>
      </c>
      <c r="AS66" s="654">
        <f t="shared" si="129"/>
        <v>564218</v>
      </c>
      <c r="AT66" s="654">
        <f t="shared" si="129"/>
        <v>19469088.800000001</v>
      </c>
      <c r="AU66" s="654">
        <f t="shared" si="130"/>
        <v>-18904870.800000001</v>
      </c>
      <c r="AV66" s="668"/>
      <c r="AW66" s="668"/>
      <c r="AX66" s="668"/>
      <c r="AY66" s="668"/>
      <c r="AZ66" s="668"/>
      <c r="BA66" s="668"/>
      <c r="BB66" s="668"/>
      <c r="BC66" s="668"/>
    </row>
    <row r="67" spans="1:55" s="231" customFormat="1" ht="21.75" customHeight="1">
      <c r="A67" s="652">
        <v>34</v>
      </c>
      <c r="B67" s="431" t="s">
        <v>691</v>
      </c>
      <c r="C67" s="653">
        <f>+'Asset Classification'!C67</f>
        <v>2434783949</v>
      </c>
      <c r="D67" s="654">
        <f>+'Asset Classification'!D67</f>
        <v>1618798019</v>
      </c>
      <c r="E67" s="659">
        <f>+'Asset Classification'!E67</f>
        <v>2196589058</v>
      </c>
      <c r="F67" s="660">
        <f>+'Asset Classification'!F67</f>
        <v>1472710406</v>
      </c>
      <c r="G67" s="659">
        <f>+'Asset Classification'!G67</f>
        <v>48718159</v>
      </c>
      <c r="H67" s="654">
        <f t="shared" si="109"/>
        <v>21965890.580000002</v>
      </c>
      <c r="I67" s="654">
        <f t="shared" si="110"/>
        <v>26752268.419999998</v>
      </c>
      <c r="J67" s="659">
        <f>+'Asset Classification'!I67</f>
        <v>221675613</v>
      </c>
      <c r="K67" s="660">
        <f>+'Asset Classification'!J67</f>
        <v>144142571</v>
      </c>
      <c r="L67" s="659">
        <f>+'Asset Classification'!K67</f>
        <v>20555244</v>
      </c>
      <c r="M67" s="654">
        <f t="shared" si="111"/>
        <v>22167561.300000001</v>
      </c>
      <c r="N67" s="654">
        <f t="shared" si="112"/>
        <v>-1612317.3000000007</v>
      </c>
      <c r="O67" s="660">
        <f>+'Asset Classification'!L67</f>
        <v>14148070</v>
      </c>
      <c r="P67" s="654">
        <f t="shared" si="113"/>
        <v>14414257.100000001</v>
      </c>
      <c r="Q67" s="654">
        <f t="shared" si="114"/>
        <v>-266187.10000000149</v>
      </c>
      <c r="R67" s="659">
        <f>+'Asset Classification'!M67</f>
        <v>2087192</v>
      </c>
      <c r="S67" s="660">
        <f>+'Asset Classification'!N67</f>
        <v>0</v>
      </c>
      <c r="T67" s="659">
        <f>+'Asset Classification'!O67</f>
        <v>901788</v>
      </c>
      <c r="U67" s="654">
        <f t="shared" si="115"/>
        <v>521798</v>
      </c>
      <c r="V67" s="654">
        <f t="shared" si="116"/>
        <v>379990</v>
      </c>
      <c r="W67" s="660">
        <f>+'Asset Classification'!P67</f>
        <v>0</v>
      </c>
      <c r="X67" s="654">
        <f t="shared" si="117"/>
        <v>0</v>
      </c>
      <c r="Y67" s="654">
        <f t="shared" si="118"/>
        <v>0</v>
      </c>
      <c r="Z67" s="659">
        <f>+'Asset Classification'!Q67</f>
        <v>9683108</v>
      </c>
      <c r="AA67" s="660">
        <f>+'Asset Classification'!R67</f>
        <v>0</v>
      </c>
      <c r="AB67" s="659">
        <f>+'Asset Classification'!S67</f>
        <v>502539</v>
      </c>
      <c r="AC67" s="654">
        <f t="shared" si="119"/>
        <v>4841554</v>
      </c>
      <c r="AD67" s="654">
        <f t="shared" si="120"/>
        <v>-4339015</v>
      </c>
      <c r="AE67" s="660">
        <f>+'Asset Classification'!T67</f>
        <v>0</v>
      </c>
      <c r="AF67" s="654">
        <f t="shared" si="121"/>
        <v>0</v>
      </c>
      <c r="AG67" s="654">
        <f t="shared" si="122"/>
        <v>0</v>
      </c>
      <c r="AH67" s="659">
        <f>+'Asset Classification'!U67</f>
        <v>4748978</v>
      </c>
      <c r="AI67" s="660">
        <f>+'Asset Classification'!V67</f>
        <v>1945042</v>
      </c>
      <c r="AJ67" s="659">
        <f>+'Asset Classification'!W67</f>
        <v>4820388</v>
      </c>
      <c r="AK67" s="654">
        <f t="shared" si="123"/>
        <v>4748978</v>
      </c>
      <c r="AL67" s="654">
        <f t="shared" si="124"/>
        <v>71410</v>
      </c>
      <c r="AM67" s="660">
        <f>+'Asset Classification'!X67</f>
        <v>1945042</v>
      </c>
      <c r="AN67" s="654">
        <f t="shared" si="125"/>
        <v>1945042</v>
      </c>
      <c r="AO67" s="654">
        <f t="shared" si="126"/>
        <v>0</v>
      </c>
      <c r="AP67" s="641">
        <f t="shared" si="127"/>
        <v>26779959</v>
      </c>
      <c r="AQ67" s="641">
        <f t="shared" si="127"/>
        <v>32279891.300000001</v>
      </c>
      <c r="AR67" s="641">
        <f t="shared" si="128"/>
        <v>-5499932.3000000007</v>
      </c>
      <c r="AS67" s="654">
        <f t="shared" si="129"/>
        <v>16093112</v>
      </c>
      <c r="AT67" s="654">
        <f t="shared" si="129"/>
        <v>16359299.100000001</v>
      </c>
      <c r="AU67" s="654">
        <f t="shared" si="130"/>
        <v>-266187.10000000149</v>
      </c>
      <c r="AV67" s="668"/>
      <c r="AW67" s="668"/>
      <c r="AX67" s="668"/>
      <c r="AY67" s="668"/>
      <c r="AZ67" s="668"/>
      <c r="BA67" s="668"/>
      <c r="BB67" s="668"/>
      <c r="BC67" s="668"/>
    </row>
    <row r="68" spans="1:55" s="231" customFormat="1" ht="21.75" customHeight="1">
      <c r="A68" s="652">
        <v>35</v>
      </c>
      <c r="B68" s="431" t="s">
        <v>692</v>
      </c>
      <c r="C68" s="653">
        <f>+'Asset Classification'!C68</f>
        <v>1128100978</v>
      </c>
      <c r="D68" s="654">
        <f>+'Asset Classification'!D68</f>
        <v>426623226</v>
      </c>
      <c r="E68" s="659">
        <f>+'Asset Classification'!E68</f>
        <v>966919229</v>
      </c>
      <c r="F68" s="660">
        <f>+'Asset Classification'!F68</f>
        <v>409992395</v>
      </c>
      <c r="G68" s="659">
        <f>+'Asset Classification'!G68</f>
        <v>0</v>
      </c>
      <c r="H68" s="654">
        <f t="shared" si="109"/>
        <v>9669192.290000001</v>
      </c>
      <c r="I68" s="654">
        <f t="shared" si="110"/>
        <v>-9669192.290000001</v>
      </c>
      <c r="J68" s="659">
        <f>+'Asset Classification'!I68</f>
        <v>112408835</v>
      </c>
      <c r="K68" s="660">
        <f>+'Asset Classification'!J68</f>
        <v>15950052</v>
      </c>
      <c r="L68" s="659">
        <f>+'Asset Classification'!K68</f>
        <v>6952873</v>
      </c>
      <c r="M68" s="654">
        <f t="shared" si="111"/>
        <v>11240883.5</v>
      </c>
      <c r="N68" s="654">
        <f t="shared" si="112"/>
        <v>-4288010.5</v>
      </c>
      <c r="O68" s="660">
        <f>+'Asset Classification'!L68</f>
        <v>473457</v>
      </c>
      <c r="P68" s="654">
        <f t="shared" si="113"/>
        <v>1595005.2000000002</v>
      </c>
      <c r="Q68" s="654">
        <f t="shared" si="114"/>
        <v>-1121548.2000000002</v>
      </c>
      <c r="R68" s="659">
        <f>+'Asset Classification'!M68</f>
        <v>2640885</v>
      </c>
      <c r="S68" s="660">
        <f>+'Asset Classification'!N68</f>
        <v>0</v>
      </c>
      <c r="T68" s="659">
        <f>+'Asset Classification'!O68</f>
        <v>767085</v>
      </c>
      <c r="U68" s="654">
        <f t="shared" si="115"/>
        <v>660221.25</v>
      </c>
      <c r="V68" s="654">
        <f t="shared" si="116"/>
        <v>106863.75</v>
      </c>
      <c r="W68" s="660">
        <f>+'Asset Classification'!P68</f>
        <v>0</v>
      </c>
      <c r="X68" s="654">
        <f t="shared" si="117"/>
        <v>0</v>
      </c>
      <c r="Y68" s="654">
        <f t="shared" si="118"/>
        <v>0</v>
      </c>
      <c r="Z68" s="659">
        <f>+'Asset Classification'!Q68</f>
        <v>25854761</v>
      </c>
      <c r="AA68" s="660">
        <f>+'Asset Classification'!R68</f>
        <v>0</v>
      </c>
      <c r="AB68" s="659">
        <f>+'Asset Classification'!S68</f>
        <v>1568413</v>
      </c>
      <c r="AC68" s="654">
        <f t="shared" si="119"/>
        <v>12927380.5</v>
      </c>
      <c r="AD68" s="654">
        <f t="shared" si="120"/>
        <v>-11358967.5</v>
      </c>
      <c r="AE68" s="660">
        <f>+'Asset Classification'!T68</f>
        <v>0</v>
      </c>
      <c r="AF68" s="654">
        <f t="shared" si="121"/>
        <v>0</v>
      </c>
      <c r="AG68" s="654">
        <f t="shared" si="122"/>
        <v>0</v>
      </c>
      <c r="AH68" s="659">
        <f>+'Asset Classification'!U68</f>
        <v>20277268</v>
      </c>
      <c r="AI68" s="660">
        <f>+'Asset Classification'!V68</f>
        <v>680779</v>
      </c>
      <c r="AJ68" s="659">
        <f>+'Asset Classification'!W68</f>
        <v>19000251</v>
      </c>
      <c r="AK68" s="654">
        <f t="shared" si="123"/>
        <v>20277268</v>
      </c>
      <c r="AL68" s="654">
        <f t="shared" si="124"/>
        <v>-1277017</v>
      </c>
      <c r="AM68" s="660">
        <f>+'Asset Classification'!X68</f>
        <v>680779</v>
      </c>
      <c r="AN68" s="654">
        <f t="shared" si="125"/>
        <v>680779</v>
      </c>
      <c r="AO68" s="654">
        <f t="shared" si="126"/>
        <v>0</v>
      </c>
      <c r="AP68" s="641">
        <f t="shared" si="127"/>
        <v>28288622</v>
      </c>
      <c r="AQ68" s="641">
        <f t="shared" si="127"/>
        <v>45105753.25</v>
      </c>
      <c r="AR68" s="641">
        <f t="shared" si="128"/>
        <v>-16817131.25</v>
      </c>
      <c r="AS68" s="654">
        <f t="shared" si="129"/>
        <v>1154236</v>
      </c>
      <c r="AT68" s="654">
        <f t="shared" si="129"/>
        <v>2275784.2000000002</v>
      </c>
      <c r="AU68" s="654">
        <f t="shared" si="130"/>
        <v>-1121548.2000000002</v>
      </c>
      <c r="AV68" s="668"/>
      <c r="AW68" s="668"/>
      <c r="AX68" s="668"/>
      <c r="AY68" s="668"/>
      <c r="AZ68" s="668"/>
      <c r="BA68" s="668"/>
      <c r="BB68" s="668"/>
      <c r="BC68" s="668"/>
    </row>
    <row r="69" spans="1:55" s="231" customFormat="1" ht="21.75" customHeight="1">
      <c r="A69" s="652">
        <v>36</v>
      </c>
      <c r="B69" s="431" t="s">
        <v>693</v>
      </c>
      <c r="C69" s="653">
        <f>+'Asset Classification'!C69</f>
        <v>775637756</v>
      </c>
      <c r="D69" s="654">
        <f>+'Asset Classification'!D69</f>
        <v>226834178</v>
      </c>
      <c r="E69" s="659">
        <f>+'Asset Classification'!E69</f>
        <v>544774185</v>
      </c>
      <c r="F69" s="660">
        <f>+'Asset Classification'!F69</f>
        <v>133840332</v>
      </c>
      <c r="G69" s="659">
        <f>+'Asset Classification'!G69</f>
        <v>0</v>
      </c>
      <c r="H69" s="654">
        <f t="shared" si="109"/>
        <v>5447741.8500000006</v>
      </c>
      <c r="I69" s="654">
        <f t="shared" si="110"/>
        <v>-5447741.8500000006</v>
      </c>
      <c r="J69" s="659">
        <f>+'Asset Classification'!I69</f>
        <v>210770466</v>
      </c>
      <c r="K69" s="660">
        <f>+'Asset Classification'!J69</f>
        <v>92993846</v>
      </c>
      <c r="L69" s="659">
        <f>+'Asset Classification'!K69</f>
        <v>7813059</v>
      </c>
      <c r="M69" s="654">
        <f t="shared" si="111"/>
        <v>21077046.600000001</v>
      </c>
      <c r="N69" s="654">
        <f t="shared" si="112"/>
        <v>-13263987.600000001</v>
      </c>
      <c r="O69" s="660">
        <f>+'Asset Classification'!L69</f>
        <v>1771957</v>
      </c>
      <c r="P69" s="654">
        <f t="shared" si="113"/>
        <v>9299384.5999999996</v>
      </c>
      <c r="Q69" s="654">
        <f t="shared" si="114"/>
        <v>-7527427.5999999996</v>
      </c>
      <c r="R69" s="659">
        <f>+'Asset Classification'!M69</f>
        <v>1045519</v>
      </c>
      <c r="S69" s="660">
        <f>+'Asset Classification'!N69</f>
        <v>0</v>
      </c>
      <c r="T69" s="659">
        <f>+'Asset Classification'!O69</f>
        <v>536492</v>
      </c>
      <c r="U69" s="654">
        <f t="shared" si="115"/>
        <v>261379.75</v>
      </c>
      <c r="V69" s="654">
        <f t="shared" si="116"/>
        <v>275112.25</v>
      </c>
      <c r="W69" s="660">
        <f>+'Asset Classification'!P69</f>
        <v>0</v>
      </c>
      <c r="X69" s="654">
        <f t="shared" si="117"/>
        <v>0</v>
      </c>
      <c r="Y69" s="654">
        <f t="shared" si="118"/>
        <v>0</v>
      </c>
      <c r="Z69" s="659">
        <f>+'Asset Classification'!Q69</f>
        <v>8464139</v>
      </c>
      <c r="AA69" s="660">
        <f>+'Asset Classification'!R69</f>
        <v>0</v>
      </c>
      <c r="AB69" s="659">
        <f>+'Asset Classification'!S69</f>
        <v>675972</v>
      </c>
      <c r="AC69" s="654">
        <f t="shared" si="119"/>
        <v>4232069.5</v>
      </c>
      <c r="AD69" s="654">
        <f t="shared" si="120"/>
        <v>-3556097.5</v>
      </c>
      <c r="AE69" s="660">
        <f>+'Asset Classification'!T69</f>
        <v>0</v>
      </c>
      <c r="AF69" s="654">
        <f t="shared" si="121"/>
        <v>0</v>
      </c>
      <c r="AG69" s="654">
        <f t="shared" si="122"/>
        <v>0</v>
      </c>
      <c r="AH69" s="659">
        <f>+'Asset Classification'!U69</f>
        <v>10583447</v>
      </c>
      <c r="AI69" s="660">
        <f>+'Asset Classification'!V69</f>
        <v>0</v>
      </c>
      <c r="AJ69" s="659">
        <f>+'Asset Classification'!W69</f>
        <v>7972012</v>
      </c>
      <c r="AK69" s="654">
        <f t="shared" si="123"/>
        <v>10583447</v>
      </c>
      <c r="AL69" s="654">
        <f t="shared" si="124"/>
        <v>-2611435</v>
      </c>
      <c r="AM69" s="660">
        <f>+'Asset Classification'!X69</f>
        <v>0</v>
      </c>
      <c r="AN69" s="654">
        <f t="shared" si="125"/>
        <v>0</v>
      </c>
      <c r="AO69" s="654">
        <f t="shared" si="126"/>
        <v>0</v>
      </c>
      <c r="AP69" s="641">
        <f t="shared" si="127"/>
        <v>16997535</v>
      </c>
      <c r="AQ69" s="641">
        <f t="shared" si="127"/>
        <v>36153942.850000001</v>
      </c>
      <c r="AR69" s="641">
        <f t="shared" si="128"/>
        <v>-19156407.850000001</v>
      </c>
      <c r="AS69" s="654">
        <f t="shared" si="129"/>
        <v>1771957</v>
      </c>
      <c r="AT69" s="654">
        <f t="shared" si="129"/>
        <v>9299384.5999999996</v>
      </c>
      <c r="AU69" s="654">
        <f t="shared" si="130"/>
        <v>-7527427.5999999996</v>
      </c>
      <c r="AV69" s="668"/>
      <c r="AW69" s="668"/>
      <c r="AX69" s="668"/>
      <c r="AY69" s="668"/>
      <c r="AZ69" s="668"/>
      <c r="BA69" s="668"/>
      <c r="BB69" s="668"/>
      <c r="BC69" s="668"/>
    </row>
    <row r="70" spans="1:55" s="231" customFormat="1" ht="21.75" customHeight="1">
      <c r="A70" s="652">
        <v>37</v>
      </c>
      <c r="B70" s="431" t="s">
        <v>694</v>
      </c>
      <c r="C70" s="653">
        <f>+'Asset Classification'!C70</f>
        <v>739232406</v>
      </c>
      <c r="D70" s="654">
        <f>+'Asset Classification'!D70</f>
        <v>262353476</v>
      </c>
      <c r="E70" s="659">
        <f>+'Asset Classification'!E70</f>
        <v>546917193</v>
      </c>
      <c r="F70" s="660">
        <f>+'Asset Classification'!F70</f>
        <v>159937426</v>
      </c>
      <c r="G70" s="659">
        <f>+'Asset Classification'!G70</f>
        <v>0</v>
      </c>
      <c r="H70" s="654">
        <f t="shared" si="109"/>
        <v>5469171.9299999997</v>
      </c>
      <c r="I70" s="654">
        <f t="shared" si="110"/>
        <v>-5469171.9299999997</v>
      </c>
      <c r="J70" s="659">
        <f>+'Asset Classification'!I70</f>
        <v>162248614</v>
      </c>
      <c r="K70" s="660">
        <f>+'Asset Classification'!J70</f>
        <v>102416050</v>
      </c>
      <c r="L70" s="659">
        <f>+'Asset Classification'!K70</f>
        <v>3603864</v>
      </c>
      <c r="M70" s="654">
        <f t="shared" si="111"/>
        <v>16224861.4</v>
      </c>
      <c r="N70" s="654">
        <f t="shared" si="112"/>
        <v>-12620997.4</v>
      </c>
      <c r="O70" s="660">
        <f>+'Asset Classification'!L70</f>
        <v>2160901</v>
      </c>
      <c r="P70" s="654">
        <f t="shared" si="113"/>
        <v>10241605</v>
      </c>
      <c r="Q70" s="654">
        <f t="shared" si="114"/>
        <v>-8080704</v>
      </c>
      <c r="R70" s="659">
        <f>+'Asset Classification'!M70</f>
        <v>5696896</v>
      </c>
      <c r="S70" s="660">
        <f>+'Asset Classification'!N70</f>
        <v>0</v>
      </c>
      <c r="T70" s="659">
        <f>+'Asset Classification'!O70</f>
        <v>950636</v>
      </c>
      <c r="U70" s="654">
        <f t="shared" si="115"/>
        <v>1424224</v>
      </c>
      <c r="V70" s="654">
        <f t="shared" si="116"/>
        <v>-473588</v>
      </c>
      <c r="W70" s="660">
        <f>+'Asset Classification'!P70</f>
        <v>0</v>
      </c>
      <c r="X70" s="654">
        <f t="shared" si="117"/>
        <v>0</v>
      </c>
      <c r="Y70" s="654">
        <f t="shared" si="118"/>
        <v>0</v>
      </c>
      <c r="Z70" s="659">
        <f>+'Asset Classification'!Q70</f>
        <v>15579177</v>
      </c>
      <c r="AA70" s="660">
        <f>+'Asset Classification'!R70</f>
        <v>0</v>
      </c>
      <c r="AB70" s="659">
        <f>+'Asset Classification'!S70</f>
        <v>603924</v>
      </c>
      <c r="AC70" s="654">
        <f t="shared" si="119"/>
        <v>7789588.5</v>
      </c>
      <c r="AD70" s="654">
        <f t="shared" si="120"/>
        <v>-7185664.5</v>
      </c>
      <c r="AE70" s="660">
        <f>+'Asset Classification'!T70</f>
        <v>0</v>
      </c>
      <c r="AF70" s="654">
        <f t="shared" si="121"/>
        <v>0</v>
      </c>
      <c r="AG70" s="654">
        <f t="shared" si="122"/>
        <v>0</v>
      </c>
      <c r="AH70" s="659">
        <f>+'Asset Classification'!U70</f>
        <v>8790526</v>
      </c>
      <c r="AI70" s="660">
        <f>+'Asset Classification'!V70</f>
        <v>0</v>
      </c>
      <c r="AJ70" s="659">
        <f>+'Asset Classification'!W70</f>
        <v>8862589</v>
      </c>
      <c r="AK70" s="654">
        <f t="shared" si="123"/>
        <v>8790526</v>
      </c>
      <c r="AL70" s="654">
        <f t="shared" si="124"/>
        <v>72063</v>
      </c>
      <c r="AM70" s="660">
        <f>+'Asset Classification'!X70</f>
        <v>0</v>
      </c>
      <c r="AN70" s="654">
        <f t="shared" si="125"/>
        <v>0</v>
      </c>
      <c r="AO70" s="654">
        <f t="shared" si="126"/>
        <v>0</v>
      </c>
      <c r="AP70" s="641">
        <f t="shared" si="127"/>
        <v>14021013</v>
      </c>
      <c r="AQ70" s="641">
        <f t="shared" si="127"/>
        <v>34229199.899999999</v>
      </c>
      <c r="AR70" s="641">
        <f t="shared" si="128"/>
        <v>-20208186.899999999</v>
      </c>
      <c r="AS70" s="654">
        <f t="shared" si="129"/>
        <v>2160901</v>
      </c>
      <c r="AT70" s="654">
        <f t="shared" si="129"/>
        <v>10241605</v>
      </c>
      <c r="AU70" s="654">
        <f t="shared" si="130"/>
        <v>-8080704</v>
      </c>
      <c r="AV70" s="668"/>
      <c r="AW70" s="668"/>
      <c r="AX70" s="668"/>
      <c r="AY70" s="668"/>
      <c r="AZ70" s="668"/>
      <c r="BA70" s="668"/>
      <c r="BB70" s="668"/>
      <c r="BC70" s="668"/>
    </row>
    <row r="71" spans="1:55" s="651" customFormat="1" ht="28.5" customHeight="1">
      <c r="A71" s="625">
        <v>38</v>
      </c>
      <c r="B71" s="625" t="s">
        <v>678</v>
      </c>
      <c r="C71" s="642">
        <f>+'Asset Classification'!C71</f>
        <v>13318623841</v>
      </c>
      <c r="D71" s="642">
        <f>+'Asset Classification'!D71</f>
        <v>3738507725</v>
      </c>
      <c r="E71" s="642">
        <f>+'Asset Classification'!E71</f>
        <v>10110199259</v>
      </c>
      <c r="F71" s="642">
        <f>+'Asset Classification'!F71</f>
        <v>2841495735</v>
      </c>
      <c r="G71" s="642">
        <f>+'Asset Classification'!G71</f>
        <v>48718159</v>
      </c>
      <c r="H71" s="642">
        <f t="shared" ref="H71:I71" si="131">SUM(H57:H70)</f>
        <v>101101992.59</v>
      </c>
      <c r="I71" s="642">
        <f t="shared" si="131"/>
        <v>-52383833.590000004</v>
      </c>
      <c r="J71" s="642">
        <f>+'Asset Classification'!I71</f>
        <v>2572974084</v>
      </c>
      <c r="K71" s="642">
        <f>+'Asset Classification'!J71</f>
        <v>884265585</v>
      </c>
      <c r="L71" s="642">
        <f>+'Asset Classification'!K71</f>
        <v>121192312</v>
      </c>
      <c r="M71" s="642">
        <f t="shared" ref="M71:N71" si="132">SUM(M57:M70)</f>
        <v>257297408.40000001</v>
      </c>
      <c r="N71" s="642">
        <f t="shared" si="132"/>
        <v>-136105096.40000001</v>
      </c>
      <c r="O71" s="642">
        <f>+'Asset Classification'!L71</f>
        <v>57899650</v>
      </c>
      <c r="P71" s="642">
        <f t="shared" ref="P71:Q71" si="133">SUM(P57:P70)</f>
        <v>88426558.500000015</v>
      </c>
      <c r="Q71" s="642">
        <f t="shared" si="133"/>
        <v>-30526908.5</v>
      </c>
      <c r="R71" s="642">
        <f>+'Asset Classification'!M71</f>
        <v>110817389</v>
      </c>
      <c r="S71" s="642">
        <f>+'Asset Classification'!N71</f>
        <v>0</v>
      </c>
      <c r="T71" s="642">
        <f>+'Asset Classification'!O71</f>
        <v>45776248</v>
      </c>
      <c r="U71" s="642">
        <f t="shared" ref="U71:Y71" si="134">SUM(U57:U70)</f>
        <v>27704347.25</v>
      </c>
      <c r="V71" s="642">
        <f t="shared" si="134"/>
        <v>18071900.75</v>
      </c>
      <c r="W71" s="642">
        <f>+'Asset Classification'!P71</f>
        <v>0</v>
      </c>
      <c r="X71" s="642">
        <f t="shared" si="134"/>
        <v>0</v>
      </c>
      <c r="Y71" s="642">
        <f t="shared" si="134"/>
        <v>0</v>
      </c>
      <c r="Z71" s="642">
        <f>+'Asset Classification'!Q71</f>
        <v>331525438</v>
      </c>
      <c r="AA71" s="642">
        <f>+'Asset Classification'!R71</f>
        <v>4142609</v>
      </c>
      <c r="AB71" s="642">
        <f>+'Asset Classification'!S71</f>
        <v>31254599</v>
      </c>
      <c r="AC71" s="642">
        <f t="shared" ref="AC71:AD71" si="135">SUM(AC57:AC70)</f>
        <v>165762719</v>
      </c>
      <c r="AD71" s="642">
        <f t="shared" si="135"/>
        <v>-134508120</v>
      </c>
      <c r="AE71" s="642">
        <f>+'Asset Classification'!T71</f>
        <v>1655738</v>
      </c>
      <c r="AF71" s="642">
        <f t="shared" ref="AF71:AG71" si="136">SUM(AF57:AF70)</f>
        <v>2071304.5</v>
      </c>
      <c r="AG71" s="642">
        <f t="shared" si="136"/>
        <v>-415566.5</v>
      </c>
      <c r="AH71" s="642">
        <f>+'Asset Classification'!U71</f>
        <v>193107671</v>
      </c>
      <c r="AI71" s="642">
        <f>+'Asset Classification'!V71</f>
        <v>8603796</v>
      </c>
      <c r="AJ71" s="642">
        <f>+'Asset Classification'!W71</f>
        <v>155988148</v>
      </c>
      <c r="AK71" s="642">
        <f t="shared" ref="AK71:AL71" si="137">SUM(AK57:AK70)</f>
        <v>193107671</v>
      </c>
      <c r="AL71" s="642">
        <f t="shared" si="137"/>
        <v>-37119523</v>
      </c>
      <c r="AM71" s="642">
        <f>+'Asset Classification'!X71</f>
        <v>8603796</v>
      </c>
      <c r="AN71" s="642">
        <f t="shared" ref="AN71:AU71" si="138">SUM(AN57:AN70)</f>
        <v>8603796</v>
      </c>
      <c r="AO71" s="642">
        <f t="shared" si="138"/>
        <v>0</v>
      </c>
      <c r="AP71" s="642">
        <f t="shared" si="138"/>
        <v>354211307</v>
      </c>
      <c r="AQ71" s="642">
        <f t="shared" si="138"/>
        <v>643872145.6500001</v>
      </c>
      <c r="AR71" s="642">
        <f t="shared" si="138"/>
        <v>-289660838.65000004</v>
      </c>
      <c r="AS71" s="642">
        <f t="shared" si="138"/>
        <v>68159184</v>
      </c>
      <c r="AT71" s="642">
        <f t="shared" si="138"/>
        <v>99101658.999999985</v>
      </c>
      <c r="AU71" s="642">
        <f t="shared" si="138"/>
        <v>-30942475</v>
      </c>
      <c r="AV71" s="661">
        <f>+'Loans Receivable'!C85</f>
        <v>13318623841</v>
      </c>
    </row>
    <row r="72" spans="1:55" s="231" customFormat="1" ht="21.75" customHeight="1">
      <c r="A72" s="652">
        <v>39</v>
      </c>
      <c r="B72" s="431" t="s">
        <v>695</v>
      </c>
      <c r="C72" s="653">
        <f>+'Asset Classification'!C72</f>
        <v>0</v>
      </c>
      <c r="D72" s="654">
        <f>+'Asset Classification'!D72</f>
        <v>0</v>
      </c>
      <c r="E72" s="659">
        <f>+'Asset Classification'!E72</f>
        <v>0</v>
      </c>
      <c r="F72" s="660">
        <f>+'Asset Classification'!F72</f>
        <v>0</v>
      </c>
      <c r="G72" s="659">
        <f>+'Asset Classification'!G72</f>
        <v>0</v>
      </c>
      <c r="H72" s="654">
        <f t="shared" ref="H72:H73" si="139">+E72*1%</f>
        <v>0</v>
      </c>
      <c r="I72" s="654">
        <f t="shared" ref="I72:I73" si="140">+G72-H72</f>
        <v>0</v>
      </c>
      <c r="J72" s="659">
        <f>+'Asset Classification'!I72</f>
        <v>0</v>
      </c>
      <c r="K72" s="660">
        <f>+'Asset Classification'!J72</f>
        <v>0</v>
      </c>
      <c r="L72" s="659">
        <f>+'Asset Classification'!K72</f>
        <v>10044527</v>
      </c>
      <c r="M72" s="654">
        <f t="shared" ref="M72:M73" si="141">+J72*10%</f>
        <v>0</v>
      </c>
      <c r="N72" s="654">
        <f t="shared" ref="N72:N73" si="142">+L72-M72</f>
        <v>10044527</v>
      </c>
      <c r="O72" s="660">
        <f>+'Asset Classification'!L72</f>
        <v>0</v>
      </c>
      <c r="P72" s="654">
        <f t="shared" ref="P72:P73" si="143">+K72*10%</f>
        <v>0</v>
      </c>
      <c r="Q72" s="654">
        <f t="shared" ref="Q72:Q73" si="144">+O72-P72</f>
        <v>0</v>
      </c>
      <c r="R72" s="659">
        <f>+'Asset Classification'!M72</f>
        <v>0</v>
      </c>
      <c r="S72" s="660">
        <f>+'Asset Classification'!N72</f>
        <v>0</v>
      </c>
      <c r="T72" s="659">
        <f>+'Asset Classification'!O72</f>
        <v>0</v>
      </c>
      <c r="U72" s="654">
        <f t="shared" ref="U72:U73" si="145">+R72*25%</f>
        <v>0</v>
      </c>
      <c r="V72" s="654">
        <f t="shared" ref="V72:V73" si="146">+T72-U72</f>
        <v>0</v>
      </c>
      <c r="W72" s="660">
        <f>+'Asset Classification'!P72</f>
        <v>0</v>
      </c>
      <c r="X72" s="654">
        <f t="shared" ref="X72:X73" si="147">+S72*25%</f>
        <v>0</v>
      </c>
      <c r="Y72" s="654">
        <f t="shared" ref="Y72:Y73" si="148">+W72-X72</f>
        <v>0</v>
      </c>
      <c r="Z72" s="659">
        <f>+'Asset Classification'!Q72</f>
        <v>0</v>
      </c>
      <c r="AA72" s="660">
        <f>+'Asset Classification'!R72</f>
        <v>0</v>
      </c>
      <c r="AB72" s="659">
        <f>+'Asset Classification'!S72</f>
        <v>0</v>
      </c>
      <c r="AC72" s="654">
        <f t="shared" ref="AC72:AC73" si="149">+Z72*50%</f>
        <v>0</v>
      </c>
      <c r="AD72" s="654">
        <f t="shared" ref="AD72:AD73" si="150">+AB72-AC72</f>
        <v>0</v>
      </c>
      <c r="AE72" s="660">
        <f>+'Asset Classification'!T72</f>
        <v>0</v>
      </c>
      <c r="AF72" s="654">
        <f t="shared" ref="AF72:AF73" si="151">+AA72*50%</f>
        <v>0</v>
      </c>
      <c r="AG72" s="654">
        <f t="shared" ref="AG72:AG73" si="152">+AE72-AF72</f>
        <v>0</v>
      </c>
      <c r="AH72" s="659">
        <f>+'Asset Classification'!U72</f>
        <v>0</v>
      </c>
      <c r="AI72" s="660">
        <f>+'Asset Classification'!V72</f>
        <v>0</v>
      </c>
      <c r="AJ72" s="659">
        <f>+'Asset Classification'!W72</f>
        <v>0</v>
      </c>
      <c r="AK72" s="654">
        <f t="shared" ref="AK72:AK73" si="153">+AH72*100%</f>
        <v>0</v>
      </c>
      <c r="AL72" s="654">
        <f t="shared" ref="AL72:AL73" si="154">+AJ72-AK72</f>
        <v>0</v>
      </c>
      <c r="AM72" s="660">
        <f>+'Asset Classification'!X72</f>
        <v>0</v>
      </c>
      <c r="AN72" s="654">
        <f t="shared" ref="AN72:AN73" si="155">+AI72*100%</f>
        <v>0</v>
      </c>
      <c r="AO72" s="654">
        <f t="shared" ref="AO72:AO73" si="156">+AM72-AN72</f>
        <v>0</v>
      </c>
      <c r="AP72" s="641">
        <f t="shared" ref="AP72:AP73" si="157">+L72+T72+AB72+AJ72</f>
        <v>10044527</v>
      </c>
      <c r="AQ72" s="641">
        <f t="shared" ref="AQ72:AQ73" si="158">+M72+U72+AC72+AK72</f>
        <v>0</v>
      </c>
      <c r="AR72" s="641">
        <f t="shared" ref="AR72:AR73" si="159">+AP72-AQ72</f>
        <v>10044527</v>
      </c>
      <c r="AS72" s="654">
        <f t="shared" ref="AS72:AS73" si="160">+O72+W72+AE72+AM72</f>
        <v>0</v>
      </c>
      <c r="AT72" s="654">
        <f t="shared" ref="AT72:AT73" si="161">+P72+X72+AF72+AN72</f>
        <v>0</v>
      </c>
      <c r="AU72" s="654">
        <f t="shared" ref="AU72:AU73" si="162">+AS72-AT72</f>
        <v>0</v>
      </c>
      <c r="AV72" s="668"/>
      <c r="AW72" s="668"/>
      <c r="AX72" s="668"/>
      <c r="AY72" s="668"/>
      <c r="AZ72" s="668"/>
      <c r="BA72" s="668"/>
      <c r="BB72" s="668"/>
      <c r="BC72" s="668"/>
    </row>
    <row r="73" spans="1:55" s="231" customFormat="1" ht="21.75" customHeight="1">
      <c r="A73" s="652"/>
      <c r="B73" s="431" t="s">
        <v>670</v>
      </c>
      <c r="C73" s="653">
        <f>+'Asset Classification'!C73</f>
        <v>0</v>
      </c>
      <c r="D73" s="654">
        <f>+'Asset Classification'!D73</f>
        <v>0</v>
      </c>
      <c r="E73" s="659">
        <f>+'Asset Classification'!E73</f>
        <v>0</v>
      </c>
      <c r="F73" s="660">
        <f>+'Asset Classification'!F73</f>
        <v>0</v>
      </c>
      <c r="G73" s="659">
        <f>+'Asset Classification'!G73</f>
        <v>0</v>
      </c>
      <c r="H73" s="654">
        <f t="shared" si="139"/>
        <v>0</v>
      </c>
      <c r="I73" s="654">
        <f t="shared" si="140"/>
        <v>0</v>
      </c>
      <c r="J73" s="659">
        <f>+'Asset Classification'!I73</f>
        <v>0</v>
      </c>
      <c r="K73" s="660">
        <f>+'Asset Classification'!J73</f>
        <v>0</v>
      </c>
      <c r="L73" s="659">
        <f>+'Asset Classification'!K73</f>
        <v>0</v>
      </c>
      <c r="M73" s="654">
        <f t="shared" si="141"/>
        <v>0</v>
      </c>
      <c r="N73" s="654">
        <f t="shared" si="142"/>
        <v>0</v>
      </c>
      <c r="O73" s="660">
        <f>+'Asset Classification'!L73</f>
        <v>0</v>
      </c>
      <c r="P73" s="654">
        <f t="shared" si="143"/>
        <v>0</v>
      </c>
      <c r="Q73" s="654">
        <f t="shared" si="144"/>
        <v>0</v>
      </c>
      <c r="R73" s="659">
        <f>+'Asset Classification'!M73</f>
        <v>0</v>
      </c>
      <c r="S73" s="660">
        <f>+'Asset Classification'!N73</f>
        <v>0</v>
      </c>
      <c r="T73" s="659">
        <f>+'Asset Classification'!O73</f>
        <v>0</v>
      </c>
      <c r="U73" s="654">
        <f t="shared" si="145"/>
        <v>0</v>
      </c>
      <c r="V73" s="654">
        <f t="shared" si="146"/>
        <v>0</v>
      </c>
      <c r="W73" s="660">
        <f>+'Asset Classification'!P73</f>
        <v>0</v>
      </c>
      <c r="X73" s="654">
        <f t="shared" si="147"/>
        <v>0</v>
      </c>
      <c r="Y73" s="654">
        <f t="shared" si="148"/>
        <v>0</v>
      </c>
      <c r="Z73" s="659">
        <f>+'Asset Classification'!Q73</f>
        <v>0</v>
      </c>
      <c r="AA73" s="660">
        <f>+'Asset Classification'!R73</f>
        <v>0</v>
      </c>
      <c r="AB73" s="659">
        <f>+'Asset Classification'!S73</f>
        <v>0</v>
      </c>
      <c r="AC73" s="654">
        <f t="shared" si="149"/>
        <v>0</v>
      </c>
      <c r="AD73" s="654">
        <f t="shared" si="150"/>
        <v>0</v>
      </c>
      <c r="AE73" s="660">
        <f>+'Asset Classification'!T73</f>
        <v>0</v>
      </c>
      <c r="AF73" s="654">
        <f t="shared" si="151"/>
        <v>0</v>
      </c>
      <c r="AG73" s="654">
        <f t="shared" si="152"/>
        <v>0</v>
      </c>
      <c r="AH73" s="659">
        <f>+'Asset Classification'!U73</f>
        <v>0</v>
      </c>
      <c r="AI73" s="660">
        <f>+'Asset Classification'!V73</f>
        <v>0</v>
      </c>
      <c r="AJ73" s="659">
        <f>+'Asset Classification'!W73</f>
        <v>0</v>
      </c>
      <c r="AK73" s="654">
        <f t="shared" si="153"/>
        <v>0</v>
      </c>
      <c r="AL73" s="654">
        <f t="shared" si="154"/>
        <v>0</v>
      </c>
      <c r="AM73" s="660">
        <f>+'Asset Classification'!X73</f>
        <v>0</v>
      </c>
      <c r="AN73" s="654">
        <f t="shared" si="155"/>
        <v>0</v>
      </c>
      <c r="AO73" s="654">
        <f t="shared" si="156"/>
        <v>0</v>
      </c>
      <c r="AP73" s="641">
        <f t="shared" si="157"/>
        <v>0</v>
      </c>
      <c r="AQ73" s="641">
        <f t="shared" si="158"/>
        <v>0</v>
      </c>
      <c r="AR73" s="641">
        <f t="shared" si="159"/>
        <v>0</v>
      </c>
      <c r="AS73" s="654">
        <f t="shared" si="160"/>
        <v>0</v>
      </c>
      <c r="AT73" s="654">
        <f t="shared" si="161"/>
        <v>0</v>
      </c>
      <c r="AU73" s="654">
        <f t="shared" si="162"/>
        <v>0</v>
      </c>
      <c r="AV73" s="668"/>
      <c r="AW73" s="668"/>
      <c r="AX73" s="668"/>
      <c r="AY73" s="668"/>
      <c r="AZ73" s="668"/>
      <c r="BA73" s="668"/>
      <c r="BB73" s="668"/>
      <c r="BC73" s="668"/>
    </row>
    <row r="74" spans="1:55" s="651" customFormat="1" ht="28.5" customHeight="1">
      <c r="A74" s="625">
        <v>40</v>
      </c>
      <c r="B74" s="625" t="s">
        <v>696</v>
      </c>
      <c r="C74" s="642">
        <f>+'Asset Classification'!C74</f>
        <v>13318623841</v>
      </c>
      <c r="D74" s="642">
        <f>+'Asset Classification'!D74</f>
        <v>3738507725</v>
      </c>
      <c r="E74" s="642">
        <f>+'Asset Classification'!E74</f>
        <v>10110199259</v>
      </c>
      <c r="F74" s="642">
        <f>+'Asset Classification'!F74</f>
        <v>2841495735</v>
      </c>
      <c r="G74" s="642">
        <f>+'Asset Classification'!G74</f>
        <v>48718159</v>
      </c>
      <c r="H74" s="642">
        <f t="shared" ref="H74:I74" si="163">+H53+H72</f>
        <v>101101992.59</v>
      </c>
      <c r="I74" s="642">
        <f t="shared" si="163"/>
        <v>-52383833.590000004</v>
      </c>
      <c r="J74" s="642">
        <f>+'Asset Classification'!I74</f>
        <v>2572974084</v>
      </c>
      <c r="K74" s="642">
        <f>+'Asset Classification'!J74</f>
        <v>884265585</v>
      </c>
      <c r="L74" s="642">
        <f>+'Asset Classification'!K74</f>
        <v>131236839</v>
      </c>
      <c r="M74" s="642">
        <f t="shared" ref="M74:N74" si="164">+M53+M72</f>
        <v>257297408.40000001</v>
      </c>
      <c r="N74" s="642">
        <f t="shared" si="164"/>
        <v>-126060569.40000001</v>
      </c>
      <c r="O74" s="642">
        <f>+'Asset Classification'!L74</f>
        <v>57899650</v>
      </c>
      <c r="P74" s="642">
        <f t="shared" ref="P74:Q74" si="165">+P53+P72</f>
        <v>88426558.5</v>
      </c>
      <c r="Q74" s="642">
        <f t="shared" si="165"/>
        <v>-30526908.500000007</v>
      </c>
      <c r="R74" s="642">
        <f>+'Asset Classification'!M74</f>
        <v>110817389</v>
      </c>
      <c r="S74" s="642">
        <f>+'Asset Classification'!N74</f>
        <v>0</v>
      </c>
      <c r="T74" s="642">
        <f>+'Asset Classification'!O74</f>
        <v>45776248</v>
      </c>
      <c r="U74" s="642">
        <f t="shared" ref="U74:V74" si="166">+U53+U72</f>
        <v>27704347.25</v>
      </c>
      <c r="V74" s="642">
        <f t="shared" si="166"/>
        <v>18071900.75</v>
      </c>
      <c r="W74" s="642">
        <f>+'Asset Classification'!P74</f>
        <v>0</v>
      </c>
      <c r="X74" s="642">
        <f>+'Asset Classification'!Q74</f>
        <v>331525438</v>
      </c>
      <c r="Y74" s="642">
        <f>+'Asset Classification'!R74</f>
        <v>4142609</v>
      </c>
      <c r="Z74" s="642">
        <f>+'Asset Classification'!Q74</f>
        <v>331525438</v>
      </c>
      <c r="AA74" s="642">
        <f>+'Asset Classification'!R74</f>
        <v>4142609</v>
      </c>
      <c r="AB74" s="642">
        <f>+'Asset Classification'!S74</f>
        <v>31254599</v>
      </c>
      <c r="AC74" s="642">
        <f t="shared" ref="AC74:AD74" si="167">+AC53+AC72</f>
        <v>165762719</v>
      </c>
      <c r="AD74" s="642">
        <f t="shared" si="167"/>
        <v>-134508120</v>
      </c>
      <c r="AE74" s="642">
        <f>+'Asset Classification'!T74</f>
        <v>1655738</v>
      </c>
      <c r="AF74" s="642">
        <f t="shared" ref="AF74:AG74" si="168">+AF53+AF72</f>
        <v>2071304.5</v>
      </c>
      <c r="AG74" s="642">
        <f t="shared" si="168"/>
        <v>-415566.5</v>
      </c>
      <c r="AH74" s="642">
        <f>+'Asset Classification'!U74</f>
        <v>193107671</v>
      </c>
      <c r="AI74" s="642">
        <f>+'Asset Classification'!V74</f>
        <v>8603796</v>
      </c>
      <c r="AJ74" s="642">
        <f>+'Asset Classification'!W74</f>
        <v>155988148</v>
      </c>
      <c r="AK74" s="642">
        <f t="shared" ref="AK74:AL74" si="169">+AK53+AK72</f>
        <v>193107671</v>
      </c>
      <c r="AL74" s="642">
        <f t="shared" si="169"/>
        <v>-37119523</v>
      </c>
      <c r="AM74" s="642">
        <f>+'Asset Classification'!X74</f>
        <v>8603796</v>
      </c>
      <c r="AN74" s="642">
        <f t="shared" ref="AN74:AU74" si="170">+AN53+AN72</f>
        <v>8603796</v>
      </c>
      <c r="AO74" s="642">
        <f t="shared" si="170"/>
        <v>0</v>
      </c>
      <c r="AP74" s="642">
        <f>+'Asset Classification'!Y74</f>
        <v>364255834</v>
      </c>
      <c r="AQ74" s="642">
        <f t="shared" si="170"/>
        <v>643872145.6500001</v>
      </c>
      <c r="AR74" s="642">
        <f t="shared" si="170"/>
        <v>-279616311.65000004</v>
      </c>
      <c r="AS74" s="642">
        <f>+'Asset Classification'!Z74</f>
        <v>68159184</v>
      </c>
      <c r="AT74" s="642">
        <f t="shared" si="170"/>
        <v>99101658.999999985</v>
      </c>
      <c r="AU74" s="642">
        <f t="shared" si="170"/>
        <v>-30942475</v>
      </c>
    </row>
    <row r="75" spans="1:55">
      <c r="C75" s="643">
        <f>+C31-C53</f>
        <v>0</v>
      </c>
      <c r="D75" s="643">
        <f>+D31-D53</f>
        <v>0</v>
      </c>
      <c r="E75" s="643">
        <f>+E31-E53</f>
        <v>0</v>
      </c>
      <c r="F75" s="643">
        <f t="shared" ref="F75:AU75" si="171">+F31-F53</f>
        <v>0</v>
      </c>
      <c r="G75" s="643">
        <f t="shared" si="171"/>
        <v>0</v>
      </c>
      <c r="H75" s="643">
        <f t="shared" si="171"/>
        <v>0</v>
      </c>
      <c r="I75" s="643"/>
      <c r="J75" s="643">
        <f t="shared" si="171"/>
        <v>0</v>
      </c>
      <c r="K75" s="643">
        <f t="shared" si="171"/>
        <v>0</v>
      </c>
      <c r="L75" s="643">
        <f t="shared" si="171"/>
        <v>0</v>
      </c>
      <c r="M75" s="643">
        <f t="shared" si="171"/>
        <v>0</v>
      </c>
      <c r="N75" s="643"/>
      <c r="O75" s="643">
        <f t="shared" si="171"/>
        <v>0</v>
      </c>
      <c r="P75" s="643">
        <f t="shared" si="171"/>
        <v>0</v>
      </c>
      <c r="Q75" s="643"/>
      <c r="R75" s="643">
        <f t="shared" si="171"/>
        <v>0</v>
      </c>
      <c r="S75" s="643">
        <f t="shared" si="171"/>
        <v>0</v>
      </c>
      <c r="T75" s="643">
        <f t="shared" si="171"/>
        <v>0</v>
      </c>
      <c r="U75" s="643">
        <f t="shared" si="171"/>
        <v>0</v>
      </c>
      <c r="V75" s="643"/>
      <c r="W75" s="643">
        <f t="shared" si="171"/>
        <v>0</v>
      </c>
      <c r="X75" s="643">
        <f t="shared" si="171"/>
        <v>0</v>
      </c>
      <c r="Y75" s="643"/>
      <c r="Z75" s="643">
        <f t="shared" si="171"/>
        <v>0</v>
      </c>
      <c r="AA75" s="643">
        <f t="shared" si="171"/>
        <v>0</v>
      </c>
      <c r="AB75" s="643">
        <f t="shared" si="171"/>
        <v>0</v>
      </c>
      <c r="AC75" s="643">
        <f t="shared" si="171"/>
        <v>0</v>
      </c>
      <c r="AD75" s="643"/>
      <c r="AE75" s="643">
        <f t="shared" si="171"/>
        <v>0</v>
      </c>
      <c r="AF75" s="643">
        <f t="shared" si="171"/>
        <v>0</v>
      </c>
      <c r="AG75" s="643"/>
      <c r="AH75" s="643">
        <f t="shared" si="171"/>
        <v>0</v>
      </c>
      <c r="AI75" s="643">
        <f t="shared" si="171"/>
        <v>0</v>
      </c>
      <c r="AJ75" s="643">
        <f t="shared" si="171"/>
        <v>0</v>
      </c>
      <c r="AK75" s="643">
        <f t="shared" si="171"/>
        <v>0</v>
      </c>
      <c r="AL75" s="643"/>
      <c r="AM75" s="643">
        <f t="shared" si="171"/>
        <v>0</v>
      </c>
      <c r="AN75" s="643">
        <f t="shared" si="171"/>
        <v>0</v>
      </c>
      <c r="AO75" s="643"/>
      <c r="AP75" s="643">
        <f t="shared" si="171"/>
        <v>0</v>
      </c>
      <c r="AQ75" s="643">
        <f t="shared" si="171"/>
        <v>0</v>
      </c>
      <c r="AR75" s="643">
        <f t="shared" si="171"/>
        <v>0</v>
      </c>
      <c r="AS75" s="643">
        <f t="shared" si="171"/>
        <v>0</v>
      </c>
      <c r="AT75" s="643">
        <f t="shared" si="171"/>
        <v>0</v>
      </c>
      <c r="AU75" s="643">
        <f t="shared" si="171"/>
        <v>0</v>
      </c>
    </row>
    <row r="76" spans="1:55" ht="15" customHeight="1">
      <c r="A76" s="34"/>
      <c r="B76" s="239" t="s">
        <v>788</v>
      </c>
      <c r="C76" s="643">
        <f>+C31-C71</f>
        <v>0</v>
      </c>
      <c r="D76" s="643">
        <f>+D31-D71</f>
        <v>0</v>
      </c>
      <c r="E76" s="643">
        <f>+E31-E71</f>
        <v>0</v>
      </c>
      <c r="F76" s="643">
        <f t="shared" ref="F76:AU76" si="172">+F31-F71</f>
        <v>0</v>
      </c>
      <c r="G76" s="643">
        <f t="shared" si="172"/>
        <v>0</v>
      </c>
      <c r="H76" s="643">
        <f t="shared" si="172"/>
        <v>0</v>
      </c>
      <c r="I76" s="643"/>
      <c r="J76" s="643">
        <f t="shared" si="172"/>
        <v>0</v>
      </c>
      <c r="K76" s="643">
        <f t="shared" si="172"/>
        <v>0</v>
      </c>
      <c r="L76" s="643">
        <f t="shared" si="172"/>
        <v>0</v>
      </c>
      <c r="M76" s="643">
        <f t="shared" si="172"/>
        <v>0</v>
      </c>
      <c r="N76" s="643"/>
      <c r="O76" s="643">
        <f t="shared" si="172"/>
        <v>0</v>
      </c>
      <c r="P76" s="643">
        <f t="shared" si="172"/>
        <v>0</v>
      </c>
      <c r="Q76" s="643"/>
      <c r="R76" s="643">
        <f t="shared" si="172"/>
        <v>0</v>
      </c>
      <c r="S76" s="643">
        <f t="shared" si="172"/>
        <v>0</v>
      </c>
      <c r="T76" s="643">
        <f t="shared" si="172"/>
        <v>0</v>
      </c>
      <c r="U76" s="643">
        <f t="shared" si="172"/>
        <v>0</v>
      </c>
      <c r="V76" s="643"/>
      <c r="W76" s="643">
        <f t="shared" si="172"/>
        <v>0</v>
      </c>
      <c r="X76" s="643">
        <f t="shared" si="172"/>
        <v>0</v>
      </c>
      <c r="Y76" s="643"/>
      <c r="Z76" s="643">
        <f t="shared" si="172"/>
        <v>0</v>
      </c>
      <c r="AA76" s="643">
        <f t="shared" si="172"/>
        <v>0</v>
      </c>
      <c r="AB76" s="643">
        <f t="shared" si="172"/>
        <v>0</v>
      </c>
      <c r="AC76" s="643">
        <f t="shared" si="172"/>
        <v>0</v>
      </c>
      <c r="AD76" s="643"/>
      <c r="AE76" s="643">
        <f t="shared" si="172"/>
        <v>0</v>
      </c>
      <c r="AF76" s="643">
        <f t="shared" si="172"/>
        <v>0</v>
      </c>
      <c r="AG76" s="643"/>
      <c r="AH76" s="643">
        <f t="shared" si="172"/>
        <v>0</v>
      </c>
      <c r="AI76" s="643">
        <f t="shared" si="172"/>
        <v>0</v>
      </c>
      <c r="AJ76" s="643">
        <f t="shared" si="172"/>
        <v>0</v>
      </c>
      <c r="AK76" s="643">
        <f t="shared" si="172"/>
        <v>0</v>
      </c>
      <c r="AL76" s="643"/>
      <c r="AM76" s="643">
        <f t="shared" si="172"/>
        <v>0</v>
      </c>
      <c r="AN76" s="643">
        <f t="shared" si="172"/>
        <v>0</v>
      </c>
      <c r="AO76" s="643"/>
      <c r="AP76" s="643">
        <f t="shared" si="172"/>
        <v>0</v>
      </c>
      <c r="AQ76" s="643">
        <f t="shared" si="172"/>
        <v>0</v>
      </c>
      <c r="AR76" s="643">
        <f t="shared" si="172"/>
        <v>0</v>
      </c>
      <c r="AS76" s="643">
        <f t="shared" si="172"/>
        <v>0</v>
      </c>
      <c r="AT76" s="643">
        <f t="shared" si="172"/>
        <v>0</v>
      </c>
      <c r="AU76" s="643">
        <f t="shared" si="172"/>
        <v>0</v>
      </c>
      <c r="AV76" s="34"/>
      <c r="AW76" s="34"/>
      <c r="AX76" s="269"/>
      <c r="AY76" s="269"/>
      <c r="AZ76" s="269"/>
      <c r="BA76" s="269"/>
      <c r="BB76" s="269"/>
      <c r="BC76" s="269"/>
    </row>
    <row r="77" spans="1:55" ht="11.25" customHeight="1">
      <c r="A77" s="34"/>
      <c r="B77" s="239"/>
      <c r="C77" s="644">
        <f>+C53-C71</f>
        <v>0</v>
      </c>
      <c r="D77" s="644">
        <f>+D53-D71</f>
        <v>0</v>
      </c>
      <c r="E77" s="644">
        <f>+E53-E71</f>
        <v>0</v>
      </c>
      <c r="F77" s="644">
        <f t="shared" ref="F77:AU77" si="173">+F53-F71</f>
        <v>0</v>
      </c>
      <c r="G77" s="644">
        <f t="shared" si="173"/>
        <v>0</v>
      </c>
      <c r="H77" s="644">
        <f t="shared" si="173"/>
        <v>0</v>
      </c>
      <c r="I77" s="644"/>
      <c r="J77" s="644">
        <f t="shared" si="173"/>
        <v>0</v>
      </c>
      <c r="K77" s="644">
        <f t="shared" si="173"/>
        <v>0</v>
      </c>
      <c r="L77" s="644">
        <f t="shared" si="173"/>
        <v>0</v>
      </c>
      <c r="M77" s="644">
        <f t="shared" si="173"/>
        <v>0</v>
      </c>
      <c r="N77" s="644"/>
      <c r="O77" s="644">
        <f t="shared" si="173"/>
        <v>0</v>
      </c>
      <c r="P77" s="644">
        <f t="shared" si="173"/>
        <v>0</v>
      </c>
      <c r="Q77" s="644"/>
      <c r="R77" s="644">
        <f t="shared" si="173"/>
        <v>0</v>
      </c>
      <c r="S77" s="644">
        <f t="shared" si="173"/>
        <v>0</v>
      </c>
      <c r="T77" s="644">
        <f t="shared" si="173"/>
        <v>0</v>
      </c>
      <c r="U77" s="644">
        <f t="shared" si="173"/>
        <v>0</v>
      </c>
      <c r="V77" s="644"/>
      <c r="W77" s="644">
        <f t="shared" si="173"/>
        <v>0</v>
      </c>
      <c r="X77" s="644">
        <f t="shared" si="173"/>
        <v>0</v>
      </c>
      <c r="Y77" s="644"/>
      <c r="Z77" s="644">
        <f t="shared" si="173"/>
        <v>0</v>
      </c>
      <c r="AA77" s="644">
        <f t="shared" si="173"/>
        <v>0</v>
      </c>
      <c r="AB77" s="644">
        <f t="shared" si="173"/>
        <v>0</v>
      </c>
      <c r="AC77" s="644">
        <f t="shared" si="173"/>
        <v>0</v>
      </c>
      <c r="AD77" s="644"/>
      <c r="AE77" s="644">
        <f t="shared" si="173"/>
        <v>0</v>
      </c>
      <c r="AF77" s="644">
        <f t="shared" si="173"/>
        <v>0</v>
      </c>
      <c r="AG77" s="644"/>
      <c r="AH77" s="644">
        <f t="shared" si="173"/>
        <v>0</v>
      </c>
      <c r="AI77" s="644">
        <f t="shared" si="173"/>
        <v>0</v>
      </c>
      <c r="AJ77" s="644">
        <f t="shared" si="173"/>
        <v>0</v>
      </c>
      <c r="AK77" s="644">
        <f t="shared" si="173"/>
        <v>0</v>
      </c>
      <c r="AL77" s="644"/>
      <c r="AM77" s="644">
        <f t="shared" si="173"/>
        <v>0</v>
      </c>
      <c r="AN77" s="644">
        <f t="shared" si="173"/>
        <v>0</v>
      </c>
      <c r="AO77" s="644"/>
      <c r="AP77" s="644">
        <f t="shared" si="173"/>
        <v>0</v>
      </c>
      <c r="AQ77" s="644">
        <f t="shared" si="173"/>
        <v>0</v>
      </c>
      <c r="AR77" s="644">
        <f t="shared" si="173"/>
        <v>0</v>
      </c>
      <c r="AS77" s="644">
        <f t="shared" si="173"/>
        <v>0</v>
      </c>
      <c r="AT77" s="644">
        <f t="shared" si="173"/>
        <v>0</v>
      </c>
      <c r="AU77" s="644">
        <f t="shared" si="173"/>
        <v>0</v>
      </c>
      <c r="AV77" s="34"/>
      <c r="AW77" s="34"/>
      <c r="AX77" s="269"/>
      <c r="AY77" s="269"/>
      <c r="AZ77" s="269"/>
      <c r="BA77" s="269"/>
      <c r="BB77" s="269"/>
      <c r="BC77" s="269"/>
    </row>
    <row r="78" spans="1:55" ht="15" customHeight="1">
      <c r="A78" s="34"/>
      <c r="B78" s="239" t="s">
        <v>789</v>
      </c>
      <c r="C78" s="34"/>
      <c r="D78" s="34"/>
      <c r="E78" s="34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"/>
      <c r="T78" s="34"/>
      <c r="U78" s="34"/>
      <c r="V78" s="349"/>
      <c r="W78" s="34"/>
      <c r="X78" s="34"/>
      <c r="Y78" s="349"/>
      <c r="Z78" s="34"/>
      <c r="AA78" s="34"/>
      <c r="AB78" s="34"/>
      <c r="AC78" s="34"/>
      <c r="AD78" s="349"/>
      <c r="AE78" s="34"/>
      <c r="AF78" s="34"/>
      <c r="AG78" s="349"/>
      <c r="AH78" s="34"/>
      <c r="AI78" s="34"/>
      <c r="AJ78" s="34"/>
      <c r="AK78" s="34"/>
      <c r="AL78" s="349"/>
      <c r="AM78" s="34"/>
      <c r="AN78" s="34"/>
      <c r="AO78" s="349"/>
      <c r="AP78" s="34"/>
      <c r="AQ78" s="34"/>
      <c r="AR78" s="34"/>
      <c r="AS78" s="34"/>
      <c r="AT78" s="34"/>
      <c r="AU78" s="34"/>
      <c r="AV78" s="34"/>
      <c r="AW78" s="34"/>
      <c r="AX78" s="269"/>
      <c r="AY78" s="269"/>
      <c r="AZ78" s="269"/>
      <c r="BA78" s="269"/>
      <c r="BB78" s="269"/>
      <c r="BC78" s="269"/>
    </row>
    <row r="79" spans="1:55">
      <c r="B79" s="239"/>
    </row>
    <row r="80" spans="1:55">
      <c r="AV80" s="269"/>
      <c r="AW80" s="269"/>
      <c r="AX80" s="269"/>
      <c r="AY80" s="269"/>
    </row>
    <row r="81" spans="5:55">
      <c r="AV81" s="269"/>
      <c r="AW81" s="269"/>
      <c r="AX81" s="269"/>
      <c r="AY81" s="269"/>
    </row>
    <row r="82" spans="5:55">
      <c r="AV82" s="269"/>
      <c r="AW82" s="269"/>
      <c r="AX82" s="269"/>
      <c r="AY82" s="269"/>
    </row>
    <row r="83" spans="5:55">
      <c r="E83" s="669"/>
      <c r="F83" s="439"/>
      <c r="G83" s="643"/>
      <c r="H83" s="643"/>
      <c r="I83" s="643"/>
      <c r="J83" s="439"/>
      <c r="L83" s="439"/>
      <c r="M83" s="439"/>
      <c r="N83" s="439"/>
      <c r="R83" s="439"/>
      <c r="T83" s="439"/>
      <c r="U83" s="439"/>
      <c r="V83" s="439"/>
      <c r="Z83" s="439"/>
      <c r="AB83" s="439"/>
      <c r="AC83" s="439"/>
      <c r="AD83" s="439"/>
      <c r="AF83" s="439"/>
      <c r="AG83" s="439"/>
      <c r="AH83" s="439"/>
      <c r="AJ83" s="439"/>
      <c r="AK83" s="439"/>
      <c r="AL83" s="439"/>
      <c r="AN83" s="439"/>
      <c r="AO83" s="439"/>
      <c r="AP83" s="439"/>
      <c r="AQ83" s="439"/>
      <c r="AR83" s="439"/>
    </row>
    <row r="84" spans="5:55">
      <c r="AV84" s="269"/>
      <c r="AW84" s="269"/>
      <c r="AX84" s="269"/>
      <c r="AY84" s="269"/>
      <c r="AZ84" s="269"/>
      <c r="BA84" s="269"/>
      <c r="BB84" s="269"/>
      <c r="BC84" s="269"/>
    </row>
    <row r="87" spans="5:55" ht="79.5" customHeight="1"/>
  </sheetData>
  <sheetProtection password="CACA" sheet="1" objects="1" scenarios="1"/>
  <mergeCells count="26"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</mergeCells>
  <conditionalFormatting sqref="G53">
    <cfRule type="cellIs" dxfId="217" priority="66" operator="notEqual">
      <formula>$G$71</formula>
    </cfRule>
  </conditionalFormatting>
  <conditionalFormatting sqref="E53">
    <cfRule type="cellIs" dxfId="216" priority="67" operator="notEqual">
      <formula>$E$71</formula>
    </cfRule>
  </conditionalFormatting>
  <conditionalFormatting sqref="D53">
    <cfRule type="cellIs" dxfId="215" priority="68" operator="notEqual">
      <formula>$D$71</formula>
    </cfRule>
  </conditionalFormatting>
  <conditionalFormatting sqref="F53">
    <cfRule type="cellIs" dxfId="214" priority="69" operator="notEqual">
      <formula>$F$71</formula>
    </cfRule>
  </conditionalFormatting>
  <conditionalFormatting sqref="O53">
    <cfRule type="cellIs" dxfId="213" priority="70" operator="notEqual">
      <formula>$O$71</formula>
    </cfRule>
  </conditionalFormatting>
  <conditionalFormatting sqref="C7">
    <cfRule type="cellIs" dxfId="212" priority="10" operator="notEqual">
      <formula>AV7</formula>
    </cfRule>
  </conditionalFormatting>
  <conditionalFormatting sqref="C31">
    <cfRule type="cellIs" dxfId="211" priority="9" operator="notEqual">
      <formula>AV31</formula>
    </cfRule>
  </conditionalFormatting>
  <conditionalFormatting sqref="C53">
    <cfRule type="cellIs" dxfId="210" priority="8" operator="notEqual">
      <formula>AV53</formula>
    </cfRule>
  </conditionalFormatting>
  <dataValidations disablePrompts="1"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8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F131"/>
  <sheetViews>
    <sheetView view="pageBreakPreview" zoomScale="70" zoomScaleNormal="40" zoomScaleSheetLayoutView="70" workbookViewId="0">
      <pane xSplit="7" ySplit="8" topLeftCell="I72" activePane="bottomRight" state="frozen"/>
      <selection activeCell="C73" sqref="C73"/>
      <selection pane="topRight" activeCell="C73" sqref="C73"/>
      <selection pane="bottomLeft" activeCell="C73" sqref="C73"/>
      <selection pane="bottomRight" activeCell="U9" sqref="U9"/>
    </sheetView>
  </sheetViews>
  <sheetFormatPr defaultRowHeight="12.75"/>
  <cols>
    <col min="1" max="1" width="5.140625" style="269" customWidth="1"/>
    <col min="2" max="2" width="43.42578125" style="269" customWidth="1"/>
    <col min="3" max="3" width="14.140625" style="269" customWidth="1"/>
    <col min="4" max="6" width="10.140625" style="269" customWidth="1"/>
    <col min="7" max="8" width="14.28515625" style="269" customWidth="1"/>
    <col min="9" max="19" width="13.85546875" style="269" customWidth="1"/>
    <col min="20" max="20" width="8.28515625" style="269" customWidth="1"/>
    <col min="21" max="21" width="10.140625" style="269" customWidth="1"/>
    <col min="22" max="22" width="14" style="269" customWidth="1"/>
    <col min="23" max="23" width="9.85546875" style="269" customWidth="1"/>
    <col min="24" max="24" width="14" style="269" customWidth="1"/>
    <col min="25" max="25" width="13.28515625" style="269" customWidth="1"/>
    <col min="26" max="26" width="14.7109375" style="269" customWidth="1"/>
    <col min="27" max="27" width="26.140625" style="439" customWidth="1"/>
    <col min="28" max="16384" width="9.140625" style="269"/>
  </cols>
  <sheetData>
    <row r="1" spans="1:27" ht="20.25">
      <c r="A1" s="741" t="s">
        <v>428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Y1" s="438" t="s">
        <v>429</v>
      </c>
    </row>
    <row r="2" spans="1:27">
      <c r="A2" s="313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Q2" s="312"/>
      <c r="R2" s="312"/>
      <c r="S2" s="312"/>
      <c r="T2" s="312"/>
    </row>
    <row r="3" spans="1:27" ht="15.75">
      <c r="A3" s="286"/>
      <c r="B3" s="311" t="str">
        <f>+'Asset quality'!B3</f>
        <v>"МКБАНК"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745"/>
      <c r="O3" s="745"/>
      <c r="P3" s="745"/>
      <c r="Q3" s="286"/>
      <c r="R3" s="286"/>
      <c r="T3" s="310"/>
      <c r="U3" s="705">
        <f>+'Asset quality'!Q3</f>
        <v>44926</v>
      </c>
      <c r="V3" s="705"/>
      <c r="W3" s="328"/>
      <c r="Y3" s="740" t="str">
        <f>+'Asset quality'!T3</f>
        <v>минг. сўмда</v>
      </c>
      <c r="Z3" s="740"/>
    </row>
    <row r="4" spans="1:27" ht="27.75" customHeight="1">
      <c r="A4" s="742" t="s">
        <v>62</v>
      </c>
      <c r="B4" s="742" t="s">
        <v>430</v>
      </c>
      <c r="C4" s="731" t="s">
        <v>431</v>
      </c>
      <c r="D4" s="731" t="s">
        <v>432</v>
      </c>
      <c r="E4" s="731" t="s">
        <v>433</v>
      </c>
      <c r="F4" s="731" t="s">
        <v>434</v>
      </c>
      <c r="G4" s="731" t="s">
        <v>435</v>
      </c>
      <c r="H4" s="734" t="s">
        <v>335</v>
      </c>
      <c r="I4" s="735"/>
      <c r="J4" s="735"/>
      <c r="K4" s="735"/>
      <c r="L4" s="735"/>
      <c r="M4" s="735"/>
      <c r="N4" s="735"/>
      <c r="O4" s="735"/>
      <c r="P4" s="735"/>
      <c r="Q4" s="735"/>
      <c r="R4" s="735"/>
      <c r="S4" s="736"/>
      <c r="T4" s="731" t="s">
        <v>436</v>
      </c>
      <c r="U4" s="748" t="s">
        <v>437</v>
      </c>
      <c r="V4" s="749"/>
      <c r="W4" s="731" t="s">
        <v>438</v>
      </c>
      <c r="X4" s="731" t="s">
        <v>439</v>
      </c>
      <c r="Y4" s="731" t="s">
        <v>440</v>
      </c>
      <c r="Z4" s="731" t="s">
        <v>441</v>
      </c>
    </row>
    <row r="5" spans="1:27" ht="27.75" customHeight="1">
      <c r="A5" s="743"/>
      <c r="B5" s="743"/>
      <c r="C5" s="732"/>
      <c r="D5" s="732"/>
      <c r="E5" s="732"/>
      <c r="F5" s="732"/>
      <c r="G5" s="732"/>
      <c r="H5" s="734" t="s">
        <v>442</v>
      </c>
      <c r="I5" s="735"/>
      <c r="J5" s="735"/>
      <c r="K5" s="736"/>
      <c r="L5" s="734" t="s">
        <v>443</v>
      </c>
      <c r="M5" s="735"/>
      <c r="N5" s="735"/>
      <c r="O5" s="735"/>
      <c r="P5" s="735"/>
      <c r="Q5" s="735"/>
      <c r="R5" s="735"/>
      <c r="S5" s="736"/>
      <c r="T5" s="732"/>
      <c r="U5" s="750"/>
      <c r="V5" s="751"/>
      <c r="W5" s="732"/>
      <c r="X5" s="732"/>
      <c r="Y5" s="732"/>
      <c r="Z5" s="732"/>
    </row>
    <row r="6" spans="1:27" ht="108.75" customHeight="1">
      <c r="A6" s="743"/>
      <c r="B6" s="743"/>
      <c r="C6" s="732"/>
      <c r="D6" s="732"/>
      <c r="E6" s="732"/>
      <c r="F6" s="732"/>
      <c r="G6" s="732"/>
      <c r="H6" s="731" t="s">
        <v>444</v>
      </c>
      <c r="I6" s="731" t="s">
        <v>445</v>
      </c>
      <c r="J6" s="731" t="s">
        <v>446</v>
      </c>
      <c r="K6" s="731" t="s">
        <v>447</v>
      </c>
      <c r="L6" s="737" t="s">
        <v>448</v>
      </c>
      <c r="M6" s="738"/>
      <c r="N6" s="737" t="s">
        <v>449</v>
      </c>
      <c r="O6" s="738"/>
      <c r="P6" s="737" t="s">
        <v>450</v>
      </c>
      <c r="Q6" s="738"/>
      <c r="R6" s="737" t="s">
        <v>451</v>
      </c>
      <c r="S6" s="738"/>
      <c r="T6" s="732"/>
      <c r="U6" s="731" t="s">
        <v>452</v>
      </c>
      <c r="V6" s="731" t="s">
        <v>164</v>
      </c>
      <c r="W6" s="732"/>
      <c r="X6" s="732"/>
      <c r="Y6" s="732"/>
      <c r="Z6" s="732"/>
    </row>
    <row r="7" spans="1:27" ht="41.25" customHeight="1">
      <c r="A7" s="744"/>
      <c r="B7" s="744"/>
      <c r="C7" s="733"/>
      <c r="D7" s="733"/>
      <c r="E7" s="733"/>
      <c r="F7" s="733"/>
      <c r="G7" s="733"/>
      <c r="H7" s="733"/>
      <c r="I7" s="733"/>
      <c r="J7" s="733"/>
      <c r="K7" s="733"/>
      <c r="L7" s="440" t="s">
        <v>453</v>
      </c>
      <c r="M7" s="440" t="s">
        <v>454</v>
      </c>
      <c r="N7" s="440" t="s">
        <v>453</v>
      </c>
      <c r="O7" s="440" t="s">
        <v>454</v>
      </c>
      <c r="P7" s="440" t="s">
        <v>453</v>
      </c>
      <c r="Q7" s="440" t="s">
        <v>454</v>
      </c>
      <c r="R7" s="440" t="s">
        <v>453</v>
      </c>
      <c r="S7" s="440" t="s">
        <v>454</v>
      </c>
      <c r="T7" s="733"/>
      <c r="U7" s="733"/>
      <c r="V7" s="733"/>
      <c r="W7" s="733"/>
      <c r="X7" s="733"/>
      <c r="Y7" s="733"/>
      <c r="Z7" s="733"/>
    </row>
    <row r="8" spans="1:27" s="309" customFormat="1" ht="15">
      <c r="A8" s="295"/>
      <c r="B8" s="295" t="s">
        <v>79</v>
      </c>
      <c r="C8" s="295" t="s">
        <v>80</v>
      </c>
      <c r="D8" s="295" t="s">
        <v>90</v>
      </c>
      <c r="E8" s="295" t="s">
        <v>81</v>
      </c>
      <c r="F8" s="295" t="s">
        <v>82</v>
      </c>
      <c r="G8" s="295" t="s">
        <v>91</v>
      </c>
      <c r="H8" s="295" t="s">
        <v>229</v>
      </c>
      <c r="I8" s="295" t="s">
        <v>228</v>
      </c>
      <c r="J8" s="295" t="s">
        <v>227</v>
      </c>
      <c r="K8" s="295" t="s">
        <v>226</v>
      </c>
      <c r="L8" s="746" t="s">
        <v>225</v>
      </c>
      <c r="M8" s="747"/>
      <c r="N8" s="746" t="s">
        <v>224</v>
      </c>
      <c r="O8" s="747"/>
      <c r="P8" s="746" t="s">
        <v>223</v>
      </c>
      <c r="Q8" s="747"/>
      <c r="R8" s="746" t="s">
        <v>222</v>
      </c>
      <c r="S8" s="747"/>
      <c r="T8" s="295" t="s">
        <v>83</v>
      </c>
      <c r="U8" s="295" t="s">
        <v>84</v>
      </c>
      <c r="V8" s="295" t="s">
        <v>85</v>
      </c>
      <c r="W8" s="295" t="s">
        <v>86</v>
      </c>
      <c r="X8" s="295" t="s">
        <v>87</v>
      </c>
      <c r="Y8" s="295" t="s">
        <v>88</v>
      </c>
      <c r="Z8" s="295" t="s">
        <v>89</v>
      </c>
      <c r="AA8" s="442"/>
    </row>
    <row r="9" spans="1:27" s="299" customFormat="1">
      <c r="A9" s="629">
        <v>1</v>
      </c>
      <c r="B9" s="630" t="s">
        <v>813</v>
      </c>
      <c r="C9" s="631" t="s">
        <v>827</v>
      </c>
      <c r="D9" s="631" t="s">
        <v>190</v>
      </c>
      <c r="E9" s="632" t="s">
        <v>828</v>
      </c>
      <c r="F9" s="632">
        <v>1</v>
      </c>
      <c r="G9" s="303">
        <f t="shared" ref="G9:G40" si="0">+H9+I9+J9+K9+M9+O9+Q9+S9</f>
        <v>8253.1386999999995</v>
      </c>
      <c r="H9" s="633">
        <v>8253.1386999999995</v>
      </c>
      <c r="I9" s="633">
        <v>0</v>
      </c>
      <c r="J9" s="633"/>
      <c r="K9" s="633"/>
      <c r="L9" s="633"/>
      <c r="M9" s="633"/>
      <c r="N9" s="406"/>
      <c r="O9" s="633"/>
      <c r="P9" s="633"/>
      <c r="Q9" s="631"/>
      <c r="R9" s="631"/>
      <c r="S9" s="631"/>
      <c r="T9" s="631"/>
      <c r="U9" s="631"/>
      <c r="V9" s="631"/>
      <c r="W9" s="443"/>
      <c r="X9" s="443" t="s">
        <v>2</v>
      </c>
      <c r="Y9" s="631"/>
      <c r="Z9" s="634">
        <f t="shared" ref="Z9:Z40" si="1">+G9-V9-X9</f>
        <v>8252.1386999999995</v>
      </c>
      <c r="AA9" s="444">
        <f t="shared" ref="AA9:AA72" si="2">SUMIF($F$9:$F$88,$F9,$Z$9:$Z$88)</f>
        <v>8252.1386999999995</v>
      </c>
    </row>
    <row r="10" spans="1:27" s="299" customFormat="1">
      <c r="A10" s="305">
        <v>2</v>
      </c>
      <c r="B10" s="301" t="s">
        <v>814</v>
      </c>
      <c r="C10" s="306" t="s">
        <v>829</v>
      </c>
      <c r="D10" s="306" t="s">
        <v>190</v>
      </c>
      <c r="E10" s="304" t="s">
        <v>828</v>
      </c>
      <c r="F10" s="304">
        <v>2</v>
      </c>
      <c r="G10" s="303">
        <f t="shared" si="0"/>
        <v>414193.62263</v>
      </c>
      <c r="H10" s="18">
        <v>414193.62263</v>
      </c>
      <c r="I10" s="18"/>
      <c r="J10" s="18"/>
      <c r="K10" s="18"/>
      <c r="L10" s="18"/>
      <c r="M10" s="18"/>
      <c r="N10" s="302"/>
      <c r="O10" s="18"/>
      <c r="P10" s="18"/>
      <c r="Q10" s="306"/>
      <c r="R10" s="306"/>
      <c r="S10" s="301"/>
      <c r="T10" s="301"/>
      <c r="U10" s="631"/>
      <c r="V10" s="306"/>
      <c r="W10" s="443"/>
      <c r="X10" s="443">
        <v>1</v>
      </c>
      <c r="Y10" s="306"/>
      <c r="Z10" s="300">
        <f t="shared" si="1"/>
        <v>414192.62263</v>
      </c>
      <c r="AA10" s="444">
        <f t="shared" si="2"/>
        <v>414192.62263</v>
      </c>
    </row>
    <row r="11" spans="1:27" s="299" customFormat="1">
      <c r="A11" s="305">
        <v>3</v>
      </c>
      <c r="B11" s="301" t="s">
        <v>815</v>
      </c>
      <c r="C11" s="301" t="s">
        <v>830</v>
      </c>
      <c r="D11" s="306" t="s">
        <v>190</v>
      </c>
      <c r="E11" s="304" t="s">
        <v>828</v>
      </c>
      <c r="F11" s="304">
        <v>3</v>
      </c>
      <c r="G11" s="303">
        <f t="shared" si="0"/>
        <v>6416.6570000000002</v>
      </c>
      <c r="H11" s="18">
        <v>6416.6570000000002</v>
      </c>
      <c r="I11" s="18"/>
      <c r="J11" s="18"/>
      <c r="K11" s="18"/>
      <c r="L11" s="18"/>
      <c r="M11" s="18"/>
      <c r="N11" s="302"/>
      <c r="O11" s="18"/>
      <c r="P11" s="18"/>
      <c r="Q11" s="306"/>
      <c r="R11" s="306"/>
      <c r="S11" s="301"/>
      <c r="T11" s="301"/>
      <c r="U11" s="631"/>
      <c r="V11" s="306"/>
      <c r="W11" s="443"/>
      <c r="X11" s="443" t="s">
        <v>2</v>
      </c>
      <c r="Y11" s="301"/>
      <c r="Z11" s="300">
        <f t="shared" si="1"/>
        <v>6415.6570000000002</v>
      </c>
      <c r="AA11" s="444">
        <f t="shared" si="2"/>
        <v>18101.765919999998</v>
      </c>
    </row>
    <row r="12" spans="1:27" s="299" customFormat="1">
      <c r="A12" s="305">
        <v>4</v>
      </c>
      <c r="B12" s="301" t="s">
        <v>816</v>
      </c>
      <c r="C12" s="306" t="s">
        <v>831</v>
      </c>
      <c r="D12" s="306" t="s">
        <v>190</v>
      </c>
      <c r="E12" s="304" t="s">
        <v>828</v>
      </c>
      <c r="F12" s="304">
        <v>3</v>
      </c>
      <c r="G12" s="303">
        <f>+H12+I12+J12+K12+M12+O12+Q12+S12</f>
        <v>9899.4066999999995</v>
      </c>
      <c r="H12" s="18">
        <v>9899.4066999999995</v>
      </c>
      <c r="I12" s="18"/>
      <c r="J12" s="18"/>
      <c r="K12" s="18"/>
      <c r="L12" s="18"/>
      <c r="M12" s="18"/>
      <c r="N12" s="302"/>
      <c r="O12" s="18"/>
      <c r="P12" s="18"/>
      <c r="Q12" s="306"/>
      <c r="R12" s="306"/>
      <c r="S12" s="301"/>
      <c r="T12" s="301"/>
      <c r="U12" s="631"/>
      <c r="V12" s="306"/>
      <c r="W12" s="443"/>
      <c r="X12" s="443" t="s">
        <v>2</v>
      </c>
      <c r="Y12" s="301"/>
      <c r="Z12" s="300">
        <f t="shared" si="1"/>
        <v>9898.4066999999995</v>
      </c>
      <c r="AA12" s="444">
        <f t="shared" si="2"/>
        <v>18101.765919999998</v>
      </c>
    </row>
    <row r="13" spans="1:27" s="299" customFormat="1">
      <c r="A13" s="305">
        <v>5</v>
      </c>
      <c r="B13" s="301" t="s">
        <v>817</v>
      </c>
      <c r="C13" s="301" t="s">
        <v>832</v>
      </c>
      <c r="D13" s="306" t="s">
        <v>190</v>
      </c>
      <c r="E13" s="304" t="s">
        <v>828</v>
      </c>
      <c r="F13" s="304">
        <v>3</v>
      </c>
      <c r="G13" s="303">
        <f t="shared" si="0"/>
        <v>1788.7022199999999</v>
      </c>
      <c r="H13" s="18">
        <v>1788.7022199999999</v>
      </c>
      <c r="I13" s="301"/>
      <c r="J13" s="301"/>
      <c r="K13" s="18"/>
      <c r="L13" s="301"/>
      <c r="M13" s="18"/>
      <c r="N13" s="302"/>
      <c r="O13" s="18"/>
      <c r="P13" s="18"/>
      <c r="Q13" s="306"/>
      <c r="R13" s="306"/>
      <c r="S13" s="301"/>
      <c r="T13" s="301"/>
      <c r="U13" s="631"/>
      <c r="V13" s="306"/>
      <c r="W13" s="443"/>
      <c r="X13" s="443" t="s">
        <v>2</v>
      </c>
      <c r="Y13" s="301"/>
      <c r="Z13" s="300">
        <f t="shared" si="1"/>
        <v>1787.7022199999999</v>
      </c>
      <c r="AA13" s="444">
        <f t="shared" si="2"/>
        <v>18101.765919999998</v>
      </c>
    </row>
    <row r="14" spans="1:27" s="299" customFormat="1">
      <c r="A14" s="305">
        <v>6</v>
      </c>
      <c r="B14" s="301" t="s">
        <v>818</v>
      </c>
      <c r="C14" s="301" t="s">
        <v>833</v>
      </c>
      <c r="D14" s="301" t="s">
        <v>190</v>
      </c>
      <c r="E14" s="304" t="s">
        <v>828</v>
      </c>
      <c r="F14" s="304">
        <v>4</v>
      </c>
      <c r="G14" s="303">
        <f t="shared" si="0"/>
        <v>31118.985779999999</v>
      </c>
      <c r="H14" s="18">
        <v>31118.985779999999</v>
      </c>
      <c r="I14" s="18"/>
      <c r="J14" s="18"/>
      <c r="K14" s="18"/>
      <c r="L14" s="18"/>
      <c r="M14" s="18"/>
      <c r="N14" s="302"/>
      <c r="O14" s="18"/>
      <c r="P14" s="18"/>
      <c r="Q14" s="306"/>
      <c r="R14" s="306"/>
      <c r="S14" s="301"/>
      <c r="T14" s="301"/>
      <c r="U14" s="631"/>
      <c r="V14" s="306"/>
      <c r="W14" s="443"/>
      <c r="X14" s="443" t="s">
        <v>2</v>
      </c>
      <c r="Y14" s="301"/>
      <c r="Z14" s="300">
        <f t="shared" si="1"/>
        <v>31117.985779999999</v>
      </c>
      <c r="AA14" s="444">
        <f t="shared" si="2"/>
        <v>31117.985779999999</v>
      </c>
    </row>
    <row r="15" spans="1:27" s="299" customFormat="1">
      <c r="A15" s="305">
        <v>7</v>
      </c>
      <c r="B15" s="301" t="s">
        <v>819</v>
      </c>
      <c r="C15" s="301" t="s">
        <v>834</v>
      </c>
      <c r="D15" s="301" t="s">
        <v>190</v>
      </c>
      <c r="E15" s="304" t="s">
        <v>828</v>
      </c>
      <c r="F15" s="304">
        <v>5</v>
      </c>
      <c r="G15" s="303">
        <f>+H15+I15+J15+K15+M15+O15+Q15+S15</f>
        <v>2227.2728000000002</v>
      </c>
      <c r="H15" s="18">
        <v>2227.2728000000002</v>
      </c>
      <c r="I15" s="18"/>
      <c r="J15" s="18"/>
      <c r="K15" s="18"/>
      <c r="L15" s="18"/>
      <c r="M15" s="301"/>
      <c r="N15" s="302"/>
      <c r="O15" s="302"/>
      <c r="P15" s="302"/>
      <c r="Q15" s="302"/>
      <c r="R15" s="301"/>
      <c r="S15" s="306"/>
      <c r="T15" s="306"/>
      <c r="U15" s="631"/>
      <c r="V15" s="306"/>
      <c r="W15" s="443"/>
      <c r="X15" s="443" t="s">
        <v>2</v>
      </c>
      <c r="Y15" s="306"/>
      <c r="Z15" s="300">
        <f t="shared" si="1"/>
        <v>2226.2728000000002</v>
      </c>
      <c r="AA15" s="444">
        <f t="shared" si="2"/>
        <v>2226.2728000000002</v>
      </c>
    </row>
    <row r="16" spans="1:27" s="299" customFormat="1">
      <c r="A16" s="305">
        <v>8</v>
      </c>
      <c r="B16" s="301" t="s">
        <v>820</v>
      </c>
      <c r="C16" s="301" t="s">
        <v>835</v>
      </c>
      <c r="D16" s="301" t="s">
        <v>190</v>
      </c>
      <c r="E16" s="304" t="s">
        <v>828</v>
      </c>
      <c r="F16" s="304">
        <v>6</v>
      </c>
      <c r="G16" s="303">
        <f t="shared" si="0"/>
        <v>1251.5</v>
      </c>
      <c r="H16" s="301">
        <v>1251.5</v>
      </c>
      <c r="I16" s="18"/>
      <c r="J16" s="18"/>
      <c r="K16" s="18"/>
      <c r="L16" s="18"/>
      <c r="M16" s="301"/>
      <c r="N16" s="302"/>
      <c r="O16" s="302"/>
      <c r="P16" s="302"/>
      <c r="Q16" s="302"/>
      <c r="R16" s="301"/>
      <c r="S16" s="306"/>
      <c r="T16" s="306"/>
      <c r="U16" s="631"/>
      <c r="V16" s="306"/>
      <c r="W16" s="443"/>
      <c r="X16" s="443" t="s">
        <v>2</v>
      </c>
      <c r="Y16" s="306"/>
      <c r="Z16" s="300">
        <f t="shared" si="1"/>
        <v>1250.5</v>
      </c>
      <c r="AA16" s="444">
        <f t="shared" si="2"/>
        <v>1250.5</v>
      </c>
    </row>
    <row r="17" spans="1:27" s="299" customFormat="1">
      <c r="A17" s="305">
        <v>9</v>
      </c>
      <c r="B17" s="445" t="s">
        <v>821</v>
      </c>
      <c r="C17" s="301" t="s">
        <v>836</v>
      </c>
      <c r="D17" s="301" t="s">
        <v>190</v>
      </c>
      <c r="E17" s="304" t="s">
        <v>828</v>
      </c>
      <c r="F17" s="304">
        <v>8</v>
      </c>
      <c r="G17" s="303">
        <f>+H17+I17+J17+K17+M17+O17+Q17+S17</f>
        <v>9167</v>
      </c>
      <c r="H17" s="301">
        <v>9167</v>
      </c>
      <c r="I17" s="307"/>
      <c r="J17" s="18"/>
      <c r="K17" s="18"/>
      <c r="L17" s="18"/>
      <c r="M17" s="301"/>
      <c r="N17" s="302"/>
      <c r="O17" s="302"/>
      <c r="P17" s="302"/>
      <c r="Q17" s="302"/>
      <c r="R17" s="301"/>
      <c r="S17" s="306"/>
      <c r="T17" s="306"/>
      <c r="U17" s="631"/>
      <c r="V17" s="306"/>
      <c r="W17" s="443"/>
      <c r="X17" s="443" t="s">
        <v>2</v>
      </c>
      <c r="Y17" s="306"/>
      <c r="Z17" s="300">
        <f t="shared" si="1"/>
        <v>9166</v>
      </c>
      <c r="AA17" s="444">
        <f t="shared" si="2"/>
        <v>9166</v>
      </c>
    </row>
    <row r="18" spans="1:27" s="299" customFormat="1">
      <c r="A18" s="305">
        <v>10</v>
      </c>
      <c r="B18" s="445" t="s">
        <v>822</v>
      </c>
      <c r="C18" s="301" t="s">
        <v>837</v>
      </c>
      <c r="D18" s="301" t="s">
        <v>190</v>
      </c>
      <c r="E18" s="304" t="s">
        <v>828</v>
      </c>
      <c r="F18" s="304">
        <v>11</v>
      </c>
      <c r="G18" s="303">
        <f>+H18+I18+J18+K18+M18+O18+Q18+S18</f>
        <v>100647.77099</v>
      </c>
      <c r="H18" s="301">
        <v>100647.77099</v>
      </c>
      <c r="I18" s="307"/>
      <c r="J18" s="301"/>
      <c r="K18" s="301"/>
      <c r="L18" s="301"/>
      <c r="M18" s="301"/>
      <c r="N18" s="302"/>
      <c r="O18" s="302"/>
      <c r="P18" s="302"/>
      <c r="Q18" s="302"/>
      <c r="R18" s="301"/>
      <c r="S18" s="301"/>
      <c r="T18" s="301"/>
      <c r="U18" s="631"/>
      <c r="V18" s="306"/>
      <c r="W18" s="443"/>
      <c r="X18" s="443"/>
      <c r="Y18" s="306"/>
      <c r="Z18" s="300">
        <f t="shared" si="1"/>
        <v>100647.77099</v>
      </c>
      <c r="AA18" s="444">
        <f t="shared" si="2"/>
        <v>100647.77099</v>
      </c>
    </row>
    <row r="19" spans="1:27" s="299" customFormat="1">
      <c r="A19" s="305">
        <v>11</v>
      </c>
      <c r="B19" s="445" t="s">
        <v>823</v>
      </c>
      <c r="C19" s="301" t="s">
        <v>838</v>
      </c>
      <c r="D19" s="301" t="s">
        <v>190</v>
      </c>
      <c r="E19" s="304" t="s">
        <v>828</v>
      </c>
      <c r="F19" s="304">
        <v>12</v>
      </c>
      <c r="G19" s="303">
        <f t="shared" si="0"/>
        <v>102996.0558</v>
      </c>
      <c r="H19" s="301">
        <v>102996.0558</v>
      </c>
      <c r="I19" s="307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631"/>
      <c r="V19" s="306"/>
      <c r="W19" s="443"/>
      <c r="X19" s="443" t="s">
        <v>2</v>
      </c>
      <c r="Y19" s="306"/>
      <c r="Z19" s="300">
        <f t="shared" si="1"/>
        <v>102995.0558</v>
      </c>
      <c r="AA19" s="444">
        <f t="shared" si="2"/>
        <v>102995.0558</v>
      </c>
    </row>
    <row r="20" spans="1:27" s="299" customFormat="1">
      <c r="A20" s="305">
        <v>12</v>
      </c>
      <c r="B20" s="445" t="s">
        <v>824</v>
      </c>
      <c r="C20" s="301" t="s">
        <v>839</v>
      </c>
      <c r="D20" s="301" t="s">
        <v>190</v>
      </c>
      <c r="E20" s="304" t="s">
        <v>828</v>
      </c>
      <c r="F20" s="304">
        <v>13</v>
      </c>
      <c r="G20" s="303">
        <f t="shared" si="0"/>
        <v>423962.95137999998</v>
      </c>
      <c r="H20" s="301">
        <v>423962.95137999998</v>
      </c>
      <c r="I20" s="308"/>
      <c r="J20" s="301"/>
      <c r="K20" s="301"/>
      <c r="L20" s="301"/>
      <c r="M20" s="301"/>
      <c r="N20" s="302"/>
      <c r="O20" s="302"/>
      <c r="P20" s="302"/>
      <c r="Q20" s="302"/>
      <c r="R20" s="301"/>
      <c r="S20" s="301"/>
      <c r="T20" s="301"/>
      <c r="U20" s="631"/>
      <c r="V20" s="306"/>
      <c r="W20" s="443"/>
      <c r="X20" s="443" t="s">
        <v>2</v>
      </c>
      <c r="Y20" s="306"/>
      <c r="Z20" s="300">
        <f t="shared" si="1"/>
        <v>423961.95137999998</v>
      </c>
      <c r="AA20" s="444">
        <f t="shared" si="2"/>
        <v>423961.95137999998</v>
      </c>
    </row>
    <row r="21" spans="1:27" s="299" customFormat="1">
      <c r="A21" s="305">
        <v>13</v>
      </c>
      <c r="B21" s="445" t="s">
        <v>825</v>
      </c>
      <c r="C21" s="301" t="s">
        <v>840</v>
      </c>
      <c r="D21" s="301" t="s">
        <v>190</v>
      </c>
      <c r="E21" s="304" t="s">
        <v>828</v>
      </c>
      <c r="F21" s="304">
        <v>14</v>
      </c>
      <c r="G21" s="303">
        <f t="shared" si="0"/>
        <v>8334</v>
      </c>
      <c r="H21" s="301">
        <v>8334</v>
      </c>
      <c r="I21" s="301"/>
      <c r="J21" s="301"/>
      <c r="K21" s="301"/>
      <c r="L21" s="301"/>
      <c r="M21" s="301"/>
      <c r="N21" s="302"/>
      <c r="O21" s="302"/>
      <c r="P21" s="302"/>
      <c r="Q21" s="302"/>
      <c r="R21" s="301"/>
      <c r="S21" s="301"/>
      <c r="T21" s="301"/>
      <c r="U21" s="631"/>
      <c r="V21" s="306"/>
      <c r="W21" s="443"/>
      <c r="X21" s="443" t="s">
        <v>2</v>
      </c>
      <c r="Y21" s="306"/>
      <c r="Z21" s="300">
        <f t="shared" si="1"/>
        <v>8333</v>
      </c>
      <c r="AA21" s="444">
        <f t="shared" si="2"/>
        <v>8333</v>
      </c>
    </row>
    <row r="22" spans="1:27" s="299" customFormat="1">
      <c r="A22" s="305">
        <v>14</v>
      </c>
      <c r="B22" s="301" t="s">
        <v>826</v>
      </c>
      <c r="C22" s="301" t="s">
        <v>841</v>
      </c>
      <c r="D22" s="301" t="s">
        <v>190</v>
      </c>
      <c r="E22" s="304" t="s">
        <v>828</v>
      </c>
      <c r="F22" s="304">
        <v>16</v>
      </c>
      <c r="G22" s="303">
        <f t="shared" si="0"/>
        <v>4697.1127999999999</v>
      </c>
      <c r="H22" s="301">
        <v>4697.1127999999999</v>
      </c>
      <c r="I22" s="301"/>
      <c r="J22" s="301"/>
      <c r="K22" s="301"/>
      <c r="L22" s="301"/>
      <c r="M22" s="301"/>
      <c r="N22" s="302"/>
      <c r="O22" s="302"/>
      <c r="P22" s="302"/>
      <c r="Q22" s="302"/>
      <c r="R22" s="301"/>
      <c r="S22" s="301"/>
      <c r="T22" s="301"/>
      <c r="U22" s="631"/>
      <c r="V22" s="306"/>
      <c r="W22" s="443"/>
      <c r="X22" s="443" t="s">
        <v>2</v>
      </c>
      <c r="Y22" s="306"/>
      <c r="Z22" s="300">
        <f t="shared" si="1"/>
        <v>4696.1127999999999</v>
      </c>
      <c r="AA22" s="444">
        <f t="shared" si="2"/>
        <v>4696.1127999999999</v>
      </c>
    </row>
    <row r="23" spans="1:27" s="299" customFormat="1">
      <c r="A23" s="305">
        <v>15</v>
      </c>
      <c r="B23" s="301"/>
      <c r="C23" s="301"/>
      <c r="D23" s="301"/>
      <c r="E23" s="304"/>
      <c r="F23" s="304"/>
      <c r="G23" s="303">
        <f t="shared" si="0"/>
        <v>0</v>
      </c>
      <c r="H23" s="301"/>
      <c r="I23" s="301"/>
      <c r="J23" s="301"/>
      <c r="K23" s="301"/>
      <c r="L23" s="301"/>
      <c r="M23" s="301"/>
      <c r="N23" s="302"/>
      <c r="O23" s="302"/>
      <c r="P23" s="302"/>
      <c r="Q23" s="302"/>
      <c r="R23" s="301"/>
      <c r="S23" s="301"/>
      <c r="T23" s="301"/>
      <c r="U23" s="631"/>
      <c r="V23" s="306"/>
      <c r="W23" s="443"/>
      <c r="X23" s="443"/>
      <c r="Y23" s="306"/>
      <c r="Z23" s="300">
        <f t="shared" si="1"/>
        <v>0</v>
      </c>
      <c r="AA23" s="444">
        <f t="shared" si="2"/>
        <v>0</v>
      </c>
    </row>
    <row r="24" spans="1:27" s="299" customFormat="1">
      <c r="A24" s="305">
        <v>16</v>
      </c>
      <c r="B24" s="301"/>
      <c r="C24" s="306"/>
      <c r="D24" s="306"/>
      <c r="E24" s="304"/>
      <c r="F24" s="304"/>
      <c r="G24" s="303">
        <f t="shared" si="0"/>
        <v>0</v>
      </c>
      <c r="H24" s="301"/>
      <c r="I24" s="307"/>
      <c r="J24" s="301"/>
      <c r="K24" s="301"/>
      <c r="L24" s="301"/>
      <c r="M24" s="301"/>
      <c r="N24" s="302"/>
      <c r="O24" s="302"/>
      <c r="P24" s="302"/>
      <c r="Q24" s="302"/>
      <c r="R24" s="301"/>
      <c r="S24" s="306"/>
      <c r="T24" s="306"/>
      <c r="U24" s="631"/>
      <c r="V24" s="306"/>
      <c r="W24" s="443"/>
      <c r="X24" s="443"/>
      <c r="Y24" s="306"/>
      <c r="Z24" s="300">
        <f t="shared" si="1"/>
        <v>0</v>
      </c>
      <c r="AA24" s="444">
        <f t="shared" si="2"/>
        <v>0</v>
      </c>
    </row>
    <row r="25" spans="1:27" s="299" customFormat="1">
      <c r="A25" s="305">
        <v>17</v>
      </c>
      <c r="B25" s="445"/>
      <c r="C25" s="301"/>
      <c r="D25" s="301"/>
      <c r="E25" s="304"/>
      <c r="F25" s="304"/>
      <c r="G25" s="303">
        <f t="shared" si="0"/>
        <v>0</v>
      </c>
      <c r="H25" s="301"/>
      <c r="I25" s="307"/>
      <c r="J25" s="301"/>
      <c r="K25" s="301"/>
      <c r="L25" s="301"/>
      <c r="M25" s="301"/>
      <c r="N25" s="302"/>
      <c r="O25" s="302"/>
      <c r="P25" s="302"/>
      <c r="Q25" s="302"/>
      <c r="R25" s="301"/>
      <c r="S25" s="306"/>
      <c r="T25" s="306"/>
      <c r="U25" s="631"/>
      <c r="V25" s="306"/>
      <c r="W25" s="443"/>
      <c r="X25" s="443"/>
      <c r="Y25" s="306"/>
      <c r="Z25" s="300">
        <f t="shared" si="1"/>
        <v>0</v>
      </c>
      <c r="AA25" s="444">
        <f t="shared" si="2"/>
        <v>0</v>
      </c>
    </row>
    <row r="26" spans="1:27" s="299" customFormat="1">
      <c r="A26" s="305">
        <v>18</v>
      </c>
      <c r="B26" s="445"/>
      <c r="C26" s="301"/>
      <c r="D26" s="306"/>
      <c r="E26" s="304"/>
      <c r="F26" s="304"/>
      <c r="G26" s="303">
        <f t="shared" si="0"/>
        <v>0</v>
      </c>
      <c r="H26" s="301"/>
      <c r="I26" s="301"/>
      <c r="J26" s="301"/>
      <c r="K26" s="301"/>
      <c r="L26" s="301"/>
      <c r="M26" s="301"/>
      <c r="N26" s="302"/>
      <c r="O26" s="302"/>
      <c r="P26" s="302"/>
      <c r="Q26" s="302"/>
      <c r="R26" s="301"/>
      <c r="S26" s="301"/>
      <c r="T26" s="301"/>
      <c r="U26" s="631"/>
      <c r="V26" s="301"/>
      <c r="W26" s="443"/>
      <c r="X26" s="443"/>
      <c r="Y26" s="301"/>
      <c r="Z26" s="300">
        <f t="shared" si="1"/>
        <v>0</v>
      </c>
      <c r="AA26" s="444">
        <f t="shared" si="2"/>
        <v>0</v>
      </c>
    </row>
    <row r="27" spans="1:27" s="299" customFormat="1">
      <c r="A27" s="305">
        <v>19</v>
      </c>
      <c r="B27" s="445"/>
      <c r="C27" s="301"/>
      <c r="D27" s="301"/>
      <c r="E27" s="304"/>
      <c r="F27" s="304"/>
      <c r="G27" s="303">
        <f t="shared" si="0"/>
        <v>0</v>
      </c>
      <c r="H27" s="301"/>
      <c r="I27" s="307"/>
      <c r="J27" s="301"/>
      <c r="K27" s="301"/>
      <c r="L27" s="301"/>
      <c r="M27" s="301"/>
      <c r="N27" s="302"/>
      <c r="O27" s="302"/>
      <c r="P27" s="302"/>
      <c r="Q27" s="302"/>
      <c r="R27" s="301"/>
      <c r="S27" s="301"/>
      <c r="T27" s="301"/>
      <c r="U27" s="631"/>
      <c r="V27" s="301"/>
      <c r="W27" s="443"/>
      <c r="X27" s="443"/>
      <c r="Y27" s="301"/>
      <c r="Z27" s="300">
        <f t="shared" si="1"/>
        <v>0</v>
      </c>
      <c r="AA27" s="444">
        <f t="shared" si="2"/>
        <v>0</v>
      </c>
    </row>
    <row r="28" spans="1:27" s="299" customFormat="1">
      <c r="A28" s="305">
        <v>20</v>
      </c>
      <c r="B28" s="445"/>
      <c r="C28" s="301"/>
      <c r="D28" s="301"/>
      <c r="E28" s="304"/>
      <c r="F28" s="304"/>
      <c r="G28" s="303">
        <f>+H28+I28+J28+K28+M28+O28+Q28+S28</f>
        <v>0</v>
      </c>
      <c r="H28" s="301"/>
      <c r="I28" s="307"/>
      <c r="J28" s="301"/>
      <c r="K28" s="301"/>
      <c r="L28" s="301"/>
      <c r="M28" s="301"/>
      <c r="N28" s="302"/>
      <c r="O28" s="302"/>
      <c r="P28" s="302"/>
      <c r="Q28" s="302"/>
      <c r="R28" s="301"/>
      <c r="S28" s="301"/>
      <c r="T28" s="301"/>
      <c r="U28" s="631"/>
      <c r="V28" s="301"/>
      <c r="W28" s="443"/>
      <c r="X28" s="443"/>
      <c r="Y28" s="301"/>
      <c r="Z28" s="300">
        <f t="shared" si="1"/>
        <v>0</v>
      </c>
      <c r="AA28" s="444">
        <f t="shared" si="2"/>
        <v>0</v>
      </c>
    </row>
    <row r="29" spans="1:27" s="299" customFormat="1">
      <c r="A29" s="305">
        <v>21</v>
      </c>
      <c r="B29" s="445"/>
      <c r="C29" s="301"/>
      <c r="D29" s="301"/>
      <c r="E29" s="304"/>
      <c r="F29" s="304"/>
      <c r="G29" s="303">
        <f>+H29+I29+J29+K29+M29+O29+Q29+S29</f>
        <v>0</v>
      </c>
      <c r="H29" s="301"/>
      <c r="I29" s="307"/>
      <c r="J29" s="301"/>
      <c r="K29" s="301"/>
      <c r="L29" s="301"/>
      <c r="M29" s="301"/>
      <c r="N29" s="302"/>
      <c r="O29" s="302"/>
      <c r="P29" s="302"/>
      <c r="Q29" s="302"/>
      <c r="R29" s="301"/>
      <c r="S29" s="301"/>
      <c r="T29" s="301"/>
      <c r="U29" s="631"/>
      <c r="V29" s="301"/>
      <c r="W29" s="443"/>
      <c r="X29" s="443"/>
      <c r="Y29" s="301"/>
      <c r="Z29" s="300">
        <f t="shared" si="1"/>
        <v>0</v>
      </c>
      <c r="AA29" s="444">
        <f t="shared" si="2"/>
        <v>0</v>
      </c>
    </row>
    <row r="30" spans="1:27" s="299" customFormat="1">
      <c r="A30" s="305">
        <v>22</v>
      </c>
      <c r="B30" s="445"/>
      <c r="C30" s="301"/>
      <c r="D30" s="301"/>
      <c r="E30" s="304"/>
      <c r="F30" s="304"/>
      <c r="G30" s="303">
        <f t="shared" si="0"/>
        <v>0</v>
      </c>
      <c r="H30" s="301"/>
      <c r="I30" s="307"/>
      <c r="J30" s="301"/>
      <c r="K30" s="301"/>
      <c r="L30" s="301"/>
      <c r="M30" s="301"/>
      <c r="N30" s="302"/>
      <c r="O30" s="302"/>
      <c r="P30" s="302"/>
      <c r="Q30" s="302"/>
      <c r="R30" s="301"/>
      <c r="S30" s="301"/>
      <c r="T30" s="301"/>
      <c r="U30" s="631"/>
      <c r="V30" s="301"/>
      <c r="W30" s="443"/>
      <c r="X30" s="443"/>
      <c r="Y30" s="301"/>
      <c r="Z30" s="300">
        <f t="shared" si="1"/>
        <v>0</v>
      </c>
      <c r="AA30" s="444">
        <f t="shared" si="2"/>
        <v>0</v>
      </c>
    </row>
    <row r="31" spans="1:27" s="299" customFormat="1">
      <c r="A31" s="305">
        <v>23</v>
      </c>
      <c r="B31" s="445"/>
      <c r="C31" s="301"/>
      <c r="D31" s="301"/>
      <c r="E31" s="304"/>
      <c r="F31" s="304"/>
      <c r="G31" s="303">
        <f t="shared" si="0"/>
        <v>0</v>
      </c>
      <c r="H31" s="301"/>
      <c r="I31" s="307"/>
      <c r="J31" s="301"/>
      <c r="K31" s="301"/>
      <c r="L31" s="301"/>
      <c r="M31" s="301"/>
      <c r="N31" s="302"/>
      <c r="O31" s="302"/>
      <c r="P31" s="302"/>
      <c r="Q31" s="302"/>
      <c r="R31" s="301"/>
      <c r="S31" s="301"/>
      <c r="T31" s="301"/>
      <c r="U31" s="631"/>
      <c r="V31" s="301"/>
      <c r="W31" s="443"/>
      <c r="X31" s="443"/>
      <c r="Y31" s="301"/>
      <c r="Z31" s="300">
        <f t="shared" si="1"/>
        <v>0</v>
      </c>
      <c r="AA31" s="444">
        <f t="shared" si="2"/>
        <v>0</v>
      </c>
    </row>
    <row r="32" spans="1:27" s="299" customFormat="1">
      <c r="A32" s="305">
        <v>24</v>
      </c>
      <c r="B32" s="445"/>
      <c r="C32" s="301"/>
      <c r="D32" s="301"/>
      <c r="E32" s="304"/>
      <c r="F32" s="304"/>
      <c r="G32" s="303">
        <f t="shared" si="0"/>
        <v>0</v>
      </c>
      <c r="H32" s="301"/>
      <c r="I32" s="307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631"/>
      <c r="V32" s="301"/>
      <c r="W32" s="443"/>
      <c r="X32" s="443"/>
      <c r="Y32" s="301"/>
      <c r="Z32" s="300">
        <f t="shared" si="1"/>
        <v>0</v>
      </c>
      <c r="AA32" s="444">
        <f t="shared" si="2"/>
        <v>0</v>
      </c>
    </row>
    <row r="33" spans="1:27" s="299" customFormat="1">
      <c r="A33" s="305">
        <v>25</v>
      </c>
      <c r="B33" s="301"/>
      <c r="C33" s="301"/>
      <c r="D33" s="301"/>
      <c r="E33" s="304"/>
      <c r="F33" s="304"/>
      <c r="G33" s="303">
        <f t="shared" si="0"/>
        <v>0</v>
      </c>
      <c r="H33" s="301"/>
      <c r="I33" s="307"/>
      <c r="J33" s="301"/>
      <c r="K33" s="301"/>
      <c r="L33" s="301"/>
      <c r="M33" s="301"/>
      <c r="N33" s="302"/>
      <c r="O33" s="302"/>
      <c r="P33" s="302"/>
      <c r="Q33" s="302"/>
      <c r="R33" s="301"/>
      <c r="S33" s="301"/>
      <c r="T33" s="301"/>
      <c r="U33" s="631"/>
      <c r="V33" s="301"/>
      <c r="W33" s="443"/>
      <c r="X33" s="443"/>
      <c r="Y33" s="301"/>
      <c r="Z33" s="300">
        <f t="shared" si="1"/>
        <v>0</v>
      </c>
      <c r="AA33" s="444">
        <f t="shared" si="2"/>
        <v>0</v>
      </c>
    </row>
    <row r="34" spans="1:27" s="299" customFormat="1">
      <c r="A34" s="305">
        <v>26</v>
      </c>
      <c r="B34" s="445"/>
      <c r="C34" s="301"/>
      <c r="D34" s="301"/>
      <c r="E34" s="304"/>
      <c r="F34" s="304"/>
      <c r="G34" s="303">
        <f t="shared" si="0"/>
        <v>0</v>
      </c>
      <c r="H34" s="301"/>
      <c r="I34" s="308"/>
      <c r="J34" s="301"/>
      <c r="K34" s="301"/>
      <c r="L34" s="301"/>
      <c r="M34" s="301"/>
      <c r="N34" s="302"/>
      <c r="O34" s="302"/>
      <c r="P34" s="302"/>
      <c r="Q34" s="302"/>
      <c r="R34" s="301"/>
      <c r="S34" s="301"/>
      <c r="T34" s="301"/>
      <c r="U34" s="631"/>
      <c r="V34" s="301"/>
      <c r="W34" s="443"/>
      <c r="X34" s="443"/>
      <c r="Y34" s="301"/>
      <c r="Z34" s="300">
        <f t="shared" si="1"/>
        <v>0</v>
      </c>
      <c r="AA34" s="444">
        <f t="shared" si="2"/>
        <v>0</v>
      </c>
    </row>
    <row r="35" spans="1:27" s="299" customFormat="1">
      <c r="A35" s="305">
        <v>27</v>
      </c>
      <c r="B35" s="445"/>
      <c r="C35" s="301"/>
      <c r="D35" s="301"/>
      <c r="E35" s="304"/>
      <c r="F35" s="304"/>
      <c r="G35" s="303">
        <f t="shared" si="0"/>
        <v>0</v>
      </c>
      <c r="H35" s="301"/>
      <c r="I35" s="301"/>
      <c r="J35" s="301"/>
      <c r="K35" s="301"/>
      <c r="L35" s="301"/>
      <c r="M35" s="301"/>
      <c r="N35" s="302"/>
      <c r="O35" s="302"/>
      <c r="P35" s="302"/>
      <c r="Q35" s="302"/>
      <c r="R35" s="301"/>
      <c r="S35" s="301"/>
      <c r="T35" s="301"/>
      <c r="U35" s="631"/>
      <c r="V35" s="301"/>
      <c r="W35" s="443"/>
      <c r="X35" s="443"/>
      <c r="Y35" s="301"/>
      <c r="Z35" s="300">
        <f t="shared" si="1"/>
        <v>0</v>
      </c>
      <c r="AA35" s="444">
        <f t="shared" si="2"/>
        <v>0</v>
      </c>
    </row>
    <row r="36" spans="1:27" s="299" customFormat="1">
      <c r="A36" s="305">
        <v>28</v>
      </c>
      <c r="B36" s="445"/>
      <c r="C36" s="301"/>
      <c r="D36" s="301"/>
      <c r="E36" s="304"/>
      <c r="F36" s="304"/>
      <c r="G36" s="303">
        <f t="shared" si="0"/>
        <v>0</v>
      </c>
      <c r="H36" s="301"/>
      <c r="I36" s="307"/>
      <c r="J36" s="301"/>
      <c r="K36" s="301"/>
      <c r="L36" s="301"/>
      <c r="M36" s="301"/>
      <c r="N36" s="302"/>
      <c r="O36" s="302"/>
      <c r="P36" s="302"/>
      <c r="Q36" s="302"/>
      <c r="R36" s="301"/>
      <c r="S36" s="301"/>
      <c r="T36" s="301"/>
      <c r="U36" s="631"/>
      <c r="V36" s="301"/>
      <c r="W36" s="443"/>
      <c r="X36" s="443"/>
      <c r="Y36" s="301"/>
      <c r="Z36" s="300">
        <f t="shared" si="1"/>
        <v>0</v>
      </c>
      <c r="AA36" s="444">
        <f t="shared" si="2"/>
        <v>0</v>
      </c>
    </row>
    <row r="37" spans="1:27" s="299" customFormat="1">
      <c r="A37" s="305">
        <v>29</v>
      </c>
      <c r="B37" s="445"/>
      <c r="C37" s="301"/>
      <c r="D37" s="301"/>
      <c r="E37" s="304"/>
      <c r="F37" s="304"/>
      <c r="G37" s="303">
        <f t="shared" si="0"/>
        <v>0</v>
      </c>
      <c r="H37" s="301"/>
      <c r="I37" s="307"/>
      <c r="J37" s="301"/>
      <c r="K37" s="301"/>
      <c r="L37" s="301"/>
      <c r="M37" s="301"/>
      <c r="N37" s="302"/>
      <c r="O37" s="302"/>
      <c r="P37" s="302"/>
      <c r="Q37" s="302"/>
      <c r="R37" s="301"/>
      <c r="S37" s="301"/>
      <c r="T37" s="301"/>
      <c r="U37" s="631"/>
      <c r="V37" s="301"/>
      <c r="W37" s="443"/>
      <c r="X37" s="443"/>
      <c r="Y37" s="301"/>
      <c r="Z37" s="300">
        <f t="shared" si="1"/>
        <v>0</v>
      </c>
      <c r="AA37" s="444">
        <f t="shared" si="2"/>
        <v>0</v>
      </c>
    </row>
    <row r="38" spans="1:27" s="299" customFormat="1">
      <c r="A38" s="305">
        <v>30</v>
      </c>
      <c r="B38" s="301"/>
      <c r="C38" s="301"/>
      <c r="D38" s="301"/>
      <c r="E38" s="304"/>
      <c r="F38" s="304"/>
      <c r="G38" s="303">
        <f t="shared" si="0"/>
        <v>0</v>
      </c>
      <c r="H38" s="301"/>
      <c r="I38" s="301"/>
      <c r="J38" s="301"/>
      <c r="K38" s="301"/>
      <c r="L38" s="301"/>
      <c r="M38" s="301"/>
      <c r="N38" s="302"/>
      <c r="O38" s="302"/>
      <c r="P38" s="302"/>
      <c r="Q38" s="302"/>
      <c r="R38" s="301"/>
      <c r="S38" s="301"/>
      <c r="T38" s="301"/>
      <c r="U38" s="631"/>
      <c r="V38" s="301"/>
      <c r="W38" s="443"/>
      <c r="X38" s="443"/>
      <c r="Y38" s="301"/>
      <c r="Z38" s="300">
        <f t="shared" si="1"/>
        <v>0</v>
      </c>
      <c r="AA38" s="444">
        <f t="shared" si="2"/>
        <v>0</v>
      </c>
    </row>
    <row r="39" spans="1:27" s="299" customFormat="1">
      <c r="A39" s="305">
        <v>31</v>
      </c>
      <c r="B39" s="301"/>
      <c r="C39" s="301"/>
      <c r="D39" s="301"/>
      <c r="E39" s="304"/>
      <c r="F39" s="304"/>
      <c r="G39" s="303">
        <f t="shared" si="0"/>
        <v>0</v>
      </c>
      <c r="H39" s="301"/>
      <c r="I39" s="301"/>
      <c r="J39" s="301"/>
      <c r="K39" s="301"/>
      <c r="L39" s="301"/>
      <c r="M39" s="301"/>
      <c r="N39" s="302"/>
      <c r="O39" s="302"/>
      <c r="P39" s="302"/>
      <c r="Q39" s="302"/>
      <c r="R39" s="301"/>
      <c r="S39" s="301"/>
      <c r="T39" s="301"/>
      <c r="U39" s="301"/>
      <c r="V39" s="301"/>
      <c r="W39" s="443"/>
      <c r="X39" s="443"/>
      <c r="Y39" s="301"/>
      <c r="Z39" s="300">
        <f t="shared" si="1"/>
        <v>0</v>
      </c>
      <c r="AA39" s="444">
        <f t="shared" si="2"/>
        <v>0</v>
      </c>
    </row>
    <row r="40" spans="1:27" s="299" customFormat="1">
      <c r="A40" s="305">
        <v>32</v>
      </c>
      <c r="B40" s="301"/>
      <c r="C40" s="301"/>
      <c r="D40" s="301"/>
      <c r="E40" s="304"/>
      <c r="F40" s="304"/>
      <c r="G40" s="303">
        <f t="shared" si="0"/>
        <v>0</v>
      </c>
      <c r="H40" s="301"/>
      <c r="I40" s="301"/>
      <c r="J40" s="301"/>
      <c r="K40" s="301"/>
      <c r="L40" s="301"/>
      <c r="M40" s="301"/>
      <c r="N40" s="302"/>
      <c r="O40" s="302"/>
      <c r="P40" s="302"/>
      <c r="Q40" s="302"/>
      <c r="R40" s="301"/>
      <c r="S40" s="301"/>
      <c r="T40" s="301"/>
      <c r="U40" s="301"/>
      <c r="V40" s="301"/>
      <c r="W40" s="443"/>
      <c r="X40" s="306"/>
      <c r="Y40" s="301"/>
      <c r="Z40" s="300">
        <f t="shared" si="1"/>
        <v>0</v>
      </c>
      <c r="AA40" s="444">
        <f t="shared" si="2"/>
        <v>0</v>
      </c>
    </row>
    <row r="41" spans="1:27" s="299" customFormat="1">
      <c r="A41" s="305">
        <v>33</v>
      </c>
      <c r="B41" s="445"/>
      <c r="C41" s="301"/>
      <c r="D41" s="306"/>
      <c r="E41" s="304"/>
      <c r="F41" s="304"/>
      <c r="G41" s="303">
        <f t="shared" ref="G41:G88" si="3">+H41+I41+J41+K41+M41+O41+Q41+S41</f>
        <v>0</v>
      </c>
      <c r="H41" s="301"/>
      <c r="I41" s="307"/>
      <c r="J41" s="301"/>
      <c r="K41" s="301"/>
      <c r="L41" s="301"/>
      <c r="M41" s="301"/>
      <c r="N41" s="302"/>
      <c r="O41" s="302"/>
      <c r="P41" s="302"/>
      <c r="Q41" s="302"/>
      <c r="R41" s="301"/>
      <c r="S41" s="301"/>
      <c r="T41" s="301"/>
      <c r="U41" s="301"/>
      <c r="V41" s="301"/>
      <c r="W41" s="443"/>
      <c r="X41" s="306"/>
      <c r="Y41" s="301"/>
      <c r="Z41" s="300">
        <f t="shared" ref="Z41:Z88" si="4">+G41-V41-X41</f>
        <v>0</v>
      </c>
      <c r="AA41" s="444">
        <f t="shared" si="2"/>
        <v>0</v>
      </c>
    </row>
    <row r="42" spans="1:27" s="299" customFormat="1">
      <c r="A42" s="305">
        <v>34</v>
      </c>
      <c r="B42" s="445"/>
      <c r="C42" s="301"/>
      <c r="D42" s="306"/>
      <c r="E42" s="304"/>
      <c r="F42" s="304"/>
      <c r="G42" s="303">
        <f t="shared" si="3"/>
        <v>0</v>
      </c>
      <c r="H42" s="301"/>
      <c r="I42" s="301"/>
      <c r="J42" s="301"/>
      <c r="K42" s="301"/>
      <c r="L42" s="301"/>
      <c r="M42" s="301"/>
      <c r="N42" s="302"/>
      <c r="O42" s="302"/>
      <c r="P42" s="302"/>
      <c r="Q42" s="302"/>
      <c r="R42" s="301"/>
      <c r="S42" s="301"/>
      <c r="T42" s="301"/>
      <c r="U42" s="301"/>
      <c r="V42" s="301"/>
      <c r="W42" s="443"/>
      <c r="X42" s="306"/>
      <c r="Y42" s="301"/>
      <c r="Z42" s="300">
        <f t="shared" si="4"/>
        <v>0</v>
      </c>
      <c r="AA42" s="444">
        <f t="shared" si="2"/>
        <v>0</v>
      </c>
    </row>
    <row r="43" spans="1:27" s="299" customFormat="1">
      <c r="A43" s="305">
        <v>35</v>
      </c>
      <c r="B43" s="445"/>
      <c r="C43" s="301"/>
      <c r="D43" s="306"/>
      <c r="E43" s="304"/>
      <c r="F43" s="304"/>
      <c r="G43" s="303">
        <f t="shared" si="3"/>
        <v>0</v>
      </c>
      <c r="H43" s="301"/>
      <c r="I43" s="301"/>
      <c r="J43" s="301"/>
      <c r="K43" s="301"/>
      <c r="L43" s="301"/>
      <c r="M43" s="301"/>
      <c r="N43" s="302"/>
      <c r="O43" s="302"/>
      <c r="P43" s="302"/>
      <c r="Q43" s="302"/>
      <c r="R43" s="301"/>
      <c r="S43" s="301"/>
      <c r="T43" s="301"/>
      <c r="U43" s="301"/>
      <c r="V43" s="301"/>
      <c r="W43" s="443"/>
      <c r="X43" s="306"/>
      <c r="Y43" s="301"/>
      <c r="Z43" s="300">
        <f t="shared" si="4"/>
        <v>0</v>
      </c>
      <c r="AA43" s="444">
        <f t="shared" si="2"/>
        <v>0</v>
      </c>
    </row>
    <row r="44" spans="1:27" s="299" customFormat="1">
      <c r="A44" s="305">
        <v>36</v>
      </c>
      <c r="B44" s="301"/>
      <c r="C44" s="301"/>
      <c r="D44" s="301"/>
      <c r="E44" s="304"/>
      <c r="F44" s="304"/>
      <c r="G44" s="303">
        <f t="shared" si="3"/>
        <v>0</v>
      </c>
      <c r="H44" s="301"/>
      <c r="I44" s="301"/>
      <c r="J44" s="301"/>
      <c r="K44" s="301"/>
      <c r="L44" s="301"/>
      <c r="M44" s="301"/>
      <c r="N44" s="302"/>
      <c r="O44" s="302"/>
      <c r="P44" s="302"/>
      <c r="Q44" s="302"/>
      <c r="R44" s="301"/>
      <c r="S44" s="301"/>
      <c r="T44" s="301"/>
      <c r="U44" s="301"/>
      <c r="V44" s="301"/>
      <c r="W44" s="443"/>
      <c r="X44" s="301"/>
      <c r="Y44" s="301"/>
      <c r="Z44" s="300">
        <f t="shared" si="4"/>
        <v>0</v>
      </c>
      <c r="AA44" s="444">
        <f t="shared" si="2"/>
        <v>0</v>
      </c>
    </row>
    <row r="45" spans="1:27" s="299" customFormat="1">
      <c r="A45" s="305">
        <v>37</v>
      </c>
      <c r="B45" s="301"/>
      <c r="C45" s="301"/>
      <c r="D45" s="301"/>
      <c r="E45" s="304"/>
      <c r="F45" s="304"/>
      <c r="G45" s="303">
        <f t="shared" si="3"/>
        <v>0</v>
      </c>
      <c r="H45" s="301"/>
      <c r="I45" s="301"/>
      <c r="J45" s="301"/>
      <c r="K45" s="301"/>
      <c r="L45" s="301"/>
      <c r="M45" s="301"/>
      <c r="N45" s="302"/>
      <c r="O45" s="302"/>
      <c r="P45" s="302"/>
      <c r="Q45" s="302"/>
      <c r="R45" s="301"/>
      <c r="S45" s="301"/>
      <c r="T45" s="301"/>
      <c r="U45" s="301"/>
      <c r="V45" s="301"/>
      <c r="W45" s="443"/>
      <c r="X45" s="301"/>
      <c r="Y45" s="301"/>
      <c r="Z45" s="300">
        <f t="shared" si="4"/>
        <v>0</v>
      </c>
      <c r="AA45" s="444">
        <f t="shared" si="2"/>
        <v>0</v>
      </c>
    </row>
    <row r="46" spans="1:27" s="299" customFormat="1">
      <c r="A46" s="305">
        <v>38</v>
      </c>
      <c r="B46" s="301"/>
      <c r="C46" s="301"/>
      <c r="D46" s="301"/>
      <c r="E46" s="304"/>
      <c r="F46" s="304"/>
      <c r="G46" s="303">
        <f t="shared" si="3"/>
        <v>0</v>
      </c>
      <c r="H46" s="301"/>
      <c r="I46" s="301"/>
      <c r="J46" s="301"/>
      <c r="K46" s="301"/>
      <c r="L46" s="301"/>
      <c r="M46" s="301"/>
      <c r="N46" s="302"/>
      <c r="O46" s="302"/>
      <c r="P46" s="302"/>
      <c r="Q46" s="302"/>
      <c r="R46" s="301"/>
      <c r="S46" s="301"/>
      <c r="T46" s="301"/>
      <c r="U46" s="301"/>
      <c r="V46" s="301"/>
      <c r="W46" s="443"/>
      <c r="X46" s="301"/>
      <c r="Y46" s="301"/>
      <c r="Z46" s="300">
        <f t="shared" si="4"/>
        <v>0</v>
      </c>
      <c r="AA46" s="444">
        <f t="shared" si="2"/>
        <v>0</v>
      </c>
    </row>
    <row r="47" spans="1:27" s="299" customFormat="1">
      <c r="A47" s="305">
        <v>39</v>
      </c>
      <c r="B47" s="301"/>
      <c r="C47" s="301"/>
      <c r="D47" s="301"/>
      <c r="E47" s="304"/>
      <c r="F47" s="304"/>
      <c r="G47" s="303">
        <f t="shared" ref="G47:G53" si="5">+H47+I47+J47+K47+M47+O47+Q47+S47</f>
        <v>0</v>
      </c>
      <c r="H47" s="301"/>
      <c r="I47" s="301"/>
      <c r="J47" s="301"/>
      <c r="K47" s="301"/>
      <c r="L47" s="301"/>
      <c r="M47" s="301"/>
      <c r="N47" s="302"/>
      <c r="O47" s="302"/>
      <c r="P47" s="302"/>
      <c r="Q47" s="302"/>
      <c r="R47" s="301"/>
      <c r="S47" s="301"/>
      <c r="T47" s="301"/>
      <c r="U47" s="301"/>
      <c r="V47" s="301"/>
      <c r="W47" s="443"/>
      <c r="X47" s="301"/>
      <c r="Y47" s="301"/>
      <c r="Z47" s="300">
        <f t="shared" ref="Z47:Z53" si="6">+G47-V47-X47</f>
        <v>0</v>
      </c>
      <c r="AA47" s="444">
        <f t="shared" si="2"/>
        <v>0</v>
      </c>
    </row>
    <row r="48" spans="1:27" s="299" customFormat="1">
      <c r="A48" s="305">
        <v>40</v>
      </c>
      <c r="B48" s="301"/>
      <c r="C48" s="301"/>
      <c r="D48" s="301"/>
      <c r="E48" s="304"/>
      <c r="F48" s="304"/>
      <c r="G48" s="303">
        <f t="shared" si="5"/>
        <v>0</v>
      </c>
      <c r="H48" s="301"/>
      <c r="I48" s="301"/>
      <c r="J48" s="301"/>
      <c r="K48" s="301"/>
      <c r="L48" s="301"/>
      <c r="M48" s="301"/>
      <c r="N48" s="302"/>
      <c r="O48" s="302"/>
      <c r="P48" s="302"/>
      <c r="Q48" s="302"/>
      <c r="R48" s="301"/>
      <c r="S48" s="301"/>
      <c r="T48" s="301"/>
      <c r="U48" s="301"/>
      <c r="V48" s="301"/>
      <c r="W48" s="301"/>
      <c r="X48" s="301"/>
      <c r="Y48" s="301"/>
      <c r="Z48" s="300">
        <f t="shared" si="6"/>
        <v>0</v>
      </c>
      <c r="AA48" s="444">
        <f t="shared" si="2"/>
        <v>0</v>
      </c>
    </row>
    <row r="49" spans="1:27" s="299" customFormat="1">
      <c r="A49" s="305">
        <v>41</v>
      </c>
      <c r="B49" s="301"/>
      <c r="C49" s="301"/>
      <c r="D49" s="301"/>
      <c r="E49" s="304"/>
      <c r="F49" s="304"/>
      <c r="G49" s="303">
        <f t="shared" si="5"/>
        <v>0</v>
      </c>
      <c r="H49" s="301"/>
      <c r="I49" s="301"/>
      <c r="J49" s="301"/>
      <c r="K49" s="301"/>
      <c r="L49" s="301"/>
      <c r="M49" s="301"/>
      <c r="N49" s="302"/>
      <c r="O49" s="302"/>
      <c r="P49" s="302"/>
      <c r="Q49" s="302"/>
      <c r="R49" s="301"/>
      <c r="S49" s="301"/>
      <c r="T49" s="301"/>
      <c r="U49" s="301"/>
      <c r="V49" s="301"/>
      <c r="W49" s="301"/>
      <c r="X49" s="301"/>
      <c r="Y49" s="301"/>
      <c r="Z49" s="300">
        <f t="shared" si="6"/>
        <v>0</v>
      </c>
      <c r="AA49" s="444">
        <f t="shared" si="2"/>
        <v>0</v>
      </c>
    </row>
    <row r="50" spans="1:27" s="299" customFormat="1">
      <c r="A50" s="305">
        <v>42</v>
      </c>
      <c r="B50" s="301"/>
      <c r="C50" s="301"/>
      <c r="D50" s="301"/>
      <c r="E50" s="304"/>
      <c r="F50" s="304"/>
      <c r="G50" s="303">
        <f t="shared" si="5"/>
        <v>0</v>
      </c>
      <c r="H50" s="301"/>
      <c r="I50" s="301"/>
      <c r="J50" s="301"/>
      <c r="K50" s="301"/>
      <c r="L50" s="301"/>
      <c r="M50" s="301"/>
      <c r="N50" s="302"/>
      <c r="O50" s="302"/>
      <c r="P50" s="302"/>
      <c r="Q50" s="302"/>
      <c r="R50" s="301"/>
      <c r="S50" s="301"/>
      <c r="T50" s="301"/>
      <c r="U50" s="301"/>
      <c r="V50" s="301"/>
      <c r="W50" s="301"/>
      <c r="X50" s="301"/>
      <c r="Y50" s="301"/>
      <c r="Z50" s="300">
        <f t="shared" si="6"/>
        <v>0</v>
      </c>
      <c r="AA50" s="444">
        <f t="shared" si="2"/>
        <v>0</v>
      </c>
    </row>
    <row r="51" spans="1:27" s="299" customFormat="1">
      <c r="A51" s="305">
        <v>43</v>
      </c>
      <c r="B51" s="301"/>
      <c r="C51" s="301"/>
      <c r="D51" s="301"/>
      <c r="E51" s="304"/>
      <c r="F51" s="304"/>
      <c r="G51" s="303">
        <f t="shared" si="5"/>
        <v>0</v>
      </c>
      <c r="H51" s="301"/>
      <c r="I51" s="301"/>
      <c r="J51" s="301"/>
      <c r="K51" s="301"/>
      <c r="L51" s="301"/>
      <c r="M51" s="301"/>
      <c r="N51" s="302"/>
      <c r="O51" s="302"/>
      <c r="P51" s="302"/>
      <c r="Q51" s="302"/>
      <c r="R51" s="301"/>
      <c r="S51" s="301"/>
      <c r="T51" s="301"/>
      <c r="U51" s="301"/>
      <c r="V51" s="301"/>
      <c r="W51" s="301"/>
      <c r="X51" s="301"/>
      <c r="Y51" s="301"/>
      <c r="Z51" s="300">
        <f t="shared" si="6"/>
        <v>0</v>
      </c>
      <c r="AA51" s="444">
        <f t="shared" si="2"/>
        <v>0</v>
      </c>
    </row>
    <row r="52" spans="1:27" s="299" customFormat="1">
      <c r="A52" s="305">
        <v>44</v>
      </c>
      <c r="B52" s="301"/>
      <c r="C52" s="301"/>
      <c r="D52" s="301"/>
      <c r="E52" s="304"/>
      <c r="F52" s="304"/>
      <c r="G52" s="303">
        <f t="shared" si="5"/>
        <v>0</v>
      </c>
      <c r="H52" s="301"/>
      <c r="I52" s="301"/>
      <c r="J52" s="301"/>
      <c r="K52" s="301"/>
      <c r="L52" s="301"/>
      <c r="M52" s="301"/>
      <c r="N52" s="302"/>
      <c r="O52" s="302"/>
      <c r="P52" s="302"/>
      <c r="Q52" s="302"/>
      <c r="R52" s="301"/>
      <c r="S52" s="301"/>
      <c r="T52" s="301"/>
      <c r="U52" s="301"/>
      <c r="V52" s="301"/>
      <c r="W52" s="301"/>
      <c r="X52" s="301"/>
      <c r="Y52" s="301"/>
      <c r="Z52" s="300">
        <f t="shared" si="6"/>
        <v>0</v>
      </c>
      <c r="AA52" s="444">
        <f t="shared" si="2"/>
        <v>0</v>
      </c>
    </row>
    <row r="53" spans="1:27" s="299" customFormat="1">
      <c r="A53" s="305">
        <v>45</v>
      </c>
      <c r="B53" s="301"/>
      <c r="C53" s="301"/>
      <c r="D53" s="301"/>
      <c r="E53" s="304"/>
      <c r="F53" s="304"/>
      <c r="G53" s="303">
        <f t="shared" si="5"/>
        <v>0</v>
      </c>
      <c r="H53" s="301"/>
      <c r="I53" s="301"/>
      <c r="J53" s="301"/>
      <c r="K53" s="301"/>
      <c r="L53" s="301"/>
      <c r="M53" s="301"/>
      <c r="N53" s="302"/>
      <c r="O53" s="302"/>
      <c r="P53" s="302"/>
      <c r="Q53" s="302"/>
      <c r="R53" s="301"/>
      <c r="S53" s="301"/>
      <c r="T53" s="301"/>
      <c r="U53" s="301"/>
      <c r="V53" s="301"/>
      <c r="W53" s="301"/>
      <c r="X53" s="301"/>
      <c r="Y53" s="301"/>
      <c r="Z53" s="300">
        <f t="shared" si="6"/>
        <v>0</v>
      </c>
      <c r="AA53" s="444">
        <f t="shared" si="2"/>
        <v>0</v>
      </c>
    </row>
    <row r="54" spans="1:27" s="299" customFormat="1">
      <c r="A54" s="305">
        <v>46</v>
      </c>
      <c r="B54" s="301"/>
      <c r="C54" s="301"/>
      <c r="D54" s="301"/>
      <c r="E54" s="304"/>
      <c r="F54" s="304"/>
      <c r="G54" s="303">
        <f t="shared" ref="G54:G75" si="7">+H54+I54+J54+K54+M54+O54+Q54+S54</f>
        <v>0</v>
      </c>
      <c r="H54" s="301"/>
      <c r="I54" s="301"/>
      <c r="J54" s="301"/>
      <c r="K54" s="301"/>
      <c r="L54" s="301"/>
      <c r="M54" s="301"/>
      <c r="N54" s="302"/>
      <c r="O54" s="302"/>
      <c r="P54" s="302"/>
      <c r="Q54" s="302"/>
      <c r="R54" s="301"/>
      <c r="S54" s="301"/>
      <c r="T54" s="301"/>
      <c r="U54" s="301"/>
      <c r="V54" s="301"/>
      <c r="W54" s="301"/>
      <c r="X54" s="301"/>
      <c r="Y54" s="301"/>
      <c r="Z54" s="300">
        <f t="shared" ref="Z54:Z75" si="8">+G54-V54-X54</f>
        <v>0</v>
      </c>
      <c r="AA54" s="444">
        <f t="shared" si="2"/>
        <v>0</v>
      </c>
    </row>
    <row r="55" spans="1:27" s="299" customFormat="1">
      <c r="A55" s="305">
        <v>47</v>
      </c>
      <c r="B55" s="301"/>
      <c r="C55" s="301"/>
      <c r="D55" s="301"/>
      <c r="E55" s="304"/>
      <c r="F55" s="304"/>
      <c r="G55" s="303">
        <f t="shared" si="7"/>
        <v>0</v>
      </c>
      <c r="H55" s="301"/>
      <c r="I55" s="301"/>
      <c r="J55" s="301"/>
      <c r="K55" s="301"/>
      <c r="L55" s="301"/>
      <c r="M55" s="301"/>
      <c r="N55" s="302"/>
      <c r="O55" s="302"/>
      <c r="P55" s="302"/>
      <c r="Q55" s="302"/>
      <c r="R55" s="301"/>
      <c r="S55" s="301"/>
      <c r="T55" s="301"/>
      <c r="U55" s="301"/>
      <c r="V55" s="301"/>
      <c r="W55" s="301"/>
      <c r="X55" s="301"/>
      <c r="Y55" s="301"/>
      <c r="Z55" s="300">
        <f t="shared" si="8"/>
        <v>0</v>
      </c>
      <c r="AA55" s="444">
        <f t="shared" si="2"/>
        <v>0</v>
      </c>
    </row>
    <row r="56" spans="1:27" s="299" customFormat="1">
      <c r="A56" s="305">
        <v>48</v>
      </c>
      <c r="B56" s="301"/>
      <c r="C56" s="301"/>
      <c r="D56" s="301"/>
      <c r="E56" s="304"/>
      <c r="F56" s="304"/>
      <c r="G56" s="303">
        <f t="shared" si="7"/>
        <v>0</v>
      </c>
      <c r="H56" s="301"/>
      <c r="I56" s="301"/>
      <c r="J56" s="301"/>
      <c r="K56" s="301"/>
      <c r="L56" s="301"/>
      <c r="M56" s="301"/>
      <c r="N56" s="302"/>
      <c r="O56" s="302"/>
      <c r="P56" s="302"/>
      <c r="Q56" s="302"/>
      <c r="R56" s="301"/>
      <c r="S56" s="301"/>
      <c r="T56" s="301"/>
      <c r="U56" s="301"/>
      <c r="V56" s="301"/>
      <c r="W56" s="301"/>
      <c r="X56" s="301"/>
      <c r="Y56" s="301"/>
      <c r="Z56" s="300">
        <f t="shared" si="8"/>
        <v>0</v>
      </c>
      <c r="AA56" s="444">
        <f t="shared" si="2"/>
        <v>0</v>
      </c>
    </row>
    <row r="57" spans="1:27" s="299" customFormat="1">
      <c r="A57" s="305">
        <v>49</v>
      </c>
      <c r="B57" s="301"/>
      <c r="C57" s="301"/>
      <c r="D57" s="301"/>
      <c r="E57" s="304"/>
      <c r="F57" s="304"/>
      <c r="G57" s="303">
        <f t="shared" si="7"/>
        <v>0</v>
      </c>
      <c r="H57" s="301"/>
      <c r="I57" s="301"/>
      <c r="J57" s="301"/>
      <c r="K57" s="301"/>
      <c r="L57" s="301"/>
      <c r="M57" s="301"/>
      <c r="N57" s="302"/>
      <c r="O57" s="302"/>
      <c r="P57" s="302"/>
      <c r="Q57" s="302"/>
      <c r="R57" s="301"/>
      <c r="S57" s="301"/>
      <c r="T57" s="301"/>
      <c r="U57" s="301"/>
      <c r="V57" s="301"/>
      <c r="W57" s="301"/>
      <c r="X57" s="301"/>
      <c r="Y57" s="301"/>
      <c r="Z57" s="300">
        <f t="shared" si="8"/>
        <v>0</v>
      </c>
      <c r="AA57" s="444">
        <f t="shared" si="2"/>
        <v>0</v>
      </c>
    </row>
    <row r="58" spans="1:27" s="299" customFormat="1">
      <c r="A58" s="305">
        <v>50</v>
      </c>
      <c r="B58" s="301"/>
      <c r="C58" s="301"/>
      <c r="D58" s="301"/>
      <c r="E58" s="304"/>
      <c r="F58" s="304"/>
      <c r="G58" s="303">
        <f t="shared" si="7"/>
        <v>0</v>
      </c>
      <c r="H58" s="301"/>
      <c r="I58" s="301"/>
      <c r="J58" s="301"/>
      <c r="K58" s="301"/>
      <c r="L58" s="301"/>
      <c r="M58" s="301"/>
      <c r="N58" s="302"/>
      <c r="O58" s="302"/>
      <c r="P58" s="302"/>
      <c r="Q58" s="302"/>
      <c r="R58" s="301"/>
      <c r="S58" s="301"/>
      <c r="T58" s="301"/>
      <c r="U58" s="301"/>
      <c r="V58" s="301"/>
      <c r="W58" s="301"/>
      <c r="X58" s="301"/>
      <c r="Y58" s="301"/>
      <c r="Z58" s="300">
        <f t="shared" si="8"/>
        <v>0</v>
      </c>
      <c r="AA58" s="444">
        <f t="shared" si="2"/>
        <v>0</v>
      </c>
    </row>
    <row r="59" spans="1:27" s="299" customFormat="1">
      <c r="A59" s="305">
        <v>51</v>
      </c>
      <c r="B59" s="301"/>
      <c r="C59" s="301"/>
      <c r="D59" s="301"/>
      <c r="E59" s="304"/>
      <c r="F59" s="304"/>
      <c r="G59" s="303">
        <f t="shared" si="7"/>
        <v>0</v>
      </c>
      <c r="H59" s="301"/>
      <c r="I59" s="301"/>
      <c r="J59" s="301"/>
      <c r="K59" s="301"/>
      <c r="L59" s="301"/>
      <c r="M59" s="301"/>
      <c r="N59" s="302"/>
      <c r="O59" s="302"/>
      <c r="P59" s="302"/>
      <c r="Q59" s="302"/>
      <c r="R59" s="301"/>
      <c r="S59" s="301"/>
      <c r="T59" s="301"/>
      <c r="U59" s="301"/>
      <c r="V59" s="301"/>
      <c r="W59" s="301"/>
      <c r="X59" s="301"/>
      <c r="Y59" s="301"/>
      <c r="Z59" s="300">
        <f t="shared" si="8"/>
        <v>0</v>
      </c>
      <c r="AA59" s="444">
        <f t="shared" si="2"/>
        <v>0</v>
      </c>
    </row>
    <row r="60" spans="1:27" s="299" customFormat="1">
      <c r="A60" s="305">
        <v>52</v>
      </c>
      <c r="B60" s="301"/>
      <c r="C60" s="301"/>
      <c r="D60" s="301"/>
      <c r="E60" s="304"/>
      <c r="F60" s="304"/>
      <c r="G60" s="303">
        <f t="shared" si="7"/>
        <v>0</v>
      </c>
      <c r="H60" s="301"/>
      <c r="I60" s="301"/>
      <c r="J60" s="301"/>
      <c r="K60" s="301"/>
      <c r="L60" s="301"/>
      <c r="M60" s="301"/>
      <c r="N60" s="302"/>
      <c r="O60" s="302"/>
      <c r="P60" s="302"/>
      <c r="Q60" s="302"/>
      <c r="R60" s="301"/>
      <c r="S60" s="301"/>
      <c r="T60" s="301"/>
      <c r="U60" s="301"/>
      <c r="V60" s="301"/>
      <c r="W60" s="301"/>
      <c r="X60" s="301"/>
      <c r="Y60" s="301"/>
      <c r="Z60" s="300">
        <f t="shared" si="8"/>
        <v>0</v>
      </c>
      <c r="AA60" s="444">
        <f t="shared" si="2"/>
        <v>0</v>
      </c>
    </row>
    <row r="61" spans="1:27" s="299" customFormat="1">
      <c r="A61" s="305">
        <v>53</v>
      </c>
      <c r="B61" s="301"/>
      <c r="C61" s="301"/>
      <c r="D61" s="301"/>
      <c r="E61" s="304"/>
      <c r="F61" s="304"/>
      <c r="G61" s="303">
        <f t="shared" si="7"/>
        <v>0</v>
      </c>
      <c r="H61" s="301"/>
      <c r="I61" s="301"/>
      <c r="J61" s="301"/>
      <c r="K61" s="301"/>
      <c r="L61" s="301"/>
      <c r="M61" s="301"/>
      <c r="N61" s="302"/>
      <c r="O61" s="302"/>
      <c r="P61" s="302"/>
      <c r="Q61" s="302"/>
      <c r="R61" s="301"/>
      <c r="S61" s="301"/>
      <c r="T61" s="301"/>
      <c r="U61" s="301"/>
      <c r="V61" s="301"/>
      <c r="W61" s="301"/>
      <c r="X61" s="301"/>
      <c r="Y61" s="301"/>
      <c r="Z61" s="300">
        <f t="shared" si="8"/>
        <v>0</v>
      </c>
      <c r="AA61" s="444">
        <f t="shared" si="2"/>
        <v>0</v>
      </c>
    </row>
    <row r="62" spans="1:27" s="299" customFormat="1">
      <c r="A62" s="305">
        <v>54</v>
      </c>
      <c r="B62" s="301"/>
      <c r="C62" s="301"/>
      <c r="D62" s="301"/>
      <c r="E62" s="304"/>
      <c r="F62" s="304"/>
      <c r="G62" s="303">
        <f t="shared" si="7"/>
        <v>0</v>
      </c>
      <c r="H62" s="301"/>
      <c r="I62" s="301"/>
      <c r="J62" s="301"/>
      <c r="K62" s="301"/>
      <c r="L62" s="301"/>
      <c r="M62" s="301"/>
      <c r="N62" s="302"/>
      <c r="O62" s="302"/>
      <c r="P62" s="302"/>
      <c r="Q62" s="302"/>
      <c r="R62" s="301"/>
      <c r="S62" s="301"/>
      <c r="T62" s="301"/>
      <c r="U62" s="301"/>
      <c r="V62" s="301"/>
      <c r="W62" s="301"/>
      <c r="X62" s="301"/>
      <c r="Y62" s="301"/>
      <c r="Z62" s="300">
        <f t="shared" si="8"/>
        <v>0</v>
      </c>
      <c r="AA62" s="444">
        <f t="shared" si="2"/>
        <v>0</v>
      </c>
    </row>
    <row r="63" spans="1:27" s="299" customFormat="1">
      <c r="A63" s="305">
        <v>55</v>
      </c>
      <c r="B63" s="301"/>
      <c r="C63" s="301"/>
      <c r="D63" s="301"/>
      <c r="E63" s="304"/>
      <c r="F63" s="304"/>
      <c r="G63" s="303">
        <f t="shared" si="7"/>
        <v>0</v>
      </c>
      <c r="H63" s="301"/>
      <c r="I63" s="301"/>
      <c r="J63" s="301"/>
      <c r="K63" s="301"/>
      <c r="L63" s="301"/>
      <c r="M63" s="301"/>
      <c r="N63" s="302"/>
      <c r="O63" s="302"/>
      <c r="P63" s="302"/>
      <c r="Q63" s="302"/>
      <c r="R63" s="301"/>
      <c r="S63" s="301"/>
      <c r="T63" s="301"/>
      <c r="U63" s="301"/>
      <c r="V63" s="301"/>
      <c r="W63" s="301"/>
      <c r="X63" s="301"/>
      <c r="Y63" s="301"/>
      <c r="Z63" s="300">
        <f t="shared" si="8"/>
        <v>0</v>
      </c>
      <c r="AA63" s="444">
        <f t="shared" si="2"/>
        <v>0</v>
      </c>
    </row>
    <row r="64" spans="1:27" s="299" customFormat="1">
      <c r="A64" s="305">
        <v>56</v>
      </c>
      <c r="B64" s="301"/>
      <c r="C64" s="301"/>
      <c r="D64" s="301"/>
      <c r="E64" s="304"/>
      <c r="F64" s="304"/>
      <c r="G64" s="303">
        <f t="shared" si="7"/>
        <v>0</v>
      </c>
      <c r="H64" s="301"/>
      <c r="I64" s="301"/>
      <c r="J64" s="301"/>
      <c r="K64" s="301"/>
      <c r="L64" s="301"/>
      <c r="M64" s="301"/>
      <c r="N64" s="302"/>
      <c r="O64" s="302"/>
      <c r="P64" s="302"/>
      <c r="Q64" s="302"/>
      <c r="R64" s="301"/>
      <c r="S64" s="301"/>
      <c r="T64" s="301"/>
      <c r="U64" s="301"/>
      <c r="V64" s="301"/>
      <c r="W64" s="301"/>
      <c r="X64" s="301"/>
      <c r="Y64" s="301"/>
      <c r="Z64" s="300">
        <f t="shared" si="8"/>
        <v>0</v>
      </c>
      <c r="AA64" s="444">
        <f t="shared" si="2"/>
        <v>0</v>
      </c>
    </row>
    <row r="65" spans="1:27" s="299" customFormat="1">
      <c r="A65" s="305">
        <v>57</v>
      </c>
      <c r="B65" s="301"/>
      <c r="C65" s="301"/>
      <c r="D65" s="301"/>
      <c r="E65" s="304"/>
      <c r="F65" s="304"/>
      <c r="G65" s="303">
        <f t="shared" si="7"/>
        <v>0</v>
      </c>
      <c r="H65" s="301"/>
      <c r="I65" s="301"/>
      <c r="J65" s="301"/>
      <c r="K65" s="301"/>
      <c r="L65" s="301"/>
      <c r="M65" s="301"/>
      <c r="N65" s="302"/>
      <c r="O65" s="302"/>
      <c r="P65" s="302"/>
      <c r="Q65" s="302"/>
      <c r="R65" s="301"/>
      <c r="S65" s="301"/>
      <c r="T65" s="301"/>
      <c r="U65" s="301"/>
      <c r="V65" s="301"/>
      <c r="W65" s="301"/>
      <c r="X65" s="301"/>
      <c r="Y65" s="301"/>
      <c r="Z65" s="300">
        <f t="shared" si="8"/>
        <v>0</v>
      </c>
      <c r="AA65" s="444">
        <f t="shared" si="2"/>
        <v>0</v>
      </c>
    </row>
    <row r="66" spans="1:27" s="299" customFormat="1">
      <c r="A66" s="305">
        <v>58</v>
      </c>
      <c r="B66" s="301"/>
      <c r="C66" s="301"/>
      <c r="D66" s="301"/>
      <c r="E66" s="304"/>
      <c r="F66" s="304"/>
      <c r="G66" s="303">
        <f t="shared" si="7"/>
        <v>0</v>
      </c>
      <c r="H66" s="301"/>
      <c r="I66" s="301"/>
      <c r="J66" s="301"/>
      <c r="K66" s="301"/>
      <c r="L66" s="301"/>
      <c r="M66" s="301"/>
      <c r="N66" s="302"/>
      <c r="O66" s="302"/>
      <c r="P66" s="302"/>
      <c r="Q66" s="302"/>
      <c r="R66" s="301"/>
      <c r="S66" s="301"/>
      <c r="T66" s="301"/>
      <c r="U66" s="301"/>
      <c r="V66" s="301"/>
      <c r="W66" s="301"/>
      <c r="X66" s="301"/>
      <c r="Y66" s="301"/>
      <c r="Z66" s="300">
        <f t="shared" si="8"/>
        <v>0</v>
      </c>
      <c r="AA66" s="444">
        <f t="shared" si="2"/>
        <v>0</v>
      </c>
    </row>
    <row r="67" spans="1:27" s="299" customFormat="1">
      <c r="A67" s="305">
        <v>59</v>
      </c>
      <c r="B67" s="301"/>
      <c r="C67" s="301"/>
      <c r="D67" s="301"/>
      <c r="E67" s="304"/>
      <c r="F67" s="304"/>
      <c r="G67" s="303">
        <f t="shared" si="7"/>
        <v>0</v>
      </c>
      <c r="H67" s="301"/>
      <c r="I67" s="301"/>
      <c r="J67" s="301"/>
      <c r="K67" s="301"/>
      <c r="L67" s="301"/>
      <c r="M67" s="301"/>
      <c r="N67" s="302"/>
      <c r="O67" s="302"/>
      <c r="P67" s="302"/>
      <c r="Q67" s="302"/>
      <c r="R67" s="301"/>
      <c r="S67" s="301"/>
      <c r="T67" s="301"/>
      <c r="U67" s="301"/>
      <c r="V67" s="301"/>
      <c r="W67" s="301"/>
      <c r="X67" s="301"/>
      <c r="Y67" s="301"/>
      <c r="Z67" s="300">
        <f t="shared" si="8"/>
        <v>0</v>
      </c>
      <c r="AA67" s="444">
        <f t="shared" si="2"/>
        <v>0</v>
      </c>
    </row>
    <row r="68" spans="1:27" s="299" customFormat="1">
      <c r="A68" s="305">
        <v>60</v>
      </c>
      <c r="B68" s="301"/>
      <c r="C68" s="301"/>
      <c r="D68" s="301"/>
      <c r="E68" s="304"/>
      <c r="F68" s="304"/>
      <c r="G68" s="303">
        <f t="shared" si="7"/>
        <v>0</v>
      </c>
      <c r="H68" s="301"/>
      <c r="I68" s="301"/>
      <c r="J68" s="301"/>
      <c r="K68" s="301"/>
      <c r="L68" s="301"/>
      <c r="M68" s="301"/>
      <c r="N68" s="302"/>
      <c r="O68" s="302"/>
      <c r="P68" s="302"/>
      <c r="Q68" s="302"/>
      <c r="R68" s="301"/>
      <c r="S68" s="301"/>
      <c r="T68" s="301"/>
      <c r="U68" s="301"/>
      <c r="V68" s="301"/>
      <c r="W68" s="301"/>
      <c r="X68" s="301"/>
      <c r="Y68" s="301"/>
      <c r="Z68" s="300">
        <f t="shared" si="8"/>
        <v>0</v>
      </c>
      <c r="AA68" s="444">
        <f t="shared" si="2"/>
        <v>0</v>
      </c>
    </row>
    <row r="69" spans="1:27" s="299" customFormat="1">
      <c r="A69" s="305">
        <v>61</v>
      </c>
      <c r="B69" s="301"/>
      <c r="C69" s="301"/>
      <c r="D69" s="301"/>
      <c r="E69" s="304"/>
      <c r="F69" s="304"/>
      <c r="G69" s="303">
        <f t="shared" si="7"/>
        <v>0</v>
      </c>
      <c r="H69" s="301"/>
      <c r="I69" s="301"/>
      <c r="J69" s="301"/>
      <c r="K69" s="301"/>
      <c r="L69" s="301"/>
      <c r="M69" s="301"/>
      <c r="N69" s="302"/>
      <c r="O69" s="302"/>
      <c r="P69" s="302"/>
      <c r="Q69" s="302"/>
      <c r="R69" s="301"/>
      <c r="S69" s="301"/>
      <c r="T69" s="301"/>
      <c r="U69" s="301"/>
      <c r="V69" s="301"/>
      <c r="W69" s="301"/>
      <c r="X69" s="301"/>
      <c r="Y69" s="301"/>
      <c r="Z69" s="300">
        <f t="shared" si="8"/>
        <v>0</v>
      </c>
      <c r="AA69" s="444">
        <f t="shared" si="2"/>
        <v>0</v>
      </c>
    </row>
    <row r="70" spans="1:27" s="299" customFormat="1">
      <c r="A70" s="305">
        <v>62</v>
      </c>
      <c r="B70" s="301"/>
      <c r="C70" s="301"/>
      <c r="D70" s="301"/>
      <c r="E70" s="304"/>
      <c r="F70" s="304"/>
      <c r="G70" s="303">
        <f t="shared" si="7"/>
        <v>0</v>
      </c>
      <c r="H70" s="301"/>
      <c r="I70" s="301"/>
      <c r="J70" s="301"/>
      <c r="K70" s="301"/>
      <c r="L70" s="301"/>
      <c r="M70" s="301"/>
      <c r="N70" s="302"/>
      <c r="O70" s="302"/>
      <c r="P70" s="302"/>
      <c r="Q70" s="302"/>
      <c r="R70" s="301"/>
      <c r="S70" s="301"/>
      <c r="T70" s="301"/>
      <c r="U70" s="301"/>
      <c r="V70" s="301"/>
      <c r="W70" s="301"/>
      <c r="X70" s="301"/>
      <c r="Y70" s="301"/>
      <c r="Z70" s="300">
        <f t="shared" si="8"/>
        <v>0</v>
      </c>
      <c r="AA70" s="444">
        <f t="shared" si="2"/>
        <v>0</v>
      </c>
    </row>
    <row r="71" spans="1:27" s="299" customFormat="1">
      <c r="A71" s="305">
        <v>63</v>
      </c>
      <c r="B71" s="301"/>
      <c r="C71" s="301"/>
      <c r="D71" s="301"/>
      <c r="E71" s="304"/>
      <c r="F71" s="304"/>
      <c r="G71" s="303">
        <f t="shared" si="7"/>
        <v>0</v>
      </c>
      <c r="H71" s="301"/>
      <c r="I71" s="301"/>
      <c r="J71" s="301"/>
      <c r="K71" s="301"/>
      <c r="L71" s="301"/>
      <c r="M71" s="301"/>
      <c r="N71" s="302"/>
      <c r="O71" s="302"/>
      <c r="P71" s="302"/>
      <c r="Q71" s="302"/>
      <c r="R71" s="301"/>
      <c r="S71" s="301"/>
      <c r="T71" s="301"/>
      <c r="U71" s="301"/>
      <c r="V71" s="301"/>
      <c r="W71" s="301"/>
      <c r="X71" s="301"/>
      <c r="Y71" s="301"/>
      <c r="Z71" s="300">
        <f t="shared" si="8"/>
        <v>0</v>
      </c>
      <c r="AA71" s="444">
        <f t="shared" si="2"/>
        <v>0</v>
      </c>
    </row>
    <row r="72" spans="1:27" s="299" customFormat="1">
      <c r="A72" s="305">
        <v>64</v>
      </c>
      <c r="B72" s="301"/>
      <c r="C72" s="301"/>
      <c r="D72" s="301"/>
      <c r="E72" s="304"/>
      <c r="F72" s="304"/>
      <c r="G72" s="303">
        <f t="shared" si="7"/>
        <v>0</v>
      </c>
      <c r="H72" s="301"/>
      <c r="I72" s="301"/>
      <c r="J72" s="301"/>
      <c r="K72" s="301"/>
      <c r="L72" s="301"/>
      <c r="M72" s="301"/>
      <c r="N72" s="302"/>
      <c r="O72" s="302"/>
      <c r="P72" s="302"/>
      <c r="Q72" s="302"/>
      <c r="R72" s="301"/>
      <c r="S72" s="301"/>
      <c r="T72" s="301"/>
      <c r="U72" s="301"/>
      <c r="V72" s="301"/>
      <c r="W72" s="301"/>
      <c r="X72" s="301"/>
      <c r="Y72" s="301"/>
      <c r="Z72" s="300">
        <f t="shared" si="8"/>
        <v>0</v>
      </c>
      <c r="AA72" s="444">
        <f t="shared" si="2"/>
        <v>0</v>
      </c>
    </row>
    <row r="73" spans="1:27" s="299" customFormat="1">
      <c r="A73" s="305">
        <v>65</v>
      </c>
      <c r="B73" s="301"/>
      <c r="C73" s="301"/>
      <c r="D73" s="301"/>
      <c r="E73" s="304"/>
      <c r="F73" s="304"/>
      <c r="G73" s="303">
        <f t="shared" si="7"/>
        <v>0</v>
      </c>
      <c r="H73" s="301"/>
      <c r="I73" s="301"/>
      <c r="J73" s="301"/>
      <c r="K73" s="301"/>
      <c r="L73" s="301"/>
      <c r="M73" s="301"/>
      <c r="N73" s="302"/>
      <c r="O73" s="302"/>
      <c r="P73" s="302"/>
      <c r="Q73" s="302"/>
      <c r="R73" s="301"/>
      <c r="S73" s="301"/>
      <c r="T73" s="301"/>
      <c r="U73" s="301"/>
      <c r="V73" s="301"/>
      <c r="W73" s="301"/>
      <c r="X73" s="301"/>
      <c r="Y73" s="301"/>
      <c r="Z73" s="300">
        <f t="shared" si="8"/>
        <v>0</v>
      </c>
      <c r="AA73" s="444">
        <f t="shared" ref="AA73:AA88" si="9">SUMIF($F$9:$F$88,$F73,$Z$9:$Z$88)</f>
        <v>0</v>
      </c>
    </row>
    <row r="74" spans="1:27" s="299" customFormat="1">
      <c r="A74" s="305">
        <v>66</v>
      </c>
      <c r="B74" s="301"/>
      <c r="C74" s="301"/>
      <c r="D74" s="301"/>
      <c r="E74" s="304"/>
      <c r="F74" s="304"/>
      <c r="G74" s="303">
        <f t="shared" si="7"/>
        <v>0</v>
      </c>
      <c r="H74" s="301"/>
      <c r="I74" s="301"/>
      <c r="J74" s="301"/>
      <c r="K74" s="301"/>
      <c r="L74" s="301"/>
      <c r="M74" s="301"/>
      <c r="N74" s="302"/>
      <c r="O74" s="302"/>
      <c r="P74" s="302"/>
      <c r="Q74" s="302"/>
      <c r="R74" s="301"/>
      <c r="S74" s="301"/>
      <c r="T74" s="301"/>
      <c r="U74" s="301"/>
      <c r="V74" s="301"/>
      <c r="W74" s="301"/>
      <c r="X74" s="301"/>
      <c r="Y74" s="301"/>
      <c r="Z74" s="300">
        <f t="shared" si="8"/>
        <v>0</v>
      </c>
      <c r="AA74" s="444">
        <f t="shared" si="9"/>
        <v>0</v>
      </c>
    </row>
    <row r="75" spans="1:27" s="299" customFormat="1">
      <c r="A75" s="305">
        <v>67</v>
      </c>
      <c r="B75" s="301"/>
      <c r="C75" s="301"/>
      <c r="D75" s="301"/>
      <c r="E75" s="304"/>
      <c r="F75" s="304"/>
      <c r="G75" s="303">
        <f t="shared" si="7"/>
        <v>0</v>
      </c>
      <c r="H75" s="301"/>
      <c r="I75" s="301"/>
      <c r="J75" s="301"/>
      <c r="K75" s="301"/>
      <c r="L75" s="301"/>
      <c r="M75" s="301"/>
      <c r="N75" s="302"/>
      <c r="O75" s="302"/>
      <c r="P75" s="302"/>
      <c r="Q75" s="302"/>
      <c r="R75" s="301"/>
      <c r="S75" s="301"/>
      <c r="T75" s="301"/>
      <c r="U75" s="301"/>
      <c r="V75" s="301"/>
      <c r="W75" s="301"/>
      <c r="X75" s="301"/>
      <c r="Y75" s="301"/>
      <c r="Z75" s="300">
        <f t="shared" si="8"/>
        <v>0</v>
      </c>
      <c r="AA75" s="444">
        <f t="shared" si="9"/>
        <v>0</v>
      </c>
    </row>
    <row r="76" spans="1:27" s="299" customFormat="1">
      <c r="A76" s="305">
        <v>68</v>
      </c>
      <c r="B76" s="301"/>
      <c r="C76" s="301"/>
      <c r="D76" s="301"/>
      <c r="E76" s="304"/>
      <c r="F76" s="304"/>
      <c r="G76" s="303">
        <f t="shared" si="3"/>
        <v>0</v>
      </c>
      <c r="H76" s="301"/>
      <c r="I76" s="301"/>
      <c r="J76" s="301"/>
      <c r="K76" s="301"/>
      <c r="L76" s="301"/>
      <c r="M76" s="301"/>
      <c r="N76" s="302"/>
      <c r="O76" s="302"/>
      <c r="P76" s="302"/>
      <c r="Q76" s="302"/>
      <c r="R76" s="301"/>
      <c r="S76" s="301"/>
      <c r="T76" s="301"/>
      <c r="U76" s="301"/>
      <c r="V76" s="301"/>
      <c r="W76" s="301"/>
      <c r="X76" s="301"/>
      <c r="Y76" s="301"/>
      <c r="Z76" s="300">
        <f t="shared" si="4"/>
        <v>0</v>
      </c>
      <c r="AA76" s="444">
        <f t="shared" si="9"/>
        <v>0</v>
      </c>
    </row>
    <row r="77" spans="1:27" s="299" customFormat="1">
      <c r="A77" s="305">
        <v>69</v>
      </c>
      <c r="B77" s="301"/>
      <c r="C77" s="301"/>
      <c r="D77" s="301"/>
      <c r="E77" s="304"/>
      <c r="F77" s="304"/>
      <c r="G77" s="303">
        <f t="shared" si="3"/>
        <v>0</v>
      </c>
      <c r="H77" s="301"/>
      <c r="I77" s="301"/>
      <c r="J77" s="301"/>
      <c r="K77" s="301"/>
      <c r="L77" s="301"/>
      <c r="M77" s="301"/>
      <c r="N77" s="302"/>
      <c r="O77" s="302"/>
      <c r="P77" s="302"/>
      <c r="Q77" s="302"/>
      <c r="R77" s="301"/>
      <c r="S77" s="301"/>
      <c r="T77" s="301"/>
      <c r="U77" s="301"/>
      <c r="V77" s="301"/>
      <c r="W77" s="301"/>
      <c r="X77" s="301"/>
      <c r="Y77" s="301"/>
      <c r="Z77" s="300">
        <f t="shared" si="4"/>
        <v>0</v>
      </c>
      <c r="AA77" s="444">
        <f t="shared" si="9"/>
        <v>0</v>
      </c>
    </row>
    <row r="78" spans="1:27" s="299" customFormat="1">
      <c r="A78" s="305">
        <v>70</v>
      </c>
      <c r="B78" s="301"/>
      <c r="C78" s="301"/>
      <c r="D78" s="301"/>
      <c r="E78" s="304"/>
      <c r="F78" s="304"/>
      <c r="G78" s="303">
        <f t="shared" si="3"/>
        <v>0</v>
      </c>
      <c r="H78" s="301"/>
      <c r="I78" s="301"/>
      <c r="J78" s="301"/>
      <c r="K78" s="301"/>
      <c r="L78" s="301"/>
      <c r="M78" s="301"/>
      <c r="N78" s="302"/>
      <c r="O78" s="302"/>
      <c r="P78" s="302"/>
      <c r="Q78" s="302"/>
      <c r="R78" s="301"/>
      <c r="S78" s="301"/>
      <c r="T78" s="301"/>
      <c r="U78" s="301"/>
      <c r="V78" s="301"/>
      <c r="W78" s="301"/>
      <c r="X78" s="301"/>
      <c r="Y78" s="301"/>
      <c r="Z78" s="300">
        <f t="shared" si="4"/>
        <v>0</v>
      </c>
      <c r="AA78" s="444">
        <f t="shared" si="9"/>
        <v>0</v>
      </c>
    </row>
    <row r="79" spans="1:27" s="299" customFormat="1">
      <c r="A79" s="305">
        <v>71</v>
      </c>
      <c r="B79" s="301"/>
      <c r="C79" s="301"/>
      <c r="D79" s="301"/>
      <c r="E79" s="304"/>
      <c r="F79" s="304"/>
      <c r="G79" s="303">
        <f t="shared" si="3"/>
        <v>0</v>
      </c>
      <c r="H79" s="301"/>
      <c r="I79" s="301"/>
      <c r="J79" s="301"/>
      <c r="K79" s="301"/>
      <c r="L79" s="301"/>
      <c r="M79" s="301"/>
      <c r="N79" s="302"/>
      <c r="O79" s="302"/>
      <c r="P79" s="302"/>
      <c r="Q79" s="302"/>
      <c r="R79" s="301"/>
      <c r="S79" s="301"/>
      <c r="T79" s="301"/>
      <c r="U79" s="301"/>
      <c r="V79" s="301"/>
      <c r="W79" s="301"/>
      <c r="X79" s="301"/>
      <c r="Y79" s="301"/>
      <c r="Z79" s="300">
        <f t="shared" si="4"/>
        <v>0</v>
      </c>
      <c r="AA79" s="444">
        <f t="shared" si="9"/>
        <v>0</v>
      </c>
    </row>
    <row r="80" spans="1:27" s="299" customFormat="1">
      <c r="A80" s="305">
        <v>72</v>
      </c>
      <c r="B80" s="301"/>
      <c r="C80" s="301"/>
      <c r="D80" s="301"/>
      <c r="E80" s="304"/>
      <c r="F80" s="304"/>
      <c r="G80" s="303">
        <f t="shared" si="3"/>
        <v>0</v>
      </c>
      <c r="H80" s="301"/>
      <c r="I80" s="301"/>
      <c r="J80" s="301"/>
      <c r="K80" s="301"/>
      <c r="L80" s="301"/>
      <c r="M80" s="301"/>
      <c r="N80" s="302"/>
      <c r="O80" s="302"/>
      <c r="P80" s="302"/>
      <c r="Q80" s="302"/>
      <c r="R80" s="301"/>
      <c r="S80" s="301"/>
      <c r="T80" s="301"/>
      <c r="U80" s="301"/>
      <c r="V80" s="301"/>
      <c r="W80" s="301"/>
      <c r="X80" s="301"/>
      <c r="Y80" s="301"/>
      <c r="Z80" s="300">
        <f t="shared" si="4"/>
        <v>0</v>
      </c>
      <c r="AA80" s="444">
        <f t="shared" si="9"/>
        <v>0</v>
      </c>
    </row>
    <row r="81" spans="1:30" s="299" customFormat="1">
      <c r="A81" s="305">
        <v>73</v>
      </c>
      <c r="B81" s="301"/>
      <c r="C81" s="301"/>
      <c r="D81" s="301"/>
      <c r="E81" s="304"/>
      <c r="F81" s="304"/>
      <c r="G81" s="303">
        <f t="shared" si="3"/>
        <v>0</v>
      </c>
      <c r="H81" s="301"/>
      <c r="I81" s="301"/>
      <c r="J81" s="301"/>
      <c r="K81" s="301"/>
      <c r="L81" s="301"/>
      <c r="M81" s="301"/>
      <c r="N81" s="302"/>
      <c r="O81" s="302"/>
      <c r="P81" s="302"/>
      <c r="Q81" s="302"/>
      <c r="R81" s="301"/>
      <c r="S81" s="301"/>
      <c r="T81" s="301"/>
      <c r="U81" s="301"/>
      <c r="V81" s="301"/>
      <c r="W81" s="301"/>
      <c r="X81" s="301"/>
      <c r="Y81" s="301"/>
      <c r="Z81" s="300">
        <f t="shared" si="4"/>
        <v>0</v>
      </c>
      <c r="AA81" s="444">
        <f t="shared" si="9"/>
        <v>0</v>
      </c>
    </row>
    <row r="82" spans="1:30" s="299" customFormat="1">
      <c r="A82" s="305">
        <v>74</v>
      </c>
      <c r="B82" s="301"/>
      <c r="C82" s="301"/>
      <c r="D82" s="301"/>
      <c r="E82" s="304"/>
      <c r="F82" s="304"/>
      <c r="G82" s="303">
        <f t="shared" si="3"/>
        <v>0</v>
      </c>
      <c r="H82" s="301"/>
      <c r="I82" s="301"/>
      <c r="J82" s="301"/>
      <c r="K82" s="301"/>
      <c r="L82" s="301"/>
      <c r="M82" s="301"/>
      <c r="N82" s="302"/>
      <c r="O82" s="302"/>
      <c r="P82" s="302"/>
      <c r="Q82" s="302"/>
      <c r="R82" s="301"/>
      <c r="S82" s="301"/>
      <c r="T82" s="301"/>
      <c r="U82" s="301"/>
      <c r="V82" s="301"/>
      <c r="W82" s="301"/>
      <c r="X82" s="301"/>
      <c r="Y82" s="301"/>
      <c r="Z82" s="300">
        <f t="shared" si="4"/>
        <v>0</v>
      </c>
      <c r="AA82" s="444">
        <f t="shared" si="9"/>
        <v>0</v>
      </c>
    </row>
    <row r="83" spans="1:30" s="299" customFormat="1">
      <c r="A83" s="305">
        <v>75</v>
      </c>
      <c r="B83" s="301"/>
      <c r="C83" s="301"/>
      <c r="D83" s="301"/>
      <c r="E83" s="304"/>
      <c r="F83" s="304"/>
      <c r="G83" s="303">
        <f t="shared" si="3"/>
        <v>0</v>
      </c>
      <c r="H83" s="301"/>
      <c r="I83" s="301"/>
      <c r="J83" s="301"/>
      <c r="K83" s="301"/>
      <c r="L83" s="301"/>
      <c r="M83" s="301"/>
      <c r="N83" s="302"/>
      <c r="O83" s="302"/>
      <c r="P83" s="302"/>
      <c r="Q83" s="302"/>
      <c r="R83" s="301"/>
      <c r="S83" s="301"/>
      <c r="T83" s="301"/>
      <c r="U83" s="301"/>
      <c r="V83" s="301"/>
      <c r="W83" s="301"/>
      <c r="X83" s="301"/>
      <c r="Y83" s="301"/>
      <c r="Z83" s="300">
        <f t="shared" si="4"/>
        <v>0</v>
      </c>
      <c r="AA83" s="444">
        <f t="shared" si="9"/>
        <v>0</v>
      </c>
    </row>
    <row r="84" spans="1:30" s="299" customFormat="1">
      <c r="A84" s="305">
        <v>76</v>
      </c>
      <c r="B84" s="301"/>
      <c r="C84" s="301"/>
      <c r="D84" s="301"/>
      <c r="E84" s="304"/>
      <c r="F84" s="304"/>
      <c r="G84" s="303">
        <f t="shared" si="3"/>
        <v>0</v>
      </c>
      <c r="H84" s="301"/>
      <c r="I84" s="301"/>
      <c r="J84" s="301"/>
      <c r="K84" s="301"/>
      <c r="L84" s="301"/>
      <c r="M84" s="301"/>
      <c r="N84" s="302"/>
      <c r="O84" s="302"/>
      <c r="P84" s="302"/>
      <c r="Q84" s="302"/>
      <c r="R84" s="301"/>
      <c r="S84" s="301"/>
      <c r="T84" s="301"/>
      <c r="U84" s="301"/>
      <c r="V84" s="301"/>
      <c r="W84" s="301"/>
      <c r="X84" s="301"/>
      <c r="Y84" s="301"/>
      <c r="Z84" s="300">
        <f t="shared" si="4"/>
        <v>0</v>
      </c>
      <c r="AA84" s="444">
        <f t="shared" si="9"/>
        <v>0</v>
      </c>
    </row>
    <row r="85" spans="1:30" s="299" customFormat="1">
      <c r="A85" s="305">
        <v>77</v>
      </c>
      <c r="B85" s="301"/>
      <c r="C85" s="301"/>
      <c r="D85" s="301"/>
      <c r="E85" s="304"/>
      <c r="F85" s="304"/>
      <c r="G85" s="303">
        <f t="shared" si="3"/>
        <v>0</v>
      </c>
      <c r="H85" s="301"/>
      <c r="I85" s="301"/>
      <c r="J85" s="301"/>
      <c r="K85" s="301"/>
      <c r="L85" s="301"/>
      <c r="M85" s="301"/>
      <c r="N85" s="302"/>
      <c r="O85" s="302"/>
      <c r="P85" s="302"/>
      <c r="Q85" s="302"/>
      <c r="R85" s="301"/>
      <c r="S85" s="301"/>
      <c r="T85" s="301"/>
      <c r="U85" s="301"/>
      <c r="V85" s="301"/>
      <c r="W85" s="301"/>
      <c r="X85" s="301"/>
      <c r="Y85" s="301"/>
      <c r="Z85" s="300">
        <f t="shared" si="4"/>
        <v>0</v>
      </c>
      <c r="AA85" s="444">
        <f t="shared" si="9"/>
        <v>0</v>
      </c>
    </row>
    <row r="86" spans="1:30" s="299" customFormat="1">
      <c r="A86" s="305">
        <v>78</v>
      </c>
      <c r="B86" s="301"/>
      <c r="C86" s="301"/>
      <c r="D86" s="301"/>
      <c r="E86" s="304"/>
      <c r="F86" s="304"/>
      <c r="G86" s="303">
        <f t="shared" si="3"/>
        <v>0</v>
      </c>
      <c r="H86" s="301"/>
      <c r="I86" s="301"/>
      <c r="J86" s="301"/>
      <c r="K86" s="301"/>
      <c r="L86" s="301"/>
      <c r="M86" s="301"/>
      <c r="N86" s="302"/>
      <c r="O86" s="302"/>
      <c r="P86" s="302"/>
      <c r="Q86" s="302"/>
      <c r="R86" s="301"/>
      <c r="S86" s="301"/>
      <c r="T86" s="301"/>
      <c r="U86" s="301"/>
      <c r="V86" s="301"/>
      <c r="W86" s="301"/>
      <c r="X86" s="301"/>
      <c r="Y86" s="301"/>
      <c r="Z86" s="300">
        <f t="shared" si="4"/>
        <v>0</v>
      </c>
      <c r="AA86" s="444">
        <f t="shared" si="9"/>
        <v>0</v>
      </c>
    </row>
    <row r="87" spans="1:30" s="299" customFormat="1">
      <c r="A87" s="305">
        <v>79</v>
      </c>
      <c r="B87" s="301"/>
      <c r="C87" s="301"/>
      <c r="D87" s="301"/>
      <c r="E87" s="304"/>
      <c r="F87" s="304"/>
      <c r="G87" s="303">
        <f t="shared" si="3"/>
        <v>0</v>
      </c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0">
        <f t="shared" si="4"/>
        <v>0</v>
      </c>
      <c r="AA87" s="444">
        <f t="shared" si="9"/>
        <v>0</v>
      </c>
    </row>
    <row r="88" spans="1:30" s="299" customFormat="1">
      <c r="A88" s="305">
        <v>80</v>
      </c>
      <c r="B88" s="301"/>
      <c r="C88" s="301"/>
      <c r="D88" s="301"/>
      <c r="E88" s="304"/>
      <c r="F88" s="304"/>
      <c r="G88" s="303">
        <f t="shared" si="3"/>
        <v>0</v>
      </c>
      <c r="H88" s="301"/>
      <c r="I88" s="301"/>
      <c r="J88" s="301"/>
      <c r="K88" s="301"/>
      <c r="L88" s="301"/>
      <c r="M88" s="301"/>
      <c r="N88" s="302"/>
      <c r="O88" s="302"/>
      <c r="P88" s="302"/>
      <c r="Q88" s="302"/>
      <c r="R88" s="301"/>
      <c r="S88" s="301"/>
      <c r="T88" s="301"/>
      <c r="U88" s="301"/>
      <c r="V88" s="301"/>
      <c r="W88" s="301"/>
      <c r="X88" s="301"/>
      <c r="Y88" s="301"/>
      <c r="Z88" s="300">
        <f t="shared" si="4"/>
        <v>0</v>
      </c>
      <c r="AA88" s="444">
        <f t="shared" si="9"/>
        <v>0</v>
      </c>
    </row>
    <row r="89" spans="1:30" s="276" customFormat="1" ht="29.25" customHeight="1">
      <c r="A89" s="752" t="s">
        <v>455</v>
      </c>
      <c r="B89" s="753"/>
      <c r="C89" s="753"/>
      <c r="D89" s="753"/>
      <c r="E89" s="753"/>
      <c r="F89" s="754"/>
      <c r="G89" s="322">
        <f t="shared" ref="G89:T89" si="10">SUM(G9:G88)</f>
        <v>1124954.1767999998</v>
      </c>
      <c r="H89" s="322">
        <f t="shared" si="10"/>
        <v>1124954.1767999998</v>
      </c>
      <c r="I89" s="322">
        <f t="shared" si="10"/>
        <v>0</v>
      </c>
      <c r="J89" s="322">
        <f t="shared" si="10"/>
        <v>0</v>
      </c>
      <c r="K89" s="322">
        <f t="shared" si="10"/>
        <v>0</v>
      </c>
      <c r="L89" s="322">
        <f t="shared" si="10"/>
        <v>0</v>
      </c>
      <c r="M89" s="322">
        <f t="shared" si="10"/>
        <v>0</v>
      </c>
      <c r="N89" s="322">
        <f t="shared" si="10"/>
        <v>0</v>
      </c>
      <c r="O89" s="322">
        <f t="shared" si="10"/>
        <v>0</v>
      </c>
      <c r="P89" s="322">
        <f t="shared" si="10"/>
        <v>0</v>
      </c>
      <c r="Q89" s="322">
        <f t="shared" si="10"/>
        <v>0</v>
      </c>
      <c r="R89" s="322">
        <f t="shared" si="10"/>
        <v>0</v>
      </c>
      <c r="S89" s="322">
        <f t="shared" si="10"/>
        <v>0</v>
      </c>
      <c r="T89" s="322">
        <f t="shared" si="10"/>
        <v>0</v>
      </c>
      <c r="U89" s="323"/>
      <c r="V89" s="322">
        <f>SUM(V9:V88)</f>
        <v>0</v>
      </c>
      <c r="W89" s="323"/>
      <c r="X89" s="322">
        <f>SUM(X9:X88)</f>
        <v>1</v>
      </c>
      <c r="Y89" s="322">
        <f>SUM(Y9:Y88)</f>
        <v>0</v>
      </c>
      <c r="Z89" s="322">
        <f>SUM(Z9:Z88)</f>
        <v>1124941.1767999998</v>
      </c>
      <c r="AA89" s="444"/>
    </row>
    <row r="90" spans="1:30" s="276" customFormat="1" ht="29.25" customHeight="1">
      <c r="A90" s="752" t="s">
        <v>456</v>
      </c>
      <c r="B90" s="753"/>
      <c r="C90" s="753"/>
      <c r="D90" s="753"/>
      <c r="E90" s="753"/>
      <c r="F90" s="754"/>
      <c r="G90" s="322">
        <f>+SUMIF($F$9:$F$88,$AA$90,$G$9:$G$88)</f>
        <v>423962.95137999998</v>
      </c>
      <c r="H90" s="322">
        <f>+SUMIF($F$9:$F$88,$AA$90,$H$9:$H$88)</f>
        <v>423962.95137999998</v>
      </c>
      <c r="I90" s="322">
        <f>+SUMIF($F$9:$F$88,$AA$90,$I$9:$I$88)</f>
        <v>0</v>
      </c>
      <c r="J90" s="322">
        <f>+SUMIF($F$9:$F$88,$AA$90,$J$9:$J$88)</f>
        <v>0</v>
      </c>
      <c r="K90" s="322">
        <f>+SUMIF($F$9:$F$88,$AA$90,$K$9:$K$88)</f>
        <v>0</v>
      </c>
      <c r="L90" s="322">
        <f>+SUMIF($F$9:$F$88,$AA$90,$L$9:$L$88)</f>
        <v>0</v>
      </c>
      <c r="M90" s="322">
        <f>+SUMIF($F$9:$F$88,$AA$90,$M$9:$M$88)</f>
        <v>0</v>
      </c>
      <c r="N90" s="322">
        <f>+SUMIF($F$9:$F$88,$AA$90,$N$9:$N$88)</f>
        <v>0</v>
      </c>
      <c r="O90" s="322">
        <f>+SUMIF($F$9:$F$88,$AA$90,$O$9:$O$88)</f>
        <v>0</v>
      </c>
      <c r="P90" s="322">
        <f>+SUMIF($F$9:$F$88,$AA$90,$P$9:$P$88)</f>
        <v>0</v>
      </c>
      <c r="Q90" s="322">
        <f>+SUMIF($F$9:$F$88,$AA$90,$Q$9:$Q$88)</f>
        <v>0</v>
      </c>
      <c r="R90" s="322">
        <f>+SUMIF($F$9:$F$88,$AA$90,$R$9:$R$88)</f>
        <v>0</v>
      </c>
      <c r="S90" s="322">
        <f>+SUMIF($F$9:$F$88,$AA$90,$S$9:$S$88)</f>
        <v>0</v>
      </c>
      <c r="T90" s="322">
        <f>+SUMIF($F$9:$F$88,$AA$90,$T$9:$T$88)</f>
        <v>0</v>
      </c>
      <c r="U90" s="323"/>
      <c r="V90" s="322">
        <f>+SUMIF($F$9:$F$88,$AA$90,$V$9:$V$88)</f>
        <v>0</v>
      </c>
      <c r="W90" s="323"/>
      <c r="X90" s="322">
        <f>+SUMIF($F$9:$F$88,$AA$90,$X$9:$X$88)</f>
        <v>0</v>
      </c>
      <c r="Y90" s="322">
        <f>+SUMIF($F$9:$F$88,$AA$90,$Y$9:$Y$88)</f>
        <v>0</v>
      </c>
      <c r="Z90" s="322">
        <f>+MAX(AA9:AA88)</f>
        <v>423961.95137999998</v>
      </c>
      <c r="AA90" s="444">
        <f>INDEX($F$9:$F$88,MATCH($Z90,$AA$9:$AA$88,0))</f>
        <v>13</v>
      </c>
    </row>
    <row r="91" spans="1:30" s="276" customFormat="1">
      <c r="AA91" s="446"/>
    </row>
    <row r="92" spans="1:30" ht="16.5" customHeight="1">
      <c r="A92" s="34"/>
      <c r="B92" s="239" t="s">
        <v>788</v>
      </c>
      <c r="C92" s="34"/>
      <c r="D92" s="34"/>
      <c r="E92" s="34"/>
      <c r="F92" s="349"/>
      <c r="G92" s="349"/>
      <c r="H92" s="349"/>
      <c r="I92" s="349"/>
      <c r="J92" s="349"/>
      <c r="K92" s="349"/>
      <c r="L92" s="349"/>
      <c r="M92" s="349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1.25" customHeight="1">
      <c r="A93" s="34"/>
      <c r="B93" s="239"/>
      <c r="C93" s="34"/>
      <c r="D93" s="34"/>
      <c r="E93" s="34"/>
      <c r="F93" s="349"/>
      <c r="G93" s="349"/>
      <c r="H93" s="349"/>
      <c r="I93" s="349"/>
      <c r="J93" s="349"/>
      <c r="K93" s="349"/>
      <c r="L93" s="349"/>
      <c r="M93" s="349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6.5" customHeight="1">
      <c r="A94" s="34"/>
      <c r="B94" s="239" t="s">
        <v>789</v>
      </c>
      <c r="C94" s="34"/>
      <c r="D94" s="34"/>
      <c r="E94" s="34"/>
      <c r="F94" s="349"/>
      <c r="G94" s="349"/>
      <c r="H94" s="349"/>
      <c r="I94" s="349"/>
      <c r="J94" s="349"/>
      <c r="K94" s="349"/>
      <c r="L94" s="349"/>
      <c r="M94" s="349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s="276" customFormat="1">
      <c r="B95" s="297"/>
      <c r="AA95" s="446"/>
    </row>
    <row r="96" spans="1:30" s="276" customFormat="1">
      <c r="B96" s="297"/>
      <c r="AA96" s="446"/>
    </row>
    <row r="97" spans="1:32" s="276" customFormat="1">
      <c r="B97" s="297"/>
      <c r="AA97" s="446"/>
    </row>
    <row r="98" spans="1:32" s="276" customFormat="1">
      <c r="AA98" s="446"/>
    </row>
    <row r="99" spans="1:32" s="276" customFormat="1" ht="15.75">
      <c r="B99" s="739"/>
      <c r="C99" s="739"/>
      <c r="D99" s="739"/>
      <c r="E99" s="739"/>
      <c r="F99" s="739"/>
      <c r="G99" s="739"/>
      <c r="H99" s="739"/>
      <c r="I99" s="739"/>
      <c r="J99" s="739"/>
      <c r="K99" s="739"/>
      <c r="L99" s="739"/>
      <c r="M99" s="739"/>
      <c r="N99" s="739"/>
      <c r="O99" s="739"/>
      <c r="P99" s="739"/>
      <c r="Q99" s="739"/>
      <c r="R99" s="739"/>
      <c r="S99" s="739"/>
      <c r="T99" s="739"/>
      <c r="AA99" s="446"/>
    </row>
    <row r="100" spans="1:3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V100" s="34"/>
      <c r="W100" s="34"/>
      <c r="X100" s="34"/>
      <c r="Y100" s="34"/>
      <c r="Z100" s="34"/>
      <c r="AA100" s="447"/>
      <c r="AB100" s="34"/>
      <c r="AC100" s="34"/>
      <c r="AD100" s="34"/>
      <c r="AE100" s="34"/>
      <c r="AF100" s="34"/>
    </row>
    <row r="101" spans="1:3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V101" s="34"/>
      <c r="W101" s="34"/>
      <c r="X101" s="34"/>
      <c r="Y101" s="34"/>
      <c r="Z101" s="34"/>
      <c r="AA101" s="447"/>
      <c r="AB101" s="34"/>
      <c r="AC101" s="34"/>
      <c r="AD101" s="34"/>
      <c r="AE101" s="34"/>
      <c r="AF101" s="34"/>
    </row>
    <row r="102" spans="1:3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V102" s="34"/>
      <c r="W102" s="34"/>
      <c r="X102" s="34"/>
      <c r="Y102" s="34"/>
      <c r="Z102" s="34"/>
      <c r="AA102" s="447"/>
      <c r="AB102" s="34"/>
      <c r="AC102" s="34"/>
      <c r="AD102" s="34"/>
      <c r="AE102" s="34"/>
      <c r="AF102" s="34"/>
    </row>
    <row r="103" spans="1:3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V103" s="34"/>
      <c r="W103" s="34"/>
      <c r="X103" s="34"/>
      <c r="Y103" s="34"/>
      <c r="Z103" s="34"/>
      <c r="AA103" s="447"/>
      <c r="AB103" s="34"/>
      <c r="AC103" s="34"/>
      <c r="AD103" s="34"/>
      <c r="AE103" s="34"/>
      <c r="AF103" s="34"/>
    </row>
    <row r="104" spans="1:3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V104" s="34"/>
      <c r="W104" s="34"/>
      <c r="X104" s="34"/>
      <c r="Y104" s="34"/>
      <c r="Z104" s="34"/>
      <c r="AA104" s="447"/>
      <c r="AB104" s="34"/>
      <c r="AC104" s="34"/>
      <c r="AD104" s="34"/>
      <c r="AE104" s="34"/>
      <c r="AF104" s="34"/>
    </row>
    <row r="105" spans="1:3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V105" s="34"/>
      <c r="W105" s="34"/>
      <c r="X105" s="34"/>
      <c r="Y105" s="34"/>
      <c r="Z105" s="34"/>
      <c r="AA105" s="447"/>
      <c r="AB105" s="34"/>
      <c r="AC105" s="34"/>
      <c r="AD105" s="34"/>
      <c r="AE105" s="34"/>
      <c r="AF105" s="34"/>
    </row>
    <row r="106" spans="1:3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V106" s="34"/>
      <c r="W106" s="34"/>
      <c r="X106" s="34"/>
      <c r="Y106" s="34"/>
      <c r="Z106" s="34"/>
      <c r="AA106" s="447"/>
      <c r="AB106" s="34"/>
      <c r="AC106" s="34"/>
      <c r="AD106" s="34"/>
      <c r="AE106" s="34"/>
      <c r="AF106" s="34"/>
    </row>
    <row r="107" spans="1:3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V107" s="34"/>
      <c r="W107" s="34"/>
      <c r="X107" s="34"/>
      <c r="Y107" s="34"/>
      <c r="Z107" s="34"/>
      <c r="AA107" s="447"/>
      <c r="AB107" s="34"/>
      <c r="AC107" s="34"/>
      <c r="AD107" s="34"/>
      <c r="AE107" s="34"/>
      <c r="AF107" s="34"/>
    </row>
    <row r="108" spans="1:3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V108" s="34"/>
      <c r="W108" s="34"/>
      <c r="X108" s="34"/>
      <c r="Y108" s="34"/>
      <c r="Z108" s="34"/>
      <c r="AA108" s="447"/>
      <c r="AB108" s="34"/>
      <c r="AC108" s="34"/>
      <c r="AD108" s="34"/>
      <c r="AE108" s="34"/>
      <c r="AF108" s="34"/>
    </row>
    <row r="109" spans="1:3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V109" s="34"/>
      <c r="W109" s="34"/>
      <c r="X109" s="34"/>
      <c r="Y109" s="34"/>
      <c r="Z109" s="34"/>
      <c r="AA109" s="447"/>
      <c r="AB109" s="34"/>
      <c r="AC109" s="34"/>
      <c r="AD109" s="34"/>
      <c r="AE109" s="34"/>
      <c r="AF109" s="34"/>
    </row>
    <row r="110" spans="1:3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V110" s="34"/>
      <c r="W110" s="34"/>
      <c r="X110" s="34"/>
      <c r="Y110" s="34"/>
      <c r="Z110" s="34"/>
      <c r="AA110" s="447"/>
      <c r="AB110" s="34"/>
      <c r="AC110" s="34"/>
      <c r="AD110" s="34"/>
      <c r="AE110" s="34"/>
      <c r="AF110" s="34"/>
    </row>
    <row r="111" spans="1:3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V111" s="34"/>
      <c r="W111" s="34"/>
      <c r="X111" s="34"/>
      <c r="Y111" s="34"/>
      <c r="Z111" s="34"/>
      <c r="AA111" s="447"/>
      <c r="AB111" s="34"/>
      <c r="AC111" s="34"/>
      <c r="AD111" s="34"/>
      <c r="AE111" s="34"/>
      <c r="AF111" s="34"/>
    </row>
    <row r="112" spans="1:3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V112" s="34"/>
      <c r="W112" s="34"/>
      <c r="X112" s="34"/>
      <c r="Y112" s="34"/>
      <c r="Z112" s="34"/>
      <c r="AA112" s="447"/>
      <c r="AB112" s="34"/>
      <c r="AC112" s="34"/>
      <c r="AD112" s="34"/>
      <c r="AE112" s="34"/>
      <c r="AF112" s="34"/>
    </row>
    <row r="113" spans="1:3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V113" s="34"/>
      <c r="W113" s="34"/>
      <c r="X113" s="34"/>
      <c r="Y113" s="34"/>
      <c r="Z113" s="34"/>
      <c r="AA113" s="447"/>
      <c r="AB113" s="34"/>
      <c r="AC113" s="34"/>
      <c r="AD113" s="34"/>
      <c r="AE113" s="34"/>
      <c r="AF113" s="34"/>
    </row>
    <row r="114" spans="1:3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V114" s="34"/>
      <c r="W114" s="34"/>
      <c r="X114" s="34"/>
      <c r="Y114" s="34"/>
      <c r="Z114" s="34"/>
      <c r="AA114" s="447"/>
      <c r="AB114" s="34"/>
      <c r="AC114" s="34"/>
      <c r="AD114" s="34"/>
      <c r="AE114" s="34"/>
      <c r="AF114" s="34"/>
    </row>
    <row r="115" spans="1:3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V115" s="34"/>
      <c r="W115" s="34"/>
      <c r="X115" s="34"/>
      <c r="Y115" s="34"/>
      <c r="Z115" s="34"/>
      <c r="AA115" s="447"/>
      <c r="AB115" s="34"/>
      <c r="AC115" s="34"/>
      <c r="AD115" s="34"/>
      <c r="AE115" s="34"/>
      <c r="AF115" s="34"/>
    </row>
    <row r="116" spans="1:3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V116" s="34"/>
      <c r="W116" s="34"/>
      <c r="X116" s="34"/>
      <c r="Y116" s="34"/>
      <c r="Z116" s="34"/>
      <c r="AA116" s="447"/>
      <c r="AB116" s="34"/>
      <c r="AC116" s="34"/>
      <c r="AD116" s="34"/>
      <c r="AE116" s="34"/>
      <c r="AF116" s="34"/>
    </row>
    <row r="117" spans="1:3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V117" s="34"/>
      <c r="W117" s="34"/>
      <c r="X117" s="34"/>
      <c r="Y117" s="34"/>
      <c r="Z117" s="34"/>
      <c r="AA117" s="447"/>
      <c r="AB117" s="34"/>
      <c r="AC117" s="34"/>
      <c r="AD117" s="34"/>
      <c r="AE117" s="34"/>
      <c r="AF117" s="34"/>
    </row>
    <row r="118" spans="1:3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V118" s="34"/>
      <c r="W118" s="34"/>
      <c r="X118" s="34"/>
      <c r="Y118" s="34"/>
      <c r="Z118" s="34"/>
      <c r="AA118" s="447"/>
      <c r="AB118" s="34"/>
      <c r="AC118" s="34"/>
      <c r="AD118" s="34"/>
      <c r="AE118" s="34"/>
      <c r="AF118" s="34"/>
    </row>
    <row r="119" spans="1:3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V119" s="34"/>
      <c r="W119" s="34"/>
      <c r="X119" s="34"/>
      <c r="Y119" s="34"/>
      <c r="Z119" s="34"/>
      <c r="AA119" s="447"/>
      <c r="AB119" s="34"/>
      <c r="AC119" s="34"/>
      <c r="AD119" s="34"/>
      <c r="AE119" s="34"/>
      <c r="AF119" s="34"/>
    </row>
    <row r="120" spans="1:3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V120" s="34"/>
      <c r="W120" s="34"/>
      <c r="X120" s="34"/>
      <c r="Y120" s="34"/>
      <c r="Z120" s="34"/>
      <c r="AA120" s="447"/>
      <c r="AB120" s="34"/>
      <c r="AC120" s="34"/>
      <c r="AD120" s="34"/>
      <c r="AE120" s="34"/>
      <c r="AF120" s="34"/>
    </row>
    <row r="121" spans="1:3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V121" s="34"/>
      <c r="W121" s="34"/>
      <c r="X121" s="34"/>
      <c r="Y121" s="34"/>
      <c r="Z121" s="34"/>
      <c r="AA121" s="447"/>
      <c r="AB121" s="34"/>
      <c r="AC121" s="34"/>
      <c r="AD121" s="34"/>
      <c r="AE121" s="34"/>
      <c r="AF121" s="34"/>
    </row>
    <row r="122" spans="1:3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V122" s="34"/>
      <c r="W122" s="34"/>
      <c r="X122" s="34"/>
      <c r="Y122" s="34"/>
      <c r="Z122" s="34"/>
      <c r="AA122" s="447"/>
      <c r="AB122" s="34"/>
      <c r="AC122" s="34"/>
      <c r="AD122" s="34"/>
      <c r="AE122" s="34"/>
      <c r="AF122" s="34"/>
    </row>
    <row r="123" spans="1:3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V123" s="34"/>
      <c r="W123" s="34"/>
      <c r="X123" s="34"/>
      <c r="Y123" s="34"/>
      <c r="Z123" s="34"/>
      <c r="AA123" s="447"/>
      <c r="AB123" s="34"/>
      <c r="AC123" s="34"/>
      <c r="AD123" s="34"/>
      <c r="AE123" s="34"/>
      <c r="AF123" s="34"/>
    </row>
    <row r="124" spans="1:3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V124" s="34"/>
      <c r="W124" s="34"/>
      <c r="X124" s="34"/>
      <c r="Y124" s="34"/>
      <c r="Z124" s="34"/>
      <c r="AA124" s="447"/>
      <c r="AB124" s="34"/>
      <c r="AC124" s="34"/>
      <c r="AD124" s="34"/>
      <c r="AE124" s="34"/>
      <c r="AF124" s="34"/>
    </row>
    <row r="125" spans="1:3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V125" s="34"/>
      <c r="W125" s="34"/>
      <c r="X125" s="34"/>
      <c r="Y125" s="34"/>
      <c r="Z125" s="34"/>
      <c r="AA125" s="447"/>
      <c r="AB125" s="34"/>
      <c r="AC125" s="34"/>
      <c r="AD125" s="34"/>
      <c r="AE125" s="34"/>
      <c r="AF125" s="34"/>
    </row>
    <row r="126" spans="1:3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V126" s="34"/>
      <c r="W126" s="34"/>
      <c r="X126" s="34"/>
      <c r="Y126" s="34"/>
      <c r="Z126" s="34"/>
      <c r="AA126" s="447"/>
      <c r="AB126" s="34"/>
      <c r="AC126" s="34"/>
      <c r="AD126" s="34"/>
      <c r="AE126" s="34"/>
      <c r="AF126" s="34"/>
    </row>
    <row r="127" spans="1:3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V127" s="34"/>
      <c r="W127" s="34"/>
      <c r="X127" s="34"/>
      <c r="Y127" s="34"/>
      <c r="Z127" s="34"/>
      <c r="AA127" s="447"/>
      <c r="AB127" s="34"/>
      <c r="AC127" s="34"/>
      <c r="AD127" s="34"/>
      <c r="AE127" s="34"/>
      <c r="AF127" s="34"/>
    </row>
    <row r="128" spans="1:3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V128" s="34"/>
      <c r="W128" s="34"/>
      <c r="X128" s="34"/>
      <c r="Y128" s="34"/>
      <c r="Z128" s="34"/>
      <c r="AA128" s="447"/>
      <c r="AB128" s="34"/>
      <c r="AC128" s="34"/>
      <c r="AD128" s="34"/>
      <c r="AE128" s="34"/>
      <c r="AF128" s="34"/>
    </row>
    <row r="129" spans="1:3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V129" s="34"/>
      <c r="W129" s="34"/>
      <c r="X129" s="34"/>
      <c r="Y129" s="34"/>
      <c r="Z129" s="34"/>
      <c r="AA129" s="447"/>
      <c r="AB129" s="34"/>
      <c r="AC129" s="34"/>
      <c r="AD129" s="34"/>
      <c r="AE129" s="34"/>
      <c r="AF129" s="34"/>
    </row>
    <row r="130" spans="1:3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V130" s="34"/>
      <c r="W130" s="34"/>
      <c r="X130" s="34"/>
      <c r="Y130" s="34"/>
      <c r="Z130" s="34"/>
      <c r="AA130" s="447"/>
      <c r="AB130" s="34"/>
      <c r="AC130" s="34"/>
      <c r="AD130" s="34"/>
      <c r="AE130" s="34"/>
      <c r="AF130" s="34"/>
    </row>
    <row r="131" spans="1:3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V131" s="34"/>
      <c r="W131" s="34"/>
      <c r="X131" s="34"/>
      <c r="Y131" s="34"/>
      <c r="Z131" s="34"/>
      <c r="AA131" s="447"/>
      <c r="AB131" s="34"/>
      <c r="AC131" s="34"/>
      <c r="AD131" s="34"/>
      <c r="AE131" s="34"/>
      <c r="AF131" s="34"/>
    </row>
  </sheetData>
  <sheetProtection password="CACA" sheet="1" objects="1" scenarios="1"/>
  <mergeCells count="37">
    <mergeCell ref="A89:F89"/>
    <mergeCell ref="A90:F90"/>
    <mergeCell ref="L8:M8"/>
    <mergeCell ref="N8:O8"/>
    <mergeCell ref="P8:Q8"/>
    <mergeCell ref="Z4:Z7"/>
    <mergeCell ref="U6:U7"/>
    <mergeCell ref="V6:V7"/>
    <mergeCell ref="T4:T7"/>
    <mergeCell ref="U4:V5"/>
    <mergeCell ref="W4:W7"/>
    <mergeCell ref="X4:X7"/>
    <mergeCell ref="Y4:Y7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U3:V3"/>
    <mergeCell ref="D4:D7"/>
    <mergeCell ref="E4:E7"/>
    <mergeCell ref="H5:K5"/>
    <mergeCell ref="L5:S5"/>
    <mergeCell ref="H6:H7"/>
    <mergeCell ref="P6:Q6"/>
    <mergeCell ref="R6:S6"/>
  </mergeCells>
  <dataValidations disablePrompts="1"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4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F131"/>
  <sheetViews>
    <sheetView view="pageBreakPreview" zoomScale="70" zoomScaleNormal="40" zoomScaleSheetLayoutView="70" workbookViewId="0">
      <pane xSplit="7" ySplit="8" topLeftCell="H79" activePane="bottomRight" state="frozen"/>
      <selection activeCell="C73" sqref="C73"/>
      <selection pane="topRight" activeCell="C73" sqref="C73"/>
      <selection pane="bottomLeft" activeCell="C73" sqref="C73"/>
      <selection pane="bottomRight" activeCell="C73" sqref="C73"/>
    </sheetView>
  </sheetViews>
  <sheetFormatPr defaultRowHeight="12.75"/>
  <cols>
    <col min="1" max="1" width="5.140625" style="269" customWidth="1"/>
    <col min="2" max="2" width="43.42578125" style="269" customWidth="1"/>
    <col min="3" max="3" width="14.140625" style="269" customWidth="1"/>
    <col min="4" max="6" width="10.140625" style="269" customWidth="1"/>
    <col min="7" max="8" width="14.28515625" style="269" customWidth="1"/>
    <col min="9" max="19" width="13.85546875" style="269" customWidth="1"/>
    <col min="20" max="20" width="8.28515625" style="269" customWidth="1"/>
    <col min="21" max="21" width="10.140625" style="269" customWidth="1"/>
    <col min="22" max="22" width="14" style="269" customWidth="1"/>
    <col min="23" max="23" width="9.85546875" style="269" customWidth="1"/>
    <col min="24" max="24" width="14" style="269" customWidth="1"/>
    <col min="25" max="25" width="13.28515625" style="269" customWidth="1"/>
    <col min="26" max="26" width="14.7109375" style="269" customWidth="1"/>
    <col min="27" max="27" width="17.42578125" style="439" customWidth="1"/>
    <col min="28" max="16384" width="9.140625" style="269"/>
  </cols>
  <sheetData>
    <row r="1" spans="1:27" ht="20.25">
      <c r="A1" s="741" t="s">
        <v>457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Y1" s="438" t="s">
        <v>458</v>
      </c>
    </row>
    <row r="2" spans="1:27">
      <c r="A2" s="313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Q2" s="312"/>
      <c r="R2" s="312"/>
      <c r="S2" s="312"/>
      <c r="T2" s="312"/>
    </row>
    <row r="3" spans="1:27" ht="15.75">
      <c r="A3" s="286"/>
      <c r="B3" s="311" t="str">
        <f>+'Asset quality'!B3</f>
        <v>"МКБАНК"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Q3" s="286"/>
      <c r="R3" s="286"/>
      <c r="T3" s="310"/>
      <c r="U3" s="705">
        <f>+'Asset quality'!Q3</f>
        <v>44926</v>
      </c>
      <c r="V3" s="705"/>
      <c r="W3" s="326"/>
      <c r="Y3" s="740" t="str">
        <f>+'Asset quality'!T3</f>
        <v>минг. сўмда</v>
      </c>
      <c r="Z3" s="740"/>
    </row>
    <row r="4" spans="1:27" ht="27.75" customHeight="1">
      <c r="A4" s="742" t="s">
        <v>62</v>
      </c>
      <c r="B4" s="742" t="s">
        <v>430</v>
      </c>
      <c r="C4" s="731" t="s">
        <v>431</v>
      </c>
      <c r="D4" s="731" t="s">
        <v>432</v>
      </c>
      <c r="E4" s="731" t="s">
        <v>433</v>
      </c>
      <c r="F4" s="731" t="s">
        <v>434</v>
      </c>
      <c r="G4" s="731" t="s">
        <v>435</v>
      </c>
      <c r="H4" s="734" t="s">
        <v>335</v>
      </c>
      <c r="I4" s="735"/>
      <c r="J4" s="735"/>
      <c r="K4" s="735"/>
      <c r="L4" s="735"/>
      <c r="M4" s="735"/>
      <c r="N4" s="735"/>
      <c r="O4" s="735"/>
      <c r="P4" s="735"/>
      <c r="Q4" s="735"/>
      <c r="R4" s="735"/>
      <c r="S4" s="735"/>
      <c r="T4" s="731" t="s">
        <v>436</v>
      </c>
      <c r="U4" s="748" t="s">
        <v>437</v>
      </c>
      <c r="V4" s="749"/>
      <c r="W4" s="731" t="s">
        <v>438</v>
      </c>
      <c r="X4" s="731" t="s">
        <v>439</v>
      </c>
      <c r="Y4" s="731" t="s">
        <v>440</v>
      </c>
      <c r="Z4" s="731" t="s">
        <v>441</v>
      </c>
    </row>
    <row r="5" spans="1:27" ht="27.75" customHeight="1">
      <c r="A5" s="743"/>
      <c r="B5" s="743"/>
      <c r="C5" s="732"/>
      <c r="D5" s="732"/>
      <c r="E5" s="732"/>
      <c r="F5" s="732"/>
      <c r="G5" s="732"/>
      <c r="H5" s="734" t="s">
        <v>442</v>
      </c>
      <c r="I5" s="735"/>
      <c r="J5" s="735"/>
      <c r="K5" s="735"/>
      <c r="L5" s="734" t="s">
        <v>443</v>
      </c>
      <c r="M5" s="735"/>
      <c r="N5" s="735"/>
      <c r="O5" s="735"/>
      <c r="P5" s="735"/>
      <c r="Q5" s="735"/>
      <c r="R5" s="735"/>
      <c r="S5" s="735"/>
      <c r="T5" s="732"/>
      <c r="U5" s="750"/>
      <c r="V5" s="751"/>
      <c r="W5" s="732"/>
      <c r="X5" s="732"/>
      <c r="Y5" s="732"/>
      <c r="Z5" s="732"/>
    </row>
    <row r="6" spans="1:27" ht="108.75" customHeight="1">
      <c r="A6" s="743"/>
      <c r="B6" s="743"/>
      <c r="C6" s="732"/>
      <c r="D6" s="732"/>
      <c r="E6" s="732"/>
      <c r="F6" s="732"/>
      <c r="G6" s="732"/>
      <c r="H6" s="731" t="s">
        <v>444</v>
      </c>
      <c r="I6" s="731" t="s">
        <v>445</v>
      </c>
      <c r="J6" s="731" t="s">
        <v>446</v>
      </c>
      <c r="K6" s="731" t="s">
        <v>447</v>
      </c>
      <c r="L6" s="737" t="s">
        <v>448</v>
      </c>
      <c r="M6" s="738"/>
      <c r="N6" s="737" t="s">
        <v>449</v>
      </c>
      <c r="O6" s="738"/>
      <c r="P6" s="737" t="s">
        <v>450</v>
      </c>
      <c r="Q6" s="738"/>
      <c r="R6" s="737" t="s">
        <v>451</v>
      </c>
      <c r="S6" s="738"/>
      <c r="T6" s="732"/>
      <c r="U6" s="731" t="s">
        <v>452</v>
      </c>
      <c r="V6" s="731" t="s">
        <v>164</v>
      </c>
      <c r="W6" s="732"/>
      <c r="X6" s="732"/>
      <c r="Y6" s="732"/>
      <c r="Z6" s="732"/>
    </row>
    <row r="7" spans="1:27" ht="41.25" customHeight="1">
      <c r="A7" s="744"/>
      <c r="B7" s="744"/>
      <c r="C7" s="733"/>
      <c r="D7" s="733"/>
      <c r="E7" s="733"/>
      <c r="F7" s="733"/>
      <c r="G7" s="733"/>
      <c r="H7" s="733"/>
      <c r="I7" s="733"/>
      <c r="J7" s="733"/>
      <c r="K7" s="733"/>
      <c r="L7" s="440" t="s">
        <v>453</v>
      </c>
      <c r="M7" s="440" t="s">
        <v>454</v>
      </c>
      <c r="N7" s="440" t="s">
        <v>453</v>
      </c>
      <c r="O7" s="440" t="s">
        <v>454</v>
      </c>
      <c r="P7" s="440" t="s">
        <v>453</v>
      </c>
      <c r="Q7" s="440" t="s">
        <v>454</v>
      </c>
      <c r="R7" s="440" t="s">
        <v>453</v>
      </c>
      <c r="S7" s="440" t="s">
        <v>454</v>
      </c>
      <c r="T7" s="733"/>
      <c r="U7" s="733"/>
      <c r="V7" s="733"/>
      <c r="W7" s="733"/>
      <c r="X7" s="733"/>
      <c r="Y7" s="733"/>
      <c r="Z7" s="733"/>
    </row>
    <row r="8" spans="1:27" s="309" customFormat="1" ht="15">
      <c r="A8" s="441"/>
      <c r="B8" s="441" t="s">
        <v>79</v>
      </c>
      <c r="C8" s="441" t="s">
        <v>80</v>
      </c>
      <c r="D8" s="441" t="s">
        <v>90</v>
      </c>
      <c r="E8" s="441" t="s">
        <v>81</v>
      </c>
      <c r="F8" s="441" t="s">
        <v>82</v>
      </c>
      <c r="G8" s="295" t="s">
        <v>91</v>
      </c>
      <c r="H8" s="441" t="s">
        <v>229</v>
      </c>
      <c r="I8" s="441" t="s">
        <v>228</v>
      </c>
      <c r="J8" s="441" t="s">
        <v>227</v>
      </c>
      <c r="K8" s="441" t="s">
        <v>226</v>
      </c>
      <c r="L8" s="746" t="s">
        <v>225</v>
      </c>
      <c r="M8" s="747"/>
      <c r="N8" s="746" t="s">
        <v>224</v>
      </c>
      <c r="O8" s="747"/>
      <c r="P8" s="746" t="s">
        <v>223</v>
      </c>
      <c r="Q8" s="747"/>
      <c r="R8" s="746" t="s">
        <v>222</v>
      </c>
      <c r="S8" s="747"/>
      <c r="T8" s="441" t="s">
        <v>83</v>
      </c>
      <c r="U8" s="441" t="s">
        <v>84</v>
      </c>
      <c r="V8" s="441" t="s">
        <v>85</v>
      </c>
      <c r="W8" s="441" t="s">
        <v>86</v>
      </c>
      <c r="X8" s="441" t="s">
        <v>87</v>
      </c>
      <c r="Y8" s="441" t="s">
        <v>88</v>
      </c>
      <c r="Z8" s="441" t="s">
        <v>89</v>
      </c>
      <c r="AA8" s="442"/>
    </row>
    <row r="9" spans="1:27" s="299" customFormat="1">
      <c r="A9" s="305">
        <v>1</v>
      </c>
      <c r="B9" s="301" t="s">
        <v>842</v>
      </c>
      <c r="C9" s="306">
        <v>306892604</v>
      </c>
      <c r="D9" s="306" t="s">
        <v>843</v>
      </c>
      <c r="E9" s="304">
        <v>978</v>
      </c>
      <c r="F9" s="304">
        <v>1</v>
      </c>
      <c r="G9" s="317">
        <f t="shared" ref="G9:G65" si="0">+H9+I9+J9+K9+M9+O9+Q9+S9</f>
        <v>384179252.60382998</v>
      </c>
      <c r="H9" s="315">
        <v>0</v>
      </c>
      <c r="I9" s="315">
        <v>384179252.60382998</v>
      </c>
      <c r="J9" s="315"/>
      <c r="K9" s="315"/>
      <c r="L9" s="315"/>
      <c r="M9" s="315"/>
      <c r="N9" s="316"/>
      <c r="O9" s="315"/>
      <c r="P9" s="315"/>
      <c r="Q9" s="315"/>
      <c r="R9" s="315"/>
      <c r="S9" s="315"/>
      <c r="T9" s="318"/>
      <c r="U9" s="318"/>
      <c r="V9" s="315"/>
      <c r="W9" s="301">
        <v>1</v>
      </c>
      <c r="X9" s="315">
        <v>2875000</v>
      </c>
      <c r="Y9" s="315"/>
      <c r="Z9" s="314">
        <f t="shared" ref="Z9:Z65" si="1">+G9-V9-X9</f>
        <v>381304252.60382998</v>
      </c>
      <c r="AA9" s="444">
        <f t="shared" ref="AA9:AA40" si="2">SUMIF($F$9:$F$88,$F9,$Z$9:$Z$88)</f>
        <v>711487177.92588997</v>
      </c>
    </row>
    <row r="10" spans="1:27" s="299" customFormat="1" ht="25.5">
      <c r="A10" s="305">
        <v>2</v>
      </c>
      <c r="B10" s="301" t="s">
        <v>844</v>
      </c>
      <c r="C10" s="306">
        <v>305922787</v>
      </c>
      <c r="D10" s="306" t="s">
        <v>843</v>
      </c>
      <c r="E10" s="304">
        <v>978</v>
      </c>
      <c r="F10" s="304">
        <v>1</v>
      </c>
      <c r="G10" s="317">
        <f t="shared" si="0"/>
        <v>330182925.32205999</v>
      </c>
      <c r="H10" s="315">
        <v>0</v>
      </c>
      <c r="I10" s="315">
        <v>330182925.32205999</v>
      </c>
      <c r="J10" s="315"/>
      <c r="K10" s="315"/>
      <c r="L10" s="315"/>
      <c r="M10" s="315"/>
      <c r="N10" s="316"/>
      <c r="O10" s="315"/>
      <c r="P10" s="315"/>
      <c r="Q10" s="315"/>
      <c r="R10" s="315"/>
      <c r="S10" s="315"/>
      <c r="T10" s="318"/>
      <c r="U10" s="318"/>
      <c r="V10" s="315"/>
      <c r="W10" s="301">
        <v>1</v>
      </c>
      <c r="X10" s="315">
        <v>0</v>
      </c>
      <c r="Y10" s="318"/>
      <c r="Z10" s="314">
        <f t="shared" si="1"/>
        <v>330182925.32205999</v>
      </c>
      <c r="AA10" s="444">
        <f t="shared" si="2"/>
        <v>711487177.92588997</v>
      </c>
    </row>
    <row r="11" spans="1:27" s="299" customFormat="1">
      <c r="A11" s="305">
        <v>3</v>
      </c>
      <c r="B11" s="301"/>
      <c r="C11" s="306"/>
      <c r="D11" s="306"/>
      <c r="E11" s="304"/>
      <c r="F11" s="304"/>
      <c r="G11" s="317">
        <f t="shared" si="0"/>
        <v>0</v>
      </c>
      <c r="H11" s="315"/>
      <c r="I11" s="315"/>
      <c r="J11" s="315"/>
      <c r="K11" s="315"/>
      <c r="L11" s="315"/>
      <c r="M11" s="315"/>
      <c r="N11" s="316"/>
      <c r="O11" s="315"/>
      <c r="P11" s="315"/>
      <c r="Q11" s="315"/>
      <c r="R11" s="315"/>
      <c r="S11" s="315"/>
      <c r="T11" s="318"/>
      <c r="U11" s="315"/>
      <c r="V11" s="315"/>
      <c r="W11" s="443"/>
      <c r="X11" s="315"/>
      <c r="Y11" s="318"/>
      <c r="Z11" s="314">
        <f t="shared" si="1"/>
        <v>0</v>
      </c>
      <c r="AA11" s="444">
        <f t="shared" si="2"/>
        <v>0</v>
      </c>
    </row>
    <row r="12" spans="1:27" s="299" customFormat="1">
      <c r="A12" s="305">
        <v>4</v>
      </c>
      <c r="B12" s="301"/>
      <c r="C12" s="306"/>
      <c r="D12" s="306"/>
      <c r="E12" s="304"/>
      <c r="F12" s="304"/>
      <c r="G12" s="317">
        <f t="shared" si="0"/>
        <v>0</v>
      </c>
      <c r="H12" s="315"/>
      <c r="I12" s="315"/>
      <c r="J12" s="315"/>
      <c r="K12" s="315"/>
      <c r="L12" s="315"/>
      <c r="M12" s="315"/>
      <c r="N12" s="316"/>
      <c r="O12" s="315"/>
      <c r="P12" s="315"/>
      <c r="Q12" s="315"/>
      <c r="R12" s="315"/>
      <c r="S12" s="315"/>
      <c r="T12" s="318"/>
      <c r="U12" s="315"/>
      <c r="V12" s="315"/>
      <c r="W12" s="443"/>
      <c r="X12" s="315"/>
      <c r="Y12" s="315"/>
      <c r="Z12" s="314">
        <f t="shared" si="1"/>
        <v>0</v>
      </c>
      <c r="AA12" s="444">
        <f t="shared" si="2"/>
        <v>0</v>
      </c>
    </row>
    <row r="13" spans="1:27" s="299" customFormat="1">
      <c r="A13" s="305">
        <v>5</v>
      </c>
      <c r="B13" s="301"/>
      <c r="C13" s="306"/>
      <c r="D13" s="306"/>
      <c r="E13" s="304"/>
      <c r="F13" s="304"/>
      <c r="G13" s="317">
        <f t="shared" si="0"/>
        <v>0</v>
      </c>
      <c r="H13" s="315"/>
      <c r="I13" s="315"/>
      <c r="J13" s="315"/>
      <c r="K13" s="315"/>
      <c r="L13" s="315"/>
      <c r="M13" s="315"/>
      <c r="N13" s="316"/>
      <c r="O13" s="315"/>
      <c r="P13" s="315"/>
      <c r="Q13" s="315"/>
      <c r="R13" s="315"/>
      <c r="S13" s="315"/>
      <c r="T13" s="318"/>
      <c r="U13" s="315"/>
      <c r="V13" s="315"/>
      <c r="W13" s="443"/>
      <c r="X13" s="315"/>
      <c r="Y13" s="315"/>
      <c r="Z13" s="314">
        <f t="shared" si="1"/>
        <v>0</v>
      </c>
      <c r="AA13" s="444">
        <f t="shared" si="2"/>
        <v>0</v>
      </c>
    </row>
    <row r="14" spans="1:27" s="299" customFormat="1">
      <c r="A14" s="305">
        <v>6</v>
      </c>
      <c r="B14" s="301"/>
      <c r="C14" s="306"/>
      <c r="D14" s="306"/>
      <c r="E14" s="304"/>
      <c r="F14" s="304"/>
      <c r="G14" s="317">
        <f t="shared" si="0"/>
        <v>0</v>
      </c>
      <c r="H14" s="315"/>
      <c r="I14" s="315"/>
      <c r="J14" s="315"/>
      <c r="K14" s="315"/>
      <c r="L14" s="315"/>
      <c r="M14" s="315"/>
      <c r="N14" s="316"/>
      <c r="O14" s="315"/>
      <c r="P14" s="315"/>
      <c r="Q14" s="306"/>
      <c r="R14" s="315"/>
      <c r="S14" s="315"/>
      <c r="T14" s="318"/>
      <c r="U14" s="315"/>
      <c r="V14" s="315"/>
      <c r="W14" s="443"/>
      <c r="X14" s="315"/>
      <c r="Y14" s="315"/>
      <c r="Z14" s="314">
        <f t="shared" si="1"/>
        <v>0</v>
      </c>
      <c r="AA14" s="444">
        <f t="shared" si="2"/>
        <v>0</v>
      </c>
    </row>
    <row r="15" spans="1:27" s="299" customFormat="1">
      <c r="A15" s="305">
        <v>7</v>
      </c>
      <c r="B15" s="301"/>
      <c r="C15" s="306"/>
      <c r="D15" s="306"/>
      <c r="E15" s="304"/>
      <c r="F15" s="304"/>
      <c r="G15" s="317">
        <f t="shared" si="0"/>
        <v>0</v>
      </c>
      <c r="H15" s="315"/>
      <c r="I15" s="315"/>
      <c r="J15" s="315"/>
      <c r="K15" s="315"/>
      <c r="L15" s="315"/>
      <c r="M15" s="315"/>
      <c r="N15" s="316"/>
      <c r="O15" s="315"/>
      <c r="P15" s="315"/>
      <c r="Q15" s="316"/>
      <c r="R15" s="315"/>
      <c r="S15" s="315"/>
      <c r="T15" s="318"/>
      <c r="U15" s="315"/>
      <c r="V15" s="315"/>
      <c r="W15" s="443"/>
      <c r="X15" s="315"/>
      <c r="Y15" s="315"/>
      <c r="Z15" s="314">
        <f t="shared" si="1"/>
        <v>0</v>
      </c>
      <c r="AA15" s="444">
        <f t="shared" si="2"/>
        <v>0</v>
      </c>
    </row>
    <row r="16" spans="1:27" s="299" customFormat="1">
      <c r="A16" s="305">
        <v>8</v>
      </c>
      <c r="B16" s="301"/>
      <c r="C16" s="306"/>
      <c r="D16" s="306"/>
      <c r="E16" s="304"/>
      <c r="F16" s="304"/>
      <c r="G16" s="317">
        <f t="shared" si="0"/>
        <v>0</v>
      </c>
      <c r="H16" s="315"/>
      <c r="I16" s="315"/>
      <c r="J16" s="315"/>
      <c r="K16" s="315"/>
      <c r="L16" s="315"/>
      <c r="M16" s="315"/>
      <c r="N16" s="316"/>
      <c r="O16" s="315"/>
      <c r="P16" s="315"/>
      <c r="Q16" s="316"/>
      <c r="R16" s="315"/>
      <c r="S16" s="315"/>
      <c r="T16" s="318"/>
      <c r="U16" s="315"/>
      <c r="V16" s="315"/>
      <c r="W16" s="443"/>
      <c r="X16" s="315"/>
      <c r="Y16" s="315"/>
      <c r="Z16" s="314">
        <f t="shared" si="1"/>
        <v>0</v>
      </c>
      <c r="AA16" s="444">
        <f t="shared" si="2"/>
        <v>0</v>
      </c>
    </row>
    <row r="17" spans="1:27" s="299" customFormat="1">
      <c r="A17" s="305">
        <v>9</v>
      </c>
      <c r="B17" s="301"/>
      <c r="C17" s="306"/>
      <c r="D17" s="306"/>
      <c r="E17" s="304"/>
      <c r="F17" s="304"/>
      <c r="G17" s="317">
        <f t="shared" si="0"/>
        <v>0</v>
      </c>
      <c r="H17" s="315"/>
      <c r="I17" s="315"/>
      <c r="J17" s="315"/>
      <c r="K17" s="315"/>
      <c r="L17" s="315"/>
      <c r="M17" s="315"/>
      <c r="N17" s="316"/>
      <c r="O17" s="315"/>
      <c r="P17" s="315"/>
      <c r="Q17" s="316"/>
      <c r="R17" s="315"/>
      <c r="S17" s="315"/>
      <c r="T17" s="318"/>
      <c r="U17" s="315"/>
      <c r="V17" s="315"/>
      <c r="W17" s="443"/>
      <c r="X17" s="315"/>
      <c r="Y17" s="315"/>
      <c r="Z17" s="314">
        <f t="shared" si="1"/>
        <v>0</v>
      </c>
      <c r="AA17" s="444">
        <f t="shared" si="2"/>
        <v>0</v>
      </c>
    </row>
    <row r="18" spans="1:27" s="299" customFormat="1">
      <c r="A18" s="305">
        <v>10</v>
      </c>
      <c r="B18" s="301"/>
      <c r="C18" s="306"/>
      <c r="D18" s="306"/>
      <c r="E18" s="304"/>
      <c r="F18" s="304"/>
      <c r="G18" s="317">
        <f t="shared" si="0"/>
        <v>0</v>
      </c>
      <c r="H18" s="315"/>
      <c r="I18" s="315"/>
      <c r="J18" s="315"/>
      <c r="K18" s="315"/>
      <c r="L18" s="315"/>
      <c r="M18" s="315"/>
      <c r="N18" s="316"/>
      <c r="O18" s="315"/>
      <c r="P18" s="315"/>
      <c r="Q18" s="315"/>
      <c r="R18" s="315"/>
      <c r="S18" s="315"/>
      <c r="T18" s="318"/>
      <c r="U18" s="315"/>
      <c r="V18" s="315"/>
      <c r="W18" s="443"/>
      <c r="X18" s="315"/>
      <c r="Y18" s="315"/>
      <c r="Z18" s="314">
        <f t="shared" si="1"/>
        <v>0</v>
      </c>
      <c r="AA18" s="444">
        <f t="shared" si="2"/>
        <v>0</v>
      </c>
    </row>
    <row r="19" spans="1:27" s="299" customFormat="1">
      <c r="A19" s="305">
        <v>11</v>
      </c>
      <c r="B19" s="301"/>
      <c r="C19" s="306"/>
      <c r="D19" s="306"/>
      <c r="E19" s="304"/>
      <c r="F19" s="304"/>
      <c r="G19" s="317">
        <f t="shared" si="0"/>
        <v>0</v>
      </c>
      <c r="H19" s="315"/>
      <c r="I19" s="315"/>
      <c r="J19" s="315"/>
      <c r="K19" s="315"/>
      <c r="L19" s="315"/>
      <c r="M19" s="315"/>
      <c r="N19" s="316"/>
      <c r="O19" s="315"/>
      <c r="P19" s="315"/>
      <c r="Q19" s="315"/>
      <c r="R19" s="315"/>
      <c r="S19" s="315"/>
      <c r="T19" s="318"/>
      <c r="U19" s="315"/>
      <c r="V19" s="315"/>
      <c r="W19" s="443"/>
      <c r="X19" s="315"/>
      <c r="Y19" s="315"/>
      <c r="Z19" s="314">
        <f t="shared" si="1"/>
        <v>0</v>
      </c>
      <c r="AA19" s="444">
        <f t="shared" si="2"/>
        <v>0</v>
      </c>
    </row>
    <row r="20" spans="1:27" s="299" customFormat="1">
      <c r="A20" s="305">
        <v>12</v>
      </c>
      <c r="B20" s="301"/>
      <c r="C20" s="306"/>
      <c r="D20" s="306"/>
      <c r="E20" s="304"/>
      <c r="F20" s="304"/>
      <c r="G20" s="317">
        <f t="shared" si="0"/>
        <v>0</v>
      </c>
      <c r="H20" s="315"/>
      <c r="I20" s="315"/>
      <c r="J20" s="315"/>
      <c r="K20" s="315"/>
      <c r="L20" s="315"/>
      <c r="M20" s="315"/>
      <c r="N20" s="316"/>
      <c r="O20" s="315"/>
      <c r="P20" s="315"/>
      <c r="Q20" s="315"/>
      <c r="R20" s="315"/>
      <c r="S20" s="315"/>
      <c r="T20" s="318"/>
      <c r="U20" s="315"/>
      <c r="V20" s="315"/>
      <c r="W20" s="443"/>
      <c r="X20" s="315"/>
      <c r="Y20" s="315"/>
      <c r="Z20" s="314">
        <f t="shared" si="1"/>
        <v>0</v>
      </c>
      <c r="AA20" s="444">
        <f t="shared" si="2"/>
        <v>0</v>
      </c>
    </row>
    <row r="21" spans="1:27" s="299" customFormat="1">
      <c r="A21" s="305">
        <v>13</v>
      </c>
      <c r="B21" s="301"/>
      <c r="C21" s="306"/>
      <c r="D21" s="306"/>
      <c r="E21" s="304"/>
      <c r="F21" s="304"/>
      <c r="G21" s="317">
        <f t="shared" si="0"/>
        <v>0</v>
      </c>
      <c r="H21" s="315"/>
      <c r="I21" s="315"/>
      <c r="J21" s="315"/>
      <c r="K21" s="315"/>
      <c r="L21" s="315"/>
      <c r="M21" s="315"/>
      <c r="N21" s="316"/>
      <c r="O21" s="315"/>
      <c r="P21" s="315"/>
      <c r="Q21" s="306"/>
      <c r="R21" s="315"/>
      <c r="S21" s="315"/>
      <c r="T21" s="318"/>
      <c r="U21" s="315"/>
      <c r="V21" s="315"/>
      <c r="W21" s="443"/>
      <c r="X21" s="315"/>
      <c r="Y21" s="315"/>
      <c r="Z21" s="314">
        <f t="shared" si="1"/>
        <v>0</v>
      </c>
      <c r="AA21" s="444">
        <f t="shared" si="2"/>
        <v>0</v>
      </c>
    </row>
    <row r="22" spans="1:27" s="299" customFormat="1">
      <c r="A22" s="305">
        <v>14</v>
      </c>
      <c r="B22" s="301"/>
      <c r="C22" s="306"/>
      <c r="D22" s="306"/>
      <c r="E22" s="304"/>
      <c r="F22" s="304"/>
      <c r="G22" s="317">
        <f t="shared" si="0"/>
        <v>0</v>
      </c>
      <c r="H22" s="315"/>
      <c r="I22" s="315"/>
      <c r="J22" s="315"/>
      <c r="K22" s="315"/>
      <c r="L22" s="315"/>
      <c r="M22" s="315"/>
      <c r="N22" s="316"/>
      <c r="O22" s="315"/>
      <c r="P22" s="315"/>
      <c r="Q22" s="316"/>
      <c r="R22" s="315"/>
      <c r="S22" s="315"/>
      <c r="T22" s="318"/>
      <c r="U22" s="315"/>
      <c r="V22" s="315"/>
      <c r="W22" s="443"/>
      <c r="X22" s="315"/>
      <c r="Y22" s="315"/>
      <c r="Z22" s="314">
        <f t="shared" si="1"/>
        <v>0</v>
      </c>
      <c r="AA22" s="444">
        <f t="shared" si="2"/>
        <v>0</v>
      </c>
    </row>
    <row r="23" spans="1:27" s="299" customFormat="1">
      <c r="A23" s="305">
        <v>15</v>
      </c>
      <c r="B23" s="301"/>
      <c r="C23" s="306"/>
      <c r="D23" s="306"/>
      <c r="E23" s="304"/>
      <c r="F23" s="304"/>
      <c r="G23" s="317">
        <f t="shared" si="0"/>
        <v>0</v>
      </c>
      <c r="H23" s="315"/>
      <c r="I23" s="315"/>
      <c r="J23" s="315"/>
      <c r="K23" s="315"/>
      <c r="L23" s="315"/>
      <c r="M23" s="315"/>
      <c r="N23" s="316"/>
      <c r="O23" s="315"/>
      <c r="P23" s="315"/>
      <c r="Q23" s="316"/>
      <c r="R23" s="315"/>
      <c r="S23" s="315"/>
      <c r="T23" s="318"/>
      <c r="U23" s="315"/>
      <c r="V23" s="315"/>
      <c r="W23" s="443"/>
      <c r="X23" s="315"/>
      <c r="Y23" s="315"/>
      <c r="Z23" s="314">
        <f t="shared" si="1"/>
        <v>0</v>
      </c>
      <c r="AA23" s="444">
        <f t="shared" si="2"/>
        <v>0</v>
      </c>
    </row>
    <row r="24" spans="1:27" s="299" customFormat="1">
      <c r="A24" s="305">
        <v>16</v>
      </c>
      <c r="B24" s="301"/>
      <c r="C24" s="306"/>
      <c r="D24" s="306"/>
      <c r="E24" s="304"/>
      <c r="F24" s="304"/>
      <c r="G24" s="317">
        <f t="shared" si="0"/>
        <v>0</v>
      </c>
      <c r="H24" s="315"/>
      <c r="I24" s="315"/>
      <c r="J24" s="315"/>
      <c r="K24" s="315"/>
      <c r="L24" s="315"/>
      <c r="M24" s="315"/>
      <c r="N24" s="316"/>
      <c r="O24" s="315"/>
      <c r="P24" s="315"/>
      <c r="Q24" s="316"/>
      <c r="R24" s="315"/>
      <c r="S24" s="315"/>
      <c r="T24" s="318"/>
      <c r="U24" s="315"/>
      <c r="V24" s="315"/>
      <c r="W24" s="443"/>
      <c r="X24" s="315"/>
      <c r="Y24" s="315"/>
      <c r="Z24" s="314">
        <f t="shared" si="1"/>
        <v>0</v>
      </c>
      <c r="AA24" s="444">
        <f t="shared" si="2"/>
        <v>0</v>
      </c>
    </row>
    <row r="25" spans="1:27" s="299" customFormat="1">
      <c r="A25" s="305">
        <v>17</v>
      </c>
      <c r="B25" s="301"/>
      <c r="C25" s="306"/>
      <c r="D25" s="306"/>
      <c r="E25" s="304"/>
      <c r="F25" s="304"/>
      <c r="G25" s="317">
        <f t="shared" si="0"/>
        <v>0</v>
      </c>
      <c r="H25" s="315"/>
      <c r="I25" s="315"/>
      <c r="J25" s="315"/>
      <c r="K25" s="315"/>
      <c r="L25" s="315"/>
      <c r="M25" s="315"/>
      <c r="N25" s="316"/>
      <c r="O25" s="315"/>
      <c r="P25" s="315"/>
      <c r="Q25" s="316"/>
      <c r="R25" s="315"/>
      <c r="S25" s="315"/>
      <c r="T25" s="318"/>
      <c r="U25" s="315"/>
      <c r="V25" s="315"/>
      <c r="W25" s="443"/>
      <c r="X25" s="315"/>
      <c r="Y25" s="315"/>
      <c r="Z25" s="314">
        <f t="shared" si="1"/>
        <v>0</v>
      </c>
      <c r="AA25" s="444">
        <f t="shared" si="2"/>
        <v>0</v>
      </c>
    </row>
    <row r="26" spans="1:27" s="299" customFormat="1">
      <c r="A26" s="305">
        <v>18</v>
      </c>
      <c r="B26" s="301"/>
      <c r="C26" s="306"/>
      <c r="D26" s="306"/>
      <c r="E26" s="304"/>
      <c r="F26" s="304"/>
      <c r="G26" s="317">
        <f t="shared" si="0"/>
        <v>0</v>
      </c>
      <c r="H26" s="315"/>
      <c r="I26" s="315"/>
      <c r="J26" s="315"/>
      <c r="K26" s="315"/>
      <c r="L26" s="315"/>
      <c r="M26" s="315"/>
      <c r="N26" s="316"/>
      <c r="O26" s="315"/>
      <c r="P26" s="315"/>
      <c r="Q26" s="316"/>
      <c r="R26" s="315"/>
      <c r="S26" s="315"/>
      <c r="T26" s="318"/>
      <c r="U26" s="315"/>
      <c r="V26" s="315"/>
      <c r="W26" s="443"/>
      <c r="X26" s="315"/>
      <c r="Y26" s="315"/>
      <c r="Z26" s="314">
        <f t="shared" si="1"/>
        <v>0</v>
      </c>
      <c r="AA26" s="444">
        <f t="shared" si="2"/>
        <v>0</v>
      </c>
    </row>
    <row r="27" spans="1:27" s="299" customFormat="1">
      <c r="A27" s="305">
        <v>19</v>
      </c>
      <c r="B27" s="301"/>
      <c r="C27" s="306"/>
      <c r="D27" s="306"/>
      <c r="E27" s="304"/>
      <c r="F27" s="304"/>
      <c r="G27" s="317">
        <f t="shared" si="0"/>
        <v>0</v>
      </c>
      <c r="H27" s="315"/>
      <c r="I27" s="315"/>
      <c r="J27" s="315"/>
      <c r="K27" s="315"/>
      <c r="L27" s="315"/>
      <c r="M27" s="315"/>
      <c r="N27" s="316"/>
      <c r="O27" s="315"/>
      <c r="P27" s="315"/>
      <c r="Q27" s="316"/>
      <c r="R27" s="315"/>
      <c r="S27" s="315"/>
      <c r="T27" s="318"/>
      <c r="U27" s="315"/>
      <c r="V27" s="315"/>
      <c r="W27" s="443"/>
      <c r="X27" s="315"/>
      <c r="Y27" s="315"/>
      <c r="Z27" s="314">
        <f t="shared" si="1"/>
        <v>0</v>
      </c>
      <c r="AA27" s="444">
        <f t="shared" si="2"/>
        <v>0</v>
      </c>
    </row>
    <row r="28" spans="1:27" s="299" customFormat="1">
      <c r="A28" s="305">
        <v>20</v>
      </c>
      <c r="B28" s="301"/>
      <c r="C28" s="306"/>
      <c r="D28" s="306"/>
      <c r="E28" s="304"/>
      <c r="F28" s="304"/>
      <c r="G28" s="317">
        <f t="shared" si="0"/>
        <v>0</v>
      </c>
      <c r="H28" s="315"/>
      <c r="I28" s="315"/>
      <c r="J28" s="315"/>
      <c r="K28" s="315"/>
      <c r="L28" s="315"/>
      <c r="M28" s="315"/>
      <c r="N28" s="316"/>
      <c r="O28" s="315"/>
      <c r="P28" s="315"/>
      <c r="Q28" s="316"/>
      <c r="R28" s="315"/>
      <c r="S28" s="315"/>
      <c r="T28" s="318"/>
      <c r="U28" s="315"/>
      <c r="V28" s="315"/>
      <c r="W28" s="443"/>
      <c r="X28" s="315"/>
      <c r="Y28" s="315"/>
      <c r="Z28" s="314">
        <f t="shared" si="1"/>
        <v>0</v>
      </c>
      <c r="AA28" s="444">
        <f t="shared" si="2"/>
        <v>0</v>
      </c>
    </row>
    <row r="29" spans="1:27" s="299" customFormat="1">
      <c r="A29" s="305">
        <v>21</v>
      </c>
      <c r="B29" s="301"/>
      <c r="C29" s="306"/>
      <c r="D29" s="306"/>
      <c r="E29" s="304"/>
      <c r="F29" s="304"/>
      <c r="G29" s="317">
        <f t="shared" si="0"/>
        <v>0</v>
      </c>
      <c r="H29" s="315"/>
      <c r="I29" s="315"/>
      <c r="J29" s="315"/>
      <c r="K29" s="315"/>
      <c r="L29" s="315"/>
      <c r="M29" s="315"/>
      <c r="N29" s="316"/>
      <c r="O29" s="315"/>
      <c r="P29" s="315"/>
      <c r="Q29" s="316"/>
      <c r="R29" s="315"/>
      <c r="S29" s="315"/>
      <c r="T29" s="318"/>
      <c r="U29" s="315"/>
      <c r="V29" s="315"/>
      <c r="W29" s="443"/>
      <c r="X29" s="315"/>
      <c r="Y29" s="315"/>
      <c r="Z29" s="314">
        <f t="shared" si="1"/>
        <v>0</v>
      </c>
      <c r="AA29" s="444">
        <f t="shared" si="2"/>
        <v>0</v>
      </c>
    </row>
    <row r="30" spans="1:27" s="299" customFormat="1">
      <c r="A30" s="305">
        <v>22</v>
      </c>
      <c r="B30" s="301"/>
      <c r="C30" s="306"/>
      <c r="D30" s="306"/>
      <c r="E30" s="304"/>
      <c r="F30" s="304"/>
      <c r="G30" s="317">
        <f t="shared" si="0"/>
        <v>0</v>
      </c>
      <c r="H30" s="315"/>
      <c r="I30" s="315"/>
      <c r="J30" s="315"/>
      <c r="K30" s="315"/>
      <c r="L30" s="315"/>
      <c r="M30" s="315"/>
      <c r="N30" s="316"/>
      <c r="O30" s="315"/>
      <c r="P30" s="315"/>
      <c r="Q30" s="316"/>
      <c r="R30" s="315"/>
      <c r="S30" s="315"/>
      <c r="T30" s="318"/>
      <c r="U30" s="315"/>
      <c r="V30" s="315"/>
      <c r="W30" s="443"/>
      <c r="X30" s="315"/>
      <c r="Y30" s="315"/>
      <c r="Z30" s="314">
        <f t="shared" si="1"/>
        <v>0</v>
      </c>
      <c r="AA30" s="444">
        <f t="shared" si="2"/>
        <v>0</v>
      </c>
    </row>
    <row r="31" spans="1:27" s="299" customFormat="1">
      <c r="A31" s="305">
        <v>23</v>
      </c>
      <c r="B31" s="301"/>
      <c r="C31" s="306"/>
      <c r="D31" s="306"/>
      <c r="E31" s="304"/>
      <c r="F31" s="304"/>
      <c r="G31" s="317">
        <f t="shared" si="0"/>
        <v>0</v>
      </c>
      <c r="H31" s="315"/>
      <c r="I31" s="315"/>
      <c r="J31" s="315"/>
      <c r="K31" s="315"/>
      <c r="L31" s="315"/>
      <c r="M31" s="315"/>
      <c r="N31" s="316"/>
      <c r="O31" s="315"/>
      <c r="P31" s="315"/>
      <c r="Q31" s="316"/>
      <c r="R31" s="315"/>
      <c r="S31" s="315"/>
      <c r="T31" s="318"/>
      <c r="U31" s="315"/>
      <c r="V31" s="315"/>
      <c r="W31" s="443"/>
      <c r="X31" s="315"/>
      <c r="Y31" s="315"/>
      <c r="Z31" s="314">
        <f t="shared" si="1"/>
        <v>0</v>
      </c>
      <c r="AA31" s="444">
        <f t="shared" si="2"/>
        <v>0</v>
      </c>
    </row>
    <row r="32" spans="1:27" s="299" customFormat="1">
      <c r="A32" s="305">
        <v>24</v>
      </c>
      <c r="B32" s="301"/>
      <c r="C32" s="306"/>
      <c r="D32" s="306"/>
      <c r="E32" s="304"/>
      <c r="F32" s="304"/>
      <c r="G32" s="317">
        <f t="shared" si="0"/>
        <v>0</v>
      </c>
      <c r="H32" s="315"/>
      <c r="I32" s="315"/>
      <c r="J32" s="315"/>
      <c r="K32" s="315"/>
      <c r="L32" s="315"/>
      <c r="M32" s="315"/>
      <c r="N32" s="316"/>
      <c r="O32" s="315"/>
      <c r="P32" s="315"/>
      <c r="Q32" s="316"/>
      <c r="R32" s="315"/>
      <c r="S32" s="315"/>
      <c r="T32" s="318"/>
      <c r="U32" s="315"/>
      <c r="V32" s="315"/>
      <c r="W32" s="443"/>
      <c r="X32" s="315"/>
      <c r="Y32" s="315"/>
      <c r="Z32" s="314">
        <f t="shared" si="1"/>
        <v>0</v>
      </c>
      <c r="AA32" s="444">
        <f t="shared" si="2"/>
        <v>0</v>
      </c>
    </row>
    <row r="33" spans="1:27" s="299" customFormat="1">
      <c r="A33" s="305">
        <v>25</v>
      </c>
      <c r="B33" s="301"/>
      <c r="C33" s="306"/>
      <c r="D33" s="306"/>
      <c r="E33" s="306"/>
      <c r="F33" s="304"/>
      <c r="G33" s="317">
        <f t="shared" si="0"/>
        <v>0</v>
      </c>
      <c r="H33" s="315"/>
      <c r="I33" s="315"/>
      <c r="J33" s="315"/>
      <c r="K33" s="315"/>
      <c r="L33" s="315"/>
      <c r="M33" s="315"/>
      <c r="N33" s="316"/>
      <c r="O33" s="315"/>
      <c r="P33" s="315"/>
      <c r="Q33" s="316"/>
      <c r="R33" s="315"/>
      <c r="S33" s="315"/>
      <c r="T33" s="318"/>
      <c r="U33" s="315"/>
      <c r="V33" s="315"/>
      <c r="W33" s="318"/>
      <c r="X33" s="315"/>
      <c r="Y33" s="315"/>
      <c r="Z33" s="314">
        <f t="shared" si="1"/>
        <v>0</v>
      </c>
      <c r="AA33" s="444">
        <f t="shared" si="2"/>
        <v>0</v>
      </c>
    </row>
    <row r="34" spans="1:27" s="299" customFormat="1">
      <c r="A34" s="305">
        <v>26</v>
      </c>
      <c r="B34" s="301"/>
      <c r="C34" s="306"/>
      <c r="D34" s="306"/>
      <c r="E34" s="304"/>
      <c r="F34" s="304"/>
      <c r="G34" s="317">
        <f t="shared" ref="G34:G58" si="3">+H34+I34+J34+K34+M34+O34+Q34+S34</f>
        <v>0</v>
      </c>
      <c r="H34" s="315"/>
      <c r="I34" s="315"/>
      <c r="J34" s="315"/>
      <c r="K34" s="315"/>
      <c r="L34" s="315"/>
      <c r="M34" s="315"/>
      <c r="N34" s="316"/>
      <c r="O34" s="315"/>
      <c r="P34" s="315"/>
      <c r="Q34" s="315"/>
      <c r="R34" s="315"/>
      <c r="S34" s="315"/>
      <c r="T34" s="318"/>
      <c r="U34" s="315"/>
      <c r="V34" s="315"/>
      <c r="W34" s="443"/>
      <c r="X34" s="315"/>
      <c r="Y34" s="315"/>
      <c r="Z34" s="314">
        <f t="shared" ref="Z34:Z58" si="4">+G34-V34-X34</f>
        <v>0</v>
      </c>
      <c r="AA34" s="444">
        <f t="shared" si="2"/>
        <v>0</v>
      </c>
    </row>
    <row r="35" spans="1:27" s="299" customFormat="1">
      <c r="A35" s="305">
        <v>27</v>
      </c>
      <c r="B35" s="301"/>
      <c r="C35" s="306"/>
      <c r="D35" s="306"/>
      <c r="E35" s="304"/>
      <c r="F35" s="304"/>
      <c r="G35" s="317">
        <f t="shared" si="3"/>
        <v>0</v>
      </c>
      <c r="H35" s="315"/>
      <c r="I35" s="315"/>
      <c r="J35" s="315"/>
      <c r="K35" s="315"/>
      <c r="L35" s="315"/>
      <c r="M35" s="315"/>
      <c r="N35" s="316"/>
      <c r="O35" s="315"/>
      <c r="P35" s="315"/>
      <c r="Q35" s="315"/>
      <c r="R35" s="315"/>
      <c r="S35" s="315"/>
      <c r="T35" s="318"/>
      <c r="U35" s="315"/>
      <c r="V35" s="315"/>
      <c r="W35" s="443"/>
      <c r="X35" s="315"/>
      <c r="Y35" s="315"/>
      <c r="Z35" s="314">
        <f t="shared" si="4"/>
        <v>0</v>
      </c>
      <c r="AA35" s="444">
        <f t="shared" si="2"/>
        <v>0</v>
      </c>
    </row>
    <row r="36" spans="1:27" s="299" customFormat="1">
      <c r="A36" s="305">
        <v>28</v>
      </c>
      <c r="B36" s="301"/>
      <c r="C36" s="306"/>
      <c r="D36" s="306"/>
      <c r="E36" s="304"/>
      <c r="F36" s="304"/>
      <c r="G36" s="317">
        <f t="shared" si="3"/>
        <v>0</v>
      </c>
      <c r="H36" s="315"/>
      <c r="I36" s="315"/>
      <c r="J36" s="315"/>
      <c r="K36" s="315"/>
      <c r="L36" s="315"/>
      <c r="M36" s="315"/>
      <c r="N36" s="316"/>
      <c r="O36" s="315"/>
      <c r="P36" s="315"/>
      <c r="Q36" s="315"/>
      <c r="R36" s="315"/>
      <c r="S36" s="315"/>
      <c r="T36" s="318"/>
      <c r="U36" s="315"/>
      <c r="V36" s="315"/>
      <c r="W36" s="443"/>
      <c r="X36" s="315"/>
      <c r="Y36" s="315"/>
      <c r="Z36" s="314">
        <f t="shared" si="4"/>
        <v>0</v>
      </c>
      <c r="AA36" s="444">
        <f t="shared" si="2"/>
        <v>0</v>
      </c>
    </row>
    <row r="37" spans="1:27" s="299" customFormat="1">
      <c r="A37" s="305">
        <v>29</v>
      </c>
      <c r="B37" s="301"/>
      <c r="C37" s="306"/>
      <c r="D37" s="306"/>
      <c r="E37" s="304"/>
      <c r="F37" s="304"/>
      <c r="G37" s="317">
        <f t="shared" si="3"/>
        <v>0</v>
      </c>
      <c r="H37" s="315"/>
      <c r="I37" s="315"/>
      <c r="J37" s="315"/>
      <c r="K37" s="315"/>
      <c r="L37" s="315"/>
      <c r="M37" s="315"/>
      <c r="N37" s="316"/>
      <c r="O37" s="315"/>
      <c r="P37" s="315"/>
      <c r="Q37" s="315"/>
      <c r="R37" s="315"/>
      <c r="S37" s="315"/>
      <c r="T37" s="318"/>
      <c r="U37" s="315"/>
      <c r="V37" s="315"/>
      <c r="W37" s="443"/>
      <c r="X37" s="315"/>
      <c r="Y37" s="315"/>
      <c r="Z37" s="314">
        <f t="shared" si="4"/>
        <v>0</v>
      </c>
      <c r="AA37" s="444">
        <f t="shared" si="2"/>
        <v>0</v>
      </c>
    </row>
    <row r="38" spans="1:27" s="299" customFormat="1">
      <c r="A38" s="305">
        <v>30</v>
      </c>
      <c r="B38" s="301"/>
      <c r="C38" s="306"/>
      <c r="D38" s="306"/>
      <c r="E38" s="304"/>
      <c r="F38" s="304"/>
      <c r="G38" s="317">
        <f t="shared" si="3"/>
        <v>0</v>
      </c>
      <c r="H38" s="315"/>
      <c r="I38" s="315"/>
      <c r="J38" s="315"/>
      <c r="K38" s="315"/>
      <c r="L38" s="315"/>
      <c r="M38" s="315"/>
      <c r="N38" s="316"/>
      <c r="O38" s="315"/>
      <c r="P38" s="315"/>
      <c r="Q38" s="315"/>
      <c r="R38" s="315"/>
      <c r="S38" s="315"/>
      <c r="T38" s="318"/>
      <c r="U38" s="315"/>
      <c r="V38" s="315"/>
      <c r="W38" s="443"/>
      <c r="X38" s="315"/>
      <c r="Y38" s="315"/>
      <c r="Z38" s="314">
        <f t="shared" si="4"/>
        <v>0</v>
      </c>
      <c r="AA38" s="444">
        <f t="shared" si="2"/>
        <v>0</v>
      </c>
    </row>
    <row r="39" spans="1:27" s="299" customFormat="1">
      <c r="A39" s="305">
        <v>31</v>
      </c>
      <c r="B39" s="301"/>
      <c r="C39" s="306"/>
      <c r="D39" s="306"/>
      <c r="E39" s="304"/>
      <c r="F39" s="304"/>
      <c r="G39" s="317">
        <f t="shared" si="3"/>
        <v>0</v>
      </c>
      <c r="H39" s="315"/>
      <c r="I39" s="315"/>
      <c r="J39" s="315"/>
      <c r="K39" s="315"/>
      <c r="L39" s="315"/>
      <c r="M39" s="315"/>
      <c r="N39" s="316"/>
      <c r="O39" s="315"/>
      <c r="P39" s="315"/>
      <c r="Q39" s="315"/>
      <c r="R39" s="315"/>
      <c r="S39" s="315"/>
      <c r="T39" s="318"/>
      <c r="U39" s="315"/>
      <c r="V39" s="315"/>
      <c r="W39" s="318"/>
      <c r="X39" s="315"/>
      <c r="Y39" s="315"/>
      <c r="Z39" s="314">
        <f t="shared" si="4"/>
        <v>0</v>
      </c>
      <c r="AA39" s="444">
        <f t="shared" si="2"/>
        <v>0</v>
      </c>
    </row>
    <row r="40" spans="1:27" s="299" customFormat="1">
      <c r="A40" s="305">
        <v>32</v>
      </c>
      <c r="B40" s="301"/>
      <c r="C40" s="306"/>
      <c r="D40" s="306"/>
      <c r="E40" s="304"/>
      <c r="F40" s="304"/>
      <c r="G40" s="317">
        <f t="shared" si="3"/>
        <v>0</v>
      </c>
      <c r="H40" s="315"/>
      <c r="I40" s="315"/>
      <c r="J40" s="315"/>
      <c r="K40" s="315"/>
      <c r="L40" s="315"/>
      <c r="M40" s="315"/>
      <c r="N40" s="316"/>
      <c r="O40" s="315"/>
      <c r="P40" s="315"/>
      <c r="Q40" s="315"/>
      <c r="R40" s="315"/>
      <c r="S40" s="315"/>
      <c r="T40" s="318"/>
      <c r="U40" s="315"/>
      <c r="V40" s="315"/>
      <c r="W40" s="318"/>
      <c r="X40" s="315"/>
      <c r="Y40" s="315"/>
      <c r="Z40" s="314">
        <f t="shared" si="4"/>
        <v>0</v>
      </c>
      <c r="AA40" s="444">
        <f t="shared" si="2"/>
        <v>0</v>
      </c>
    </row>
    <row r="41" spans="1:27" s="299" customFormat="1">
      <c r="A41" s="305">
        <v>33</v>
      </c>
      <c r="B41" s="301"/>
      <c r="C41" s="306"/>
      <c r="D41" s="306"/>
      <c r="E41" s="304"/>
      <c r="F41" s="304"/>
      <c r="G41" s="317">
        <f t="shared" si="3"/>
        <v>0</v>
      </c>
      <c r="H41" s="315"/>
      <c r="I41" s="315"/>
      <c r="J41" s="315"/>
      <c r="K41" s="315"/>
      <c r="L41" s="315"/>
      <c r="M41" s="315"/>
      <c r="N41" s="316"/>
      <c r="O41" s="315"/>
      <c r="P41" s="315"/>
      <c r="Q41" s="316"/>
      <c r="R41" s="315"/>
      <c r="S41" s="315"/>
      <c r="T41" s="318"/>
      <c r="U41" s="315"/>
      <c r="V41" s="315"/>
      <c r="W41" s="318"/>
      <c r="X41" s="315"/>
      <c r="Y41" s="315"/>
      <c r="Z41" s="314">
        <f t="shared" si="4"/>
        <v>0</v>
      </c>
      <c r="AA41" s="444">
        <f t="shared" ref="AA41:AA72" si="5">SUMIF($F$9:$F$88,$F41,$Z$9:$Z$88)</f>
        <v>0</v>
      </c>
    </row>
    <row r="42" spans="1:27" s="299" customFormat="1">
      <c r="A42" s="305">
        <v>34</v>
      </c>
      <c r="B42" s="301"/>
      <c r="C42" s="306"/>
      <c r="D42" s="306"/>
      <c r="E42" s="304"/>
      <c r="F42" s="304"/>
      <c r="G42" s="317">
        <f t="shared" si="3"/>
        <v>0</v>
      </c>
      <c r="H42" s="315"/>
      <c r="I42" s="315"/>
      <c r="J42" s="315"/>
      <c r="K42" s="315"/>
      <c r="L42" s="315"/>
      <c r="M42" s="315"/>
      <c r="N42" s="316"/>
      <c r="O42" s="315"/>
      <c r="P42" s="315"/>
      <c r="Q42" s="316"/>
      <c r="R42" s="315"/>
      <c r="S42" s="315"/>
      <c r="T42" s="318"/>
      <c r="U42" s="315"/>
      <c r="V42" s="315"/>
      <c r="W42" s="318"/>
      <c r="X42" s="315"/>
      <c r="Y42" s="315"/>
      <c r="Z42" s="314">
        <f t="shared" si="4"/>
        <v>0</v>
      </c>
      <c r="AA42" s="444">
        <f t="shared" si="5"/>
        <v>0</v>
      </c>
    </row>
    <row r="43" spans="1:27" s="299" customFormat="1">
      <c r="A43" s="305">
        <v>35</v>
      </c>
      <c r="B43" s="301"/>
      <c r="C43" s="306"/>
      <c r="D43" s="306"/>
      <c r="E43" s="304"/>
      <c r="F43" s="304"/>
      <c r="G43" s="317">
        <f t="shared" si="3"/>
        <v>0</v>
      </c>
      <c r="H43" s="315"/>
      <c r="I43" s="315"/>
      <c r="J43" s="315"/>
      <c r="K43" s="315"/>
      <c r="L43" s="315"/>
      <c r="M43" s="315"/>
      <c r="N43" s="316"/>
      <c r="O43" s="315"/>
      <c r="P43" s="315"/>
      <c r="Q43" s="316"/>
      <c r="R43" s="315"/>
      <c r="S43" s="315"/>
      <c r="T43" s="318"/>
      <c r="U43" s="315"/>
      <c r="V43" s="315"/>
      <c r="W43" s="318"/>
      <c r="X43" s="315"/>
      <c r="Y43" s="315"/>
      <c r="Z43" s="314">
        <f t="shared" si="4"/>
        <v>0</v>
      </c>
      <c r="AA43" s="444">
        <f t="shared" si="5"/>
        <v>0</v>
      </c>
    </row>
    <row r="44" spans="1:27" s="299" customFormat="1">
      <c r="A44" s="305">
        <v>36</v>
      </c>
      <c r="B44" s="301"/>
      <c r="C44" s="306"/>
      <c r="D44" s="306"/>
      <c r="E44" s="304"/>
      <c r="F44" s="304"/>
      <c r="G44" s="317">
        <f t="shared" si="3"/>
        <v>0</v>
      </c>
      <c r="H44" s="315"/>
      <c r="I44" s="315"/>
      <c r="J44" s="315"/>
      <c r="K44" s="315"/>
      <c r="L44" s="315"/>
      <c r="M44" s="315"/>
      <c r="N44" s="316"/>
      <c r="O44" s="315"/>
      <c r="P44" s="315"/>
      <c r="Q44" s="316"/>
      <c r="R44" s="315"/>
      <c r="S44" s="315"/>
      <c r="T44" s="318"/>
      <c r="U44" s="315"/>
      <c r="V44" s="315"/>
      <c r="W44" s="318"/>
      <c r="X44" s="315"/>
      <c r="Y44" s="315"/>
      <c r="Z44" s="314">
        <f t="shared" si="4"/>
        <v>0</v>
      </c>
      <c r="AA44" s="444">
        <f t="shared" si="5"/>
        <v>0</v>
      </c>
    </row>
    <row r="45" spans="1:27" s="299" customFormat="1">
      <c r="A45" s="305">
        <v>37</v>
      </c>
      <c r="B45" s="301"/>
      <c r="C45" s="306"/>
      <c r="D45" s="306"/>
      <c r="E45" s="304"/>
      <c r="F45" s="304"/>
      <c r="G45" s="317">
        <f t="shared" si="3"/>
        <v>0</v>
      </c>
      <c r="H45" s="315"/>
      <c r="I45" s="315"/>
      <c r="J45" s="315"/>
      <c r="K45" s="315"/>
      <c r="L45" s="315"/>
      <c r="M45" s="315"/>
      <c r="N45" s="316"/>
      <c r="O45" s="315"/>
      <c r="P45" s="315"/>
      <c r="Q45" s="316"/>
      <c r="R45" s="315"/>
      <c r="S45" s="315"/>
      <c r="T45" s="318"/>
      <c r="U45" s="315"/>
      <c r="V45" s="315"/>
      <c r="W45" s="318"/>
      <c r="X45" s="315"/>
      <c r="Y45" s="315"/>
      <c r="Z45" s="314">
        <f t="shared" si="4"/>
        <v>0</v>
      </c>
      <c r="AA45" s="444">
        <f t="shared" si="5"/>
        <v>0</v>
      </c>
    </row>
    <row r="46" spans="1:27" s="299" customFormat="1">
      <c r="A46" s="305">
        <v>38</v>
      </c>
      <c r="B46" s="301"/>
      <c r="C46" s="306"/>
      <c r="D46" s="306"/>
      <c r="E46" s="304"/>
      <c r="F46" s="304"/>
      <c r="G46" s="317">
        <f t="shared" si="3"/>
        <v>0</v>
      </c>
      <c r="H46" s="315"/>
      <c r="I46" s="315"/>
      <c r="J46" s="315"/>
      <c r="K46" s="315"/>
      <c r="L46" s="315"/>
      <c r="M46" s="315"/>
      <c r="N46" s="316"/>
      <c r="O46" s="315"/>
      <c r="P46" s="315"/>
      <c r="Q46" s="316"/>
      <c r="R46" s="315"/>
      <c r="S46" s="315"/>
      <c r="T46" s="318"/>
      <c r="U46" s="315"/>
      <c r="V46" s="315"/>
      <c r="W46" s="318"/>
      <c r="X46" s="315"/>
      <c r="Y46" s="315"/>
      <c r="Z46" s="314">
        <f t="shared" si="4"/>
        <v>0</v>
      </c>
      <c r="AA46" s="444">
        <f t="shared" si="5"/>
        <v>0</v>
      </c>
    </row>
    <row r="47" spans="1:27" s="299" customFormat="1">
      <c r="A47" s="305">
        <v>39</v>
      </c>
      <c r="B47" s="301"/>
      <c r="C47" s="301"/>
      <c r="D47" s="306"/>
      <c r="E47" s="306"/>
      <c r="F47" s="304"/>
      <c r="G47" s="317">
        <f t="shared" si="3"/>
        <v>0</v>
      </c>
      <c r="H47" s="315"/>
      <c r="I47" s="315"/>
      <c r="J47" s="315"/>
      <c r="K47" s="315"/>
      <c r="L47" s="315"/>
      <c r="M47" s="315"/>
      <c r="N47" s="316"/>
      <c r="O47" s="315"/>
      <c r="P47" s="315"/>
      <c r="Q47" s="316"/>
      <c r="R47" s="315"/>
      <c r="S47" s="315"/>
      <c r="T47" s="318"/>
      <c r="U47" s="315"/>
      <c r="V47" s="315"/>
      <c r="W47" s="318"/>
      <c r="X47" s="315"/>
      <c r="Y47" s="315"/>
      <c r="Z47" s="314">
        <f t="shared" si="4"/>
        <v>0</v>
      </c>
      <c r="AA47" s="444">
        <f t="shared" si="5"/>
        <v>0</v>
      </c>
    </row>
    <row r="48" spans="1:27" s="299" customFormat="1">
      <c r="A48" s="305">
        <v>40</v>
      </c>
      <c r="B48" s="301"/>
      <c r="C48" s="301"/>
      <c r="D48" s="301"/>
      <c r="E48" s="304"/>
      <c r="F48" s="304"/>
      <c r="G48" s="317">
        <f t="shared" si="3"/>
        <v>0</v>
      </c>
      <c r="H48" s="315"/>
      <c r="I48" s="315"/>
      <c r="J48" s="315"/>
      <c r="K48" s="315"/>
      <c r="L48" s="315"/>
      <c r="M48" s="315"/>
      <c r="N48" s="316"/>
      <c r="O48" s="315"/>
      <c r="P48" s="315"/>
      <c r="Q48" s="316"/>
      <c r="R48" s="315"/>
      <c r="S48" s="315"/>
      <c r="T48" s="318"/>
      <c r="U48" s="315"/>
      <c r="V48" s="315"/>
      <c r="W48" s="318"/>
      <c r="X48" s="315"/>
      <c r="Y48" s="315"/>
      <c r="Z48" s="314">
        <f t="shared" si="4"/>
        <v>0</v>
      </c>
      <c r="AA48" s="444">
        <f t="shared" si="5"/>
        <v>0</v>
      </c>
    </row>
    <row r="49" spans="1:27" s="299" customFormat="1">
      <c r="A49" s="305">
        <v>41</v>
      </c>
      <c r="B49" s="301"/>
      <c r="C49" s="301"/>
      <c r="D49" s="301"/>
      <c r="E49" s="304"/>
      <c r="F49" s="304"/>
      <c r="G49" s="317">
        <f t="shared" si="3"/>
        <v>0</v>
      </c>
      <c r="H49" s="315"/>
      <c r="I49" s="315"/>
      <c r="J49" s="315"/>
      <c r="K49" s="315"/>
      <c r="L49" s="315"/>
      <c r="M49" s="315"/>
      <c r="N49" s="316"/>
      <c r="O49" s="316"/>
      <c r="P49" s="316"/>
      <c r="Q49" s="316"/>
      <c r="R49" s="315"/>
      <c r="S49" s="315"/>
      <c r="T49" s="318"/>
      <c r="U49" s="315"/>
      <c r="V49" s="315"/>
      <c r="W49" s="318"/>
      <c r="X49" s="315"/>
      <c r="Y49" s="315"/>
      <c r="Z49" s="314">
        <f t="shared" si="4"/>
        <v>0</v>
      </c>
      <c r="AA49" s="444">
        <f t="shared" si="5"/>
        <v>0</v>
      </c>
    </row>
    <row r="50" spans="1:27" s="299" customFormat="1">
      <c r="A50" s="305">
        <v>42</v>
      </c>
      <c r="B50" s="301"/>
      <c r="C50" s="301"/>
      <c r="D50" s="301"/>
      <c r="E50" s="304"/>
      <c r="F50" s="304"/>
      <c r="G50" s="317">
        <f t="shared" si="3"/>
        <v>0</v>
      </c>
      <c r="H50" s="315"/>
      <c r="I50" s="315"/>
      <c r="J50" s="315"/>
      <c r="K50" s="315"/>
      <c r="L50" s="315"/>
      <c r="M50" s="315"/>
      <c r="N50" s="316"/>
      <c r="O50" s="316"/>
      <c r="P50" s="316"/>
      <c r="Q50" s="316"/>
      <c r="R50" s="315"/>
      <c r="S50" s="315"/>
      <c r="T50" s="318"/>
      <c r="U50" s="315"/>
      <c r="V50" s="315"/>
      <c r="W50" s="318"/>
      <c r="X50" s="315"/>
      <c r="Y50" s="315"/>
      <c r="Z50" s="314">
        <f t="shared" si="4"/>
        <v>0</v>
      </c>
      <c r="AA50" s="444">
        <f t="shared" si="5"/>
        <v>0</v>
      </c>
    </row>
    <row r="51" spans="1:27" s="299" customFormat="1">
      <c r="A51" s="305">
        <v>43</v>
      </c>
      <c r="B51" s="301"/>
      <c r="C51" s="301"/>
      <c r="D51" s="301"/>
      <c r="E51" s="304"/>
      <c r="F51" s="304"/>
      <c r="G51" s="317">
        <f t="shared" si="3"/>
        <v>0</v>
      </c>
      <c r="H51" s="315"/>
      <c r="I51" s="315"/>
      <c r="J51" s="315"/>
      <c r="K51" s="315"/>
      <c r="L51" s="315"/>
      <c r="M51" s="315"/>
      <c r="N51" s="316"/>
      <c r="O51" s="316"/>
      <c r="P51" s="316"/>
      <c r="Q51" s="316"/>
      <c r="R51" s="315"/>
      <c r="S51" s="315"/>
      <c r="T51" s="318"/>
      <c r="U51" s="315"/>
      <c r="V51" s="315"/>
      <c r="W51" s="315"/>
      <c r="X51" s="315"/>
      <c r="Y51" s="315"/>
      <c r="Z51" s="314">
        <f t="shared" si="4"/>
        <v>0</v>
      </c>
      <c r="AA51" s="444">
        <f t="shared" si="5"/>
        <v>0</v>
      </c>
    </row>
    <row r="52" spans="1:27" s="299" customFormat="1">
      <c r="A52" s="305">
        <v>44</v>
      </c>
      <c r="B52" s="301"/>
      <c r="C52" s="301"/>
      <c r="D52" s="301"/>
      <c r="E52" s="304"/>
      <c r="F52" s="304"/>
      <c r="G52" s="317">
        <f t="shared" si="3"/>
        <v>0</v>
      </c>
      <c r="H52" s="315"/>
      <c r="I52" s="315"/>
      <c r="J52" s="315"/>
      <c r="K52" s="315"/>
      <c r="L52" s="315"/>
      <c r="M52" s="315"/>
      <c r="N52" s="316"/>
      <c r="O52" s="316"/>
      <c r="P52" s="315"/>
      <c r="Q52" s="316"/>
      <c r="R52" s="315"/>
      <c r="S52" s="315"/>
      <c r="T52" s="318"/>
      <c r="U52" s="315"/>
      <c r="V52" s="315"/>
      <c r="W52" s="315"/>
      <c r="X52" s="315"/>
      <c r="Y52" s="315"/>
      <c r="Z52" s="314">
        <f t="shared" si="4"/>
        <v>0</v>
      </c>
      <c r="AA52" s="444">
        <f t="shared" si="5"/>
        <v>0</v>
      </c>
    </row>
    <row r="53" spans="1:27" s="299" customFormat="1">
      <c r="A53" s="305">
        <v>45</v>
      </c>
      <c r="B53" s="301"/>
      <c r="C53" s="301"/>
      <c r="D53" s="301"/>
      <c r="E53" s="304"/>
      <c r="F53" s="304"/>
      <c r="G53" s="317">
        <f t="shared" si="3"/>
        <v>0</v>
      </c>
      <c r="H53" s="315"/>
      <c r="I53" s="315"/>
      <c r="J53" s="315"/>
      <c r="K53" s="315"/>
      <c r="L53" s="315"/>
      <c r="M53" s="315"/>
      <c r="N53" s="316"/>
      <c r="O53" s="316"/>
      <c r="P53" s="315"/>
      <c r="Q53" s="316"/>
      <c r="R53" s="315"/>
      <c r="S53" s="315"/>
      <c r="T53" s="318"/>
      <c r="U53" s="315"/>
      <c r="V53" s="315"/>
      <c r="W53" s="315"/>
      <c r="X53" s="315"/>
      <c r="Y53" s="315"/>
      <c r="Z53" s="314">
        <f t="shared" si="4"/>
        <v>0</v>
      </c>
      <c r="AA53" s="444">
        <f t="shared" si="5"/>
        <v>0</v>
      </c>
    </row>
    <row r="54" spans="1:27" s="299" customFormat="1">
      <c r="A54" s="305">
        <v>46</v>
      </c>
      <c r="B54" s="301"/>
      <c r="C54" s="301"/>
      <c r="D54" s="301"/>
      <c r="E54" s="304"/>
      <c r="F54" s="304"/>
      <c r="G54" s="317">
        <f t="shared" si="3"/>
        <v>0</v>
      </c>
      <c r="H54" s="315"/>
      <c r="I54" s="315"/>
      <c r="J54" s="315"/>
      <c r="K54" s="315"/>
      <c r="L54" s="315"/>
      <c r="M54" s="315"/>
      <c r="N54" s="316"/>
      <c r="O54" s="316"/>
      <c r="P54" s="315"/>
      <c r="Q54" s="316"/>
      <c r="R54" s="315"/>
      <c r="S54" s="315"/>
      <c r="T54" s="318"/>
      <c r="U54" s="315"/>
      <c r="V54" s="315"/>
      <c r="W54" s="315"/>
      <c r="X54" s="315"/>
      <c r="Y54" s="315"/>
      <c r="Z54" s="314">
        <f t="shared" si="4"/>
        <v>0</v>
      </c>
      <c r="AA54" s="444">
        <f t="shared" si="5"/>
        <v>0</v>
      </c>
    </row>
    <row r="55" spans="1:27" s="299" customFormat="1">
      <c r="A55" s="305">
        <v>47</v>
      </c>
      <c r="B55" s="301"/>
      <c r="C55" s="301"/>
      <c r="D55" s="301"/>
      <c r="E55" s="304"/>
      <c r="F55" s="304"/>
      <c r="G55" s="317">
        <f t="shared" si="3"/>
        <v>0</v>
      </c>
      <c r="H55" s="315"/>
      <c r="I55" s="315"/>
      <c r="J55" s="315"/>
      <c r="K55" s="315"/>
      <c r="L55" s="315"/>
      <c r="M55" s="315"/>
      <c r="N55" s="316"/>
      <c r="O55" s="316"/>
      <c r="P55" s="18"/>
      <c r="Q55" s="316"/>
      <c r="R55" s="315"/>
      <c r="S55" s="315"/>
      <c r="T55" s="318"/>
      <c r="U55" s="315"/>
      <c r="V55" s="315"/>
      <c r="W55" s="315"/>
      <c r="X55" s="315"/>
      <c r="Y55" s="315"/>
      <c r="Z55" s="314">
        <f t="shared" si="4"/>
        <v>0</v>
      </c>
      <c r="AA55" s="444">
        <f t="shared" si="5"/>
        <v>0</v>
      </c>
    </row>
    <row r="56" spans="1:27" s="299" customFormat="1">
      <c r="A56" s="305">
        <v>48</v>
      </c>
      <c r="B56" s="301"/>
      <c r="C56" s="301"/>
      <c r="D56" s="301"/>
      <c r="E56" s="304"/>
      <c r="F56" s="304"/>
      <c r="G56" s="317">
        <f t="shared" si="3"/>
        <v>0</v>
      </c>
      <c r="H56" s="315"/>
      <c r="I56" s="315"/>
      <c r="J56" s="315"/>
      <c r="K56" s="315"/>
      <c r="L56" s="315"/>
      <c r="M56" s="315"/>
      <c r="N56" s="316"/>
      <c r="O56" s="316"/>
      <c r="P56" s="316"/>
      <c r="Q56" s="316"/>
      <c r="R56" s="315"/>
      <c r="S56" s="315"/>
      <c r="T56" s="318"/>
      <c r="U56" s="315"/>
      <c r="V56" s="315"/>
      <c r="W56" s="315"/>
      <c r="X56" s="315"/>
      <c r="Y56" s="315"/>
      <c r="Z56" s="314">
        <f t="shared" si="4"/>
        <v>0</v>
      </c>
      <c r="AA56" s="444">
        <f t="shared" si="5"/>
        <v>0</v>
      </c>
    </row>
    <row r="57" spans="1:27" s="299" customFormat="1">
      <c r="A57" s="305">
        <v>49</v>
      </c>
      <c r="B57" s="301"/>
      <c r="C57" s="301"/>
      <c r="D57" s="301"/>
      <c r="E57" s="304"/>
      <c r="F57" s="304"/>
      <c r="G57" s="317">
        <f t="shared" si="3"/>
        <v>0</v>
      </c>
      <c r="H57" s="315"/>
      <c r="I57" s="315"/>
      <c r="J57" s="315"/>
      <c r="K57" s="315"/>
      <c r="L57" s="315"/>
      <c r="M57" s="315"/>
      <c r="N57" s="316"/>
      <c r="O57" s="316"/>
      <c r="P57" s="316"/>
      <c r="Q57" s="316"/>
      <c r="R57" s="315"/>
      <c r="S57" s="315"/>
      <c r="T57" s="318"/>
      <c r="U57" s="315"/>
      <c r="V57" s="315"/>
      <c r="W57" s="315"/>
      <c r="X57" s="315"/>
      <c r="Y57" s="315"/>
      <c r="Z57" s="314">
        <f t="shared" si="4"/>
        <v>0</v>
      </c>
      <c r="AA57" s="444">
        <f t="shared" si="5"/>
        <v>0</v>
      </c>
    </row>
    <row r="58" spans="1:27" s="299" customFormat="1">
      <c r="A58" s="305">
        <v>50</v>
      </c>
      <c r="B58" s="301"/>
      <c r="C58" s="301"/>
      <c r="D58" s="301"/>
      <c r="E58" s="304"/>
      <c r="F58" s="304"/>
      <c r="G58" s="317">
        <f t="shared" si="3"/>
        <v>0</v>
      </c>
      <c r="H58" s="315"/>
      <c r="I58" s="315"/>
      <c r="J58" s="315"/>
      <c r="K58" s="315"/>
      <c r="L58" s="315"/>
      <c r="M58" s="315"/>
      <c r="N58" s="316"/>
      <c r="O58" s="316"/>
      <c r="P58" s="316"/>
      <c r="Q58" s="316"/>
      <c r="R58" s="315"/>
      <c r="S58" s="315"/>
      <c r="T58" s="315"/>
      <c r="U58" s="315"/>
      <c r="V58" s="315"/>
      <c r="W58" s="315"/>
      <c r="X58" s="315"/>
      <c r="Y58" s="315"/>
      <c r="Z58" s="314">
        <f t="shared" si="4"/>
        <v>0</v>
      </c>
      <c r="AA58" s="444">
        <f t="shared" si="5"/>
        <v>0</v>
      </c>
    </row>
    <row r="59" spans="1:27" s="299" customFormat="1">
      <c r="A59" s="305">
        <v>51</v>
      </c>
      <c r="B59" s="301"/>
      <c r="C59" s="306"/>
      <c r="D59" s="306"/>
      <c r="E59" s="304"/>
      <c r="F59" s="304"/>
      <c r="G59" s="317">
        <f t="shared" si="0"/>
        <v>0</v>
      </c>
      <c r="H59" s="315"/>
      <c r="I59" s="315"/>
      <c r="J59" s="315"/>
      <c r="K59" s="315"/>
      <c r="L59" s="315"/>
      <c r="M59" s="315"/>
      <c r="N59" s="316"/>
      <c r="O59" s="315"/>
      <c r="P59" s="315"/>
      <c r="Q59" s="315"/>
      <c r="R59" s="315"/>
      <c r="S59" s="315"/>
      <c r="T59" s="318"/>
      <c r="U59" s="315"/>
      <c r="V59" s="315"/>
      <c r="W59" s="443"/>
      <c r="X59" s="315"/>
      <c r="Y59" s="315"/>
      <c r="Z59" s="314">
        <f t="shared" si="1"/>
        <v>0</v>
      </c>
      <c r="AA59" s="444">
        <f t="shared" si="5"/>
        <v>0</v>
      </c>
    </row>
    <row r="60" spans="1:27" s="299" customFormat="1">
      <c r="A60" s="305">
        <v>52</v>
      </c>
      <c r="B60" s="301"/>
      <c r="C60" s="306"/>
      <c r="D60" s="306"/>
      <c r="E60" s="304"/>
      <c r="F60" s="304"/>
      <c r="G60" s="317">
        <f t="shared" si="0"/>
        <v>0</v>
      </c>
      <c r="H60" s="315"/>
      <c r="I60" s="315"/>
      <c r="J60" s="315"/>
      <c r="K60" s="315"/>
      <c r="L60" s="315"/>
      <c r="M60" s="315"/>
      <c r="N60" s="316"/>
      <c r="O60" s="315"/>
      <c r="P60" s="315"/>
      <c r="Q60" s="315"/>
      <c r="R60" s="315"/>
      <c r="S60" s="315"/>
      <c r="T60" s="318"/>
      <c r="U60" s="315"/>
      <c r="V60" s="315"/>
      <c r="W60" s="443"/>
      <c r="X60" s="315"/>
      <c r="Y60" s="315"/>
      <c r="Z60" s="314">
        <f t="shared" si="1"/>
        <v>0</v>
      </c>
      <c r="AA60" s="444">
        <f t="shared" si="5"/>
        <v>0</v>
      </c>
    </row>
    <row r="61" spans="1:27" s="299" customFormat="1">
      <c r="A61" s="305">
        <v>53</v>
      </c>
      <c r="B61" s="301"/>
      <c r="C61" s="306"/>
      <c r="D61" s="306"/>
      <c r="E61" s="304"/>
      <c r="F61" s="304"/>
      <c r="G61" s="317">
        <f t="shared" si="0"/>
        <v>0</v>
      </c>
      <c r="H61" s="315"/>
      <c r="I61" s="315"/>
      <c r="J61" s="315"/>
      <c r="K61" s="315"/>
      <c r="L61" s="315"/>
      <c r="M61" s="315"/>
      <c r="N61" s="316"/>
      <c r="O61" s="315"/>
      <c r="P61" s="315"/>
      <c r="Q61" s="315"/>
      <c r="R61" s="315"/>
      <c r="S61" s="315"/>
      <c r="T61" s="318"/>
      <c r="U61" s="315"/>
      <c r="V61" s="315"/>
      <c r="W61" s="443"/>
      <c r="X61" s="315"/>
      <c r="Y61" s="315"/>
      <c r="Z61" s="314">
        <f t="shared" si="1"/>
        <v>0</v>
      </c>
      <c r="AA61" s="444">
        <f t="shared" si="5"/>
        <v>0</v>
      </c>
    </row>
    <row r="62" spans="1:27" s="299" customFormat="1">
      <c r="A62" s="305">
        <v>54</v>
      </c>
      <c r="B62" s="301"/>
      <c r="C62" s="306"/>
      <c r="D62" s="306"/>
      <c r="E62" s="304"/>
      <c r="F62" s="304"/>
      <c r="G62" s="317">
        <f t="shared" si="0"/>
        <v>0</v>
      </c>
      <c r="H62" s="315"/>
      <c r="I62" s="315"/>
      <c r="J62" s="315"/>
      <c r="K62" s="315"/>
      <c r="L62" s="315"/>
      <c r="M62" s="315"/>
      <c r="N62" s="316"/>
      <c r="O62" s="315"/>
      <c r="P62" s="315"/>
      <c r="Q62" s="315"/>
      <c r="R62" s="315"/>
      <c r="S62" s="315"/>
      <c r="T62" s="318"/>
      <c r="U62" s="315"/>
      <c r="V62" s="315"/>
      <c r="W62" s="443"/>
      <c r="X62" s="315"/>
      <c r="Y62" s="315"/>
      <c r="Z62" s="314">
        <f t="shared" si="1"/>
        <v>0</v>
      </c>
      <c r="AA62" s="444">
        <f t="shared" si="5"/>
        <v>0</v>
      </c>
    </row>
    <row r="63" spans="1:27" s="299" customFormat="1">
      <c r="A63" s="305">
        <v>55</v>
      </c>
      <c r="B63" s="301"/>
      <c r="C63" s="306"/>
      <c r="D63" s="306"/>
      <c r="E63" s="304"/>
      <c r="F63" s="304"/>
      <c r="G63" s="317">
        <f t="shared" si="0"/>
        <v>0</v>
      </c>
      <c r="H63" s="315"/>
      <c r="I63" s="315"/>
      <c r="J63" s="315"/>
      <c r="K63" s="315"/>
      <c r="L63" s="315"/>
      <c r="M63" s="315"/>
      <c r="N63" s="316"/>
      <c r="O63" s="315"/>
      <c r="P63" s="315"/>
      <c r="Q63" s="315"/>
      <c r="R63" s="315"/>
      <c r="S63" s="315"/>
      <c r="T63" s="318"/>
      <c r="U63" s="315"/>
      <c r="V63" s="315"/>
      <c r="W63" s="443"/>
      <c r="X63" s="315"/>
      <c r="Y63" s="315"/>
      <c r="Z63" s="314">
        <f t="shared" si="1"/>
        <v>0</v>
      </c>
      <c r="AA63" s="444">
        <f t="shared" si="5"/>
        <v>0</v>
      </c>
    </row>
    <row r="64" spans="1:27" s="299" customFormat="1">
      <c r="A64" s="305">
        <v>56</v>
      </c>
      <c r="B64" s="301"/>
      <c r="C64" s="306"/>
      <c r="D64" s="306"/>
      <c r="E64" s="304"/>
      <c r="F64" s="304"/>
      <c r="G64" s="317">
        <f t="shared" si="0"/>
        <v>0</v>
      </c>
      <c r="H64" s="315"/>
      <c r="I64" s="315"/>
      <c r="J64" s="315"/>
      <c r="K64" s="315"/>
      <c r="L64" s="315"/>
      <c r="M64" s="315"/>
      <c r="N64" s="316"/>
      <c r="O64" s="315"/>
      <c r="P64" s="315"/>
      <c r="Q64" s="315"/>
      <c r="R64" s="315"/>
      <c r="S64" s="315"/>
      <c r="T64" s="318"/>
      <c r="U64" s="315"/>
      <c r="V64" s="315"/>
      <c r="W64" s="318"/>
      <c r="X64" s="315"/>
      <c r="Y64" s="315"/>
      <c r="Z64" s="314">
        <f t="shared" si="1"/>
        <v>0</v>
      </c>
      <c r="AA64" s="444">
        <f t="shared" si="5"/>
        <v>0</v>
      </c>
    </row>
    <row r="65" spans="1:27" s="299" customFormat="1">
      <c r="A65" s="305">
        <v>57</v>
      </c>
      <c r="B65" s="301"/>
      <c r="C65" s="306"/>
      <c r="D65" s="306"/>
      <c r="E65" s="304"/>
      <c r="F65" s="304"/>
      <c r="G65" s="317">
        <f t="shared" si="0"/>
        <v>0</v>
      </c>
      <c r="H65" s="315"/>
      <c r="I65" s="315"/>
      <c r="J65" s="315"/>
      <c r="K65" s="315"/>
      <c r="L65" s="315"/>
      <c r="M65" s="315"/>
      <c r="N65" s="316"/>
      <c r="O65" s="315"/>
      <c r="P65" s="315"/>
      <c r="Q65" s="315"/>
      <c r="R65" s="315"/>
      <c r="S65" s="315"/>
      <c r="T65" s="318"/>
      <c r="U65" s="315"/>
      <c r="V65" s="315"/>
      <c r="W65" s="318"/>
      <c r="X65" s="315"/>
      <c r="Y65" s="315"/>
      <c r="Z65" s="314">
        <f t="shared" si="1"/>
        <v>0</v>
      </c>
      <c r="AA65" s="444">
        <f t="shared" si="5"/>
        <v>0</v>
      </c>
    </row>
    <row r="66" spans="1:27" s="299" customFormat="1">
      <c r="A66" s="305">
        <v>58</v>
      </c>
      <c r="B66" s="301"/>
      <c r="C66" s="306"/>
      <c r="D66" s="306"/>
      <c r="E66" s="304"/>
      <c r="F66" s="304"/>
      <c r="G66" s="317">
        <f t="shared" ref="G66:G88" si="6">+H66+I66+J66+K66+M66+O66+Q66+S66</f>
        <v>0</v>
      </c>
      <c r="H66" s="315"/>
      <c r="I66" s="315"/>
      <c r="J66" s="315"/>
      <c r="K66" s="315"/>
      <c r="L66" s="315"/>
      <c r="M66" s="315"/>
      <c r="N66" s="316"/>
      <c r="O66" s="315"/>
      <c r="P66" s="315"/>
      <c r="Q66" s="316"/>
      <c r="R66" s="315"/>
      <c r="S66" s="315"/>
      <c r="T66" s="318"/>
      <c r="U66" s="315"/>
      <c r="V66" s="315"/>
      <c r="W66" s="318"/>
      <c r="X66" s="315"/>
      <c r="Y66" s="315"/>
      <c r="Z66" s="314">
        <f t="shared" ref="Z66:Z88" si="7">+G66-V66-X66</f>
        <v>0</v>
      </c>
      <c r="AA66" s="444">
        <f t="shared" si="5"/>
        <v>0</v>
      </c>
    </row>
    <row r="67" spans="1:27" s="299" customFormat="1">
      <c r="A67" s="305">
        <v>59</v>
      </c>
      <c r="B67" s="301"/>
      <c r="C67" s="306"/>
      <c r="D67" s="306"/>
      <c r="E67" s="304"/>
      <c r="F67" s="304"/>
      <c r="G67" s="317">
        <f t="shared" si="6"/>
        <v>0</v>
      </c>
      <c r="H67" s="315"/>
      <c r="I67" s="315"/>
      <c r="J67" s="315"/>
      <c r="K67" s="315"/>
      <c r="L67" s="315"/>
      <c r="M67" s="315"/>
      <c r="N67" s="316"/>
      <c r="O67" s="315"/>
      <c r="P67" s="315"/>
      <c r="Q67" s="316"/>
      <c r="R67" s="315"/>
      <c r="S67" s="315"/>
      <c r="T67" s="318"/>
      <c r="U67" s="315"/>
      <c r="V67" s="315"/>
      <c r="W67" s="318"/>
      <c r="X67" s="315"/>
      <c r="Y67" s="315"/>
      <c r="Z67" s="314">
        <f t="shared" si="7"/>
        <v>0</v>
      </c>
      <c r="AA67" s="444">
        <f t="shared" si="5"/>
        <v>0</v>
      </c>
    </row>
    <row r="68" spans="1:27" s="299" customFormat="1">
      <c r="A68" s="305">
        <v>60</v>
      </c>
      <c r="B68" s="301"/>
      <c r="C68" s="306"/>
      <c r="D68" s="306"/>
      <c r="E68" s="304"/>
      <c r="F68" s="304"/>
      <c r="G68" s="317">
        <f t="shared" si="6"/>
        <v>0</v>
      </c>
      <c r="H68" s="315"/>
      <c r="I68" s="315"/>
      <c r="J68" s="315"/>
      <c r="K68" s="315"/>
      <c r="L68" s="315"/>
      <c r="M68" s="315"/>
      <c r="N68" s="316"/>
      <c r="O68" s="315"/>
      <c r="P68" s="315"/>
      <c r="Q68" s="316"/>
      <c r="R68" s="315"/>
      <c r="S68" s="315"/>
      <c r="T68" s="318"/>
      <c r="U68" s="315"/>
      <c r="V68" s="315"/>
      <c r="W68" s="318"/>
      <c r="X68" s="315"/>
      <c r="Y68" s="315"/>
      <c r="Z68" s="314">
        <f t="shared" si="7"/>
        <v>0</v>
      </c>
      <c r="AA68" s="444">
        <f t="shared" si="5"/>
        <v>0</v>
      </c>
    </row>
    <row r="69" spans="1:27" s="299" customFormat="1">
      <c r="A69" s="305">
        <v>61</v>
      </c>
      <c r="B69" s="301"/>
      <c r="C69" s="306"/>
      <c r="D69" s="306"/>
      <c r="E69" s="304"/>
      <c r="F69" s="304"/>
      <c r="G69" s="317">
        <f t="shared" si="6"/>
        <v>0</v>
      </c>
      <c r="H69" s="315"/>
      <c r="I69" s="315"/>
      <c r="J69" s="315"/>
      <c r="K69" s="315"/>
      <c r="L69" s="315"/>
      <c r="M69" s="315"/>
      <c r="N69" s="316"/>
      <c r="O69" s="315"/>
      <c r="P69" s="315"/>
      <c r="Q69" s="316"/>
      <c r="R69" s="315"/>
      <c r="S69" s="315"/>
      <c r="T69" s="318"/>
      <c r="U69" s="315"/>
      <c r="V69" s="315"/>
      <c r="W69" s="318"/>
      <c r="X69" s="315"/>
      <c r="Y69" s="315"/>
      <c r="Z69" s="314">
        <f t="shared" si="7"/>
        <v>0</v>
      </c>
      <c r="AA69" s="444">
        <f t="shared" si="5"/>
        <v>0</v>
      </c>
    </row>
    <row r="70" spans="1:27" s="299" customFormat="1">
      <c r="A70" s="305">
        <v>62</v>
      </c>
      <c r="B70" s="301"/>
      <c r="C70" s="306"/>
      <c r="D70" s="306"/>
      <c r="E70" s="304"/>
      <c r="F70" s="304"/>
      <c r="G70" s="317">
        <f t="shared" si="6"/>
        <v>0</v>
      </c>
      <c r="H70" s="315"/>
      <c r="I70" s="315"/>
      <c r="J70" s="315"/>
      <c r="K70" s="315"/>
      <c r="L70" s="315"/>
      <c r="M70" s="315"/>
      <c r="N70" s="316"/>
      <c r="O70" s="315"/>
      <c r="P70" s="315"/>
      <c r="Q70" s="316"/>
      <c r="R70" s="315"/>
      <c r="S70" s="315"/>
      <c r="T70" s="318"/>
      <c r="U70" s="315"/>
      <c r="V70" s="315"/>
      <c r="W70" s="318"/>
      <c r="X70" s="315"/>
      <c r="Y70" s="315"/>
      <c r="Z70" s="314">
        <f t="shared" si="7"/>
        <v>0</v>
      </c>
      <c r="AA70" s="444">
        <f t="shared" si="5"/>
        <v>0</v>
      </c>
    </row>
    <row r="71" spans="1:27" s="299" customFormat="1">
      <c r="A71" s="305">
        <v>63</v>
      </c>
      <c r="B71" s="301"/>
      <c r="C71" s="306"/>
      <c r="D71" s="306"/>
      <c r="E71" s="304"/>
      <c r="F71" s="304"/>
      <c r="G71" s="317">
        <f t="shared" si="6"/>
        <v>0</v>
      </c>
      <c r="H71" s="315"/>
      <c r="I71" s="315"/>
      <c r="J71" s="315"/>
      <c r="K71" s="315"/>
      <c r="L71" s="315"/>
      <c r="M71" s="315"/>
      <c r="N71" s="316"/>
      <c r="O71" s="315"/>
      <c r="P71" s="315"/>
      <c r="Q71" s="316"/>
      <c r="R71" s="315"/>
      <c r="S71" s="315"/>
      <c r="T71" s="318"/>
      <c r="U71" s="315"/>
      <c r="V71" s="315"/>
      <c r="W71" s="318"/>
      <c r="X71" s="315"/>
      <c r="Y71" s="315"/>
      <c r="Z71" s="314">
        <f t="shared" si="7"/>
        <v>0</v>
      </c>
      <c r="AA71" s="444">
        <f t="shared" si="5"/>
        <v>0</v>
      </c>
    </row>
    <row r="72" spans="1:27" s="299" customFormat="1">
      <c r="A72" s="305">
        <v>64</v>
      </c>
      <c r="B72" s="301"/>
      <c r="C72" s="301"/>
      <c r="D72" s="306"/>
      <c r="E72" s="306"/>
      <c r="F72" s="304"/>
      <c r="G72" s="317">
        <f t="shared" si="6"/>
        <v>0</v>
      </c>
      <c r="H72" s="315"/>
      <c r="I72" s="315"/>
      <c r="J72" s="315"/>
      <c r="K72" s="315"/>
      <c r="L72" s="315"/>
      <c r="M72" s="315"/>
      <c r="N72" s="316"/>
      <c r="O72" s="315"/>
      <c r="P72" s="315"/>
      <c r="Q72" s="316"/>
      <c r="R72" s="315"/>
      <c r="S72" s="315"/>
      <c r="T72" s="318"/>
      <c r="U72" s="315"/>
      <c r="V72" s="315"/>
      <c r="W72" s="318"/>
      <c r="X72" s="315"/>
      <c r="Y72" s="315"/>
      <c r="Z72" s="314">
        <f t="shared" si="7"/>
        <v>0</v>
      </c>
      <c r="AA72" s="444">
        <f t="shared" si="5"/>
        <v>0</v>
      </c>
    </row>
    <row r="73" spans="1:27" s="299" customFormat="1">
      <c r="A73" s="305">
        <v>65</v>
      </c>
      <c r="B73" s="301"/>
      <c r="C73" s="301"/>
      <c r="D73" s="301"/>
      <c r="E73" s="304"/>
      <c r="F73" s="304"/>
      <c r="G73" s="317">
        <f t="shared" si="6"/>
        <v>0</v>
      </c>
      <c r="H73" s="315"/>
      <c r="I73" s="315"/>
      <c r="J73" s="315"/>
      <c r="K73" s="315"/>
      <c r="L73" s="315"/>
      <c r="M73" s="315"/>
      <c r="N73" s="316"/>
      <c r="O73" s="315"/>
      <c r="P73" s="315"/>
      <c r="Q73" s="316"/>
      <c r="R73" s="315"/>
      <c r="S73" s="315"/>
      <c r="T73" s="318"/>
      <c r="U73" s="315"/>
      <c r="V73" s="315"/>
      <c r="W73" s="318"/>
      <c r="X73" s="315"/>
      <c r="Y73" s="315"/>
      <c r="Z73" s="314">
        <f t="shared" si="7"/>
        <v>0</v>
      </c>
      <c r="AA73" s="444">
        <f t="shared" ref="AA73:AA88" si="8">SUMIF($F$9:$F$88,$F73,$Z$9:$Z$88)</f>
        <v>0</v>
      </c>
    </row>
    <row r="74" spans="1:27" s="299" customFormat="1">
      <c r="A74" s="305">
        <v>66</v>
      </c>
      <c r="B74" s="301"/>
      <c r="C74" s="301"/>
      <c r="D74" s="301"/>
      <c r="E74" s="304"/>
      <c r="F74" s="304"/>
      <c r="G74" s="317">
        <f t="shared" si="6"/>
        <v>0</v>
      </c>
      <c r="H74" s="315"/>
      <c r="I74" s="315"/>
      <c r="J74" s="315"/>
      <c r="K74" s="315"/>
      <c r="L74" s="315"/>
      <c r="M74" s="315"/>
      <c r="N74" s="316"/>
      <c r="O74" s="316"/>
      <c r="P74" s="316"/>
      <c r="Q74" s="316"/>
      <c r="R74" s="315"/>
      <c r="S74" s="315"/>
      <c r="T74" s="318"/>
      <c r="U74" s="315"/>
      <c r="V74" s="315"/>
      <c r="W74" s="318"/>
      <c r="X74" s="315"/>
      <c r="Y74" s="315"/>
      <c r="Z74" s="314">
        <f t="shared" si="7"/>
        <v>0</v>
      </c>
      <c r="AA74" s="444">
        <f t="shared" si="8"/>
        <v>0</v>
      </c>
    </row>
    <row r="75" spans="1:27" s="299" customFormat="1">
      <c r="A75" s="305">
        <v>67</v>
      </c>
      <c r="B75" s="301"/>
      <c r="C75" s="301"/>
      <c r="D75" s="301"/>
      <c r="E75" s="304"/>
      <c r="F75" s="304"/>
      <c r="G75" s="317">
        <f t="shared" si="6"/>
        <v>0</v>
      </c>
      <c r="H75" s="315"/>
      <c r="I75" s="315"/>
      <c r="J75" s="315"/>
      <c r="K75" s="315"/>
      <c r="L75" s="315"/>
      <c r="M75" s="315"/>
      <c r="N75" s="316"/>
      <c r="O75" s="316"/>
      <c r="P75" s="316"/>
      <c r="Q75" s="316"/>
      <c r="R75" s="315"/>
      <c r="S75" s="315"/>
      <c r="T75" s="318"/>
      <c r="U75" s="315"/>
      <c r="V75" s="315"/>
      <c r="W75" s="318"/>
      <c r="X75" s="315"/>
      <c r="Y75" s="315"/>
      <c r="Z75" s="314">
        <f t="shared" si="7"/>
        <v>0</v>
      </c>
      <c r="AA75" s="444">
        <f t="shared" si="8"/>
        <v>0</v>
      </c>
    </row>
    <row r="76" spans="1:27" s="299" customFormat="1">
      <c r="A76" s="305">
        <v>68</v>
      </c>
      <c r="B76" s="301"/>
      <c r="C76" s="301"/>
      <c r="D76" s="301"/>
      <c r="E76" s="304"/>
      <c r="F76" s="304"/>
      <c r="G76" s="317">
        <f t="shared" si="6"/>
        <v>0</v>
      </c>
      <c r="H76" s="315"/>
      <c r="I76" s="315"/>
      <c r="J76" s="315"/>
      <c r="K76" s="315"/>
      <c r="L76" s="315"/>
      <c r="M76" s="315"/>
      <c r="N76" s="316"/>
      <c r="O76" s="316"/>
      <c r="P76" s="316"/>
      <c r="Q76" s="316"/>
      <c r="R76" s="315"/>
      <c r="S76" s="315"/>
      <c r="T76" s="318"/>
      <c r="U76" s="315"/>
      <c r="V76" s="315"/>
      <c r="W76" s="315"/>
      <c r="X76" s="315"/>
      <c r="Y76" s="315"/>
      <c r="Z76" s="314">
        <f t="shared" si="7"/>
        <v>0</v>
      </c>
      <c r="AA76" s="444">
        <f t="shared" si="8"/>
        <v>0</v>
      </c>
    </row>
    <row r="77" spans="1:27" s="299" customFormat="1">
      <c r="A77" s="305">
        <v>69</v>
      </c>
      <c r="B77" s="301"/>
      <c r="C77" s="301"/>
      <c r="D77" s="301"/>
      <c r="E77" s="304"/>
      <c r="F77" s="304"/>
      <c r="G77" s="317">
        <f t="shared" si="6"/>
        <v>0</v>
      </c>
      <c r="H77" s="315"/>
      <c r="I77" s="315"/>
      <c r="J77" s="315"/>
      <c r="K77" s="315"/>
      <c r="L77" s="315"/>
      <c r="M77" s="315"/>
      <c r="N77" s="316"/>
      <c r="O77" s="316"/>
      <c r="P77" s="315"/>
      <c r="Q77" s="316"/>
      <c r="R77" s="315"/>
      <c r="S77" s="315"/>
      <c r="T77" s="318"/>
      <c r="U77" s="315"/>
      <c r="V77" s="315"/>
      <c r="W77" s="315"/>
      <c r="X77" s="315"/>
      <c r="Y77" s="315"/>
      <c r="Z77" s="314">
        <f t="shared" si="7"/>
        <v>0</v>
      </c>
      <c r="AA77" s="444">
        <f t="shared" si="8"/>
        <v>0</v>
      </c>
    </row>
    <row r="78" spans="1:27" s="299" customFormat="1">
      <c r="A78" s="305">
        <v>70</v>
      </c>
      <c r="B78" s="301"/>
      <c r="C78" s="301"/>
      <c r="D78" s="301"/>
      <c r="E78" s="304"/>
      <c r="F78" s="304"/>
      <c r="G78" s="317">
        <f t="shared" si="6"/>
        <v>0</v>
      </c>
      <c r="H78" s="315"/>
      <c r="I78" s="315"/>
      <c r="J78" s="315"/>
      <c r="K78" s="315"/>
      <c r="L78" s="315"/>
      <c r="M78" s="315"/>
      <c r="N78" s="316"/>
      <c r="O78" s="316"/>
      <c r="P78" s="315"/>
      <c r="Q78" s="316"/>
      <c r="R78" s="315"/>
      <c r="S78" s="315"/>
      <c r="T78" s="318"/>
      <c r="U78" s="315"/>
      <c r="V78" s="315"/>
      <c r="W78" s="315"/>
      <c r="X78" s="315"/>
      <c r="Y78" s="315"/>
      <c r="Z78" s="314">
        <f t="shared" si="7"/>
        <v>0</v>
      </c>
      <c r="AA78" s="444">
        <f t="shared" si="8"/>
        <v>0</v>
      </c>
    </row>
    <row r="79" spans="1:27" s="299" customFormat="1">
      <c r="A79" s="305">
        <v>71</v>
      </c>
      <c r="B79" s="301"/>
      <c r="C79" s="301"/>
      <c r="D79" s="301"/>
      <c r="E79" s="304"/>
      <c r="F79" s="304"/>
      <c r="G79" s="317">
        <f t="shared" si="6"/>
        <v>0</v>
      </c>
      <c r="H79" s="315"/>
      <c r="I79" s="315"/>
      <c r="J79" s="315"/>
      <c r="K79" s="315"/>
      <c r="L79" s="315"/>
      <c r="M79" s="315"/>
      <c r="N79" s="316"/>
      <c r="O79" s="316"/>
      <c r="P79" s="315"/>
      <c r="Q79" s="316"/>
      <c r="R79" s="315"/>
      <c r="S79" s="315"/>
      <c r="T79" s="318"/>
      <c r="U79" s="315"/>
      <c r="V79" s="315"/>
      <c r="W79" s="315"/>
      <c r="X79" s="315"/>
      <c r="Y79" s="315"/>
      <c r="Z79" s="314">
        <f t="shared" si="7"/>
        <v>0</v>
      </c>
      <c r="AA79" s="444">
        <f t="shared" si="8"/>
        <v>0</v>
      </c>
    </row>
    <row r="80" spans="1:27" s="299" customFormat="1">
      <c r="A80" s="305">
        <v>72</v>
      </c>
      <c r="B80" s="301"/>
      <c r="C80" s="301"/>
      <c r="D80" s="301"/>
      <c r="E80" s="304"/>
      <c r="F80" s="304"/>
      <c r="G80" s="317">
        <f t="shared" si="6"/>
        <v>0</v>
      </c>
      <c r="H80" s="315"/>
      <c r="I80" s="315"/>
      <c r="J80" s="315"/>
      <c r="K80" s="315"/>
      <c r="L80" s="315"/>
      <c r="M80" s="315"/>
      <c r="N80" s="316"/>
      <c r="O80" s="316"/>
      <c r="P80" s="18"/>
      <c r="Q80" s="316"/>
      <c r="R80" s="315"/>
      <c r="S80" s="315"/>
      <c r="T80" s="318"/>
      <c r="U80" s="315"/>
      <c r="V80" s="315"/>
      <c r="W80" s="315"/>
      <c r="X80" s="315"/>
      <c r="Y80" s="315"/>
      <c r="Z80" s="314">
        <f t="shared" si="7"/>
        <v>0</v>
      </c>
      <c r="AA80" s="444">
        <f t="shared" si="8"/>
        <v>0</v>
      </c>
    </row>
    <row r="81" spans="1:30" s="299" customFormat="1">
      <c r="A81" s="305">
        <v>73</v>
      </c>
      <c r="B81" s="301"/>
      <c r="C81" s="301"/>
      <c r="D81" s="301"/>
      <c r="E81" s="304"/>
      <c r="F81" s="304"/>
      <c r="G81" s="317">
        <f t="shared" si="6"/>
        <v>0</v>
      </c>
      <c r="H81" s="315"/>
      <c r="I81" s="315"/>
      <c r="J81" s="315"/>
      <c r="K81" s="315"/>
      <c r="L81" s="315"/>
      <c r="M81" s="315"/>
      <c r="N81" s="316"/>
      <c r="O81" s="316"/>
      <c r="P81" s="316"/>
      <c r="Q81" s="316"/>
      <c r="R81" s="315"/>
      <c r="S81" s="315"/>
      <c r="T81" s="318"/>
      <c r="U81" s="315"/>
      <c r="V81" s="315"/>
      <c r="W81" s="315"/>
      <c r="X81" s="315"/>
      <c r="Y81" s="315"/>
      <c r="Z81" s="314">
        <f t="shared" si="7"/>
        <v>0</v>
      </c>
      <c r="AA81" s="444">
        <f t="shared" si="8"/>
        <v>0</v>
      </c>
    </row>
    <row r="82" spans="1:30" s="299" customFormat="1">
      <c r="A82" s="305">
        <v>74</v>
      </c>
      <c r="B82" s="301"/>
      <c r="C82" s="301"/>
      <c r="D82" s="301"/>
      <c r="E82" s="304"/>
      <c r="F82" s="304"/>
      <c r="G82" s="317">
        <f t="shared" si="6"/>
        <v>0</v>
      </c>
      <c r="H82" s="315"/>
      <c r="I82" s="315"/>
      <c r="J82" s="315"/>
      <c r="K82" s="315"/>
      <c r="L82" s="315"/>
      <c r="M82" s="315"/>
      <c r="N82" s="316"/>
      <c r="O82" s="316"/>
      <c r="P82" s="316"/>
      <c r="Q82" s="316"/>
      <c r="R82" s="315"/>
      <c r="S82" s="315"/>
      <c r="T82" s="318"/>
      <c r="U82" s="315"/>
      <c r="V82" s="315"/>
      <c r="W82" s="315"/>
      <c r="X82" s="315"/>
      <c r="Y82" s="315"/>
      <c r="Z82" s="314">
        <f t="shared" si="7"/>
        <v>0</v>
      </c>
      <c r="AA82" s="444">
        <f t="shared" si="8"/>
        <v>0</v>
      </c>
    </row>
    <row r="83" spans="1:30" s="299" customFormat="1">
      <c r="A83" s="305">
        <v>75</v>
      </c>
      <c r="B83" s="301"/>
      <c r="C83" s="301"/>
      <c r="D83" s="301"/>
      <c r="E83" s="304"/>
      <c r="F83" s="304"/>
      <c r="G83" s="317">
        <f t="shared" si="6"/>
        <v>0</v>
      </c>
      <c r="H83" s="315"/>
      <c r="I83" s="315"/>
      <c r="J83" s="315"/>
      <c r="K83" s="315"/>
      <c r="L83" s="315"/>
      <c r="M83" s="315"/>
      <c r="N83" s="316"/>
      <c r="O83" s="316"/>
      <c r="P83" s="316"/>
      <c r="Q83" s="316"/>
      <c r="R83" s="315"/>
      <c r="S83" s="315"/>
      <c r="T83" s="315"/>
      <c r="U83" s="315"/>
      <c r="V83" s="315"/>
      <c r="W83" s="315"/>
      <c r="X83" s="315"/>
      <c r="Y83" s="315"/>
      <c r="Z83" s="314">
        <f t="shared" si="7"/>
        <v>0</v>
      </c>
      <c r="AA83" s="444">
        <f t="shared" si="8"/>
        <v>0</v>
      </c>
    </row>
    <row r="84" spans="1:30" s="299" customFormat="1">
      <c r="A84" s="305">
        <v>76</v>
      </c>
      <c r="B84" s="301"/>
      <c r="C84" s="301"/>
      <c r="D84" s="301"/>
      <c r="E84" s="304"/>
      <c r="F84" s="304"/>
      <c r="G84" s="317">
        <f t="shared" si="6"/>
        <v>0</v>
      </c>
      <c r="H84" s="315"/>
      <c r="I84" s="315"/>
      <c r="J84" s="315"/>
      <c r="K84" s="315"/>
      <c r="L84" s="315"/>
      <c r="M84" s="315"/>
      <c r="N84" s="316"/>
      <c r="O84" s="316"/>
      <c r="P84" s="316"/>
      <c r="Q84" s="316"/>
      <c r="R84" s="315"/>
      <c r="S84" s="315"/>
      <c r="T84" s="315"/>
      <c r="U84" s="315"/>
      <c r="V84" s="315"/>
      <c r="W84" s="315"/>
      <c r="X84" s="315"/>
      <c r="Y84" s="315"/>
      <c r="Z84" s="314">
        <f t="shared" si="7"/>
        <v>0</v>
      </c>
      <c r="AA84" s="444">
        <f t="shared" si="8"/>
        <v>0</v>
      </c>
    </row>
    <row r="85" spans="1:30" s="299" customFormat="1">
      <c r="A85" s="305">
        <v>77</v>
      </c>
      <c r="B85" s="301"/>
      <c r="C85" s="301"/>
      <c r="D85" s="301"/>
      <c r="E85" s="304"/>
      <c r="F85" s="304"/>
      <c r="G85" s="317">
        <f t="shared" si="6"/>
        <v>0</v>
      </c>
      <c r="H85" s="315"/>
      <c r="I85" s="315"/>
      <c r="J85" s="315"/>
      <c r="K85" s="315"/>
      <c r="L85" s="315"/>
      <c r="M85" s="315"/>
      <c r="N85" s="316"/>
      <c r="O85" s="316"/>
      <c r="P85" s="316"/>
      <c r="Q85" s="316"/>
      <c r="R85" s="315"/>
      <c r="S85" s="315"/>
      <c r="T85" s="315"/>
      <c r="U85" s="315"/>
      <c r="V85" s="315"/>
      <c r="W85" s="315"/>
      <c r="X85" s="315"/>
      <c r="Y85" s="315"/>
      <c r="Z85" s="314">
        <f t="shared" si="7"/>
        <v>0</v>
      </c>
      <c r="AA85" s="444">
        <f t="shared" si="8"/>
        <v>0</v>
      </c>
    </row>
    <row r="86" spans="1:30" s="299" customFormat="1">
      <c r="A86" s="305">
        <v>78</v>
      </c>
      <c r="B86" s="301"/>
      <c r="C86" s="301"/>
      <c r="D86" s="301"/>
      <c r="E86" s="304"/>
      <c r="F86" s="304"/>
      <c r="G86" s="317">
        <f t="shared" si="6"/>
        <v>0</v>
      </c>
      <c r="H86" s="315"/>
      <c r="I86" s="315"/>
      <c r="J86" s="315"/>
      <c r="K86" s="315"/>
      <c r="L86" s="315"/>
      <c r="M86" s="315"/>
      <c r="N86" s="316"/>
      <c r="O86" s="316"/>
      <c r="P86" s="316"/>
      <c r="Q86" s="316"/>
      <c r="R86" s="315"/>
      <c r="S86" s="315"/>
      <c r="T86" s="315"/>
      <c r="U86" s="315"/>
      <c r="V86" s="315"/>
      <c r="W86" s="315"/>
      <c r="X86" s="315"/>
      <c r="Y86" s="315"/>
      <c r="Z86" s="314">
        <f t="shared" si="7"/>
        <v>0</v>
      </c>
      <c r="AA86" s="444">
        <f t="shared" si="8"/>
        <v>0</v>
      </c>
    </row>
    <row r="87" spans="1:30" s="299" customFormat="1">
      <c r="A87" s="305">
        <v>79</v>
      </c>
      <c r="B87" s="301"/>
      <c r="C87" s="301"/>
      <c r="D87" s="301"/>
      <c r="E87" s="304"/>
      <c r="F87" s="304"/>
      <c r="G87" s="317">
        <f t="shared" si="6"/>
        <v>0</v>
      </c>
      <c r="H87" s="315"/>
      <c r="I87" s="315"/>
      <c r="J87" s="315"/>
      <c r="K87" s="315"/>
      <c r="L87" s="315"/>
      <c r="M87" s="315"/>
      <c r="N87" s="316"/>
      <c r="O87" s="316"/>
      <c r="P87" s="316"/>
      <c r="Q87" s="316"/>
      <c r="R87" s="315"/>
      <c r="S87" s="315"/>
      <c r="T87" s="315"/>
      <c r="U87" s="315"/>
      <c r="V87" s="315"/>
      <c r="W87" s="315"/>
      <c r="X87" s="315"/>
      <c r="Y87" s="315"/>
      <c r="Z87" s="314">
        <f t="shared" si="7"/>
        <v>0</v>
      </c>
      <c r="AA87" s="444">
        <f t="shared" si="8"/>
        <v>0</v>
      </c>
    </row>
    <row r="88" spans="1:30" s="299" customFormat="1">
      <c r="A88" s="305">
        <v>80</v>
      </c>
      <c r="B88" s="301"/>
      <c r="C88" s="301"/>
      <c r="D88" s="301"/>
      <c r="E88" s="304"/>
      <c r="F88" s="304"/>
      <c r="G88" s="317">
        <f t="shared" si="6"/>
        <v>0</v>
      </c>
      <c r="H88" s="315"/>
      <c r="I88" s="315"/>
      <c r="J88" s="315"/>
      <c r="K88" s="315"/>
      <c r="L88" s="315"/>
      <c r="M88" s="315"/>
      <c r="N88" s="316"/>
      <c r="O88" s="316"/>
      <c r="P88" s="316"/>
      <c r="Q88" s="316"/>
      <c r="R88" s="315"/>
      <c r="S88" s="315"/>
      <c r="T88" s="315"/>
      <c r="U88" s="315"/>
      <c r="V88" s="315"/>
      <c r="W88" s="315"/>
      <c r="X88" s="315"/>
      <c r="Y88" s="315"/>
      <c r="Z88" s="314">
        <f t="shared" si="7"/>
        <v>0</v>
      </c>
      <c r="AA88" s="444">
        <f t="shared" si="8"/>
        <v>0</v>
      </c>
    </row>
    <row r="89" spans="1:30" s="324" customFormat="1" ht="19.5" customHeight="1">
      <c r="A89" s="755" t="s">
        <v>459</v>
      </c>
      <c r="B89" s="756"/>
      <c r="C89" s="756"/>
      <c r="D89" s="756"/>
      <c r="E89" s="756"/>
      <c r="F89" s="757"/>
      <c r="G89" s="298">
        <f>SUM(G9:G88)</f>
        <v>714362177.92588997</v>
      </c>
      <c r="H89" s="298">
        <f t="shared" ref="H89:V89" si="9">SUM(H9:H88)</f>
        <v>0</v>
      </c>
      <c r="I89" s="298">
        <f t="shared" si="9"/>
        <v>714362177.92588997</v>
      </c>
      <c r="J89" s="298">
        <f t="shared" si="9"/>
        <v>0</v>
      </c>
      <c r="K89" s="298">
        <f t="shared" si="9"/>
        <v>0</v>
      </c>
      <c r="L89" s="298">
        <f t="shared" si="9"/>
        <v>0</v>
      </c>
      <c r="M89" s="298">
        <f t="shared" si="9"/>
        <v>0</v>
      </c>
      <c r="N89" s="298">
        <f t="shared" si="9"/>
        <v>0</v>
      </c>
      <c r="O89" s="298">
        <f t="shared" si="9"/>
        <v>0</v>
      </c>
      <c r="P89" s="298">
        <f t="shared" si="9"/>
        <v>0</v>
      </c>
      <c r="Q89" s="298">
        <f t="shared" si="9"/>
        <v>0</v>
      </c>
      <c r="R89" s="298">
        <f t="shared" si="9"/>
        <v>0</v>
      </c>
      <c r="S89" s="298">
        <f t="shared" si="9"/>
        <v>0</v>
      </c>
      <c r="T89" s="298">
        <f t="shared" si="9"/>
        <v>0</v>
      </c>
      <c r="U89" s="321"/>
      <c r="V89" s="298">
        <f t="shared" si="9"/>
        <v>0</v>
      </c>
      <c r="W89" s="321"/>
      <c r="X89" s="298">
        <f t="shared" ref="X89:Z89" si="10">SUM(X9:X88)</f>
        <v>2875000</v>
      </c>
      <c r="Y89" s="298">
        <f t="shared" si="10"/>
        <v>0</v>
      </c>
      <c r="Z89" s="298">
        <f t="shared" si="10"/>
        <v>711487177.92588997</v>
      </c>
      <c r="AA89" s="448"/>
    </row>
    <row r="90" spans="1:30" s="324" customFormat="1" ht="19.5" customHeight="1">
      <c r="A90" s="755" t="s">
        <v>460</v>
      </c>
      <c r="B90" s="756"/>
      <c r="C90" s="756"/>
      <c r="D90" s="756"/>
      <c r="E90" s="756"/>
      <c r="F90" s="757"/>
      <c r="G90" s="298">
        <f>+SUMIF($F$9:$F$88,$AA$90,$G$9:$G$88)</f>
        <v>714362177.92588997</v>
      </c>
      <c r="H90" s="298">
        <f>+SUMIF($F$9:$F$88,$AA$90,$H$9:$H$88)</f>
        <v>0</v>
      </c>
      <c r="I90" s="298">
        <f>+SUMIF($F$9:$F$88,$AA$90,$I$9:$I$88)</f>
        <v>714362177.92588997</v>
      </c>
      <c r="J90" s="298">
        <f>+SUMIF($F$9:$F$88,$AA$90,$J$9:$J$88)</f>
        <v>0</v>
      </c>
      <c r="K90" s="298">
        <f>+SUMIF($F$9:$F$88,$AA$90,$K$9:$K$88)</f>
        <v>0</v>
      </c>
      <c r="L90" s="298">
        <f>+SUMIF($F$9:$F$88,$AA$90,$L$9:$L$88)</f>
        <v>0</v>
      </c>
      <c r="M90" s="298">
        <f>+SUMIF($F$9:$F$88,$AA$90,$M$9:$M$88)</f>
        <v>0</v>
      </c>
      <c r="N90" s="298">
        <f>+SUMIF($F$9:$F$88,$AA$90,$N$9:$N$88)</f>
        <v>0</v>
      </c>
      <c r="O90" s="298">
        <f>+SUMIF($F$9:$F$88,$AA$90,$O$9:$O$88)</f>
        <v>0</v>
      </c>
      <c r="P90" s="298">
        <f>+SUMIF($F$9:$F$88,$AA$90,$P$9:$P$88)</f>
        <v>0</v>
      </c>
      <c r="Q90" s="298">
        <f>+SUMIF($F$9:$F$88,$AA$90,$Q$9:$Q$88)</f>
        <v>0</v>
      </c>
      <c r="R90" s="298">
        <f>+SUMIF($F$9:$F$88,$AA$90,$R$9:$R$88)</f>
        <v>0</v>
      </c>
      <c r="S90" s="298">
        <f>+SUMIF($F$9:$F$88,$AA$90,$S$9:$S$88)</f>
        <v>0</v>
      </c>
      <c r="T90" s="298">
        <f>+SUMIF($F$9:$F$88,$AA$90,$T$9:$T$88)</f>
        <v>0</v>
      </c>
      <c r="U90" s="321"/>
      <c r="V90" s="298">
        <f>+SUMIF($F$9:$F$88,$AA$90,$V$9:$V$88)</f>
        <v>0</v>
      </c>
      <c r="W90" s="321"/>
      <c r="X90" s="298">
        <f>+SUMIF($F$9:$F$88,$AA$90,$X$9:$X$88)</f>
        <v>2875000</v>
      </c>
      <c r="Y90" s="298">
        <f>+SUMIF($F$9:$F$88,$AA$90,$Y$9:$Y$88)</f>
        <v>0</v>
      </c>
      <c r="Z90" s="298">
        <f>+MAX(AA9:AA88)</f>
        <v>711487177.92588997</v>
      </c>
      <c r="AA90" s="448">
        <f>INDEX($F$9:$F$88,MATCH($Z90,$AA$9:$AA$88,0))</f>
        <v>1</v>
      </c>
    </row>
    <row r="91" spans="1:30" s="276" customFormat="1">
      <c r="AA91" s="446"/>
    </row>
    <row r="92" spans="1:30" ht="15" customHeight="1">
      <c r="A92" s="34"/>
      <c r="B92" s="239" t="s">
        <v>788</v>
      </c>
      <c r="C92" s="34"/>
      <c r="D92" s="34"/>
      <c r="E92" s="34"/>
      <c r="F92" s="349"/>
      <c r="G92" s="349"/>
      <c r="H92" s="349"/>
      <c r="I92" s="349"/>
      <c r="J92" s="349"/>
      <c r="K92" s="349"/>
      <c r="L92" s="349"/>
      <c r="M92" s="349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1.25" customHeight="1">
      <c r="A93" s="34"/>
      <c r="B93" s="239"/>
      <c r="C93" s="34"/>
      <c r="D93" s="34"/>
      <c r="E93" s="34"/>
      <c r="F93" s="349"/>
      <c r="G93" s="349"/>
      <c r="H93" s="349"/>
      <c r="I93" s="349"/>
      <c r="J93" s="349"/>
      <c r="K93" s="349"/>
      <c r="L93" s="349"/>
      <c r="M93" s="349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5" customHeight="1">
      <c r="A94" s="34"/>
      <c r="B94" s="239" t="s">
        <v>789</v>
      </c>
      <c r="C94" s="34"/>
      <c r="D94" s="34"/>
      <c r="E94" s="34"/>
      <c r="F94" s="349"/>
      <c r="G94" s="349"/>
      <c r="H94" s="349"/>
      <c r="I94" s="349"/>
      <c r="J94" s="349"/>
      <c r="K94" s="349"/>
      <c r="L94" s="349"/>
      <c r="M94" s="349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s="276" customFormat="1">
      <c r="B95" s="297"/>
      <c r="AA95" s="446"/>
    </row>
    <row r="96" spans="1:30" s="276" customFormat="1">
      <c r="B96" s="297"/>
      <c r="AA96" s="446"/>
    </row>
    <row r="97" spans="1:32" s="276" customFormat="1">
      <c r="B97" s="297"/>
      <c r="AA97" s="446"/>
    </row>
    <row r="98" spans="1:32" s="276" customFormat="1">
      <c r="AA98" s="446"/>
    </row>
    <row r="99" spans="1:32" s="276" customFormat="1" ht="15.75">
      <c r="B99" s="739"/>
      <c r="C99" s="739"/>
      <c r="D99" s="739"/>
      <c r="E99" s="739"/>
      <c r="F99" s="739"/>
      <c r="G99" s="739"/>
      <c r="H99" s="739"/>
      <c r="I99" s="739"/>
      <c r="J99" s="739"/>
      <c r="K99" s="739"/>
      <c r="L99" s="739"/>
      <c r="M99" s="739"/>
      <c r="N99" s="739"/>
      <c r="O99" s="739"/>
      <c r="P99" s="739"/>
      <c r="Q99" s="739"/>
      <c r="R99" s="739"/>
      <c r="S99" s="739"/>
      <c r="T99" s="739"/>
      <c r="AA99" s="446"/>
    </row>
    <row r="100" spans="1:3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V100" s="34"/>
      <c r="W100" s="34"/>
      <c r="X100" s="34"/>
      <c r="Y100" s="34"/>
      <c r="Z100" s="34"/>
      <c r="AA100" s="447"/>
      <c r="AB100" s="34"/>
      <c r="AC100" s="34"/>
      <c r="AD100" s="34"/>
      <c r="AE100" s="34"/>
      <c r="AF100" s="34"/>
    </row>
    <row r="101" spans="1:3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V101" s="34"/>
      <c r="W101" s="34"/>
      <c r="X101" s="34"/>
      <c r="Y101" s="34"/>
      <c r="Z101" s="34"/>
      <c r="AA101" s="447"/>
      <c r="AB101" s="34"/>
      <c r="AC101" s="34"/>
      <c r="AD101" s="34"/>
      <c r="AE101" s="34"/>
      <c r="AF101" s="34"/>
    </row>
    <row r="102" spans="1:3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V102" s="34"/>
      <c r="W102" s="34"/>
      <c r="X102" s="34"/>
      <c r="Y102" s="34"/>
      <c r="Z102" s="34"/>
      <c r="AA102" s="447"/>
      <c r="AB102" s="34"/>
      <c r="AC102" s="34"/>
      <c r="AD102" s="34"/>
      <c r="AE102" s="34"/>
      <c r="AF102" s="34"/>
    </row>
    <row r="103" spans="1:3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V103" s="34"/>
      <c r="W103" s="34"/>
      <c r="X103" s="34"/>
      <c r="Y103" s="34"/>
      <c r="Z103" s="34"/>
      <c r="AA103" s="447"/>
      <c r="AB103" s="34"/>
      <c r="AC103" s="34"/>
      <c r="AD103" s="34"/>
      <c r="AE103" s="34"/>
      <c r="AF103" s="34"/>
    </row>
    <row r="104" spans="1:3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V104" s="34"/>
      <c r="W104" s="34"/>
      <c r="X104" s="34"/>
      <c r="Y104" s="34"/>
      <c r="Z104" s="34"/>
      <c r="AA104" s="447"/>
      <c r="AB104" s="34"/>
      <c r="AC104" s="34"/>
      <c r="AD104" s="34"/>
      <c r="AE104" s="34"/>
      <c r="AF104" s="34"/>
    </row>
    <row r="105" spans="1:3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V105" s="34"/>
      <c r="W105" s="34"/>
      <c r="X105" s="34"/>
      <c r="Y105" s="34"/>
      <c r="Z105" s="34"/>
      <c r="AA105" s="447"/>
      <c r="AB105" s="34"/>
      <c r="AC105" s="34"/>
      <c r="AD105" s="34"/>
      <c r="AE105" s="34"/>
      <c r="AF105" s="34"/>
    </row>
    <row r="106" spans="1:3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V106" s="34"/>
      <c r="W106" s="34"/>
      <c r="X106" s="34"/>
      <c r="Y106" s="34"/>
      <c r="Z106" s="34"/>
      <c r="AA106" s="447"/>
      <c r="AB106" s="34"/>
      <c r="AC106" s="34"/>
      <c r="AD106" s="34"/>
      <c r="AE106" s="34"/>
      <c r="AF106" s="34"/>
    </row>
    <row r="107" spans="1:3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V107" s="34"/>
      <c r="W107" s="34"/>
      <c r="X107" s="34"/>
      <c r="Y107" s="34"/>
      <c r="Z107" s="34"/>
      <c r="AA107" s="447"/>
      <c r="AB107" s="34"/>
      <c r="AC107" s="34"/>
      <c r="AD107" s="34"/>
      <c r="AE107" s="34"/>
      <c r="AF107" s="34"/>
    </row>
    <row r="108" spans="1:3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V108" s="34"/>
      <c r="W108" s="34"/>
      <c r="X108" s="34"/>
      <c r="Y108" s="34"/>
      <c r="Z108" s="34"/>
      <c r="AA108" s="447"/>
      <c r="AB108" s="34"/>
      <c r="AC108" s="34"/>
      <c r="AD108" s="34"/>
      <c r="AE108" s="34"/>
      <c r="AF108" s="34"/>
    </row>
    <row r="109" spans="1:3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V109" s="34"/>
      <c r="W109" s="34"/>
      <c r="X109" s="34"/>
      <c r="Y109" s="34"/>
      <c r="Z109" s="34"/>
      <c r="AA109" s="447"/>
      <c r="AB109" s="34"/>
      <c r="AC109" s="34"/>
      <c r="AD109" s="34"/>
      <c r="AE109" s="34"/>
      <c r="AF109" s="34"/>
    </row>
    <row r="110" spans="1:3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V110" s="34"/>
      <c r="W110" s="34"/>
      <c r="X110" s="34"/>
      <c r="Y110" s="34"/>
      <c r="Z110" s="34"/>
      <c r="AA110" s="447"/>
      <c r="AB110" s="34"/>
      <c r="AC110" s="34"/>
      <c r="AD110" s="34"/>
      <c r="AE110" s="34"/>
      <c r="AF110" s="34"/>
    </row>
    <row r="111" spans="1:3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V111" s="34"/>
      <c r="W111" s="34"/>
      <c r="X111" s="34"/>
      <c r="Y111" s="34"/>
      <c r="Z111" s="34"/>
      <c r="AA111" s="447"/>
      <c r="AB111" s="34"/>
      <c r="AC111" s="34"/>
      <c r="AD111" s="34"/>
      <c r="AE111" s="34"/>
      <c r="AF111" s="34"/>
    </row>
    <row r="112" spans="1:3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V112" s="34"/>
      <c r="W112" s="34"/>
      <c r="X112" s="34"/>
      <c r="Y112" s="34"/>
      <c r="Z112" s="34"/>
      <c r="AA112" s="447"/>
      <c r="AB112" s="34"/>
      <c r="AC112" s="34"/>
      <c r="AD112" s="34"/>
      <c r="AE112" s="34"/>
      <c r="AF112" s="34"/>
    </row>
    <row r="113" spans="1:3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V113" s="34"/>
      <c r="W113" s="34"/>
      <c r="X113" s="34"/>
      <c r="Y113" s="34"/>
      <c r="Z113" s="34"/>
      <c r="AA113" s="447"/>
      <c r="AB113" s="34"/>
      <c r="AC113" s="34"/>
      <c r="AD113" s="34"/>
      <c r="AE113" s="34"/>
      <c r="AF113" s="34"/>
    </row>
    <row r="114" spans="1:3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V114" s="34"/>
      <c r="W114" s="34"/>
      <c r="X114" s="34"/>
      <c r="Y114" s="34"/>
      <c r="Z114" s="34"/>
      <c r="AA114" s="447"/>
      <c r="AB114" s="34"/>
      <c r="AC114" s="34"/>
      <c r="AD114" s="34"/>
      <c r="AE114" s="34"/>
      <c r="AF114" s="34"/>
    </row>
    <row r="115" spans="1:3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V115" s="34"/>
      <c r="W115" s="34"/>
      <c r="X115" s="34"/>
      <c r="Y115" s="34"/>
      <c r="Z115" s="34"/>
      <c r="AA115" s="447"/>
      <c r="AB115" s="34"/>
      <c r="AC115" s="34"/>
      <c r="AD115" s="34"/>
      <c r="AE115" s="34"/>
      <c r="AF115" s="34"/>
    </row>
    <row r="116" spans="1:3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V116" s="34"/>
      <c r="W116" s="34"/>
      <c r="X116" s="34"/>
      <c r="Y116" s="34"/>
      <c r="Z116" s="34"/>
      <c r="AA116" s="447"/>
      <c r="AB116" s="34"/>
      <c r="AC116" s="34"/>
      <c r="AD116" s="34"/>
      <c r="AE116" s="34"/>
      <c r="AF116" s="34"/>
    </row>
    <row r="117" spans="1:3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V117" s="34"/>
      <c r="W117" s="34"/>
      <c r="X117" s="34"/>
      <c r="Y117" s="34"/>
      <c r="Z117" s="34"/>
      <c r="AA117" s="447"/>
      <c r="AB117" s="34"/>
      <c r="AC117" s="34"/>
      <c r="AD117" s="34"/>
      <c r="AE117" s="34"/>
      <c r="AF117" s="34"/>
    </row>
    <row r="118" spans="1:3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V118" s="34"/>
      <c r="W118" s="34"/>
      <c r="X118" s="34"/>
      <c r="Y118" s="34"/>
      <c r="Z118" s="34"/>
      <c r="AA118" s="447"/>
      <c r="AB118" s="34"/>
      <c r="AC118" s="34"/>
      <c r="AD118" s="34"/>
      <c r="AE118" s="34"/>
      <c r="AF118" s="34"/>
    </row>
    <row r="119" spans="1:3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V119" s="34"/>
      <c r="W119" s="34"/>
      <c r="X119" s="34"/>
      <c r="Y119" s="34"/>
      <c r="Z119" s="34"/>
      <c r="AA119" s="447"/>
      <c r="AB119" s="34"/>
      <c r="AC119" s="34"/>
      <c r="AD119" s="34"/>
      <c r="AE119" s="34"/>
      <c r="AF119" s="34"/>
    </row>
    <row r="120" spans="1:3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V120" s="34"/>
      <c r="W120" s="34"/>
      <c r="X120" s="34"/>
      <c r="Y120" s="34"/>
      <c r="Z120" s="34"/>
      <c r="AA120" s="447"/>
      <c r="AB120" s="34"/>
      <c r="AC120" s="34"/>
      <c r="AD120" s="34"/>
      <c r="AE120" s="34"/>
      <c r="AF120" s="34"/>
    </row>
    <row r="121" spans="1:3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V121" s="34"/>
      <c r="W121" s="34"/>
      <c r="X121" s="34"/>
      <c r="Y121" s="34"/>
      <c r="Z121" s="34"/>
      <c r="AA121" s="447"/>
      <c r="AB121" s="34"/>
      <c r="AC121" s="34"/>
      <c r="AD121" s="34"/>
      <c r="AE121" s="34"/>
      <c r="AF121" s="34"/>
    </row>
    <row r="122" spans="1:3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V122" s="34"/>
      <c r="W122" s="34"/>
      <c r="X122" s="34"/>
      <c r="Y122" s="34"/>
      <c r="Z122" s="34"/>
      <c r="AA122" s="447"/>
      <c r="AB122" s="34"/>
      <c r="AC122" s="34"/>
      <c r="AD122" s="34"/>
      <c r="AE122" s="34"/>
      <c r="AF122" s="34"/>
    </row>
    <row r="123" spans="1:3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V123" s="34"/>
      <c r="W123" s="34"/>
      <c r="X123" s="34"/>
      <c r="Y123" s="34"/>
      <c r="Z123" s="34"/>
      <c r="AA123" s="447"/>
      <c r="AB123" s="34"/>
      <c r="AC123" s="34"/>
      <c r="AD123" s="34"/>
      <c r="AE123" s="34"/>
      <c r="AF123" s="34"/>
    </row>
    <row r="124" spans="1:3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V124" s="34"/>
      <c r="W124" s="34"/>
      <c r="X124" s="34"/>
      <c r="Y124" s="34"/>
      <c r="Z124" s="34"/>
      <c r="AA124" s="447"/>
      <c r="AB124" s="34"/>
      <c r="AC124" s="34"/>
      <c r="AD124" s="34"/>
      <c r="AE124" s="34"/>
      <c r="AF124" s="34"/>
    </row>
    <row r="125" spans="1:3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V125" s="34"/>
      <c r="W125" s="34"/>
      <c r="X125" s="34"/>
      <c r="Y125" s="34"/>
      <c r="Z125" s="34"/>
      <c r="AA125" s="447"/>
      <c r="AB125" s="34"/>
      <c r="AC125" s="34"/>
      <c r="AD125" s="34"/>
      <c r="AE125" s="34"/>
      <c r="AF125" s="34"/>
    </row>
    <row r="126" spans="1:3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V126" s="34"/>
      <c r="W126" s="34"/>
      <c r="X126" s="34"/>
      <c r="Y126" s="34"/>
      <c r="Z126" s="34"/>
      <c r="AA126" s="447"/>
      <c r="AB126" s="34"/>
      <c r="AC126" s="34"/>
      <c r="AD126" s="34"/>
      <c r="AE126" s="34"/>
      <c r="AF126" s="34"/>
    </row>
    <row r="127" spans="1:3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V127" s="34"/>
      <c r="W127" s="34"/>
      <c r="X127" s="34"/>
      <c r="Y127" s="34"/>
      <c r="Z127" s="34"/>
      <c r="AA127" s="447"/>
      <c r="AB127" s="34"/>
      <c r="AC127" s="34"/>
      <c r="AD127" s="34"/>
      <c r="AE127" s="34"/>
      <c r="AF127" s="34"/>
    </row>
    <row r="128" spans="1:3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V128" s="34"/>
      <c r="W128" s="34"/>
      <c r="X128" s="34"/>
      <c r="Y128" s="34"/>
      <c r="Z128" s="34"/>
      <c r="AA128" s="447"/>
      <c r="AB128" s="34"/>
      <c r="AC128" s="34"/>
      <c r="AD128" s="34"/>
      <c r="AE128" s="34"/>
      <c r="AF128" s="34"/>
    </row>
    <row r="129" spans="1:3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V129" s="34"/>
      <c r="W129" s="34"/>
      <c r="X129" s="34"/>
      <c r="Y129" s="34"/>
      <c r="Z129" s="34"/>
      <c r="AA129" s="447"/>
      <c r="AB129" s="34"/>
      <c r="AC129" s="34"/>
      <c r="AD129" s="34"/>
      <c r="AE129" s="34"/>
      <c r="AF129" s="34"/>
    </row>
    <row r="130" spans="1:3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V130" s="34"/>
      <c r="W130" s="34"/>
      <c r="X130" s="34"/>
      <c r="Y130" s="34"/>
      <c r="Z130" s="34"/>
      <c r="AA130" s="447"/>
      <c r="AB130" s="34"/>
      <c r="AC130" s="34"/>
      <c r="AD130" s="34"/>
      <c r="AE130" s="34"/>
      <c r="AF130" s="34"/>
    </row>
    <row r="131" spans="1:3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V131" s="34"/>
      <c r="W131" s="34"/>
      <c r="X131" s="34"/>
      <c r="Y131" s="34"/>
      <c r="Z131" s="34"/>
      <c r="AA131" s="447"/>
      <c r="AB131" s="34"/>
      <c r="AC131" s="34"/>
      <c r="AD131" s="34"/>
      <c r="AE131" s="34"/>
      <c r="AF131" s="34"/>
    </row>
  </sheetData>
  <sheetProtection password="CACA" sheet="1" objects="1" scenarios="1"/>
  <mergeCells count="36"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T4:T7"/>
    <mergeCell ref="Z4:Z7"/>
    <mergeCell ref="U6:U7"/>
    <mergeCell ref="V6:V7"/>
    <mergeCell ref="U3:V3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4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AD53"/>
  <sheetViews>
    <sheetView view="pageBreakPreview" zoomScale="75" zoomScaleNormal="75" zoomScaleSheetLayoutView="75" workbookViewId="0">
      <pane xSplit="3" ySplit="8" topLeftCell="D48" activePane="bottomRight" state="frozen"/>
      <selection activeCell="C73" sqref="C73"/>
      <selection pane="topRight" activeCell="C73" sqref="C73"/>
      <selection pane="bottomLeft" activeCell="C73" sqref="C73"/>
      <selection pane="bottomRight" activeCell="O67" sqref="O67"/>
    </sheetView>
  </sheetViews>
  <sheetFormatPr defaultColWidth="9.42578125" defaultRowHeight="15"/>
  <cols>
    <col min="1" max="1" width="11" style="285" bestFit="1" customWidth="1"/>
    <col min="2" max="2" width="31" style="174" customWidth="1"/>
    <col min="3" max="3" width="17.28515625" style="174" customWidth="1"/>
    <col min="4" max="10" width="16.28515625" style="174" customWidth="1"/>
    <col min="11" max="11" width="9.42578125" style="174"/>
    <col min="12" max="14" width="18.85546875" style="174" customWidth="1"/>
    <col min="15" max="16384" width="9.42578125" style="174"/>
  </cols>
  <sheetData>
    <row r="1" spans="1:14" s="276" customFormat="1" ht="35.25" customHeight="1">
      <c r="A1" s="758" t="s">
        <v>462</v>
      </c>
      <c r="B1" s="758"/>
      <c r="C1" s="758"/>
      <c r="D1" s="758"/>
      <c r="E1" s="758"/>
      <c r="F1" s="758"/>
      <c r="G1" s="758"/>
      <c r="H1" s="758"/>
      <c r="I1" s="758"/>
      <c r="J1" s="449" t="s">
        <v>461</v>
      </c>
    </row>
    <row r="2" spans="1:14" s="269" customFormat="1" ht="15.75" customHeight="1">
      <c r="A2" s="277"/>
      <c r="B2" s="278"/>
      <c r="C2" s="278"/>
      <c r="E2" s="279"/>
    </row>
    <row r="3" spans="1:14" s="269" customFormat="1" ht="16.5" customHeight="1">
      <c r="A3" s="280" t="s">
        <v>463</v>
      </c>
      <c r="C3" s="280"/>
      <c r="F3" s="281"/>
      <c r="G3" s="705">
        <f>+'Asset quality'!Q3</f>
        <v>44926</v>
      </c>
      <c r="H3" s="705"/>
      <c r="J3" s="320" t="str">
        <f>+'Asset quality'!T3</f>
        <v>минг. сўмда</v>
      </c>
      <c r="L3" s="320"/>
    </row>
    <row r="4" spans="1:14" s="244" customFormat="1" ht="36" customHeight="1">
      <c r="A4" s="759" t="s">
        <v>62</v>
      </c>
      <c r="B4" s="759" t="s">
        <v>464</v>
      </c>
      <c r="C4" s="742" t="str">
        <f>"Ҳисобдан чиқарилган кредит ва лизинглар қолдиғи"&amp;" "&amp;DAY(G3)&amp;"."&amp;IF(LEN(MONTH(G3))&lt;2,"0"&amp;MONTH(G3),MONTH(G3))&amp;"."&amp;YEAR(G3)-1&amp;"г"</f>
        <v>Ҳисобдан чиқарилган кредит ва лизинглар қолдиғи 31.12.2021г</v>
      </c>
      <c r="D4" s="746" t="s">
        <v>465</v>
      </c>
      <c r="E4" s="762"/>
      <c r="F4" s="762"/>
      <c r="G4" s="762"/>
      <c r="H4" s="762"/>
      <c r="I4" s="747"/>
      <c r="J4" s="742" t="str">
        <f>"Хисобдан чиқарилган кредит ва лизинглар қолдиғи"&amp;" "&amp;DAY(G3)&amp;"."&amp;IF(LEN(MONTH(G3))&lt;2,"0"&amp;MONTH(G3),MONTH(G3))&amp;"."&amp;YEAR(G3)&amp;"г"</f>
        <v>Хисобдан чиқарилган кредит ва лизинглар қолдиғи 31.12.2022г</v>
      </c>
    </row>
    <row r="5" spans="1:14" s="244" customFormat="1" ht="33.75" customHeight="1">
      <c r="A5" s="760"/>
      <c r="B5" s="760"/>
      <c r="C5" s="743"/>
      <c r="D5" s="763" t="s">
        <v>466</v>
      </c>
      <c r="E5" s="764"/>
      <c r="F5" s="750" t="s">
        <v>467</v>
      </c>
      <c r="G5" s="765"/>
      <c r="H5" s="750" t="s">
        <v>468</v>
      </c>
      <c r="I5" s="765"/>
      <c r="J5" s="743"/>
      <c r="N5" s="282"/>
    </row>
    <row r="6" spans="1:14" s="244" customFormat="1" ht="44.25" customHeight="1">
      <c r="A6" s="761"/>
      <c r="B6" s="761"/>
      <c r="C6" s="744"/>
      <c r="D6" s="295" t="s">
        <v>235</v>
      </c>
      <c r="E6" s="295" t="s">
        <v>469</v>
      </c>
      <c r="F6" s="295" t="s">
        <v>235</v>
      </c>
      <c r="G6" s="295" t="s">
        <v>469</v>
      </c>
      <c r="H6" s="295" t="s">
        <v>235</v>
      </c>
      <c r="I6" s="295" t="s">
        <v>469</v>
      </c>
      <c r="J6" s="744"/>
    </row>
    <row r="7" spans="1:14" ht="19.5" customHeight="1">
      <c r="A7" s="295"/>
      <c r="B7" s="295" t="s">
        <v>79</v>
      </c>
      <c r="C7" s="295" t="s">
        <v>80</v>
      </c>
      <c r="D7" s="295" t="s">
        <v>90</v>
      </c>
      <c r="E7" s="295" t="s">
        <v>81</v>
      </c>
      <c r="F7" s="295" t="s">
        <v>82</v>
      </c>
      <c r="G7" s="295" t="s">
        <v>91</v>
      </c>
      <c r="H7" s="295" t="s">
        <v>83</v>
      </c>
      <c r="I7" s="295" t="s">
        <v>84</v>
      </c>
      <c r="J7" s="295" t="s">
        <v>85</v>
      </c>
    </row>
    <row r="8" spans="1:14" ht="19.5" customHeight="1">
      <c r="A8" s="295">
        <v>1</v>
      </c>
      <c r="B8" s="295" t="s">
        <v>470</v>
      </c>
      <c r="C8" s="295">
        <f>SUM(C10:C17)</f>
        <v>288579572.96362978</v>
      </c>
      <c r="D8" s="295">
        <f t="shared" ref="D8:J8" si="0">SUM(D10:D17)</f>
        <v>225739312</v>
      </c>
      <c r="E8" s="295">
        <f t="shared" si="0"/>
        <v>106811590</v>
      </c>
      <c r="F8" s="295">
        <f t="shared" si="0"/>
        <v>261112961</v>
      </c>
      <c r="G8" s="295">
        <f t="shared" si="0"/>
        <v>91425351</v>
      </c>
      <c r="H8" s="295">
        <f t="shared" si="0"/>
        <v>0</v>
      </c>
      <c r="I8" s="295">
        <f t="shared" si="0"/>
        <v>0</v>
      </c>
      <c r="J8" s="295">
        <f t="shared" si="0"/>
        <v>253205923.96362978</v>
      </c>
      <c r="L8" s="285">
        <f>+'loans type'!Y27</f>
        <v>253205923.96362978</v>
      </c>
    </row>
    <row r="9" spans="1:14" ht="19.5" customHeight="1">
      <c r="A9" s="450"/>
      <c r="B9" s="451" t="s">
        <v>335</v>
      </c>
      <c r="C9" s="283"/>
      <c r="D9" s="284"/>
      <c r="E9" s="284"/>
      <c r="F9" s="284"/>
      <c r="G9" s="284"/>
      <c r="H9" s="284"/>
      <c r="I9" s="284"/>
      <c r="J9" s="284"/>
      <c r="K9" s="285"/>
    </row>
    <row r="10" spans="1:14" ht="28.5" customHeight="1">
      <c r="A10" s="452" t="s">
        <v>111</v>
      </c>
      <c r="B10" s="283" t="s">
        <v>471</v>
      </c>
      <c r="C10" s="296">
        <v>49829388.153790012</v>
      </c>
      <c r="D10" s="296">
        <v>171771884</v>
      </c>
      <c r="E10" s="296">
        <v>104117480</v>
      </c>
      <c r="F10" s="296">
        <v>143549980</v>
      </c>
      <c r="G10" s="296">
        <v>91425351</v>
      </c>
      <c r="H10" s="296"/>
      <c r="I10" s="296"/>
      <c r="J10" s="296">
        <f>+C10+D10-F10</f>
        <v>78051292.153789997</v>
      </c>
    </row>
    <row r="11" spans="1:14" ht="28.5" customHeight="1">
      <c r="A11" s="452" t="s">
        <v>112</v>
      </c>
      <c r="B11" s="283" t="s">
        <v>472</v>
      </c>
      <c r="C11" s="296">
        <v>62649745.262529843</v>
      </c>
      <c r="D11" s="296">
        <v>5091693</v>
      </c>
      <c r="E11" s="296">
        <v>0</v>
      </c>
      <c r="F11" s="296">
        <v>12671385</v>
      </c>
      <c r="G11" s="296">
        <v>0</v>
      </c>
      <c r="H11" s="296"/>
      <c r="I11" s="296"/>
      <c r="J11" s="296">
        <f t="shared" ref="J11:J17" si="1">+C11+D11-F11</f>
        <v>55070053.26252985</v>
      </c>
    </row>
    <row r="12" spans="1:14" ht="28.5" customHeight="1">
      <c r="A12" s="452" t="s">
        <v>113</v>
      </c>
      <c r="B12" s="283" t="s">
        <v>473</v>
      </c>
      <c r="C12" s="296">
        <v>0</v>
      </c>
      <c r="D12" s="296">
        <v>0</v>
      </c>
      <c r="E12" s="296">
        <v>0</v>
      </c>
      <c r="F12" s="296">
        <v>0</v>
      </c>
      <c r="G12" s="296">
        <v>0</v>
      </c>
      <c r="H12" s="296"/>
      <c r="I12" s="296"/>
      <c r="J12" s="296">
        <f>+C12+D12-F12</f>
        <v>0</v>
      </c>
    </row>
    <row r="13" spans="1:14" ht="28.5" customHeight="1">
      <c r="A13" s="452" t="s">
        <v>117</v>
      </c>
      <c r="B13" s="283" t="s">
        <v>474</v>
      </c>
      <c r="C13" s="296">
        <v>79370382.681679994</v>
      </c>
      <c r="D13" s="296">
        <v>8837920</v>
      </c>
      <c r="E13" s="296">
        <v>2694110</v>
      </c>
      <c r="F13" s="296">
        <v>4808049</v>
      </c>
      <c r="G13" s="296">
        <v>0</v>
      </c>
      <c r="H13" s="296"/>
      <c r="I13" s="296"/>
      <c r="J13" s="296">
        <f t="shared" si="1"/>
        <v>83400253.681679994</v>
      </c>
    </row>
    <row r="14" spans="1:14" ht="28.5" customHeight="1">
      <c r="A14" s="452" t="s">
        <v>118</v>
      </c>
      <c r="B14" s="283" t="s">
        <v>475</v>
      </c>
      <c r="C14" s="296">
        <v>285316.79074000003</v>
      </c>
      <c r="D14" s="296">
        <v>1087689</v>
      </c>
      <c r="E14" s="296">
        <v>0</v>
      </c>
      <c r="F14" s="296">
        <v>111786</v>
      </c>
      <c r="G14" s="296">
        <v>0</v>
      </c>
      <c r="H14" s="296"/>
      <c r="I14" s="296"/>
      <c r="J14" s="296">
        <f t="shared" si="1"/>
        <v>1261219.7907400001</v>
      </c>
    </row>
    <row r="15" spans="1:14" ht="28.5" customHeight="1">
      <c r="A15" s="452" t="s">
        <v>147</v>
      </c>
      <c r="B15" s="283" t="s">
        <v>476</v>
      </c>
      <c r="C15" s="296">
        <v>0</v>
      </c>
      <c r="D15" s="296">
        <v>0</v>
      </c>
      <c r="E15" s="296">
        <v>0</v>
      </c>
      <c r="F15" s="296">
        <v>0</v>
      </c>
      <c r="G15" s="296">
        <v>0</v>
      </c>
      <c r="H15" s="296"/>
      <c r="I15" s="296"/>
      <c r="J15" s="296">
        <f t="shared" si="1"/>
        <v>0</v>
      </c>
    </row>
    <row r="16" spans="1:14" ht="28.5" customHeight="1">
      <c r="A16" s="452" t="s">
        <v>220</v>
      </c>
      <c r="B16" s="283" t="s">
        <v>477</v>
      </c>
      <c r="C16" s="296">
        <v>96444740.074889928</v>
      </c>
      <c r="D16" s="296">
        <v>38950126</v>
      </c>
      <c r="E16" s="296">
        <v>0</v>
      </c>
      <c r="F16" s="296">
        <v>99971761</v>
      </c>
      <c r="G16" s="296">
        <v>0</v>
      </c>
      <c r="H16" s="296"/>
      <c r="I16" s="296"/>
      <c r="J16" s="296">
        <f t="shared" si="1"/>
        <v>35423105.074889928</v>
      </c>
    </row>
    <row r="17" spans="1:15" ht="28.5" customHeight="1">
      <c r="A17" s="452" t="s">
        <v>221</v>
      </c>
      <c r="B17" s="283" t="s">
        <v>478</v>
      </c>
      <c r="C17" s="296">
        <v>0</v>
      </c>
      <c r="D17" s="296">
        <v>0</v>
      </c>
      <c r="E17" s="296">
        <v>0</v>
      </c>
      <c r="F17" s="296">
        <v>0</v>
      </c>
      <c r="G17" s="296">
        <v>0</v>
      </c>
      <c r="H17" s="296"/>
      <c r="I17" s="296"/>
      <c r="J17" s="296">
        <f t="shared" si="1"/>
        <v>0</v>
      </c>
    </row>
    <row r="18" spans="1:15" ht="19.5" customHeight="1">
      <c r="A18" s="295">
        <v>2</v>
      </c>
      <c r="B18" s="295" t="s">
        <v>401</v>
      </c>
      <c r="C18" s="295">
        <f>SUM(C20:C24)</f>
        <v>21088046</v>
      </c>
      <c r="D18" s="295">
        <f t="shared" ref="D18:J18" si="2">SUM(D20:D24)</f>
        <v>124877743</v>
      </c>
      <c r="E18" s="295">
        <f t="shared" si="2"/>
        <v>0</v>
      </c>
      <c r="F18" s="295">
        <f t="shared" si="2"/>
        <v>51825051</v>
      </c>
      <c r="G18" s="295">
        <f t="shared" si="2"/>
        <v>0</v>
      </c>
      <c r="H18" s="295">
        <f t="shared" si="2"/>
        <v>0</v>
      </c>
      <c r="I18" s="295">
        <f t="shared" si="2"/>
        <v>0</v>
      </c>
      <c r="J18" s="295">
        <f t="shared" si="2"/>
        <v>94140738</v>
      </c>
      <c r="L18" s="285">
        <f>+'loans type'!Y9</f>
        <v>94140738</v>
      </c>
    </row>
    <row r="19" spans="1:15" ht="19.5" customHeight="1">
      <c r="A19" s="453"/>
      <c r="B19" s="451" t="s">
        <v>335</v>
      </c>
      <c r="C19" s="283"/>
      <c r="D19" s="284"/>
      <c r="E19" s="284"/>
      <c r="F19" s="284"/>
      <c r="G19" s="284"/>
      <c r="H19" s="284"/>
      <c r="I19" s="284"/>
      <c r="J19" s="284"/>
    </row>
    <row r="20" spans="1:15" ht="28.5" customHeight="1">
      <c r="A20" s="452" t="s">
        <v>124</v>
      </c>
      <c r="B20" s="283" t="s">
        <v>479</v>
      </c>
      <c r="C20" s="296"/>
      <c r="D20" s="296"/>
      <c r="E20" s="296"/>
      <c r="F20" s="296"/>
      <c r="G20" s="296"/>
      <c r="H20" s="296"/>
      <c r="I20" s="296">
        <f>+E20-G20</f>
        <v>0</v>
      </c>
      <c r="J20" s="296">
        <f>+C20+D20-F20</f>
        <v>0</v>
      </c>
    </row>
    <row r="21" spans="1:15" ht="28.5" customHeight="1">
      <c r="A21" s="452" t="s">
        <v>125</v>
      </c>
      <c r="B21" s="283" t="s">
        <v>175</v>
      </c>
      <c r="C21" s="296"/>
      <c r="D21" s="296"/>
      <c r="E21" s="296"/>
      <c r="F21" s="296"/>
      <c r="G21" s="296"/>
      <c r="H21" s="296"/>
      <c r="I21" s="296">
        <f t="shared" ref="I21:I24" si="3">+E21-G21</f>
        <v>0</v>
      </c>
      <c r="J21" s="296">
        <f t="shared" ref="J21:J24" si="4">+C21+D21-F21</f>
        <v>0</v>
      </c>
    </row>
    <row r="22" spans="1:15" ht="28.5" customHeight="1">
      <c r="A22" s="452" t="s">
        <v>127</v>
      </c>
      <c r="B22" s="283" t="s">
        <v>480</v>
      </c>
      <c r="C22" s="296"/>
      <c r="D22" s="296"/>
      <c r="E22" s="296"/>
      <c r="F22" s="296"/>
      <c r="G22" s="296"/>
      <c r="H22" s="296"/>
      <c r="I22" s="296">
        <f t="shared" si="3"/>
        <v>0</v>
      </c>
      <c r="J22" s="296">
        <f t="shared" si="4"/>
        <v>0</v>
      </c>
    </row>
    <row r="23" spans="1:15" ht="28.5" customHeight="1">
      <c r="A23" s="452" t="s">
        <v>129</v>
      </c>
      <c r="B23" s="283" t="s">
        <v>481</v>
      </c>
      <c r="C23" s="296"/>
      <c r="D23" s="296"/>
      <c r="E23" s="296"/>
      <c r="F23" s="296"/>
      <c r="G23" s="296"/>
      <c r="H23" s="296"/>
      <c r="I23" s="296">
        <f t="shared" si="3"/>
        <v>0</v>
      </c>
      <c r="J23" s="296">
        <f t="shared" si="4"/>
        <v>0</v>
      </c>
    </row>
    <row r="24" spans="1:15" ht="28.5" customHeight="1">
      <c r="A24" s="452" t="s">
        <v>176</v>
      </c>
      <c r="B24" s="283" t="s">
        <v>482</v>
      </c>
      <c r="C24" s="296">
        <v>21088046</v>
      </c>
      <c r="D24" s="296">
        <v>124877743</v>
      </c>
      <c r="E24" s="296"/>
      <c r="F24" s="296">
        <v>51825051</v>
      </c>
      <c r="G24" s="296"/>
      <c r="H24" s="296"/>
      <c r="I24" s="296">
        <f t="shared" si="3"/>
        <v>0</v>
      </c>
      <c r="J24" s="296">
        <f t="shared" si="4"/>
        <v>94140738</v>
      </c>
    </row>
    <row r="25" spans="1:15" ht="19.5" customHeight="1">
      <c r="A25" s="295">
        <v>3</v>
      </c>
      <c r="B25" s="295" t="s">
        <v>235</v>
      </c>
      <c r="C25" s="295">
        <f>+C18+C8</f>
        <v>309667618.96362978</v>
      </c>
      <c r="D25" s="295">
        <f t="shared" ref="D25:J25" si="5">+D18+D8</f>
        <v>350617055</v>
      </c>
      <c r="E25" s="295">
        <f t="shared" si="5"/>
        <v>106811590</v>
      </c>
      <c r="F25" s="295">
        <f t="shared" si="5"/>
        <v>312938012</v>
      </c>
      <c r="G25" s="295">
        <f t="shared" si="5"/>
        <v>91425351</v>
      </c>
      <c r="H25" s="295">
        <f t="shared" si="5"/>
        <v>0</v>
      </c>
      <c r="I25" s="295">
        <f t="shared" si="5"/>
        <v>0</v>
      </c>
      <c r="J25" s="295">
        <f t="shared" si="5"/>
        <v>347346661.96362978</v>
      </c>
      <c r="L25" s="617">
        <f>+'loans type'!Y8</f>
        <v>347346661.96362978</v>
      </c>
    </row>
    <row r="26" spans="1:15">
      <c r="B26" s="277"/>
      <c r="C26" s="277"/>
      <c r="D26" s="286"/>
      <c r="E26" s="286"/>
      <c r="F26" s="286"/>
      <c r="G26" s="286"/>
      <c r="H26" s="286"/>
      <c r="I26" s="286"/>
      <c r="J26" s="286"/>
    </row>
    <row r="27" spans="1:15" s="269" customFormat="1" ht="16.5" customHeight="1">
      <c r="A27" s="280" t="s">
        <v>487</v>
      </c>
      <c r="B27" s="280"/>
      <c r="C27" s="280"/>
      <c r="G27" s="287"/>
      <c r="H27" s="270"/>
      <c r="L27" s="174"/>
      <c r="N27" s="288"/>
      <c r="O27" s="288"/>
    </row>
    <row r="28" spans="1:15" s="244" customFormat="1" ht="33.75" customHeight="1">
      <c r="A28" s="766" t="s">
        <v>62</v>
      </c>
      <c r="B28" s="742" t="s">
        <v>464</v>
      </c>
      <c r="C28" s="742" t="str">
        <f>"Кредит ва лизинг бўйича эҳтимолий йўқотишларга қарши захиралар"&amp;" "&amp;DAY(G3)&amp;"."&amp;IF(LEN(MONTH(G3))&lt;2,"0"&amp;MONTH(G3),MONTH(G3))&amp;"."&amp;YEAR(G3)-1&amp;"г"</f>
        <v>Кредит ва лизинг бўйича эҳтимолий йўқотишларга қарши захиралар 31.12.2021г</v>
      </c>
      <c r="D28" s="746" t="s">
        <v>483</v>
      </c>
      <c r="E28" s="762"/>
      <c r="F28" s="762"/>
      <c r="G28" s="747"/>
      <c r="H28" s="742" t="s">
        <v>486</v>
      </c>
      <c r="I28" s="742" t="str">
        <f>"Кредит ва лизинг бўйича эҳтимолий йўқотишларга қарши захиралар"&amp;" "&amp;DAY(G3)&amp;"."&amp;IF(LEN(MONTH(G3))&lt;2,"0"&amp;MONTH(G3),MONTH(G3))&amp;"."&amp;YEAR(G3)&amp;"г"</f>
        <v>Кредит ва лизинг бўйича эҳтимолий йўқотишларга қарши захиралар 31.12.2022г</v>
      </c>
      <c r="L28" s="174"/>
    </row>
    <row r="29" spans="1:15" s="244" customFormat="1" ht="28.5" customHeight="1">
      <c r="A29" s="767"/>
      <c r="B29" s="743"/>
      <c r="C29" s="743"/>
      <c r="D29" s="746" t="s">
        <v>484</v>
      </c>
      <c r="E29" s="747"/>
      <c r="F29" s="746" t="s">
        <v>485</v>
      </c>
      <c r="G29" s="747"/>
      <c r="H29" s="743"/>
      <c r="I29" s="743"/>
      <c r="L29" s="174"/>
    </row>
    <row r="30" spans="1:15" s="244" customFormat="1" ht="37.5" customHeight="1">
      <c r="A30" s="768"/>
      <c r="B30" s="744"/>
      <c r="C30" s="744"/>
      <c r="D30" s="295" t="s">
        <v>235</v>
      </c>
      <c r="E30" s="295" t="s">
        <v>469</v>
      </c>
      <c r="F30" s="295" t="s">
        <v>235</v>
      </c>
      <c r="G30" s="295" t="s">
        <v>469</v>
      </c>
      <c r="H30" s="744"/>
      <c r="I30" s="744"/>
      <c r="L30" s="174"/>
    </row>
    <row r="31" spans="1:15" ht="19.5" customHeight="1">
      <c r="A31" s="295"/>
      <c r="B31" s="295" t="s">
        <v>79</v>
      </c>
      <c r="C31" s="295" t="s">
        <v>80</v>
      </c>
      <c r="D31" s="295" t="s">
        <v>90</v>
      </c>
      <c r="E31" s="295" t="s">
        <v>81</v>
      </c>
      <c r="F31" s="295" t="s">
        <v>82</v>
      </c>
      <c r="G31" s="295" t="s">
        <v>91</v>
      </c>
      <c r="H31" s="295" t="s">
        <v>83</v>
      </c>
      <c r="I31" s="295" t="s">
        <v>84</v>
      </c>
    </row>
    <row r="32" spans="1:15" ht="19.5" customHeight="1">
      <c r="A32" s="295">
        <v>1</v>
      </c>
      <c r="B32" s="295" t="s">
        <v>470</v>
      </c>
      <c r="C32" s="295">
        <f>SUM(C34:C41)</f>
        <v>105982525.41315998</v>
      </c>
      <c r="D32" s="295">
        <f t="shared" ref="D32:H32" si="6">SUM(D34:D41)</f>
        <v>163128478.43478218</v>
      </c>
      <c r="E32" s="295">
        <f t="shared" si="6"/>
        <v>0</v>
      </c>
      <c r="F32" s="295">
        <f t="shared" si="6"/>
        <v>27435583.784290001</v>
      </c>
      <c r="G32" s="295">
        <f t="shared" si="6"/>
        <v>0</v>
      </c>
      <c r="H32" s="295">
        <f t="shared" si="6"/>
        <v>291888041.23733217</v>
      </c>
      <c r="I32" s="295">
        <f>SUM(I34:I41)</f>
        <v>262177672</v>
      </c>
      <c r="L32" s="285">
        <f>+'Asset Classification'!Y31-'Asset Classification'!Y13</f>
        <v>262177672</v>
      </c>
    </row>
    <row r="33" spans="1:12" ht="19.5" customHeight="1">
      <c r="A33" s="453"/>
      <c r="B33" s="451" t="s">
        <v>335</v>
      </c>
      <c r="C33" s="283"/>
      <c r="D33" s="284"/>
      <c r="E33" s="284"/>
      <c r="F33" s="284"/>
      <c r="G33" s="284"/>
      <c r="H33" s="284"/>
      <c r="I33" s="284"/>
    </row>
    <row r="34" spans="1:12" ht="28.5" customHeight="1">
      <c r="A34" s="452" t="s">
        <v>111</v>
      </c>
      <c r="B34" s="283" t="s">
        <v>471</v>
      </c>
      <c r="C34" s="296">
        <v>33424986.127963502</v>
      </c>
      <c r="D34" s="296">
        <f>+I34-C34</f>
        <v>79175387.591013789</v>
      </c>
      <c r="E34" s="296"/>
      <c r="F34" s="296"/>
      <c r="G34" s="296"/>
      <c r="H34" s="296">
        <f>+I34-(C34-D34+F34)</f>
        <v>158350775.18202758</v>
      </c>
      <c r="I34" s="296">
        <v>112600373.71897729</v>
      </c>
    </row>
    <row r="35" spans="1:12" ht="28.5" customHeight="1">
      <c r="A35" s="452" t="s">
        <v>112</v>
      </c>
      <c r="B35" s="283" t="s">
        <v>472</v>
      </c>
      <c r="C35" s="296">
        <v>22343615.650906745</v>
      </c>
      <c r="D35" s="296">
        <f t="shared" ref="D35:D39" si="7">+I35-C35</f>
        <v>43438700.414301112</v>
      </c>
      <c r="E35" s="296"/>
      <c r="F35" s="296"/>
      <c r="G35" s="296"/>
      <c r="H35" s="296">
        <f t="shared" ref="H35:H40" si="8">+I35-(C35-D35+F35)</f>
        <v>86877400.828602225</v>
      </c>
      <c r="I35" s="296">
        <v>65782316.065207854</v>
      </c>
    </row>
    <row r="36" spans="1:12" ht="28.5" customHeight="1">
      <c r="A36" s="452" t="s">
        <v>113</v>
      </c>
      <c r="B36" s="283" t="s">
        <v>473</v>
      </c>
      <c r="C36" s="296">
        <v>5796652.2624204848</v>
      </c>
      <c r="D36" s="296">
        <v>0</v>
      </c>
      <c r="E36" s="296"/>
      <c r="F36" s="296">
        <v>3085384.16817</v>
      </c>
      <c r="G36" s="296"/>
      <c r="H36" s="296">
        <f t="shared" si="8"/>
        <v>-1298239.5040848944</v>
      </c>
      <c r="I36" s="296">
        <v>7583796.9265055899</v>
      </c>
    </row>
    <row r="37" spans="1:12" ht="28.5" customHeight="1">
      <c r="A37" s="452" t="s">
        <v>117</v>
      </c>
      <c r="B37" s="283" t="s">
        <v>474</v>
      </c>
      <c r="C37" s="296">
        <v>6833061.2608057773</v>
      </c>
      <c r="D37" s="296">
        <v>0</v>
      </c>
      <c r="E37" s="296"/>
      <c r="F37" s="296">
        <v>6390113.8684</v>
      </c>
      <c r="G37" s="296"/>
      <c r="H37" s="296">
        <f t="shared" si="8"/>
        <v>-7520474.3024110021</v>
      </c>
      <c r="I37" s="296">
        <v>5702700.8267947761</v>
      </c>
    </row>
    <row r="38" spans="1:12" ht="28.5" customHeight="1">
      <c r="A38" s="452" t="s">
        <v>118</v>
      </c>
      <c r="B38" s="283" t="s">
        <v>475</v>
      </c>
      <c r="C38" s="296">
        <v>9810325.3522770889</v>
      </c>
      <c r="D38" s="296">
        <f t="shared" si="7"/>
        <v>19063712.765115682</v>
      </c>
      <c r="E38" s="296"/>
      <c r="F38" s="296"/>
      <c r="G38" s="296"/>
      <c r="H38" s="296">
        <f t="shared" si="8"/>
        <v>38127425.530231364</v>
      </c>
      <c r="I38" s="296">
        <v>28874038.117392771</v>
      </c>
    </row>
    <row r="39" spans="1:12" ht="28.5" customHeight="1">
      <c r="A39" s="452" t="s">
        <v>147</v>
      </c>
      <c r="B39" s="283" t="s">
        <v>476</v>
      </c>
      <c r="C39" s="296">
        <v>13293094.786509991</v>
      </c>
      <c r="D39" s="296">
        <f t="shared" si="7"/>
        <v>21450677.664351583</v>
      </c>
      <c r="E39" s="296"/>
      <c r="F39" s="296"/>
      <c r="G39" s="296"/>
      <c r="H39" s="296">
        <f t="shared" si="8"/>
        <v>42901355.328703165</v>
      </c>
      <c r="I39" s="296">
        <v>34743772.450861573</v>
      </c>
    </row>
    <row r="40" spans="1:12" ht="28.5" customHeight="1">
      <c r="A40" s="452" t="s">
        <v>220</v>
      </c>
      <c r="B40" s="283" t="s">
        <v>477</v>
      </c>
      <c r="C40" s="296">
        <v>4366511.7461525314</v>
      </c>
      <c r="D40" s="296">
        <v>0</v>
      </c>
      <c r="E40" s="296"/>
      <c r="F40" s="296">
        <v>7182810.2774099996</v>
      </c>
      <c r="G40" s="296"/>
      <c r="H40" s="296">
        <f t="shared" si="8"/>
        <v>-11549322.023562532</v>
      </c>
      <c r="I40" s="296">
        <v>0</v>
      </c>
    </row>
    <row r="41" spans="1:12" ht="28.5" customHeight="1">
      <c r="A41" s="452" t="s">
        <v>221</v>
      </c>
      <c r="B41" s="283" t="s">
        <v>478</v>
      </c>
      <c r="C41" s="296">
        <v>10114278.226123875</v>
      </c>
      <c r="D41" s="296">
        <v>0</v>
      </c>
      <c r="E41" s="296"/>
      <c r="F41" s="296">
        <v>10777275.470310001</v>
      </c>
      <c r="G41" s="296"/>
      <c r="H41" s="296">
        <f>+I41-(C41-D41+F41)</f>
        <v>-14000879.802173728</v>
      </c>
      <c r="I41" s="296">
        <v>6890673.8942601476</v>
      </c>
    </row>
    <row r="42" spans="1:12" ht="19.5" customHeight="1">
      <c r="A42" s="295">
        <v>2</v>
      </c>
      <c r="B42" s="295" t="s">
        <v>401</v>
      </c>
      <c r="C42" s="295">
        <f>SUM(C44:C48)</f>
        <v>115125773.58684</v>
      </c>
      <c r="D42" s="295">
        <f t="shared" ref="D42:H42" si="9">SUM(D44:D48)</f>
        <v>0</v>
      </c>
      <c r="E42" s="295">
        <f t="shared" si="9"/>
        <v>0</v>
      </c>
      <c r="F42" s="295">
        <f t="shared" si="9"/>
        <v>68131216.860758066</v>
      </c>
      <c r="G42" s="295">
        <f t="shared" si="9"/>
        <v>0</v>
      </c>
      <c r="H42" s="295">
        <f t="shared" si="9"/>
        <v>-91223355.447598085</v>
      </c>
      <c r="I42" s="295">
        <f>SUM(I44:I48)</f>
        <v>92033635</v>
      </c>
      <c r="L42" s="285">
        <f>+'Asset Classification'!Y13</f>
        <v>92033635</v>
      </c>
    </row>
    <row r="43" spans="1:12" ht="19.5" customHeight="1">
      <c r="A43" s="453"/>
      <c r="B43" s="451" t="s">
        <v>335</v>
      </c>
      <c r="C43" s="289"/>
      <c r="D43" s="104"/>
      <c r="E43" s="104"/>
      <c r="F43" s="104"/>
      <c r="G43" s="104"/>
      <c r="H43" s="104"/>
      <c r="I43" s="104"/>
    </row>
    <row r="44" spans="1:12" ht="28.5" customHeight="1">
      <c r="A44" s="452" t="s">
        <v>124</v>
      </c>
      <c r="B44" s="283" t="s">
        <v>479</v>
      </c>
      <c r="C44" s="296">
        <v>6619743.3159153992</v>
      </c>
      <c r="D44" s="296"/>
      <c r="E44" s="296"/>
      <c r="F44" s="296">
        <v>2302933.4210957456</v>
      </c>
      <c r="G44" s="296"/>
      <c r="H44" s="296">
        <f>+I44-(C44-D44+F44)</f>
        <v>-963105.99928351119</v>
      </c>
      <c r="I44" s="296">
        <v>7959570.7377276346</v>
      </c>
    </row>
    <row r="45" spans="1:12" ht="28.5" customHeight="1">
      <c r="A45" s="452" t="s">
        <v>125</v>
      </c>
      <c r="B45" s="283" t="s">
        <v>175</v>
      </c>
      <c r="C45" s="296">
        <v>1169344.0405215537</v>
      </c>
      <c r="D45" s="296"/>
      <c r="E45" s="296"/>
      <c r="F45" s="296">
        <v>1010694.0955033534</v>
      </c>
      <c r="G45" s="296"/>
      <c r="H45" s="296">
        <f t="shared" ref="H45:H48" si="10">+I45-(C45-D45+F45)</f>
        <v>-1887510.6699846815</v>
      </c>
      <c r="I45" s="296">
        <v>292527.46604022558</v>
      </c>
    </row>
    <row r="46" spans="1:12" ht="28.5" customHeight="1">
      <c r="A46" s="452" t="s">
        <v>127</v>
      </c>
      <c r="B46" s="283" t="s">
        <v>480</v>
      </c>
      <c r="C46" s="296">
        <v>7296894.4966395004</v>
      </c>
      <c r="D46" s="296"/>
      <c r="E46" s="296"/>
      <c r="F46" s="296">
        <v>24655.438411379215</v>
      </c>
      <c r="G46" s="296"/>
      <c r="H46" s="296">
        <f t="shared" si="10"/>
        <v>6087403.1150001669</v>
      </c>
      <c r="I46" s="296">
        <v>13408953.050051047</v>
      </c>
    </row>
    <row r="47" spans="1:12" ht="28.5" customHeight="1">
      <c r="A47" s="452" t="s">
        <v>129</v>
      </c>
      <c r="B47" s="283" t="s">
        <v>481</v>
      </c>
      <c r="C47" s="296">
        <v>10118089.290454462</v>
      </c>
      <c r="D47" s="296"/>
      <c r="E47" s="296"/>
      <c r="F47" s="296">
        <v>3053461.1457815128</v>
      </c>
      <c r="G47" s="296"/>
      <c r="H47" s="296">
        <f t="shared" si="10"/>
        <v>-145401.77012356557</v>
      </c>
      <c r="I47" s="296">
        <v>13026148.66611241</v>
      </c>
    </row>
    <row r="48" spans="1:12" ht="28.5" customHeight="1">
      <c r="A48" s="452" t="s">
        <v>176</v>
      </c>
      <c r="B48" s="283" t="s">
        <v>482</v>
      </c>
      <c r="C48" s="296">
        <v>89921702.443309084</v>
      </c>
      <c r="D48" s="296"/>
      <c r="E48" s="296"/>
      <c r="F48" s="296">
        <v>61739472.759966083</v>
      </c>
      <c r="G48" s="296"/>
      <c r="H48" s="296">
        <f t="shared" si="10"/>
        <v>-94314740.123206496</v>
      </c>
      <c r="I48" s="296">
        <v>57346435.080068685</v>
      </c>
    </row>
    <row r="49" spans="1:30" ht="19.5" customHeight="1">
      <c r="A49" s="295">
        <v>3</v>
      </c>
      <c r="B49" s="295" t="s">
        <v>235</v>
      </c>
      <c r="C49" s="295">
        <f>+C42+C32</f>
        <v>221108299</v>
      </c>
      <c r="D49" s="295">
        <f t="shared" ref="D49:H49" si="11">+D42+D32</f>
        <v>163128478.43478218</v>
      </c>
      <c r="E49" s="295">
        <f t="shared" si="11"/>
        <v>0</v>
      </c>
      <c r="F49" s="295">
        <f t="shared" si="11"/>
        <v>95566800.645048067</v>
      </c>
      <c r="G49" s="295">
        <f t="shared" si="11"/>
        <v>0</v>
      </c>
      <c r="H49" s="295">
        <f t="shared" si="11"/>
        <v>200664685.78973407</v>
      </c>
      <c r="I49" s="295">
        <f>+I42+I32</f>
        <v>354211307</v>
      </c>
      <c r="L49" s="285">
        <f>+'Asset Classification'!Y31</f>
        <v>354211307</v>
      </c>
      <c r="M49" s="285">
        <f>+[8]Balance!$C$26</f>
        <v>354211307</v>
      </c>
    </row>
    <row r="51" spans="1:30" s="269" customFormat="1" ht="18.75" customHeight="1">
      <c r="A51" s="34"/>
      <c r="B51" s="239" t="s">
        <v>788</v>
      </c>
      <c r="C51" s="34"/>
      <c r="D51" s="34"/>
      <c r="E51" s="34"/>
      <c r="F51" s="349"/>
      <c r="G51" s="349"/>
      <c r="H51" s="349"/>
      <c r="I51" s="349"/>
      <c r="J51" s="349"/>
      <c r="K51" s="349"/>
      <c r="L51" s="349"/>
      <c r="M51" s="349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spans="1:30" s="269" customFormat="1" ht="11.25" customHeight="1">
      <c r="A52" s="34"/>
      <c r="B52" s="239"/>
      <c r="C52" s="34"/>
      <c r="D52" s="34"/>
      <c r="E52" s="34"/>
      <c r="F52" s="349"/>
      <c r="G52" s="349"/>
      <c r="H52" s="349"/>
      <c r="I52" s="349"/>
      <c r="J52" s="349"/>
      <c r="K52" s="349"/>
      <c r="L52" s="349"/>
      <c r="M52" s="349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spans="1:30" s="269" customFormat="1" ht="18.75" customHeight="1">
      <c r="A53" s="34"/>
      <c r="B53" s="239" t="s">
        <v>789</v>
      </c>
      <c r="C53" s="34"/>
      <c r="D53" s="34"/>
      <c r="E53" s="34"/>
      <c r="F53" s="349"/>
      <c r="G53" s="349"/>
      <c r="H53" s="349"/>
      <c r="I53" s="349"/>
      <c r="J53" s="349"/>
      <c r="K53" s="349"/>
      <c r="L53" s="349"/>
      <c r="M53" s="349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</sheetData>
  <sheetProtection password="CACA"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G3:H3"/>
    <mergeCell ref="A1:I1"/>
    <mergeCell ref="A4:A6"/>
    <mergeCell ref="B4:B6"/>
    <mergeCell ref="C4:C6"/>
    <mergeCell ref="D4:I4"/>
  </mergeCells>
  <phoneticPr fontId="15" type="noConversion"/>
  <conditionalFormatting sqref="J25">
    <cfRule type="cellIs" dxfId="209" priority="7" operator="notEqual">
      <formula>$L$25</formula>
    </cfRule>
  </conditionalFormatting>
  <conditionalFormatting sqref="J18">
    <cfRule type="cellIs" dxfId="208" priority="6" operator="notEqual">
      <formula>$L$18</formula>
    </cfRule>
  </conditionalFormatting>
  <conditionalFormatting sqref="J8">
    <cfRule type="cellIs" dxfId="207" priority="5" operator="notEqual">
      <formula>$L$8</formula>
    </cfRule>
  </conditionalFormatting>
  <conditionalFormatting sqref="I49">
    <cfRule type="cellIs" dxfId="206" priority="1" operator="notEqual">
      <formula>$M$49</formula>
    </cfRule>
    <cfRule type="cellIs" dxfId="205" priority="4" operator="notEqual">
      <formula>$L$49</formula>
    </cfRule>
  </conditionalFormatting>
  <conditionalFormatting sqref="I42">
    <cfRule type="cellIs" dxfId="204" priority="3" operator="notEqual">
      <formula>$L$42</formula>
    </cfRule>
  </conditionalFormatting>
  <conditionalFormatting sqref="I32">
    <cfRule type="cellIs" dxfId="203" priority="2" operator="notEqual">
      <formula>$L$32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  <ignoredErrors>
    <ignoredError sqref="H42:H43 J18:J19 H18:I19 H49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AD63"/>
  <sheetViews>
    <sheetView view="pageBreakPreview" zoomScale="75" zoomScaleNormal="75" zoomScaleSheetLayoutView="75" workbookViewId="0">
      <pane xSplit="2" ySplit="7" topLeftCell="C43" activePane="bottomRight" state="frozen"/>
      <selection activeCell="C73" sqref="C73"/>
      <selection pane="topRight" activeCell="C73" sqref="C73"/>
      <selection pane="bottomLeft" activeCell="C73" sqref="C73"/>
      <selection pane="bottomRight" activeCell="C73" sqref="C73"/>
    </sheetView>
  </sheetViews>
  <sheetFormatPr defaultRowHeight="15.75"/>
  <cols>
    <col min="1" max="1" width="10.140625" style="78" customWidth="1"/>
    <col min="2" max="2" width="49.140625" style="78" customWidth="1"/>
    <col min="3" max="3" width="19.140625" style="78" customWidth="1"/>
    <col min="4" max="4" width="13.85546875" style="113" customWidth="1"/>
    <col min="5" max="5" width="19.140625" style="78" customWidth="1"/>
    <col min="6" max="6" width="13.85546875" style="78" customWidth="1"/>
    <col min="7" max="7" width="19.140625" style="78" customWidth="1"/>
    <col min="8" max="8" width="13.85546875" style="78" customWidth="1"/>
    <col min="9" max="9" width="9.140625" style="78"/>
    <col min="10" max="12" width="16.85546875" style="78" customWidth="1"/>
    <col min="13" max="16384" width="9.140625" style="78"/>
  </cols>
  <sheetData>
    <row r="1" spans="1:12" s="80" customFormat="1" ht="37.5" customHeight="1">
      <c r="A1" s="769" t="s">
        <v>489</v>
      </c>
      <c r="B1" s="769"/>
      <c r="C1" s="769"/>
      <c r="D1" s="769"/>
      <c r="E1" s="769"/>
      <c r="F1" s="769"/>
      <c r="G1" s="769"/>
      <c r="H1" s="193" t="s">
        <v>488</v>
      </c>
    </row>
    <row r="2" spans="1:12" ht="19.5" customHeight="1">
      <c r="B2" s="770"/>
      <c r="C2" s="770"/>
      <c r="D2" s="770"/>
      <c r="E2" s="770"/>
      <c r="F2" s="770"/>
      <c r="G2" s="770"/>
      <c r="H2" s="770"/>
    </row>
    <row r="3" spans="1:12" ht="19.5" customHeight="1">
      <c r="B3" s="97" t="str">
        <f>+'Asset quality'!B3</f>
        <v>"МКБАНК"</v>
      </c>
      <c r="C3" s="454"/>
      <c r="D3" s="455"/>
      <c r="F3" s="778">
        <f>+'Asset quality'!Q3</f>
        <v>44926</v>
      </c>
      <c r="G3" s="778"/>
      <c r="H3" s="456" t="str">
        <f>+'Asset quality'!T3</f>
        <v>минг. сўмда</v>
      </c>
    </row>
    <row r="4" spans="1:12" s="79" customFormat="1" ht="29.25" customHeight="1">
      <c r="A4" s="766" t="s">
        <v>62</v>
      </c>
      <c r="B4" s="766" t="s">
        <v>490</v>
      </c>
      <c r="C4" s="771" t="s">
        <v>491</v>
      </c>
      <c r="D4" s="772"/>
      <c r="E4" s="775" t="s">
        <v>492</v>
      </c>
      <c r="F4" s="776"/>
      <c r="G4" s="776"/>
      <c r="H4" s="777"/>
    </row>
    <row r="5" spans="1:12" s="79" customFormat="1" ht="30" customHeight="1">
      <c r="A5" s="767"/>
      <c r="B5" s="767"/>
      <c r="C5" s="773"/>
      <c r="D5" s="774"/>
      <c r="E5" s="775" t="s">
        <v>286</v>
      </c>
      <c r="F5" s="777"/>
      <c r="G5" s="775" t="s">
        <v>493</v>
      </c>
      <c r="H5" s="777"/>
    </row>
    <row r="6" spans="1:12" s="79" customFormat="1" ht="72.75" customHeight="1">
      <c r="A6" s="767"/>
      <c r="B6" s="768"/>
      <c r="C6" s="457" t="s">
        <v>494</v>
      </c>
      <c r="D6" s="457" t="s">
        <v>495</v>
      </c>
      <c r="E6" s="457" t="s">
        <v>494</v>
      </c>
      <c r="F6" s="457" t="s">
        <v>495</v>
      </c>
      <c r="G6" s="457" t="s">
        <v>494</v>
      </c>
      <c r="H6" s="457" t="s">
        <v>495</v>
      </c>
    </row>
    <row r="7" spans="1:12" s="79" customFormat="1">
      <c r="A7" s="768"/>
      <c r="B7" s="457" t="s">
        <v>79</v>
      </c>
      <c r="C7" s="457" t="s">
        <v>80</v>
      </c>
      <c r="D7" s="457" t="s">
        <v>90</v>
      </c>
      <c r="E7" s="457" t="s">
        <v>81</v>
      </c>
      <c r="F7" s="457" t="s">
        <v>82</v>
      </c>
      <c r="G7" s="457" t="s">
        <v>91</v>
      </c>
      <c r="H7" s="457" t="s">
        <v>83</v>
      </c>
    </row>
    <row r="8" spans="1:12" s="79" customFormat="1" ht="24" customHeight="1">
      <c r="A8" s="458">
        <v>1</v>
      </c>
      <c r="B8" s="459" t="s">
        <v>496</v>
      </c>
      <c r="C8" s="168">
        <f>SUM(C10:C16)</f>
        <v>2895993926</v>
      </c>
      <c r="D8" s="460">
        <f>IFERROR(((C10*D10)/C8)+((C11*D11)/C8)+((C12*D12)/C8)+((C13*D13)/C8)+((C14*D14)/C8)+((C15*D15)/C8)+((C16*D16)/C8),0)</f>
        <v>0.13372787019368262</v>
      </c>
      <c r="E8" s="168">
        <f>SUM(E10:E16)</f>
        <v>2895993926</v>
      </c>
      <c r="F8" s="460">
        <f>IFERROR(((E10*F10)/E8)+((E11*F11)/E8)+((E12*F12)/E8)+((E13*F13)/E8)+((E14*F14)/E8)+((E15*F15)/E8)+((E16*F16)/E8),0)</f>
        <v>0.13372787019368262</v>
      </c>
      <c r="G8" s="168">
        <f>SUM(G10:G16)</f>
        <v>0</v>
      </c>
      <c r="H8" s="460">
        <f>IFERROR(((G10*H10)/G8)+((G11*H11)/G8)+((G12*H12)/G8)+((G13*H13)/G8)+((G14*H14)/G8)+((G15*H15)/G8)+((G16*H16)/G8),0)</f>
        <v>0</v>
      </c>
      <c r="J8" s="579">
        <f>+C8+C18+C28+C37</f>
        <v>13318623841</v>
      </c>
      <c r="K8" s="579">
        <f>+E8+E18+E28+E37</f>
        <v>9580116116</v>
      </c>
      <c r="L8" s="579">
        <f>+G8+G18+G28+G37</f>
        <v>3738507725</v>
      </c>
    </row>
    <row r="9" spans="1:12" s="79" customFormat="1" ht="17.25" customHeight="1">
      <c r="A9" s="458"/>
      <c r="B9" s="461" t="s">
        <v>497</v>
      </c>
      <c r="C9" s="166"/>
      <c r="D9" s="105"/>
      <c r="E9" s="166"/>
      <c r="F9" s="105"/>
      <c r="G9" s="166"/>
      <c r="H9" s="105"/>
      <c r="J9" s="579">
        <f>+'loans type'!C8</f>
        <v>13318623841</v>
      </c>
      <c r="K9" s="579">
        <f>+'loans type'!E8</f>
        <v>9580116116</v>
      </c>
      <c r="L9" s="579">
        <f>+'loans type'!G8</f>
        <v>3738507725</v>
      </c>
    </row>
    <row r="10" spans="1:12" s="79" customFormat="1" ht="24" customHeight="1">
      <c r="A10" s="452" t="s">
        <v>111</v>
      </c>
      <c r="B10" s="462" t="s">
        <v>479</v>
      </c>
      <c r="C10" s="166">
        <f>+E10+G10</f>
        <v>162860434</v>
      </c>
      <c r="D10" s="638">
        <f>IFERROR((((E10*F10)+(G10*H10))/C10),0)</f>
        <v>9.9237955303752193E-2</v>
      </c>
      <c r="E10" s="167">
        <v>162860434</v>
      </c>
      <c r="F10" s="463">
        <v>9.9237955303752193E-2</v>
      </c>
      <c r="G10" s="167">
        <v>0</v>
      </c>
      <c r="H10" s="463">
        <v>0</v>
      </c>
      <c r="J10" s="579">
        <f>+J8-J9</f>
        <v>0</v>
      </c>
      <c r="K10" s="579">
        <f t="shared" ref="K10:L10" si="0">+K8-K9</f>
        <v>0</v>
      </c>
      <c r="L10" s="579">
        <f t="shared" si="0"/>
        <v>0</v>
      </c>
    </row>
    <row r="11" spans="1:12" s="79" customFormat="1" ht="24" customHeight="1">
      <c r="A11" s="452" t="s">
        <v>112</v>
      </c>
      <c r="B11" s="462" t="s">
        <v>175</v>
      </c>
      <c r="C11" s="166">
        <f t="shared" ref="C11:C16" si="1">+E11+G11</f>
        <v>639004</v>
      </c>
      <c r="D11" s="638">
        <f t="shared" ref="D11:D16" si="2">IFERROR((((E11*F11)+(G11*H11))/C11),0)</f>
        <v>0.10688571403030436</v>
      </c>
      <c r="E11" s="167">
        <v>639004</v>
      </c>
      <c r="F11" s="463">
        <v>0.10688571403030436</v>
      </c>
      <c r="G11" s="167">
        <v>0</v>
      </c>
      <c r="H11" s="463">
        <v>0</v>
      </c>
    </row>
    <row r="12" spans="1:12" s="79" customFormat="1" ht="24" customHeight="1">
      <c r="A12" s="452" t="s">
        <v>113</v>
      </c>
      <c r="B12" s="462" t="s">
        <v>498</v>
      </c>
      <c r="C12" s="166">
        <f t="shared" si="1"/>
        <v>36594</v>
      </c>
      <c r="D12" s="638">
        <f t="shared" si="2"/>
        <v>6.3508639208653142E-2</v>
      </c>
      <c r="E12" s="167">
        <v>36594</v>
      </c>
      <c r="F12" s="463">
        <v>6.3508639208653142E-2</v>
      </c>
      <c r="G12" s="167">
        <v>0</v>
      </c>
      <c r="H12" s="463">
        <v>0</v>
      </c>
    </row>
    <row r="13" spans="1:12" s="79" customFormat="1" ht="24" customHeight="1">
      <c r="A13" s="452" t="s">
        <v>117</v>
      </c>
      <c r="B13" s="462" t="s">
        <v>481</v>
      </c>
      <c r="C13" s="166">
        <f t="shared" si="1"/>
        <v>1299508</v>
      </c>
      <c r="D13" s="638">
        <f t="shared" si="2"/>
        <v>5.9846588187281717E-2</v>
      </c>
      <c r="E13" s="167">
        <v>1299508</v>
      </c>
      <c r="F13" s="463">
        <v>5.9846588187281717E-2</v>
      </c>
      <c r="G13" s="167">
        <v>0</v>
      </c>
      <c r="H13" s="463">
        <v>0</v>
      </c>
    </row>
    <row r="14" spans="1:12" s="79" customFormat="1" ht="24" customHeight="1">
      <c r="A14" s="452" t="s">
        <v>118</v>
      </c>
      <c r="B14" s="462" t="s">
        <v>525</v>
      </c>
      <c r="C14" s="166">
        <f t="shared" si="1"/>
        <v>96270734</v>
      </c>
      <c r="D14" s="638">
        <f t="shared" si="2"/>
        <v>6.0186734090093133E-2</v>
      </c>
      <c r="E14" s="167">
        <v>96270734</v>
      </c>
      <c r="F14" s="463">
        <v>6.0186734090093126E-2</v>
      </c>
      <c r="G14" s="167">
        <v>0</v>
      </c>
      <c r="H14" s="463">
        <v>0</v>
      </c>
    </row>
    <row r="15" spans="1:12" s="79" customFormat="1" ht="33.75" customHeight="1">
      <c r="A15" s="452" t="s">
        <v>147</v>
      </c>
      <c r="B15" s="462" t="s">
        <v>526</v>
      </c>
      <c r="C15" s="166">
        <f t="shared" si="1"/>
        <v>2634887652</v>
      </c>
      <c r="D15" s="638">
        <f t="shared" si="2"/>
        <v>0.13859055677330642</v>
      </c>
      <c r="E15" s="167">
        <v>2634887652</v>
      </c>
      <c r="F15" s="463">
        <v>0.13859055677330642</v>
      </c>
      <c r="G15" s="167">
        <v>0</v>
      </c>
      <c r="H15" s="463">
        <v>0</v>
      </c>
    </row>
    <row r="16" spans="1:12" s="79" customFormat="1" ht="24" customHeight="1">
      <c r="A16" s="452" t="s">
        <v>220</v>
      </c>
      <c r="B16" s="462" t="s">
        <v>482</v>
      </c>
      <c r="C16" s="166">
        <f t="shared" si="1"/>
        <v>0</v>
      </c>
      <c r="D16" s="638">
        <f t="shared" si="2"/>
        <v>0</v>
      </c>
      <c r="E16" s="167">
        <v>0</v>
      </c>
      <c r="F16" s="463">
        <v>0</v>
      </c>
      <c r="G16" s="167">
        <v>0</v>
      </c>
      <c r="H16" s="463">
        <v>0</v>
      </c>
    </row>
    <row r="17" spans="1:8" s="79" customFormat="1">
      <c r="A17" s="464"/>
      <c r="B17" s="465"/>
      <c r="C17" s="166"/>
      <c r="D17" s="114"/>
      <c r="E17" s="166"/>
      <c r="F17" s="114"/>
      <c r="G17" s="166"/>
      <c r="H17" s="114"/>
    </row>
    <row r="18" spans="1:8" s="79" customFormat="1" ht="24" customHeight="1">
      <c r="A18" s="464">
        <v>2</v>
      </c>
      <c r="B18" s="459" t="s">
        <v>499</v>
      </c>
      <c r="C18" s="168">
        <f>SUM(C20:C26)</f>
        <v>1685391329</v>
      </c>
      <c r="D18" s="460">
        <f>IFERROR(((C20*D20)/C18)+((C21*D21)/C18)+((C22*D22)/C18)+((C23*D23)/C18)+((C24*D24)/C18)+((C25*D25)/C18)+((C26*D26)/C18),0)</f>
        <v>0.21456706554507032</v>
      </c>
      <c r="E18" s="168">
        <f>SUM(E20:E26)</f>
        <v>1685391329</v>
      </c>
      <c r="F18" s="460">
        <f>IFERROR(((E20*F20)/E18)+((E21*F21)/E18)+((E22*F22)/E18)+((E23*F23)/E18)+((E24*F24)/E18)+((E25*F25)/E18)+((E26*F26)/E18),0)</f>
        <v>0.21456706554507032</v>
      </c>
      <c r="G18" s="168">
        <f>SUM(G20:G26)</f>
        <v>0</v>
      </c>
      <c r="H18" s="460">
        <f>IFERROR(((G20*H20)/G18)+((G21*H21)/G18)+((G22*H22)/G18)+((G23*H23)/G18)+((G24*H24)/G18)+((G25*H25)/G18)+((G26*H26)/G18),0)</f>
        <v>0</v>
      </c>
    </row>
    <row r="19" spans="1:8" s="79" customFormat="1" ht="17.25" customHeight="1">
      <c r="A19" s="464"/>
      <c r="B19" s="461" t="s">
        <v>497</v>
      </c>
      <c r="C19" s="166"/>
      <c r="D19" s="105"/>
      <c r="E19" s="166"/>
      <c r="F19" s="105"/>
      <c r="G19" s="166"/>
      <c r="H19" s="105"/>
    </row>
    <row r="20" spans="1:8" s="79" customFormat="1" ht="24" customHeight="1">
      <c r="A20" s="452" t="s">
        <v>124</v>
      </c>
      <c r="B20" s="462" t="s">
        <v>479</v>
      </c>
      <c r="C20" s="166">
        <f t="shared" ref="C20:C26" si="3">+E20+G20</f>
        <v>623920904</v>
      </c>
      <c r="D20" s="638">
        <f>IFERROR((((E20*F20)+(G20*H20))/C20),0)</f>
        <v>0.17188235039837152</v>
      </c>
      <c r="E20" s="167">
        <v>623920904</v>
      </c>
      <c r="F20" s="463">
        <v>0.17188235039837152</v>
      </c>
      <c r="G20" s="167">
        <v>0</v>
      </c>
      <c r="H20" s="463">
        <v>0</v>
      </c>
    </row>
    <row r="21" spans="1:8" s="79" customFormat="1" ht="24" customHeight="1">
      <c r="A21" s="452" t="s">
        <v>125</v>
      </c>
      <c r="B21" s="462" t="s">
        <v>175</v>
      </c>
      <c r="C21" s="166">
        <f t="shared" si="3"/>
        <v>71136765</v>
      </c>
      <c r="D21" s="638">
        <f t="shared" ref="D21:D26" si="4">IFERROR((((E21*F21)+(G21*H21))/C21),0)</f>
        <v>0.24057619311091596</v>
      </c>
      <c r="E21" s="167">
        <v>71136765</v>
      </c>
      <c r="F21" s="463">
        <v>0.24057619311091599</v>
      </c>
      <c r="G21" s="167">
        <v>0</v>
      </c>
      <c r="H21" s="463">
        <v>0</v>
      </c>
    </row>
    <row r="22" spans="1:8" s="79" customFormat="1" ht="24" customHeight="1">
      <c r="A22" s="452" t="s">
        <v>127</v>
      </c>
      <c r="B22" s="462" t="s">
        <v>498</v>
      </c>
      <c r="C22" s="166">
        <f t="shared" si="3"/>
        <v>597745862</v>
      </c>
      <c r="D22" s="638">
        <f t="shared" si="4"/>
        <v>0.27568637025834819</v>
      </c>
      <c r="E22" s="167">
        <v>597745862</v>
      </c>
      <c r="F22" s="463">
        <v>0.27568637025834819</v>
      </c>
      <c r="G22" s="167">
        <v>0</v>
      </c>
      <c r="H22" s="463">
        <v>0</v>
      </c>
    </row>
    <row r="23" spans="1:8" s="79" customFormat="1" ht="24" customHeight="1">
      <c r="A23" s="452" t="s">
        <v>129</v>
      </c>
      <c r="B23" s="462" t="s">
        <v>481</v>
      </c>
      <c r="C23" s="166">
        <f t="shared" si="3"/>
        <v>112480912</v>
      </c>
      <c r="D23" s="638">
        <f t="shared" si="4"/>
        <v>0.26163141507843662</v>
      </c>
      <c r="E23" s="167">
        <v>112480912</v>
      </c>
      <c r="F23" s="463">
        <v>0.26163141507843662</v>
      </c>
      <c r="G23" s="167">
        <v>0</v>
      </c>
      <c r="H23" s="463">
        <v>0</v>
      </c>
    </row>
    <row r="24" spans="1:8" s="79" customFormat="1" ht="24" customHeight="1">
      <c r="A24" s="452" t="s">
        <v>176</v>
      </c>
      <c r="B24" s="462" t="s">
        <v>525</v>
      </c>
      <c r="C24" s="166">
        <f t="shared" si="3"/>
        <v>1312264</v>
      </c>
      <c r="D24" s="638">
        <f t="shared" si="4"/>
        <v>0.21348800185500416</v>
      </c>
      <c r="E24" s="167">
        <v>1312264</v>
      </c>
      <c r="F24" s="463">
        <v>0.21348800185500416</v>
      </c>
      <c r="G24" s="167"/>
      <c r="H24" s="463"/>
    </row>
    <row r="25" spans="1:8" s="79" customFormat="1" ht="33.75" customHeight="1">
      <c r="A25" s="452" t="s">
        <v>791</v>
      </c>
      <c r="B25" s="462" t="s">
        <v>526</v>
      </c>
      <c r="C25" s="166">
        <f t="shared" si="3"/>
        <v>278794622</v>
      </c>
      <c r="D25" s="638">
        <f t="shared" si="4"/>
        <v>0.15343046457921558</v>
      </c>
      <c r="E25" s="167">
        <v>278794622</v>
      </c>
      <c r="F25" s="463">
        <v>0.15343046457921558</v>
      </c>
      <c r="G25" s="167"/>
      <c r="H25" s="463"/>
    </row>
    <row r="26" spans="1:8" s="79" customFormat="1" ht="24" customHeight="1">
      <c r="A26" s="452" t="s">
        <v>792</v>
      </c>
      <c r="B26" s="462" t="s">
        <v>482</v>
      </c>
      <c r="C26" s="166">
        <f t="shared" si="3"/>
        <v>0</v>
      </c>
      <c r="D26" s="638">
        <f t="shared" si="4"/>
        <v>0</v>
      </c>
      <c r="E26" s="167">
        <v>0</v>
      </c>
      <c r="F26" s="463">
        <v>0</v>
      </c>
      <c r="G26" s="167">
        <v>0</v>
      </c>
      <c r="H26" s="463">
        <v>0</v>
      </c>
    </row>
    <row r="27" spans="1:8" s="79" customFormat="1">
      <c r="A27" s="464"/>
      <c r="B27" s="465"/>
      <c r="C27" s="166"/>
      <c r="D27" s="114"/>
      <c r="E27" s="166"/>
      <c r="F27" s="114"/>
      <c r="G27" s="166"/>
      <c r="H27" s="114"/>
    </row>
    <row r="28" spans="1:8" s="79" customFormat="1" ht="36.75" customHeight="1">
      <c r="A28" s="464">
        <v>3</v>
      </c>
      <c r="B28" s="459" t="s">
        <v>500</v>
      </c>
      <c r="C28" s="168">
        <f>SUM(C30:C35)</f>
        <v>1995654688</v>
      </c>
      <c r="D28" s="460">
        <f>IFERROR(((C30*D30)/C28)+((C31*D31)/C28)+((C32*D32)/C28)+((C33*D33)/C28)+((C34*D34)/C28)+((C35*D35)/C28),0)</f>
        <v>0.11319443095766367</v>
      </c>
      <c r="E28" s="168">
        <f>SUM(E30:E35)</f>
        <v>1981595982</v>
      </c>
      <c r="F28" s="460">
        <f>IFERROR(((E30*F30)/E28)+((E31*F31)/E28)+((E32*F32)/E28)+((E33*F33)/E28)+((E34*F34)/E28)+((E35*F35)/E28),0)</f>
        <v>0.11378466532243595</v>
      </c>
      <c r="G28" s="168">
        <f>SUM(G30:G35)</f>
        <v>14058706</v>
      </c>
      <c r="H28" s="460">
        <f>IFERROR(((G30*H30)/G28)+((G31*H31)/G28)+((G32*H32)/G28)+((G33*H33)/G28)+((G34*H34)/G28)+((G35*H35)/G28),0)</f>
        <v>2.9999999999999995E-2</v>
      </c>
    </row>
    <row r="29" spans="1:8" s="79" customFormat="1">
      <c r="A29" s="464"/>
      <c r="B29" s="461" t="s">
        <v>497</v>
      </c>
      <c r="C29" s="166"/>
      <c r="D29" s="114"/>
      <c r="E29" s="166"/>
      <c r="F29" s="114"/>
      <c r="G29" s="166"/>
      <c r="H29" s="114"/>
    </row>
    <row r="30" spans="1:8" s="79" customFormat="1" ht="24" customHeight="1">
      <c r="A30" s="452" t="s">
        <v>132</v>
      </c>
      <c r="B30" s="465" t="s">
        <v>177</v>
      </c>
      <c r="C30" s="166">
        <f t="shared" ref="C30:C35" si="5">+E30+G30</f>
        <v>147415154</v>
      </c>
      <c r="D30" s="638">
        <f t="shared" ref="D30:D35" si="6">IFERROR((((E30*F30)+(G30*H30))/C30),0)</f>
        <v>0.13234761521827487</v>
      </c>
      <c r="E30" s="167">
        <v>147415154</v>
      </c>
      <c r="F30" s="463">
        <v>0.13234761521827487</v>
      </c>
      <c r="G30" s="167">
        <v>0</v>
      </c>
      <c r="H30" s="463">
        <v>0</v>
      </c>
    </row>
    <row r="31" spans="1:8" s="79" customFormat="1" ht="24" customHeight="1">
      <c r="A31" s="452" t="s">
        <v>133</v>
      </c>
      <c r="B31" s="465" t="s">
        <v>501</v>
      </c>
      <c r="C31" s="166">
        <f t="shared" si="5"/>
        <v>0</v>
      </c>
      <c r="D31" s="638">
        <f t="shared" si="6"/>
        <v>0</v>
      </c>
      <c r="E31" s="167">
        <v>0</v>
      </c>
      <c r="F31" s="463">
        <v>0</v>
      </c>
      <c r="G31" s="167">
        <v>0</v>
      </c>
      <c r="H31" s="463">
        <v>0</v>
      </c>
    </row>
    <row r="32" spans="1:8" s="79" customFormat="1" ht="24" customHeight="1">
      <c r="A32" s="452" t="s">
        <v>134</v>
      </c>
      <c r="B32" s="465" t="s">
        <v>178</v>
      </c>
      <c r="C32" s="166">
        <f t="shared" si="5"/>
        <v>0</v>
      </c>
      <c r="D32" s="638">
        <f t="shared" si="6"/>
        <v>0</v>
      </c>
      <c r="E32" s="167">
        <v>0</v>
      </c>
      <c r="F32" s="463">
        <v>0</v>
      </c>
      <c r="G32" s="167">
        <v>0</v>
      </c>
      <c r="H32" s="463">
        <v>0</v>
      </c>
    </row>
    <row r="33" spans="1:30" s="79" customFormat="1" ht="32.25" customHeight="1">
      <c r="A33" s="452" t="s">
        <v>135</v>
      </c>
      <c r="B33" s="465" t="s">
        <v>179</v>
      </c>
      <c r="C33" s="166">
        <f t="shared" si="5"/>
        <v>0</v>
      </c>
      <c r="D33" s="638">
        <f t="shared" si="6"/>
        <v>0</v>
      </c>
      <c r="E33" s="167">
        <v>0</v>
      </c>
      <c r="F33" s="463">
        <v>0</v>
      </c>
      <c r="G33" s="167">
        <v>0</v>
      </c>
      <c r="H33" s="463">
        <v>0</v>
      </c>
    </row>
    <row r="34" spans="1:30" s="79" customFormat="1" ht="32.25" customHeight="1">
      <c r="A34" s="452" t="s">
        <v>137</v>
      </c>
      <c r="B34" s="465" t="s">
        <v>502</v>
      </c>
      <c r="C34" s="166">
        <f t="shared" si="5"/>
        <v>0</v>
      </c>
      <c r="D34" s="638">
        <f t="shared" si="6"/>
        <v>0</v>
      </c>
      <c r="E34" s="167">
        <v>0</v>
      </c>
      <c r="F34" s="463">
        <v>0</v>
      </c>
      <c r="G34" s="167">
        <v>0</v>
      </c>
      <c r="H34" s="463">
        <v>0</v>
      </c>
    </row>
    <row r="35" spans="1:30" s="79" customFormat="1" ht="32.25" customHeight="1">
      <c r="A35" s="452" t="s">
        <v>138</v>
      </c>
      <c r="B35" s="462" t="s">
        <v>503</v>
      </c>
      <c r="C35" s="166">
        <f t="shared" si="5"/>
        <v>1848239534</v>
      </c>
      <c r="D35" s="638">
        <f t="shared" si="6"/>
        <v>0.1116667774498644</v>
      </c>
      <c r="E35" s="167">
        <v>1834180828</v>
      </c>
      <c r="F35" s="463">
        <v>0.11229274038471145</v>
      </c>
      <c r="G35" s="167">
        <v>14058706</v>
      </c>
      <c r="H35" s="463">
        <v>2.9999999999999995E-2</v>
      </c>
    </row>
    <row r="36" spans="1:30" s="79" customFormat="1">
      <c r="A36" s="464"/>
      <c r="B36" s="465"/>
      <c r="C36" s="166"/>
      <c r="D36" s="638"/>
      <c r="E36" s="167"/>
      <c r="F36" s="463"/>
      <c r="G36" s="167"/>
      <c r="H36" s="463"/>
    </row>
    <row r="37" spans="1:30" s="79" customFormat="1" ht="36.75" customHeight="1">
      <c r="A37" s="464">
        <v>4</v>
      </c>
      <c r="B37" s="459" t="s">
        <v>504</v>
      </c>
      <c r="C37" s="168">
        <f>SUM(C39:C44)</f>
        <v>6741583898</v>
      </c>
      <c r="D37" s="460">
        <f>IFERROR(((C39*D39)/C37)+((C40*D40)/C37)+((C41*D41)/C37)+((C42*D42)/C37)+((C43*D43)/C37)+((C44*D44)/C37),0)</f>
        <v>0.13705248548364207</v>
      </c>
      <c r="E37" s="168">
        <f>SUM(E39:E44)</f>
        <v>3017134879</v>
      </c>
      <c r="F37" s="460">
        <f>IFERROR(((E39*F39)/E37)+((E40*F40)/E37)+((E41*F41)/E37)+((E42*F42)/E37)+((E43*F43)/E37)+((E44*F44)/E37),0)</f>
        <v>0.20279413740256275</v>
      </c>
      <c r="G37" s="168">
        <f>SUM(G39:G44)</f>
        <v>3724449019</v>
      </c>
      <c r="H37" s="460">
        <f>IFERROR(((G39*H39)/G37)+((G40*H40)/G37)+((G41*H41)/G37)+((G42*H42)/G37)+((G43*H43)/G37)+((G44*H44)/G37),0)</f>
        <v>8.3795901759236763E-2</v>
      </c>
    </row>
    <row r="38" spans="1:30" s="79" customFormat="1">
      <c r="A38" s="464"/>
      <c r="B38" s="461" t="s">
        <v>497</v>
      </c>
      <c r="C38" s="166"/>
      <c r="D38" s="114"/>
      <c r="E38" s="166"/>
      <c r="F38" s="114"/>
      <c r="G38" s="166"/>
      <c r="H38" s="114"/>
    </row>
    <row r="39" spans="1:30" s="79" customFormat="1" ht="24" customHeight="1">
      <c r="A39" s="452" t="s">
        <v>162</v>
      </c>
      <c r="B39" s="465" t="s">
        <v>177</v>
      </c>
      <c r="C39" s="166">
        <f t="shared" ref="C39:C44" si="7">+E39+G39</f>
        <v>30913049</v>
      </c>
      <c r="D39" s="638">
        <f t="shared" ref="D39:D44" si="8">IFERROR((((E39*F39)+(G39*H39))/C39),0)</f>
        <v>0.20280864831709525</v>
      </c>
      <c r="E39" s="167">
        <v>30423604</v>
      </c>
      <c r="F39" s="463">
        <v>0.20525607285203509</v>
      </c>
      <c r="G39" s="167">
        <v>489445</v>
      </c>
      <c r="H39" s="463">
        <v>5.067822534639612E-2</v>
      </c>
    </row>
    <row r="40" spans="1:30" s="79" customFormat="1" ht="24" customHeight="1">
      <c r="A40" s="452" t="s">
        <v>163</v>
      </c>
      <c r="B40" s="465" t="s">
        <v>501</v>
      </c>
      <c r="C40" s="166">
        <f t="shared" si="7"/>
        <v>0</v>
      </c>
      <c r="D40" s="638">
        <f t="shared" si="8"/>
        <v>0</v>
      </c>
      <c r="E40" s="167">
        <v>0</v>
      </c>
      <c r="F40" s="463">
        <v>0</v>
      </c>
      <c r="G40" s="167">
        <v>0</v>
      </c>
      <c r="H40" s="463">
        <v>0</v>
      </c>
    </row>
    <row r="41" spans="1:30" s="79" customFormat="1" ht="24" customHeight="1">
      <c r="A41" s="452" t="s">
        <v>184</v>
      </c>
      <c r="B41" s="465" t="s">
        <v>178</v>
      </c>
      <c r="C41" s="166">
        <f t="shared" si="7"/>
        <v>28397926</v>
      </c>
      <c r="D41" s="638">
        <f t="shared" si="8"/>
        <v>0.18867623943491232</v>
      </c>
      <c r="E41" s="167">
        <v>25227766</v>
      </c>
      <c r="F41" s="463">
        <v>0.19981943250270046</v>
      </c>
      <c r="G41" s="167">
        <v>3170160</v>
      </c>
      <c r="H41" s="463">
        <v>0.1</v>
      </c>
    </row>
    <row r="42" spans="1:30" s="79" customFormat="1" ht="32.25" customHeight="1">
      <c r="A42" s="452" t="s">
        <v>185</v>
      </c>
      <c r="B42" s="465" t="s">
        <v>179</v>
      </c>
      <c r="C42" s="166">
        <f t="shared" si="7"/>
        <v>188315</v>
      </c>
      <c r="D42" s="638">
        <f t="shared" si="8"/>
        <v>0.15025223909593369</v>
      </c>
      <c r="E42" s="167">
        <v>188315</v>
      </c>
      <c r="F42" s="463">
        <v>0.15025223909593369</v>
      </c>
      <c r="G42" s="167">
        <v>0</v>
      </c>
      <c r="H42" s="463">
        <v>0</v>
      </c>
    </row>
    <row r="43" spans="1:30" s="79" customFormat="1" ht="32.25" customHeight="1">
      <c r="A43" s="452" t="s">
        <v>186</v>
      </c>
      <c r="B43" s="465" t="s">
        <v>502</v>
      </c>
      <c r="C43" s="166">
        <f t="shared" si="7"/>
        <v>0</v>
      </c>
      <c r="D43" s="638">
        <f t="shared" si="8"/>
        <v>0</v>
      </c>
      <c r="E43" s="167">
        <v>0</v>
      </c>
      <c r="F43" s="463">
        <v>0</v>
      </c>
      <c r="G43" s="167">
        <v>0</v>
      </c>
      <c r="H43" s="463">
        <v>0</v>
      </c>
    </row>
    <row r="44" spans="1:30" s="79" customFormat="1" ht="32.25" customHeight="1">
      <c r="A44" s="452" t="s">
        <v>187</v>
      </c>
      <c r="B44" s="462" t="s">
        <v>503</v>
      </c>
      <c r="C44" s="166">
        <f t="shared" si="7"/>
        <v>6682084608</v>
      </c>
      <c r="D44" s="638">
        <f t="shared" si="8"/>
        <v>0.13652851475515376</v>
      </c>
      <c r="E44" s="167">
        <v>2961295194</v>
      </c>
      <c r="F44" s="463">
        <v>0.20279752735083417</v>
      </c>
      <c r="G44" s="167">
        <v>3720789414</v>
      </c>
      <c r="H44" s="463">
        <v>8.3786452070196374E-2</v>
      </c>
    </row>
    <row r="45" spans="1:30" s="16" customFormat="1" ht="22.5" customHeight="1">
      <c r="B45" s="466"/>
      <c r="C45" s="276"/>
    </row>
    <row r="46" spans="1:30" s="269" customFormat="1" ht="20.25" customHeight="1">
      <c r="A46" s="34"/>
      <c r="B46" s="198" t="s">
        <v>788</v>
      </c>
      <c r="C46" s="34"/>
      <c r="D46" s="34"/>
      <c r="E46" s="34"/>
      <c r="F46" s="349"/>
      <c r="G46" s="349"/>
      <c r="H46" s="349"/>
      <c r="I46" s="349"/>
      <c r="J46" s="349"/>
      <c r="K46" s="349"/>
      <c r="L46" s="349"/>
      <c r="M46" s="349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s="269" customFormat="1" ht="11.25" customHeight="1">
      <c r="A47" s="34"/>
      <c r="B47" s="198"/>
      <c r="C47" s="34"/>
      <c r="D47" s="34"/>
      <c r="E47" s="34"/>
      <c r="F47" s="349"/>
      <c r="G47" s="349"/>
      <c r="H47" s="349"/>
      <c r="I47" s="349"/>
      <c r="J47" s="349"/>
      <c r="K47" s="349"/>
      <c r="L47" s="349"/>
      <c r="M47" s="349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 s="269" customFormat="1" ht="20.25" customHeight="1">
      <c r="A48" s="34"/>
      <c r="B48" s="198" t="s">
        <v>789</v>
      </c>
      <c r="C48" s="34"/>
      <c r="D48" s="34"/>
      <c r="E48" s="34"/>
      <c r="F48" s="349"/>
      <c r="G48" s="349"/>
      <c r="H48" s="349"/>
      <c r="I48" s="349"/>
      <c r="J48" s="349"/>
      <c r="K48" s="349"/>
      <c r="L48" s="349"/>
      <c r="M48" s="349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10" s="6" customFormat="1">
      <c r="A49" s="25"/>
      <c r="B49" s="31"/>
      <c r="C49" s="174"/>
      <c r="J49" s="25"/>
    </row>
    <row r="50" spans="1:10" s="6" customFormat="1">
      <c r="A50" s="25"/>
      <c r="B50" s="571"/>
      <c r="C50" s="572"/>
      <c r="D50" s="572"/>
      <c r="E50" s="572"/>
      <c r="F50" s="572"/>
      <c r="G50" s="572"/>
      <c r="J50" s="25"/>
    </row>
    <row r="51" spans="1:10">
      <c r="A51" s="90"/>
      <c r="B51" s="573" t="s">
        <v>78</v>
      </c>
      <c r="C51" s="574">
        <f>+C8+C18+C28+C37</f>
        <v>13318623841</v>
      </c>
      <c r="D51" s="574"/>
      <c r="E51" s="574">
        <f>+E8+E18+E28+E37</f>
        <v>9580116116</v>
      </c>
      <c r="F51" s="574"/>
      <c r="G51" s="574">
        <f>+G8+G18+G28+G37</f>
        <v>3738507725</v>
      </c>
    </row>
    <row r="52" spans="1:10">
      <c r="A52" s="90"/>
      <c r="B52" s="575"/>
      <c r="C52" s="574">
        <f>+C54+C58</f>
        <v>13318623841</v>
      </c>
      <c r="D52" s="574"/>
      <c r="E52" s="574">
        <f>+E9+E19+E29+E38</f>
        <v>0</v>
      </c>
      <c r="F52" s="574"/>
      <c r="G52" s="574">
        <f>+G54+G58</f>
        <v>3738507725</v>
      </c>
    </row>
    <row r="53" spans="1:10">
      <c r="A53" s="90"/>
      <c r="B53" s="573"/>
      <c r="C53" s="574"/>
      <c r="D53" s="574"/>
      <c r="E53" s="574"/>
      <c r="F53" s="574"/>
      <c r="G53" s="574"/>
    </row>
    <row r="54" spans="1:10">
      <c r="B54" s="573" t="s">
        <v>190</v>
      </c>
      <c r="C54" s="574">
        <f>+'Asset Classification'!C13</f>
        <v>4581385255</v>
      </c>
      <c r="D54" s="574"/>
      <c r="E54" s="574"/>
      <c r="F54" s="574"/>
      <c r="G54" s="574">
        <f>+'Asset Classification'!D13</f>
        <v>0</v>
      </c>
      <c r="H54" s="467"/>
    </row>
    <row r="55" spans="1:10">
      <c r="B55" s="573"/>
      <c r="C55" s="574">
        <f>C8+C18</f>
        <v>4581385255</v>
      </c>
      <c r="D55" s="574"/>
      <c r="E55" s="574"/>
      <c r="F55" s="574"/>
      <c r="G55" s="574">
        <f>G8+G18</f>
        <v>0</v>
      </c>
      <c r="H55" s="467"/>
    </row>
    <row r="56" spans="1:10">
      <c r="B56" s="573"/>
      <c r="C56" s="574">
        <f>+C54-C55</f>
        <v>0</v>
      </c>
      <c r="D56" s="574"/>
      <c r="E56" s="574"/>
      <c r="F56" s="574"/>
      <c r="G56" s="574">
        <f>+G54-G55</f>
        <v>0</v>
      </c>
      <c r="H56" s="467"/>
    </row>
    <row r="57" spans="1:10">
      <c r="B57" s="573"/>
      <c r="C57" s="576"/>
      <c r="D57" s="576"/>
      <c r="E57" s="576"/>
      <c r="F57" s="576"/>
      <c r="G57" s="576"/>
      <c r="H57" s="467"/>
    </row>
    <row r="58" spans="1:10">
      <c r="B58" s="573" t="s">
        <v>191</v>
      </c>
      <c r="C58" s="574">
        <f>+'Asset Classification'!C31-'Asset Classification'!C13</f>
        <v>8737238586</v>
      </c>
      <c r="D58" s="574"/>
      <c r="E58" s="574"/>
      <c r="F58" s="574"/>
      <c r="G58" s="574">
        <f>+'Asset Classification'!D31-'Asset Classification'!D13</f>
        <v>3738507725</v>
      </c>
      <c r="H58" s="467"/>
    </row>
    <row r="59" spans="1:10">
      <c r="B59" s="573"/>
      <c r="C59" s="574">
        <f>C28+C37</f>
        <v>8737238586</v>
      </c>
      <c r="D59" s="574"/>
      <c r="E59" s="574"/>
      <c r="F59" s="574"/>
      <c r="G59" s="574">
        <f>G28+G37</f>
        <v>3738507725</v>
      </c>
      <c r="H59" s="467"/>
    </row>
    <row r="60" spans="1:10">
      <c r="B60" s="573"/>
      <c r="C60" s="574">
        <f>+C58-C59</f>
        <v>0</v>
      </c>
      <c r="D60" s="574"/>
      <c r="E60" s="574"/>
      <c r="F60" s="574"/>
      <c r="G60" s="574">
        <f>+G58-G59</f>
        <v>0</v>
      </c>
      <c r="H60" s="467"/>
    </row>
    <row r="61" spans="1:10">
      <c r="B61" s="573"/>
      <c r="C61" s="577"/>
      <c r="D61" s="577"/>
      <c r="E61" s="577"/>
      <c r="F61" s="577"/>
      <c r="G61" s="577"/>
      <c r="H61" s="467"/>
    </row>
    <row r="62" spans="1:10">
      <c r="B62" s="573"/>
      <c r="C62" s="577"/>
      <c r="D62" s="577"/>
      <c r="E62" s="577"/>
      <c r="F62" s="577"/>
      <c r="G62" s="577"/>
      <c r="H62" s="467"/>
    </row>
    <row r="63" spans="1:10">
      <c r="B63" s="573"/>
      <c r="C63" s="575"/>
      <c r="D63" s="578"/>
      <c r="E63" s="575"/>
      <c r="F63" s="575"/>
      <c r="G63" s="575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7">
    <cfRule type="cellIs" dxfId="202" priority="38" operator="notEqual">
      <formula>$C$58-$C$28</formula>
    </cfRule>
  </conditionalFormatting>
  <conditionalFormatting sqref="C18">
    <cfRule type="cellIs" dxfId="201" priority="39" operator="notEqual">
      <formula>$C$54-$C$8</formula>
    </cfRule>
  </conditionalFormatting>
  <printOptions horizontalCentered="1"/>
  <pageMargins left="0.23622047244094491" right="0.19685039370078741" top="0.62992125984251968" bottom="0.15748031496062992" header="0" footer="0"/>
  <pageSetup paperSize="9" scale="63" orientation="portrait" r:id="rId1"/>
  <ignoredErrors>
    <ignoredError sqref="F3" unlockedFormula="1"/>
    <ignoredError sqref="D9 E28:H29 E9:J9 E17:J17 I10:J10 D17 I11:J16 I20:J22 D27 E38:H38 D37:D38 E45:H46 D45:D57 E8 G8 I8:J8 D19 E19:J19 E18 G18 I18:J18 D29 E37:G3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6" customWidth="1"/>
    <col min="2" max="2" width="105.140625" style="36" customWidth="1"/>
    <col min="3" max="3" width="19.7109375" style="69" customWidth="1"/>
    <col min="4" max="4" width="10.28515625" style="123" bestFit="1" customWidth="1"/>
    <col min="5" max="5" width="19.42578125" style="124" bestFit="1" customWidth="1"/>
    <col min="6" max="6" width="9.28515625" style="123" bestFit="1" customWidth="1"/>
    <col min="7" max="7" width="9.140625" style="123"/>
    <col min="8" max="8" width="17.42578125" style="123" bestFit="1" customWidth="1"/>
    <col min="9" max="16384" width="9.140625" style="36"/>
  </cols>
  <sheetData>
    <row r="1" spans="1:8" ht="23.25" customHeight="1">
      <c r="A1" s="779" t="s">
        <v>181</v>
      </c>
      <c r="B1" s="780"/>
      <c r="C1" s="35" t="s">
        <v>174</v>
      </c>
    </row>
    <row r="2" spans="1:8">
      <c r="A2" s="71"/>
      <c r="B2" s="71"/>
      <c r="C2" s="71"/>
    </row>
    <row r="3" spans="1:8" ht="15.75">
      <c r="A3" s="37"/>
      <c r="B3" s="94" t="e">
        <f>#REF!</f>
        <v>#REF!</v>
      </c>
      <c r="C3" s="93" t="e">
        <f>+#REF!</f>
        <v>#REF!</v>
      </c>
    </row>
    <row r="4" spans="1:8" s="38" customFormat="1" ht="43.5" customHeight="1">
      <c r="A4" s="116" t="s">
        <v>62</v>
      </c>
      <c r="B4" s="116" t="s">
        <v>36</v>
      </c>
      <c r="C4" s="116" t="s">
        <v>10</v>
      </c>
      <c r="D4" s="125"/>
      <c r="E4" s="126"/>
      <c r="F4" s="125"/>
      <c r="G4" s="125"/>
      <c r="H4" s="125"/>
    </row>
    <row r="5" spans="1:8" ht="12.75" customHeight="1">
      <c r="A5" s="102" t="s">
        <v>40</v>
      </c>
      <c r="B5" s="40" t="s">
        <v>107</v>
      </c>
      <c r="C5" s="41"/>
    </row>
    <row r="6" spans="1:8" ht="12.75" customHeight="1">
      <c r="A6" s="39">
        <v>1</v>
      </c>
      <c r="B6" s="40" t="s">
        <v>108</v>
      </c>
      <c r="C6" s="42"/>
    </row>
    <row r="7" spans="1:8" s="49" customFormat="1" ht="18" customHeight="1">
      <c r="A7" s="46" t="s">
        <v>111</v>
      </c>
      <c r="B7" s="47" t="s">
        <v>109</v>
      </c>
      <c r="C7" s="77" t="s">
        <v>97</v>
      </c>
      <c r="D7" s="127"/>
      <c r="E7" s="85"/>
      <c r="F7" s="127"/>
      <c r="G7" s="127"/>
      <c r="H7" s="127"/>
    </row>
    <row r="8" spans="1:8" s="38" customFormat="1" ht="18" customHeight="1">
      <c r="A8" s="56" t="s">
        <v>41</v>
      </c>
      <c r="B8" s="111" t="s">
        <v>42</v>
      </c>
      <c r="C8" s="72"/>
      <c r="D8" s="125"/>
      <c r="E8" s="126"/>
      <c r="F8" s="125"/>
      <c r="G8" s="125"/>
      <c r="H8" s="125"/>
    </row>
    <row r="9" spans="1:8" s="38" customFormat="1" ht="18" customHeight="1">
      <c r="A9" s="56" t="s">
        <v>43</v>
      </c>
      <c r="B9" s="111" t="s">
        <v>44</v>
      </c>
      <c r="C9" s="73"/>
      <c r="D9" s="125"/>
      <c r="E9" s="126"/>
      <c r="F9" s="125"/>
      <c r="G9" s="125"/>
      <c r="H9" s="125"/>
    </row>
    <row r="10" spans="1:8" s="49" customFormat="1" ht="18" customHeight="1">
      <c r="A10" s="46" t="s">
        <v>112</v>
      </c>
      <c r="B10" s="47" t="s">
        <v>110</v>
      </c>
      <c r="C10" s="82">
        <v>0</v>
      </c>
      <c r="D10" s="127"/>
      <c r="E10" s="85"/>
      <c r="F10" s="127"/>
      <c r="G10" s="127"/>
      <c r="H10" s="127"/>
    </row>
    <row r="11" spans="1:8" s="38" customFormat="1" ht="18" customHeight="1">
      <c r="A11" s="56" t="s">
        <v>113</v>
      </c>
      <c r="B11" s="111" t="s">
        <v>114</v>
      </c>
      <c r="C11" s="77" t="s">
        <v>97</v>
      </c>
      <c r="D11" s="125"/>
      <c r="E11" s="126"/>
      <c r="F11" s="125"/>
      <c r="G11" s="125"/>
      <c r="H11" s="125"/>
    </row>
    <row r="12" spans="1:8" s="38" customFormat="1" ht="18" customHeight="1">
      <c r="A12" s="56" t="s">
        <v>47</v>
      </c>
      <c r="B12" s="111" t="s">
        <v>50</v>
      </c>
      <c r="C12" s="84"/>
      <c r="D12" s="125"/>
      <c r="E12" s="126"/>
      <c r="F12" s="125"/>
      <c r="G12" s="125"/>
      <c r="H12" s="125"/>
    </row>
    <row r="13" spans="1:8" s="38" customFormat="1" ht="18" customHeight="1">
      <c r="A13" s="51" t="s">
        <v>43</v>
      </c>
      <c r="B13" s="112" t="s">
        <v>51</v>
      </c>
      <c r="C13" s="84"/>
      <c r="D13" s="125"/>
      <c r="E13" s="126"/>
      <c r="F13" s="125"/>
      <c r="G13" s="125"/>
      <c r="H13" s="125"/>
    </row>
    <row r="14" spans="1:8" s="49" customFormat="1" ht="18" customHeight="1">
      <c r="A14" s="61" t="s">
        <v>45</v>
      </c>
      <c r="B14" s="109" t="s">
        <v>115</v>
      </c>
      <c r="C14" s="81"/>
      <c r="D14" s="127"/>
      <c r="E14" s="85"/>
      <c r="F14" s="127"/>
      <c r="G14" s="127"/>
      <c r="H14" s="127"/>
    </row>
    <row r="15" spans="1:8" s="49" customFormat="1" ht="18" customHeight="1">
      <c r="A15" s="61" t="s">
        <v>52</v>
      </c>
      <c r="B15" s="109" t="s">
        <v>116</v>
      </c>
      <c r="C15" s="81"/>
      <c r="D15" s="127"/>
      <c r="E15" s="85"/>
      <c r="F15" s="127"/>
      <c r="G15" s="127"/>
      <c r="H15" s="127"/>
    </row>
    <row r="16" spans="1:8" s="38" customFormat="1" ht="18" customHeight="1">
      <c r="A16" s="51" t="s">
        <v>117</v>
      </c>
      <c r="B16" s="112" t="s">
        <v>53</v>
      </c>
      <c r="C16" s="82"/>
      <c r="D16" s="125"/>
      <c r="E16" s="126"/>
      <c r="F16" s="125"/>
      <c r="G16" s="125"/>
      <c r="H16" s="125"/>
    </row>
    <row r="17" spans="1:8" s="38" customFormat="1" ht="18" customHeight="1">
      <c r="A17" s="51" t="s">
        <v>118</v>
      </c>
      <c r="B17" s="112" t="s">
        <v>11</v>
      </c>
      <c r="C17" s="82"/>
      <c r="D17" s="125"/>
      <c r="E17" s="126"/>
      <c r="F17" s="125"/>
      <c r="G17" s="125"/>
      <c r="H17" s="125"/>
    </row>
    <row r="18" spans="1:8" s="38" customFormat="1" ht="18" customHeight="1">
      <c r="A18" s="51"/>
      <c r="B18" s="112" t="s">
        <v>119</v>
      </c>
      <c r="C18" s="77" t="s">
        <v>97</v>
      </c>
      <c r="D18" s="125"/>
      <c r="E18" s="126"/>
      <c r="F18" s="125"/>
      <c r="G18" s="125"/>
      <c r="H18" s="125"/>
    </row>
    <row r="19" spans="1:8" s="38" customFormat="1" ht="18" customHeight="1">
      <c r="A19" s="51" t="s">
        <v>147</v>
      </c>
      <c r="B19" s="112" t="s">
        <v>120</v>
      </c>
      <c r="C19" s="77" t="s">
        <v>97</v>
      </c>
      <c r="D19" s="125"/>
      <c r="E19" s="126"/>
      <c r="F19" s="125"/>
      <c r="G19" s="125"/>
      <c r="H19" s="125"/>
    </row>
    <row r="20" spans="1:8" s="49" customFormat="1" ht="18" customHeight="1">
      <c r="A20" s="101" t="s">
        <v>47</v>
      </c>
      <c r="B20" s="186" t="s">
        <v>55</v>
      </c>
      <c r="C20" s="81"/>
      <c r="D20" s="127"/>
      <c r="E20" s="85"/>
      <c r="F20" s="127"/>
      <c r="G20" s="127"/>
      <c r="H20" s="127"/>
    </row>
    <row r="21" spans="1:8" s="48" customFormat="1" ht="25.5">
      <c r="A21" s="101" t="s">
        <v>43</v>
      </c>
      <c r="B21" s="109" t="s">
        <v>20</v>
      </c>
      <c r="C21" s="81"/>
      <c r="D21" s="127"/>
      <c r="E21" s="85"/>
      <c r="F21" s="127"/>
      <c r="G21" s="127"/>
      <c r="H21" s="127"/>
    </row>
    <row r="22" spans="1:8" s="49" customFormat="1" ht="18" customHeight="1">
      <c r="A22" s="101" t="s">
        <v>45</v>
      </c>
      <c r="B22" s="109" t="s">
        <v>12</v>
      </c>
      <c r="C22" s="81"/>
      <c r="D22" s="127"/>
      <c r="E22" s="85"/>
      <c r="F22" s="127"/>
      <c r="G22" s="127"/>
      <c r="H22" s="127"/>
    </row>
    <row r="23" spans="1:8" s="49" customFormat="1" ht="15" customHeight="1">
      <c r="A23" s="46" t="s">
        <v>121</v>
      </c>
      <c r="B23" s="47" t="s">
        <v>122</v>
      </c>
      <c r="C23" s="77" t="s">
        <v>97</v>
      </c>
      <c r="D23" s="127"/>
      <c r="E23" s="85"/>
      <c r="F23" s="127"/>
      <c r="G23" s="127"/>
      <c r="H23" s="127"/>
    </row>
    <row r="24" spans="1:8" ht="16.5" customHeight="1">
      <c r="A24" s="43">
        <v>2</v>
      </c>
      <c r="B24" s="50" t="s">
        <v>123</v>
      </c>
      <c r="C24" s="44"/>
    </row>
    <row r="25" spans="1:8" s="49" customFormat="1" ht="18" customHeight="1">
      <c r="A25" s="61" t="s">
        <v>124</v>
      </c>
      <c r="B25" s="109" t="s">
        <v>46</v>
      </c>
      <c r="C25" s="108">
        <f>+C26+C27</f>
        <v>0</v>
      </c>
      <c r="D25" s="127"/>
      <c r="E25" s="85"/>
      <c r="F25" s="127"/>
      <c r="G25" s="127"/>
      <c r="H25" s="127"/>
    </row>
    <row r="26" spans="1:8" s="49" customFormat="1" ht="18" customHeight="1">
      <c r="A26" s="61" t="s">
        <v>47</v>
      </c>
      <c r="B26" s="109" t="s">
        <v>48</v>
      </c>
      <c r="C26" s="81"/>
      <c r="D26" s="127"/>
      <c r="E26" s="85"/>
      <c r="F26" s="127"/>
      <c r="G26" s="127"/>
      <c r="H26" s="127"/>
    </row>
    <row r="27" spans="1:8" s="49" customFormat="1" ht="18" customHeight="1">
      <c r="A27" s="61" t="s">
        <v>43</v>
      </c>
      <c r="B27" s="109" t="s">
        <v>49</v>
      </c>
      <c r="C27" s="81"/>
      <c r="D27" s="127"/>
      <c r="E27" s="85"/>
      <c r="F27" s="127"/>
      <c r="G27" s="127"/>
      <c r="H27" s="127"/>
    </row>
    <row r="28" spans="1:8" s="49" customFormat="1" ht="18" customHeight="1">
      <c r="A28" s="61" t="s">
        <v>125</v>
      </c>
      <c r="B28" s="109" t="s">
        <v>126</v>
      </c>
      <c r="C28" s="81">
        <v>0</v>
      </c>
      <c r="D28" s="127"/>
      <c r="E28" s="85"/>
      <c r="F28" s="127"/>
      <c r="G28" s="127"/>
      <c r="H28" s="127"/>
    </row>
    <row r="29" spans="1:8">
      <c r="A29" s="51" t="s">
        <v>127</v>
      </c>
      <c r="B29" s="110" t="s">
        <v>128</v>
      </c>
      <c r="C29" s="74">
        <v>0</v>
      </c>
    </row>
    <row r="30" spans="1:8" s="49" customFormat="1" ht="29.25" customHeight="1">
      <c r="A30" s="61" t="s">
        <v>129</v>
      </c>
      <c r="B30" s="109" t="s">
        <v>19</v>
      </c>
      <c r="C30" s="81">
        <v>0</v>
      </c>
      <c r="D30" s="127"/>
      <c r="E30" s="85"/>
      <c r="F30" s="127"/>
      <c r="G30" s="127"/>
      <c r="H30" s="127"/>
    </row>
    <row r="31" spans="1:8" s="53" customFormat="1">
      <c r="A31" s="52" t="s">
        <v>54</v>
      </c>
      <c r="B31" s="87" t="s">
        <v>130</v>
      </c>
      <c r="C31" s="83">
        <f>+C25+C28+C29+C30</f>
        <v>0</v>
      </c>
      <c r="D31" s="128"/>
      <c r="E31" s="129"/>
      <c r="F31" s="130"/>
      <c r="G31" s="130"/>
      <c r="H31" s="130"/>
    </row>
    <row r="32" spans="1:8" s="53" customFormat="1" ht="16.5" customHeight="1">
      <c r="A32" s="52" t="s">
        <v>56</v>
      </c>
      <c r="B32" s="120" t="s">
        <v>131</v>
      </c>
      <c r="C32" s="77" t="s">
        <v>97</v>
      </c>
      <c r="D32" s="130"/>
      <c r="E32" s="129"/>
      <c r="F32" s="130"/>
      <c r="G32" s="130"/>
      <c r="H32" s="130"/>
    </row>
    <row r="33" spans="1:8" s="55" customFormat="1" ht="13.5" customHeight="1">
      <c r="A33" s="54"/>
      <c r="B33" s="54" t="s">
        <v>58</v>
      </c>
      <c r="C33" s="45"/>
      <c r="D33" s="131"/>
      <c r="E33" s="132"/>
      <c r="F33" s="131"/>
      <c r="G33" s="131"/>
      <c r="H33" s="133"/>
    </row>
    <row r="34" spans="1:8" s="49" customFormat="1" ht="18" customHeight="1">
      <c r="A34" s="61" t="s">
        <v>132</v>
      </c>
      <c r="B34" s="179" t="s">
        <v>193</v>
      </c>
      <c r="C34" s="81"/>
      <c r="D34" s="127"/>
      <c r="E34" s="85"/>
      <c r="F34" s="127"/>
      <c r="G34" s="127"/>
      <c r="H34" s="127"/>
    </row>
    <row r="35" spans="1:8" s="49" customFormat="1" ht="25.5">
      <c r="A35" s="61" t="s">
        <v>133</v>
      </c>
      <c r="B35" s="109" t="s">
        <v>21</v>
      </c>
      <c r="C35" s="176" t="e">
        <f>IF(#REF!&lt;(C43*1.25%),#REF!,(C43*1.25%))</f>
        <v>#REF!</v>
      </c>
      <c r="D35" s="127"/>
      <c r="E35" s="85"/>
      <c r="F35" s="127"/>
      <c r="G35" s="127"/>
      <c r="H35" s="127"/>
    </row>
    <row r="36" spans="1:8" s="49" customFormat="1" ht="18" customHeight="1">
      <c r="A36" s="61" t="s">
        <v>134</v>
      </c>
      <c r="B36" s="109" t="s">
        <v>13</v>
      </c>
      <c r="C36" s="81"/>
      <c r="D36" s="127"/>
      <c r="E36" s="85"/>
      <c r="F36" s="127"/>
      <c r="G36" s="127"/>
      <c r="H36" s="127"/>
    </row>
    <row r="37" spans="1:8" s="49" customFormat="1" ht="18" customHeight="1">
      <c r="A37" s="61" t="s">
        <v>135</v>
      </c>
      <c r="B37" s="109" t="s">
        <v>136</v>
      </c>
      <c r="C37" s="81"/>
      <c r="D37" s="127"/>
      <c r="E37" s="85"/>
      <c r="F37" s="127"/>
      <c r="G37" s="127"/>
      <c r="H37" s="127"/>
    </row>
    <row r="38" spans="1:8" s="49" customFormat="1" ht="18" customHeight="1">
      <c r="A38" s="61" t="s">
        <v>137</v>
      </c>
      <c r="B38" s="109" t="s">
        <v>14</v>
      </c>
      <c r="C38" s="81"/>
      <c r="D38" s="127"/>
      <c r="E38" s="85"/>
      <c r="F38" s="127"/>
      <c r="G38" s="127"/>
      <c r="H38" s="127"/>
    </row>
    <row r="39" spans="1:8" s="49" customFormat="1" ht="18" customHeight="1">
      <c r="A39" s="61" t="s">
        <v>138</v>
      </c>
      <c r="B39" s="109" t="s">
        <v>59</v>
      </c>
      <c r="C39" s="77" t="s">
        <v>97</v>
      </c>
      <c r="D39" s="127"/>
      <c r="E39" s="85"/>
      <c r="F39" s="127"/>
      <c r="G39" s="127"/>
      <c r="H39" s="127"/>
    </row>
    <row r="40" spans="1:8" ht="18.75" customHeight="1">
      <c r="A40" s="56"/>
      <c r="B40" s="57" t="s">
        <v>27</v>
      </c>
      <c r="C40" s="45" t="e">
        <f>SUM(C34:C38)</f>
        <v>#REF!</v>
      </c>
      <c r="D40" s="128"/>
    </row>
    <row r="41" spans="1:8" s="38" customFormat="1" ht="22.5" customHeight="1">
      <c r="A41" s="75" t="s">
        <v>57</v>
      </c>
      <c r="B41" s="58" t="s">
        <v>28</v>
      </c>
      <c r="C41" s="77" t="s">
        <v>97</v>
      </c>
      <c r="D41" s="134"/>
      <c r="E41" s="126"/>
      <c r="F41" s="125"/>
      <c r="G41" s="125"/>
      <c r="H41" s="125"/>
    </row>
    <row r="42" spans="1:8" s="38" customFormat="1" ht="15.75" customHeight="1">
      <c r="A42" s="54" t="s">
        <v>60</v>
      </c>
      <c r="B42" s="58" t="s">
        <v>139</v>
      </c>
      <c r="C42" s="77" t="s">
        <v>97</v>
      </c>
      <c r="D42" s="134"/>
      <c r="E42" s="126"/>
      <c r="F42" s="125"/>
      <c r="G42" s="125"/>
      <c r="H42" s="125"/>
    </row>
    <row r="43" spans="1:8" s="38" customFormat="1" ht="21.75" customHeight="1">
      <c r="A43" s="54" t="s">
        <v>17</v>
      </c>
      <c r="B43" s="47" t="s">
        <v>140</v>
      </c>
      <c r="C43" s="59" t="e">
        <f>+C44+C45+C46</f>
        <v>#REF!</v>
      </c>
      <c r="D43" s="125"/>
      <c r="E43" s="126"/>
      <c r="F43" s="125"/>
      <c r="G43" s="125"/>
      <c r="H43" s="125"/>
    </row>
    <row r="44" spans="1:8" s="49" customFormat="1" ht="18" customHeight="1">
      <c r="A44" s="61" t="s">
        <v>47</v>
      </c>
      <c r="B44" s="109" t="s">
        <v>22</v>
      </c>
      <c r="C44" s="108" t="e">
        <f>+#REF!</f>
        <v>#REF!</v>
      </c>
      <c r="D44" s="127"/>
      <c r="E44" s="85"/>
      <c r="F44" s="127"/>
      <c r="G44" s="127"/>
      <c r="H44" s="127"/>
    </row>
    <row r="45" spans="1:8" s="49" customFormat="1" ht="18" customHeight="1">
      <c r="A45" s="61" t="s">
        <v>43</v>
      </c>
      <c r="B45" s="109" t="s">
        <v>15</v>
      </c>
      <c r="C45" s="108" t="e">
        <f>+#REF!</f>
        <v>#REF!</v>
      </c>
      <c r="D45" s="127"/>
      <c r="E45" s="85"/>
      <c r="F45" s="127"/>
      <c r="G45" s="127"/>
      <c r="H45" s="127"/>
    </row>
    <row r="46" spans="1:8" s="49" customFormat="1" ht="18" customHeight="1">
      <c r="A46" s="61" t="s">
        <v>45</v>
      </c>
      <c r="B46" s="109" t="s">
        <v>16</v>
      </c>
      <c r="C46" s="108" t="e">
        <f>+#REF!</f>
        <v>#REF!</v>
      </c>
      <c r="D46" s="127"/>
      <c r="E46" s="85" t="e">
        <f>+#REF!</f>
        <v>#REF!</v>
      </c>
      <c r="F46" s="127"/>
      <c r="G46" s="127"/>
      <c r="H46" s="127"/>
    </row>
    <row r="47" spans="1:8" s="55" customFormat="1" ht="21.75" customHeight="1">
      <c r="A47" s="75" t="s">
        <v>18</v>
      </c>
      <c r="B47" s="76" t="s">
        <v>141</v>
      </c>
      <c r="C47" s="77" t="s">
        <v>97</v>
      </c>
      <c r="D47" s="131"/>
      <c r="E47" s="132"/>
      <c r="F47" s="131"/>
      <c r="G47" s="131"/>
      <c r="H47" s="131"/>
    </row>
    <row r="48" spans="1:8" s="55" customFormat="1" ht="21.75" customHeight="1">
      <c r="A48" s="75" t="s">
        <v>61</v>
      </c>
      <c r="B48" s="76" t="s">
        <v>142</v>
      </c>
      <c r="C48" s="77" t="s">
        <v>97</v>
      </c>
      <c r="D48" s="131"/>
      <c r="E48" s="132"/>
      <c r="F48" s="131"/>
      <c r="G48" s="131"/>
      <c r="H48" s="131"/>
    </row>
    <row r="49" spans="1:8" s="55" customFormat="1" ht="21.75" customHeight="1">
      <c r="A49" s="75" t="s">
        <v>29</v>
      </c>
      <c r="B49" s="76" t="s">
        <v>143</v>
      </c>
      <c r="C49" s="77" t="s">
        <v>97</v>
      </c>
      <c r="D49" s="131"/>
      <c r="E49" s="132"/>
      <c r="F49" s="131"/>
      <c r="G49" s="131"/>
      <c r="H49" s="131"/>
    </row>
    <row r="50" spans="1:8" s="60" customFormat="1" ht="21.75" customHeight="1">
      <c r="A50" s="54" t="s">
        <v>30</v>
      </c>
      <c r="B50" s="47" t="s">
        <v>24</v>
      </c>
      <c r="C50" s="77" t="s">
        <v>97</v>
      </c>
      <c r="D50" s="135"/>
      <c r="E50" s="136"/>
      <c r="F50" s="137"/>
      <c r="G50" s="135"/>
      <c r="H50" s="135"/>
    </row>
    <row r="51" spans="1:8" s="64" customFormat="1" ht="21.75" customHeight="1">
      <c r="A51" s="61" t="s">
        <v>47</v>
      </c>
      <c r="B51" s="62" t="s">
        <v>33</v>
      </c>
      <c r="C51" s="63" t="e">
        <f>+#REF!</f>
        <v>#REF!</v>
      </c>
      <c r="D51" s="138"/>
      <c r="E51" s="139"/>
      <c r="F51" s="140"/>
      <c r="G51" s="138"/>
      <c r="H51" s="138"/>
    </row>
    <row r="52" spans="1:8" s="64" customFormat="1" ht="21.75" customHeight="1">
      <c r="A52" s="61" t="s">
        <v>43</v>
      </c>
      <c r="B52" s="62" t="s">
        <v>144</v>
      </c>
      <c r="C52" s="147" t="e">
        <f>SUM(#REF!)</f>
        <v>#REF!</v>
      </c>
      <c r="D52" s="140" t="e">
        <f>+#REF!</f>
        <v>#REF!</v>
      </c>
      <c r="E52" s="139"/>
      <c r="F52" s="140"/>
      <c r="G52" s="138"/>
      <c r="H52" s="138"/>
    </row>
    <row r="53" spans="1:8" s="67" customFormat="1" ht="21.75" customHeight="1">
      <c r="A53" s="65" t="s">
        <v>45</v>
      </c>
      <c r="B53" s="66" t="s">
        <v>145</v>
      </c>
      <c r="C53" s="149" t="e">
        <f>SUM(#REF!)</f>
        <v>#REF!</v>
      </c>
      <c r="D53" s="146"/>
      <c r="E53" s="148"/>
      <c r="F53" s="141"/>
      <c r="G53" s="141"/>
      <c r="H53" s="141"/>
    </row>
    <row r="54" spans="1:8" s="67" customFormat="1" ht="21.75" customHeight="1">
      <c r="A54" s="65" t="s">
        <v>52</v>
      </c>
      <c r="B54" s="66" t="s">
        <v>146</v>
      </c>
      <c r="C54" s="89" t="str">
        <f>+C19</f>
        <v>Формула</v>
      </c>
      <c r="D54" s="141"/>
      <c r="E54" s="142"/>
      <c r="F54" s="141"/>
      <c r="G54" s="141"/>
      <c r="H54" s="141"/>
    </row>
    <row r="55" spans="1:8" s="55" customFormat="1" ht="21.75" customHeight="1">
      <c r="A55" s="75" t="s">
        <v>31</v>
      </c>
      <c r="B55" s="76" t="s">
        <v>34</v>
      </c>
      <c r="C55" s="77" t="s">
        <v>97</v>
      </c>
      <c r="D55" s="131"/>
      <c r="E55" s="132"/>
      <c r="F55" s="131"/>
      <c r="G55" s="131"/>
      <c r="H55" s="131"/>
    </row>
    <row r="56" spans="1:8">
      <c r="B56" s="68"/>
    </row>
    <row r="57" spans="1:8" s="1" customFormat="1">
      <c r="A57" s="14"/>
      <c r="B57" s="2" t="s">
        <v>0</v>
      </c>
      <c r="D57" s="32"/>
      <c r="E57" s="32"/>
      <c r="F57" s="32"/>
      <c r="G57" s="32"/>
      <c r="H57" s="32"/>
    </row>
    <row r="58" spans="1:8" s="1" customFormat="1">
      <c r="A58" s="14"/>
      <c r="B58" s="2"/>
      <c r="D58" s="32"/>
      <c r="E58" s="32"/>
      <c r="F58" s="32"/>
      <c r="G58" s="32"/>
      <c r="H58" s="32"/>
    </row>
    <row r="59" spans="1:8" s="1" customFormat="1">
      <c r="A59" s="14"/>
      <c r="B59" s="2" t="s">
        <v>1</v>
      </c>
      <c r="D59" s="32"/>
      <c r="E59" s="32"/>
      <c r="F59" s="32"/>
      <c r="G59" s="32"/>
      <c r="H59" s="32"/>
    </row>
    <row r="60" spans="1:8">
      <c r="B60" s="70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zoomScale="40" zoomScaleNormal="50" zoomScaleSheetLayoutView="40" workbookViewId="0">
      <pane xSplit="2" ySplit="7" topLeftCell="C32" activePane="bottomRight" state="frozen"/>
      <selection activeCell="C73" sqref="C73"/>
      <selection pane="topRight" activeCell="C73" sqref="C73"/>
      <selection pane="bottomLeft" activeCell="C73" sqref="C73"/>
      <selection pane="bottomRight" activeCell="C32" sqref="C32"/>
    </sheetView>
  </sheetViews>
  <sheetFormatPr defaultRowHeight="18.75"/>
  <cols>
    <col min="1" max="1" width="9.5703125" style="180" customWidth="1"/>
    <col min="2" max="2" width="61.7109375" style="180" customWidth="1"/>
    <col min="3" max="3" width="19.140625" style="180" customWidth="1"/>
    <col min="4" max="4" width="19.140625" style="181" customWidth="1"/>
    <col min="5" max="8" width="19.140625" style="180" customWidth="1"/>
    <col min="9" max="25" width="18.85546875" style="180" customWidth="1"/>
    <col min="26" max="26" width="21.7109375" style="180" customWidth="1"/>
    <col min="27" max="29" width="27.42578125" style="180" customWidth="1"/>
    <col min="30" max="34" width="22.140625" style="180" customWidth="1"/>
    <col min="35" max="16384" width="9.140625" style="180"/>
  </cols>
  <sheetData>
    <row r="1" spans="1:35">
      <c r="Z1" s="193" t="s">
        <v>506</v>
      </c>
    </row>
    <row r="2" spans="1:35" s="182" customFormat="1" ht="50.25" customHeight="1">
      <c r="A2" s="782" t="s">
        <v>505</v>
      </c>
      <c r="B2" s="782"/>
      <c r="C2" s="782"/>
      <c r="D2" s="782"/>
      <c r="E2" s="782"/>
      <c r="F2" s="782"/>
      <c r="G2" s="782"/>
      <c r="H2" s="782"/>
      <c r="I2" s="782"/>
      <c r="J2" s="782"/>
      <c r="K2" s="782"/>
      <c r="L2" s="782"/>
      <c r="M2" s="782"/>
      <c r="N2" s="782"/>
      <c r="O2" s="782"/>
      <c r="P2" s="782"/>
      <c r="Q2" s="782"/>
      <c r="R2" s="782"/>
      <c r="S2" s="782"/>
      <c r="T2" s="782"/>
      <c r="U2" s="782"/>
      <c r="V2" s="782"/>
      <c r="W2" s="782"/>
      <c r="X2" s="782"/>
      <c r="Y2" s="782"/>
      <c r="Z2" s="782"/>
    </row>
    <row r="3" spans="1:35" ht="19.5" customHeight="1">
      <c r="B3" s="468" t="str">
        <f>+'Asset quality'!B3</f>
        <v>"МКБАНК"</v>
      </c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V3" s="795">
        <f>+'Asset quality'!Q3</f>
        <v>44926</v>
      </c>
      <c r="W3" s="795"/>
      <c r="Z3" s="91" t="str">
        <f>+'Asset quality'!T3</f>
        <v>минг. сўмда</v>
      </c>
    </row>
    <row r="4" spans="1:35" s="183" customFormat="1" ht="29.25" customHeight="1">
      <c r="A4" s="783" t="s">
        <v>62</v>
      </c>
      <c r="B4" s="783" t="s">
        <v>490</v>
      </c>
      <c r="C4" s="786" t="s">
        <v>235</v>
      </c>
      <c r="D4" s="787"/>
      <c r="E4" s="787"/>
      <c r="F4" s="787"/>
      <c r="G4" s="787"/>
      <c r="H4" s="788"/>
      <c r="I4" s="792" t="s">
        <v>507</v>
      </c>
      <c r="J4" s="793"/>
      <c r="K4" s="793"/>
      <c r="L4" s="793"/>
      <c r="M4" s="794"/>
      <c r="N4" s="786" t="s">
        <v>508</v>
      </c>
      <c r="O4" s="787"/>
      <c r="P4" s="787"/>
      <c r="Q4" s="787"/>
      <c r="R4" s="788"/>
      <c r="S4" s="781" t="s">
        <v>234</v>
      </c>
      <c r="T4" s="781"/>
      <c r="U4" s="781"/>
      <c r="V4" s="781"/>
      <c r="W4" s="781"/>
      <c r="X4" s="781"/>
      <c r="Y4" s="783" t="s">
        <v>509</v>
      </c>
      <c r="Z4" s="783" t="s">
        <v>510</v>
      </c>
    </row>
    <row r="5" spans="1:35" s="183" customFormat="1" ht="29.25" customHeight="1">
      <c r="A5" s="784"/>
      <c r="B5" s="784"/>
      <c r="C5" s="789"/>
      <c r="D5" s="790"/>
      <c r="E5" s="790"/>
      <c r="F5" s="790"/>
      <c r="G5" s="790"/>
      <c r="H5" s="791"/>
      <c r="I5" s="781" t="s">
        <v>511</v>
      </c>
      <c r="J5" s="781" t="s">
        <v>512</v>
      </c>
      <c r="K5" s="781" t="s">
        <v>513</v>
      </c>
      <c r="L5" s="781" t="s">
        <v>514</v>
      </c>
      <c r="M5" s="781" t="s">
        <v>515</v>
      </c>
      <c r="N5" s="789"/>
      <c r="O5" s="790"/>
      <c r="P5" s="790"/>
      <c r="Q5" s="790"/>
      <c r="R5" s="791"/>
      <c r="S5" s="781" t="s">
        <v>235</v>
      </c>
      <c r="T5" s="792" t="s">
        <v>516</v>
      </c>
      <c r="U5" s="793"/>
      <c r="V5" s="793"/>
      <c r="W5" s="793"/>
      <c r="X5" s="794"/>
      <c r="Y5" s="784"/>
      <c r="Z5" s="784"/>
    </row>
    <row r="6" spans="1:35" s="183" customFormat="1" ht="90" customHeight="1">
      <c r="A6" s="784"/>
      <c r="B6" s="785"/>
      <c r="C6" s="319" t="s">
        <v>494</v>
      </c>
      <c r="D6" s="319" t="s">
        <v>495</v>
      </c>
      <c r="E6" s="319" t="s">
        <v>286</v>
      </c>
      <c r="F6" s="319" t="s">
        <v>495</v>
      </c>
      <c r="G6" s="319" t="s">
        <v>287</v>
      </c>
      <c r="H6" s="319" t="s">
        <v>495</v>
      </c>
      <c r="I6" s="781"/>
      <c r="J6" s="781"/>
      <c r="K6" s="781"/>
      <c r="L6" s="781"/>
      <c r="M6" s="781"/>
      <c r="N6" s="469" t="s">
        <v>121</v>
      </c>
      <c r="O6" s="469" t="s">
        <v>54</v>
      </c>
      <c r="P6" s="469" t="s">
        <v>56</v>
      </c>
      <c r="Q6" s="469" t="s">
        <v>57</v>
      </c>
      <c r="R6" s="469" t="s">
        <v>60</v>
      </c>
      <c r="S6" s="781"/>
      <c r="T6" s="469" t="s">
        <v>121</v>
      </c>
      <c r="U6" s="469" t="s">
        <v>54</v>
      </c>
      <c r="V6" s="469" t="s">
        <v>56</v>
      </c>
      <c r="W6" s="469" t="s">
        <v>57</v>
      </c>
      <c r="X6" s="469" t="s">
        <v>60</v>
      </c>
      <c r="Y6" s="785"/>
      <c r="Z6" s="785"/>
      <c r="AA6" s="470"/>
      <c r="AB6" s="470"/>
      <c r="AC6" s="470"/>
      <c r="AD6" s="469" t="s">
        <v>121</v>
      </c>
      <c r="AE6" s="469" t="s">
        <v>54</v>
      </c>
      <c r="AF6" s="469" t="s">
        <v>56</v>
      </c>
      <c r="AG6" s="469" t="s">
        <v>57</v>
      </c>
      <c r="AH6" s="469" t="s">
        <v>60</v>
      </c>
    </row>
    <row r="7" spans="1:35" s="183" customFormat="1">
      <c r="A7" s="785"/>
      <c r="B7" s="319" t="s">
        <v>79</v>
      </c>
      <c r="C7" s="319" t="s">
        <v>80</v>
      </c>
      <c r="D7" s="319" t="s">
        <v>90</v>
      </c>
      <c r="E7" s="319" t="s">
        <v>81</v>
      </c>
      <c r="F7" s="319" t="s">
        <v>82</v>
      </c>
      <c r="G7" s="319" t="s">
        <v>91</v>
      </c>
      <c r="H7" s="319" t="s">
        <v>83</v>
      </c>
      <c r="I7" s="319" t="s">
        <v>84</v>
      </c>
      <c r="J7" s="319" t="s">
        <v>85</v>
      </c>
      <c r="K7" s="319" t="s">
        <v>86</v>
      </c>
      <c r="L7" s="319" t="s">
        <v>87</v>
      </c>
      <c r="M7" s="319" t="s">
        <v>88</v>
      </c>
      <c r="N7" s="319" t="s">
        <v>89</v>
      </c>
      <c r="O7" s="319" t="s">
        <v>155</v>
      </c>
      <c r="P7" s="319" t="s">
        <v>156</v>
      </c>
      <c r="Q7" s="319" t="s">
        <v>157</v>
      </c>
      <c r="R7" s="319" t="s">
        <v>158</v>
      </c>
      <c r="S7" s="319" t="s">
        <v>180</v>
      </c>
      <c r="T7" s="319" t="s">
        <v>189</v>
      </c>
      <c r="U7" s="319" t="s">
        <v>194</v>
      </c>
      <c r="V7" s="319" t="s">
        <v>195</v>
      </c>
      <c r="W7" s="319" t="s">
        <v>196</v>
      </c>
      <c r="X7" s="319" t="s">
        <v>197</v>
      </c>
      <c r="Y7" s="319" t="s">
        <v>198</v>
      </c>
      <c r="Z7" s="319" t="s">
        <v>517</v>
      </c>
      <c r="AA7" s="470"/>
      <c r="AB7" s="470"/>
      <c r="AC7" s="470"/>
    </row>
    <row r="8" spans="1:35" s="183" customFormat="1" ht="49.5" customHeight="1">
      <c r="A8" s="471"/>
      <c r="B8" s="472" t="s">
        <v>518</v>
      </c>
      <c r="C8" s="184">
        <f>+C9+C27</f>
        <v>13318623841</v>
      </c>
      <c r="D8" s="473">
        <f>IFERROR(((C9*D9)/C8)+((C27*D27)/C8),0)</f>
        <v>0.14267117145318439</v>
      </c>
      <c r="E8" s="184">
        <f t="shared" ref="E8:G8" si="0">+E9+E27</f>
        <v>9580116116</v>
      </c>
      <c r="F8" s="473">
        <f>IFERROR(((E9*F9)/E8)+((E27*F27)/E8),0)</f>
        <v>0.16572537544029123</v>
      </c>
      <c r="G8" s="184">
        <f t="shared" si="0"/>
        <v>3738507725</v>
      </c>
      <c r="H8" s="473">
        <f>IFERROR(((G9*H9)/G8)+((G27*H27)/G8),0)</f>
        <v>8.3593601629938036E-2</v>
      </c>
      <c r="I8" s="184">
        <f t="shared" ref="I8:Z8" si="1">+I9+I27</f>
        <v>366361138</v>
      </c>
      <c r="J8" s="184">
        <f t="shared" si="1"/>
        <v>9354829304</v>
      </c>
      <c r="K8" s="184">
        <f t="shared" si="1"/>
        <v>2545336413</v>
      </c>
      <c r="L8" s="184">
        <f t="shared" si="1"/>
        <v>454883588</v>
      </c>
      <c r="M8" s="184">
        <f t="shared" si="1"/>
        <v>597213398</v>
      </c>
      <c r="N8" s="184">
        <f t="shared" si="1"/>
        <v>10110199259</v>
      </c>
      <c r="O8" s="184">
        <f t="shared" si="1"/>
        <v>2572974084</v>
      </c>
      <c r="P8" s="184">
        <f t="shared" si="1"/>
        <v>110817389</v>
      </c>
      <c r="Q8" s="184">
        <f t="shared" si="1"/>
        <v>331525438</v>
      </c>
      <c r="R8" s="184">
        <f t="shared" si="1"/>
        <v>193107671</v>
      </c>
      <c r="S8" s="184">
        <f t="shared" si="1"/>
        <v>402929466</v>
      </c>
      <c r="T8" s="184">
        <f t="shared" si="1"/>
        <v>48718159</v>
      </c>
      <c r="U8" s="184">
        <f t="shared" si="1"/>
        <v>121192312</v>
      </c>
      <c r="V8" s="184">
        <f t="shared" si="1"/>
        <v>45776248</v>
      </c>
      <c r="W8" s="184">
        <f t="shared" si="1"/>
        <v>31254599</v>
      </c>
      <c r="X8" s="184">
        <f t="shared" si="1"/>
        <v>155988148</v>
      </c>
      <c r="Y8" s="184">
        <f t="shared" si="1"/>
        <v>347346661.96362978</v>
      </c>
      <c r="Z8" s="184">
        <f t="shared" si="1"/>
        <v>22445529</v>
      </c>
      <c r="AA8" s="470">
        <f>+'Loans Receivable'!C85</f>
        <v>13318623841</v>
      </c>
      <c r="AB8" s="470">
        <f>+AA8-AC8</f>
        <v>9580116116</v>
      </c>
      <c r="AC8" s="470">
        <f>+'Asset Classification'!D31</f>
        <v>3738507725</v>
      </c>
      <c r="AD8" s="474">
        <f>+'Asset Classification'!E31</f>
        <v>10110199259</v>
      </c>
      <c r="AE8" s="474">
        <f>+'Asset Classification'!I31</f>
        <v>2572974084</v>
      </c>
      <c r="AF8" s="474">
        <f>+'Asset Classification'!M31</f>
        <v>110817389</v>
      </c>
      <c r="AG8" s="474">
        <f>+'Asset Classification'!Q31</f>
        <v>331525438</v>
      </c>
      <c r="AH8" s="474">
        <f>+'Asset Classification'!U31</f>
        <v>193107671</v>
      </c>
    </row>
    <row r="9" spans="1:35" s="189" customFormat="1" ht="49.5" customHeight="1">
      <c r="A9" s="472" t="s">
        <v>121</v>
      </c>
      <c r="B9" s="472" t="s">
        <v>519</v>
      </c>
      <c r="C9" s="184">
        <f>+C11+C16+C21+C22+C24+C25+C26</f>
        <v>4581385255</v>
      </c>
      <c r="D9" s="473">
        <f>IFERROR(((C11*D11)/C9)+((C16*D16)/C9)+((C21*D21)/C9)+((C22*D22)/C9)+((C24*D24)/C9)+((C25*D25)/C9)+((C26*D26)/C9),0)</f>
        <v>0.16377924952989131</v>
      </c>
      <c r="E9" s="184">
        <f>+E11+E16+E21+E22+E24+E25+E26</f>
        <v>4581385255</v>
      </c>
      <c r="F9" s="473">
        <f>IFERROR(((E11*F11)/E9)+((E16*F16)/E9)+((E21*F21)/E9)+((E22*F22)/E9)+((E24*F24)/E9)+((E25*F25)/E9)+((E26*F26)/E9),0)</f>
        <v>0.16377924952989131</v>
      </c>
      <c r="G9" s="184">
        <f>+G11+G16+G21+G22+G24+G25+G26</f>
        <v>0</v>
      </c>
      <c r="H9" s="473">
        <f>IFERROR(((G11*H11)/G9)+((G16*H16)/G9)+((G21*H21)/G9)+((G22*H22)/G9)+((G24*H24)/G9)+((G25*H25)/G9)+((G26*H26)/G9),0)</f>
        <v>0</v>
      </c>
      <c r="I9" s="184">
        <f>+I11+I16+I21+I22+I24+I25+I26</f>
        <v>70437373</v>
      </c>
      <c r="J9" s="184">
        <f t="shared" ref="J9:Z9" si="2">+J11+J16+J21+J22+J24+J25+J26</f>
        <v>3373343666</v>
      </c>
      <c r="K9" s="184">
        <f t="shared" si="2"/>
        <v>315990938</v>
      </c>
      <c r="L9" s="184">
        <f t="shared" si="2"/>
        <v>224399880</v>
      </c>
      <c r="M9" s="184">
        <f t="shared" si="2"/>
        <v>597213398</v>
      </c>
      <c r="N9" s="184">
        <f t="shared" si="2"/>
        <v>3611077438</v>
      </c>
      <c r="O9" s="184">
        <f t="shared" si="2"/>
        <v>591113637</v>
      </c>
      <c r="P9" s="184">
        <f t="shared" si="2"/>
        <v>82422064</v>
      </c>
      <c r="Q9" s="184">
        <f t="shared" si="2"/>
        <v>201882538</v>
      </c>
      <c r="R9" s="184">
        <f t="shared" si="2"/>
        <v>94889578</v>
      </c>
      <c r="S9" s="184">
        <f t="shared" si="2"/>
        <v>111520899</v>
      </c>
      <c r="T9" s="184">
        <f t="shared" si="2"/>
        <v>19487264</v>
      </c>
      <c r="U9" s="184">
        <f t="shared" si="2"/>
        <v>19725504</v>
      </c>
      <c r="V9" s="184">
        <f t="shared" si="2"/>
        <v>5604350</v>
      </c>
      <c r="W9" s="184">
        <f t="shared" si="2"/>
        <v>20577296</v>
      </c>
      <c r="X9" s="184">
        <f t="shared" si="2"/>
        <v>46126485</v>
      </c>
      <c r="Y9" s="184">
        <f t="shared" si="2"/>
        <v>94140738</v>
      </c>
      <c r="Z9" s="184">
        <f t="shared" si="2"/>
        <v>0</v>
      </c>
      <c r="AA9" s="470">
        <f>+'Loans Receivable'!C73</f>
        <v>4581385255</v>
      </c>
      <c r="AB9" s="470">
        <f>+'Loans Receivable'!D71</f>
        <v>4581385255</v>
      </c>
      <c r="AC9" s="470">
        <f>+'Loans Receivable'!E71</f>
        <v>0</v>
      </c>
      <c r="AD9" s="591">
        <f>+N8-AD8</f>
        <v>0</v>
      </c>
      <c r="AE9" s="591">
        <f>+O8-AE8</f>
        <v>0</v>
      </c>
      <c r="AF9" s="591">
        <f>+P8-AF8</f>
        <v>0</v>
      </c>
      <c r="AG9" s="591">
        <f>+Q8-AG8</f>
        <v>0</v>
      </c>
      <c r="AH9" s="591">
        <f>+R8-AH8</f>
        <v>0</v>
      </c>
      <c r="AI9" s="183"/>
    </row>
    <row r="10" spans="1:35" s="183" customFormat="1" ht="33.75" customHeight="1">
      <c r="A10" s="471"/>
      <c r="B10" s="472" t="s">
        <v>497</v>
      </c>
      <c r="C10" s="184"/>
      <c r="D10" s="184"/>
      <c r="E10" s="590"/>
      <c r="F10" s="590"/>
      <c r="G10" s="590"/>
      <c r="H10" s="590"/>
      <c r="I10" s="590"/>
      <c r="J10" s="590"/>
      <c r="K10" s="590"/>
      <c r="L10" s="590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470"/>
      <c r="AB10" s="470"/>
      <c r="AC10" s="470"/>
      <c r="AD10" s="470">
        <f>+'Asset Classification'!G31</f>
        <v>48718159</v>
      </c>
      <c r="AE10" s="470">
        <f>+'Asset Classification'!K31</f>
        <v>121192312</v>
      </c>
      <c r="AF10" s="470">
        <f>+'Asset Classification'!O53</f>
        <v>45776248</v>
      </c>
      <c r="AG10" s="470">
        <f>+'Asset Classification'!S53</f>
        <v>31254599</v>
      </c>
      <c r="AH10" s="470">
        <f>+'Asset Classification'!W53</f>
        <v>155988148</v>
      </c>
      <c r="AI10" s="189"/>
    </row>
    <row r="11" spans="1:35" s="183" customFormat="1" ht="49.5" customHeight="1">
      <c r="A11" s="475">
        <v>1</v>
      </c>
      <c r="B11" s="476" t="s">
        <v>755</v>
      </c>
      <c r="C11" s="196">
        <f>SUM(C12:C15)</f>
        <v>162860434</v>
      </c>
      <c r="D11" s="477">
        <f>IFERROR(((C12*D12)/C11)+((C13*D13)/C11)+((C14*D14)/C11)+((C15*D15)/C11),0)</f>
        <v>9.9237955302159939E-2</v>
      </c>
      <c r="E11" s="196">
        <f t="shared" ref="E11:Z11" si="3">SUM(E12:E15)</f>
        <v>162860434</v>
      </c>
      <c r="F11" s="477">
        <f>IFERROR(((E12*F12)/E11)+((E13*F13)/E11)+((E14*F14)/E11)+((E15*F15)/E11),0)</f>
        <v>9.9237955302159939E-2</v>
      </c>
      <c r="G11" s="196">
        <f t="shared" si="3"/>
        <v>0</v>
      </c>
      <c r="H11" s="477">
        <f>IFERROR(((G12*H12)/G11)+((G13*H13)/G11)+((G14*H14)/G11)+((G15*H15)/G11),0)</f>
        <v>0</v>
      </c>
      <c r="I11" s="196">
        <f t="shared" si="3"/>
        <v>0</v>
      </c>
      <c r="J11" s="196">
        <f t="shared" si="3"/>
        <v>1608053</v>
      </c>
      <c r="K11" s="196">
        <f t="shared" si="3"/>
        <v>4025036</v>
      </c>
      <c r="L11" s="196">
        <f t="shared" si="3"/>
        <v>3128521</v>
      </c>
      <c r="M11" s="196">
        <f t="shared" si="3"/>
        <v>154098824</v>
      </c>
      <c r="N11" s="196">
        <f t="shared" si="3"/>
        <v>155020479</v>
      </c>
      <c r="O11" s="196">
        <f t="shared" si="3"/>
        <v>6753240</v>
      </c>
      <c r="P11" s="196">
        <f t="shared" si="3"/>
        <v>176710</v>
      </c>
      <c r="Q11" s="196">
        <f t="shared" si="3"/>
        <v>845363</v>
      </c>
      <c r="R11" s="196">
        <f t="shared" si="3"/>
        <v>64642</v>
      </c>
      <c r="S11" s="196">
        <f t="shared" si="3"/>
        <v>459821</v>
      </c>
      <c r="T11" s="196">
        <f t="shared" si="3"/>
        <v>19129</v>
      </c>
      <c r="U11" s="196">
        <f t="shared" si="3"/>
        <v>260172</v>
      </c>
      <c r="V11" s="196">
        <f t="shared" si="3"/>
        <v>34475</v>
      </c>
      <c r="W11" s="196">
        <f t="shared" si="3"/>
        <v>81403</v>
      </c>
      <c r="X11" s="196">
        <f t="shared" si="3"/>
        <v>64642</v>
      </c>
      <c r="Y11" s="196">
        <f t="shared" si="3"/>
        <v>0</v>
      </c>
      <c r="Z11" s="196">
        <f t="shared" si="3"/>
        <v>0</v>
      </c>
      <c r="AA11" s="470">
        <f>+'loans_av rate'!C10</f>
        <v>162860434</v>
      </c>
      <c r="AB11" s="183">
        <f>+'loans_av rate'!E10</f>
        <v>162860434</v>
      </c>
      <c r="AC11" s="183">
        <f>+'loans_av rate'!G10</f>
        <v>0</v>
      </c>
      <c r="AD11" s="612">
        <f>+T8-AD10</f>
        <v>0</v>
      </c>
      <c r="AE11" s="612">
        <f t="shared" ref="AE11:AH11" si="4">+U8-AE10</f>
        <v>0</v>
      </c>
      <c r="AF11" s="612">
        <f t="shared" si="4"/>
        <v>0</v>
      </c>
      <c r="AG11" s="612">
        <f t="shared" si="4"/>
        <v>0</v>
      </c>
      <c r="AH11" s="612">
        <f t="shared" si="4"/>
        <v>0</v>
      </c>
    </row>
    <row r="12" spans="1:35" s="183" customFormat="1" ht="49.5" customHeight="1">
      <c r="A12" s="478" t="s">
        <v>111</v>
      </c>
      <c r="B12" s="479" t="s">
        <v>520</v>
      </c>
      <c r="C12" s="194">
        <f>+E12+G12</f>
        <v>158017995</v>
      </c>
      <c r="D12" s="639">
        <f>IFERROR((((E12*F12)+(G12*H12))/C12),0)</f>
        <v>9.9214602550692838E-2</v>
      </c>
      <c r="E12" s="195">
        <v>158017995</v>
      </c>
      <c r="F12" s="480">
        <v>9.9214602550692838E-2</v>
      </c>
      <c r="G12" s="195"/>
      <c r="H12" s="480"/>
      <c r="I12" s="195">
        <v>0</v>
      </c>
      <c r="J12" s="195">
        <v>1608053</v>
      </c>
      <c r="K12" s="195">
        <v>4025036</v>
      </c>
      <c r="L12" s="195">
        <v>3128521</v>
      </c>
      <c r="M12" s="195">
        <v>149256385</v>
      </c>
      <c r="N12" s="195">
        <v>150178040</v>
      </c>
      <c r="O12" s="195">
        <v>6753240</v>
      </c>
      <c r="P12" s="195">
        <v>176710</v>
      </c>
      <c r="Q12" s="195">
        <v>845363</v>
      </c>
      <c r="R12" s="195">
        <v>64642</v>
      </c>
      <c r="S12" s="194">
        <f>SUM(T12:X12)</f>
        <v>459821</v>
      </c>
      <c r="T12" s="195">
        <v>19129</v>
      </c>
      <c r="U12" s="195">
        <v>260172</v>
      </c>
      <c r="V12" s="195">
        <v>34475</v>
      </c>
      <c r="W12" s="195">
        <v>81403</v>
      </c>
      <c r="X12" s="195">
        <v>64642</v>
      </c>
      <c r="Y12" s="195"/>
      <c r="Z12" s="195"/>
      <c r="AA12" s="618">
        <f>+'loans_av rate'!D10</f>
        <v>9.9237955303752193E-2</v>
      </c>
      <c r="AB12" s="618">
        <f>+'loans_av rate'!F10</f>
        <v>9.9237955303752193E-2</v>
      </c>
      <c r="AC12" s="618">
        <f>+'loans_av rate'!H10</f>
        <v>0</v>
      </c>
    </row>
    <row r="13" spans="1:35" s="183" customFormat="1" ht="49.5" customHeight="1">
      <c r="A13" s="478" t="s">
        <v>112</v>
      </c>
      <c r="B13" s="479" t="s">
        <v>521</v>
      </c>
      <c r="C13" s="194">
        <f>+E13+G13</f>
        <v>0</v>
      </c>
      <c r="D13" s="639">
        <f>IFERROR((((E13*F13)+(G13*H13))/C13),0)</f>
        <v>0</v>
      </c>
      <c r="E13" s="195"/>
      <c r="F13" s="480"/>
      <c r="G13" s="195"/>
      <c r="H13" s="480"/>
      <c r="I13" s="195"/>
      <c r="J13" s="195"/>
      <c r="K13" s="195">
        <v>0</v>
      </c>
      <c r="L13" s="195"/>
      <c r="M13" s="195"/>
      <c r="N13" s="195"/>
      <c r="O13" s="195"/>
      <c r="P13" s="195"/>
      <c r="Q13" s="195"/>
      <c r="R13" s="195"/>
      <c r="S13" s="194">
        <f t="shared" ref="S13:S26" si="5">SUM(T13:X13)</f>
        <v>0</v>
      </c>
      <c r="T13" s="195"/>
      <c r="U13" s="195"/>
      <c r="V13" s="195"/>
      <c r="W13" s="195"/>
      <c r="X13" s="195"/>
      <c r="Y13" s="195"/>
      <c r="Z13" s="195"/>
      <c r="AA13" s="470"/>
      <c r="AD13" s="470">
        <f>+'Asset Classification'!E13</f>
        <v>3611077438</v>
      </c>
      <c r="AE13" s="470">
        <f>+'Asset Classification'!I13</f>
        <v>591113637</v>
      </c>
      <c r="AF13" s="470">
        <f>+'Asset Classification'!M13</f>
        <v>82422064</v>
      </c>
      <c r="AG13" s="470">
        <f>+'Asset Classification'!Q13</f>
        <v>201882538</v>
      </c>
      <c r="AH13" s="470">
        <f>+'Asset Classification'!U13</f>
        <v>94889578</v>
      </c>
    </row>
    <row r="14" spans="1:35" s="183" customFormat="1" ht="49.5" customHeight="1">
      <c r="A14" s="478" t="s">
        <v>113</v>
      </c>
      <c r="B14" s="479" t="s">
        <v>522</v>
      </c>
      <c r="C14" s="194">
        <f>+E14+G14</f>
        <v>0</v>
      </c>
      <c r="D14" s="639">
        <f>IFERROR((((E14*F14)+(G14*H14))/C14),0)</f>
        <v>0</v>
      </c>
      <c r="E14" s="195"/>
      <c r="F14" s="480"/>
      <c r="G14" s="195"/>
      <c r="H14" s="480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4">
        <f t="shared" si="5"/>
        <v>0</v>
      </c>
      <c r="T14" s="195"/>
      <c r="U14" s="195"/>
      <c r="V14" s="195"/>
      <c r="W14" s="195"/>
      <c r="X14" s="195"/>
      <c r="Y14" s="195"/>
      <c r="Z14" s="195"/>
      <c r="AA14" s="470"/>
      <c r="AD14" s="612">
        <f>+N9-AD13</f>
        <v>0</v>
      </c>
      <c r="AE14" s="612">
        <f t="shared" ref="AE14:AH14" si="6">+O9-AE13</f>
        <v>0</v>
      </c>
      <c r="AF14" s="612">
        <f t="shared" si="6"/>
        <v>0</v>
      </c>
      <c r="AG14" s="612">
        <f t="shared" si="6"/>
        <v>0</v>
      </c>
      <c r="AH14" s="612">
        <f t="shared" si="6"/>
        <v>0</v>
      </c>
    </row>
    <row r="15" spans="1:35" s="183" customFormat="1" ht="49.5" customHeight="1">
      <c r="A15" s="478" t="s">
        <v>117</v>
      </c>
      <c r="B15" s="479" t="s">
        <v>523</v>
      </c>
      <c r="C15" s="194">
        <f>+E15+G15</f>
        <v>4842439</v>
      </c>
      <c r="D15" s="639">
        <f>IFERROR((((E15*F15)+(G15*H15))/C15),0)</f>
        <v>9.9999999999999992E-2</v>
      </c>
      <c r="E15" s="195">
        <v>4842439</v>
      </c>
      <c r="F15" s="480">
        <v>9.9999999999999992E-2</v>
      </c>
      <c r="G15" s="195"/>
      <c r="H15" s="480"/>
      <c r="I15" s="195">
        <v>0</v>
      </c>
      <c r="J15" s="195">
        <v>0</v>
      </c>
      <c r="K15" s="195">
        <v>0</v>
      </c>
      <c r="L15" s="195">
        <v>0</v>
      </c>
      <c r="M15" s="195">
        <v>4842439</v>
      </c>
      <c r="N15" s="195">
        <v>4842439</v>
      </c>
      <c r="O15" s="195">
        <v>0</v>
      </c>
      <c r="P15" s="195">
        <v>0</v>
      </c>
      <c r="Q15" s="195">
        <v>0</v>
      </c>
      <c r="R15" s="195">
        <v>0</v>
      </c>
      <c r="S15" s="194">
        <f t="shared" si="5"/>
        <v>0</v>
      </c>
      <c r="T15" s="195">
        <v>0</v>
      </c>
      <c r="U15" s="195">
        <v>0</v>
      </c>
      <c r="V15" s="195">
        <v>0</v>
      </c>
      <c r="W15" s="195">
        <v>0</v>
      </c>
      <c r="X15" s="195">
        <v>0</v>
      </c>
      <c r="Y15" s="195"/>
      <c r="Z15" s="195"/>
      <c r="AA15" s="470"/>
      <c r="AD15" s="470">
        <f>+'Asset Classification'!G13</f>
        <v>19487264</v>
      </c>
      <c r="AE15" s="470">
        <f>+'Asset Classification'!K13</f>
        <v>19725504</v>
      </c>
      <c r="AF15" s="470">
        <f>+'Asset Classification'!O13</f>
        <v>5604350</v>
      </c>
      <c r="AG15" s="470">
        <f>+'Asset Classification'!S13</f>
        <v>20577296</v>
      </c>
      <c r="AH15" s="470">
        <f>+'Asset Classification'!W13</f>
        <v>46126485</v>
      </c>
    </row>
    <row r="16" spans="1:35" s="183" customFormat="1" ht="49.5" customHeight="1">
      <c r="A16" s="475">
        <v>2</v>
      </c>
      <c r="B16" s="476" t="s">
        <v>756</v>
      </c>
      <c r="C16" s="196">
        <f>SUM(C17:C20)</f>
        <v>623920904</v>
      </c>
      <c r="D16" s="477">
        <f>IFERROR(((C17*D17)/C16)+((C18*D18)/C16)+((C19*D19)/C16)+((C20*D20)/C16),0)</f>
        <v>0.17188235039862249</v>
      </c>
      <c r="E16" s="196">
        <f t="shared" ref="E16:Z16" si="7">SUM(E17:E20)</f>
        <v>623920904</v>
      </c>
      <c r="F16" s="477">
        <f>IFERROR(((E17*F17)/E16)+((E18*F18)/E16)+((E19*F19)/E16)+((E20*F20)/E16),0)</f>
        <v>0.17188235039862249</v>
      </c>
      <c r="G16" s="196">
        <f t="shared" si="7"/>
        <v>0</v>
      </c>
      <c r="H16" s="477">
        <f>IFERROR(((G17*H17)/G16)+((G18*H18)/G16)+((G19*H19)/G16)+((G20*H20)/G16),0)</f>
        <v>0</v>
      </c>
      <c r="I16" s="196">
        <f t="shared" si="7"/>
        <v>12402</v>
      </c>
      <c r="J16" s="196">
        <f t="shared" si="7"/>
        <v>2236886</v>
      </c>
      <c r="K16" s="196">
        <f t="shared" si="7"/>
        <v>36282185</v>
      </c>
      <c r="L16" s="196">
        <f t="shared" si="7"/>
        <v>142390080</v>
      </c>
      <c r="M16" s="196">
        <f t="shared" si="7"/>
        <v>442999351</v>
      </c>
      <c r="N16" s="196">
        <f t="shared" si="7"/>
        <v>544542837</v>
      </c>
      <c r="O16" s="196">
        <f t="shared" si="7"/>
        <v>65282693</v>
      </c>
      <c r="P16" s="196">
        <f t="shared" si="7"/>
        <v>4010578</v>
      </c>
      <c r="Q16" s="196">
        <f t="shared" si="7"/>
        <v>6523916</v>
      </c>
      <c r="R16" s="196">
        <f t="shared" si="7"/>
        <v>3560880</v>
      </c>
      <c r="S16" s="196">
        <f>SUM(S17:S20)</f>
        <v>7499043</v>
      </c>
      <c r="T16" s="196">
        <f t="shared" si="7"/>
        <v>111735</v>
      </c>
      <c r="U16" s="196">
        <f t="shared" si="7"/>
        <v>3124969</v>
      </c>
      <c r="V16" s="196">
        <f t="shared" si="7"/>
        <v>143462</v>
      </c>
      <c r="W16" s="196">
        <f t="shared" si="7"/>
        <v>557997</v>
      </c>
      <c r="X16" s="196">
        <f t="shared" si="7"/>
        <v>3560880</v>
      </c>
      <c r="Y16" s="196">
        <f t="shared" si="7"/>
        <v>0</v>
      </c>
      <c r="Z16" s="196">
        <f t="shared" si="7"/>
        <v>0</v>
      </c>
      <c r="AA16" s="470">
        <f>+'loans_av rate'!C20</f>
        <v>623920904</v>
      </c>
      <c r="AB16" s="183">
        <f>+'loans_av rate'!E20</f>
        <v>623920904</v>
      </c>
      <c r="AC16" s="183">
        <f>+'loans_av rate'!G20</f>
        <v>0</v>
      </c>
      <c r="AD16" s="612">
        <f>+AD15-T9</f>
        <v>0</v>
      </c>
      <c r="AE16" s="612">
        <f t="shared" ref="AE16:AH16" si="8">+AE15-U9</f>
        <v>0</v>
      </c>
      <c r="AF16" s="612">
        <f t="shared" si="8"/>
        <v>0</v>
      </c>
      <c r="AG16" s="612">
        <f t="shared" si="8"/>
        <v>0</v>
      </c>
      <c r="AH16" s="612">
        <f t="shared" si="8"/>
        <v>0</v>
      </c>
    </row>
    <row r="17" spans="1:29" s="185" customFormat="1" ht="49.5" customHeight="1">
      <c r="A17" s="481" t="s">
        <v>124</v>
      </c>
      <c r="B17" s="482" t="s">
        <v>520</v>
      </c>
      <c r="C17" s="194">
        <f t="shared" ref="C17:C26" si="9">+E17+G17</f>
        <v>564050062</v>
      </c>
      <c r="D17" s="639">
        <f t="shared" ref="D17:D26" si="10">IFERROR((((E17*F17)+(G17*H17))/C17),0)</f>
        <v>0.17202516642028248</v>
      </c>
      <c r="E17" s="195">
        <v>564050062</v>
      </c>
      <c r="F17" s="480">
        <v>0.17202516642028248</v>
      </c>
      <c r="G17" s="195"/>
      <c r="H17" s="480"/>
      <c r="I17" s="195">
        <v>12402</v>
      </c>
      <c r="J17" s="195">
        <v>2236886</v>
      </c>
      <c r="K17" s="195">
        <v>36208969</v>
      </c>
      <c r="L17" s="195">
        <v>142390080</v>
      </c>
      <c r="M17" s="195">
        <v>383201725</v>
      </c>
      <c r="N17" s="195">
        <v>495143190</v>
      </c>
      <c r="O17" s="195">
        <v>55238398</v>
      </c>
      <c r="P17" s="195">
        <v>3893078</v>
      </c>
      <c r="Q17" s="195">
        <v>6214516</v>
      </c>
      <c r="R17" s="195">
        <v>3560880</v>
      </c>
      <c r="S17" s="194">
        <f t="shared" si="5"/>
        <v>7068505</v>
      </c>
      <c r="T17" s="195">
        <v>111735</v>
      </c>
      <c r="U17" s="195">
        <v>2723806</v>
      </c>
      <c r="V17" s="195">
        <v>114087</v>
      </c>
      <c r="W17" s="195">
        <v>557997</v>
      </c>
      <c r="X17" s="195">
        <v>3560880</v>
      </c>
      <c r="Y17" s="195"/>
      <c r="Z17" s="195"/>
      <c r="AA17" s="618">
        <f>+'loans_av rate'!D20</f>
        <v>0.17188235039837152</v>
      </c>
      <c r="AB17" s="618">
        <f>+'loans_av rate'!F20</f>
        <v>0.17188235039837152</v>
      </c>
      <c r="AC17" s="618">
        <f>+'loans_av rate'!H20</f>
        <v>0</v>
      </c>
    </row>
    <row r="18" spans="1:29" s="185" customFormat="1" ht="49.5" customHeight="1">
      <c r="A18" s="481" t="s">
        <v>125</v>
      </c>
      <c r="B18" s="482" t="s">
        <v>521</v>
      </c>
      <c r="C18" s="194">
        <f t="shared" si="9"/>
        <v>0</v>
      </c>
      <c r="D18" s="639">
        <f t="shared" si="10"/>
        <v>0</v>
      </c>
      <c r="E18" s="195"/>
      <c r="F18" s="480"/>
      <c r="G18" s="195"/>
      <c r="H18" s="480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4">
        <f t="shared" si="5"/>
        <v>0</v>
      </c>
      <c r="T18" s="195"/>
      <c r="U18" s="195"/>
      <c r="V18" s="195"/>
      <c r="W18" s="195"/>
      <c r="X18" s="195"/>
      <c r="Y18" s="195"/>
      <c r="Z18" s="195"/>
      <c r="AA18" s="470"/>
    </row>
    <row r="19" spans="1:29" s="185" customFormat="1" ht="49.5" customHeight="1">
      <c r="A19" s="481" t="s">
        <v>127</v>
      </c>
      <c r="B19" s="482" t="s">
        <v>522</v>
      </c>
      <c r="C19" s="194">
        <f t="shared" si="9"/>
        <v>0</v>
      </c>
      <c r="D19" s="639">
        <f t="shared" si="10"/>
        <v>0</v>
      </c>
      <c r="E19" s="195"/>
      <c r="F19" s="480"/>
      <c r="G19" s="195"/>
      <c r="H19" s="480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4">
        <f t="shared" si="5"/>
        <v>0</v>
      </c>
      <c r="T19" s="195"/>
      <c r="U19" s="195"/>
      <c r="V19" s="195"/>
      <c r="W19" s="195"/>
      <c r="X19" s="195"/>
      <c r="Y19" s="195"/>
      <c r="Z19" s="195"/>
      <c r="AA19" s="470"/>
    </row>
    <row r="20" spans="1:29" s="185" customFormat="1" ht="49.5" customHeight="1">
      <c r="A20" s="481" t="s">
        <v>129</v>
      </c>
      <c r="B20" s="482" t="s">
        <v>523</v>
      </c>
      <c r="C20" s="194">
        <f t="shared" si="9"/>
        <v>59870842</v>
      </c>
      <c r="D20" s="639">
        <f t="shared" si="10"/>
        <v>0.17053686429585627</v>
      </c>
      <c r="E20" s="195">
        <v>59870842</v>
      </c>
      <c r="F20" s="480">
        <v>0.17053686429585627</v>
      </c>
      <c r="G20" s="195"/>
      <c r="H20" s="480"/>
      <c r="I20" s="195">
        <v>0</v>
      </c>
      <c r="J20" s="195">
        <v>0</v>
      </c>
      <c r="K20" s="195">
        <v>73216</v>
      </c>
      <c r="L20" s="195">
        <v>0</v>
      </c>
      <c r="M20" s="195">
        <v>59797626</v>
      </c>
      <c r="N20" s="195">
        <v>49399647</v>
      </c>
      <c r="O20" s="195">
        <v>10044295</v>
      </c>
      <c r="P20" s="195">
        <v>117500</v>
      </c>
      <c r="Q20" s="195">
        <v>309400</v>
      </c>
      <c r="R20" s="195">
        <v>0</v>
      </c>
      <c r="S20" s="194">
        <f t="shared" si="5"/>
        <v>430538</v>
      </c>
      <c r="T20" s="195">
        <v>0</v>
      </c>
      <c r="U20" s="195">
        <v>401163</v>
      </c>
      <c r="V20" s="195">
        <v>29375</v>
      </c>
      <c r="W20" s="195">
        <v>0</v>
      </c>
      <c r="X20" s="195">
        <v>0</v>
      </c>
      <c r="Y20" s="195"/>
      <c r="Z20" s="195"/>
      <c r="AA20" s="470"/>
    </row>
    <row r="21" spans="1:29" s="183" customFormat="1" ht="49.5" customHeight="1">
      <c r="A21" s="478">
        <v>3</v>
      </c>
      <c r="B21" s="483" t="s">
        <v>498</v>
      </c>
      <c r="C21" s="194">
        <f t="shared" si="9"/>
        <v>597782456</v>
      </c>
      <c r="D21" s="639">
        <f t="shared" si="10"/>
        <v>0.27567338143569592</v>
      </c>
      <c r="E21" s="195">
        <v>597782456</v>
      </c>
      <c r="F21" s="480">
        <v>0.27567338143569592</v>
      </c>
      <c r="G21" s="195"/>
      <c r="H21" s="480"/>
      <c r="I21" s="195">
        <v>25378115</v>
      </c>
      <c r="J21" s="195">
        <v>572404341</v>
      </c>
      <c r="K21" s="195">
        <v>0</v>
      </c>
      <c r="L21" s="195">
        <v>0</v>
      </c>
      <c r="M21" s="195">
        <v>0</v>
      </c>
      <c r="N21" s="195">
        <v>565899312</v>
      </c>
      <c r="O21" s="195">
        <v>16073180</v>
      </c>
      <c r="P21" s="195">
        <v>1560446</v>
      </c>
      <c r="Q21" s="195">
        <v>5612950</v>
      </c>
      <c r="R21" s="195">
        <v>8636568</v>
      </c>
      <c r="S21" s="194">
        <f t="shared" si="5"/>
        <v>12225650</v>
      </c>
      <c r="T21" s="195">
        <v>602381</v>
      </c>
      <c r="U21" s="195">
        <v>1364806</v>
      </c>
      <c r="V21" s="195">
        <v>278750</v>
      </c>
      <c r="W21" s="195">
        <v>1447938</v>
      </c>
      <c r="X21" s="195">
        <v>8531775</v>
      </c>
      <c r="Y21" s="195"/>
      <c r="Z21" s="195"/>
      <c r="AA21" s="470">
        <f>+'loans_av rate'!C12+'loans_av rate'!C22</f>
        <v>597782456</v>
      </c>
      <c r="AB21" s="470">
        <f>+'loans_av rate'!E12+'loans_av rate'!E22</f>
        <v>597782456</v>
      </c>
      <c r="AC21" s="470">
        <f>+'loans_av rate'!G12+'loans_av rate'!G22</f>
        <v>0</v>
      </c>
    </row>
    <row r="22" spans="1:29" s="183" customFormat="1" ht="49.5" customHeight="1">
      <c r="A22" s="478">
        <v>4</v>
      </c>
      <c r="B22" s="483" t="s">
        <v>481</v>
      </c>
      <c r="C22" s="194">
        <f t="shared" si="9"/>
        <v>185556189</v>
      </c>
      <c r="D22" s="639">
        <f t="shared" si="10"/>
        <v>0.25932679158283956</v>
      </c>
      <c r="E22" s="195">
        <v>185556189</v>
      </c>
      <c r="F22" s="480">
        <v>0.25932679158283956</v>
      </c>
      <c r="G22" s="195"/>
      <c r="H22" s="480"/>
      <c r="I22" s="195">
        <v>5713138</v>
      </c>
      <c r="J22" s="195">
        <v>143171565</v>
      </c>
      <c r="K22" s="195">
        <v>36671486</v>
      </c>
      <c r="L22" s="195">
        <v>0</v>
      </c>
      <c r="M22" s="195">
        <v>0</v>
      </c>
      <c r="N22" s="195">
        <v>160556126</v>
      </c>
      <c r="O22" s="195">
        <v>8085544</v>
      </c>
      <c r="P22" s="195">
        <v>1723417</v>
      </c>
      <c r="Q22" s="195">
        <v>4796925</v>
      </c>
      <c r="R22" s="195">
        <v>10394177</v>
      </c>
      <c r="S22" s="194">
        <f t="shared" si="5"/>
        <v>12439988</v>
      </c>
      <c r="T22" s="195">
        <v>0</v>
      </c>
      <c r="U22" s="195">
        <v>814517</v>
      </c>
      <c r="V22" s="195">
        <v>282966</v>
      </c>
      <c r="W22" s="195">
        <v>1090011</v>
      </c>
      <c r="X22" s="195">
        <v>10252494</v>
      </c>
      <c r="Y22" s="195"/>
      <c r="Z22" s="195"/>
      <c r="AA22" s="470">
        <f>+'loans_av rate'!C11+'loans_av rate'!C13+'loans_av rate'!C21+'loans_av rate'!C23</f>
        <v>185556189</v>
      </c>
      <c r="AB22" s="470">
        <f>+'loans_av rate'!E11+'loans_av rate'!E13+'loans_av rate'!E21+'loans_av rate'!E23</f>
        <v>185556189</v>
      </c>
      <c r="AC22" s="470">
        <f>+'loans_av rate'!G11+'loans_av rate'!G13+'loans_av rate'!G21+'loans_av rate'!G23</f>
        <v>0</v>
      </c>
    </row>
    <row r="23" spans="1:29" s="183" customFormat="1" ht="49.5" customHeight="1">
      <c r="A23" s="478" t="s">
        <v>162</v>
      </c>
      <c r="B23" s="483" t="s">
        <v>524</v>
      </c>
      <c r="C23" s="194">
        <f t="shared" si="9"/>
        <v>71775769</v>
      </c>
      <c r="D23" s="639">
        <f t="shared" si="10"/>
        <v>0.23938597564882239</v>
      </c>
      <c r="E23" s="195">
        <v>71775769</v>
      </c>
      <c r="F23" s="480">
        <v>0.23938597564882239</v>
      </c>
      <c r="G23" s="195"/>
      <c r="H23" s="480"/>
      <c r="I23" s="195">
        <v>455863</v>
      </c>
      <c r="J23" s="195">
        <v>34648420</v>
      </c>
      <c r="K23" s="195">
        <v>36671486</v>
      </c>
      <c r="L23" s="195">
        <v>0</v>
      </c>
      <c r="M23" s="195">
        <v>0</v>
      </c>
      <c r="N23" s="195">
        <v>69805113</v>
      </c>
      <c r="O23" s="195">
        <v>1224576</v>
      </c>
      <c r="P23" s="195">
        <v>75901</v>
      </c>
      <c r="Q23" s="195">
        <v>635783</v>
      </c>
      <c r="R23" s="195">
        <v>34396</v>
      </c>
      <c r="S23" s="194">
        <f t="shared" si="5"/>
        <v>263087</v>
      </c>
      <c r="T23" s="195">
        <v>0</v>
      </c>
      <c r="U23" s="195">
        <v>79837</v>
      </c>
      <c r="V23" s="195">
        <v>9599</v>
      </c>
      <c r="W23" s="195">
        <v>139255</v>
      </c>
      <c r="X23" s="195">
        <v>34396</v>
      </c>
      <c r="Y23" s="195"/>
      <c r="Z23" s="195"/>
      <c r="AA23" s="470">
        <f>+'loans_av rate'!C11+'loans_av rate'!C21</f>
        <v>71775769</v>
      </c>
      <c r="AB23" s="470">
        <f>+'loans_av rate'!E11+'loans_av rate'!E21</f>
        <v>71775769</v>
      </c>
      <c r="AC23" s="470">
        <f>+'loans_av rate'!G11+'loans_av rate'!G21</f>
        <v>0</v>
      </c>
    </row>
    <row r="24" spans="1:29" s="183" customFormat="1" ht="49.5" customHeight="1">
      <c r="A24" s="478">
        <v>5</v>
      </c>
      <c r="B24" s="483" t="s">
        <v>525</v>
      </c>
      <c r="C24" s="194">
        <f t="shared" si="9"/>
        <v>97582998</v>
      </c>
      <c r="D24" s="639">
        <f t="shared" si="10"/>
        <v>6.2248279322345446E-2</v>
      </c>
      <c r="E24" s="195">
        <v>97582998</v>
      </c>
      <c r="F24" s="480">
        <v>6.2248279322345446E-2</v>
      </c>
      <c r="G24" s="195"/>
      <c r="H24" s="480"/>
      <c r="I24" s="195">
        <v>94352</v>
      </c>
      <c r="J24" s="195">
        <v>1462499</v>
      </c>
      <c r="K24" s="195">
        <v>17029645</v>
      </c>
      <c r="L24" s="195">
        <v>78881279</v>
      </c>
      <c r="M24" s="195">
        <v>115223</v>
      </c>
      <c r="N24" s="195">
        <v>95791874</v>
      </c>
      <c r="O24" s="195">
        <v>1460877</v>
      </c>
      <c r="P24" s="195">
        <v>102302</v>
      </c>
      <c r="Q24" s="195">
        <v>66653</v>
      </c>
      <c r="R24" s="195">
        <v>161292</v>
      </c>
      <c r="S24" s="194">
        <f t="shared" si="5"/>
        <v>268424</v>
      </c>
      <c r="T24" s="195">
        <v>0</v>
      </c>
      <c r="U24" s="195">
        <v>100782</v>
      </c>
      <c r="V24" s="195">
        <v>6765</v>
      </c>
      <c r="W24" s="195">
        <v>10886</v>
      </c>
      <c r="X24" s="195">
        <v>149991</v>
      </c>
      <c r="Y24" s="195"/>
      <c r="Z24" s="195"/>
      <c r="AA24" s="470">
        <f>+'loans_av rate'!C14+'loans_av rate'!C24</f>
        <v>97582998</v>
      </c>
      <c r="AB24" s="470">
        <f>+'loans_av rate'!E14+'loans_av rate'!E24</f>
        <v>97582998</v>
      </c>
      <c r="AC24" s="470">
        <f>+'loans_av rate'!G14+'loans_av rate'!G24</f>
        <v>0</v>
      </c>
    </row>
    <row r="25" spans="1:29" s="183" customFormat="1" ht="49.5" customHeight="1">
      <c r="A25" s="478">
        <v>6</v>
      </c>
      <c r="B25" s="483" t="s">
        <v>526</v>
      </c>
      <c r="C25" s="194">
        <f t="shared" si="9"/>
        <v>2913682274</v>
      </c>
      <c r="D25" s="639">
        <f t="shared" si="10"/>
        <v>0.14001050791384059</v>
      </c>
      <c r="E25" s="195">
        <v>2913682274</v>
      </c>
      <c r="F25" s="480">
        <v>0.14001050791384059</v>
      </c>
      <c r="G25" s="195"/>
      <c r="H25" s="480"/>
      <c r="I25" s="195">
        <v>39239366</v>
      </c>
      <c r="J25" s="195">
        <v>2652460322</v>
      </c>
      <c r="K25" s="195">
        <v>221982586</v>
      </c>
      <c r="L25" s="195">
        <v>0</v>
      </c>
      <c r="M25" s="195">
        <v>0</v>
      </c>
      <c r="N25" s="195">
        <v>2089266810</v>
      </c>
      <c r="O25" s="195">
        <v>493458103</v>
      </c>
      <c r="P25" s="195">
        <v>74848611</v>
      </c>
      <c r="Q25" s="195">
        <v>184036731</v>
      </c>
      <c r="R25" s="195">
        <v>72072019</v>
      </c>
      <c r="S25" s="194">
        <f t="shared" si="5"/>
        <v>78627973</v>
      </c>
      <c r="T25" s="195">
        <v>18754019</v>
      </c>
      <c r="U25" s="195">
        <v>14060258</v>
      </c>
      <c r="V25" s="195">
        <v>4857932</v>
      </c>
      <c r="W25" s="195">
        <v>17389061</v>
      </c>
      <c r="X25" s="195">
        <v>23566703</v>
      </c>
      <c r="Y25" s="195">
        <v>94140738</v>
      </c>
      <c r="Z25" s="195"/>
      <c r="AA25" s="470">
        <f>+'loans_av rate'!C15+'loans_av rate'!C25</f>
        <v>2913682274</v>
      </c>
      <c r="AB25" s="470">
        <f>+'loans_av rate'!E15+'loans_av rate'!E25</f>
        <v>2913682274</v>
      </c>
      <c r="AC25" s="470">
        <f>+'loans_av rate'!G15+'loans_av rate'!G25</f>
        <v>0</v>
      </c>
    </row>
    <row r="26" spans="1:29" s="183" customFormat="1" ht="49.5" customHeight="1">
      <c r="A26" s="478">
        <v>7</v>
      </c>
      <c r="B26" s="483" t="s">
        <v>482</v>
      </c>
      <c r="C26" s="194">
        <f t="shared" si="9"/>
        <v>0</v>
      </c>
      <c r="D26" s="639">
        <f t="shared" si="10"/>
        <v>0</v>
      </c>
      <c r="E26" s="195">
        <v>0</v>
      </c>
      <c r="F26" s="480">
        <v>6.2248279322345446E-2</v>
      </c>
      <c r="G26" s="195"/>
      <c r="H26" s="480"/>
      <c r="I26" s="195">
        <v>0</v>
      </c>
      <c r="J26" s="195">
        <v>0</v>
      </c>
      <c r="K26" s="195">
        <v>0</v>
      </c>
      <c r="L26" s="195">
        <v>0</v>
      </c>
      <c r="M26" s="195">
        <v>0</v>
      </c>
      <c r="N26" s="195">
        <v>0</v>
      </c>
      <c r="O26" s="195">
        <v>0</v>
      </c>
      <c r="P26" s="195">
        <v>0</v>
      </c>
      <c r="Q26" s="195">
        <v>0</v>
      </c>
      <c r="R26" s="195">
        <v>0</v>
      </c>
      <c r="S26" s="194">
        <f t="shared" si="5"/>
        <v>0</v>
      </c>
      <c r="T26" s="195">
        <v>0</v>
      </c>
      <c r="U26" s="195">
        <v>0</v>
      </c>
      <c r="V26" s="195">
        <v>0</v>
      </c>
      <c r="W26" s="195">
        <v>0</v>
      </c>
      <c r="X26" s="195">
        <v>0</v>
      </c>
      <c r="Y26" s="195"/>
      <c r="Z26" s="195"/>
      <c r="AA26" s="470">
        <f>+'loans_av rate'!C16+'loans_av rate'!C26</f>
        <v>0</v>
      </c>
      <c r="AB26" s="470">
        <f>+'loans_av rate'!E16+'loans_av rate'!E26</f>
        <v>0</v>
      </c>
      <c r="AC26" s="470">
        <f>+'loans_av rate'!G16+'loans_av rate'!G26</f>
        <v>0</v>
      </c>
    </row>
    <row r="27" spans="1:29" s="189" customFormat="1" ht="49.5" customHeight="1">
      <c r="A27" s="472" t="s">
        <v>54</v>
      </c>
      <c r="B27" s="472" t="s">
        <v>527</v>
      </c>
      <c r="C27" s="184">
        <f>+C28</f>
        <v>8737238586</v>
      </c>
      <c r="D27" s="473">
        <f>IFERROR(((C29*D29)/C27)+((C30*D30)/C27)+((C31*D31)/C27)+((C32*D32)/C27)+((C33*D33)/C27)+((C34*D34)/C27)+((C35*D35)/C27),0)</f>
        <v>0.13160311640236244</v>
      </c>
      <c r="E27" s="184">
        <f t="shared" ref="E27:Z27" si="11">+E28</f>
        <v>4998730861</v>
      </c>
      <c r="F27" s="473">
        <f>IFERROR(((E29*F29)/E27)+((E30*F30)/E27)+((E31*F31)/E27)+((E32*F32)/E27)+((E33*F33)/E27)+((E34*F34)/E27)+((E35*F35)/E27),0)</f>
        <v>0.16750901868858883</v>
      </c>
      <c r="G27" s="184">
        <f t="shared" si="11"/>
        <v>3738507725</v>
      </c>
      <c r="H27" s="473">
        <f>IFERROR(((G29*H29)/G27)+((G30*H30)/G27)+((G31*H31)/G27)+((G32*H32)/G27)+((G33*H33)/G27)+((G34*H34)/G27)+((G35*H35)/G27),0)</f>
        <v>8.3593601629938036E-2</v>
      </c>
      <c r="I27" s="184">
        <f t="shared" si="11"/>
        <v>295923765</v>
      </c>
      <c r="J27" s="184">
        <f t="shared" si="11"/>
        <v>5981485638</v>
      </c>
      <c r="K27" s="184">
        <f t="shared" si="11"/>
        <v>2229345475</v>
      </c>
      <c r="L27" s="184">
        <f t="shared" si="11"/>
        <v>230483708</v>
      </c>
      <c r="M27" s="184">
        <f t="shared" si="11"/>
        <v>0</v>
      </c>
      <c r="N27" s="184">
        <f t="shared" si="11"/>
        <v>6499121821</v>
      </c>
      <c r="O27" s="184">
        <f t="shared" si="11"/>
        <v>1981860447</v>
      </c>
      <c r="P27" s="184">
        <f t="shared" si="11"/>
        <v>28395325</v>
      </c>
      <c r="Q27" s="184">
        <f t="shared" si="11"/>
        <v>129642900</v>
      </c>
      <c r="R27" s="184">
        <f t="shared" si="11"/>
        <v>98218093</v>
      </c>
      <c r="S27" s="184">
        <f t="shared" si="11"/>
        <v>291408567</v>
      </c>
      <c r="T27" s="184">
        <f t="shared" si="11"/>
        <v>29230895</v>
      </c>
      <c r="U27" s="184">
        <f t="shared" si="11"/>
        <v>101466808</v>
      </c>
      <c r="V27" s="184">
        <f t="shared" si="11"/>
        <v>40171898</v>
      </c>
      <c r="W27" s="184">
        <f t="shared" si="11"/>
        <v>10677303</v>
      </c>
      <c r="X27" s="184">
        <f t="shared" si="11"/>
        <v>109861663</v>
      </c>
      <c r="Y27" s="184">
        <f t="shared" si="11"/>
        <v>253205923.96362978</v>
      </c>
      <c r="Z27" s="184">
        <f t="shared" si="11"/>
        <v>22445529</v>
      </c>
      <c r="AA27" s="470">
        <f>+'loans_av rate'!C28+'loans_av rate'!C37</f>
        <v>8737238586</v>
      </c>
      <c r="AB27" s="470">
        <f>+'loans_av rate'!E28+'loans_av rate'!E37</f>
        <v>4998730861</v>
      </c>
      <c r="AC27" s="470">
        <f>+'loans_av rate'!G28+'loans_av rate'!G37</f>
        <v>3738507725</v>
      </c>
    </row>
    <row r="28" spans="1:29" s="189" customFormat="1" ht="33.75" customHeight="1">
      <c r="A28" s="472"/>
      <c r="B28" s="472" t="s">
        <v>528</v>
      </c>
      <c r="C28" s="184">
        <f>SUM(C29:C35)</f>
        <v>8737238586</v>
      </c>
      <c r="D28" s="473">
        <f>IFERROR(((C29*D29)/C28)+((C30*D30)/C28)+((C31*D31)/C28)+((C32*D32)/C28)+((C33*D33)/C28)+((C34*D34)/C28)+((C35*D35)/C28),0)</f>
        <v>0.13160311640236244</v>
      </c>
      <c r="E28" s="184">
        <f>SUM(E29:E35)</f>
        <v>4998730861</v>
      </c>
      <c r="F28" s="473">
        <f>IFERROR(((E29*F29)/E28)+((E30*F30)/E28)+((E31*F31)/E28)+((E32*F32)/E28)+((E33*F33)/E28)+((E34*F34)/E28)+((E35*F35)/E28),0)</f>
        <v>0.16750901868858883</v>
      </c>
      <c r="G28" s="184">
        <f>SUM(G29:G35)</f>
        <v>3738507725</v>
      </c>
      <c r="H28" s="473">
        <f>IFERROR(+((G29*H29)/G28)+((G30*H30)/G28)+((G31*H31)/G28)+((G32*H32)/G28)+((G33*H33)/G28)+((G34*H34)/G28)+((G35*H35)/G28),0)</f>
        <v>8.3593601629938036E-2</v>
      </c>
      <c r="I28" s="184">
        <f>SUM(I29:I35)</f>
        <v>295923765</v>
      </c>
      <c r="J28" s="184">
        <f t="shared" ref="J28:R28" si="12">SUM(J29:J35)</f>
        <v>5981485638</v>
      </c>
      <c r="K28" s="184">
        <f t="shared" si="12"/>
        <v>2229345475</v>
      </c>
      <c r="L28" s="184">
        <f t="shared" si="12"/>
        <v>230483708</v>
      </c>
      <c r="M28" s="184">
        <f t="shared" si="12"/>
        <v>0</v>
      </c>
      <c r="N28" s="184">
        <f t="shared" si="12"/>
        <v>6499121821</v>
      </c>
      <c r="O28" s="184">
        <f t="shared" si="12"/>
        <v>1981860447</v>
      </c>
      <c r="P28" s="184">
        <f t="shared" si="12"/>
        <v>28395325</v>
      </c>
      <c r="Q28" s="184">
        <f t="shared" si="12"/>
        <v>129642900</v>
      </c>
      <c r="R28" s="184">
        <f t="shared" si="12"/>
        <v>98218093</v>
      </c>
      <c r="S28" s="184">
        <f t="shared" ref="S28" si="13">SUM(S29:S35)</f>
        <v>291408567</v>
      </c>
      <c r="T28" s="184">
        <f t="shared" ref="T28" si="14">SUM(T29:T35)</f>
        <v>29230895</v>
      </c>
      <c r="U28" s="184">
        <f t="shared" ref="U28" si="15">SUM(U29:U35)</f>
        <v>101466808</v>
      </c>
      <c r="V28" s="184">
        <f t="shared" ref="V28" si="16">SUM(V29:V35)</f>
        <v>40171898</v>
      </c>
      <c r="W28" s="184">
        <f t="shared" ref="W28" si="17">SUM(W29:W35)</f>
        <v>10677303</v>
      </c>
      <c r="X28" s="184">
        <f t="shared" ref="X28" si="18">SUM(X29:X35)</f>
        <v>109861663</v>
      </c>
      <c r="Y28" s="184">
        <f t="shared" ref="Y28" si="19">SUM(Y29:Y35)</f>
        <v>253205923.96362978</v>
      </c>
      <c r="Z28" s="184">
        <f t="shared" ref="Z28" si="20">SUM(Z29:Z35)</f>
        <v>22445529</v>
      </c>
      <c r="AA28" s="470">
        <f>+'loans_av rate'!C28+'loans_av rate'!C37</f>
        <v>8737238586</v>
      </c>
      <c r="AB28" s="470">
        <f>+'loans_av rate'!E28+'loans_av rate'!E37</f>
        <v>4998730861</v>
      </c>
      <c r="AC28" s="470">
        <f>+'loans_av rate'!G28+'loans_av rate'!G37</f>
        <v>3738507725</v>
      </c>
    </row>
    <row r="29" spans="1:29" s="183" customFormat="1" ht="49.5" customHeight="1">
      <c r="A29" s="478">
        <v>1</v>
      </c>
      <c r="B29" s="483" t="s">
        <v>177</v>
      </c>
      <c r="C29" s="194">
        <f t="shared" ref="C29:C34" si="21">+E29+G29</f>
        <v>178328203</v>
      </c>
      <c r="D29" s="639">
        <f t="shared" ref="D29:D35" si="22">IFERROR((((E29*F29)+(G29*H29))/C29),0)</f>
        <v>0.14456198167141385</v>
      </c>
      <c r="E29" s="195">
        <v>177838764</v>
      </c>
      <c r="F29" s="480">
        <v>0.14482036387548697</v>
      </c>
      <c r="G29" s="195">
        <v>489439</v>
      </c>
      <c r="H29" s="480">
        <v>5.067822534639612E-2</v>
      </c>
      <c r="I29" s="195">
        <v>2438141</v>
      </c>
      <c r="J29" s="195">
        <v>117253097</v>
      </c>
      <c r="K29" s="195">
        <v>57850160</v>
      </c>
      <c r="L29" s="195">
        <v>786805</v>
      </c>
      <c r="M29" s="195">
        <v>0</v>
      </c>
      <c r="N29" s="195">
        <v>107844425</v>
      </c>
      <c r="O29" s="195">
        <v>68783235</v>
      </c>
      <c r="P29" s="195">
        <v>16243</v>
      </c>
      <c r="Q29" s="195">
        <v>344507</v>
      </c>
      <c r="R29" s="195">
        <v>1339793</v>
      </c>
      <c r="S29" s="194">
        <f t="shared" ref="S29:S35" si="23">SUM(T29:X29)</f>
        <v>7056027</v>
      </c>
      <c r="T29" s="195">
        <v>0</v>
      </c>
      <c r="U29" s="195">
        <v>5515422</v>
      </c>
      <c r="V29" s="195">
        <v>0</v>
      </c>
      <c r="W29" s="195">
        <v>238233</v>
      </c>
      <c r="X29" s="195">
        <v>1302372</v>
      </c>
      <c r="Y29" s="195"/>
      <c r="Z29" s="195"/>
      <c r="AA29" s="470">
        <f>+'loans_av rate'!C30+'loans_av rate'!C39</f>
        <v>178328203</v>
      </c>
      <c r="AB29" s="470">
        <f>+'loans_av rate'!E30+'loans_av rate'!E39</f>
        <v>177838758</v>
      </c>
      <c r="AC29" s="470">
        <f>+'loans_av rate'!G30+'loans_av rate'!G39</f>
        <v>489445</v>
      </c>
    </row>
    <row r="30" spans="1:29" s="183" customFormat="1" ht="49.5" customHeight="1">
      <c r="A30" s="478">
        <v>2</v>
      </c>
      <c r="B30" s="483" t="s">
        <v>501</v>
      </c>
      <c r="C30" s="194">
        <f t="shared" si="21"/>
        <v>0</v>
      </c>
      <c r="D30" s="639">
        <f t="shared" si="22"/>
        <v>0</v>
      </c>
      <c r="E30" s="195"/>
      <c r="F30" s="480"/>
      <c r="G30" s="195"/>
      <c r="H30" s="480"/>
      <c r="I30" s="195">
        <v>0</v>
      </c>
      <c r="J30" s="195">
        <v>0</v>
      </c>
      <c r="K30" s="195">
        <v>0</v>
      </c>
      <c r="L30" s="195">
        <v>0</v>
      </c>
      <c r="M30" s="195">
        <v>0</v>
      </c>
      <c r="N30" s="195">
        <v>0</v>
      </c>
      <c r="O30" s="195">
        <v>0</v>
      </c>
      <c r="P30" s="195">
        <v>0</v>
      </c>
      <c r="Q30" s="195">
        <v>0</v>
      </c>
      <c r="R30" s="195">
        <v>0</v>
      </c>
      <c r="S30" s="194">
        <f t="shared" si="23"/>
        <v>0</v>
      </c>
      <c r="T30" s="195"/>
      <c r="U30" s="195"/>
      <c r="V30" s="195"/>
      <c r="W30" s="195"/>
      <c r="X30" s="195"/>
      <c r="Y30" s="195"/>
      <c r="Z30" s="195"/>
      <c r="AA30" s="470">
        <f>+'loans_av rate'!C31+'loans_av rate'!C40</f>
        <v>0</v>
      </c>
      <c r="AB30" s="470">
        <f>+'loans_av rate'!E31+'loans_av rate'!E40</f>
        <v>0</v>
      </c>
      <c r="AC30" s="470">
        <f>+'loans_av rate'!G31+'loans_av rate'!G40</f>
        <v>0</v>
      </c>
    </row>
    <row r="31" spans="1:29" s="183" customFormat="1" ht="49.5" customHeight="1">
      <c r="A31" s="478">
        <v>3</v>
      </c>
      <c r="B31" s="483" t="s">
        <v>178</v>
      </c>
      <c r="C31" s="194">
        <f t="shared" si="21"/>
        <v>28397926</v>
      </c>
      <c r="D31" s="639">
        <f t="shared" si="22"/>
        <v>0.18867623943491232</v>
      </c>
      <c r="E31" s="195">
        <v>25227766</v>
      </c>
      <c r="F31" s="480">
        <v>0.19981943250270046</v>
      </c>
      <c r="G31" s="195">
        <v>3170160</v>
      </c>
      <c r="H31" s="480">
        <v>0.1</v>
      </c>
      <c r="I31" s="195">
        <v>6918</v>
      </c>
      <c r="J31" s="195">
        <v>28391008</v>
      </c>
      <c r="K31" s="195">
        <v>0</v>
      </c>
      <c r="L31" s="195">
        <v>0</v>
      </c>
      <c r="M31" s="195">
        <v>0</v>
      </c>
      <c r="N31" s="195">
        <v>28170160</v>
      </c>
      <c r="O31" s="195">
        <v>220848</v>
      </c>
      <c r="P31" s="195">
        <v>0</v>
      </c>
      <c r="Q31" s="195">
        <v>6918</v>
      </c>
      <c r="R31" s="195">
        <v>0</v>
      </c>
      <c r="S31" s="194">
        <f t="shared" si="23"/>
        <v>224307</v>
      </c>
      <c r="T31" s="195">
        <v>0</v>
      </c>
      <c r="U31" s="195">
        <v>220848</v>
      </c>
      <c r="V31" s="195">
        <v>0</v>
      </c>
      <c r="W31" s="195">
        <v>3459</v>
      </c>
      <c r="X31" s="195">
        <v>0</v>
      </c>
      <c r="Y31" s="195"/>
      <c r="Z31" s="195"/>
      <c r="AA31" s="470">
        <f>+'loans_av rate'!C32+'loans_av rate'!C41</f>
        <v>28397926</v>
      </c>
      <c r="AB31" s="470">
        <f>+'loans_av rate'!E32+'loans_av rate'!E41</f>
        <v>25227766</v>
      </c>
      <c r="AC31" s="470">
        <f>+'loans_av rate'!G32+'loans_av rate'!G41</f>
        <v>3170160</v>
      </c>
    </row>
    <row r="32" spans="1:29" s="183" customFormat="1" ht="49.5" customHeight="1">
      <c r="A32" s="478">
        <v>4</v>
      </c>
      <c r="B32" s="483" t="s">
        <v>179</v>
      </c>
      <c r="C32" s="194">
        <f t="shared" si="21"/>
        <v>188315</v>
      </c>
      <c r="D32" s="639">
        <f t="shared" si="22"/>
        <v>0.15025223909593369</v>
      </c>
      <c r="E32" s="195">
        <v>188315</v>
      </c>
      <c r="F32" s="480">
        <v>0.15025223909593369</v>
      </c>
      <c r="G32" s="195">
        <v>0</v>
      </c>
      <c r="H32" s="480">
        <v>0</v>
      </c>
      <c r="I32" s="195">
        <v>188315</v>
      </c>
      <c r="J32" s="195">
        <v>0</v>
      </c>
      <c r="K32" s="195">
        <v>0</v>
      </c>
      <c r="L32" s="195">
        <v>0</v>
      </c>
      <c r="M32" s="195">
        <v>0</v>
      </c>
      <c r="N32" s="195">
        <v>0</v>
      </c>
      <c r="O32" s="195">
        <v>183565</v>
      </c>
      <c r="P32" s="195">
        <v>0</v>
      </c>
      <c r="Q32" s="195">
        <v>0</v>
      </c>
      <c r="R32" s="195">
        <v>4750</v>
      </c>
      <c r="S32" s="194">
        <f t="shared" si="23"/>
        <v>188315</v>
      </c>
      <c r="T32" s="195">
        <v>0</v>
      </c>
      <c r="U32" s="195">
        <v>183565</v>
      </c>
      <c r="V32" s="195">
        <v>0</v>
      </c>
      <c r="W32" s="195">
        <v>0</v>
      </c>
      <c r="X32" s="195">
        <v>4750</v>
      </c>
      <c r="Y32" s="195"/>
      <c r="Z32" s="195"/>
      <c r="AA32" s="470">
        <f>+'loans_av rate'!C33+'loans_av rate'!C42</f>
        <v>188315</v>
      </c>
      <c r="AB32" s="470">
        <f>+'loans_av rate'!E33+'loans_av rate'!E42</f>
        <v>188315</v>
      </c>
      <c r="AC32" s="470">
        <f>+'loans_av rate'!G33+'loans_av rate'!G42</f>
        <v>0</v>
      </c>
    </row>
    <row r="33" spans="1:30" s="183" customFormat="1" ht="49.5" customHeight="1">
      <c r="A33" s="478">
        <v>5</v>
      </c>
      <c r="B33" s="483" t="s">
        <v>502</v>
      </c>
      <c r="C33" s="194">
        <f t="shared" si="21"/>
        <v>0</v>
      </c>
      <c r="D33" s="639">
        <f t="shared" si="22"/>
        <v>0</v>
      </c>
      <c r="E33" s="195"/>
      <c r="F33" s="480"/>
      <c r="G33" s="195"/>
      <c r="H33" s="480"/>
      <c r="I33" s="195">
        <v>0</v>
      </c>
      <c r="J33" s="195">
        <v>0</v>
      </c>
      <c r="K33" s="195">
        <v>0</v>
      </c>
      <c r="L33" s="195">
        <v>0</v>
      </c>
      <c r="M33" s="195">
        <v>0</v>
      </c>
      <c r="N33" s="195"/>
      <c r="O33" s="195"/>
      <c r="P33" s="195"/>
      <c r="Q33" s="195"/>
      <c r="R33" s="195"/>
      <c r="S33" s="194">
        <f t="shared" si="23"/>
        <v>0</v>
      </c>
      <c r="T33" s="195"/>
      <c r="U33" s="195"/>
      <c r="V33" s="195"/>
      <c r="W33" s="195"/>
      <c r="X33" s="195"/>
      <c r="Y33" s="195"/>
      <c r="Z33" s="195"/>
      <c r="AA33" s="470">
        <f>+'loans_av rate'!C34+'loans_av rate'!C43</f>
        <v>0</v>
      </c>
      <c r="AB33" s="470">
        <f>+'loans_av rate'!E34+'loans_av rate'!E43</f>
        <v>0</v>
      </c>
      <c r="AC33" s="470">
        <f>+'loans_av rate'!G34+'loans_av rate'!G43</f>
        <v>0</v>
      </c>
    </row>
    <row r="34" spans="1:30" s="183" customFormat="1" ht="49.5" customHeight="1">
      <c r="A34" s="478">
        <v>6</v>
      </c>
      <c r="B34" s="483" t="s">
        <v>529</v>
      </c>
      <c r="C34" s="194">
        <f t="shared" si="21"/>
        <v>0</v>
      </c>
      <c r="D34" s="639">
        <f t="shared" si="22"/>
        <v>0</v>
      </c>
      <c r="E34" s="195"/>
      <c r="F34" s="480"/>
      <c r="G34" s="195"/>
      <c r="H34" s="480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4">
        <f t="shared" si="23"/>
        <v>0</v>
      </c>
      <c r="T34" s="195"/>
      <c r="U34" s="195"/>
      <c r="V34" s="195"/>
      <c r="W34" s="195"/>
      <c r="X34" s="195"/>
      <c r="Y34" s="195"/>
      <c r="Z34" s="195"/>
      <c r="AA34" s="470"/>
      <c r="AB34" s="470"/>
      <c r="AC34" s="470"/>
    </row>
    <row r="35" spans="1:30" s="183" customFormat="1" ht="49.5" customHeight="1">
      <c r="A35" s="478">
        <v>7</v>
      </c>
      <c r="B35" s="483" t="s">
        <v>530</v>
      </c>
      <c r="C35" s="194">
        <f t="shared" ref="C35" si="24">+E35+G35</f>
        <v>8530324142</v>
      </c>
      <c r="D35" s="639">
        <f t="shared" si="22"/>
        <v>0.13114179731004555</v>
      </c>
      <c r="E35" s="195">
        <v>4795476016</v>
      </c>
      <c r="F35" s="480">
        <v>0.16818112140986499</v>
      </c>
      <c r="G35" s="195">
        <v>3734848126</v>
      </c>
      <c r="H35" s="480">
        <v>8.3583989233987036E-2</v>
      </c>
      <c r="I35" s="195">
        <v>293290391</v>
      </c>
      <c r="J35" s="195">
        <v>5835841533</v>
      </c>
      <c r="K35" s="195">
        <v>2171495315</v>
      </c>
      <c r="L35" s="195">
        <v>229696903</v>
      </c>
      <c r="M35" s="195">
        <v>0</v>
      </c>
      <c r="N35" s="195">
        <v>6363107236</v>
      </c>
      <c r="O35" s="195">
        <v>1912672799</v>
      </c>
      <c r="P35" s="195">
        <v>28379082</v>
      </c>
      <c r="Q35" s="195">
        <v>129291475</v>
      </c>
      <c r="R35" s="195">
        <v>96873550</v>
      </c>
      <c r="S35" s="194">
        <f t="shared" si="23"/>
        <v>283939918</v>
      </c>
      <c r="T35" s="195">
        <v>29230895</v>
      </c>
      <c r="U35" s="195">
        <v>95546973</v>
      </c>
      <c r="V35" s="195">
        <v>40171898</v>
      </c>
      <c r="W35" s="195">
        <v>10435611</v>
      </c>
      <c r="X35" s="195">
        <v>108554541</v>
      </c>
      <c r="Y35" s="195">
        <v>253205923.96362978</v>
      </c>
      <c r="Z35" s="195">
        <v>22445529</v>
      </c>
      <c r="AA35" s="470">
        <f>+'loans_av rate'!C35+'loans_av rate'!C44</f>
        <v>8530324142</v>
      </c>
      <c r="AB35" s="470">
        <f>+'loans_av rate'!E35+'loans_av rate'!E44</f>
        <v>4795476022</v>
      </c>
      <c r="AC35" s="470">
        <f>+'loans_av rate'!G35+'loans_av rate'!G44</f>
        <v>3734848120</v>
      </c>
    </row>
    <row r="36" spans="1:30" s="189" customFormat="1" ht="33.75" customHeight="1">
      <c r="A36" s="472"/>
      <c r="B36" s="472" t="s">
        <v>531</v>
      </c>
      <c r="C36" s="184">
        <f>SUM(C37:C42)</f>
        <v>8737238586</v>
      </c>
      <c r="D36" s="473">
        <f>IFERROR(((C37*D37)/C36)+((C38*D38)/C36)+((C39*D39)/C36)+((C40*D40)/C36)+((C41*D41)/C36)+((C42*D42)/C36),0)</f>
        <v>0.12359622942892562</v>
      </c>
      <c r="E36" s="184">
        <f>SUM(E37:E42)</f>
        <v>4998730861</v>
      </c>
      <c r="F36" s="473">
        <f>IFERROR(((E37*F37)/E36)+((E38*F38)/E36)+((E39*F39)/E36)+((E40*F40)/E36)+((E41*F41)/E36)+((E42*F42)/E36),0)</f>
        <v>0.16750901871351184</v>
      </c>
      <c r="G36" s="184">
        <f>SUM(G37:G42)</f>
        <v>3738507725</v>
      </c>
      <c r="H36" s="473">
        <f>IFERROR(((G37*H37)/G36)+((G38*H38)/G36)+((G39*H39)/G36)+((G40*H40)/G36)+((G41*H41)/G36)+((G42*H42)/G36),0)</f>
        <v>6.4880765629943826E-2</v>
      </c>
      <c r="I36" s="184">
        <f t="shared" ref="I36:Z36" si="25">SUM(I37:I42)</f>
        <v>295923765</v>
      </c>
      <c r="J36" s="184">
        <f t="shared" si="25"/>
        <v>5981485638</v>
      </c>
      <c r="K36" s="184">
        <f t="shared" si="25"/>
        <v>2229345475</v>
      </c>
      <c r="L36" s="184">
        <f t="shared" si="25"/>
        <v>230483708</v>
      </c>
      <c r="M36" s="184">
        <f t="shared" si="25"/>
        <v>0</v>
      </c>
      <c r="N36" s="184">
        <f t="shared" si="25"/>
        <v>6499121821</v>
      </c>
      <c r="O36" s="184">
        <f t="shared" si="25"/>
        <v>1981860447</v>
      </c>
      <c r="P36" s="184">
        <f t="shared" si="25"/>
        <v>28395325</v>
      </c>
      <c r="Q36" s="184">
        <f t="shared" si="25"/>
        <v>129642900</v>
      </c>
      <c r="R36" s="184">
        <f t="shared" si="25"/>
        <v>98218093</v>
      </c>
      <c r="S36" s="184">
        <f t="shared" si="25"/>
        <v>291408567</v>
      </c>
      <c r="T36" s="184">
        <f t="shared" si="25"/>
        <v>29230895</v>
      </c>
      <c r="U36" s="184">
        <f t="shared" si="25"/>
        <v>101466808</v>
      </c>
      <c r="V36" s="184">
        <f t="shared" si="25"/>
        <v>40171898</v>
      </c>
      <c r="W36" s="184">
        <f t="shared" si="25"/>
        <v>10677303</v>
      </c>
      <c r="X36" s="184">
        <f t="shared" si="25"/>
        <v>109861663</v>
      </c>
      <c r="Y36" s="184">
        <f t="shared" si="25"/>
        <v>253205923.96362978</v>
      </c>
      <c r="Z36" s="184">
        <f t="shared" si="25"/>
        <v>22445529</v>
      </c>
      <c r="AA36" s="470">
        <f>+'loans_av rate'!C28+'loans_av rate'!C37</f>
        <v>8737238586</v>
      </c>
      <c r="AB36" s="470">
        <f>+'loans_av rate'!E28+'loans_av rate'!E37</f>
        <v>4998730861</v>
      </c>
      <c r="AC36" s="470">
        <f>+'loans_av rate'!G28+'loans_av rate'!G37</f>
        <v>3738507725</v>
      </c>
    </row>
    <row r="37" spans="1:30" s="183" customFormat="1" ht="49.5" customHeight="1">
      <c r="A37" s="478">
        <v>1</v>
      </c>
      <c r="B37" s="483" t="s">
        <v>532</v>
      </c>
      <c r="C37" s="194">
        <f t="shared" ref="C37:C42" si="26">+E37+G37</f>
        <v>805130714</v>
      </c>
      <c r="D37" s="639">
        <f t="shared" ref="D37:D42" si="27">IFERROR((((E37*F37)+(G37*H37))/C37),0)</f>
        <v>0.12967757335276295</v>
      </c>
      <c r="E37" s="195">
        <v>708835952</v>
      </c>
      <c r="F37" s="480">
        <v>0.13477386071379277</v>
      </c>
      <c r="G37" s="195">
        <v>96294762</v>
      </c>
      <c r="H37" s="480">
        <v>9.2163261793208689E-2</v>
      </c>
      <c r="I37" s="195">
        <v>65018050</v>
      </c>
      <c r="J37" s="195">
        <v>441982112</v>
      </c>
      <c r="K37" s="195">
        <v>179904884</v>
      </c>
      <c r="L37" s="195">
        <v>118225668</v>
      </c>
      <c r="M37" s="195">
        <v>0</v>
      </c>
      <c r="N37" s="195">
        <v>562866876</v>
      </c>
      <c r="O37" s="195">
        <v>178439001</v>
      </c>
      <c r="P37" s="195">
        <v>8270881</v>
      </c>
      <c r="Q37" s="195">
        <v>30440925</v>
      </c>
      <c r="R37" s="195">
        <v>25113031</v>
      </c>
      <c r="S37" s="194">
        <f t="shared" ref="S37:S42" si="28">SUM(T37:X37)</f>
        <v>27450736</v>
      </c>
      <c r="T37" s="195">
        <v>156097</v>
      </c>
      <c r="U37" s="195">
        <v>12571823</v>
      </c>
      <c r="V37" s="195">
        <v>2406260</v>
      </c>
      <c r="W37" s="195">
        <v>1012656</v>
      </c>
      <c r="X37" s="195">
        <v>11303900</v>
      </c>
      <c r="Y37" s="195"/>
      <c r="Z37" s="195"/>
    </row>
    <row r="38" spans="1:30" s="183" customFormat="1" ht="49.5" customHeight="1">
      <c r="A38" s="478">
        <v>2</v>
      </c>
      <c r="B38" s="483" t="s">
        <v>533</v>
      </c>
      <c r="C38" s="194">
        <f t="shared" si="26"/>
        <v>2717850627</v>
      </c>
      <c r="D38" s="639">
        <f t="shared" si="27"/>
        <v>0.12009166482112331</v>
      </c>
      <c r="E38" s="195">
        <v>1844241856</v>
      </c>
      <c r="F38" s="480">
        <v>0.17697852668818498</v>
      </c>
      <c r="G38" s="195">
        <v>873608771</v>
      </c>
      <c r="H38" s="480">
        <v>0</v>
      </c>
      <c r="I38" s="195">
        <v>145305230</v>
      </c>
      <c r="J38" s="195">
        <v>2010216289</v>
      </c>
      <c r="K38" s="195">
        <v>544727541</v>
      </c>
      <c r="L38" s="195">
        <v>17601567</v>
      </c>
      <c r="M38" s="195">
        <v>0</v>
      </c>
      <c r="N38" s="195">
        <v>2175717423</v>
      </c>
      <c r="O38" s="195">
        <v>483924853</v>
      </c>
      <c r="P38" s="195">
        <v>6181114</v>
      </c>
      <c r="Q38" s="195">
        <v>32596352</v>
      </c>
      <c r="R38" s="195">
        <v>19430885</v>
      </c>
      <c r="S38" s="194">
        <f t="shared" si="28"/>
        <v>51669632</v>
      </c>
      <c r="T38" s="195">
        <v>7385226</v>
      </c>
      <c r="U38" s="195">
        <v>30059237</v>
      </c>
      <c r="V38" s="195">
        <v>459758</v>
      </c>
      <c r="W38" s="195"/>
      <c r="X38" s="195">
        <v>13765411</v>
      </c>
      <c r="Y38" s="195"/>
      <c r="Z38" s="195"/>
    </row>
    <row r="39" spans="1:30" s="183" customFormat="1" ht="58.5" customHeight="1">
      <c r="A39" s="478">
        <v>3</v>
      </c>
      <c r="B39" s="483" t="s">
        <v>534</v>
      </c>
      <c r="C39" s="194">
        <f t="shared" si="26"/>
        <v>1590715830</v>
      </c>
      <c r="D39" s="639">
        <f t="shared" si="27"/>
        <v>0.10307318040729962</v>
      </c>
      <c r="E39" s="195">
        <v>350281231</v>
      </c>
      <c r="F39" s="480">
        <v>0.15913201789043749</v>
      </c>
      <c r="G39" s="195">
        <v>1240434599</v>
      </c>
      <c r="H39" s="480">
        <v>8.7242955566866523E-2</v>
      </c>
      <c r="I39" s="195">
        <v>27672826</v>
      </c>
      <c r="J39" s="195">
        <v>1178483441</v>
      </c>
      <c r="K39" s="195">
        <v>380222402</v>
      </c>
      <c r="L39" s="195">
        <v>4337161</v>
      </c>
      <c r="M39" s="195">
        <v>0</v>
      </c>
      <c r="N39" s="195">
        <v>910007174</v>
      </c>
      <c r="O39" s="195">
        <v>636227464</v>
      </c>
      <c r="P39" s="195">
        <v>2283577</v>
      </c>
      <c r="Q39" s="195">
        <v>23821492</v>
      </c>
      <c r="R39" s="195">
        <v>18376123</v>
      </c>
      <c r="S39" s="194">
        <f t="shared" si="28"/>
        <v>47703515</v>
      </c>
      <c r="T39" s="195">
        <v>4989140</v>
      </c>
      <c r="U39" s="195">
        <v>20746396</v>
      </c>
      <c r="V39" s="195">
        <v>756799</v>
      </c>
      <c r="W39" s="195">
        <v>8640647</v>
      </c>
      <c r="X39" s="195">
        <v>12570533</v>
      </c>
      <c r="Y39" s="195"/>
      <c r="Z39" s="195"/>
    </row>
    <row r="40" spans="1:30" s="183" customFormat="1" ht="49.5" customHeight="1">
      <c r="A40" s="478">
        <v>4</v>
      </c>
      <c r="B40" s="483" t="s">
        <v>535</v>
      </c>
      <c r="C40" s="194">
        <f t="shared" si="26"/>
        <v>0</v>
      </c>
      <c r="D40" s="639">
        <f t="shared" si="27"/>
        <v>0</v>
      </c>
      <c r="E40" s="195">
        <v>0</v>
      </c>
      <c r="F40" s="480">
        <v>0</v>
      </c>
      <c r="G40" s="195">
        <v>0</v>
      </c>
      <c r="H40" s="480">
        <v>0</v>
      </c>
      <c r="I40" s="195">
        <v>0</v>
      </c>
      <c r="J40" s="195">
        <v>0</v>
      </c>
      <c r="K40" s="195">
        <v>0</v>
      </c>
      <c r="L40" s="195">
        <v>0</v>
      </c>
      <c r="M40" s="195">
        <v>0</v>
      </c>
      <c r="N40" s="195">
        <v>0</v>
      </c>
      <c r="O40" s="195">
        <v>0</v>
      </c>
      <c r="P40" s="195">
        <v>0</v>
      </c>
      <c r="Q40" s="195">
        <v>0</v>
      </c>
      <c r="R40" s="195">
        <v>0</v>
      </c>
      <c r="S40" s="194">
        <f t="shared" si="28"/>
        <v>0</v>
      </c>
      <c r="T40" s="195">
        <v>0</v>
      </c>
      <c r="U40" s="195">
        <v>0</v>
      </c>
      <c r="V40" s="195">
        <v>0</v>
      </c>
      <c r="W40" s="195">
        <v>0</v>
      </c>
      <c r="X40" s="195">
        <v>0</v>
      </c>
      <c r="Y40" s="195"/>
      <c r="Z40" s="195"/>
    </row>
    <row r="41" spans="1:30" s="183" customFormat="1" ht="49.5" customHeight="1">
      <c r="A41" s="478">
        <v>5</v>
      </c>
      <c r="B41" s="483" t="s">
        <v>536</v>
      </c>
      <c r="C41" s="194">
        <f t="shared" si="26"/>
        <v>466197401</v>
      </c>
      <c r="D41" s="639">
        <f t="shared" si="27"/>
        <v>0.11432717744570026</v>
      </c>
      <c r="E41" s="195">
        <v>321797667</v>
      </c>
      <c r="F41" s="480">
        <v>0.13658676595764366</v>
      </c>
      <c r="G41" s="195">
        <v>144399734</v>
      </c>
      <c r="H41" s="480">
        <v>6.4721243604275128E-2</v>
      </c>
      <c r="I41" s="195">
        <v>168000</v>
      </c>
      <c r="J41" s="195">
        <v>211620119</v>
      </c>
      <c r="K41" s="195">
        <v>239049808</v>
      </c>
      <c r="L41" s="195">
        <v>15359474</v>
      </c>
      <c r="M41" s="195">
        <v>0</v>
      </c>
      <c r="N41" s="195">
        <v>368016967</v>
      </c>
      <c r="O41" s="195">
        <v>91256507</v>
      </c>
      <c r="P41" s="195">
        <v>1206468</v>
      </c>
      <c r="Q41" s="195">
        <v>5717459</v>
      </c>
      <c r="R41" s="195">
        <v>0</v>
      </c>
      <c r="S41" s="194">
        <f t="shared" si="28"/>
        <v>6982522</v>
      </c>
      <c r="T41" s="195">
        <v>190968</v>
      </c>
      <c r="U41" s="195">
        <v>5671859</v>
      </c>
      <c r="V41" s="195">
        <v>95695</v>
      </c>
      <c r="W41" s="195">
        <v>1024000</v>
      </c>
      <c r="X41" s="195">
        <v>0</v>
      </c>
      <c r="Y41" s="195"/>
      <c r="Z41" s="195"/>
    </row>
    <row r="42" spans="1:30" s="183" customFormat="1" ht="49.5" customHeight="1">
      <c r="A42" s="478">
        <v>6</v>
      </c>
      <c r="B42" s="483" t="s">
        <v>537</v>
      </c>
      <c r="C42" s="194">
        <f t="shared" si="26"/>
        <v>3157344014</v>
      </c>
      <c r="D42" s="639">
        <f t="shared" si="27"/>
        <v>0.1367706421820615</v>
      </c>
      <c r="E42" s="195">
        <v>1773574155</v>
      </c>
      <c r="F42" s="480">
        <v>0.17801030439423404</v>
      </c>
      <c r="G42" s="195">
        <v>1383769859</v>
      </c>
      <c r="H42" s="480">
        <v>8.3913876597287065E-2</v>
      </c>
      <c r="I42" s="195">
        <v>57759659</v>
      </c>
      <c r="J42" s="195">
        <v>2139183677</v>
      </c>
      <c r="K42" s="195">
        <v>885440840</v>
      </c>
      <c r="L42" s="195">
        <v>74959838</v>
      </c>
      <c r="M42" s="195">
        <v>0</v>
      </c>
      <c r="N42" s="195">
        <v>2482513381</v>
      </c>
      <c r="O42" s="195">
        <v>592012622</v>
      </c>
      <c r="P42" s="195">
        <v>10453285</v>
      </c>
      <c r="Q42" s="195">
        <v>37066672</v>
      </c>
      <c r="R42" s="195">
        <v>35298054</v>
      </c>
      <c r="S42" s="194">
        <f t="shared" si="28"/>
        <v>157602162</v>
      </c>
      <c r="T42" s="195">
        <v>16509464</v>
      </c>
      <c r="U42" s="195">
        <v>32417493</v>
      </c>
      <c r="V42" s="195">
        <v>36453386</v>
      </c>
      <c r="W42" s="195"/>
      <c r="X42" s="195">
        <v>72221819</v>
      </c>
      <c r="Y42" s="195">
        <v>253205923.96362978</v>
      </c>
      <c r="Z42" s="195">
        <v>22445529</v>
      </c>
    </row>
    <row r="43" spans="1:30" s="183" customFormat="1" ht="37.5" customHeight="1">
      <c r="A43" s="484"/>
      <c r="B43" s="485"/>
      <c r="C43" s="190"/>
      <c r="D43" s="486"/>
      <c r="E43" s="190"/>
      <c r="F43" s="190"/>
      <c r="G43" s="190"/>
      <c r="H43" s="190"/>
      <c r="I43" s="485"/>
      <c r="J43" s="485"/>
      <c r="K43" s="485"/>
      <c r="L43" s="485"/>
      <c r="M43" s="485"/>
      <c r="N43" s="486"/>
      <c r="O43" s="486"/>
      <c r="P43" s="486"/>
      <c r="Q43" s="486"/>
      <c r="R43" s="486"/>
      <c r="S43" s="486"/>
      <c r="T43" s="486"/>
      <c r="U43" s="486"/>
      <c r="V43" s="486"/>
      <c r="W43" s="486"/>
      <c r="X43" s="486"/>
      <c r="Y43" s="486"/>
      <c r="Z43" s="486"/>
    </row>
    <row r="44" spans="1:30" s="269" customFormat="1" ht="21" customHeight="1">
      <c r="A44" s="34"/>
      <c r="B44" s="595" t="s">
        <v>788</v>
      </c>
      <c r="C44" s="34"/>
      <c r="D44" s="34"/>
      <c r="E44" s="34"/>
      <c r="F44" s="349"/>
      <c r="G44" s="349"/>
      <c r="H44" s="349"/>
      <c r="I44" s="349"/>
      <c r="J44" s="349"/>
      <c r="K44" s="349"/>
      <c r="L44" s="349"/>
      <c r="M44" s="349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spans="1:30" s="269" customFormat="1" ht="21" customHeight="1">
      <c r="A45" s="34"/>
      <c r="B45" s="595"/>
      <c r="C45" s="34"/>
      <c r="D45" s="34"/>
      <c r="E45" s="34"/>
      <c r="F45" s="349"/>
      <c r="G45" s="349"/>
      <c r="H45" s="349"/>
      <c r="I45" s="349"/>
      <c r="J45" s="349"/>
      <c r="K45" s="349"/>
      <c r="L45" s="349"/>
      <c r="M45" s="349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spans="1:30" s="269" customFormat="1" ht="21" customHeight="1">
      <c r="A46" s="34"/>
      <c r="B46" s="595" t="s">
        <v>789</v>
      </c>
      <c r="C46" s="34"/>
      <c r="D46" s="34"/>
      <c r="E46" s="34"/>
      <c r="F46" s="349"/>
      <c r="G46" s="349"/>
      <c r="H46" s="349"/>
      <c r="I46" s="349"/>
      <c r="J46" s="349"/>
      <c r="K46" s="349"/>
      <c r="L46" s="349"/>
      <c r="M46" s="349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s="78" customFormat="1" ht="15.75">
      <c r="A47" s="90"/>
    </row>
    <row r="48" spans="1:30" s="174" customFormat="1" ht="15.75">
      <c r="A48" s="197"/>
      <c r="B48" s="198"/>
      <c r="J48" s="197"/>
    </row>
    <row r="49" spans="1:10" s="174" customFormat="1" ht="15.75">
      <c r="A49" s="197"/>
      <c r="B49" s="198"/>
      <c r="J49" s="197"/>
    </row>
    <row r="50" spans="1:10" s="174" customFormat="1" ht="15.75">
      <c r="A50" s="197"/>
      <c r="B50" s="198"/>
      <c r="J50" s="197"/>
    </row>
    <row r="51" spans="1:10" s="192" customFormat="1" ht="15.75">
      <c r="A51" s="191"/>
    </row>
  </sheetData>
  <sheetProtection password="CACA" sheet="1" objects="1" scenarios="1"/>
  <mergeCells count="17"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  <mergeCell ref="M5:M6"/>
    <mergeCell ref="S5:S6"/>
  </mergeCells>
  <conditionalFormatting sqref="C12">
    <cfRule type="cellIs" dxfId="200" priority="419" operator="notEqual">
      <formula>N12+O12+P12+Q12+R12</formula>
    </cfRule>
    <cfRule type="cellIs" dxfId="199" priority="420" operator="notEqual">
      <formula>I12+J12+K12+L12+M12</formula>
    </cfRule>
  </conditionalFormatting>
  <conditionalFormatting sqref="C13">
    <cfRule type="cellIs" dxfId="198" priority="417" operator="notEqual">
      <formula>N13+O13+P13+Q13+R13</formula>
    </cfRule>
    <cfRule type="cellIs" dxfId="197" priority="418" operator="notEqual">
      <formula>I13+J13+K13+L13+M13</formula>
    </cfRule>
  </conditionalFormatting>
  <conditionalFormatting sqref="C15">
    <cfRule type="cellIs" dxfId="196" priority="413" operator="notEqual">
      <formula>N15+O15+P15+Q15+R15</formula>
    </cfRule>
    <cfRule type="cellIs" dxfId="195" priority="414" operator="notEqual">
      <formula>I15+J15+K15+L15+M15</formula>
    </cfRule>
  </conditionalFormatting>
  <conditionalFormatting sqref="C17">
    <cfRule type="cellIs" dxfId="194" priority="411" operator="notEqual">
      <formula>N17+O17+P17+Q17+R17</formula>
    </cfRule>
    <cfRule type="cellIs" dxfId="193" priority="412" operator="notEqual">
      <formula>I17+J17+K17+L17+M17</formula>
    </cfRule>
  </conditionalFormatting>
  <conditionalFormatting sqref="C18">
    <cfRule type="cellIs" dxfId="192" priority="409" operator="notEqual">
      <formula>N18+O18+P18+Q18+R18</formula>
    </cfRule>
    <cfRule type="cellIs" dxfId="191" priority="410" operator="notEqual">
      <formula>I18+J18+K18+L18+M18</formula>
    </cfRule>
  </conditionalFormatting>
  <conditionalFormatting sqref="C19">
    <cfRule type="cellIs" dxfId="190" priority="407" operator="notEqual">
      <formula>N19+O19+P19+Q19+R19</formula>
    </cfRule>
    <cfRule type="cellIs" dxfId="189" priority="408" operator="notEqual">
      <formula>I19+J19+K19+L19+M19</formula>
    </cfRule>
  </conditionalFormatting>
  <conditionalFormatting sqref="C20">
    <cfRule type="cellIs" dxfId="188" priority="405" operator="notEqual">
      <formula>N20+O20+P20+Q20+R20</formula>
    </cfRule>
    <cfRule type="cellIs" dxfId="187" priority="406" operator="notEqual">
      <formula>I20+J20+K20+L20+M20</formula>
    </cfRule>
  </conditionalFormatting>
  <conditionalFormatting sqref="C37">
    <cfRule type="cellIs" dxfId="186" priority="383" operator="notEqual">
      <formula>N37+O37+P37+Q37+R37</formula>
    </cfRule>
    <cfRule type="cellIs" dxfId="185" priority="384" operator="notEqual">
      <formula>I37+J37+K37+L37+M37</formula>
    </cfRule>
  </conditionalFormatting>
  <conditionalFormatting sqref="C38">
    <cfRule type="cellIs" dxfId="184" priority="381" operator="notEqual">
      <formula>N38+O38+P38+Q38+R38</formula>
    </cfRule>
    <cfRule type="cellIs" dxfId="183" priority="382" operator="notEqual">
      <formula>I38+J38+K38+L38+M38</formula>
    </cfRule>
  </conditionalFormatting>
  <conditionalFormatting sqref="C39">
    <cfRule type="cellIs" dxfId="182" priority="379" operator="notEqual">
      <formula>N39+O39+P39+Q39+R39</formula>
    </cfRule>
    <cfRule type="cellIs" dxfId="181" priority="380" operator="notEqual">
      <formula>I39+J39+K39+L39+M39</formula>
    </cfRule>
  </conditionalFormatting>
  <conditionalFormatting sqref="C41">
    <cfRule type="cellIs" dxfId="180" priority="375" operator="notEqual">
      <formula>N41+O41+P41+Q41+R41</formula>
    </cfRule>
    <cfRule type="cellIs" dxfId="179" priority="376" operator="notEqual">
      <formula>I41+J41+K41+L41+M41</formula>
    </cfRule>
  </conditionalFormatting>
  <conditionalFormatting sqref="C42">
    <cfRule type="cellIs" dxfId="178" priority="373" operator="notEqual">
      <formula>N42+O42+P42+Q42+R42</formula>
    </cfRule>
    <cfRule type="cellIs" dxfId="177" priority="374" operator="notEqual">
      <formula>I42+J42+K42+L42+M42</formula>
    </cfRule>
  </conditionalFormatting>
  <conditionalFormatting sqref="T8">
    <cfRule type="cellIs" dxfId="176" priority="372" operator="notEqual">
      <formula>$AD$10</formula>
    </cfRule>
  </conditionalFormatting>
  <conditionalFormatting sqref="U8">
    <cfRule type="cellIs" dxfId="175" priority="371" operator="notEqual">
      <formula>$AE$10</formula>
    </cfRule>
  </conditionalFormatting>
  <conditionalFormatting sqref="V8">
    <cfRule type="cellIs" dxfId="174" priority="370" operator="notEqual">
      <formula>$AF$10</formula>
    </cfRule>
  </conditionalFormatting>
  <conditionalFormatting sqref="W8">
    <cfRule type="cellIs" dxfId="173" priority="369" operator="notEqual">
      <formula>$AG$10</formula>
    </cfRule>
  </conditionalFormatting>
  <conditionalFormatting sqref="X8">
    <cfRule type="cellIs" dxfId="172" priority="368" operator="notEqual">
      <formula>$AH$10</formula>
    </cfRule>
  </conditionalFormatting>
  <conditionalFormatting sqref="E36">
    <cfRule type="cellIs" dxfId="171" priority="93" operator="notEqual">
      <formula>E27</formula>
    </cfRule>
    <cfRule type="cellIs" dxfId="170" priority="361" operator="notEqual">
      <formula>$AB$36</formula>
    </cfRule>
  </conditionalFormatting>
  <conditionalFormatting sqref="G36">
    <cfRule type="cellIs" dxfId="169" priority="92" operator="notEqual">
      <formula>G27</formula>
    </cfRule>
    <cfRule type="cellIs" dxfId="168" priority="360" operator="notEqual">
      <formula>$AC$36</formula>
    </cfRule>
  </conditionalFormatting>
  <conditionalFormatting sqref="C14">
    <cfRule type="cellIs" dxfId="167" priority="309" operator="notEqual">
      <formula>N14+O14+P14+Q14+R14</formula>
    </cfRule>
    <cfRule type="cellIs" dxfId="166" priority="310" operator="notEqual">
      <formula>I14+J14+K14+L14+M14</formula>
    </cfRule>
  </conditionalFormatting>
  <conditionalFormatting sqref="C11 C16">
    <cfRule type="cellIs" dxfId="165" priority="829" operator="notEqual">
      <formula>AA11</formula>
    </cfRule>
    <cfRule type="cellIs" dxfId="164" priority="830" operator="notEqual">
      <formula>N11+O11+P11+Q11+R11</formula>
    </cfRule>
    <cfRule type="cellIs" dxfId="163" priority="831" operator="notEqual">
      <formula>I11+J11+K11+L11+M11</formula>
    </cfRule>
  </conditionalFormatting>
  <conditionalFormatting sqref="N8">
    <cfRule type="cellIs" dxfId="162" priority="832" operator="notEqual">
      <formula>AD8</formula>
    </cfRule>
  </conditionalFormatting>
  <conditionalFormatting sqref="O8">
    <cfRule type="cellIs" dxfId="161" priority="833" operator="notEqual">
      <formula>$AE$8</formula>
    </cfRule>
  </conditionalFormatting>
  <conditionalFormatting sqref="P8">
    <cfRule type="cellIs" dxfId="160" priority="834" operator="notEqual">
      <formula>$AF$8</formula>
    </cfRule>
  </conditionalFormatting>
  <conditionalFormatting sqref="Q8">
    <cfRule type="cellIs" dxfId="159" priority="835" operator="notEqual">
      <formula>$AG$8</formula>
    </cfRule>
  </conditionalFormatting>
  <conditionalFormatting sqref="R8">
    <cfRule type="cellIs" dxfId="158" priority="836" operator="notEqual">
      <formula>$AH$8</formula>
    </cfRule>
  </conditionalFormatting>
  <conditionalFormatting sqref="N9">
    <cfRule type="cellIs" dxfId="157" priority="235" operator="notEqual">
      <formula>$AD$13</formula>
    </cfRule>
  </conditionalFormatting>
  <conditionalFormatting sqref="O9">
    <cfRule type="cellIs" dxfId="156" priority="234" operator="notEqual">
      <formula>$AE$13</formula>
    </cfRule>
  </conditionalFormatting>
  <conditionalFormatting sqref="P9">
    <cfRule type="cellIs" dxfId="155" priority="233" operator="notEqual">
      <formula>$AF$13</formula>
    </cfRule>
  </conditionalFormatting>
  <conditionalFormatting sqref="Q9">
    <cfRule type="cellIs" dxfId="154" priority="232" operator="notEqual">
      <formula>$AG$13</formula>
    </cfRule>
  </conditionalFormatting>
  <conditionalFormatting sqref="R9">
    <cfRule type="cellIs" dxfId="153" priority="231" operator="notEqual">
      <formula>$AH$13</formula>
    </cfRule>
  </conditionalFormatting>
  <conditionalFormatting sqref="T9">
    <cfRule type="cellIs" dxfId="152" priority="230" operator="notEqual">
      <formula>$AD$15</formula>
    </cfRule>
  </conditionalFormatting>
  <conditionalFormatting sqref="U9">
    <cfRule type="cellIs" dxfId="151" priority="229" operator="notEqual">
      <formula>$AE$15</formula>
    </cfRule>
  </conditionalFormatting>
  <conditionalFormatting sqref="V9">
    <cfRule type="cellIs" dxfId="150" priority="228" operator="notEqual">
      <formula>$AF$15</formula>
    </cfRule>
  </conditionalFormatting>
  <conditionalFormatting sqref="W9">
    <cfRule type="cellIs" dxfId="149" priority="227" operator="notEqual">
      <formula>$AG$15</formula>
    </cfRule>
  </conditionalFormatting>
  <conditionalFormatting sqref="X9">
    <cfRule type="cellIs" dxfId="148" priority="226" operator="notEqual">
      <formula>$AH$15</formula>
    </cfRule>
  </conditionalFormatting>
  <conditionalFormatting sqref="C21">
    <cfRule type="cellIs" dxfId="147" priority="200" operator="notEqual">
      <formula>AA21</formula>
    </cfRule>
    <cfRule type="cellIs" dxfId="146" priority="201" operator="notEqual">
      <formula>N21+O21+P21+Q21+R21</formula>
    </cfRule>
    <cfRule type="cellIs" dxfId="145" priority="202" operator="notEqual">
      <formula>I21+J21+K21+L21+M21</formula>
    </cfRule>
  </conditionalFormatting>
  <conditionalFormatting sqref="C22">
    <cfRule type="cellIs" dxfId="144" priority="195" operator="notEqual">
      <formula>AA22</formula>
    </cfRule>
    <cfRule type="cellIs" dxfId="143" priority="196" operator="notEqual">
      <formula>N22+O22+P22+Q22+R22</formula>
    </cfRule>
    <cfRule type="cellIs" dxfId="142" priority="197" operator="notEqual">
      <formula>I22+J22+K22+L22+M22</formula>
    </cfRule>
  </conditionalFormatting>
  <conditionalFormatting sqref="C23">
    <cfRule type="cellIs" dxfId="141" priority="192" operator="notEqual">
      <formula>AA23</formula>
    </cfRule>
    <cfRule type="cellIs" dxfId="140" priority="193" operator="notEqual">
      <formula>N23+O23+P23+Q23+R23</formula>
    </cfRule>
    <cfRule type="cellIs" dxfId="139" priority="194" operator="notEqual">
      <formula>I23+J23+K23+L23+M23</formula>
    </cfRule>
  </conditionalFormatting>
  <conditionalFormatting sqref="C8">
    <cfRule type="cellIs" dxfId="138" priority="189" operator="notEqual">
      <formula>AA8</formula>
    </cfRule>
    <cfRule type="cellIs" dxfId="137" priority="190" operator="notEqual">
      <formula>N8+O8+P8+Q8+R8</formula>
    </cfRule>
    <cfRule type="cellIs" dxfId="136" priority="191" operator="notEqual">
      <formula>I8+J8+K8+L8+M8</formula>
    </cfRule>
  </conditionalFormatting>
  <conditionalFormatting sqref="C9">
    <cfRule type="cellIs" dxfId="135" priority="186" operator="notEqual">
      <formula>AA9</formula>
    </cfRule>
    <cfRule type="cellIs" dxfId="134" priority="187" operator="notEqual">
      <formula>N9+O9+P9+Q9+R9</formula>
    </cfRule>
    <cfRule type="cellIs" dxfId="133" priority="188" operator="notEqual">
      <formula>I9+J9+K9+L9+M9</formula>
    </cfRule>
  </conditionalFormatting>
  <conditionalFormatting sqref="E8">
    <cfRule type="cellIs" dxfId="132" priority="185" operator="notEqual">
      <formula>$AB$8</formula>
    </cfRule>
  </conditionalFormatting>
  <conditionalFormatting sqref="G8">
    <cfRule type="cellIs" dxfId="131" priority="184" operator="notEqual">
      <formula>$AC$8</formula>
    </cfRule>
  </conditionalFormatting>
  <conditionalFormatting sqref="E9">
    <cfRule type="cellIs" dxfId="130" priority="183" operator="notEqual">
      <formula>$AB$9</formula>
    </cfRule>
  </conditionalFormatting>
  <conditionalFormatting sqref="G9">
    <cfRule type="cellIs" dxfId="129" priority="182" operator="notEqual">
      <formula>$AC$9</formula>
    </cfRule>
  </conditionalFormatting>
  <conditionalFormatting sqref="E11">
    <cfRule type="cellIs" dxfId="128" priority="181" operator="notEqual">
      <formula>$AB$11</formula>
    </cfRule>
  </conditionalFormatting>
  <conditionalFormatting sqref="G11">
    <cfRule type="cellIs" dxfId="127" priority="180" operator="notEqual">
      <formula>$AC$11</formula>
    </cfRule>
  </conditionalFormatting>
  <conditionalFormatting sqref="E16">
    <cfRule type="cellIs" dxfId="126" priority="179" operator="notEqual">
      <formula>$AB$16</formula>
    </cfRule>
  </conditionalFormatting>
  <conditionalFormatting sqref="G16">
    <cfRule type="cellIs" dxfId="125" priority="178" operator="notEqual">
      <formula>$AC$16</formula>
    </cfRule>
  </conditionalFormatting>
  <conditionalFormatting sqref="C27">
    <cfRule type="cellIs" dxfId="124" priority="80" operator="notEqual">
      <formula>C36</formula>
    </cfRule>
    <cfRule type="cellIs" dxfId="123" priority="172" operator="notEqual">
      <formula>AA27</formula>
    </cfRule>
    <cfRule type="cellIs" dxfId="122" priority="173" operator="notEqual">
      <formula>N27+O27+P27+Q27+R27</formula>
    </cfRule>
    <cfRule type="cellIs" dxfId="121" priority="174" operator="notEqual">
      <formula>I27+J27+K27+L27+M27</formula>
    </cfRule>
  </conditionalFormatting>
  <conditionalFormatting sqref="E27">
    <cfRule type="cellIs" dxfId="120" priority="79" operator="notEqual">
      <formula>E36</formula>
    </cfRule>
    <cfRule type="cellIs" dxfId="119" priority="171" operator="notEqual">
      <formula>AB27</formula>
    </cfRule>
  </conditionalFormatting>
  <conditionalFormatting sqref="G27">
    <cfRule type="cellIs" dxfId="118" priority="78" operator="notEqual">
      <formula>$G$36</formula>
    </cfRule>
    <cfRule type="cellIs" dxfId="117" priority="170" operator="notEqual">
      <formula>$AC$27</formula>
    </cfRule>
  </conditionalFormatting>
  <conditionalFormatting sqref="C28">
    <cfRule type="cellIs" dxfId="116" priority="167" operator="notEqual">
      <formula>AA28</formula>
    </cfRule>
    <cfRule type="cellIs" dxfId="115" priority="168" operator="notEqual">
      <formula>N28+O28+P28+Q28+R28</formula>
    </cfRule>
    <cfRule type="cellIs" dxfId="114" priority="169" operator="notEqual">
      <formula>I28+J28+K28+L28+M28</formula>
    </cfRule>
  </conditionalFormatting>
  <conditionalFormatting sqref="E28">
    <cfRule type="cellIs" dxfId="113" priority="166" operator="notEqual">
      <formula>AB28</formula>
    </cfRule>
  </conditionalFormatting>
  <conditionalFormatting sqref="G28">
    <cfRule type="cellIs" dxfId="112" priority="165" operator="notEqual">
      <formula>$AC$28</formula>
    </cfRule>
  </conditionalFormatting>
  <conditionalFormatting sqref="C29">
    <cfRule type="cellIs" dxfId="111" priority="162" operator="notEqual">
      <formula>AA29</formula>
    </cfRule>
    <cfRule type="cellIs" dxfId="110" priority="163" operator="notEqual">
      <formula>N29+O29+P29+Q29+R29</formula>
    </cfRule>
    <cfRule type="cellIs" dxfId="109" priority="164" operator="notEqual">
      <formula>I29+J29+K29+L29+M29</formula>
    </cfRule>
  </conditionalFormatting>
  <conditionalFormatting sqref="C31">
    <cfRule type="cellIs" dxfId="108" priority="152" operator="notEqual">
      <formula>AA31</formula>
    </cfRule>
    <cfRule type="cellIs" dxfId="107" priority="153" operator="notEqual">
      <formula>N31+O31+P31+Q31+R31</formula>
    </cfRule>
    <cfRule type="cellIs" dxfId="106" priority="154" operator="notEqual">
      <formula>I31+J31+K31+L31+M31</formula>
    </cfRule>
  </conditionalFormatting>
  <conditionalFormatting sqref="C40">
    <cfRule type="cellIs" dxfId="105" priority="138" operator="notEqual">
      <formula>N40+O40+P40+Q40+R40</formula>
    </cfRule>
    <cfRule type="cellIs" dxfId="104" priority="139" operator="notEqual">
      <formula>I40+J40+K40+L40+M40</formula>
    </cfRule>
  </conditionalFormatting>
  <conditionalFormatting sqref="C32">
    <cfRule type="cellIs" dxfId="103" priority="128" operator="notEqual">
      <formula>AA32</formula>
    </cfRule>
    <cfRule type="cellIs" dxfId="102" priority="129" operator="notEqual">
      <formula>N32+O32+P32+Q32+R32</formula>
    </cfRule>
    <cfRule type="cellIs" dxfId="101" priority="130" operator="notEqual">
      <formula>I32+J32+K32+L32+M32</formula>
    </cfRule>
  </conditionalFormatting>
  <conditionalFormatting sqref="C33">
    <cfRule type="cellIs" dxfId="100" priority="125" operator="notEqual">
      <formula>AA33</formula>
    </cfRule>
    <cfRule type="cellIs" dxfId="99" priority="126" operator="notEqual">
      <formula>N33+O33+P33+Q33+R33</formula>
    </cfRule>
    <cfRule type="cellIs" dxfId="98" priority="127" operator="notEqual">
      <formula>I33+J33+K33+L33+M33</formula>
    </cfRule>
  </conditionalFormatting>
  <conditionalFormatting sqref="C30">
    <cfRule type="cellIs" dxfId="97" priority="122" operator="notEqual">
      <formula>AA30</formula>
    </cfRule>
    <cfRule type="cellIs" dxfId="96" priority="123" operator="notEqual">
      <formula>N30+O30+P30+Q30+R30</formula>
    </cfRule>
    <cfRule type="cellIs" dxfId="95" priority="124" operator="notEqual">
      <formula>I30+J30+K30+L30+M30</formula>
    </cfRule>
  </conditionalFormatting>
  <conditionalFormatting sqref="C35">
    <cfRule type="cellIs" dxfId="94" priority="120" operator="notEqual">
      <formula>N35+O35+P35+Q35+R35</formula>
    </cfRule>
    <cfRule type="cellIs" dxfId="93" priority="121" operator="notEqual">
      <formula>I35+J35+K35+L35+M35</formula>
    </cfRule>
  </conditionalFormatting>
  <conditionalFormatting sqref="C24">
    <cfRule type="cellIs" dxfId="92" priority="116" operator="notEqual">
      <formula>AA24</formula>
    </cfRule>
    <cfRule type="cellIs" dxfId="91" priority="117" operator="notEqual">
      <formula>N24+O24+P24+Q24+R24</formula>
    </cfRule>
    <cfRule type="cellIs" dxfId="90" priority="118" operator="notEqual">
      <formula>I24+J24+K24+L24+M24</formula>
    </cfRule>
  </conditionalFormatting>
  <conditionalFormatting sqref="C25">
    <cfRule type="cellIs" dxfId="89" priority="106" operator="notEqual">
      <formula>AA25</formula>
    </cfRule>
    <cfRule type="cellIs" dxfId="88" priority="107" operator="notEqual">
      <formula>N25+O25+P25+Q25+R25</formula>
    </cfRule>
    <cfRule type="cellIs" dxfId="87" priority="108" operator="notEqual">
      <formula>I25+J25+K25+L25+M25</formula>
    </cfRule>
  </conditionalFormatting>
  <conditionalFormatting sqref="C36">
    <cfRule type="cellIs" dxfId="86" priority="94" operator="notEqual">
      <formula>C27</formula>
    </cfRule>
    <cfRule type="cellIs" dxfId="85" priority="95" operator="notEqual">
      <formula>AA36</formula>
    </cfRule>
    <cfRule type="cellIs" dxfId="84" priority="96" operator="notEqual">
      <formula>N36+O36+P36+Q36+R36</formula>
    </cfRule>
    <cfRule type="cellIs" dxfId="83" priority="97" operator="notEqual">
      <formula>I36+J36+K36+L36+M36</formula>
    </cfRule>
  </conditionalFormatting>
  <conditionalFormatting sqref="I27">
    <cfRule type="cellIs" dxfId="82" priority="75" operator="notEqual">
      <formula>I36</formula>
    </cfRule>
    <cfRule type="cellIs" dxfId="81" priority="77" operator="notEqual">
      <formula>I28</formula>
    </cfRule>
  </conditionalFormatting>
  <conditionalFormatting sqref="I28">
    <cfRule type="cellIs" dxfId="80" priority="76" operator="notEqual">
      <formula>I27</formula>
    </cfRule>
  </conditionalFormatting>
  <conditionalFormatting sqref="J27">
    <cfRule type="cellIs" dxfId="79" priority="72" operator="notEqual">
      <formula>J36</formula>
    </cfRule>
    <cfRule type="cellIs" dxfId="78" priority="74" operator="notEqual">
      <formula>J28</formula>
    </cfRule>
  </conditionalFormatting>
  <conditionalFormatting sqref="J28">
    <cfRule type="cellIs" dxfId="77" priority="73" operator="notEqual">
      <formula>J27</formula>
    </cfRule>
  </conditionalFormatting>
  <conditionalFormatting sqref="K27">
    <cfRule type="cellIs" dxfId="76" priority="69" operator="notEqual">
      <formula>K36</formula>
    </cfRule>
    <cfRule type="cellIs" dxfId="75" priority="71" operator="notEqual">
      <formula>K28</formula>
    </cfRule>
  </conditionalFormatting>
  <conditionalFormatting sqref="K28">
    <cfRule type="cellIs" dxfId="74" priority="70" operator="notEqual">
      <formula>K27</formula>
    </cfRule>
  </conditionalFormatting>
  <conditionalFormatting sqref="L27">
    <cfRule type="cellIs" dxfId="73" priority="66" operator="notEqual">
      <formula>L36</formula>
    </cfRule>
    <cfRule type="cellIs" dxfId="72" priority="68" operator="notEqual">
      <formula>L28</formula>
    </cfRule>
  </conditionalFormatting>
  <conditionalFormatting sqref="L28">
    <cfRule type="cellIs" dxfId="71" priority="67" operator="notEqual">
      <formula>L27</formula>
    </cfRule>
  </conditionalFormatting>
  <conditionalFormatting sqref="M27">
    <cfRule type="cellIs" dxfId="70" priority="63" operator="notEqual">
      <formula>M36</formula>
    </cfRule>
    <cfRule type="cellIs" dxfId="69" priority="65" operator="notEqual">
      <formula>M28</formula>
    </cfRule>
  </conditionalFormatting>
  <conditionalFormatting sqref="M28">
    <cfRule type="cellIs" dxfId="68" priority="64" operator="notEqual">
      <formula>M27</formula>
    </cfRule>
  </conditionalFormatting>
  <conditionalFormatting sqref="N27">
    <cfRule type="cellIs" dxfId="67" priority="60" operator="notEqual">
      <formula>N36</formula>
    </cfRule>
    <cfRule type="cellIs" dxfId="66" priority="62" operator="notEqual">
      <formula>N28</formula>
    </cfRule>
  </conditionalFormatting>
  <conditionalFormatting sqref="N28">
    <cfRule type="cellIs" dxfId="65" priority="61" operator="notEqual">
      <formula>N27</formula>
    </cfRule>
  </conditionalFormatting>
  <conditionalFormatting sqref="O27">
    <cfRule type="cellIs" dxfId="64" priority="57" operator="notEqual">
      <formula>O36</formula>
    </cfRule>
    <cfRule type="cellIs" dxfId="63" priority="59" operator="notEqual">
      <formula>O28</formula>
    </cfRule>
  </conditionalFormatting>
  <conditionalFormatting sqref="O28">
    <cfRule type="cellIs" dxfId="62" priority="58" operator="notEqual">
      <formula>O27</formula>
    </cfRule>
  </conditionalFormatting>
  <conditionalFormatting sqref="P27">
    <cfRule type="cellIs" dxfId="61" priority="54" operator="notEqual">
      <formula>P36</formula>
    </cfRule>
    <cfRule type="cellIs" dxfId="60" priority="56" operator="notEqual">
      <formula>P28</formula>
    </cfRule>
  </conditionalFormatting>
  <conditionalFormatting sqref="P28">
    <cfRule type="cellIs" dxfId="59" priority="55" operator="notEqual">
      <formula>P27</formula>
    </cfRule>
  </conditionalFormatting>
  <conditionalFormatting sqref="Q27">
    <cfRule type="cellIs" dxfId="58" priority="51" operator="notEqual">
      <formula>Q36</formula>
    </cfRule>
    <cfRule type="cellIs" dxfId="57" priority="53" operator="notEqual">
      <formula>Q28</formula>
    </cfRule>
  </conditionalFormatting>
  <conditionalFormatting sqref="Q28">
    <cfRule type="cellIs" dxfId="56" priority="52" operator="notEqual">
      <formula>Q27</formula>
    </cfRule>
  </conditionalFormatting>
  <conditionalFormatting sqref="R27">
    <cfRule type="cellIs" dxfId="55" priority="48" operator="notEqual">
      <formula>R36</formula>
    </cfRule>
    <cfRule type="cellIs" dxfId="54" priority="50" operator="notEqual">
      <formula>R28</formula>
    </cfRule>
  </conditionalFormatting>
  <conditionalFormatting sqref="R28">
    <cfRule type="cellIs" dxfId="53" priority="49" operator="notEqual">
      <formula>R27</formula>
    </cfRule>
  </conditionalFormatting>
  <conditionalFormatting sqref="S27">
    <cfRule type="cellIs" dxfId="52" priority="45" operator="notEqual">
      <formula>S36</formula>
    </cfRule>
    <cfRule type="cellIs" dxfId="51" priority="47" operator="notEqual">
      <formula>S28</formula>
    </cfRule>
  </conditionalFormatting>
  <conditionalFormatting sqref="S28">
    <cfRule type="cellIs" dxfId="50" priority="46" operator="notEqual">
      <formula>S27</formula>
    </cfRule>
  </conditionalFormatting>
  <conditionalFormatting sqref="T27">
    <cfRule type="cellIs" dxfId="49" priority="42" operator="notEqual">
      <formula>T36</formula>
    </cfRule>
    <cfRule type="cellIs" dxfId="48" priority="44" operator="notEqual">
      <formula>T28</formula>
    </cfRule>
  </conditionalFormatting>
  <conditionalFormatting sqref="T28">
    <cfRule type="cellIs" dxfId="47" priority="43" operator="notEqual">
      <formula>T27</formula>
    </cfRule>
  </conditionalFormatting>
  <conditionalFormatting sqref="U27">
    <cfRule type="cellIs" dxfId="46" priority="39" operator="notEqual">
      <formula>U36</formula>
    </cfRule>
    <cfRule type="cellIs" dxfId="45" priority="41" operator="notEqual">
      <formula>U28</formula>
    </cfRule>
  </conditionalFormatting>
  <conditionalFormatting sqref="U28">
    <cfRule type="cellIs" dxfId="44" priority="40" operator="notEqual">
      <formula>U27</formula>
    </cfRule>
  </conditionalFormatting>
  <conditionalFormatting sqref="V27">
    <cfRule type="cellIs" dxfId="43" priority="36" operator="notEqual">
      <formula>V36</formula>
    </cfRule>
    <cfRule type="cellIs" dxfId="42" priority="38" operator="notEqual">
      <formula>V28</formula>
    </cfRule>
  </conditionalFormatting>
  <conditionalFormatting sqref="V28">
    <cfRule type="cellIs" dxfId="41" priority="37" operator="notEqual">
      <formula>V27</formula>
    </cfRule>
  </conditionalFormatting>
  <conditionalFormatting sqref="W27">
    <cfRule type="cellIs" dxfId="40" priority="33" operator="notEqual">
      <formula>W36</formula>
    </cfRule>
    <cfRule type="cellIs" dxfId="39" priority="35" operator="notEqual">
      <formula>W28</formula>
    </cfRule>
  </conditionalFormatting>
  <conditionalFormatting sqref="W28">
    <cfRule type="cellIs" dxfId="38" priority="34" operator="notEqual">
      <formula>W27</formula>
    </cfRule>
  </conditionalFormatting>
  <conditionalFormatting sqref="X27">
    <cfRule type="cellIs" dxfId="37" priority="30" operator="notEqual">
      <formula>X36</formula>
    </cfRule>
    <cfRule type="cellIs" dxfId="36" priority="32" operator="notEqual">
      <formula>X28</formula>
    </cfRule>
  </conditionalFormatting>
  <conditionalFormatting sqref="X28">
    <cfRule type="cellIs" dxfId="35" priority="31" operator="notEqual">
      <formula>X27</formula>
    </cfRule>
  </conditionalFormatting>
  <conditionalFormatting sqref="Y27">
    <cfRule type="cellIs" dxfId="34" priority="27" operator="notEqual">
      <formula>Y36</formula>
    </cfRule>
    <cfRule type="cellIs" dxfId="33" priority="29" operator="notEqual">
      <formula>Y28</formula>
    </cfRule>
  </conditionalFormatting>
  <conditionalFormatting sqref="Y28">
    <cfRule type="cellIs" dxfId="32" priority="28" operator="notEqual">
      <formula>Y27</formula>
    </cfRule>
  </conditionalFormatting>
  <conditionalFormatting sqref="Z27">
    <cfRule type="cellIs" dxfId="31" priority="24" operator="notEqual">
      <formula>Z36</formula>
    </cfRule>
    <cfRule type="cellIs" dxfId="30" priority="26" operator="notEqual">
      <formula>Z28</formula>
    </cfRule>
  </conditionalFormatting>
  <conditionalFormatting sqref="Z28">
    <cfRule type="cellIs" dxfId="29" priority="25" operator="notEqual">
      <formula>Z27</formula>
    </cfRule>
  </conditionalFormatting>
  <conditionalFormatting sqref="I36">
    <cfRule type="cellIs" dxfId="28" priority="23" operator="notEqual">
      <formula>I27</formula>
    </cfRule>
  </conditionalFormatting>
  <conditionalFormatting sqref="J36">
    <cfRule type="cellIs" dxfId="27" priority="22" operator="notEqual">
      <formula>J27</formula>
    </cfRule>
  </conditionalFormatting>
  <conditionalFormatting sqref="K36">
    <cfRule type="cellIs" dxfId="26" priority="21" operator="notEqual">
      <formula>K27</formula>
    </cfRule>
  </conditionalFormatting>
  <conditionalFormatting sqref="L36">
    <cfRule type="cellIs" dxfId="25" priority="20" operator="notEqual">
      <formula>L27</formula>
    </cfRule>
  </conditionalFormatting>
  <conditionalFormatting sqref="M36">
    <cfRule type="cellIs" dxfId="24" priority="19" operator="notEqual">
      <formula>M27</formula>
    </cfRule>
  </conditionalFormatting>
  <conditionalFormatting sqref="N36">
    <cfRule type="cellIs" dxfId="23" priority="18" operator="notEqual">
      <formula>N27</formula>
    </cfRule>
  </conditionalFormatting>
  <conditionalFormatting sqref="O36">
    <cfRule type="cellIs" dxfId="22" priority="17" operator="notEqual">
      <formula>O27</formula>
    </cfRule>
  </conditionalFormatting>
  <conditionalFormatting sqref="P36">
    <cfRule type="cellIs" dxfId="21" priority="16" operator="notEqual">
      <formula>P27</formula>
    </cfRule>
  </conditionalFormatting>
  <conditionalFormatting sqref="Q36">
    <cfRule type="cellIs" dxfId="20" priority="15" operator="notEqual">
      <formula>Q27</formula>
    </cfRule>
  </conditionalFormatting>
  <conditionalFormatting sqref="R36">
    <cfRule type="cellIs" dxfId="19" priority="14" operator="notEqual">
      <formula>R27</formula>
    </cfRule>
  </conditionalFormatting>
  <conditionalFormatting sqref="S36">
    <cfRule type="cellIs" dxfId="18" priority="13" operator="notEqual">
      <formula>S27</formula>
    </cfRule>
  </conditionalFormatting>
  <conditionalFormatting sqref="T36">
    <cfRule type="cellIs" dxfId="17" priority="12" operator="notEqual">
      <formula>T27</formula>
    </cfRule>
  </conditionalFormatting>
  <conditionalFormatting sqref="U36">
    <cfRule type="cellIs" dxfId="16" priority="11" operator="notEqual">
      <formula>U27</formula>
    </cfRule>
  </conditionalFormatting>
  <conditionalFormatting sqref="V36">
    <cfRule type="cellIs" dxfId="15" priority="10" operator="notEqual">
      <formula>V27</formula>
    </cfRule>
  </conditionalFormatting>
  <conditionalFormatting sqref="W36">
    <cfRule type="cellIs" dxfId="14" priority="9" operator="notEqual">
      <formula>W27</formula>
    </cfRule>
  </conditionalFormatting>
  <conditionalFormatting sqref="X36">
    <cfRule type="cellIs" dxfId="13" priority="8" operator="notEqual">
      <formula>X27</formula>
    </cfRule>
  </conditionalFormatting>
  <conditionalFormatting sqref="Y36">
    <cfRule type="cellIs" dxfId="12" priority="7" operator="notEqual">
      <formula>Y27</formula>
    </cfRule>
  </conditionalFormatting>
  <conditionalFormatting sqref="Z36">
    <cfRule type="cellIs" dxfId="11" priority="6" operator="notEqual">
      <formula>Z27</formula>
    </cfRule>
  </conditionalFormatting>
  <conditionalFormatting sqref="C26">
    <cfRule type="cellIs" dxfId="10" priority="3" operator="notEqual">
      <formula>AA26</formula>
    </cfRule>
    <cfRule type="cellIs" dxfId="9" priority="4" operator="notEqual">
      <formula>N26+O26+P26+Q26+R26</formula>
    </cfRule>
    <cfRule type="cellIs" dxfId="8" priority="5" operator="notEqual">
      <formula>I26+J26+K26+L26+M26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Z36 I28:Z28 S29:S33 S37:S42 I27:Z27 AA37:AA42 AA35 S17 S35 D10:E11 D9:E9 I9 I10:I11 G9 F10:H11 F9 H9" formula="1"/>
    <ignoredError sqref="I16:Z1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4"/>
  <dimension ref="A1:AD29"/>
  <sheetViews>
    <sheetView view="pageBreakPreview" zoomScale="70" zoomScaleNormal="65" zoomScaleSheetLayoutView="70" workbookViewId="0">
      <pane xSplit="2" ySplit="7" topLeftCell="C8" activePane="bottomRight" state="frozen"/>
      <selection activeCell="C73" sqref="C73"/>
      <selection pane="topRight" activeCell="C73" sqref="C73"/>
      <selection pane="bottomLeft" activeCell="C73" sqref="C73"/>
      <selection pane="bottomRight" activeCell="K12" sqref="K12"/>
    </sheetView>
  </sheetViews>
  <sheetFormatPr defaultRowHeight="15.75"/>
  <cols>
    <col min="1" max="1" width="9.7109375" style="90" customWidth="1"/>
    <col min="2" max="2" width="31.7109375" style="78" customWidth="1"/>
    <col min="3" max="3" width="17.140625" style="78" customWidth="1"/>
    <col min="4" max="4" width="16.5703125" style="78" customWidth="1"/>
    <col min="5" max="5" width="17.140625" style="78" customWidth="1"/>
    <col min="6" max="6" width="16.5703125" style="78" customWidth="1"/>
    <col min="7" max="7" width="17.140625" style="78" customWidth="1"/>
    <col min="8" max="8" width="16.5703125" style="78" customWidth="1"/>
    <col min="9" max="9" width="19" style="78" customWidth="1"/>
    <col min="10" max="10" width="16.5703125" style="78" customWidth="1"/>
    <col min="11" max="11" width="17.140625" style="78" customWidth="1"/>
    <col min="12" max="12" width="16.5703125" style="78" customWidth="1"/>
    <col min="13" max="13" width="19" style="78" customWidth="1"/>
    <col min="14" max="14" width="16.5703125" style="78" customWidth="1"/>
    <col min="15" max="15" width="9.140625" style="78"/>
    <col min="16" max="17" width="26.7109375" style="78" customWidth="1"/>
    <col min="18" max="16384" width="9.140625" style="78"/>
  </cols>
  <sheetData>
    <row r="1" spans="1:26" s="80" customFormat="1" ht="48.75" customHeight="1">
      <c r="A1" s="769" t="s">
        <v>538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193" t="s">
        <v>539</v>
      </c>
    </row>
    <row r="2" spans="1:26" ht="18.75">
      <c r="B2" s="97" t="str">
        <f>+'Asset quality'!B3</f>
        <v>"МКБАНК"</v>
      </c>
      <c r="K2" s="705">
        <f>+'loans_av rate'!F3</f>
        <v>44926</v>
      </c>
      <c r="L2" s="705"/>
      <c r="N2" s="91" t="str">
        <f>+'Asset quality'!T3</f>
        <v>минг. сўмда</v>
      </c>
    </row>
    <row r="3" spans="1:26" s="79" customFormat="1" ht="38.25" customHeight="1">
      <c r="A3" s="796" t="s">
        <v>62</v>
      </c>
      <c r="B3" s="796" t="s">
        <v>540</v>
      </c>
      <c r="C3" s="796" t="s">
        <v>541</v>
      </c>
      <c r="D3" s="796"/>
      <c r="E3" s="796"/>
      <c r="F3" s="796"/>
      <c r="G3" s="796"/>
      <c r="H3" s="796"/>
      <c r="I3" s="796" t="s">
        <v>542</v>
      </c>
      <c r="J3" s="796"/>
      <c r="K3" s="796"/>
      <c r="L3" s="796"/>
      <c r="M3" s="796"/>
      <c r="N3" s="796"/>
    </row>
    <row r="4" spans="1:26" s="79" customFormat="1" ht="24" customHeight="1">
      <c r="A4" s="796"/>
      <c r="B4" s="796"/>
      <c r="C4" s="796" t="s">
        <v>543</v>
      </c>
      <c r="D4" s="796" t="s">
        <v>495</v>
      </c>
      <c r="E4" s="796" t="s">
        <v>492</v>
      </c>
      <c r="F4" s="796"/>
      <c r="G4" s="796"/>
      <c r="H4" s="796"/>
      <c r="I4" s="796" t="s">
        <v>543</v>
      </c>
      <c r="J4" s="796" t="s">
        <v>495</v>
      </c>
      <c r="K4" s="796" t="s">
        <v>492</v>
      </c>
      <c r="L4" s="796"/>
      <c r="M4" s="796"/>
      <c r="N4" s="796"/>
    </row>
    <row r="5" spans="1:26" s="79" customFormat="1" ht="54.75" customHeight="1">
      <c r="A5" s="796"/>
      <c r="B5" s="796"/>
      <c r="C5" s="796"/>
      <c r="D5" s="796"/>
      <c r="E5" s="796" t="s">
        <v>286</v>
      </c>
      <c r="F5" s="796"/>
      <c r="G5" s="796" t="s">
        <v>493</v>
      </c>
      <c r="H5" s="796"/>
      <c r="I5" s="796"/>
      <c r="J5" s="796"/>
      <c r="K5" s="796" t="s">
        <v>286</v>
      </c>
      <c r="L5" s="796"/>
      <c r="M5" s="796" t="s">
        <v>493</v>
      </c>
      <c r="N5" s="796"/>
    </row>
    <row r="6" spans="1:26" s="79" customFormat="1" ht="63" customHeight="1">
      <c r="A6" s="796"/>
      <c r="B6" s="796"/>
      <c r="C6" s="796"/>
      <c r="D6" s="796"/>
      <c r="E6" s="487" t="s">
        <v>494</v>
      </c>
      <c r="F6" s="487" t="s">
        <v>495</v>
      </c>
      <c r="G6" s="487" t="s">
        <v>494</v>
      </c>
      <c r="H6" s="487" t="s">
        <v>495</v>
      </c>
      <c r="I6" s="796"/>
      <c r="J6" s="796"/>
      <c r="K6" s="487" t="s">
        <v>494</v>
      </c>
      <c r="L6" s="487" t="s">
        <v>495</v>
      </c>
      <c r="M6" s="487" t="s">
        <v>494</v>
      </c>
      <c r="N6" s="487" t="s">
        <v>495</v>
      </c>
    </row>
    <row r="7" spans="1:26" s="79" customFormat="1" ht="22.5" customHeight="1">
      <c r="A7" s="796"/>
      <c r="B7" s="487" t="s">
        <v>79</v>
      </c>
      <c r="C7" s="487" t="s">
        <v>80</v>
      </c>
      <c r="D7" s="487" t="s">
        <v>90</v>
      </c>
      <c r="E7" s="487" t="s">
        <v>81</v>
      </c>
      <c r="F7" s="487" t="s">
        <v>82</v>
      </c>
      <c r="G7" s="487" t="s">
        <v>91</v>
      </c>
      <c r="H7" s="487" t="s">
        <v>83</v>
      </c>
      <c r="I7" s="487" t="s">
        <v>84</v>
      </c>
      <c r="J7" s="487" t="s">
        <v>85</v>
      </c>
      <c r="K7" s="487" t="s">
        <v>86</v>
      </c>
      <c r="L7" s="487" t="s">
        <v>87</v>
      </c>
      <c r="M7" s="487" t="s">
        <v>88</v>
      </c>
      <c r="N7" s="487" t="s">
        <v>89</v>
      </c>
      <c r="P7" s="331"/>
    </row>
    <row r="8" spans="1:26" s="165" customFormat="1" ht="41.25" customHeight="1">
      <c r="A8" s="488">
        <v>1</v>
      </c>
      <c r="B8" s="489" t="s">
        <v>544</v>
      </c>
      <c r="C8" s="175">
        <f>+E8+G8</f>
        <v>311931160</v>
      </c>
      <c r="D8" s="640">
        <f t="shared" ref="D8:D15" si="0">IFERROR((((E8*F8)+(G8*H8))/C8),0)</f>
        <v>0</v>
      </c>
      <c r="E8" s="171">
        <v>304323410</v>
      </c>
      <c r="F8" s="163">
        <v>0</v>
      </c>
      <c r="G8" s="171">
        <v>7607750</v>
      </c>
      <c r="H8" s="163">
        <v>0</v>
      </c>
      <c r="I8" s="175">
        <f>+K8+M8</f>
        <v>641683942</v>
      </c>
      <c r="J8" s="640">
        <f t="shared" ref="J8:J15" si="1">IFERROR((((K8*L8)+(M8*N8))/I8),0)</f>
        <v>0.01</v>
      </c>
      <c r="K8" s="171">
        <v>604268493</v>
      </c>
      <c r="L8" s="163">
        <v>0.01</v>
      </c>
      <c r="M8" s="171">
        <v>37415449</v>
      </c>
      <c r="N8" s="163">
        <v>0.01</v>
      </c>
      <c r="O8" s="164"/>
      <c r="P8" s="490">
        <f>+'[8]Bank Liabilities Analysis'!$C$20</f>
        <v>953615102</v>
      </c>
      <c r="Q8" s="613">
        <f t="shared" ref="Q8:Q15" si="2">+P8-C8-I8</f>
        <v>0</v>
      </c>
      <c r="R8" s="164"/>
      <c r="S8" s="164"/>
      <c r="T8" s="164"/>
      <c r="U8" s="164"/>
      <c r="V8" s="164"/>
      <c r="W8" s="164"/>
      <c r="X8" s="164"/>
      <c r="Y8" s="164"/>
      <c r="Z8" s="164"/>
    </row>
    <row r="9" spans="1:26" s="165" customFormat="1" ht="41.25" customHeight="1">
      <c r="A9" s="488">
        <v>2</v>
      </c>
      <c r="B9" s="489" t="s">
        <v>545</v>
      </c>
      <c r="C9" s="175">
        <f t="shared" ref="C9" si="3">+E9+G9</f>
        <v>17037267</v>
      </c>
      <c r="D9" s="640">
        <f t="shared" si="0"/>
        <v>0.1846363143274406</v>
      </c>
      <c r="E9" s="171">
        <v>16377647</v>
      </c>
      <c r="F9" s="163">
        <v>0.19030816878088508</v>
      </c>
      <c r="G9" s="171">
        <v>659620</v>
      </c>
      <c r="H9" s="163">
        <v>4.3810338653731865E-2</v>
      </c>
      <c r="I9" s="175">
        <f t="shared" ref="I9" si="4">+K9+M9</f>
        <v>103659528</v>
      </c>
      <c r="J9" s="640">
        <f t="shared" si="1"/>
        <v>0.185</v>
      </c>
      <c r="K9" s="171">
        <v>103659528</v>
      </c>
      <c r="L9" s="163">
        <v>0.185</v>
      </c>
      <c r="M9" s="171">
        <v>0</v>
      </c>
      <c r="N9" s="163">
        <v>0</v>
      </c>
      <c r="O9" s="164"/>
      <c r="P9" s="490">
        <f>+'[8]Bank Liabilities Analysis'!$E$20</f>
        <v>120696795</v>
      </c>
      <c r="Q9" s="613">
        <f t="shared" si="2"/>
        <v>0</v>
      </c>
      <c r="R9" s="164"/>
      <c r="S9" s="164"/>
      <c r="T9" s="164"/>
      <c r="U9" s="164"/>
      <c r="V9" s="164"/>
      <c r="W9" s="164"/>
      <c r="X9" s="164"/>
      <c r="Y9" s="164"/>
      <c r="Z9" s="164"/>
    </row>
    <row r="10" spans="1:26" s="165" customFormat="1" ht="41.25" customHeight="1">
      <c r="A10" s="488">
        <v>3</v>
      </c>
      <c r="B10" s="489" t="s">
        <v>546</v>
      </c>
      <c r="C10" s="175">
        <f t="shared" ref="C10:C15" si="5">+E10+G10</f>
        <v>32457648</v>
      </c>
      <c r="D10" s="640">
        <f t="shared" si="0"/>
        <v>0.19014918068586376</v>
      </c>
      <c r="E10" s="171">
        <v>30239699</v>
      </c>
      <c r="F10" s="163">
        <v>0.20100082702290437</v>
      </c>
      <c r="G10" s="171">
        <v>2217949</v>
      </c>
      <c r="H10" s="163">
        <v>4.2196942430357966E-2</v>
      </c>
      <c r="I10" s="175">
        <f t="shared" ref="I10:I15" si="6">+K10+M10</f>
        <v>18850000</v>
      </c>
      <c r="J10" s="640">
        <f t="shared" si="1"/>
        <v>0.14602181848008858</v>
      </c>
      <c r="K10" s="171">
        <v>18850000</v>
      </c>
      <c r="L10" s="163">
        <v>0.14602181848008858</v>
      </c>
      <c r="M10" s="171">
        <v>0</v>
      </c>
      <c r="N10" s="163">
        <v>0</v>
      </c>
      <c r="O10" s="164"/>
      <c r="P10" s="490">
        <f>+'[8]Bank Liabilities Analysis'!$G$20</f>
        <v>51307648</v>
      </c>
      <c r="Q10" s="613">
        <f t="shared" si="2"/>
        <v>0</v>
      </c>
      <c r="R10" s="164"/>
      <c r="S10" s="164"/>
      <c r="T10" s="164"/>
      <c r="U10" s="164"/>
      <c r="V10" s="164"/>
      <c r="W10" s="164"/>
      <c r="X10" s="164"/>
      <c r="Y10" s="164"/>
      <c r="Z10" s="164"/>
    </row>
    <row r="11" spans="1:26" s="165" customFormat="1" ht="41.25" customHeight="1">
      <c r="A11" s="488">
        <v>4</v>
      </c>
      <c r="B11" s="489" t="s">
        <v>547</v>
      </c>
      <c r="C11" s="175">
        <f t="shared" si="5"/>
        <v>35854224</v>
      </c>
      <c r="D11" s="640">
        <f t="shared" si="0"/>
        <v>0.19558245571307348</v>
      </c>
      <c r="E11" s="171">
        <v>33325606</v>
      </c>
      <c r="F11" s="163">
        <v>0.20666769917191813</v>
      </c>
      <c r="G11" s="171">
        <v>2528618</v>
      </c>
      <c r="H11" s="163">
        <v>4.9485870177601463E-2</v>
      </c>
      <c r="I11" s="175">
        <f t="shared" si="6"/>
        <v>118682020</v>
      </c>
      <c r="J11" s="640">
        <f t="shared" si="1"/>
        <v>0.14597095059165552</v>
      </c>
      <c r="K11" s="171">
        <v>115146000</v>
      </c>
      <c r="L11" s="163">
        <v>0.14922521388096738</v>
      </c>
      <c r="M11" s="171">
        <v>3536020</v>
      </c>
      <c r="N11" s="163">
        <v>0.04</v>
      </c>
      <c r="O11" s="164"/>
      <c r="P11" s="490">
        <f>+'[8]Bank Liabilities Analysis'!$I$20</f>
        <v>154536244</v>
      </c>
      <c r="Q11" s="613">
        <f t="shared" si="2"/>
        <v>0</v>
      </c>
      <c r="R11" s="164"/>
      <c r="S11" s="164"/>
      <c r="T11" s="164"/>
      <c r="U11" s="164"/>
      <c r="V11" s="164"/>
      <c r="W11" s="164"/>
      <c r="X11" s="164"/>
      <c r="Y11" s="164"/>
      <c r="Z11" s="164"/>
    </row>
    <row r="12" spans="1:26" s="165" customFormat="1" ht="41.25" customHeight="1">
      <c r="A12" s="488">
        <v>5</v>
      </c>
      <c r="B12" s="489" t="s">
        <v>548</v>
      </c>
      <c r="C12" s="175">
        <f t="shared" si="5"/>
        <v>12267383</v>
      </c>
      <c r="D12" s="640">
        <f t="shared" si="0"/>
        <v>0.14683844587894951</v>
      </c>
      <c r="E12" s="171">
        <v>8679769</v>
      </c>
      <c r="F12" s="163">
        <v>0.18971692736579346</v>
      </c>
      <c r="G12" s="171">
        <v>3587614</v>
      </c>
      <c r="H12" s="163">
        <v>4.3099494482120838E-2</v>
      </c>
      <c r="I12" s="175">
        <f t="shared" si="6"/>
        <v>505670790</v>
      </c>
      <c r="J12" s="640">
        <f t="shared" si="1"/>
        <v>0.14631009373986345</v>
      </c>
      <c r="K12" s="171">
        <v>486306871</v>
      </c>
      <c r="L12" s="163">
        <v>0.15012603805591979</v>
      </c>
      <c r="M12" s="171">
        <v>19363919</v>
      </c>
      <c r="N12" s="163">
        <v>5.0476190476190473E-2</v>
      </c>
      <c r="O12" s="164"/>
      <c r="P12" s="490">
        <f>+'[8]Bank Liabilities Analysis'!$K$20</f>
        <v>517938173</v>
      </c>
      <c r="Q12" s="613">
        <f t="shared" si="2"/>
        <v>0</v>
      </c>
      <c r="R12" s="164"/>
      <c r="S12" s="164"/>
      <c r="T12" s="164"/>
      <c r="U12" s="164"/>
      <c r="V12" s="164"/>
      <c r="W12" s="164"/>
      <c r="X12" s="164"/>
      <c r="Y12" s="164"/>
      <c r="Z12" s="164"/>
    </row>
    <row r="13" spans="1:26" s="165" customFormat="1" ht="41.25" customHeight="1">
      <c r="A13" s="488">
        <v>6</v>
      </c>
      <c r="B13" s="489" t="s">
        <v>549</v>
      </c>
      <c r="C13" s="175">
        <f t="shared" si="5"/>
        <v>480583</v>
      </c>
      <c r="D13" s="640">
        <f t="shared" si="0"/>
        <v>0.17328339251551433</v>
      </c>
      <c r="E13" s="171">
        <v>347615</v>
      </c>
      <c r="F13" s="163">
        <v>0.22055565594677667</v>
      </c>
      <c r="G13" s="171">
        <v>132968</v>
      </c>
      <c r="H13" s="163">
        <v>4.9700666952534778E-2</v>
      </c>
      <c r="I13" s="175">
        <f t="shared" si="6"/>
        <v>967596904</v>
      </c>
      <c r="J13" s="640">
        <f t="shared" si="1"/>
        <v>0.15888726014116067</v>
      </c>
      <c r="K13" s="171">
        <v>756558256</v>
      </c>
      <c r="L13" s="163">
        <v>0.19025069685197318</v>
      </c>
      <c r="M13" s="171">
        <v>211038648</v>
      </c>
      <c r="N13" s="163">
        <v>4.645161290322581E-2</v>
      </c>
      <c r="O13" s="164"/>
      <c r="P13" s="490">
        <f>+'[8]Bank Liabilities Analysis'!$M$20</f>
        <v>968077487</v>
      </c>
      <c r="Q13" s="613">
        <f t="shared" si="2"/>
        <v>0</v>
      </c>
      <c r="R13" s="164"/>
      <c r="S13" s="164"/>
      <c r="T13" s="164"/>
      <c r="U13" s="164"/>
      <c r="V13" s="164"/>
      <c r="W13" s="164"/>
      <c r="X13" s="164"/>
      <c r="Y13" s="164"/>
      <c r="Z13" s="164"/>
    </row>
    <row r="14" spans="1:26" s="165" customFormat="1" ht="41.25" customHeight="1">
      <c r="A14" s="488">
        <v>7</v>
      </c>
      <c r="B14" s="489" t="s">
        <v>550</v>
      </c>
      <c r="C14" s="175">
        <f t="shared" si="5"/>
        <v>853925855</v>
      </c>
      <c r="D14" s="640">
        <f t="shared" si="0"/>
        <v>0.21640942350649281</v>
      </c>
      <c r="E14" s="171">
        <v>825333781</v>
      </c>
      <c r="F14" s="163">
        <v>0.2221743523882721</v>
      </c>
      <c r="G14" s="171">
        <v>28592074</v>
      </c>
      <c r="H14" s="163">
        <v>4.9999999999999996E-2</v>
      </c>
      <c r="I14" s="175">
        <f t="shared" si="6"/>
        <v>759597664</v>
      </c>
      <c r="J14" s="640">
        <f t="shared" si="1"/>
        <v>0.10508983984985111</v>
      </c>
      <c r="K14" s="171">
        <v>489100000</v>
      </c>
      <c r="L14" s="163">
        <v>0.13292386323581248</v>
      </c>
      <c r="M14" s="171">
        <v>270497664</v>
      </c>
      <c r="N14" s="163">
        <v>5.4761786598811937E-2</v>
      </c>
      <c r="O14" s="164"/>
      <c r="P14" s="490">
        <f>+'[8]Bank Liabilities Analysis'!$O$20</f>
        <v>1613523519</v>
      </c>
      <c r="Q14" s="613">
        <f t="shared" si="2"/>
        <v>0</v>
      </c>
      <c r="R14" s="164"/>
      <c r="S14" s="164"/>
      <c r="T14" s="164"/>
      <c r="U14" s="164"/>
      <c r="V14" s="164"/>
      <c r="W14" s="164"/>
      <c r="X14" s="164"/>
      <c r="Y14" s="164"/>
      <c r="Z14" s="164"/>
    </row>
    <row r="15" spans="1:26" s="165" customFormat="1" ht="41.25" customHeight="1">
      <c r="A15" s="488">
        <v>8</v>
      </c>
      <c r="B15" s="489" t="s">
        <v>551</v>
      </c>
      <c r="C15" s="175">
        <f t="shared" si="5"/>
        <v>4290307</v>
      </c>
      <c r="D15" s="640">
        <f t="shared" si="0"/>
        <v>0.20393603474332844</v>
      </c>
      <c r="E15" s="171">
        <f>4118557+2</f>
        <v>4118559</v>
      </c>
      <c r="F15" s="163">
        <v>0.21035532024952056</v>
      </c>
      <c r="G15" s="171">
        <f>171750-2</f>
        <v>171748</v>
      </c>
      <c r="H15" s="163">
        <v>0.05</v>
      </c>
      <c r="I15" s="175">
        <f t="shared" si="6"/>
        <v>1025210401</v>
      </c>
      <c r="J15" s="640">
        <f t="shared" si="1"/>
        <v>9.5993063154803118E-2</v>
      </c>
      <c r="K15" s="171">
        <f>745040880-2</f>
        <v>745040878</v>
      </c>
      <c r="L15" s="163">
        <v>0.12434541142581262</v>
      </c>
      <c r="M15" s="171">
        <f>280169521+2</f>
        <v>280169523</v>
      </c>
      <c r="N15" s="163">
        <v>2.0597073530354511E-2</v>
      </c>
      <c r="O15" s="164"/>
      <c r="P15" s="490">
        <f>+'[8]Bank Liabilities Analysis'!$Q$20</f>
        <v>1029500708</v>
      </c>
      <c r="Q15" s="613">
        <f t="shared" si="2"/>
        <v>0</v>
      </c>
      <c r="R15" s="164"/>
      <c r="S15" s="164"/>
      <c r="T15" s="164"/>
      <c r="U15" s="164"/>
      <c r="V15" s="164"/>
      <c r="W15" s="164"/>
      <c r="X15" s="164"/>
      <c r="Y15" s="164"/>
      <c r="Z15" s="164"/>
    </row>
    <row r="16" spans="1:26" s="165" customFormat="1" ht="41.25" customHeight="1">
      <c r="A16" s="488">
        <v>9</v>
      </c>
      <c r="B16" s="491" t="s">
        <v>552</v>
      </c>
      <c r="C16" s="172">
        <f>SUM(C8:C15)</f>
        <v>1268244427</v>
      </c>
      <c r="D16" s="173">
        <f>IFERROR(((C8*D8)/C16)+((C9*D9)/C16)+((C10*D10)/C16)+((C11*D11)/C16)+((C12*D12)/C16)+((C13*D13)/C16)+((C14*D14)/C16)+((C15*D15)/C16),0)</f>
        <v>0.16076325422677135</v>
      </c>
      <c r="E16" s="172">
        <f t="shared" ref="E16:M16" si="7">SUM(E8:E15)</f>
        <v>1222746086</v>
      </c>
      <c r="F16" s="173">
        <f>IFERROR(((E8*F8)/E16)+((E9*F9)/E16)+((E10*F10)/E16)+((E11*F11)/E16)+((E12*F12)/E16)+((E13*F13)/E16)+((E14*F14)/E16)+((E15*F15)/E16),0)</f>
        <v>0.16523467938337008</v>
      </c>
      <c r="G16" s="172">
        <f t="shared" si="7"/>
        <v>45498341</v>
      </c>
      <c r="H16" s="173">
        <f>IFERROR(((G8*H8)/G16)+((G9*H9)/G16)+((G10*H10)/G16)+((G11*H11)/G16)+((G12*H12)/G16)+((G13*H13)/G16)+((G14*H14)/G16)+((G15*H15)/G16),0)</f>
        <v>4.0595848363049435E-2</v>
      </c>
      <c r="I16" s="172">
        <f t="shared" si="7"/>
        <v>4140951249</v>
      </c>
      <c r="J16" s="173">
        <f>IFERROR(((I8*J8)/I16)+((I9*J9)/I16)+((I10*J10)/I16)+((I11*J11)/I16)+((I12*J12)/I16)+((I13*J13)/I16)+((I14*J14)/I16)+((I15*J15)/I16),0)</f>
        <v>0.10906506954874877</v>
      </c>
      <c r="K16" s="172">
        <f t="shared" si="7"/>
        <v>3318930026</v>
      </c>
      <c r="L16" s="173">
        <f>IFERROR(((K8*L8)/K16)+((K9*L9)/K16)+((K10*L10)/K16)+((K11*L11)/K16)+((K12*L12)/K16)+((K13*L13)/K16)+((K14*L14)/K16)+((K15*L15)/K16),0)</f>
        <v>0.12647251593914649</v>
      </c>
      <c r="M16" s="172">
        <f t="shared" si="7"/>
        <v>822021223</v>
      </c>
      <c r="N16" s="173">
        <f>IFERROR(((M8*N8)/M16)+((M9*N9)/M16)+((M10*N10)/M16)+((M11*N11)/M16)+((M12*N12)/M16)+((M13*N13)/M16)+((M14*N14)/M16)+((M15*N15)/M16),0)</f>
        <v>3.8782095235473185E-2</v>
      </c>
      <c r="O16" s="164"/>
      <c r="P16" s="492">
        <f>+'[8]Bank Liabilities Analysis'!$S$20</f>
        <v>5409195676</v>
      </c>
      <c r="Q16" s="613">
        <f>+P16-C16-I16</f>
        <v>0</v>
      </c>
      <c r="R16" s="164"/>
      <c r="S16" s="164"/>
      <c r="T16" s="164"/>
      <c r="U16" s="164"/>
      <c r="V16" s="164"/>
      <c r="W16" s="164"/>
      <c r="X16" s="164"/>
      <c r="Y16" s="164"/>
      <c r="Z16" s="164"/>
    </row>
    <row r="17" spans="1:30" s="16" customFormat="1" ht="15.75" customHeight="1">
      <c r="B17" s="466"/>
      <c r="C17" s="276"/>
      <c r="I17" s="276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spans="1:30" s="269" customFormat="1" ht="15" customHeight="1">
      <c r="A18" s="34"/>
      <c r="B18" s="592" t="s">
        <v>788</v>
      </c>
      <c r="C18" s="34"/>
      <c r="D18" s="34"/>
      <c r="E18" s="34"/>
      <c r="F18" s="349"/>
      <c r="G18" s="349"/>
      <c r="H18" s="349"/>
      <c r="I18" s="349"/>
      <c r="J18" s="349"/>
      <c r="K18" s="349"/>
      <c r="L18" s="349"/>
      <c r="M18" s="349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spans="1:30" s="269" customFormat="1" ht="11.25" customHeight="1">
      <c r="A19" s="34"/>
      <c r="B19" s="592"/>
      <c r="C19" s="34"/>
      <c r="D19" s="34"/>
      <c r="E19" s="34"/>
      <c r="F19" s="349"/>
      <c r="G19" s="349"/>
      <c r="H19" s="349"/>
      <c r="I19" s="349"/>
      <c r="J19" s="349"/>
      <c r="K19" s="349"/>
      <c r="L19" s="349"/>
      <c r="M19" s="349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 s="269" customFormat="1" ht="15" customHeight="1">
      <c r="A20" s="34"/>
      <c r="B20" s="592" t="s">
        <v>789</v>
      </c>
      <c r="C20" s="34"/>
      <c r="D20" s="34"/>
      <c r="E20" s="34"/>
      <c r="F20" s="349"/>
      <c r="G20" s="349"/>
      <c r="H20" s="349"/>
      <c r="I20" s="349"/>
      <c r="J20" s="349"/>
      <c r="K20" s="349"/>
      <c r="L20" s="349"/>
      <c r="M20" s="349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 s="6" customFormat="1">
      <c r="A21" s="25"/>
      <c r="B21" s="31"/>
      <c r="J21" s="25"/>
    </row>
    <row r="24" spans="1:30">
      <c r="B24" s="78" t="s">
        <v>190</v>
      </c>
      <c r="C24" s="614">
        <f>+'[8]Deposits by Client'!$C$6+'[8]Deposits by Client'!$C$15</f>
        <v>1268244427</v>
      </c>
      <c r="D24" s="614"/>
      <c r="E24" s="614">
        <f>+C24-G24</f>
        <v>1222746086</v>
      </c>
      <c r="F24" s="614"/>
      <c r="G24" s="614">
        <f>+'[8]Deposits by Client'!$D$6+'[8]Deposits by Client'!$D$15</f>
        <v>45498341</v>
      </c>
      <c r="H24" s="555"/>
      <c r="I24" s="555"/>
      <c r="J24" s="555"/>
      <c r="K24" s="555"/>
      <c r="L24" s="555"/>
      <c r="M24" s="555"/>
      <c r="N24" s="556"/>
    </row>
    <row r="25" spans="1:30">
      <c r="C25" s="614">
        <f>+C16</f>
        <v>1268244427</v>
      </c>
      <c r="D25" s="614"/>
      <c r="E25" s="614">
        <f>+C16-G16</f>
        <v>1222746086</v>
      </c>
      <c r="F25" s="614"/>
      <c r="G25" s="614">
        <f>+G16</f>
        <v>45498341</v>
      </c>
      <c r="H25" s="555"/>
      <c r="I25" s="557"/>
      <c r="J25" s="557"/>
      <c r="K25" s="557"/>
      <c r="L25" s="557"/>
      <c r="M25" s="557"/>
      <c r="N25" s="556"/>
    </row>
    <row r="26" spans="1:30">
      <c r="C26" s="555">
        <f>+C24-C25</f>
        <v>0</v>
      </c>
      <c r="D26" s="555"/>
      <c r="E26" s="555">
        <f>+E24-E25</f>
        <v>0</v>
      </c>
      <c r="F26" s="555"/>
      <c r="G26" s="555">
        <f>+G24-G25</f>
        <v>0</v>
      </c>
      <c r="H26" s="555"/>
      <c r="I26" s="557"/>
      <c r="J26" s="557"/>
      <c r="K26" s="557"/>
      <c r="L26" s="557"/>
      <c r="M26" s="557"/>
      <c r="N26" s="556"/>
    </row>
    <row r="27" spans="1:30">
      <c r="B27" s="78" t="s">
        <v>191</v>
      </c>
      <c r="C27" s="557"/>
      <c r="D27" s="557"/>
      <c r="E27" s="557"/>
      <c r="F27" s="557"/>
      <c r="G27" s="557"/>
      <c r="H27" s="557"/>
      <c r="I27" s="614">
        <f>+'[8]Deposits by Client'!$C$22-'[8]Deposits by Client'!$C$6-'[8]Deposits by Client'!$C$15</f>
        <v>4140951249</v>
      </c>
      <c r="J27" s="614"/>
      <c r="K27" s="614">
        <f>+I27-M27</f>
        <v>3318930026</v>
      </c>
      <c r="L27" s="614"/>
      <c r="M27" s="614">
        <f>+'[8]Deposits by Client'!$D$22-'[8]Deposits by Client'!$D$6-'[8]Deposits by Client'!$D$15</f>
        <v>822021223</v>
      </c>
      <c r="N27" s="558"/>
    </row>
    <row r="28" spans="1:30">
      <c r="C28" s="557"/>
      <c r="D28" s="557"/>
      <c r="E28" s="557"/>
      <c r="F28" s="557"/>
      <c r="G28" s="557"/>
      <c r="H28" s="557"/>
      <c r="I28" s="614">
        <f>+I16</f>
        <v>4140951249</v>
      </c>
      <c r="J28" s="614"/>
      <c r="K28" s="614">
        <f>+I16-M16</f>
        <v>3318930026</v>
      </c>
      <c r="L28" s="614"/>
      <c r="M28" s="614">
        <f>+M16</f>
        <v>822021223</v>
      </c>
      <c r="N28" s="558"/>
    </row>
    <row r="29" spans="1:30">
      <c r="C29" s="557"/>
      <c r="D29" s="557"/>
      <c r="E29" s="557"/>
      <c r="F29" s="557"/>
      <c r="G29" s="557"/>
      <c r="H29" s="557"/>
      <c r="I29" s="555">
        <f>+I27-I28</f>
        <v>0</v>
      </c>
      <c r="J29" s="557"/>
      <c r="K29" s="555">
        <f>+K27-K28</f>
        <v>0</v>
      </c>
      <c r="L29" s="557"/>
      <c r="M29" s="555">
        <f>+M27-M28</f>
        <v>0</v>
      </c>
      <c r="N29" s="558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conditionalFormatting sqref="C16">
    <cfRule type="cellIs" dxfId="7" priority="6" operator="notEqual">
      <formula>C24</formula>
    </cfRule>
  </conditionalFormatting>
  <conditionalFormatting sqref="E16">
    <cfRule type="cellIs" dxfId="6" priority="5" operator="notEqual">
      <formula>E24</formula>
    </cfRule>
  </conditionalFormatting>
  <conditionalFormatting sqref="G16">
    <cfRule type="cellIs" dxfId="5" priority="4" operator="notEqual">
      <formula>G24</formula>
    </cfRule>
  </conditionalFormatting>
  <conditionalFormatting sqref="I16">
    <cfRule type="cellIs" dxfId="4" priority="3" operator="notEqual">
      <formula>I27</formula>
    </cfRule>
  </conditionalFormatting>
  <conditionalFormatting sqref="K16">
    <cfRule type="cellIs" dxfId="3" priority="2" operator="notEqual">
      <formula>K27</formula>
    </cfRule>
  </conditionalFormatting>
  <conditionalFormatting sqref="M16">
    <cfRule type="cellIs" dxfId="2" priority="1" operator="notEqual">
      <formula>M27</formula>
    </cfRule>
  </conditionalFormatting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  <ignoredErrors>
    <ignoredError sqref="D16:N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0"/>
  <dimension ref="A1:AD51"/>
  <sheetViews>
    <sheetView view="pageBreakPreview" zoomScale="85" zoomScaleSheetLayoutView="85" workbookViewId="0">
      <pane xSplit="1" ySplit="5" topLeftCell="B34" activePane="bottomRight" state="frozen"/>
      <selection activeCell="C73" sqref="C73"/>
      <selection pane="topRight" activeCell="C73" sqref="C73"/>
      <selection pane="bottomLeft" activeCell="C73" sqref="C73"/>
      <selection pane="bottomRight" activeCell="I11" sqref="I11:I12"/>
    </sheetView>
  </sheetViews>
  <sheetFormatPr defaultColWidth="9" defaultRowHeight="12.75"/>
  <cols>
    <col min="1" max="1" width="5" style="276" customWidth="1"/>
    <col min="2" max="3" width="9" style="269" customWidth="1"/>
    <col min="4" max="4" width="25.42578125" style="269" customWidth="1"/>
    <col min="5" max="5" width="46.85546875" style="269" customWidth="1"/>
    <col min="6" max="6" width="15.42578125" style="269" bestFit="1" customWidth="1"/>
    <col min="7" max="7" width="9" style="269" customWidth="1"/>
    <col min="8" max="8" width="40.5703125" style="269" customWidth="1"/>
    <col min="9" max="9" width="18.42578125" style="269" customWidth="1"/>
    <col min="10" max="10" width="15" style="276" customWidth="1"/>
    <col min="11" max="11" width="15.5703125" style="269" customWidth="1"/>
    <col min="12" max="12" width="9" style="269"/>
    <col min="13" max="13" width="9" style="586"/>
    <col min="14" max="16384" width="9" style="269"/>
  </cols>
  <sheetData>
    <row r="1" spans="1:13" s="33" customFormat="1" ht="27" customHeight="1">
      <c r="A1" s="797" t="s">
        <v>795</v>
      </c>
      <c r="B1" s="797"/>
      <c r="C1" s="797"/>
      <c r="D1" s="797"/>
      <c r="E1" s="797"/>
      <c r="F1" s="797"/>
      <c r="G1" s="797"/>
      <c r="H1" s="797"/>
      <c r="I1" s="798" t="s">
        <v>553</v>
      </c>
      <c r="J1" s="798"/>
      <c r="K1" s="798"/>
      <c r="M1" s="585"/>
    </row>
    <row r="2" spans="1:13" ht="21" customHeight="1">
      <c r="A2" s="493"/>
      <c r="B2" s="823" t="str">
        <f>+'Asset quality'!B3</f>
        <v>"МКБАНК"</v>
      </c>
      <c r="C2" s="823"/>
      <c r="D2" s="823"/>
      <c r="E2" s="494"/>
      <c r="F2" s="494"/>
      <c r="G2" s="494"/>
      <c r="H2" s="494"/>
      <c r="I2" s="672">
        <f>+'Asset quality'!Q3</f>
        <v>44926</v>
      </c>
      <c r="J2" s="103"/>
      <c r="K2" s="8"/>
    </row>
    <row r="3" spans="1:13" ht="6.75" customHeight="1">
      <c r="A3" s="799"/>
      <c r="B3" s="800"/>
      <c r="C3" s="800"/>
      <c r="D3" s="800"/>
      <c r="E3" s="800"/>
      <c r="F3" s="800"/>
      <c r="G3" s="800"/>
      <c r="H3" s="800"/>
      <c r="I3" s="800"/>
      <c r="J3" s="800"/>
      <c r="K3" s="801"/>
    </row>
    <row r="4" spans="1:13" s="244" customFormat="1" ht="48.75" customHeight="1">
      <c r="A4" s="812" t="s">
        <v>62</v>
      </c>
      <c r="B4" s="812" t="s">
        <v>554</v>
      </c>
      <c r="C4" s="812"/>
      <c r="D4" s="812"/>
      <c r="E4" s="812"/>
      <c r="F4" s="812" t="s">
        <v>555</v>
      </c>
      <c r="G4" s="812"/>
      <c r="H4" s="812"/>
      <c r="I4" s="330" t="s">
        <v>556</v>
      </c>
      <c r="J4" s="330" t="s">
        <v>557</v>
      </c>
      <c r="K4" s="330" t="s">
        <v>468</v>
      </c>
      <c r="M4" s="587"/>
    </row>
    <row r="5" spans="1:13" s="244" customFormat="1" ht="14.25" customHeight="1">
      <c r="A5" s="812"/>
      <c r="B5" s="812" t="s">
        <v>98</v>
      </c>
      <c r="C5" s="812"/>
      <c r="D5" s="812"/>
      <c r="E5" s="812"/>
      <c r="F5" s="812" t="s">
        <v>80</v>
      </c>
      <c r="G5" s="812"/>
      <c r="H5" s="812"/>
      <c r="I5" s="330" t="s">
        <v>90</v>
      </c>
      <c r="J5" s="330" t="s">
        <v>81</v>
      </c>
      <c r="K5" s="330" t="s">
        <v>82</v>
      </c>
      <c r="M5" s="587"/>
    </row>
    <row r="6" spans="1:13" s="496" customFormat="1">
      <c r="A6" s="495">
        <v>1</v>
      </c>
      <c r="B6" s="807" t="s">
        <v>558</v>
      </c>
      <c r="C6" s="808"/>
      <c r="D6" s="808"/>
      <c r="E6" s="808"/>
      <c r="F6" s="809"/>
      <c r="G6" s="809"/>
      <c r="H6" s="809"/>
      <c r="I6" s="809"/>
      <c r="J6" s="809"/>
      <c r="K6" s="809"/>
      <c r="M6" s="588"/>
    </row>
    <row r="7" spans="1:13" ht="24" customHeight="1">
      <c r="A7" s="813" t="s">
        <v>93</v>
      </c>
      <c r="B7" s="804" t="s">
        <v>559</v>
      </c>
      <c r="C7" s="815"/>
      <c r="D7" s="815"/>
      <c r="E7" s="816"/>
      <c r="F7" s="820" t="s">
        <v>562</v>
      </c>
      <c r="G7" s="821"/>
      <c r="H7" s="822"/>
      <c r="I7" s="802">
        <f>+'[9]Bank Capital Calc'!$C$51</f>
        <v>0.20714660234358159</v>
      </c>
      <c r="J7" s="497" t="s">
        <v>99</v>
      </c>
      <c r="K7" s="810" t="str">
        <f>IF(I7="",0-J8,(IF((I7-J8)&gt;0,"",I7-J8)))</f>
        <v/>
      </c>
    </row>
    <row r="8" spans="1:13">
      <c r="A8" s="814"/>
      <c r="B8" s="817"/>
      <c r="C8" s="818"/>
      <c r="D8" s="818"/>
      <c r="E8" s="819"/>
      <c r="F8" s="804" t="s">
        <v>563</v>
      </c>
      <c r="G8" s="805"/>
      <c r="H8" s="806"/>
      <c r="I8" s="803"/>
      <c r="J8" s="498">
        <v>0.13</v>
      </c>
      <c r="K8" s="811"/>
    </row>
    <row r="9" spans="1:13">
      <c r="A9" s="813" t="s">
        <v>94</v>
      </c>
      <c r="B9" s="804" t="s">
        <v>560</v>
      </c>
      <c r="C9" s="815"/>
      <c r="D9" s="815"/>
      <c r="E9" s="816"/>
      <c r="F9" s="836" t="s">
        <v>564</v>
      </c>
      <c r="G9" s="837"/>
      <c r="H9" s="838"/>
      <c r="I9" s="802">
        <f>+'[9]Bank Capital Calc'!$C$50</f>
        <v>0.20030254110924048</v>
      </c>
      <c r="J9" s="497" t="s">
        <v>99</v>
      </c>
      <c r="K9" s="810" t="str">
        <f>IF(I9="",0-J10,(IF((I9-J10)&gt;0,"",I9-J10)))</f>
        <v/>
      </c>
    </row>
    <row r="10" spans="1:13">
      <c r="A10" s="814"/>
      <c r="B10" s="824"/>
      <c r="C10" s="825"/>
      <c r="D10" s="825"/>
      <c r="E10" s="826"/>
      <c r="F10" s="830" t="s">
        <v>563</v>
      </c>
      <c r="G10" s="831"/>
      <c r="H10" s="832"/>
      <c r="I10" s="803"/>
      <c r="J10" s="498">
        <v>0.1</v>
      </c>
      <c r="K10" s="811"/>
    </row>
    <row r="11" spans="1:13" ht="12.75" customHeight="1">
      <c r="A11" s="813" t="s">
        <v>95</v>
      </c>
      <c r="B11" s="833" t="s">
        <v>561</v>
      </c>
      <c r="C11" s="834"/>
      <c r="D11" s="834"/>
      <c r="E11" s="835"/>
      <c r="F11" s="836" t="s">
        <v>565</v>
      </c>
      <c r="G11" s="837"/>
      <c r="H11" s="838"/>
      <c r="I11" s="802">
        <f>+'[9]Bank Capital Calc'!$C$49</f>
        <v>0.20029454599796948</v>
      </c>
      <c r="J11" s="497" t="s">
        <v>99</v>
      </c>
      <c r="K11" s="810" t="str">
        <f>IF(I11="",0-J12,(IF((I11-J12)&gt;0,"",I11-J12)))</f>
        <v/>
      </c>
    </row>
    <row r="12" spans="1:13" ht="24.75" customHeight="1">
      <c r="A12" s="814"/>
      <c r="B12" s="817"/>
      <c r="C12" s="818"/>
      <c r="D12" s="818"/>
      <c r="E12" s="819"/>
      <c r="F12" s="820" t="s">
        <v>563</v>
      </c>
      <c r="G12" s="821"/>
      <c r="H12" s="822"/>
      <c r="I12" s="803"/>
      <c r="J12" s="498">
        <v>0.08</v>
      </c>
      <c r="K12" s="811"/>
    </row>
    <row r="13" spans="1:13">
      <c r="A13" s="813" t="s">
        <v>96</v>
      </c>
      <c r="B13" s="833" t="s">
        <v>100</v>
      </c>
      <c r="C13" s="834"/>
      <c r="D13" s="834"/>
      <c r="E13" s="835"/>
      <c r="F13" s="827" t="s">
        <v>564</v>
      </c>
      <c r="G13" s="828"/>
      <c r="H13" s="829"/>
      <c r="I13" s="802">
        <f>+'[9]Bank Capital Calc'!$C$57</f>
        <v>0.20827216867854428</v>
      </c>
      <c r="J13" s="497" t="s">
        <v>99</v>
      </c>
      <c r="K13" s="810" t="str">
        <f>IF(I13="",0-J14,(IF((I13-J14)&gt;0,"",I13-J14)))</f>
        <v/>
      </c>
    </row>
    <row r="14" spans="1:13" ht="24.75" customHeight="1">
      <c r="A14" s="814"/>
      <c r="B14" s="817"/>
      <c r="C14" s="818"/>
      <c r="D14" s="818"/>
      <c r="E14" s="819"/>
      <c r="F14" s="820" t="s">
        <v>566</v>
      </c>
      <c r="G14" s="821"/>
      <c r="H14" s="822"/>
      <c r="I14" s="803"/>
      <c r="J14" s="498">
        <v>0.06</v>
      </c>
      <c r="K14" s="811"/>
    </row>
    <row r="15" spans="1:13" s="496" customFormat="1">
      <c r="A15" s="222">
        <v>2</v>
      </c>
      <c r="B15" s="807" t="s">
        <v>567</v>
      </c>
      <c r="C15" s="808"/>
      <c r="D15" s="808"/>
      <c r="E15" s="808"/>
      <c r="F15" s="809"/>
      <c r="G15" s="809"/>
      <c r="H15" s="809"/>
      <c r="I15" s="809"/>
      <c r="J15" s="809"/>
      <c r="K15" s="809"/>
      <c r="M15" s="588"/>
    </row>
    <row r="16" spans="1:13" s="496" customFormat="1" ht="12.75" customHeight="1">
      <c r="A16" s="813" t="s">
        <v>101</v>
      </c>
      <c r="B16" s="833" t="s">
        <v>568</v>
      </c>
      <c r="C16" s="834"/>
      <c r="D16" s="834"/>
      <c r="E16" s="835"/>
      <c r="F16" s="836" t="s">
        <v>572</v>
      </c>
      <c r="G16" s="837"/>
      <c r="H16" s="838"/>
      <c r="I16" s="848">
        <f>+'[8]Liquidity Analysis'!$C$18</f>
        <v>0.11795865931801168</v>
      </c>
      <c r="J16" s="497" t="s">
        <v>99</v>
      </c>
      <c r="K16" s="810" t="str">
        <f>IF(I16="",0-J17,(IF((I16-J17)&gt;0,"",I16-J17)))</f>
        <v/>
      </c>
      <c r="M16" s="588"/>
    </row>
    <row r="17" spans="1:13" s="496" customFormat="1">
      <c r="A17" s="814"/>
      <c r="B17" s="817"/>
      <c r="C17" s="818"/>
      <c r="D17" s="818"/>
      <c r="E17" s="819"/>
      <c r="F17" s="820" t="s">
        <v>282</v>
      </c>
      <c r="G17" s="821"/>
      <c r="H17" s="822"/>
      <c r="I17" s="849"/>
      <c r="J17" s="498">
        <v>0.1</v>
      </c>
      <c r="K17" s="811"/>
      <c r="M17" s="588"/>
    </row>
    <row r="18" spans="1:13" s="33" customFormat="1" ht="15.75" customHeight="1">
      <c r="A18" s="839" t="s">
        <v>35</v>
      </c>
      <c r="B18" s="842" t="s">
        <v>569</v>
      </c>
      <c r="C18" s="843"/>
      <c r="D18" s="843"/>
      <c r="E18" s="499" t="s">
        <v>235</v>
      </c>
      <c r="F18" s="854" t="s">
        <v>572</v>
      </c>
      <c r="G18" s="855"/>
      <c r="H18" s="856"/>
      <c r="I18" s="673">
        <f>+'[8]Liquidity Analysis'!$C$24</f>
        <v>1.5643252540544548</v>
      </c>
      <c r="J18" s="860" t="s">
        <v>99</v>
      </c>
      <c r="K18" s="329" t="str">
        <f>IF(I18="",0-$J$20,(IF((I18-$J$20)&gt;0,"",I18-$J$20)))</f>
        <v/>
      </c>
      <c r="M18" s="585"/>
    </row>
    <row r="19" spans="1:13" s="33" customFormat="1" ht="15.75" customHeight="1">
      <c r="A19" s="840"/>
      <c r="B19" s="863"/>
      <c r="C19" s="864"/>
      <c r="D19" s="864"/>
      <c r="E19" s="500" t="s">
        <v>286</v>
      </c>
      <c r="F19" s="857"/>
      <c r="G19" s="858"/>
      <c r="H19" s="859"/>
      <c r="I19" s="673">
        <f>+'[8]Liquidity Analysis'!$D$24</f>
        <v>1.5014975675996978</v>
      </c>
      <c r="J19" s="861"/>
      <c r="K19" s="329" t="str">
        <f>IF(I19="",0-$J$20,(IF((I19-$J$20)&gt;0,"",I19-$J$20)))</f>
        <v/>
      </c>
      <c r="M19" s="585"/>
    </row>
    <row r="20" spans="1:13" s="33" customFormat="1" ht="15.75" customHeight="1">
      <c r="A20" s="841"/>
      <c r="B20" s="865"/>
      <c r="C20" s="866"/>
      <c r="D20" s="866"/>
      <c r="E20" s="500" t="s">
        <v>493</v>
      </c>
      <c r="F20" s="853" t="s">
        <v>573</v>
      </c>
      <c r="G20" s="853"/>
      <c r="H20" s="853"/>
      <c r="I20" s="673">
        <f>+'[8]Liquidity Analysis'!$E$24</f>
        <v>1.6585133943656556</v>
      </c>
      <c r="J20" s="229">
        <v>1</v>
      </c>
      <c r="K20" s="329" t="str">
        <f>IF(I20="",0-$J$20,(IF((I20-$J$20)&gt;0,"",I20-$J$20)))</f>
        <v/>
      </c>
      <c r="M20" s="585"/>
    </row>
    <row r="21" spans="1:13" s="33" customFormat="1" ht="15" customHeight="1">
      <c r="A21" s="839" t="s">
        <v>570</v>
      </c>
      <c r="B21" s="842" t="s">
        <v>571</v>
      </c>
      <c r="C21" s="843"/>
      <c r="D21" s="843"/>
      <c r="E21" s="499" t="s">
        <v>235</v>
      </c>
      <c r="F21" s="854" t="s">
        <v>574</v>
      </c>
      <c r="G21" s="855"/>
      <c r="H21" s="856"/>
      <c r="I21" s="673">
        <f>+'[8]Liquidity Analysis'!$C$29</f>
        <v>1.1427127760992468</v>
      </c>
      <c r="J21" s="860" t="s">
        <v>99</v>
      </c>
      <c r="K21" s="329" t="str">
        <f>IF(I21="",0-$J$23,(IF((I21-$J$23)&gt;0,"",I21-$J$23)))</f>
        <v/>
      </c>
      <c r="M21" s="585"/>
    </row>
    <row r="22" spans="1:13" s="33" customFormat="1" ht="15" customHeight="1">
      <c r="A22" s="840"/>
      <c r="B22" s="863"/>
      <c r="C22" s="864"/>
      <c r="D22" s="864"/>
      <c r="E22" s="500" t="s">
        <v>286</v>
      </c>
      <c r="F22" s="857"/>
      <c r="G22" s="858"/>
      <c r="H22" s="859"/>
      <c r="I22" s="673">
        <f>+'[8]Liquidity Analysis'!$D$29</f>
        <v>1.223181882289313</v>
      </c>
      <c r="J22" s="861"/>
      <c r="K22" s="329" t="str">
        <f>IF(I22="",0-$J$23,(IF((I22-$J$23)&gt;0,"",I22-$J$23)))</f>
        <v/>
      </c>
      <c r="M22" s="585"/>
    </row>
    <row r="23" spans="1:13" s="33" customFormat="1" ht="15" customHeight="1">
      <c r="A23" s="841"/>
      <c r="B23" s="865"/>
      <c r="C23" s="866"/>
      <c r="D23" s="866"/>
      <c r="E23" s="500" t="s">
        <v>493</v>
      </c>
      <c r="F23" s="853" t="s">
        <v>575</v>
      </c>
      <c r="G23" s="853"/>
      <c r="H23" s="853"/>
      <c r="I23" s="673">
        <f>+'[8]Liquidity Analysis'!$E$29</f>
        <v>0.91014987520247503</v>
      </c>
      <c r="J23" s="228">
        <v>1</v>
      </c>
      <c r="K23" s="329">
        <f>IF(I23="",0-$J$23,(IF((I23-$J$23)&gt;0,"",I23-$J$23)))</f>
        <v>-8.9850124797524966E-2</v>
      </c>
      <c r="M23" s="585"/>
    </row>
    <row r="24" spans="1:13" s="496" customFormat="1">
      <c r="A24" s="222">
        <v>3</v>
      </c>
      <c r="B24" s="851" t="s">
        <v>576</v>
      </c>
      <c r="C24" s="852"/>
      <c r="D24" s="852"/>
      <c r="E24" s="852"/>
      <c r="F24" s="809"/>
      <c r="G24" s="809"/>
      <c r="H24" s="809"/>
      <c r="I24" s="809"/>
      <c r="J24" s="809"/>
      <c r="K24" s="809"/>
      <c r="M24" s="588"/>
    </row>
    <row r="25" spans="1:13" ht="24" customHeight="1">
      <c r="A25" s="813" t="s">
        <v>102</v>
      </c>
      <c r="B25" s="842" t="s">
        <v>577</v>
      </c>
      <c r="C25" s="843"/>
      <c r="D25" s="843"/>
      <c r="E25" s="844"/>
      <c r="F25" s="886" t="s">
        <v>581</v>
      </c>
      <c r="G25" s="887"/>
      <c r="H25" s="888"/>
      <c r="I25" s="848">
        <f>IFERROR((+' Largest risk'!Z90/'[9]Bank Capital Calc'!$C$34),0)</f>
        <v>0.19697001141728801</v>
      </c>
      <c r="J25" s="230" t="s">
        <v>103</v>
      </c>
      <c r="K25" s="848" t="str">
        <f>IF(I25="","",IF(I25&lt;0,"ОТР",IF((I25-J26)&lt;0,"",I25-J26)))</f>
        <v/>
      </c>
    </row>
    <row r="26" spans="1:13">
      <c r="A26" s="814"/>
      <c r="B26" s="845"/>
      <c r="C26" s="846"/>
      <c r="D26" s="846"/>
      <c r="E26" s="847"/>
      <c r="F26" s="827" t="s">
        <v>564</v>
      </c>
      <c r="G26" s="828"/>
      <c r="H26" s="829"/>
      <c r="I26" s="849"/>
      <c r="J26" s="229">
        <v>0.25</v>
      </c>
      <c r="K26" s="850"/>
    </row>
    <row r="27" spans="1:13" s="33" customFormat="1" ht="28.5" customHeight="1">
      <c r="A27" s="839" t="s">
        <v>104</v>
      </c>
      <c r="B27" s="862" t="s">
        <v>578</v>
      </c>
      <c r="C27" s="843"/>
      <c r="D27" s="843"/>
      <c r="E27" s="844"/>
      <c r="F27" s="875" t="s">
        <v>582</v>
      </c>
      <c r="G27" s="879"/>
      <c r="H27" s="880"/>
      <c r="I27" s="868">
        <f>IFERROR((' Largest risk'!H33/'[9]Bank Capital Calc'!$C$34),0)</f>
        <v>0</v>
      </c>
      <c r="J27" s="230" t="s">
        <v>103</v>
      </c>
      <c r="K27" s="810" t="str">
        <f>IF(I27&lt;0,"ОТР",IF((I27-J28)&lt;0,"",I27-J28))</f>
        <v/>
      </c>
      <c r="M27" s="585" t="s">
        <v>784</v>
      </c>
    </row>
    <row r="28" spans="1:13" s="33" customFormat="1">
      <c r="A28" s="841"/>
      <c r="B28" s="857"/>
      <c r="C28" s="858"/>
      <c r="D28" s="858"/>
      <c r="E28" s="859"/>
      <c r="F28" s="827" t="s">
        <v>564</v>
      </c>
      <c r="G28" s="828"/>
      <c r="H28" s="829"/>
      <c r="I28" s="869"/>
      <c r="J28" s="229">
        <v>0.25</v>
      </c>
      <c r="K28" s="811"/>
      <c r="M28" s="585"/>
    </row>
    <row r="29" spans="1:13" s="33" customFormat="1" ht="36" customHeight="1">
      <c r="A29" s="839" t="s">
        <v>23</v>
      </c>
      <c r="B29" s="842" t="s">
        <v>579</v>
      </c>
      <c r="C29" s="843"/>
      <c r="D29" s="843"/>
      <c r="E29" s="844"/>
      <c r="F29" s="886" t="s">
        <v>583</v>
      </c>
      <c r="G29" s="887"/>
      <c r="H29" s="888"/>
      <c r="I29" s="868">
        <f>IFERROR((0/'[9]Bank Capital Calc'!$C$34),0)</f>
        <v>0</v>
      </c>
      <c r="J29" s="230" t="s">
        <v>103</v>
      </c>
      <c r="K29" s="810" t="str">
        <f>IF(I29&lt;0,"ОТР",IF((I29-J30)&lt;0,"",I29-J30))</f>
        <v/>
      </c>
      <c r="M29" s="585" t="s">
        <v>784</v>
      </c>
    </row>
    <row r="30" spans="1:13" s="33" customFormat="1">
      <c r="A30" s="841"/>
      <c r="B30" s="857"/>
      <c r="C30" s="858"/>
      <c r="D30" s="858"/>
      <c r="E30" s="859"/>
      <c r="F30" s="827" t="s">
        <v>564</v>
      </c>
      <c r="G30" s="828"/>
      <c r="H30" s="829"/>
      <c r="I30" s="869"/>
      <c r="J30" s="229">
        <v>0.05</v>
      </c>
      <c r="K30" s="811"/>
      <c r="M30" s="585"/>
    </row>
    <row r="31" spans="1:13" s="33" customFormat="1" ht="14.25" customHeight="1">
      <c r="A31" s="839" t="s">
        <v>165</v>
      </c>
      <c r="B31" s="873" t="s">
        <v>580</v>
      </c>
      <c r="C31" s="864"/>
      <c r="D31" s="864"/>
      <c r="E31" s="874"/>
      <c r="F31" s="870" t="s">
        <v>584</v>
      </c>
      <c r="G31" s="871"/>
      <c r="H31" s="872"/>
      <c r="I31" s="848">
        <f>IFERROR((+' Largest risk'!Z89/'[9]Bank Capital Calc'!$C$34),0)</f>
        <v>0.19697001141728801</v>
      </c>
      <c r="J31" s="228" t="s">
        <v>103</v>
      </c>
      <c r="K31" s="810" t="str">
        <f>IF(I31="","",IF(I31&lt;0,"ОТР",IF((I31-J32)&lt;0,"",I31-J32)))</f>
        <v/>
      </c>
      <c r="M31" s="585"/>
    </row>
    <row r="32" spans="1:13" s="33" customFormat="1">
      <c r="A32" s="841"/>
      <c r="B32" s="857"/>
      <c r="C32" s="858"/>
      <c r="D32" s="858"/>
      <c r="E32" s="859"/>
      <c r="F32" s="827" t="s">
        <v>564</v>
      </c>
      <c r="G32" s="828"/>
      <c r="H32" s="829"/>
      <c r="I32" s="849"/>
      <c r="J32" s="228">
        <v>5</v>
      </c>
      <c r="K32" s="811"/>
      <c r="M32" s="585"/>
    </row>
    <row r="33" spans="1:13" s="245" customFormat="1">
      <c r="A33" s="501">
        <v>4</v>
      </c>
      <c r="B33" s="885" t="s">
        <v>585</v>
      </c>
      <c r="C33" s="852"/>
      <c r="D33" s="852"/>
      <c r="E33" s="852"/>
      <c r="F33" s="809"/>
      <c r="G33" s="809"/>
      <c r="H33" s="809"/>
      <c r="I33" s="809"/>
      <c r="J33" s="809"/>
      <c r="K33" s="809"/>
      <c r="M33" s="589"/>
    </row>
    <row r="34" spans="1:13" s="33" customFormat="1" ht="12.75" customHeight="1">
      <c r="A34" s="839" t="s">
        <v>105</v>
      </c>
      <c r="B34" s="867" t="s">
        <v>586</v>
      </c>
      <c r="C34" s="855"/>
      <c r="D34" s="855"/>
      <c r="E34" s="856"/>
      <c r="F34" s="875" t="s">
        <v>589</v>
      </c>
      <c r="G34" s="879"/>
      <c r="H34" s="880"/>
      <c r="I34" s="868"/>
      <c r="J34" s="230" t="s">
        <v>103</v>
      </c>
      <c r="K34" s="810" t="str">
        <f>IF(I34&lt;0,"ОТР",IF((I34-J35)&lt;0,"",I34-J35))</f>
        <v/>
      </c>
      <c r="M34" s="585" t="s">
        <v>784</v>
      </c>
    </row>
    <row r="35" spans="1:13" s="33" customFormat="1">
      <c r="A35" s="841"/>
      <c r="B35" s="846"/>
      <c r="C35" s="846"/>
      <c r="D35" s="846"/>
      <c r="E35" s="847"/>
      <c r="F35" s="827" t="s">
        <v>564</v>
      </c>
      <c r="G35" s="828"/>
      <c r="H35" s="829"/>
      <c r="I35" s="869"/>
      <c r="J35" s="229">
        <v>0.15</v>
      </c>
      <c r="K35" s="811"/>
      <c r="M35" s="585"/>
    </row>
    <row r="36" spans="1:13" s="33" customFormat="1" ht="24.75" customHeight="1">
      <c r="A36" s="839" t="s">
        <v>25</v>
      </c>
      <c r="B36" s="867" t="s">
        <v>587</v>
      </c>
      <c r="C36" s="855"/>
      <c r="D36" s="855"/>
      <c r="E36" s="856"/>
      <c r="F36" s="875" t="s">
        <v>587</v>
      </c>
      <c r="G36" s="876"/>
      <c r="H36" s="877"/>
      <c r="I36" s="848">
        <f>IFERROR((+('[8]Investment Securities'!$B$22+'[8]Investment Securities'!$B$23+'[8]Investment Securities'!$B$24+'[8]Investment Securities'!$B$25-'[8]Investment Securities'!$B$28)/'[9]Bank Capital Calc'!$C$34),0)</f>
        <v>0</v>
      </c>
      <c r="J36" s="230" t="s">
        <v>103</v>
      </c>
      <c r="K36" s="810" t="str">
        <f>IF(I36="","",IF(I36&lt;0,"ОТР",IF((I36-J37)&lt;0,"",I36-J37)))</f>
        <v/>
      </c>
      <c r="M36" s="585"/>
    </row>
    <row r="37" spans="1:13" s="33" customFormat="1">
      <c r="A37" s="841"/>
      <c r="B37" s="846"/>
      <c r="C37" s="846"/>
      <c r="D37" s="846"/>
      <c r="E37" s="847"/>
      <c r="F37" s="870" t="s">
        <v>564</v>
      </c>
      <c r="G37" s="871"/>
      <c r="H37" s="872"/>
      <c r="I37" s="878"/>
      <c r="J37" s="229">
        <v>0.25</v>
      </c>
      <c r="K37" s="811"/>
      <c r="M37" s="585"/>
    </row>
    <row r="38" spans="1:13" s="33" customFormat="1" ht="36" customHeight="1">
      <c r="A38" s="839" t="s">
        <v>26</v>
      </c>
      <c r="B38" s="867" t="s">
        <v>588</v>
      </c>
      <c r="C38" s="855"/>
      <c r="D38" s="855"/>
      <c r="E38" s="856"/>
      <c r="F38" s="875" t="s">
        <v>590</v>
      </c>
      <c r="G38" s="876"/>
      <c r="H38" s="877"/>
      <c r="I38" s="848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Securities'!$B$28)/'[9]Bank Capital Calc'!$C$34),0)</f>
        <v>2.9683071289812385E-5</v>
      </c>
      <c r="J38" s="228" t="s">
        <v>103</v>
      </c>
      <c r="K38" s="810" t="str">
        <f>IF(I38="","",IF(I38&lt;0,"ОТР",IF((I38-J39)&lt;0,"",I38-J39)))</f>
        <v/>
      </c>
      <c r="M38" s="585"/>
    </row>
    <row r="39" spans="1:13" s="33" customFormat="1">
      <c r="A39" s="841"/>
      <c r="B39" s="846"/>
      <c r="C39" s="846"/>
      <c r="D39" s="846"/>
      <c r="E39" s="847"/>
      <c r="F39" s="870" t="s">
        <v>564</v>
      </c>
      <c r="G39" s="871"/>
      <c r="H39" s="872"/>
      <c r="I39" s="849"/>
      <c r="J39" s="228">
        <v>0.5</v>
      </c>
      <c r="K39" s="811"/>
      <c r="M39" s="585"/>
    </row>
    <row r="40" spans="1:13" s="245" customFormat="1">
      <c r="A40" s="501">
        <v>5</v>
      </c>
      <c r="B40" s="885" t="s">
        <v>591</v>
      </c>
      <c r="C40" s="852"/>
      <c r="D40" s="852"/>
      <c r="E40" s="852"/>
      <c r="F40" s="809"/>
      <c r="G40" s="809"/>
      <c r="H40" s="809"/>
      <c r="I40" s="809"/>
      <c r="J40" s="809"/>
      <c r="K40" s="809"/>
      <c r="M40" s="589"/>
    </row>
    <row r="41" spans="1:13" s="33" customFormat="1" ht="23.25" customHeight="1">
      <c r="A41" s="839" t="s">
        <v>106</v>
      </c>
      <c r="B41" s="881" t="s">
        <v>592</v>
      </c>
      <c r="C41" s="853"/>
      <c r="D41" s="853"/>
      <c r="E41" s="853"/>
      <c r="F41" s="875" t="s">
        <v>596</v>
      </c>
      <c r="G41" s="879"/>
      <c r="H41" s="880"/>
      <c r="I41" s="848">
        <f>IFERROR(((+'Transactions of related parties'!Z90-'[9]Bank Capital Calc'!$C$24)/'[9]Bank Capital Calc'!$C$34),0)</f>
        <v>1.1737075943835583E-4</v>
      </c>
      <c r="J41" s="230" t="s">
        <v>103</v>
      </c>
      <c r="K41" s="810" t="str">
        <f>IF(I41="","",IF(I41&lt;0,"ОТР",IF((I41-J42)&lt;0,"",I41-J42)))</f>
        <v/>
      </c>
      <c r="M41" s="585"/>
    </row>
    <row r="42" spans="1:13" s="33" customFormat="1">
      <c r="A42" s="841"/>
      <c r="B42" s="853"/>
      <c r="C42" s="853"/>
      <c r="D42" s="853"/>
      <c r="E42" s="853"/>
      <c r="F42" s="827" t="s">
        <v>564</v>
      </c>
      <c r="G42" s="828"/>
      <c r="H42" s="829"/>
      <c r="I42" s="884"/>
      <c r="J42" s="229">
        <v>0.25</v>
      </c>
      <c r="K42" s="811"/>
      <c r="M42" s="585"/>
    </row>
    <row r="43" spans="1:13" s="33" customFormat="1">
      <c r="A43" s="839" t="s">
        <v>218</v>
      </c>
      <c r="B43" s="881" t="s">
        <v>593</v>
      </c>
      <c r="C43" s="853"/>
      <c r="D43" s="853"/>
      <c r="E43" s="853"/>
      <c r="F43" s="865" t="s">
        <v>597</v>
      </c>
      <c r="G43" s="882"/>
      <c r="H43" s="883"/>
      <c r="I43" s="848">
        <f>IFERROR(((+'Transactions of related parties'!Z89-'[9]Bank Capital Calc'!$C$24)/'[9]Bank Capital Calc'!$C$34),0)</f>
        <v>3.1143172120686282E-4</v>
      </c>
      <c r="J43" s="228" t="s">
        <v>103</v>
      </c>
      <c r="K43" s="810" t="str">
        <f>IF(I43="","",IF(I43&lt;0,"ОТР",IF((I43-J44)&lt;0,"",I43-J44)))</f>
        <v/>
      </c>
      <c r="M43" s="585"/>
    </row>
    <row r="44" spans="1:13" s="33" customFormat="1">
      <c r="A44" s="841"/>
      <c r="B44" s="853"/>
      <c r="C44" s="853"/>
      <c r="D44" s="853"/>
      <c r="E44" s="853"/>
      <c r="F44" s="827" t="s">
        <v>564</v>
      </c>
      <c r="G44" s="828"/>
      <c r="H44" s="829"/>
      <c r="I44" s="884"/>
      <c r="J44" s="228">
        <v>0.5</v>
      </c>
      <c r="K44" s="811"/>
      <c r="M44" s="585"/>
    </row>
    <row r="45" spans="1:13" s="245" customFormat="1">
      <c r="A45" s="501">
        <v>6</v>
      </c>
      <c r="B45" s="885" t="s">
        <v>594</v>
      </c>
      <c r="C45" s="852"/>
      <c r="D45" s="852"/>
      <c r="E45" s="852"/>
      <c r="F45" s="809"/>
      <c r="G45" s="809"/>
      <c r="H45" s="809"/>
      <c r="I45" s="809"/>
      <c r="J45" s="809"/>
      <c r="K45" s="809"/>
      <c r="M45" s="589"/>
    </row>
    <row r="46" spans="1:13" s="33" customFormat="1">
      <c r="A46" s="839" t="s">
        <v>200</v>
      </c>
      <c r="B46" s="862" t="s">
        <v>595</v>
      </c>
      <c r="C46" s="855"/>
      <c r="D46" s="855"/>
      <c r="E46" s="856"/>
      <c r="F46" s="875" t="s">
        <v>598</v>
      </c>
      <c r="G46" s="879"/>
      <c r="H46" s="880"/>
      <c r="I46" s="868"/>
      <c r="J46" s="228" t="s">
        <v>103</v>
      </c>
      <c r="K46" s="810" t="str">
        <f>IF(I46="","",IF(I46&lt;0,"ОТР",IF((I46-J47)&lt;0,"",I46-J47)))</f>
        <v/>
      </c>
      <c r="M46" s="585" t="s">
        <v>784</v>
      </c>
    </row>
    <row r="47" spans="1:13" s="33" customFormat="1">
      <c r="A47" s="841"/>
      <c r="B47" s="857"/>
      <c r="C47" s="858"/>
      <c r="D47" s="858"/>
      <c r="E47" s="859"/>
      <c r="F47" s="827" t="s">
        <v>564</v>
      </c>
      <c r="G47" s="828"/>
      <c r="H47" s="829"/>
      <c r="I47" s="869"/>
      <c r="J47" s="229">
        <v>1</v>
      </c>
      <c r="K47" s="811"/>
      <c r="M47" s="585"/>
    </row>
    <row r="48" spans="1:13" s="33" customFormat="1">
      <c r="A48" s="231"/>
      <c r="J48" s="231"/>
      <c r="M48" s="585"/>
    </row>
    <row r="49" spans="1:30" ht="15" customHeight="1">
      <c r="A49" s="34"/>
      <c r="B49" s="239" t="s">
        <v>788</v>
      </c>
      <c r="C49" s="34"/>
      <c r="D49" s="34"/>
      <c r="E49" s="34"/>
      <c r="F49" s="349"/>
      <c r="G49" s="349"/>
      <c r="H49" s="349"/>
      <c r="I49" s="349"/>
      <c r="J49" s="349"/>
      <c r="K49" s="349"/>
      <c r="L49" s="349"/>
      <c r="M49" s="349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spans="1:30" ht="11.25" customHeight="1">
      <c r="A50" s="34"/>
      <c r="B50" s="239"/>
      <c r="C50" s="34"/>
      <c r="D50" s="34"/>
      <c r="E50" s="34"/>
      <c r="F50" s="349"/>
      <c r="G50" s="349"/>
      <c r="H50" s="349"/>
      <c r="I50" s="349"/>
      <c r="J50" s="349"/>
      <c r="K50" s="349"/>
      <c r="L50" s="349"/>
      <c r="M50" s="349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spans="1:30" ht="15" customHeight="1">
      <c r="A51" s="34"/>
      <c r="B51" s="239" t="s">
        <v>789</v>
      </c>
      <c r="C51" s="34"/>
      <c r="D51" s="34"/>
      <c r="E51" s="34"/>
      <c r="F51" s="349"/>
      <c r="G51" s="349"/>
      <c r="H51" s="349"/>
      <c r="I51" s="349"/>
      <c r="J51" s="349"/>
      <c r="K51" s="349"/>
      <c r="L51" s="349"/>
      <c r="M51" s="349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</sheetData>
  <sheetProtection password="CACA" sheet="1" objects="1" scenarios="1"/>
  <mergeCells count="121">
    <mergeCell ref="F41:H41"/>
    <mergeCell ref="I41:I42"/>
    <mergeCell ref="F42:H42"/>
    <mergeCell ref="B45:E45"/>
    <mergeCell ref="F45:K45"/>
    <mergeCell ref="F40:K40"/>
    <mergeCell ref="A16:A17"/>
    <mergeCell ref="B16:E17"/>
    <mergeCell ref="F16:H16"/>
    <mergeCell ref="F17:H17"/>
    <mergeCell ref="F25:H25"/>
    <mergeCell ref="F27:H27"/>
    <mergeCell ref="F29:H29"/>
    <mergeCell ref="F31:H31"/>
    <mergeCell ref="F34:H34"/>
    <mergeCell ref="I27:I28"/>
    <mergeCell ref="K27:K28"/>
    <mergeCell ref="F28:H28"/>
    <mergeCell ref="B29:E30"/>
    <mergeCell ref="I29:I30"/>
    <mergeCell ref="B21:D23"/>
    <mergeCell ref="B33:E33"/>
    <mergeCell ref="F33:K33"/>
    <mergeCell ref="K34:K35"/>
    <mergeCell ref="K38:K39"/>
    <mergeCell ref="F39:H39"/>
    <mergeCell ref="F38:H38"/>
    <mergeCell ref="I36:I37"/>
    <mergeCell ref="F36:H36"/>
    <mergeCell ref="A46:A47"/>
    <mergeCell ref="B46:E47"/>
    <mergeCell ref="F46:H46"/>
    <mergeCell ref="I46:I47"/>
    <mergeCell ref="K46:K47"/>
    <mergeCell ref="F47:H47"/>
    <mergeCell ref="I38:I39"/>
    <mergeCell ref="A43:A44"/>
    <mergeCell ref="B43:E44"/>
    <mergeCell ref="F43:H43"/>
    <mergeCell ref="A41:A42"/>
    <mergeCell ref="B41:E42"/>
    <mergeCell ref="I43:I44"/>
    <mergeCell ref="K43:K44"/>
    <mergeCell ref="F44:H44"/>
    <mergeCell ref="K41:K42"/>
    <mergeCell ref="B40:E40"/>
    <mergeCell ref="A38:A39"/>
    <mergeCell ref="B38:E39"/>
    <mergeCell ref="A18:A20"/>
    <mergeCell ref="F20:H20"/>
    <mergeCell ref="K13:K14"/>
    <mergeCell ref="F14:H14"/>
    <mergeCell ref="B18:D20"/>
    <mergeCell ref="F18:H19"/>
    <mergeCell ref="A29:A30"/>
    <mergeCell ref="J18:J19"/>
    <mergeCell ref="B36:E37"/>
    <mergeCell ref="B34:E35"/>
    <mergeCell ref="I34:I35"/>
    <mergeCell ref="K36:K37"/>
    <mergeCell ref="F37:H37"/>
    <mergeCell ref="F35:H35"/>
    <mergeCell ref="A34:A35"/>
    <mergeCell ref="A36:A37"/>
    <mergeCell ref="I16:I17"/>
    <mergeCell ref="K16:K17"/>
    <mergeCell ref="B31:E32"/>
    <mergeCell ref="I31:I32"/>
    <mergeCell ref="K31:K32"/>
    <mergeCell ref="F32:H32"/>
    <mergeCell ref="K29:K30"/>
    <mergeCell ref="F30:H30"/>
    <mergeCell ref="A21:A23"/>
    <mergeCell ref="A31:A32"/>
    <mergeCell ref="A25:A26"/>
    <mergeCell ref="B25:E26"/>
    <mergeCell ref="I25:I26"/>
    <mergeCell ref="K25:K26"/>
    <mergeCell ref="F26:H26"/>
    <mergeCell ref="B24:E24"/>
    <mergeCell ref="F24:K24"/>
    <mergeCell ref="F23:H23"/>
    <mergeCell ref="F21:H22"/>
    <mergeCell ref="J21:J22"/>
    <mergeCell ref="A27:A28"/>
    <mergeCell ref="B27:E28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</mergeCells>
  <phoneticPr fontId="15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7:I14 I31:I32 I36:I38 I16:I23 I46:I47 I41:I44" xr:uid="{00000000-0002-0000-0F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0F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1">
    <pageSetUpPr fitToPage="1"/>
  </sheetPr>
  <dimension ref="A1:AD30"/>
  <sheetViews>
    <sheetView view="pageBreakPreview" zoomScaleSheetLayoutView="100" workbookViewId="0">
      <pane xSplit="1" ySplit="2" topLeftCell="B17" activePane="bottomRight" state="frozen"/>
      <selection activeCell="C73" sqref="C73"/>
      <selection pane="topRight" activeCell="C73" sqref="C73"/>
      <selection pane="bottomLeft" activeCell="C73" sqref="C73"/>
      <selection pane="bottomRight" activeCell="B3" sqref="B3"/>
    </sheetView>
  </sheetViews>
  <sheetFormatPr defaultRowHeight="12.75"/>
  <cols>
    <col min="1" max="1" width="6" style="273" customWidth="1"/>
    <col min="2" max="2" width="71.85546875" style="519" customWidth="1"/>
    <col min="3" max="3" width="19.28515625" style="273" customWidth="1"/>
    <col min="4" max="16384" width="9.140625" style="273"/>
  </cols>
  <sheetData>
    <row r="1" spans="1:5" s="16" customFormat="1" ht="39.75" customHeight="1">
      <c r="B1" s="502" t="s">
        <v>599</v>
      </c>
      <c r="C1" s="17" t="s">
        <v>600</v>
      </c>
    </row>
    <row r="2" spans="1:5" s="16" customFormat="1" ht="35.25" customHeight="1">
      <c r="A2" s="224"/>
      <c r="B2" s="224" t="str">
        <f>+'Asset quality'!B3</f>
        <v>"МКБАНК"</v>
      </c>
      <c r="C2" s="554">
        <f>+'Economic Normatives'!I2</f>
        <v>44926</v>
      </c>
    </row>
    <row r="3" spans="1:5" s="16" customFormat="1" ht="32.25" customHeight="1">
      <c r="A3" s="503">
        <v>1</v>
      </c>
      <c r="B3" s="504" t="s">
        <v>601</v>
      </c>
      <c r="C3" s="19">
        <v>4283</v>
      </c>
    </row>
    <row r="4" spans="1:5" s="20" customFormat="1" ht="30" customHeight="1">
      <c r="A4" s="505" t="s">
        <v>47</v>
      </c>
      <c r="B4" s="506" t="s">
        <v>602</v>
      </c>
      <c r="C4" s="19">
        <v>3740</v>
      </c>
    </row>
    <row r="5" spans="1:5" s="20" customFormat="1" ht="30" customHeight="1">
      <c r="A5" s="505" t="s">
        <v>43</v>
      </c>
      <c r="B5" s="506" t="s">
        <v>603</v>
      </c>
      <c r="C5" s="19">
        <v>3394</v>
      </c>
    </row>
    <row r="6" spans="1:5" s="16" customFormat="1" ht="32.25" customHeight="1">
      <c r="A6" s="503">
        <v>2</v>
      </c>
      <c r="B6" s="504" t="s">
        <v>604</v>
      </c>
      <c r="C6" s="19">
        <f>+C8+C9+C10+C11</f>
        <v>178</v>
      </c>
    </row>
    <row r="7" spans="1:5" s="16" customFormat="1">
      <c r="A7" s="503"/>
      <c r="B7" s="507" t="s">
        <v>605</v>
      </c>
      <c r="C7" s="508"/>
    </row>
    <row r="8" spans="1:5" s="20" customFormat="1" ht="30" customHeight="1">
      <c r="A8" s="505" t="s">
        <v>47</v>
      </c>
      <c r="B8" s="506" t="s">
        <v>606</v>
      </c>
      <c r="C8" s="19">
        <v>65</v>
      </c>
    </row>
    <row r="9" spans="1:5" s="20" customFormat="1" ht="30" customHeight="1">
      <c r="A9" s="505" t="s">
        <v>43</v>
      </c>
      <c r="B9" s="506" t="s">
        <v>607</v>
      </c>
      <c r="C9" s="19">
        <v>0</v>
      </c>
    </row>
    <row r="10" spans="1:5" s="20" customFormat="1" ht="30" customHeight="1">
      <c r="A10" s="505" t="s">
        <v>45</v>
      </c>
      <c r="B10" s="506" t="s">
        <v>608</v>
      </c>
      <c r="C10" s="19">
        <v>28</v>
      </c>
    </row>
    <row r="11" spans="1:5" s="227" customFormat="1" ht="30" customHeight="1">
      <c r="A11" s="509" t="s">
        <v>52</v>
      </c>
      <c r="B11" s="510" t="s">
        <v>609</v>
      </c>
      <c r="C11" s="226">
        <v>85</v>
      </c>
    </row>
    <row r="12" spans="1:5" s="177" customFormat="1" ht="30" customHeight="1">
      <c r="A12" s="511">
        <v>3</v>
      </c>
      <c r="B12" s="512" t="s">
        <v>610</v>
      </c>
      <c r="C12" s="274">
        <f>C14+C15+C16</f>
        <v>1503511</v>
      </c>
    </row>
    <row r="13" spans="1:5" s="177" customFormat="1">
      <c r="A13" s="513"/>
      <c r="B13" s="514" t="s">
        <v>605</v>
      </c>
      <c r="C13" s="304"/>
    </row>
    <row r="14" spans="1:5" s="227" customFormat="1" ht="30" customHeight="1">
      <c r="A14" s="225" t="s">
        <v>47</v>
      </c>
      <c r="B14" s="514" t="s">
        <v>611</v>
      </c>
      <c r="C14" s="226">
        <v>1244346</v>
      </c>
    </row>
    <row r="15" spans="1:5" s="227" customFormat="1" ht="30" customHeight="1">
      <c r="A15" s="225" t="s">
        <v>43</v>
      </c>
      <c r="B15" s="514" t="s">
        <v>612</v>
      </c>
      <c r="C15" s="226">
        <v>13127</v>
      </c>
    </row>
    <row r="16" spans="1:5" s="227" customFormat="1" ht="30" customHeight="1">
      <c r="A16" s="225" t="s">
        <v>45</v>
      </c>
      <c r="B16" s="514" t="s">
        <v>613</v>
      </c>
      <c r="C16" s="275">
        <f>+C18+C19+C20+C21+C22</f>
        <v>246038</v>
      </c>
      <c r="E16" s="227" t="s">
        <v>785</v>
      </c>
    </row>
    <row r="17" spans="1:30" s="227" customFormat="1">
      <c r="A17" s="225"/>
      <c r="B17" s="514" t="s">
        <v>614</v>
      </c>
      <c r="C17" s="226"/>
      <c r="E17" s="227" t="s">
        <v>786</v>
      </c>
    </row>
    <row r="18" spans="1:30" s="227" customFormat="1" ht="30" customHeight="1">
      <c r="A18" s="225" t="s">
        <v>219</v>
      </c>
      <c r="B18" s="515" t="s">
        <v>615</v>
      </c>
      <c r="C18" s="226">
        <v>4402</v>
      </c>
    </row>
    <row r="19" spans="1:30" s="227" customFormat="1" ht="29.25" customHeight="1">
      <c r="A19" s="225" t="s">
        <v>219</v>
      </c>
      <c r="B19" s="515" t="s">
        <v>616</v>
      </c>
      <c r="C19" s="226">
        <v>18858</v>
      </c>
    </row>
    <row r="20" spans="1:30" s="227" customFormat="1" ht="30" customHeight="1">
      <c r="A20" s="225" t="s">
        <v>219</v>
      </c>
      <c r="B20" s="515" t="s">
        <v>617</v>
      </c>
      <c r="C20" s="226">
        <v>8504</v>
      </c>
    </row>
    <row r="21" spans="1:30" s="227" customFormat="1" ht="30" customHeight="1">
      <c r="A21" s="225" t="s">
        <v>219</v>
      </c>
      <c r="B21" s="515" t="s">
        <v>618</v>
      </c>
      <c r="C21" s="226">
        <v>10022</v>
      </c>
    </row>
    <row r="22" spans="1:30" s="227" customFormat="1" ht="30" customHeight="1">
      <c r="A22" s="225" t="s">
        <v>219</v>
      </c>
      <c r="B22" s="515" t="s">
        <v>619</v>
      </c>
      <c r="C22" s="226">
        <v>204252</v>
      </c>
    </row>
    <row r="23" spans="1:30" s="16" customFormat="1" ht="32.25" customHeight="1">
      <c r="A23" s="516">
        <v>4</v>
      </c>
      <c r="B23" s="517" t="s">
        <v>620</v>
      </c>
      <c r="C23" s="518" t="s">
        <v>846</v>
      </c>
    </row>
    <row r="24" spans="1:30" s="227" customFormat="1" ht="30" customHeight="1">
      <c r="A24" s="225" t="s">
        <v>47</v>
      </c>
      <c r="B24" s="514" t="s">
        <v>621</v>
      </c>
      <c r="C24" s="19" t="s">
        <v>845</v>
      </c>
    </row>
    <row r="25" spans="1:30" s="227" customFormat="1" ht="30" customHeight="1">
      <c r="A25" s="225" t="s">
        <v>43</v>
      </c>
      <c r="B25" s="514" t="s">
        <v>622</v>
      </c>
      <c r="C25" s="19" t="s">
        <v>846</v>
      </c>
    </row>
    <row r="26" spans="1:30" s="16" customFormat="1" ht="12" customHeight="1">
      <c r="B26" s="466"/>
    </row>
    <row r="27" spans="1:30" s="269" customFormat="1" ht="15" customHeight="1">
      <c r="A27" s="34"/>
      <c r="B27" s="239" t="s">
        <v>788</v>
      </c>
      <c r="C27" s="34"/>
      <c r="D27" s="34"/>
      <c r="E27" s="34"/>
      <c r="F27" s="349"/>
      <c r="G27" s="349"/>
      <c r="H27" s="349"/>
      <c r="I27" s="349"/>
      <c r="J27" s="349"/>
      <c r="K27" s="349"/>
      <c r="L27" s="349"/>
      <c r="M27" s="349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269" customFormat="1" ht="11.25" customHeight="1">
      <c r="A28" s="34"/>
      <c r="B28" s="239"/>
      <c r="C28" s="34"/>
      <c r="D28" s="34"/>
      <c r="E28" s="34"/>
      <c r="F28" s="349"/>
      <c r="G28" s="349"/>
      <c r="H28" s="349"/>
      <c r="I28" s="349"/>
      <c r="J28" s="349"/>
      <c r="K28" s="349"/>
      <c r="L28" s="349"/>
      <c r="M28" s="349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269" customFormat="1" ht="15" customHeight="1">
      <c r="A29" s="34"/>
      <c r="B29" s="239" t="s">
        <v>789</v>
      </c>
      <c r="C29" s="34"/>
      <c r="D29" s="34"/>
      <c r="E29" s="34"/>
      <c r="F29" s="349"/>
      <c r="G29" s="349"/>
      <c r="H29" s="349"/>
      <c r="I29" s="349"/>
      <c r="J29" s="349"/>
      <c r="K29" s="349"/>
      <c r="L29" s="349"/>
      <c r="M29" s="349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>
      <c r="A30" s="16"/>
      <c r="B30" s="399"/>
    </row>
  </sheetData>
  <sheetProtection password="CACA" sheet="1" objects="1" scenarios="1"/>
  <phoneticPr fontId="15" type="noConversion"/>
  <dataValidations count="1">
    <dataValidation type="whole" operator="greaterThanOrEqual" allowBlank="1" showErrorMessage="1" error="Введите как целое положительное число." sqref="C8 C4:C5" xr:uid="{00000000-0002-0000-10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1"/>
  <dimension ref="A1:AD54"/>
  <sheetViews>
    <sheetView view="pageBreakPreview" zoomScale="70" zoomScaleNormal="40" zoomScaleSheetLayoutView="70" workbookViewId="0">
      <pane xSplit="1" ySplit="3" topLeftCell="B11" activePane="bottomRight" state="frozen"/>
      <selection activeCell="C73" sqref="C73"/>
      <selection pane="topRight" activeCell="C73" sqref="C73"/>
      <selection pane="bottomLeft" activeCell="C73" sqref="C73"/>
      <selection pane="bottomRight" activeCell="A15" sqref="A15"/>
    </sheetView>
  </sheetViews>
  <sheetFormatPr defaultColWidth="97.7109375" defaultRowHeight="18.75"/>
  <cols>
    <col min="1" max="1" width="103.140625" style="206" customWidth="1"/>
    <col min="2" max="2" width="24.85546875" style="207" bestFit="1" customWidth="1"/>
    <col min="3" max="3" width="14.7109375" style="203" customWidth="1"/>
    <col min="4" max="4" width="16.5703125" style="334" customWidth="1"/>
    <col min="5" max="5" width="25.85546875" style="207" bestFit="1" customWidth="1"/>
    <col min="6" max="6" width="9.7109375" style="207" customWidth="1"/>
    <col min="7" max="7" width="10.7109375" style="203" bestFit="1" customWidth="1"/>
    <col min="8" max="9" width="9.7109375" style="203" customWidth="1"/>
    <col min="10" max="10" width="19.140625" style="203" bestFit="1" customWidth="1"/>
    <col min="11" max="11" width="10.140625" style="207" customWidth="1"/>
    <col min="12" max="13" width="19.5703125" style="203" customWidth="1"/>
    <col min="14" max="14" width="3.85546875" style="203" bestFit="1" customWidth="1"/>
    <col min="15" max="16" width="26.140625" style="203" customWidth="1"/>
    <col min="17" max="16384" width="97.7109375" style="203"/>
  </cols>
  <sheetData>
    <row r="1" spans="1:16" s="208" customFormat="1" ht="33.75" customHeight="1">
      <c r="A1" s="889" t="s">
        <v>623</v>
      </c>
      <c r="B1" s="889"/>
      <c r="D1" s="332"/>
    </row>
    <row r="2" spans="1:16" ht="20.25">
      <c r="A2" s="594" t="str">
        <f>+'Asset quality'!B3</f>
        <v>"МКБАНК"</v>
      </c>
      <c r="B2" s="350" t="str">
        <f>+'Asset quality'!T3</f>
        <v>минг. сўмда</v>
      </c>
      <c r="C2" s="210" t="s">
        <v>205</v>
      </c>
      <c r="D2" s="333"/>
      <c r="E2" s="233"/>
      <c r="F2" s="233"/>
      <c r="K2" s="203"/>
      <c r="M2" s="204"/>
    </row>
    <row r="3" spans="1:16" s="205" customFormat="1" ht="47.25" customHeight="1">
      <c r="A3" s="224" t="s">
        <v>624</v>
      </c>
      <c r="B3" s="327">
        <f>+'Asset quality'!Q3</f>
        <v>44926</v>
      </c>
      <c r="C3" s="223"/>
      <c r="D3" s="333"/>
      <c r="E3" s="233"/>
      <c r="F3" s="233"/>
      <c r="K3" s="210" t="s">
        <v>757</v>
      </c>
      <c r="L3" s="212" t="s">
        <v>203</v>
      </c>
      <c r="M3" s="210" t="s">
        <v>204</v>
      </c>
      <c r="N3" s="233"/>
      <c r="O3" s="211" t="s">
        <v>201</v>
      </c>
      <c r="P3" s="213" t="s">
        <v>202</v>
      </c>
    </row>
    <row r="4" spans="1:16" ht="37.5">
      <c r="A4" s="376" t="s">
        <v>625</v>
      </c>
      <c r="B4" s="218">
        <f>IFERROR((B5/B6),0)</f>
        <v>0.20714660234358159</v>
      </c>
      <c r="D4" s="333"/>
      <c r="E4" s="233"/>
      <c r="F4" s="233"/>
      <c r="G4" s="205"/>
      <c r="H4" s="205"/>
      <c r="I4" s="205"/>
      <c r="J4" s="377" t="s">
        <v>217</v>
      </c>
      <c r="K4" s="207">
        <v>1</v>
      </c>
      <c r="L4" s="246">
        <v>13483353628</v>
      </c>
      <c r="M4" s="246">
        <v>2321096230</v>
      </c>
      <c r="N4" s="233"/>
      <c r="O4" s="205"/>
      <c r="P4" s="205"/>
    </row>
    <row r="5" spans="1:16" ht="24" customHeight="1">
      <c r="A5" s="378" t="s">
        <v>562</v>
      </c>
      <c r="B5" s="219">
        <f>+'[9]Bank Capital Calc'!$C$44</f>
        <v>3735582422</v>
      </c>
      <c r="D5" s="333"/>
      <c r="E5" s="233"/>
      <c r="F5" s="233"/>
      <c r="G5" s="205"/>
      <c r="H5" s="205"/>
      <c r="I5" s="205"/>
      <c r="J5" s="377" t="s">
        <v>206</v>
      </c>
      <c r="K5" s="207">
        <v>2</v>
      </c>
      <c r="L5" s="246">
        <v>13355645909</v>
      </c>
      <c r="M5" s="246">
        <v>2336607348</v>
      </c>
      <c r="N5" s="203">
        <v>1</v>
      </c>
      <c r="O5" s="520">
        <f>+(L4+L5)/2</f>
        <v>13419499768.5</v>
      </c>
      <c r="P5" s="520">
        <f>+(M4+M5)/2</f>
        <v>2328851789</v>
      </c>
    </row>
    <row r="6" spans="1:16" ht="24" customHeight="1">
      <c r="A6" s="379" t="s">
        <v>626</v>
      </c>
      <c r="B6" s="220">
        <f>+'[9]Bank Capital Calc'!$C$45</f>
        <v>18033520124.090736</v>
      </c>
      <c r="D6" s="333"/>
      <c r="E6" s="233"/>
      <c r="F6" s="233"/>
      <c r="G6" s="205"/>
      <c r="H6" s="205"/>
      <c r="I6" s="205"/>
      <c r="J6" s="377" t="s">
        <v>207</v>
      </c>
      <c r="K6" s="207">
        <v>3</v>
      </c>
      <c r="L6" s="246">
        <v>13528129272</v>
      </c>
      <c r="M6" s="246">
        <v>3634612835</v>
      </c>
      <c r="N6" s="203">
        <v>2</v>
      </c>
      <c r="O6" s="520">
        <f>+(L4+L5+L6)/3</f>
        <v>13455709603</v>
      </c>
      <c r="P6" s="520">
        <f>+(M4+M5+M6)/3</f>
        <v>2764105471</v>
      </c>
    </row>
    <row r="7" spans="1:16" ht="37.5">
      <c r="A7" s="376" t="s">
        <v>627</v>
      </c>
      <c r="B7" s="218">
        <f>IFERROR((B8/B9),0)</f>
        <v>0.20030254110924048</v>
      </c>
      <c r="D7" s="333"/>
      <c r="E7" s="233"/>
      <c r="F7" s="233"/>
      <c r="G7" s="205"/>
      <c r="H7" s="205"/>
      <c r="I7" s="205"/>
      <c r="J7" s="377" t="s">
        <v>208</v>
      </c>
      <c r="K7" s="207">
        <v>4</v>
      </c>
      <c r="L7" s="246">
        <v>13596647560</v>
      </c>
      <c r="M7" s="246">
        <v>3637716492</v>
      </c>
      <c r="N7" s="203">
        <v>3</v>
      </c>
      <c r="O7" s="521">
        <f>+(L4+L7)/2</f>
        <v>13540000594</v>
      </c>
      <c r="P7" s="521">
        <f>+(M4+M7)/2</f>
        <v>2979406361</v>
      </c>
    </row>
    <row r="8" spans="1:16" ht="24" customHeight="1">
      <c r="A8" s="378" t="s">
        <v>564</v>
      </c>
      <c r="B8" s="219">
        <f>+'[9]Bank Capital Calc'!$C$34</f>
        <v>3612159906</v>
      </c>
      <c r="D8" s="333"/>
      <c r="E8" s="233"/>
      <c r="F8" s="233"/>
      <c r="G8" s="205"/>
      <c r="H8" s="205"/>
      <c r="I8" s="205"/>
      <c r="J8" s="377" t="s">
        <v>209</v>
      </c>
      <c r="K8" s="207">
        <v>5</v>
      </c>
      <c r="L8" s="246">
        <v>14012903132</v>
      </c>
      <c r="M8" s="246">
        <v>3644363767</v>
      </c>
      <c r="N8" s="203">
        <v>4</v>
      </c>
      <c r="O8" s="520">
        <f>+(+L4+L5+L6+L7+L8)/5</f>
        <v>13595335900.200001</v>
      </c>
      <c r="P8" s="520">
        <f>+(+M4+M5+M6+M7+M8)/5</f>
        <v>3114879334.4000001</v>
      </c>
    </row>
    <row r="9" spans="1:16" ht="24" customHeight="1">
      <c r="A9" s="379" t="s">
        <v>626</v>
      </c>
      <c r="B9" s="220">
        <f>+'[9]Bank Capital Calc'!$C$45</f>
        <v>18033520124.090736</v>
      </c>
      <c r="D9" s="333"/>
      <c r="E9" s="233"/>
      <c r="F9" s="233"/>
      <c r="G9" s="205"/>
      <c r="H9" s="205"/>
      <c r="I9" s="205"/>
      <c r="J9" s="377" t="s">
        <v>210</v>
      </c>
      <c r="K9" s="207">
        <v>6</v>
      </c>
      <c r="L9" s="246">
        <v>14281453135</v>
      </c>
      <c r="M9" s="246">
        <v>3653713217</v>
      </c>
      <c r="N9" s="203">
        <v>5</v>
      </c>
      <c r="O9" s="520">
        <f>+(+L4+L5+L6+L7+L8+L9)/6</f>
        <v>13709688772.666666</v>
      </c>
      <c r="P9" s="520">
        <f>+(+M4+M5+M6+M7+M8+M9)/6</f>
        <v>3204684981.5</v>
      </c>
    </row>
    <row r="10" spans="1:16" ht="24" customHeight="1">
      <c r="A10" s="376" t="s">
        <v>628</v>
      </c>
      <c r="B10" s="218">
        <f>IFERROR((B11/B12),0)</f>
        <v>0.11043944104408841</v>
      </c>
      <c r="D10" s="333"/>
      <c r="E10" s="233"/>
      <c r="F10" s="233"/>
      <c r="G10" s="205"/>
      <c r="H10" s="205"/>
      <c r="I10" s="205"/>
      <c r="J10" s="377" t="s">
        <v>211</v>
      </c>
      <c r="K10" s="207">
        <v>7</v>
      </c>
      <c r="L10" s="246">
        <v>14421103975</v>
      </c>
      <c r="M10" s="246">
        <v>3656393434</v>
      </c>
      <c r="N10" s="203">
        <v>6</v>
      </c>
      <c r="O10" s="521">
        <f>+(L4+L7+L10)/3</f>
        <v>13833701721</v>
      </c>
      <c r="P10" s="521">
        <f>+(M4+M7+M10)/3</f>
        <v>3205068718.6666665</v>
      </c>
    </row>
    <row r="11" spans="1:16" ht="24" customHeight="1">
      <c r="A11" s="378" t="s">
        <v>629</v>
      </c>
      <c r="B11" s="219">
        <f>+('Asset Classification'!M31-'Asset Classification'!O31+'Asset Classification'!Q31-'Asset Classification'!S31+'Asset Classification'!U31-'Asset Classification'!W31)</f>
        <v>402431503</v>
      </c>
      <c r="D11" s="333"/>
      <c r="E11" s="233"/>
      <c r="F11" s="233"/>
      <c r="G11" s="205"/>
      <c r="H11" s="205"/>
      <c r="I11" s="205"/>
      <c r="J11" s="377" t="s">
        <v>212</v>
      </c>
      <c r="K11" s="207">
        <v>8</v>
      </c>
      <c r="L11" s="246">
        <v>14578544566</v>
      </c>
      <c r="M11" s="246">
        <v>3666063908</v>
      </c>
      <c r="N11" s="203">
        <v>7</v>
      </c>
      <c r="O11" s="520">
        <f>(L4+L5+L6+L7+L8+L9+L10+L11)/8</f>
        <v>13907222647.125</v>
      </c>
      <c r="P11" s="520">
        <f>(M4+M5+M6+M7+M8+M9+M10+M11)/8</f>
        <v>3318820903.875</v>
      </c>
    </row>
    <row r="12" spans="1:16" ht="24" customHeight="1">
      <c r="A12" s="379" t="s">
        <v>630</v>
      </c>
      <c r="B12" s="220">
        <f>+B35</f>
        <v>3643911081</v>
      </c>
      <c r="D12" s="333"/>
      <c r="E12" s="233"/>
      <c r="F12" s="233"/>
      <c r="G12" s="205"/>
      <c r="H12" s="205"/>
      <c r="I12" s="205"/>
      <c r="J12" s="377" t="s">
        <v>213</v>
      </c>
      <c r="K12" s="207">
        <v>9</v>
      </c>
      <c r="L12" s="246">
        <v>14959038526</v>
      </c>
      <c r="M12" s="246">
        <v>3677378210</v>
      </c>
      <c r="N12" s="203">
        <v>8</v>
      </c>
      <c r="O12" s="520">
        <f>(L4+L5+L6+L7+L8+L9+L10+L11+L12)/9</f>
        <v>14024091078.111111</v>
      </c>
      <c r="P12" s="520">
        <f>(M4+M5+M6+M7+M8+M9+M10+M11+M12)/9</f>
        <v>3358660604.5555553</v>
      </c>
    </row>
    <row r="13" spans="1:16" ht="24" customHeight="1">
      <c r="A13" s="376" t="s">
        <v>631</v>
      </c>
      <c r="B13" s="218">
        <f>IFERROR((B14/B15),0)</f>
        <v>4.7711423160989926E-2</v>
      </c>
      <c r="D13" s="333"/>
      <c r="E13" s="233"/>
      <c r="F13" s="233"/>
      <c r="G13" s="205"/>
      <c r="H13" s="205"/>
      <c r="I13" s="205"/>
      <c r="J13" s="377" t="s">
        <v>214</v>
      </c>
      <c r="K13" s="207">
        <v>10</v>
      </c>
      <c r="L13" s="246">
        <v>15288346581</v>
      </c>
      <c r="M13" s="246">
        <v>3670877531</v>
      </c>
      <c r="N13" s="203">
        <v>9</v>
      </c>
      <c r="O13" s="521">
        <f>+(L4+L7+L10+L13)/4</f>
        <v>14197362936</v>
      </c>
      <c r="P13" s="521">
        <f>+(M4+M7+M10+M13)/4</f>
        <v>3321520921.75</v>
      </c>
    </row>
    <row r="14" spans="1:16" ht="24" customHeight="1">
      <c r="A14" s="378" t="s">
        <v>632</v>
      </c>
      <c r="B14" s="219">
        <f>+('Asset Classification'!M31+'Asset Classification'!Q31+'Asset Classification'!U31)</f>
        <v>635450498</v>
      </c>
      <c r="D14" s="333"/>
      <c r="E14" s="233"/>
      <c r="F14" s="233"/>
      <c r="G14" s="205"/>
      <c r="H14" s="205"/>
      <c r="I14" s="205"/>
      <c r="J14" s="377" t="s">
        <v>215</v>
      </c>
      <c r="K14" s="207">
        <v>11</v>
      </c>
      <c r="L14" s="246">
        <v>15460232131</v>
      </c>
      <c r="M14" s="246">
        <v>3650110298</v>
      </c>
      <c r="N14" s="203">
        <v>10</v>
      </c>
      <c r="O14" s="520">
        <f>(+L4+L5+L6+L7+L8+L9+L10+L11+L12+L13+L14)/11</f>
        <v>14269581674.09091</v>
      </c>
      <c r="P14" s="520">
        <f>(+M4+M5+M6+M7+M8+M9+M10+M11+M12+M13+M14)/11</f>
        <v>3413539388.181818</v>
      </c>
    </row>
    <row r="15" spans="1:16" ht="24" customHeight="1">
      <c r="A15" s="379" t="s">
        <v>633</v>
      </c>
      <c r="B15" s="220">
        <f>+'Loans Receivable'!C85</f>
        <v>13318623841</v>
      </c>
      <c r="D15" s="333"/>
      <c r="E15" s="233"/>
      <c r="F15" s="233"/>
      <c r="G15" s="205"/>
      <c r="H15" s="205"/>
      <c r="I15" s="205"/>
      <c r="J15" s="377" t="s">
        <v>216</v>
      </c>
      <c r="K15" s="207">
        <v>12</v>
      </c>
      <c r="L15" s="246">
        <v>16146759770</v>
      </c>
      <c r="M15" s="246">
        <v>3650943956</v>
      </c>
      <c r="N15" s="203">
        <v>11</v>
      </c>
      <c r="O15" s="520">
        <f>(+L4+L5+L6+L7+L8+L9+L10+L11+L12+L13+L14+L15)/12</f>
        <v>14426013182.083334</v>
      </c>
      <c r="P15" s="520">
        <f>(+M4+M5+M6+M7+M8+M9+M10+M11+M12+M13+M14+M15)/12</f>
        <v>3433323102.1666665</v>
      </c>
    </row>
    <row r="16" spans="1:16" ht="24" customHeight="1">
      <c r="A16" s="376" t="s">
        <v>634</v>
      </c>
      <c r="B16" s="218">
        <f>IFERROR((B17/B18),0)</f>
        <v>3.5321078150022012E-3</v>
      </c>
      <c r="D16" s="333"/>
      <c r="E16" s="233"/>
      <c r="F16" s="233"/>
      <c r="G16" s="205"/>
      <c r="H16" s="205"/>
      <c r="I16" s="205"/>
      <c r="J16" s="377" t="s">
        <v>217</v>
      </c>
      <c r="K16" s="207">
        <v>13</v>
      </c>
      <c r="L16" s="246">
        <v>16782496965</v>
      </c>
      <c r="M16" s="246">
        <v>3643911081</v>
      </c>
      <c r="N16" s="203">
        <v>12</v>
      </c>
      <c r="O16" s="521">
        <f>+(L4+L7+L10+L13+L16)/5</f>
        <v>14714389741.799999</v>
      </c>
      <c r="P16" s="521">
        <f>+(M4+M7+M10+M13+M16)/5</f>
        <v>3385998953.5999999</v>
      </c>
    </row>
    <row r="17" spans="1:16" ht="24" customHeight="1">
      <c r="A17" s="378" t="s">
        <v>635</v>
      </c>
      <c r="B17" s="219">
        <f>(+'Income '!C71)/MONTH(B3)*12</f>
        <v>51972811</v>
      </c>
      <c r="C17" s="217"/>
      <c r="D17" s="333"/>
      <c r="E17" s="233"/>
      <c r="F17" s="233"/>
      <c r="G17" s="205"/>
      <c r="H17" s="205"/>
      <c r="I17" s="205"/>
      <c r="J17" s="334"/>
      <c r="K17" s="203"/>
      <c r="O17" s="520"/>
      <c r="P17" s="520"/>
    </row>
    <row r="18" spans="1:16" ht="24" customHeight="1">
      <c r="A18" s="379" t="s">
        <v>636</v>
      </c>
      <c r="B18" s="220">
        <f>VLOOKUP(MONTH(B3),$N$4:$P$16,2,0)</f>
        <v>14714389741.799999</v>
      </c>
      <c r="D18" s="333"/>
      <c r="E18" s="233"/>
      <c r="F18" s="233"/>
      <c r="G18" s="205"/>
      <c r="H18" s="205"/>
      <c r="I18" s="205"/>
      <c r="J18" s="334"/>
      <c r="K18" s="203"/>
    </row>
    <row r="19" spans="1:16" ht="24" customHeight="1">
      <c r="A19" s="380" t="s">
        <v>637</v>
      </c>
      <c r="B19" s="218">
        <f>IFERROR((B20/B21),0)</f>
        <v>6.2949414019570831E-3</v>
      </c>
      <c r="D19" s="333"/>
      <c r="E19" s="233"/>
      <c r="F19" s="233"/>
      <c r="G19" s="205"/>
      <c r="H19" s="205"/>
      <c r="I19" s="205"/>
      <c r="K19" s="203"/>
    </row>
    <row r="20" spans="1:16" ht="24" customHeight="1">
      <c r="A20" s="381" t="s">
        <v>638</v>
      </c>
      <c r="B20" s="219">
        <f>(+'Income '!C78)/MONTH(B3)*12</f>
        <v>21314665</v>
      </c>
      <c r="D20" s="333"/>
      <c r="E20" s="233"/>
      <c r="F20" s="233"/>
      <c r="G20" s="205"/>
      <c r="H20" s="205"/>
      <c r="I20" s="205"/>
      <c r="K20" s="203"/>
    </row>
    <row r="21" spans="1:16" ht="24" customHeight="1">
      <c r="A21" s="382" t="s">
        <v>639</v>
      </c>
      <c r="B21" s="220">
        <f>VLOOKUP(MONTH(B3),$N$4:$P$16,3,0)</f>
        <v>3385998953.5999999</v>
      </c>
      <c r="D21" s="333"/>
      <c r="E21" s="233"/>
      <c r="F21" s="233"/>
      <c r="G21" s="205"/>
      <c r="H21" s="205"/>
      <c r="I21" s="205"/>
      <c r="K21" s="203"/>
    </row>
    <row r="22" spans="1:16" ht="24" customHeight="1">
      <c r="A22" s="380" t="s">
        <v>640</v>
      </c>
      <c r="B22" s="218">
        <f>IFERROR((B23/B24),0)</f>
        <v>0.48363334938069191</v>
      </c>
      <c r="D22" s="333"/>
      <c r="E22" s="233"/>
      <c r="F22" s="233"/>
      <c r="G22" s="205"/>
      <c r="H22" s="205"/>
      <c r="I22" s="205"/>
      <c r="K22" s="203"/>
    </row>
    <row r="23" spans="1:16" ht="24" customHeight="1">
      <c r="A23" s="381" t="s">
        <v>641</v>
      </c>
      <c r="B23" s="219">
        <f>+'Income '!C29</f>
        <v>830742596</v>
      </c>
      <c r="D23" s="333"/>
      <c r="E23" s="233"/>
      <c r="F23" s="233"/>
      <c r="G23" s="205"/>
      <c r="H23" s="205"/>
      <c r="I23" s="205"/>
      <c r="K23" s="203"/>
    </row>
    <row r="24" spans="1:16" ht="24" customHeight="1">
      <c r="A24" s="382" t="s">
        <v>642</v>
      </c>
      <c r="B24" s="220">
        <f>+B27</f>
        <v>1717711562</v>
      </c>
      <c r="D24" s="333"/>
      <c r="E24" s="233"/>
      <c r="F24" s="233"/>
      <c r="G24" s="205"/>
      <c r="H24" s="205"/>
      <c r="I24" s="205"/>
      <c r="K24" s="203"/>
    </row>
    <row r="25" spans="1:16" ht="24" customHeight="1">
      <c r="A25" s="380" t="s">
        <v>643</v>
      </c>
      <c r="B25" s="218">
        <f>IFERROR((B26/B27),0)</f>
        <v>0.66069787798284607</v>
      </c>
      <c r="D25" s="333"/>
      <c r="E25" s="233"/>
      <c r="F25" s="233"/>
      <c r="G25" s="205"/>
      <c r="H25" s="205"/>
      <c r="I25" s="205"/>
      <c r="K25" s="203"/>
    </row>
    <row r="26" spans="1:16" ht="24" customHeight="1">
      <c r="A26" s="381" t="s">
        <v>644</v>
      </c>
      <c r="B26" s="219">
        <f>+'Income '!C53+'Income '!C69</f>
        <v>1134888384</v>
      </c>
      <c r="D26" s="333"/>
      <c r="E26" s="233"/>
      <c r="F26" s="233"/>
      <c r="G26" s="205"/>
      <c r="H26" s="205"/>
      <c r="I26" s="205"/>
      <c r="K26" s="203"/>
    </row>
    <row r="27" spans="1:16" ht="24" customHeight="1">
      <c r="A27" s="382" t="s">
        <v>642</v>
      </c>
      <c r="B27" s="220">
        <f>+'Income '!C29+'Income '!C45</f>
        <v>1717711562</v>
      </c>
      <c r="D27" s="333"/>
      <c r="E27" s="233"/>
      <c r="F27" s="233"/>
      <c r="G27" s="205"/>
      <c r="H27" s="205"/>
      <c r="I27" s="205"/>
      <c r="K27" s="203"/>
    </row>
    <row r="28" spans="1:16" ht="24" customHeight="1">
      <c r="A28" s="380" t="s">
        <v>645</v>
      </c>
      <c r="B28" s="218">
        <f>IFERROR((B29/B30),0)</f>
        <v>0.12060268249838471</v>
      </c>
      <c r="D28" s="333"/>
      <c r="E28" s="233"/>
      <c r="F28" s="233"/>
      <c r="G28" s="205"/>
      <c r="H28" s="205"/>
      <c r="I28" s="205"/>
      <c r="K28" s="203"/>
    </row>
    <row r="29" spans="1:16" ht="24" customHeight="1">
      <c r="A29" s="381" t="s">
        <v>646</v>
      </c>
      <c r="B29" s="219">
        <f>+B32</f>
        <v>2024014153</v>
      </c>
      <c r="D29" s="333"/>
      <c r="E29" s="233"/>
      <c r="F29" s="233"/>
      <c r="G29" s="205"/>
      <c r="H29" s="205"/>
      <c r="I29" s="205"/>
      <c r="K29" s="203"/>
    </row>
    <row r="30" spans="1:16" ht="24" customHeight="1">
      <c r="A30" s="382" t="s">
        <v>282</v>
      </c>
      <c r="B30" s="220">
        <f>+B36</f>
        <v>16782496965</v>
      </c>
      <c r="D30" s="333"/>
      <c r="E30" s="233"/>
      <c r="F30" s="233"/>
      <c r="G30" s="205"/>
      <c r="H30" s="205"/>
      <c r="I30" s="205"/>
      <c r="K30" s="203"/>
    </row>
    <row r="31" spans="1:16" ht="24" customHeight="1">
      <c r="A31" s="380" t="s">
        <v>647</v>
      </c>
      <c r="B31" s="218">
        <f>IFERROR((B29/B33),0)</f>
        <v>0.30564862426066047</v>
      </c>
      <c r="D31" s="333"/>
      <c r="E31" s="233"/>
      <c r="F31" s="233"/>
      <c r="G31" s="205"/>
      <c r="H31" s="205"/>
      <c r="I31" s="205"/>
      <c r="K31" s="203"/>
    </row>
    <row r="32" spans="1:16" ht="24" customHeight="1">
      <c r="A32" s="381" t="s">
        <v>646</v>
      </c>
      <c r="B32" s="219">
        <f>+B54</f>
        <v>2024014153</v>
      </c>
      <c r="D32" s="333"/>
      <c r="E32" s="233"/>
      <c r="F32" s="233"/>
      <c r="G32" s="205"/>
      <c r="H32" s="205"/>
      <c r="I32" s="205"/>
      <c r="K32" s="203"/>
    </row>
    <row r="33" spans="1:30" ht="24" customHeight="1">
      <c r="A33" s="382" t="s">
        <v>648</v>
      </c>
      <c r="B33" s="220">
        <f>+('[8]Bank Liabilities Analysis'!$C$40+'[8]Bank Liabilities Analysis'!$E$40+'[8]Bank Liabilities Analysis'!$G$40+'[8]Bank Liabilities Analysis'!$I$40+'[8]Bank Liabilities Analysis'!$K$40+'[8]Bank Liabilities Analysis'!$M$40)</f>
        <v>6622029325</v>
      </c>
      <c r="D33" s="333"/>
      <c r="E33" s="233"/>
      <c r="F33" s="233"/>
      <c r="G33" s="205"/>
      <c r="H33" s="205"/>
      <c r="I33" s="205"/>
      <c r="K33" s="203"/>
    </row>
    <row r="34" spans="1:30" ht="24" customHeight="1">
      <c r="A34" s="380" t="s">
        <v>649</v>
      </c>
      <c r="B34" s="218">
        <f>IFERROR((B35/B36),0)</f>
        <v>0.21712568091621878</v>
      </c>
      <c r="D34" s="333"/>
      <c r="E34" s="233"/>
      <c r="F34" s="233"/>
      <c r="G34" s="205"/>
      <c r="H34" s="205"/>
      <c r="I34" s="205"/>
      <c r="K34" s="203"/>
    </row>
    <row r="35" spans="1:30" ht="24" customHeight="1">
      <c r="A35" s="381" t="s">
        <v>630</v>
      </c>
      <c r="B35" s="219">
        <f>+[8]Balance!$C$78</f>
        <v>3643911081</v>
      </c>
      <c r="D35" s="333"/>
      <c r="E35" s="233"/>
      <c r="F35" s="233"/>
      <c r="G35" s="205"/>
      <c r="H35" s="205"/>
      <c r="I35" s="205"/>
      <c r="K35" s="203"/>
    </row>
    <row r="36" spans="1:30" ht="24" customHeight="1">
      <c r="A36" s="382" t="s">
        <v>282</v>
      </c>
      <c r="B36" s="220">
        <f>+[8]Balance!$C$47</f>
        <v>16782496965</v>
      </c>
      <c r="D36" s="333"/>
      <c r="E36" s="233"/>
      <c r="F36" s="233"/>
      <c r="G36" s="205"/>
      <c r="H36" s="205"/>
      <c r="I36" s="205"/>
      <c r="K36" s="203"/>
    </row>
    <row r="37" spans="1:30" ht="24" customHeight="1">
      <c r="A37" s="380" t="s">
        <v>650</v>
      </c>
      <c r="B37" s="218">
        <f>IFERROR((B38/B39),0)</f>
        <v>7.4007185961846467E-2</v>
      </c>
      <c r="D37" s="333"/>
      <c r="E37" s="233"/>
      <c r="F37" s="233"/>
      <c r="G37" s="205"/>
      <c r="H37" s="205"/>
      <c r="I37" s="205"/>
      <c r="K37" s="203"/>
    </row>
    <row r="38" spans="1:30" ht="24" customHeight="1">
      <c r="A38" s="381" t="s">
        <v>651</v>
      </c>
      <c r="B38" s="219">
        <f>+'[9]Calculation of Risk'!$C$26</f>
        <v>269675605</v>
      </c>
      <c r="D38" s="333"/>
      <c r="E38" s="233"/>
      <c r="F38" s="233"/>
      <c r="G38" s="205"/>
      <c r="H38" s="205"/>
      <c r="I38" s="205"/>
      <c r="K38" s="203"/>
    </row>
    <row r="39" spans="1:30" ht="24" customHeight="1">
      <c r="A39" s="382" t="s">
        <v>630</v>
      </c>
      <c r="B39" s="220">
        <f>+B35</f>
        <v>3643911081</v>
      </c>
      <c r="D39" s="333"/>
      <c r="E39" s="233"/>
      <c r="F39" s="233"/>
      <c r="G39" s="205"/>
      <c r="H39" s="205"/>
      <c r="I39" s="205"/>
      <c r="K39" s="203"/>
    </row>
    <row r="40" spans="1:30">
      <c r="E40" s="203"/>
      <c r="F40" s="203"/>
      <c r="K40" s="203"/>
    </row>
    <row r="41" spans="1:30" s="269" customFormat="1" ht="18">
      <c r="A41" s="593" t="s">
        <v>788</v>
      </c>
      <c r="C41" s="34"/>
      <c r="D41" s="34"/>
      <c r="E41" s="34"/>
      <c r="F41" s="349"/>
      <c r="G41" s="349"/>
      <c r="H41" s="349"/>
      <c r="I41" s="349"/>
      <c r="J41" s="349"/>
      <c r="K41" s="349"/>
      <c r="L41" s="349"/>
      <c r="M41" s="349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spans="1:30" s="269" customFormat="1" ht="11.25" customHeight="1">
      <c r="A42" s="593"/>
      <c r="C42" s="34"/>
      <c r="D42" s="34"/>
      <c r="E42" s="34"/>
      <c r="F42" s="349"/>
      <c r="G42" s="349"/>
      <c r="H42" s="349"/>
      <c r="I42" s="349"/>
      <c r="J42" s="349"/>
      <c r="K42" s="349"/>
      <c r="L42" s="349"/>
      <c r="M42" s="349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spans="1:30" s="269" customFormat="1" ht="18">
      <c r="A43" s="593" t="s">
        <v>789</v>
      </c>
      <c r="C43" s="34"/>
      <c r="D43" s="34"/>
      <c r="E43" s="34"/>
      <c r="F43" s="349"/>
      <c r="G43" s="349"/>
      <c r="H43" s="349"/>
      <c r="I43" s="349"/>
      <c r="J43" s="349"/>
      <c r="K43" s="349"/>
      <c r="L43" s="349"/>
      <c r="M43" s="349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spans="1:30" s="201" customFormat="1" ht="15.75">
      <c r="A44" s="200"/>
      <c r="D44" s="335"/>
      <c r="J44" s="199"/>
    </row>
    <row r="46" spans="1:30">
      <c r="A46" s="115" t="s">
        <v>758</v>
      </c>
      <c r="B46" s="115" t="s">
        <v>235</v>
      </c>
    </row>
    <row r="47" spans="1:30" s="33" customFormat="1" ht="13.5" customHeight="1">
      <c r="A47" s="209" t="s">
        <v>759</v>
      </c>
      <c r="B47" s="580">
        <f>+'[8]Liquidity Analysis'!C51</f>
        <v>550033507</v>
      </c>
      <c r="C47" s="203"/>
      <c r="D47" s="334"/>
      <c r="E47" s="207"/>
      <c r="F47" s="214"/>
      <c r="G47" s="214"/>
      <c r="H47" s="215"/>
      <c r="I47" s="215"/>
      <c r="J47" s="214"/>
      <c r="K47" s="214"/>
      <c r="L47" s="214"/>
    </row>
    <row r="48" spans="1:30" s="33" customFormat="1" ht="13.5" customHeight="1">
      <c r="A48" s="209" t="s">
        <v>760</v>
      </c>
      <c r="B48" s="580">
        <f>+'[8]Liquidity Analysis'!C52</f>
        <v>425539397</v>
      </c>
      <c r="C48" s="203"/>
      <c r="D48" s="334"/>
      <c r="E48" s="207"/>
      <c r="F48" s="214"/>
      <c r="G48" s="214"/>
      <c r="H48" s="215"/>
      <c r="I48" s="215"/>
      <c r="J48" s="214"/>
      <c r="K48" s="214"/>
      <c r="L48" s="214"/>
    </row>
    <row r="49" spans="1:12" s="33" customFormat="1" ht="13.5" customHeight="1">
      <c r="A49" s="209" t="s">
        <v>761</v>
      </c>
      <c r="B49" s="580">
        <f>+'[8]Liquidity Analysis'!C53</f>
        <v>590041249</v>
      </c>
      <c r="C49" s="203"/>
      <c r="D49" s="334"/>
      <c r="E49" s="207"/>
      <c r="F49" s="214"/>
      <c r="G49" s="214"/>
      <c r="H49" s="215"/>
      <c r="I49" s="215"/>
      <c r="J49" s="214"/>
      <c r="K49" s="214"/>
      <c r="L49" s="214"/>
    </row>
    <row r="50" spans="1:12" s="33" customFormat="1" ht="13.5" customHeight="1">
      <c r="A50" s="209" t="s">
        <v>762</v>
      </c>
      <c r="B50" s="580">
        <f>+'[8]Liquidity Analysis'!C54</f>
        <v>0</v>
      </c>
      <c r="C50" s="203"/>
      <c r="D50" s="334"/>
      <c r="E50" s="207"/>
      <c r="F50" s="216"/>
      <c r="G50" s="216"/>
      <c r="H50" s="216"/>
      <c r="I50" s="215"/>
      <c r="J50" s="214"/>
      <c r="K50" s="214"/>
      <c r="L50" s="214"/>
    </row>
    <row r="51" spans="1:12" s="33" customFormat="1" ht="27.75" customHeight="1">
      <c r="A51" s="209" t="s">
        <v>763</v>
      </c>
      <c r="B51" s="580">
        <f>+'[8]Liquidity Analysis'!C55</f>
        <v>458400000</v>
      </c>
      <c r="C51" s="203"/>
      <c r="D51" s="334"/>
      <c r="E51" s="207"/>
      <c r="F51" s="214"/>
      <c r="G51" s="214"/>
      <c r="H51" s="215"/>
      <c r="I51" s="215"/>
      <c r="J51" s="214"/>
      <c r="K51" s="214"/>
      <c r="L51" s="214"/>
    </row>
    <row r="52" spans="1:12" s="33" customFormat="1" ht="13.5" customHeight="1">
      <c r="A52" s="209" t="s">
        <v>764</v>
      </c>
      <c r="B52" s="580">
        <f>+'[8]Liquidity Analysis'!C56</f>
        <v>0</v>
      </c>
      <c r="C52" s="203"/>
      <c r="D52" s="334"/>
      <c r="E52" s="207"/>
      <c r="F52" s="214"/>
      <c r="G52" s="214"/>
      <c r="H52" s="215"/>
      <c r="I52" s="215"/>
      <c r="J52" s="214"/>
      <c r="K52" s="214"/>
      <c r="L52" s="214"/>
    </row>
    <row r="53" spans="1:12" s="33" customFormat="1" ht="13.5" customHeight="1">
      <c r="A53" s="209" t="s">
        <v>765</v>
      </c>
      <c r="B53" s="580">
        <f>+'[8]Liquidity Analysis'!C57</f>
        <v>0</v>
      </c>
      <c r="C53" s="203"/>
      <c r="D53" s="334"/>
      <c r="E53" s="207"/>
      <c r="F53" s="214"/>
      <c r="G53" s="214"/>
      <c r="H53" s="215"/>
      <c r="I53" s="215"/>
      <c r="J53" s="214"/>
      <c r="K53" s="214"/>
      <c r="L53" s="214"/>
    </row>
    <row r="54" spans="1:12" s="33" customFormat="1" ht="13.5" customHeight="1">
      <c r="A54" s="221" t="s">
        <v>766</v>
      </c>
      <c r="B54" s="628">
        <f>+'[8]Liquidity Analysis'!C58</f>
        <v>2024014153</v>
      </c>
      <c r="C54" s="203"/>
      <c r="D54" s="334"/>
      <c r="E54" s="207"/>
      <c r="F54" s="214"/>
      <c r="G54" s="214"/>
      <c r="H54" s="215"/>
      <c r="I54" s="216"/>
      <c r="J54" s="214"/>
      <c r="K54" s="214"/>
      <c r="L54" s="214"/>
    </row>
  </sheetData>
  <sheetProtection password="CACA" sheet="1" objects="1" scenarios="1"/>
  <mergeCells count="1">
    <mergeCell ref="A1:B1"/>
  </mergeCells>
  <conditionalFormatting sqref="B34 B37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 xr:uid="{00000000-0002-0000-11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</vt:i4>
      </vt:variant>
    </vt:vector>
  </HeadingPairs>
  <TitlesOfParts>
    <vt:vector size="36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Пользователь</cp:lastModifiedBy>
  <cp:lastPrinted>2023-06-12T12:15:50Z</cp:lastPrinted>
  <dcterms:created xsi:type="dcterms:W3CDTF">2014-01-27T05:06:32Z</dcterms:created>
  <dcterms:modified xsi:type="dcterms:W3CDTF">2024-12-11T09:49:40Z</dcterms:modified>
</cp:coreProperties>
</file>