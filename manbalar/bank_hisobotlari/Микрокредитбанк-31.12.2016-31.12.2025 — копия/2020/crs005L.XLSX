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Kichik biznes\2_SHARIPOV JAMSHID_1186\21 талик\2021\"/>
    </mc:Choice>
  </mc:AlternateContent>
  <workbookProtection workbookPassword="CB5C" lockStructure="1"/>
  <bookViews>
    <workbookView xWindow="-120" yWindow="-120" windowWidth="29040" windowHeight="15840" tabRatio="889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Е" localSheetId="1">#REF!</definedName>
    <definedName name="_xlnm.Print_Area" localSheetId="0">Balance!$A$1:$E$82</definedName>
    <definedName name="_xlnm.Print_Area" localSheetId="3">'Bank Assets Analysis'!$A$1:$AE$55</definedName>
    <definedName name="_xlnm.Print_Area" localSheetId="4">'Bank Assets Analysis (нац)'!$A$1:$Q$55</definedName>
    <definedName name="_xlnm.Print_Area" localSheetId="1">'Bank Capital Calc (2)'!$A$1:$C$55</definedName>
    <definedName name="_xlnm.Print_Area" localSheetId="5">'Bank Liabilities Analysis'!$A$1:$AC$59</definedName>
    <definedName name="_xlnm.Print_Area" localSheetId="6">'Bank Liabilities Analysis (нац)'!$A$1:$O$60</definedName>
    <definedName name="_xlnm.Print_Area" localSheetId="7">Commitments!$A$1:$E$30</definedName>
    <definedName name="_xlnm.Print_Area" localSheetId="8">'Deposits by Client'!$A$1:$D$27</definedName>
    <definedName name="_xlnm.Print_Area" localSheetId="9">'Investment Securities'!$A$1:$E$54</definedName>
    <definedName name="_xlnm.Print_Area" localSheetId="2">'Liquidity Analysis'!$A$1:$E$52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1" i="36" l="1"/>
  <c r="D42" i="1"/>
  <c r="C38" i="18"/>
  <c r="C44" i="17"/>
  <c r="D61" i="1"/>
  <c r="C28" i="15" l="1"/>
  <c r="D19" i="17" l="1"/>
  <c r="J50" i="36" l="1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J48" i="36"/>
  <c r="I48" i="36"/>
  <c r="H48" i="36"/>
  <c r="G48" i="36"/>
  <c r="F48" i="36"/>
  <c r="E48" i="36"/>
  <c r="D48" i="36"/>
  <c r="C48" i="36"/>
  <c r="J47" i="36"/>
  <c r="I47" i="36"/>
  <c r="H47" i="36"/>
  <c r="G47" i="36"/>
  <c r="F47" i="36"/>
  <c r="E47" i="36"/>
  <c r="D47" i="36"/>
  <c r="C47" i="36"/>
  <c r="E13" i="1"/>
  <c r="E12" i="1"/>
  <c r="D13" i="1"/>
  <c r="D12" i="1"/>
  <c r="C12" i="1" l="1"/>
  <c r="C13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K50" i="36"/>
  <c r="K49" i="36"/>
  <c r="K48" i="36"/>
  <c r="K47" i="36"/>
  <c r="J32" i="36"/>
  <c r="I32" i="36"/>
  <c r="H32" i="36"/>
  <c r="G32" i="36"/>
  <c r="F32" i="36"/>
  <c r="E32" i="36"/>
  <c r="D32" i="36"/>
  <c r="C32" i="36"/>
  <c r="J21" i="36"/>
  <c r="I21" i="36"/>
  <c r="H21" i="36"/>
  <c r="G21" i="36"/>
  <c r="F21" i="36"/>
  <c r="E21" i="36"/>
  <c r="D21" i="36"/>
  <c r="C21" i="36"/>
  <c r="U50" i="17"/>
  <c r="S50" i="17"/>
  <c r="U49" i="17"/>
  <c r="S49" i="17"/>
  <c r="U48" i="17"/>
  <c r="S48" i="17"/>
  <c r="U47" i="17"/>
  <c r="S47" i="17"/>
  <c r="AD32" i="17"/>
  <c r="AE32" i="17" s="1"/>
  <c r="AB32" i="17"/>
  <c r="AC32" i="17" s="1"/>
  <c r="Y32" i="17"/>
  <c r="Z32" i="17" s="1"/>
  <c r="W32" i="17"/>
  <c r="X32" i="17" s="1"/>
  <c r="U32" i="17"/>
  <c r="S32" i="17"/>
  <c r="AD21" i="17"/>
  <c r="AE21" i="17" s="1"/>
  <c r="AB21" i="17"/>
  <c r="AC21" i="17" s="1"/>
  <c r="Y21" i="17"/>
  <c r="Z21" i="17" s="1"/>
  <c r="W21" i="17"/>
  <c r="X21" i="17" s="1"/>
  <c r="U21" i="17"/>
  <c r="S21" i="17"/>
  <c r="B27" i="15"/>
  <c r="T50" i="17" l="1"/>
  <c r="T47" i="17"/>
  <c r="T48" i="17"/>
  <c r="T32" i="17"/>
  <c r="T49" i="17"/>
  <c r="M21" i="36"/>
  <c r="N21" i="36" s="1"/>
  <c r="T21" i="17"/>
  <c r="K32" i="36"/>
  <c r="P21" i="36"/>
  <c r="Q21" i="36" s="1"/>
  <c r="K21" i="36"/>
  <c r="C59" i="16" l="1"/>
  <c r="C41" i="16" l="1"/>
  <c r="C73" i="1"/>
  <c r="C72" i="1"/>
  <c r="C69" i="1"/>
  <c r="C68" i="1"/>
  <c r="C67" i="1"/>
  <c r="C25" i="1"/>
  <c r="C7" i="19"/>
  <c r="C4" i="19"/>
  <c r="E59" i="16"/>
  <c r="F60" i="16"/>
  <c r="C60" i="16" s="1"/>
  <c r="G60" i="16"/>
  <c r="D60" i="16" s="1"/>
  <c r="H60" i="16"/>
  <c r="E60" i="16" s="1"/>
  <c r="D61" i="16"/>
  <c r="E61" i="16"/>
  <c r="D59" i="16" l="1"/>
  <c r="AB37" i="18"/>
  <c r="AC37" i="18"/>
  <c r="AD43" i="17" l="1"/>
  <c r="AB43" i="17"/>
  <c r="W31" i="17" l="1"/>
  <c r="Y31" i="17"/>
  <c r="Y30" i="17"/>
  <c r="W30" i="17"/>
  <c r="AE43" i="17" l="1"/>
  <c r="AC43" i="17"/>
  <c r="Y43" i="17"/>
  <c r="Z43" i="17" s="1"/>
  <c r="W43" i="17"/>
  <c r="X43" i="17" s="1"/>
  <c r="AD31" i="17"/>
  <c r="AE31" i="17" s="1"/>
  <c r="AB31" i="17"/>
  <c r="AC31" i="17" s="1"/>
  <c r="Z31" i="17"/>
  <c r="X31" i="17"/>
  <c r="AD30" i="17"/>
  <c r="AE30" i="17" s="1"/>
  <c r="AB30" i="17"/>
  <c r="AC30" i="17" s="1"/>
  <c r="Z30" i="17"/>
  <c r="X30" i="17"/>
  <c r="AD29" i="17"/>
  <c r="AE29" i="17" s="1"/>
  <c r="AB29" i="17"/>
  <c r="AC29" i="17" s="1"/>
  <c r="Y29" i="17"/>
  <c r="Z29" i="17" s="1"/>
  <c r="W29" i="17"/>
  <c r="X29" i="17" s="1"/>
  <c r="AD28" i="17"/>
  <c r="AE28" i="17" s="1"/>
  <c r="AB28" i="17"/>
  <c r="AC28" i="17" s="1"/>
  <c r="Y28" i="17"/>
  <c r="Z28" i="17" s="1"/>
  <c r="W28" i="17"/>
  <c r="X28" i="17" s="1"/>
  <c r="AD27" i="17"/>
  <c r="AE27" i="17" s="1"/>
  <c r="AB27" i="17"/>
  <c r="AC27" i="17" s="1"/>
  <c r="Y27" i="17"/>
  <c r="Z27" i="17" s="1"/>
  <c r="W27" i="17"/>
  <c r="X27" i="17" s="1"/>
  <c r="AD26" i="17"/>
  <c r="AE26" i="17" s="1"/>
  <c r="AB26" i="17"/>
  <c r="AC26" i="17" s="1"/>
  <c r="Y26" i="17"/>
  <c r="Z26" i="17" s="1"/>
  <c r="W26" i="17"/>
  <c r="X26" i="17" s="1"/>
  <c r="AD18" i="17"/>
  <c r="AE18" i="17" s="1"/>
  <c r="AB18" i="17"/>
  <c r="AC18" i="17" s="1"/>
  <c r="Y18" i="17"/>
  <c r="Z18" i="17" s="1"/>
  <c r="W18" i="17"/>
  <c r="X18" i="17" s="1"/>
  <c r="AD17" i="17"/>
  <c r="AE17" i="17" s="1"/>
  <c r="AB17" i="17"/>
  <c r="AC17" i="17" s="1"/>
  <c r="Y17" i="17"/>
  <c r="Z17" i="17" s="1"/>
  <c r="W17" i="17"/>
  <c r="X17" i="17" s="1"/>
  <c r="AD16" i="17"/>
  <c r="AE16" i="17" s="1"/>
  <c r="AB16" i="17"/>
  <c r="AC16" i="17" s="1"/>
  <c r="Y16" i="17"/>
  <c r="Z16" i="17" s="1"/>
  <c r="W16" i="17"/>
  <c r="X16" i="17" s="1"/>
  <c r="AD15" i="17"/>
  <c r="AE15" i="17" s="1"/>
  <c r="AB15" i="17"/>
  <c r="AC15" i="17" s="1"/>
  <c r="Y15" i="17"/>
  <c r="Z15" i="17" s="1"/>
  <c r="W15" i="17"/>
  <c r="X15" i="17" s="1"/>
  <c r="AD14" i="17"/>
  <c r="AE14" i="17" s="1"/>
  <c r="AB14" i="17"/>
  <c r="AC14" i="17" s="1"/>
  <c r="Y14" i="17"/>
  <c r="Z14" i="17" s="1"/>
  <c r="W14" i="17"/>
  <c r="X14" i="17" s="1"/>
  <c r="AD13" i="17"/>
  <c r="AE13" i="17" s="1"/>
  <c r="AB13" i="17"/>
  <c r="AC13" i="17" s="1"/>
  <c r="Y13" i="17"/>
  <c r="Z13" i="17" s="1"/>
  <c r="W13" i="17"/>
  <c r="X13" i="17" s="1"/>
  <c r="AD12" i="17"/>
  <c r="AE12" i="17" s="1"/>
  <c r="AB12" i="17"/>
  <c r="AC12" i="17" s="1"/>
  <c r="Y12" i="17"/>
  <c r="Z12" i="17" s="1"/>
  <c r="W12" i="17"/>
  <c r="X12" i="17" s="1"/>
  <c r="J26" i="37" l="1"/>
  <c r="I26" i="37"/>
  <c r="H26" i="37"/>
  <c r="G26" i="37"/>
  <c r="F26" i="37"/>
  <c r="E26" i="37"/>
  <c r="D26" i="37"/>
  <c r="C26" i="37"/>
  <c r="Q37" i="36" l="1"/>
  <c r="Q38" i="36"/>
  <c r="Q39" i="36"/>
  <c r="Q40" i="36"/>
  <c r="Q41" i="36"/>
  <c r="Q42" i="36"/>
  <c r="Q44" i="36"/>
  <c r="E9" i="16" l="1"/>
  <c r="E10" i="16"/>
  <c r="AC23" i="18" l="1"/>
  <c r="AC34" i="18"/>
  <c r="AC33" i="18"/>
  <c r="AC32" i="18"/>
  <c r="AC30" i="18"/>
  <c r="AC29" i="18"/>
  <c r="AC28" i="18"/>
  <c r="AC27" i="18"/>
  <c r="AC26" i="18"/>
  <c r="R24" i="18" l="1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B26" i="18" l="1"/>
  <c r="U25" i="18" l="1"/>
  <c r="S25" i="18"/>
  <c r="AB34" i="18" l="1"/>
  <c r="AB33" i="18"/>
  <c r="AB32" i="18"/>
  <c r="AB30" i="18"/>
  <c r="AB29" i="18"/>
  <c r="AB28" i="18"/>
  <c r="AB27" i="18"/>
  <c r="AB23" i="18"/>
  <c r="P41" i="37"/>
  <c r="Q3" i="36"/>
  <c r="Q19" i="36"/>
  <c r="Q11" i="36"/>
  <c r="U13" i="17" l="1"/>
  <c r="S13" i="17"/>
  <c r="T25" i="18" l="1"/>
  <c r="C10" i="16"/>
  <c r="W9" i="18"/>
  <c r="W25" i="18" l="1"/>
  <c r="X25" i="18" s="1"/>
  <c r="AB25" i="18"/>
  <c r="U23" i="17"/>
  <c r="S23" i="17"/>
  <c r="U15" i="17"/>
  <c r="S15" i="17"/>
  <c r="U14" i="17"/>
  <c r="S14" i="17"/>
  <c r="S8" i="17"/>
  <c r="J23" i="36"/>
  <c r="I23" i="36"/>
  <c r="H23" i="36"/>
  <c r="G23" i="36"/>
  <c r="F23" i="36"/>
  <c r="E23" i="36"/>
  <c r="D23" i="36"/>
  <c r="C23" i="36"/>
  <c r="T14" i="17" l="1"/>
  <c r="AB23" i="17"/>
  <c r="AC23" i="17" s="1"/>
  <c r="W23" i="17"/>
  <c r="X23" i="17" s="1"/>
  <c r="AD23" i="17"/>
  <c r="AE23" i="17" s="1"/>
  <c r="Y23" i="17"/>
  <c r="Z23" i="17" s="1"/>
  <c r="U8" i="17"/>
  <c r="T8" i="17" s="1"/>
  <c r="T23" i="17"/>
  <c r="C9" i="16"/>
  <c r="K23" i="36"/>
  <c r="P23" i="36" l="1"/>
  <c r="Q23" i="36" s="1"/>
  <c r="M23" i="36"/>
  <c r="N23" i="36" s="1"/>
  <c r="E11" i="16"/>
  <c r="D11" i="16"/>
  <c r="C11" i="16"/>
  <c r="T15" i="17" l="1"/>
  <c r="T13" i="17"/>
  <c r="J15" i="36"/>
  <c r="I15" i="36"/>
  <c r="H15" i="36"/>
  <c r="G15" i="36"/>
  <c r="F15" i="36"/>
  <c r="E15" i="36"/>
  <c r="D15" i="36"/>
  <c r="M15" i="36" s="1"/>
  <c r="C15" i="36"/>
  <c r="J14" i="36"/>
  <c r="I14" i="36"/>
  <c r="H14" i="36"/>
  <c r="G14" i="36"/>
  <c r="F14" i="36"/>
  <c r="E14" i="36"/>
  <c r="D14" i="36"/>
  <c r="C14" i="36"/>
  <c r="J13" i="36"/>
  <c r="I13" i="36"/>
  <c r="H13" i="36"/>
  <c r="G13" i="36"/>
  <c r="F13" i="36"/>
  <c r="E13" i="36"/>
  <c r="D13" i="36"/>
  <c r="C13" i="36"/>
  <c r="M13" i="36" s="1"/>
  <c r="J8" i="36"/>
  <c r="I8" i="36"/>
  <c r="H8" i="36"/>
  <c r="G8" i="36"/>
  <c r="F8" i="36"/>
  <c r="E8" i="36"/>
  <c r="D8" i="36"/>
  <c r="C8" i="36"/>
  <c r="P14" i="36" l="1"/>
  <c r="Q14" i="36" s="1"/>
  <c r="M14" i="36"/>
  <c r="N14" i="36" s="1"/>
  <c r="P15" i="36"/>
  <c r="Q15" i="36" s="1"/>
  <c r="N15" i="36"/>
  <c r="P13" i="36"/>
  <c r="Q13" i="36" s="1"/>
  <c r="N13" i="36"/>
  <c r="K13" i="36"/>
  <c r="K14" i="36"/>
  <c r="K15" i="36"/>
  <c r="K8" i="36"/>
  <c r="C8" i="19" l="1"/>
  <c r="C5" i="19"/>
  <c r="C52" i="41" l="1"/>
  <c r="C25" i="41"/>
  <c r="C31" i="41" s="1"/>
  <c r="C54" i="41"/>
  <c r="C3" i="41"/>
  <c r="B3" i="41"/>
  <c r="C40" i="16" l="1"/>
  <c r="E40" i="16"/>
  <c r="Y38" i="18" l="1"/>
  <c r="Z38" i="18" s="1"/>
  <c r="Y37" i="18"/>
  <c r="Z37" i="18" s="1"/>
  <c r="Y36" i="18"/>
  <c r="Z36" i="18" s="1"/>
  <c r="Y35" i="18"/>
  <c r="Z35" i="18" s="1"/>
  <c r="Y34" i="18"/>
  <c r="Z34" i="18" s="1"/>
  <c r="Y33" i="18"/>
  <c r="Z33" i="18" s="1"/>
  <c r="Y32" i="18"/>
  <c r="Z32" i="18" s="1"/>
  <c r="Y31" i="18"/>
  <c r="Z31" i="18" s="1"/>
  <c r="Y30" i="18"/>
  <c r="Z30" i="18" s="1"/>
  <c r="Y29" i="18"/>
  <c r="Z29" i="18" s="1"/>
  <c r="Y28" i="18"/>
  <c r="Z28" i="18" s="1"/>
  <c r="Y27" i="18"/>
  <c r="Z27" i="18" s="1"/>
  <c r="Y26" i="18"/>
  <c r="Z26" i="18" s="1"/>
  <c r="Y23" i="18"/>
  <c r="Z23" i="18" s="1"/>
  <c r="Y21" i="18"/>
  <c r="Z21" i="18" s="1"/>
  <c r="Y20" i="18"/>
  <c r="Z20" i="18" s="1"/>
  <c r="Y19" i="18"/>
  <c r="Z19" i="18" s="1"/>
  <c r="Y18" i="18"/>
  <c r="Z18" i="18" s="1"/>
  <c r="Y17" i="18"/>
  <c r="Z17" i="18" s="1"/>
  <c r="Y13" i="18"/>
  <c r="Z13" i="18" s="1"/>
  <c r="Y12" i="18"/>
  <c r="Z12" i="18" s="1"/>
  <c r="Y9" i="18"/>
  <c r="Z9" i="18" s="1"/>
  <c r="E41" i="1" l="1"/>
  <c r="D41" i="1"/>
  <c r="J44" i="1"/>
  <c r="J56" i="37" l="1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C54" i="37" s="1"/>
  <c r="J53" i="37"/>
  <c r="I53" i="37"/>
  <c r="H53" i="37"/>
  <c r="G53" i="37"/>
  <c r="F53" i="37"/>
  <c r="E53" i="37"/>
  <c r="D53" i="37"/>
  <c r="C53" i="37"/>
  <c r="J52" i="37"/>
  <c r="I52" i="37"/>
  <c r="H52" i="37"/>
  <c r="H51" i="37" s="1"/>
  <c r="G52" i="37"/>
  <c r="G51" i="37" s="1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G49" i="37"/>
  <c r="F49" i="37"/>
  <c r="F48" i="37" s="1"/>
  <c r="E49" i="37"/>
  <c r="D49" i="37"/>
  <c r="C49" i="37"/>
  <c r="J47" i="37"/>
  <c r="I47" i="37"/>
  <c r="H47" i="37"/>
  <c r="G47" i="37"/>
  <c r="F47" i="37"/>
  <c r="E47" i="37"/>
  <c r="D47" i="37"/>
  <c r="C47" i="37"/>
  <c r="J46" i="37"/>
  <c r="J45" i="37" s="1"/>
  <c r="I46" i="37"/>
  <c r="H46" i="37"/>
  <c r="G46" i="37"/>
  <c r="F46" i="37"/>
  <c r="E46" i="37"/>
  <c r="D46" i="37"/>
  <c r="D45" i="37" s="1"/>
  <c r="C46" i="37"/>
  <c r="C45" i="37" s="1"/>
  <c r="J44" i="37"/>
  <c r="I44" i="37"/>
  <c r="H44" i="37"/>
  <c r="G44" i="37"/>
  <c r="F44" i="37"/>
  <c r="E44" i="37"/>
  <c r="D44" i="37"/>
  <c r="C44" i="37"/>
  <c r="J43" i="37"/>
  <c r="I43" i="37"/>
  <c r="H43" i="37"/>
  <c r="H42" i="37" s="1"/>
  <c r="G43" i="37"/>
  <c r="G42" i="37" s="1"/>
  <c r="F43" i="37"/>
  <c r="E43" i="37"/>
  <c r="D43" i="37"/>
  <c r="C43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6" i="37" s="1"/>
  <c r="O26" i="37" s="1"/>
  <c r="J27" i="37"/>
  <c r="I27" i="37"/>
  <c r="H27" i="37"/>
  <c r="G27" i="37"/>
  <c r="F27" i="37"/>
  <c r="E27" i="37"/>
  <c r="D27" i="37"/>
  <c r="C27" i="37"/>
  <c r="J24" i="37"/>
  <c r="I24" i="37"/>
  <c r="H24" i="37"/>
  <c r="G24" i="37"/>
  <c r="F24" i="37"/>
  <c r="E24" i="37"/>
  <c r="D24" i="37"/>
  <c r="C24" i="37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44" i="36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E40" i="36"/>
  <c r="D40" i="36"/>
  <c r="C40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D35" i="36" s="1"/>
  <c r="C36" i="36"/>
  <c r="C35" i="36" s="1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G19" i="36" s="1"/>
  <c r="F20" i="36"/>
  <c r="E20" i="36"/>
  <c r="D20" i="36"/>
  <c r="C20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2" i="36"/>
  <c r="I12" i="36"/>
  <c r="H12" i="36"/>
  <c r="G12" i="36"/>
  <c r="F12" i="36"/>
  <c r="E12" i="36"/>
  <c r="D12" i="36"/>
  <c r="C12" i="36"/>
  <c r="M12" i="36" s="1"/>
  <c r="J10" i="36"/>
  <c r="I10" i="36"/>
  <c r="H10" i="36"/>
  <c r="G10" i="36"/>
  <c r="F10" i="36"/>
  <c r="Q10" i="36" s="1"/>
  <c r="E10" i="36"/>
  <c r="D10" i="36"/>
  <c r="C10" i="36"/>
  <c r="N10" i="36" s="1"/>
  <c r="J9" i="36"/>
  <c r="I9" i="36"/>
  <c r="H9" i="36"/>
  <c r="G9" i="36"/>
  <c r="F9" i="36"/>
  <c r="E9" i="36"/>
  <c r="D9" i="36"/>
  <c r="C9" i="36"/>
  <c r="J7" i="36"/>
  <c r="I7" i="36"/>
  <c r="H7" i="36"/>
  <c r="G7" i="36"/>
  <c r="F7" i="36"/>
  <c r="E7" i="36"/>
  <c r="D7" i="36"/>
  <c r="C7" i="36"/>
  <c r="K41" i="37"/>
  <c r="O3" i="37"/>
  <c r="B3" i="37"/>
  <c r="N19" i="36"/>
  <c r="N11" i="36"/>
  <c r="B3" i="36"/>
  <c r="S20" i="17"/>
  <c r="D16" i="1"/>
  <c r="H35" i="36" l="1"/>
  <c r="H25" i="37"/>
  <c r="F42" i="37"/>
  <c r="H45" i="37"/>
  <c r="D48" i="37"/>
  <c r="J48" i="37"/>
  <c r="I19" i="36"/>
  <c r="I17" i="37"/>
  <c r="I25" i="37"/>
  <c r="E19" i="36"/>
  <c r="C19" i="36"/>
  <c r="E9" i="37"/>
  <c r="C25" i="37"/>
  <c r="I9" i="37"/>
  <c r="I23" i="37" s="1"/>
  <c r="G17" i="37"/>
  <c r="G25" i="37"/>
  <c r="G45" i="37"/>
  <c r="C48" i="37"/>
  <c r="I48" i="37"/>
  <c r="E51" i="37"/>
  <c r="F11" i="36"/>
  <c r="D19" i="36"/>
  <c r="J19" i="36"/>
  <c r="D25" i="37"/>
  <c r="J25" i="37"/>
  <c r="E25" i="37"/>
  <c r="C42" i="37"/>
  <c r="I42" i="37"/>
  <c r="E45" i="37"/>
  <c r="G48" i="37"/>
  <c r="C51" i="37"/>
  <c r="I51" i="37"/>
  <c r="F25" i="37"/>
  <c r="D42" i="37"/>
  <c r="J42" i="37"/>
  <c r="F45" i="37"/>
  <c r="D51" i="37"/>
  <c r="J51" i="37"/>
  <c r="E11" i="36"/>
  <c r="F19" i="36"/>
  <c r="F51" i="37"/>
  <c r="G9" i="37"/>
  <c r="AB20" i="17"/>
  <c r="AC20" i="17" s="1"/>
  <c r="W20" i="17"/>
  <c r="X20" i="17" s="1"/>
  <c r="H19" i="36"/>
  <c r="G11" i="36"/>
  <c r="I11" i="36"/>
  <c r="J11" i="36"/>
  <c r="H54" i="37"/>
  <c r="H11" i="36"/>
  <c r="D11" i="36"/>
  <c r="P43" i="36"/>
  <c r="Q43" i="36" s="1"/>
  <c r="O38" i="37"/>
  <c r="M30" i="36"/>
  <c r="N30" i="36" s="1"/>
  <c r="M31" i="36"/>
  <c r="N31" i="36" s="1"/>
  <c r="M13" i="37"/>
  <c r="M14" i="37"/>
  <c r="P12" i="36"/>
  <c r="Q12" i="36" s="1"/>
  <c r="C11" i="36"/>
  <c r="C45" i="36" s="1"/>
  <c r="C9" i="37"/>
  <c r="M10" i="37"/>
  <c r="M26" i="37"/>
  <c r="P28" i="36"/>
  <c r="Q28" i="36" s="1"/>
  <c r="P24" i="36"/>
  <c r="Q24" i="36" s="1"/>
  <c r="P26" i="36"/>
  <c r="Q26" i="36" s="1"/>
  <c r="P27" i="36"/>
  <c r="Q27" i="36" s="1"/>
  <c r="P30" i="36"/>
  <c r="Q30" i="36" s="1"/>
  <c r="P31" i="36"/>
  <c r="Q31" i="36" s="1"/>
  <c r="H48" i="37"/>
  <c r="D54" i="37"/>
  <c r="P16" i="36"/>
  <c r="Q16" i="36" s="1"/>
  <c r="O24" i="37"/>
  <c r="O27" i="37"/>
  <c r="O28" i="37"/>
  <c r="O29" i="37"/>
  <c r="O30" i="37"/>
  <c r="O31" i="37"/>
  <c r="O33" i="37"/>
  <c r="O34" i="37"/>
  <c r="O35" i="37"/>
  <c r="F54" i="37"/>
  <c r="C17" i="37"/>
  <c r="M18" i="37"/>
  <c r="M24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19" i="37"/>
  <c r="M20" i="37"/>
  <c r="M21" i="37"/>
  <c r="M22" i="37"/>
  <c r="P17" i="36"/>
  <c r="Q17" i="36" s="1"/>
  <c r="D40" i="16"/>
  <c r="P29" i="36"/>
  <c r="Q29" i="36" s="1"/>
  <c r="P18" i="36"/>
  <c r="Q18" i="36" s="1"/>
  <c r="I45" i="37"/>
  <c r="G54" i="37"/>
  <c r="E48" i="37"/>
  <c r="I54" i="37"/>
  <c r="J54" i="37"/>
  <c r="K11" i="37"/>
  <c r="K15" i="37"/>
  <c r="K18" i="37"/>
  <c r="K31" i="37"/>
  <c r="K33" i="37"/>
  <c r="K36" i="37"/>
  <c r="O36" i="37" s="1"/>
  <c r="K38" i="37"/>
  <c r="K43" i="37"/>
  <c r="K44" i="37"/>
  <c r="K55" i="37"/>
  <c r="E42" i="37"/>
  <c r="K30" i="37"/>
  <c r="K56" i="37"/>
  <c r="E54" i="37"/>
  <c r="K28" i="37"/>
  <c r="K49" i="37"/>
  <c r="M18" i="36"/>
  <c r="N18" i="36" s="1"/>
  <c r="K29" i="37"/>
  <c r="K32" i="37"/>
  <c r="O32" i="37" s="1"/>
  <c r="K34" i="37"/>
  <c r="K37" i="37"/>
  <c r="O37" i="37" s="1"/>
  <c r="E35" i="36"/>
  <c r="K52" i="37"/>
  <c r="K35" i="37"/>
  <c r="K41" i="36"/>
  <c r="K24" i="37"/>
  <c r="K19" i="37"/>
  <c r="K20" i="37"/>
  <c r="K21" i="37"/>
  <c r="K43" i="36"/>
  <c r="M28" i="36"/>
  <c r="N28" i="36" s="1"/>
  <c r="M29" i="36"/>
  <c r="N29" i="36" s="1"/>
  <c r="K36" i="36"/>
  <c r="M26" i="36"/>
  <c r="N26" i="36" s="1"/>
  <c r="N12" i="36"/>
  <c r="E17" i="37"/>
  <c r="K22" i="37"/>
  <c r="K13" i="37"/>
  <c r="K14" i="37"/>
  <c r="K12" i="37"/>
  <c r="K10" i="37"/>
  <c r="M16" i="36"/>
  <c r="N16" i="36" s="1"/>
  <c r="K26" i="36"/>
  <c r="K27" i="36"/>
  <c r="K47" i="37"/>
  <c r="K50" i="37"/>
  <c r="K53" i="37"/>
  <c r="K34" i="36"/>
  <c r="M27" i="36"/>
  <c r="N27" i="36" s="1"/>
  <c r="K9" i="36"/>
  <c r="K7" i="36"/>
  <c r="K25" i="36"/>
  <c r="M17" i="36"/>
  <c r="N17" i="36" s="1"/>
  <c r="K22" i="36"/>
  <c r="K24" i="36"/>
  <c r="M24" i="36" s="1"/>
  <c r="N24" i="36" s="1"/>
  <c r="K37" i="36"/>
  <c r="K39" i="36"/>
  <c r="K42" i="36"/>
  <c r="K33" i="36"/>
  <c r="K38" i="36"/>
  <c r="K40" i="36"/>
  <c r="K20" i="36"/>
  <c r="K12" i="36"/>
  <c r="G35" i="36"/>
  <c r="K44" i="36"/>
  <c r="K29" i="36"/>
  <c r="K30" i="36"/>
  <c r="K18" i="36"/>
  <c r="K10" i="36"/>
  <c r="K16" i="36"/>
  <c r="K17" i="36"/>
  <c r="K28" i="36"/>
  <c r="F35" i="36"/>
  <c r="J35" i="36"/>
  <c r="I35" i="36"/>
  <c r="M43" i="36"/>
  <c r="N43" i="36" s="1"/>
  <c r="K27" i="37"/>
  <c r="F17" i="37"/>
  <c r="H17" i="37"/>
  <c r="J17" i="37"/>
  <c r="K46" i="37"/>
  <c r="K16" i="37"/>
  <c r="D17" i="37"/>
  <c r="K39" i="37"/>
  <c r="O39" i="37" s="1"/>
  <c r="F9" i="37"/>
  <c r="H9" i="37"/>
  <c r="J9" i="37"/>
  <c r="D9" i="37"/>
  <c r="C50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3" i="18"/>
  <c r="W21" i="18"/>
  <c r="W20" i="18"/>
  <c r="W19" i="18"/>
  <c r="W18" i="18"/>
  <c r="W17" i="18"/>
  <c r="W13" i="18"/>
  <c r="W12" i="18"/>
  <c r="E23" i="37" l="1"/>
  <c r="G23" i="37"/>
  <c r="G40" i="37" s="1"/>
  <c r="I40" i="37"/>
  <c r="D45" i="36"/>
  <c r="K51" i="37"/>
  <c r="K48" i="37"/>
  <c r="K45" i="37"/>
  <c r="K42" i="37"/>
  <c r="E45" i="36"/>
  <c r="F45" i="36"/>
  <c r="H45" i="36"/>
  <c r="P20" i="36"/>
  <c r="Q20" i="36" s="1"/>
  <c r="M20" i="36"/>
  <c r="N20" i="36" s="1"/>
  <c r="I45" i="36"/>
  <c r="G45" i="36"/>
  <c r="C23" i="37"/>
  <c r="C40" i="37" s="1"/>
  <c r="M9" i="36"/>
  <c r="N9" i="36" s="1"/>
  <c r="P9" i="36"/>
  <c r="Q9" i="36" s="1"/>
  <c r="P7" i="36"/>
  <c r="Q7" i="36" s="1"/>
  <c r="M7" i="36"/>
  <c r="N7" i="36" s="1"/>
  <c r="P22" i="36"/>
  <c r="Q22" i="36" s="1"/>
  <c r="M22" i="36"/>
  <c r="N22" i="36" s="1"/>
  <c r="P36" i="36"/>
  <c r="Q36" i="36" s="1"/>
  <c r="M36" i="36"/>
  <c r="N36" i="36" s="1"/>
  <c r="M40" i="37"/>
  <c r="S56" i="36" s="1"/>
  <c r="D24" i="16" s="1"/>
  <c r="K54" i="37"/>
  <c r="K25" i="37"/>
  <c r="E40" i="37"/>
  <c r="K19" i="36"/>
  <c r="K17" i="37"/>
  <c r="K35" i="36"/>
  <c r="K11" i="36"/>
  <c r="J23" i="37"/>
  <c r="J40" i="37" s="1"/>
  <c r="F23" i="37"/>
  <c r="F40" i="37" s="1"/>
  <c r="H23" i="37"/>
  <c r="H40" i="37" s="1"/>
  <c r="D23" i="37"/>
  <c r="D40" i="37" s="1"/>
  <c r="K9" i="37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2" i="18"/>
  <c r="S42" i="18"/>
  <c r="U40" i="18"/>
  <c r="S40" i="18"/>
  <c r="U38" i="18"/>
  <c r="AC38" i="18" s="1"/>
  <c r="S38" i="18"/>
  <c r="AB38" i="18" s="1"/>
  <c r="U37" i="18"/>
  <c r="S37" i="18"/>
  <c r="U36" i="18"/>
  <c r="AC36" i="18" s="1"/>
  <c r="S36" i="18"/>
  <c r="AB36" i="18" s="1"/>
  <c r="U35" i="18"/>
  <c r="AC35" i="18" s="1"/>
  <c r="S35" i="18"/>
  <c r="AB35" i="18" s="1"/>
  <c r="U34" i="18"/>
  <c r="S34" i="18"/>
  <c r="U33" i="18"/>
  <c r="S33" i="18"/>
  <c r="U32" i="18"/>
  <c r="S32" i="18"/>
  <c r="U31" i="18"/>
  <c r="AC31" i="18" s="1"/>
  <c r="S31" i="18"/>
  <c r="AB31" i="18" s="1"/>
  <c r="U30" i="18"/>
  <c r="S30" i="18"/>
  <c r="U29" i="18"/>
  <c r="S29" i="18"/>
  <c r="U28" i="18"/>
  <c r="S28" i="18"/>
  <c r="U27" i="18"/>
  <c r="S27" i="18"/>
  <c r="U26" i="18"/>
  <c r="S26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44" i="17"/>
  <c r="S44" i="17"/>
  <c r="U43" i="17"/>
  <c r="S43" i="17"/>
  <c r="U42" i="17"/>
  <c r="S42" i="17"/>
  <c r="U41" i="17"/>
  <c r="S41" i="17"/>
  <c r="U40" i="17"/>
  <c r="S40" i="17"/>
  <c r="U39" i="17"/>
  <c r="S39" i="17"/>
  <c r="U38" i="17"/>
  <c r="E39" i="16" s="1"/>
  <c r="S38" i="17"/>
  <c r="C39" i="16" s="1"/>
  <c r="U37" i="17"/>
  <c r="S37" i="17"/>
  <c r="U36" i="17"/>
  <c r="S36" i="17"/>
  <c r="C8" i="16" s="1"/>
  <c r="U34" i="17"/>
  <c r="S34" i="17"/>
  <c r="U33" i="17"/>
  <c r="S33" i="17"/>
  <c r="U31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U18" i="17"/>
  <c r="S18" i="17"/>
  <c r="U17" i="17"/>
  <c r="S17" i="17"/>
  <c r="U16" i="17"/>
  <c r="S16" i="17"/>
  <c r="U12" i="17"/>
  <c r="S12" i="17"/>
  <c r="U10" i="17"/>
  <c r="S10" i="17"/>
  <c r="U9" i="17"/>
  <c r="S9" i="17"/>
  <c r="U7" i="17"/>
  <c r="S7" i="17"/>
  <c r="D34" i="16" l="1"/>
  <c r="E8" i="16"/>
  <c r="AD20" i="17"/>
  <c r="AE20" i="17" s="1"/>
  <c r="Y20" i="17"/>
  <c r="Z20" i="17" s="1"/>
  <c r="C58" i="16"/>
  <c r="E58" i="16"/>
  <c r="AB7" i="17"/>
  <c r="AC7" i="17" s="1"/>
  <c r="W7" i="17"/>
  <c r="X7" i="17" s="1"/>
  <c r="C6" i="16"/>
  <c r="AD22" i="17"/>
  <c r="AE22" i="17" s="1"/>
  <c r="Y22" i="17"/>
  <c r="Z22" i="17" s="1"/>
  <c r="AD9" i="17"/>
  <c r="AE9" i="17" s="1"/>
  <c r="Y9" i="17"/>
  <c r="Z9" i="17" s="1"/>
  <c r="E7" i="16"/>
  <c r="AB22" i="17"/>
  <c r="AC22" i="17" s="1"/>
  <c r="W22" i="17"/>
  <c r="X22" i="17" s="1"/>
  <c r="AD24" i="17"/>
  <c r="AE24" i="17" s="1"/>
  <c r="Y24" i="17"/>
  <c r="Z24" i="17" s="1"/>
  <c r="AD36" i="17"/>
  <c r="AE36" i="17" s="1"/>
  <c r="Y36" i="17"/>
  <c r="Z36" i="17" s="1"/>
  <c r="AB9" i="17"/>
  <c r="AC9" i="17" s="1"/>
  <c r="W9" i="17"/>
  <c r="X9" i="17" s="1"/>
  <c r="C7" i="16"/>
  <c r="AD7" i="17"/>
  <c r="AE7" i="17" s="1"/>
  <c r="Y7" i="17"/>
  <c r="Z7" i="17" s="1"/>
  <c r="E6" i="16"/>
  <c r="AB24" i="17"/>
  <c r="AC24" i="17" s="1"/>
  <c r="W24" i="17"/>
  <c r="X24" i="17" s="1"/>
  <c r="AB36" i="17"/>
  <c r="AC36" i="17" s="1"/>
  <c r="W36" i="17"/>
  <c r="X36" i="17" s="1"/>
  <c r="V53" i="36"/>
  <c r="S53" i="36"/>
  <c r="N45" i="36"/>
  <c r="Q45" i="36"/>
  <c r="P45" i="36"/>
  <c r="T20" i="17"/>
  <c r="C12" i="16"/>
  <c r="E12" i="16"/>
  <c r="T51" i="18"/>
  <c r="T46" i="18"/>
  <c r="T48" i="18"/>
  <c r="T54" i="18"/>
  <c r="T42" i="18"/>
  <c r="T45" i="18"/>
  <c r="T40" i="18"/>
  <c r="T43" i="18"/>
  <c r="D35" i="16"/>
  <c r="T44" i="17"/>
  <c r="T15" i="18"/>
  <c r="T23" i="18"/>
  <c r="T17" i="18"/>
  <c r="T19" i="18"/>
  <c r="T20" i="18"/>
  <c r="T26" i="18"/>
  <c r="T28" i="18"/>
  <c r="T30" i="18"/>
  <c r="T32" i="18"/>
  <c r="T34" i="18"/>
  <c r="T36" i="18"/>
  <c r="T27" i="18"/>
  <c r="T29" i="18"/>
  <c r="T31" i="18"/>
  <c r="T35" i="18"/>
  <c r="T37" i="18"/>
  <c r="T10" i="17"/>
  <c r="T37" i="17"/>
  <c r="T39" i="17"/>
  <c r="T41" i="17"/>
  <c r="T43" i="17"/>
  <c r="T22" i="17"/>
  <c r="D12" i="16" s="1"/>
  <c r="T25" i="17"/>
  <c r="T26" i="17"/>
  <c r="T30" i="17"/>
  <c r="T18" i="17"/>
  <c r="T9" i="17"/>
  <c r="T21" i="18"/>
  <c r="T12" i="18"/>
  <c r="T14" i="18"/>
  <c r="T38" i="18"/>
  <c r="D36" i="16"/>
  <c r="K23" i="37"/>
  <c r="O23" i="37" s="1"/>
  <c r="O40" i="37" s="1"/>
  <c r="T52" i="18"/>
  <c r="T24" i="17"/>
  <c r="T28" i="17"/>
  <c r="T29" i="17"/>
  <c r="T13" i="18"/>
  <c r="T11" i="18"/>
  <c r="T9" i="18"/>
  <c r="T40" i="17"/>
  <c r="T10" i="18"/>
  <c r="T18" i="18"/>
  <c r="T16" i="17"/>
  <c r="T36" i="17"/>
  <c r="T33" i="18"/>
  <c r="T49" i="18"/>
  <c r="T55" i="18"/>
  <c r="T17" i="17"/>
  <c r="T27" i="17"/>
  <c r="T33" i="17"/>
  <c r="T34" i="17"/>
  <c r="T38" i="17"/>
  <c r="D39" i="16" s="1"/>
  <c r="T42" i="17"/>
  <c r="T12" i="17"/>
  <c r="F53" i="18"/>
  <c r="E53" i="18"/>
  <c r="F50" i="18"/>
  <c r="E50" i="18"/>
  <c r="F47" i="18"/>
  <c r="E47" i="18"/>
  <c r="F44" i="18"/>
  <c r="E44" i="18"/>
  <c r="F41" i="18"/>
  <c r="E41" i="18"/>
  <c r="F16" i="18"/>
  <c r="E16" i="18"/>
  <c r="F8" i="18"/>
  <c r="E8" i="18"/>
  <c r="F35" i="17"/>
  <c r="F45" i="17" s="1"/>
  <c r="E35" i="17"/>
  <c r="E45" i="17" s="1"/>
  <c r="X33" i="18"/>
  <c r="C13" i="16" l="1"/>
  <c r="C27" i="16" s="1"/>
  <c r="E13" i="16"/>
  <c r="H13" i="16"/>
  <c r="F13" i="16"/>
  <c r="D8" i="16"/>
  <c r="D7" i="16"/>
  <c r="D58" i="16"/>
  <c r="Z45" i="17"/>
  <c r="Z60" i="17"/>
  <c r="AC45" i="17"/>
  <c r="AC60" i="17"/>
  <c r="X45" i="17"/>
  <c r="X60" i="17"/>
  <c r="AE45" i="17"/>
  <c r="AE60" i="17"/>
  <c r="V52" i="36"/>
  <c r="S52" i="36"/>
  <c r="K40" i="37"/>
  <c r="F22" i="18"/>
  <c r="F39" i="18" s="1"/>
  <c r="E22" i="18"/>
  <c r="Z59" i="17" l="1"/>
  <c r="C22" i="16"/>
  <c r="C16" i="16"/>
  <c r="C19" i="16"/>
  <c r="AE59" i="17"/>
  <c r="E22" i="16"/>
  <c r="E19" i="16"/>
  <c r="E16" i="16"/>
  <c r="E27" i="16"/>
  <c r="E39" i="18"/>
  <c r="AC59" i="17" l="1"/>
  <c r="R41" i="18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C53" i="18"/>
  <c r="S50" i="18" l="1"/>
  <c r="U53" i="18"/>
  <c r="U47" i="18"/>
  <c r="U41" i="18"/>
  <c r="S44" i="18"/>
  <c r="S53" i="18"/>
  <c r="S47" i="18"/>
  <c r="S41" i="18"/>
  <c r="U50" i="18"/>
  <c r="U44" i="18"/>
  <c r="C56" i="1"/>
  <c r="T50" i="18" l="1"/>
  <c r="T41" i="18"/>
  <c r="T53" i="18"/>
  <c r="T44" i="18"/>
  <c r="T47" i="18"/>
  <c r="E10" i="19"/>
  <c r="D10" i="19"/>
  <c r="C10" i="19" l="1"/>
  <c r="J35" i="17"/>
  <c r="J45" i="17" s="1"/>
  <c r="H35" i="17"/>
  <c r="H45" i="17" s="1"/>
  <c r="D18" i="19"/>
  <c r="D43" i="16" s="1"/>
  <c r="V57" i="36" l="1"/>
  <c r="V56" i="36" s="1"/>
  <c r="D29" i="16" s="1"/>
  <c r="S57" i="36"/>
  <c r="S58" i="36"/>
  <c r="D25" i="19"/>
  <c r="S54" i="36" l="1"/>
  <c r="D23" i="16" s="1"/>
  <c r="D25" i="16"/>
  <c r="J65" i="1"/>
  <c r="F15" i="15" l="1"/>
  <c r="X32" i="18" l="1"/>
  <c r="J56" i="1" l="1"/>
  <c r="C8" i="1"/>
  <c r="J66" i="1"/>
  <c r="J64" i="1"/>
  <c r="J63" i="1"/>
  <c r="U24" i="18" l="1"/>
  <c r="S24" i="18"/>
  <c r="T24" i="18" l="1"/>
  <c r="C35" i="17"/>
  <c r="C45" i="17" s="1"/>
  <c r="D35" i="17"/>
  <c r="D45" i="17" s="1"/>
  <c r="G35" i="17"/>
  <c r="G45" i="17" s="1"/>
  <c r="C58" i="1" l="1"/>
  <c r="E60" i="1"/>
  <c r="C60" i="1"/>
  <c r="C54" i="1"/>
  <c r="E53" i="1"/>
  <c r="C53" i="1"/>
  <c r="C52" i="1"/>
  <c r="E34" i="1"/>
  <c r="C34" i="1"/>
  <c r="C37" i="1"/>
  <c r="C32" i="1"/>
  <c r="H15" i="15"/>
  <c r="C26" i="1"/>
  <c r="E2" i="19"/>
  <c r="E2" i="15"/>
  <c r="G20" i="14" l="1"/>
  <c r="E51" i="1"/>
  <c r="G15" i="15"/>
  <c r="D60" i="1"/>
  <c r="J60" i="1" s="1"/>
  <c r="D34" i="1"/>
  <c r="J34" i="1" s="1"/>
  <c r="D53" i="1"/>
  <c r="B2" i="14"/>
  <c r="F20" i="14" l="1"/>
  <c r="D51" i="1"/>
  <c r="X28" i="18" l="1"/>
  <c r="X27" i="18"/>
  <c r="X20" i="18"/>
  <c r="X19" i="18"/>
  <c r="X18" i="18"/>
  <c r="T7" i="17"/>
  <c r="D6" i="16" s="1"/>
  <c r="D13" i="16" s="1"/>
  <c r="G13" i="16" l="1"/>
  <c r="D27" i="16"/>
  <c r="J73" i="1"/>
  <c r="J69" i="1"/>
  <c r="J68" i="1"/>
  <c r="E19" i="1"/>
  <c r="D19" i="1"/>
  <c r="E16" i="1"/>
  <c r="D22" i="16" l="1"/>
  <c r="D19" i="16"/>
  <c r="D16" i="16"/>
  <c r="S11" i="17"/>
  <c r="U11" i="17"/>
  <c r="E7" i="1" s="1"/>
  <c r="E37" i="1"/>
  <c r="E32" i="1"/>
  <c r="D29" i="1"/>
  <c r="E26" i="1"/>
  <c r="E6" i="1"/>
  <c r="E58" i="1"/>
  <c r="E54" i="1"/>
  <c r="D54" i="1"/>
  <c r="E52" i="1"/>
  <c r="D52" i="1"/>
  <c r="T11" i="17" l="1"/>
  <c r="D7" i="1" s="1"/>
  <c r="J52" i="1"/>
  <c r="C7" i="1"/>
  <c r="J54" i="1"/>
  <c r="J53" i="1"/>
  <c r="D58" i="1"/>
  <c r="D6" i="1"/>
  <c r="D26" i="1"/>
  <c r="J26" i="1" s="1"/>
  <c r="E29" i="1"/>
  <c r="D37" i="1"/>
  <c r="J37" i="1" s="1"/>
  <c r="E23" i="1"/>
  <c r="D32" i="1"/>
  <c r="J32" i="1" s="1"/>
  <c r="B39" i="15" l="1"/>
  <c r="B14" i="15"/>
  <c r="B28" i="15"/>
  <c r="R35" i="17"/>
  <c r="R45" i="17" s="1"/>
  <c r="Q35" i="17"/>
  <c r="P35" i="17"/>
  <c r="P45" i="17" s="1"/>
  <c r="O35" i="17"/>
  <c r="O45" i="17" s="1"/>
  <c r="N35" i="17"/>
  <c r="N45" i="17" s="1"/>
  <c r="M35" i="17"/>
  <c r="M45" i="17" s="1"/>
  <c r="L35" i="17"/>
  <c r="L45" i="17" s="1"/>
  <c r="K35" i="17"/>
  <c r="K45" i="17" s="1"/>
  <c r="I35" i="17"/>
  <c r="I45" i="17" s="1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J76" i="1" s="1"/>
  <c r="X26" i="18"/>
  <c r="E18" i="19"/>
  <c r="E43" i="16" s="1"/>
  <c r="C14" i="19"/>
  <c r="C23" i="19"/>
  <c r="C22" i="19"/>
  <c r="C21" i="19"/>
  <c r="C20" i="19"/>
  <c r="C19" i="19"/>
  <c r="C16" i="19"/>
  <c r="C13" i="19"/>
  <c r="C12" i="19"/>
  <c r="C11" i="19"/>
  <c r="AE64" i="17" l="1"/>
  <c r="U16" i="18"/>
  <c r="E25" i="19"/>
  <c r="S16" i="18"/>
  <c r="U19" i="17"/>
  <c r="S35" i="17"/>
  <c r="U35" i="17"/>
  <c r="E20" i="1" s="1"/>
  <c r="C18" i="19"/>
  <c r="C43" i="16" s="1"/>
  <c r="E38" i="16"/>
  <c r="AC64" i="17" l="1"/>
  <c r="T16" i="18"/>
  <c r="C25" i="19"/>
  <c r="T35" i="17"/>
  <c r="U45" i="17"/>
  <c r="B37" i="15"/>
  <c r="B36" i="15"/>
  <c r="B35" i="15"/>
  <c r="C38" i="15"/>
  <c r="B12" i="15"/>
  <c r="B11" i="15"/>
  <c r="B10" i="15"/>
  <c r="B9" i="15"/>
  <c r="B8" i="15"/>
  <c r="B7" i="15"/>
  <c r="B6" i="15"/>
  <c r="B25" i="15"/>
  <c r="B24" i="15"/>
  <c r="B23" i="15"/>
  <c r="B22" i="15"/>
  <c r="B21" i="15"/>
  <c r="B20" i="15"/>
  <c r="B19" i="15"/>
  <c r="C26" i="15"/>
  <c r="C13" i="15"/>
  <c r="D18" i="1" s="1"/>
  <c r="H45" i="1" l="1"/>
  <c r="C29" i="15"/>
  <c r="D10" i="1" s="1"/>
  <c r="D11" i="1"/>
  <c r="C61" i="16"/>
  <c r="C15" i="15"/>
  <c r="D17" i="1" s="1"/>
  <c r="G17" i="15" s="1"/>
  <c r="C40" i="15"/>
  <c r="D57" i="16" s="1"/>
  <c r="D15" i="1"/>
  <c r="D64" i="16" l="1"/>
  <c r="D14" i="1"/>
  <c r="D77" i="1" l="1"/>
  <c r="D33" i="16" s="1"/>
  <c r="J72" i="1" l="1"/>
  <c r="E33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8" i="1"/>
  <c r="J13" i="1"/>
  <c r="J24" i="1" l="1"/>
  <c r="D33" i="1"/>
  <c r="D11" i="14" l="1"/>
  <c r="D20" i="14"/>
  <c r="D38" i="15"/>
  <c r="E15" i="1" s="1"/>
  <c r="D26" i="15"/>
  <c r="D13" i="15"/>
  <c r="E18" i="1" s="1"/>
  <c r="P8" i="18"/>
  <c r="P22" i="18" s="1"/>
  <c r="P39" i="18" s="1"/>
  <c r="O8" i="18"/>
  <c r="O22" i="18" s="1"/>
  <c r="J8" i="18"/>
  <c r="J22" i="18" s="1"/>
  <c r="J39" i="18" s="1"/>
  <c r="I8" i="18"/>
  <c r="I22" i="18" s="1"/>
  <c r="I39" i="18" l="1"/>
  <c r="O39" i="18"/>
  <c r="D29" i="15"/>
  <c r="E10" i="1" s="1"/>
  <c r="C10" i="1" s="1"/>
  <c r="E11" i="1"/>
  <c r="C11" i="1" s="1"/>
  <c r="J11" i="1" s="1"/>
  <c r="E5" i="1"/>
  <c r="D40" i="15"/>
  <c r="E57" i="16" s="1"/>
  <c r="B38" i="15"/>
  <c r="D15" i="15"/>
  <c r="B13" i="15"/>
  <c r="D5" i="1"/>
  <c r="E20" i="14"/>
  <c r="B26" i="15"/>
  <c r="D22" i="14"/>
  <c r="R8" i="18"/>
  <c r="R22" i="18" s="1"/>
  <c r="R39" i="18" s="1"/>
  <c r="E34" i="16" s="1"/>
  <c r="Q8" i="18"/>
  <c r="Q22" i="18" s="1"/>
  <c r="N8" i="18"/>
  <c r="N22" i="18" s="1"/>
  <c r="N39" i="18" s="1"/>
  <c r="M8" i="18"/>
  <c r="L8" i="18"/>
  <c r="K8" i="18"/>
  <c r="K22" i="18" s="1"/>
  <c r="H8" i="18"/>
  <c r="H22" i="18" s="1"/>
  <c r="G8" i="18"/>
  <c r="D8" i="18"/>
  <c r="E64" i="16" l="1"/>
  <c r="E42" i="16" s="1"/>
  <c r="E37" i="16" s="1"/>
  <c r="K39" i="18"/>
  <c r="Q39" i="18"/>
  <c r="C34" i="16" s="1"/>
  <c r="B15" i="15"/>
  <c r="E17" i="1"/>
  <c r="H17" i="15" s="1"/>
  <c r="H39" i="18"/>
  <c r="U8" i="18"/>
  <c r="D22" i="18"/>
  <c r="B29" i="15"/>
  <c r="J10" i="1"/>
  <c r="B40" i="15"/>
  <c r="C57" i="16" s="1"/>
  <c r="E14" i="1"/>
  <c r="L22" i="18"/>
  <c r="L39" i="18" s="1"/>
  <c r="G22" i="18"/>
  <c r="M22" i="18"/>
  <c r="C64" i="16" l="1"/>
  <c r="G39" i="18"/>
  <c r="M39" i="18"/>
  <c r="C17" i="1"/>
  <c r="J17" i="1" s="1"/>
  <c r="E36" i="16"/>
  <c r="Y22" i="18"/>
  <c r="Z22" i="18" s="1"/>
  <c r="Z39" i="18" s="1"/>
  <c r="Z63" i="17" s="1"/>
  <c r="D39" i="18"/>
  <c r="E20" i="16" s="1"/>
  <c r="E18" i="16" s="1"/>
  <c r="E45" i="1"/>
  <c r="H47" i="1" s="1"/>
  <c r="U22" i="18"/>
  <c r="AC22" i="18" s="1"/>
  <c r="G11" i="14"/>
  <c r="E50" i="1"/>
  <c r="E62" i="1" s="1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C41" i="1" s="1"/>
  <c r="C45" i="1" s="1"/>
  <c r="F47" i="1" s="1"/>
  <c r="C33" i="1"/>
  <c r="J33" i="1" s="1"/>
  <c r="C31" i="1"/>
  <c r="J31" i="1" s="1"/>
  <c r="C36" i="16" l="1"/>
  <c r="E17" i="16"/>
  <c r="E15" i="16" s="1"/>
  <c r="F17" i="15"/>
  <c r="Z64" i="17"/>
  <c r="E24" i="16"/>
  <c r="U39" i="18"/>
  <c r="AC39" i="18"/>
  <c r="Y57" i="17"/>
  <c r="AD57" i="17"/>
  <c r="E35" i="16"/>
  <c r="E32" i="16" s="1"/>
  <c r="T45" i="36"/>
  <c r="J41" i="1"/>
  <c r="J43" i="1"/>
  <c r="E78" i="1"/>
  <c r="AF39" i="18"/>
  <c r="G22" i="14"/>
  <c r="H62" i="1" l="1"/>
  <c r="AE63" i="17"/>
  <c r="E29" i="16" s="1"/>
  <c r="Z61" i="17"/>
  <c r="E25" i="16"/>
  <c r="E31" i="16"/>
  <c r="B2" i="1"/>
  <c r="S19" i="17"/>
  <c r="T19" i="17" s="1"/>
  <c r="A2" i="15"/>
  <c r="C8" i="18"/>
  <c r="E38" i="15"/>
  <c r="B49" i="15" s="1"/>
  <c r="E26" i="15"/>
  <c r="B47" i="15" s="1"/>
  <c r="C9" i="1"/>
  <c r="E13" i="15"/>
  <c r="C20" i="14"/>
  <c r="C51" i="1" s="1"/>
  <c r="J51" i="1" s="1"/>
  <c r="C11" i="14"/>
  <c r="C50" i="1" s="1"/>
  <c r="J58" i="1"/>
  <c r="X35" i="18"/>
  <c r="X36" i="18"/>
  <c r="X37" i="18"/>
  <c r="X38" i="18"/>
  <c r="B2" i="19"/>
  <c r="B2" i="18"/>
  <c r="C30" i="1"/>
  <c r="J30" i="1" s="1"/>
  <c r="C18" i="1"/>
  <c r="J18" i="1" s="1"/>
  <c r="B2" i="17"/>
  <c r="B2" i="16"/>
  <c r="C16" i="1"/>
  <c r="J16" i="1" s="1"/>
  <c r="AE66" i="17" l="1"/>
  <c r="C53" i="41"/>
  <c r="C2" i="16"/>
  <c r="J3" i="36"/>
  <c r="J3" i="37"/>
  <c r="S8" i="18"/>
  <c r="T8" i="18" s="1"/>
  <c r="J7" i="1"/>
  <c r="J9" i="1"/>
  <c r="D20" i="1"/>
  <c r="C20" i="1"/>
  <c r="T2" i="18"/>
  <c r="C2" i="19"/>
  <c r="T2" i="17"/>
  <c r="C2" i="14"/>
  <c r="C2" i="15"/>
  <c r="X9" i="18"/>
  <c r="X31" i="18"/>
  <c r="X23" i="18"/>
  <c r="X34" i="18"/>
  <c r="X17" i="18"/>
  <c r="X29" i="18"/>
  <c r="X12" i="18"/>
  <c r="X30" i="18"/>
  <c r="X13" i="18"/>
  <c r="B45" i="15"/>
  <c r="C22" i="14"/>
  <c r="C5" i="1"/>
  <c r="J5" i="1" s="1"/>
  <c r="C27" i="1"/>
  <c r="J27" i="1" s="1"/>
  <c r="C29" i="1"/>
  <c r="J29" i="1" s="1"/>
  <c r="C19" i="1"/>
  <c r="J19" i="1" s="1"/>
  <c r="C15" i="1"/>
  <c r="AE61" i="17" l="1"/>
  <c r="E28" i="16" s="1"/>
  <c r="E26" i="16" s="1"/>
  <c r="E30" i="16"/>
  <c r="F11" i="14"/>
  <c r="D50" i="1"/>
  <c r="J50" i="1" s="1"/>
  <c r="J20" i="1"/>
  <c r="C14" i="1"/>
  <c r="J14" i="1" s="1"/>
  <c r="J15" i="1"/>
  <c r="J25" i="1"/>
  <c r="X59" i="17"/>
  <c r="E11" i="14"/>
  <c r="C77" i="1"/>
  <c r="E46" i="41" l="1"/>
  <c r="C45" i="41"/>
  <c r="C44" i="41"/>
  <c r="D52" i="41"/>
  <c r="D62" i="1"/>
  <c r="C33" i="16"/>
  <c r="J77" i="1"/>
  <c r="C6" i="1"/>
  <c r="J6" i="1" s="1"/>
  <c r="P40" i="37" l="1"/>
  <c r="C46" i="41"/>
  <c r="C43" i="41" s="1"/>
  <c r="C35" i="41" s="1"/>
  <c r="C40" i="41" s="1"/>
  <c r="C62" i="1"/>
  <c r="AD39" i="18" s="1"/>
  <c r="D78" i="1"/>
  <c r="C78" i="1" s="1"/>
  <c r="J78" i="1" s="1"/>
  <c r="AE39" i="18"/>
  <c r="V58" i="36" l="1"/>
  <c r="D30" i="16" s="1"/>
  <c r="E23" i="16"/>
  <c r="E21" i="16" s="1"/>
  <c r="J62" i="1"/>
  <c r="V54" i="36" l="1"/>
  <c r="D28" i="16" s="1"/>
  <c r="C22" i="18"/>
  <c r="S22" i="18" l="1"/>
  <c r="C39" i="18"/>
  <c r="X21" i="18"/>
  <c r="X39" i="18" s="1"/>
  <c r="X63" i="17" s="1"/>
  <c r="AB22" i="18" l="1"/>
  <c r="AB39" i="18" s="1"/>
  <c r="X64" i="17"/>
  <c r="C24" i="16"/>
  <c r="S39" i="18"/>
  <c r="C20" i="16"/>
  <c r="T22" i="18"/>
  <c r="T39" i="18" s="1"/>
  <c r="C35" i="16"/>
  <c r="E22" i="14"/>
  <c r="AC63" i="17" l="1"/>
  <c r="C29" i="16" s="1"/>
  <c r="X61" i="17"/>
  <c r="C25" i="16"/>
  <c r="D20" i="16"/>
  <c r="D18" i="16" s="1"/>
  <c r="C18" i="16"/>
  <c r="F22" i="14"/>
  <c r="C32" i="16"/>
  <c r="D32" i="16"/>
  <c r="F62" i="1"/>
  <c r="G62" i="1"/>
  <c r="AC66" i="17" l="1"/>
  <c r="C30" i="16" s="1"/>
  <c r="C23" i="16"/>
  <c r="C21" i="16" s="1"/>
  <c r="D26" i="16"/>
  <c r="D21" i="16"/>
  <c r="AC61" i="17" l="1"/>
  <c r="C28" i="16" s="1"/>
  <c r="C26" i="16" s="1"/>
  <c r="J31" i="36" l="1"/>
  <c r="K31" i="36" s="1"/>
  <c r="S31" i="17"/>
  <c r="Q45" i="17"/>
  <c r="S45" i="17" s="1"/>
  <c r="J45" i="36" l="1"/>
  <c r="K45" i="36" s="1"/>
  <c r="D42" i="16" s="1"/>
  <c r="F45" i="1"/>
  <c r="C42" i="16"/>
  <c r="T45" i="17"/>
  <c r="G45" i="1" s="1"/>
  <c r="C38" i="16"/>
  <c r="C23" i="1"/>
  <c r="T31" i="17"/>
  <c r="D23" i="1" s="1"/>
  <c r="D45" i="1" s="1"/>
  <c r="G47" i="1" s="1"/>
  <c r="AC57" i="17" l="1"/>
  <c r="D17" i="16"/>
  <c r="D15" i="16" s="1"/>
  <c r="R45" i="36"/>
  <c r="X57" i="17"/>
  <c r="D38" i="16"/>
  <c r="D37" i="16" s="1"/>
  <c r="D31" i="16" s="1"/>
  <c r="C37" i="16"/>
  <c r="C31" i="16" s="1"/>
  <c r="J23" i="1"/>
  <c r="U45" i="36" l="1"/>
  <c r="V45" i="36" s="1"/>
  <c r="S45" i="36"/>
  <c r="J45" i="1"/>
  <c r="C17" i="16"/>
  <c r="C15" i="16" s="1"/>
  <c r="AB57" i="17"/>
  <c r="W57" i="17"/>
  <c r="C51" i="41"/>
  <c r="C84" i="1"/>
</calcChain>
</file>

<file path=xl/sharedStrings.xml><?xml version="1.0" encoding="utf-8"?>
<sst xmlns="http://schemas.openxmlformats.org/spreadsheetml/2006/main" count="1017" uniqueCount="553">
  <si>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</si>
  <si>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</si>
  <si>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</si>
  <si>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</si>
  <si>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</si>
  <si>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</si>
  <si>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</si>
  <si>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</si>
  <si>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</si>
  <si>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</si>
  <si>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</si>
  <si>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</si>
  <si>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</si>
  <si>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</si>
  <si>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</si>
  <si>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</si>
  <si>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</si>
  <si>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</si>
  <si>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</si>
  <si>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</si>
  <si>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</si>
  <si>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</si>
  <si>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</si>
  <si>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</si>
  <si>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</si>
  <si>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</si>
  <si>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</si>
  <si>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</si>
  <si>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</si>
  <si>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</si>
  <si>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</si>
  <si>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</si>
  <si>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</si>
  <si>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</si>
  <si>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</si>
  <si>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</si>
  <si>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</si>
  <si>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</si>
  <si>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</si>
  <si>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</si>
  <si>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</si>
  <si>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</si>
  <si>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</si>
  <si>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</si>
  <si>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</si>
  <si>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</si>
  <si>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</si>
  <si>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</si>
  <si>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</si>
  <si>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</si>
  <si>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</si>
  <si>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</si>
  <si>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</si>
  <si>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</si>
  <si>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</si>
  <si>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</si>
  <si>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</si>
  <si>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</si>
  <si>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</si>
  <si>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</si>
  <si>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</si>
  <si>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</si>
  <si>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</si>
  <si>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</si>
  <si>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</si>
  <si>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</si>
  <si>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</si>
  <si>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</si>
  <si>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</si>
  <si>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</si>
  <si>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</si>
  <si>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</si>
  <si>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</si>
  <si>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</si>
  <si>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</si>
  <si>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</si>
  <si>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</si>
  <si>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</si>
  <si>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</si>
  <si>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</si>
  <si>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</si>
  <si>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</si>
  <si>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</si>
  <si>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</si>
  <si>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</si>
  <si>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</si>
  <si>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</si>
  <si>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</si>
  <si>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</si>
  <si>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</si>
  <si>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</si>
  <si>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</si>
  <si>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</si>
  <si>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</si>
  <si>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</si>
  <si>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</si>
  <si>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</si>
  <si>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</si>
  <si>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</si>
  <si>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</si>
  <si>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</si>
  <si>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</si>
  <si>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</si>
  <si>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</si>
  <si>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</si>
  <si>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</si>
  <si>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</si>
  <si>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</si>
  <si>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</si>
  <si>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</si>
  <si>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</si>
  <si>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</si>
  <si>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</si>
  <si>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</si>
  <si>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</si>
  <si>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</si>
  <si>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</si>
  <si>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</si>
  <si>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</si>
  <si>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</si>
  <si>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</si>
  <si>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</si>
  <si>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</si>
  <si>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</si>
  <si>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</si>
  <si>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</si>
  <si>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</si>
  <si>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</si>
  <si>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</si>
  <si>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</si>
  <si>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</si>
  <si>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</si>
  <si>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</si>
  <si>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</si>
  <si>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</si>
  <si>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</si>
  <si>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</si>
  <si>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</si>
  <si>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</si>
  <si>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</si>
  <si>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</si>
  <si>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</si>
  <si>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</si>
  <si>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</si>
  <si>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</si>
  <si>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</si>
  <si>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</si>
  <si>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</si>
  <si>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</si>
  <si>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</si>
  <si>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</si>
  <si>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</si>
  <si>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</si>
  <si>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</si>
  <si>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</si>
  <si>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</si>
  <si>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</si>
  <si>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</si>
  <si>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</si>
  <si>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</si>
  <si>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</si>
  <si>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</si>
  <si>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</si>
  <si>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</si>
  <si>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</si>
  <si>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</si>
  <si>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</si>
  <si>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</si>
  <si>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</si>
  <si>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</si>
  <si>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</si>
  <si>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</si>
  <si>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</si>
  <si>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</si>
  <si>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</si>
  <si>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</si>
  <si>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</si>
  <si>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</si>
  <si>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</si>
  <si>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</si>
  <si>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</si>
  <si>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</si>
  <si>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</si>
  <si>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</si>
  <si>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</si>
  <si>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</si>
  <si>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</si>
  <si>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</si>
  <si>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</si>
  <si>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</si>
  <si>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</si>
  <si>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</si>
  <si>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</si>
  <si>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</si>
  <si>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</si>
  <si>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</si>
  <si>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</si>
  <si>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</si>
  <si>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</si>
  <si>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</si>
  <si>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</si>
  <si>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</si>
  <si>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</si>
  <si>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</si>
  <si>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</si>
  <si>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</si>
  <si>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</si>
  <si>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</si>
  <si>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</si>
  <si>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</si>
  <si>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</si>
  <si>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</si>
  <si>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</si>
  <si>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</si>
  <si>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</si>
  <si>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</si>
  <si>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</si>
  <si>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</si>
  <si>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</si>
  <si>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</si>
  <si>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</si>
  <si>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</si>
  <si>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</si>
  <si>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</si>
  <si>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</si>
  <si>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</si>
  <si>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</si>
  <si>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</si>
  <si>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</si>
  <si>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</si>
  <si>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</si>
  <si>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</si>
  <si>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</si>
  <si>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</si>
  <si>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</si>
  <si>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</si>
  <si>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</si>
  <si>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</si>
  <si>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</si>
  <si>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</si>
  <si>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</si>
  <si>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</si>
  <si>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</si>
  <si>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</si>
  <si>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</si>
  <si>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</si>
  <si>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</si>
  <si>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</si>
  <si>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</si>
  <si>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</si>
  <si>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</si>
  <si>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</si>
  <si>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</si>
  <si>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</si>
  <si>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</si>
  <si>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</si>
  <si>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</si>
  <si>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</si>
  <si>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</si>
  <si>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</si>
  <si>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</si>
  <si>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</si>
  <si>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</si>
  <si>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</si>
  <si>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</si>
  <si>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</si>
  <si>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</si>
  <si>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</si>
  <si>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</si>
  <si>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</si>
  <si>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</si>
  <si>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</si>
  <si>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</si>
  <si>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</si>
  <si>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</si>
  <si>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</si>
  <si>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</si>
  <si>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</si>
  <si>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</si>
  <si>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</si>
  <si>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</si>
  <si>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</si>
  <si>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</si>
  <si>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</si>
  <si>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</si>
  <si>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</si>
  <si>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</si>
  <si>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</si>
  <si>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</si>
  <si>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</si>
  <si>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</si>
  <si>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</si>
  <si>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</si>
  <si>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</si>
  <si>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</si>
  <si>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</si>
  <si>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</si>
  <si>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</si>
  <si>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</si>
  <si>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</si>
  <si>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</si>
  <si>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</si>
  <si>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</si>
  <si>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</si>
  <si>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</si>
  <si>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</si>
  <si>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</si>
  <si>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</si>
  <si>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</si>
  <si>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</si>
  <si>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</si>
  <si>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</si>
  <si>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</si>
  <si>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</si>
  <si>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</si>
  <si>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</si>
  <si>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</si>
  <si>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</si>
  <si>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</si>
  <si>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</si>
  <si>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</si>
  <si>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</si>
  <si>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</si>
  <si>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</si>
  <si>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</si>
  <si>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</si>
  <si>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</si>
  <si>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</si>
  <si>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</si>
  <si>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</si>
  <si>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</si>
  <si>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</si>
  <si>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</si>
  <si>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</si>
  <si>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</si>
  <si>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</si>
  <si>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</si>
  <si>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</si>
  <si>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</si>
  <si>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</si>
  <si>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</si>
  <si>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</si>
  <si>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</si>
  <si>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</si>
  <si>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</si>
  <si>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</si>
  <si>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</si>
  <si>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</si>
  <si>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</si>
  <si>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</si>
  <si>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</si>
  <si>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</si>
  <si>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</si>
  <si>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</si>
  <si>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</si>
  <si>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</si>
  <si>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</si>
  <si>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</si>
  <si>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</si>
  <si>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</si>
  <si>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</si>
  <si>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</si>
  <si>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</si>
  <si>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</si>
  <si>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</si>
  <si>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</si>
  <si>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</si>
  <si>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</si>
  <si>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</si>
  <si>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</si>
  <si>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</si>
  <si>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</si>
  <si>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</si>
  <si>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</si>
  <si>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</si>
  <si>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</si>
  <si>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</si>
  <si>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</si>
  <si>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</si>
  <si>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</si>
  <si>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</si>
  <si>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</si>
  <si>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</si>
  <si>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</si>
  <si>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</si>
  <si>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</si>
  <si>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</si>
  <si>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</si>
  <si>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</si>
  <si>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</si>
  <si>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</si>
  <si>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</si>
  <si>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</si>
  <si>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</si>
  <si>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</si>
  <si>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</si>
  <si>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</si>
  <si>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</si>
  <si>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</si>
  <si>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</si>
  <si>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</si>
  <si>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</si>
  <si>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</si>
  <si>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</si>
  <si>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</si>
  <si>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</si>
  <si>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</si>
  <si>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</si>
  <si>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</si>
  <si>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</si>
  <si>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</si>
  <si>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</si>
  <si>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</si>
  <si>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</si>
  <si>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</si>
  <si>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</si>
  <si>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</si>
  <si>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</si>
  <si>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</si>
  <si>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</si>
  <si>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</si>
  <si>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</si>
  <si>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</si>
  <si>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</si>
  <si>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</si>
  <si>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</si>
  <si>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</si>
  <si>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</si>
  <si>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</si>
  <si>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</si>
  <si>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</si>
  <si>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</si>
  <si>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</si>
  <si>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</si>
  <si>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</si>
  <si>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</si>
  <si>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</si>
  <si>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</si>
  <si>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</si>
  <si>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</si>
  <si>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</si>
  <si>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</si>
  <si>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</si>
  <si>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</si>
  <si>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</si>
  <si>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</si>
  <si>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</si>
  <si>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</si>
  <si>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</si>
  <si>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</si>
  <si>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</si>
  <si>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</si>
  <si>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</si>
  <si>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</si>
  <si>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</si>
  <si>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</si>
  <si>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</si>
  <si>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</si>
  <si>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</si>
  <si>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</si>
  <si>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</si>
  <si>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</si>
  <si>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</si>
  <si>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</si>
  <si>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</si>
  <si>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</si>
  <si>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все расходы за 30 денй умноженная на коэффициенты</t>
  </si>
  <si>
    <t>Ликвидные активы за 30 дней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</si>
  <si>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</si>
  <si>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</si>
  <si>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</si>
  <si>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</si>
  <si>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</si>
  <si>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</si>
  <si>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</si>
  <si>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</si>
  <si>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</si>
  <si>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</si>
  <si>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</si>
  <si>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</si>
  <si>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</si>
  <si>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</si>
  <si>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</si>
  <si>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</si>
  <si>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</si>
  <si>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</si>
  <si>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</si>
  <si>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</si>
  <si>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>2.4.1.</t>
  </si>
  <si>
    <t>2.4.2.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</si>
  <si>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</si>
  <si>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</si>
  <si>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</si>
  <si>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</si>
  <si>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</si>
  <si>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</si>
  <si>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 xml:space="preserve">2.7. </t>
  </si>
  <si>
    <t xml:space="preserve">2.7.1. </t>
  </si>
  <si>
    <t xml:space="preserve">2.7.2. </t>
  </si>
  <si>
    <t xml:space="preserve">2.7.3. </t>
  </si>
  <si>
    <t xml:space="preserve">2.7.4. </t>
  </si>
  <si>
    <t xml:space="preserve">2.7.5. </t>
  </si>
  <si>
    <t xml:space="preserve">2.7.6. </t>
  </si>
  <si>
    <t>Депозиты размещенные в местных банках имеющие рейтинг не ниже В- или В3</t>
  </si>
  <si>
    <t>Примечание</t>
  </si>
  <si>
    <t>*Расчитывается по действующиму номативу, которая будет действовать до 1 июля 2020 года</t>
  </si>
  <si>
    <t xml:space="preserve">**Расчитывается для мониторинга по новому номативу, которая вступит в силу после 1 июля 2020 года 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</si>
  <si>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</si>
  <si>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</si>
  <si>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</si>
  <si>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</si>
  <si>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Активы в процессе судебного разбирательства или не взысканные в установленном порядке(не указанные в строке 2.7.4.)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</si>
  <si>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</si>
  <si>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</si>
  <si>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</si>
  <si>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</si>
  <si>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Сумма чистого оттока за 
30 дней</t>
  </si>
  <si>
    <t>Сумма чистого оттока за 
30 дней (в иностранной валюте)</t>
  </si>
  <si>
    <t>Приток</t>
  </si>
  <si>
    <t>Ин вал</t>
  </si>
  <si>
    <t>По действующим расчетам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</si>
  <si>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</si>
  <si>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</si>
  <si>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</si>
  <si>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</si>
  <si>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</si>
  <si>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</si>
  <si>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</si>
  <si>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</si>
  <si>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>Расчет коэффициента покрытия ликвидности 
(внедряемый норматив)</t>
  </si>
  <si>
    <t>Расчет коэффициента покрытия ликвидности 
(действующий норматив)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</si>
  <si>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</si>
  <si>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Коэффициент покрытия ликвидности
(действующий норматив)*</t>
  </si>
  <si>
    <t>Коэффициент покрытия ликвидности 
(внедряемый норматив)**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</si>
  <si>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</si>
  <si>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</si>
  <si>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</si>
  <si>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>№3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</si>
  <si>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</si>
  <si>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</si>
  <si>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</si>
  <si>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</si>
  <si>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</si>
  <si>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</si>
  <si>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</si>
  <si>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</si>
  <si>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Обязательства по выдаче кредита (91809)</t>
  </si>
  <si>
    <t>Гарантии и поручительства (90993)</t>
  </si>
  <si>
    <t>Аккредитивы (90908-90958)</t>
  </si>
  <si>
    <t>Форврдные котракты, свопы, опционы и подобные обязательства (92705,92716,92728,92736)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</si>
  <si>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</si>
  <si>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</si>
  <si>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АКБ"Микрокредитбанк"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</si>
</sst>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1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b/>
      <sz val="10"/>
      <color indexed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color rgb="FF7030A0"/>
      <name val="Times New Roman"/>
      <family val="1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b/>
      <sz val="12"/>
      <color theme="0" tint="-0.499984740745262"/>
      <name val="Arial Cyr"/>
      <family val="2"/>
      <charset val="204"/>
    </font>
    <font>
      <b/>
      <sz val="20"/>
      <color rgb="FFFF0000"/>
      <name val="Arial Cyr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12"/>
      <color rgb="FF7030A0"/>
      <name val="Arial Cyr"/>
      <family val="2"/>
      <charset val="204"/>
    </font>
    <font>
      <b/>
      <sz val="12"/>
      <color rgb="FF7030A0"/>
      <name val="Arial Cyr"/>
      <charset val="204"/>
    </font>
    <font>
      <i/>
      <sz val="11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5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70" fillId="0" borderId="15">
      <protection locked="0"/>
    </xf>
    <xf numFmtId="173" fontId="72" fillId="0" borderId="0">
      <protection locked="0"/>
    </xf>
    <xf numFmtId="174" fontId="72" fillId="0" borderId="15">
      <protection locked="0"/>
    </xf>
    <xf numFmtId="175" fontId="72" fillId="0" borderId="0">
      <protection locked="0"/>
    </xf>
    <xf numFmtId="4" fontId="72" fillId="0" borderId="0">
      <protection locked="0"/>
    </xf>
    <xf numFmtId="176" fontId="72" fillId="0" borderId="0">
      <protection locked="0"/>
    </xf>
    <xf numFmtId="174" fontId="73" fillId="0" borderId="0">
      <protection locked="0"/>
    </xf>
    <xf numFmtId="174" fontId="74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75" fillId="0" borderId="5">
      <alignment horizontal="center"/>
    </xf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76" fillId="0" borderId="0"/>
    <xf numFmtId="0" fontId="29" fillId="0" borderId="0"/>
    <xf numFmtId="9" fontId="32" fillId="0" borderId="0" applyFont="0" applyFill="0" applyBorder="0" applyAlignment="0" applyProtection="0"/>
    <xf numFmtId="0" fontId="7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9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78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7" fillId="0" borderId="0"/>
    <xf numFmtId="0" fontId="79" fillId="0" borderId="0"/>
    <xf numFmtId="0" fontId="1" fillId="0" borderId="0"/>
    <xf numFmtId="0" fontId="1" fillId="0" borderId="0"/>
    <xf numFmtId="0" fontId="78" fillId="0" borderId="0"/>
    <xf numFmtId="0" fontId="1" fillId="0" borderId="0"/>
    <xf numFmtId="0" fontId="77" fillId="0" borderId="0"/>
    <xf numFmtId="0" fontId="80" fillId="0" borderId="0"/>
    <xf numFmtId="0" fontId="8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78" fillId="0" borderId="0"/>
    <xf numFmtId="0" fontId="77" fillId="0" borderId="0"/>
    <xf numFmtId="0" fontId="1" fillId="0" borderId="0"/>
    <xf numFmtId="0" fontId="7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8" fillId="0" borderId="0"/>
    <xf numFmtId="0" fontId="29" fillId="0" borderId="0"/>
    <xf numFmtId="0" fontId="77" fillId="0" borderId="0"/>
    <xf numFmtId="0" fontId="29" fillId="0" borderId="0"/>
    <xf numFmtId="0" fontId="8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79" fillId="0" borderId="0"/>
    <xf numFmtId="0" fontId="1" fillId="0" borderId="0"/>
    <xf numFmtId="0" fontId="77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7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9" fillId="0" borderId="0"/>
    <xf numFmtId="0" fontId="2" fillId="0" borderId="0"/>
    <xf numFmtId="0" fontId="32" fillId="0" borderId="0"/>
    <xf numFmtId="0" fontId="1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1" fillId="0" borderId="0"/>
    <xf numFmtId="0" fontId="79" fillId="0" borderId="0"/>
    <xf numFmtId="0" fontId="77" fillId="0" borderId="0"/>
    <xf numFmtId="0" fontId="82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1" fillId="0" borderId="0"/>
    <xf numFmtId="0" fontId="1" fillId="0" borderId="0"/>
    <xf numFmtId="0" fontId="83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84" fillId="0" borderId="0"/>
    <xf numFmtId="0" fontId="32" fillId="0" borderId="0"/>
    <xf numFmtId="0" fontId="79" fillId="0" borderId="0"/>
    <xf numFmtId="0" fontId="77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32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79" fillId="0" borderId="0"/>
    <xf numFmtId="0" fontId="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77" fillId="0" borderId="0"/>
    <xf numFmtId="0" fontId="1" fillId="0" borderId="0"/>
    <xf numFmtId="0" fontId="77" fillId="0" borderId="0"/>
    <xf numFmtId="0" fontId="2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29" fillId="0" borderId="0"/>
    <xf numFmtId="0" fontId="77" fillId="0" borderId="0"/>
    <xf numFmtId="0" fontId="77" fillId="0" borderId="0"/>
    <xf numFmtId="0" fontId="29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77" fillId="0" borderId="0"/>
    <xf numFmtId="0" fontId="32" fillId="0" borderId="0"/>
    <xf numFmtId="0" fontId="77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/>
    <xf numFmtId="0" fontId="1" fillId="0" borderId="0"/>
    <xf numFmtId="0" fontId="32" fillId="0" borderId="0"/>
    <xf numFmtId="0" fontId="3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2" fillId="0" borderId="0"/>
    <xf numFmtId="0" fontId="78" fillId="0" borderId="0"/>
    <xf numFmtId="0" fontId="78" fillId="0" borderId="0"/>
    <xf numFmtId="0" fontId="32" fillId="0" borderId="0"/>
    <xf numFmtId="0" fontId="78" fillId="0" borderId="0"/>
    <xf numFmtId="0" fontId="78" fillId="0" borderId="0"/>
    <xf numFmtId="0" fontId="32" fillId="0" borderId="0"/>
    <xf numFmtId="0" fontId="32" fillId="0" borderId="0"/>
    <xf numFmtId="0" fontId="30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0" fontId="81" fillId="7" borderId="14" applyNumberFormat="0" applyFont="0" applyAlignment="0" applyProtection="0"/>
    <xf numFmtId="9" fontId="8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79" fillId="0" borderId="0" applyFont="0" applyFill="0" applyBorder="0" applyAlignment="0" applyProtection="0"/>
    <xf numFmtId="0" fontId="86" fillId="0" borderId="0"/>
    <xf numFmtId="166" fontId="2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70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72" fontId="81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8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8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87" fillId="0" borderId="0" applyFont="0" applyFill="0" applyBorder="0" applyAlignment="0" applyProtection="0"/>
    <xf numFmtId="181" fontId="79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8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8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9" fillId="0" borderId="0" applyFont="0" applyFill="0" applyBorder="0" applyAlignment="0" applyProtection="0"/>
    <xf numFmtId="167" fontId="8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0" fillId="0" borderId="0">
      <protection locked="0"/>
    </xf>
    <xf numFmtId="0" fontId="7" fillId="0" borderId="0">
      <alignment vertical="top"/>
    </xf>
    <xf numFmtId="182" fontId="92" fillId="0" borderId="0" applyFont="0" applyFill="0" applyBorder="0" applyAlignment="0" applyProtection="0"/>
    <xf numFmtId="183" fontId="92" fillId="0" borderId="0" applyFont="0" applyFill="0" applyBorder="0" applyAlignment="0" applyProtection="0"/>
    <xf numFmtId="0" fontId="81" fillId="21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5" borderId="0" applyNumberFormat="0" applyBorder="0" applyAlignment="0" applyProtection="0"/>
    <xf numFmtId="0" fontId="81" fillId="26" borderId="0" applyNumberFormat="0" applyBorder="0" applyAlignment="0" applyProtection="0"/>
    <xf numFmtId="184" fontId="92" fillId="0" borderId="0" applyFont="0" applyFill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29" borderId="0" applyNumberFormat="0" applyBorder="0" applyAlignment="0" applyProtection="0"/>
    <xf numFmtId="0" fontId="81" fillId="24" borderId="0" applyNumberFormat="0" applyBorder="0" applyAlignment="0" applyProtection="0"/>
    <xf numFmtId="0" fontId="81" fillId="27" borderId="0" applyNumberFormat="0" applyBorder="0" applyAlignment="0" applyProtection="0"/>
    <xf numFmtId="0" fontId="81" fillId="30" borderId="0" applyNumberFormat="0" applyBorder="0" applyAlignment="0" applyProtection="0"/>
    <xf numFmtId="0" fontId="93" fillId="31" borderId="0" applyNumberFormat="0" applyBorder="0" applyAlignment="0" applyProtection="0"/>
    <xf numFmtId="0" fontId="93" fillId="28" borderId="0" applyNumberFormat="0" applyBorder="0" applyAlignment="0" applyProtection="0"/>
    <xf numFmtId="0" fontId="93" fillId="29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3" fillId="34" borderId="0" applyNumberFormat="0" applyBorder="0" applyAlignment="0" applyProtection="0"/>
    <xf numFmtId="0" fontId="93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37" borderId="0" applyNumberFormat="0" applyBorder="0" applyAlignment="0" applyProtection="0"/>
    <xf numFmtId="0" fontId="93" fillId="32" borderId="0" applyNumberFormat="0" applyBorder="0" applyAlignment="0" applyProtection="0"/>
    <xf numFmtId="0" fontId="93" fillId="33" borderId="0" applyNumberFormat="0" applyBorder="0" applyAlignment="0" applyProtection="0"/>
    <xf numFmtId="0" fontId="93" fillId="38" borderId="0" applyNumberFormat="0" applyBorder="0" applyAlignment="0" applyProtection="0"/>
    <xf numFmtId="0" fontId="94" fillId="22" borderId="0" applyNumberFormat="0" applyBorder="0" applyAlignment="0" applyProtection="0"/>
    <xf numFmtId="0" fontId="95" fillId="39" borderId="16" applyNumberFormat="0" applyAlignment="0" applyProtection="0"/>
    <xf numFmtId="0" fontId="96" fillId="40" borderId="17" applyNumberFormat="0" applyAlignment="0" applyProtection="0"/>
    <xf numFmtId="177" fontId="97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14" fillId="0" borderId="0" applyNumberFormat="0" applyFont="0" applyFill="0" applyBorder="0" applyAlignment="0"/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7" fontId="20" fillId="0" borderId="0" applyFont="0" applyFill="0" applyBorder="0" applyAlignment="0" applyProtection="0"/>
    <xf numFmtId="188" fontId="98" fillId="0" borderId="0"/>
    <xf numFmtId="0" fontId="99" fillId="0" borderId="0" applyNumberFormat="0" applyFill="0" applyBorder="0" applyAlignment="0" applyProtection="0"/>
    <xf numFmtId="2" fontId="29" fillId="0" borderId="0" applyFont="0" applyFill="0" applyBorder="0" applyAlignment="0" applyProtection="0"/>
    <xf numFmtId="0" fontId="100" fillId="23" borderId="0" applyNumberFormat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18" applyNumberFormat="0" applyFill="0" applyAlignment="0" applyProtection="0"/>
    <xf numFmtId="0" fontId="103" fillId="0" borderId="0" applyNumberFormat="0" applyFill="0" applyBorder="0" applyAlignment="0" applyProtection="0"/>
    <xf numFmtId="172" fontId="92" fillId="0" borderId="0" applyFont="0" applyFill="0" applyBorder="0" applyAlignment="0" applyProtection="0"/>
    <xf numFmtId="0" fontId="104" fillId="26" borderId="16" applyNumberFormat="0" applyAlignment="0" applyProtection="0"/>
    <xf numFmtId="0" fontId="105" fillId="0" borderId="19" applyNumberFormat="0" applyFill="0" applyAlignment="0" applyProtection="0"/>
    <xf numFmtId="18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72" fontId="106" fillId="0" borderId="0" applyFill="0" applyBorder="0"/>
    <xf numFmtId="0" fontId="107" fillId="41" borderId="0" applyNumberFormat="0" applyBorder="0" applyAlignment="0" applyProtection="0"/>
    <xf numFmtId="0" fontId="106" fillId="0" borderId="0"/>
    <xf numFmtId="0" fontId="32" fillId="42" borderId="20" applyNumberFormat="0" applyFont="0" applyAlignment="0" applyProtection="0"/>
    <xf numFmtId="0" fontId="108" fillId="39" borderId="21" applyNumberFormat="0" applyAlignment="0" applyProtection="0"/>
    <xf numFmtId="9" fontId="29" fillId="0" borderId="0" applyFont="0" applyFill="0" applyBorder="0" applyAlignment="0" applyProtection="0"/>
    <xf numFmtId="192" fontId="92" fillId="0" borderId="0" applyFont="0" applyFill="0" applyBorder="0" applyAlignment="0" applyProtection="0"/>
    <xf numFmtId="0" fontId="109" fillId="0" borderId="0" applyNumberFormat="0" applyFill="0" applyBorder="0" applyAlignment="0" applyProtection="0"/>
    <xf numFmtId="0" fontId="29" fillId="0" borderId="22" applyNumberFormat="0" applyFont="0" applyFill="0" applyAlignment="0" applyProtection="0"/>
    <xf numFmtId="0" fontId="110" fillId="0" borderId="0" applyNumberFormat="0" applyFill="0" applyBorder="0" applyAlignment="0" applyProtection="0"/>
  </cellStyleXfs>
  <cellXfs count="610">
    <xf numFmtId="0" fontId="0" fillId="0" borderId="0" xfId="0"/>
    <xf numFmtId="0" fontId="3" fillId="0" borderId="0" xfId="0" applyFont="1"/>
    <xf numFmtId="0" fontId="3" fillId="0" borderId="0" xfId="0" applyFont="1" applyProtection="1">
      <protection hidden="1"/>
    </xf>
    <xf numFmtId="0" fontId="6" fillId="0" borderId="0" xfId="0" applyFont="1" applyBorder="1"/>
    <xf numFmtId="3" fontId="3" fillId="0" borderId="1" xfId="0" applyNumberFormat="1" applyFont="1" applyBorder="1" applyProtection="1"/>
    <xf numFmtId="0" fontId="6" fillId="0" borderId="0" xfId="0" applyFont="1" applyBorder="1" applyProtection="1"/>
    <xf numFmtId="3" fontId="3" fillId="0" borderId="3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0" fontId="3" fillId="0" borderId="0" xfId="0" applyFont="1" applyAlignment="1">
      <alignment vertical="center"/>
    </xf>
    <xf numFmtId="3" fontId="3" fillId="0" borderId="1" xfId="0" applyNumberFormat="1" applyFont="1" applyFill="1" applyBorder="1" applyProtection="1"/>
    <xf numFmtId="0" fontId="4" fillId="0" borderId="0" xfId="0" applyFont="1" applyBorder="1" applyAlignment="1">
      <alignment horizontal="center" vertical="center" shrinkToFit="1"/>
    </xf>
    <xf numFmtId="0" fontId="13" fillId="0" borderId="0" xfId="0" applyFont="1"/>
    <xf numFmtId="0" fontId="4" fillId="0" borderId="2" xfId="0" applyFont="1" applyBorder="1" applyAlignment="1">
      <alignment horizontal="center"/>
    </xf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49" fontId="3" fillId="0" borderId="0" xfId="0" applyNumberFormat="1" applyFont="1"/>
    <xf numFmtId="9" fontId="3" fillId="0" borderId="0" xfId="3" applyFont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3" fontId="3" fillId="0" borderId="0" xfId="3" applyNumberFormat="1" applyFont="1"/>
    <xf numFmtId="3" fontId="3" fillId="0" borderId="0" xfId="0" applyNumberFormat="1" applyFont="1" applyFill="1"/>
    <xf numFmtId="49" fontId="3" fillId="0" borderId="0" xfId="0" applyNumberFormat="1" applyFont="1" applyFill="1"/>
    <xf numFmtId="9" fontId="3" fillId="0" borderId="0" xfId="3" applyFont="1" applyFill="1"/>
    <xf numFmtId="3" fontId="3" fillId="0" borderId="0" xfId="3" applyNumberFormat="1" applyFont="1" applyFill="1"/>
    <xf numFmtId="170" fontId="6" fillId="0" borderId="0" xfId="0" applyNumberFormat="1" applyFont="1" applyAlignment="1">
      <alignment horizontal="centerContinuous"/>
    </xf>
    <xf numFmtId="3" fontId="3" fillId="0" borderId="0" xfId="0" applyNumberFormat="1" applyFont="1" applyProtection="1"/>
    <xf numFmtId="3" fontId="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6" fillId="0" borderId="0" xfId="0" applyNumberFormat="1" applyFont="1" applyBorder="1" applyAlignment="1">
      <alignment horizontal="centerContinuous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left" vertical="center" wrapText="1" indent="2"/>
    </xf>
    <xf numFmtId="3" fontId="3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3" fillId="0" borderId="0" xfId="0" applyFont="1" applyFill="1" applyAlignment="1">
      <alignment vertical="center"/>
    </xf>
    <xf numFmtId="0" fontId="6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4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3" fillId="0" borderId="0" xfId="0" applyFont="1" applyBorder="1" applyProtection="1"/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6" fillId="0" borderId="0" xfId="0" applyFont="1" applyProtection="1"/>
    <xf numFmtId="0" fontId="27" fillId="0" borderId="4" xfId="0" applyFont="1" applyBorder="1" applyAlignment="1" applyProtection="1">
      <alignment horizontal="center" vertical="center"/>
    </xf>
    <xf numFmtId="0" fontId="27" fillId="0" borderId="2" xfId="0" applyFont="1" applyBorder="1" applyAlignment="1" applyProtection="1">
      <alignment horizontal="left" vertical="center" wrapText="1" indent="2"/>
    </xf>
    <xf numFmtId="3" fontId="27" fillId="0" borderId="1" xfId="0" applyNumberFormat="1" applyFont="1" applyBorder="1" applyAlignment="1" applyProtection="1">
      <alignment vertical="center"/>
    </xf>
    <xf numFmtId="3" fontId="27" fillId="0" borderId="1" xfId="0" applyNumberFormat="1" applyFont="1" applyBorder="1" applyAlignment="1" applyProtection="1">
      <alignment vertical="center"/>
      <protection locked="0"/>
    </xf>
    <xf numFmtId="9" fontId="3" fillId="0" borderId="1" xfId="3" applyFont="1" applyBorder="1" applyAlignment="1" applyProtection="1">
      <alignment vertical="center"/>
    </xf>
    <xf numFmtId="3" fontId="3" fillId="0" borderId="1" xfId="3" applyNumberFormat="1" applyFont="1" applyBorder="1" applyAlignment="1" applyProtection="1">
      <alignment vertical="center"/>
    </xf>
    <xf numFmtId="9" fontId="3" fillId="0" borderId="1" xfId="3" applyFont="1" applyFill="1" applyBorder="1" applyAlignment="1" applyProtection="1">
      <alignment vertical="center"/>
    </xf>
    <xf numFmtId="3" fontId="3" fillId="0" borderId="1" xfId="3" applyNumberFormat="1" applyFont="1" applyFill="1" applyBorder="1" applyAlignment="1" applyProtection="1">
      <alignment vertical="center"/>
    </xf>
    <xf numFmtId="3" fontId="6" fillId="0" borderId="1" xfId="0" applyNumberFormat="1" applyFont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6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quotePrefix="1" applyNumberFormat="1" applyFont="1" applyFill="1" applyBorder="1" applyAlignment="1" applyProtection="1">
      <alignment horizontal="left" vertical="center" wrapText="1" indent="1"/>
    </xf>
    <xf numFmtId="3" fontId="28" fillId="0" borderId="1" xfId="0" quotePrefix="1" applyNumberFormat="1" applyFont="1" applyFill="1" applyBorder="1" applyAlignment="1" applyProtection="1">
      <alignment horizontal="center" vertical="center" wrapText="1"/>
    </xf>
    <xf numFmtId="3" fontId="27" fillId="0" borderId="1" xfId="0" applyNumberFormat="1" applyFont="1" applyFill="1" applyBorder="1" applyAlignment="1" applyProtection="1">
      <alignment horizontal="left" vertical="center" wrapText="1" indent="1"/>
    </xf>
    <xf numFmtId="3" fontId="27" fillId="0" borderId="1" xfId="3" applyNumberFormat="1" applyFont="1" applyFill="1" applyBorder="1" applyAlignment="1" applyProtection="1">
      <alignment vertical="center"/>
    </xf>
    <xf numFmtId="0" fontId="8" fillId="0" borderId="0" xfId="0" applyFont="1" applyAlignment="1">
      <alignment vertical="center"/>
    </xf>
    <xf numFmtId="0" fontId="34" fillId="0" borderId="0" xfId="0" applyFont="1" applyProtection="1">
      <protection hidden="1"/>
    </xf>
    <xf numFmtId="0" fontId="10" fillId="0" borderId="0" xfId="0" applyFont="1" applyAlignment="1" applyProtection="1">
      <alignment horizontal="center" vertical="center" wrapText="1"/>
    </xf>
    <xf numFmtId="0" fontId="2" fillId="0" borderId="0" xfId="0" applyFont="1" applyFill="1" applyProtection="1"/>
    <xf numFmtId="0" fontId="24" fillId="0" borderId="0" xfId="0" quotePrefix="1" applyNumberFormat="1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indent="1"/>
    </xf>
    <xf numFmtId="3" fontId="7" fillId="0" borderId="3" xfId="0" applyNumberFormat="1" applyFont="1" applyBorder="1" applyProtection="1"/>
    <xf numFmtId="0" fontId="3" fillId="0" borderId="2" xfId="0" applyFont="1" applyBorder="1" applyAlignment="1" applyProtection="1">
      <alignment horizontal="left" vertical="center" indent="2"/>
    </xf>
    <xf numFmtId="0" fontId="2" fillId="0" borderId="0" xfId="0" applyFont="1" applyBorder="1" applyProtection="1"/>
    <xf numFmtId="0" fontId="2" fillId="0" borderId="0" xfId="0" applyFont="1" applyProtection="1"/>
    <xf numFmtId="0" fontId="2" fillId="0" borderId="2" xfId="0" applyFont="1" applyFill="1" applyBorder="1" applyAlignment="1" applyProtection="1">
      <alignment horizontal="center" vertical="center" wrapText="1"/>
    </xf>
    <xf numFmtId="3" fontId="31" fillId="0" borderId="3" xfId="0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 vertical="center" indent="3"/>
    </xf>
    <xf numFmtId="3" fontId="7" fillId="0" borderId="1" xfId="0" applyNumberFormat="1" applyFont="1" applyBorder="1" applyAlignment="1" applyProtection="1">
      <alignment horizontal="right" wrapText="1"/>
    </xf>
    <xf numFmtId="0" fontId="5" fillId="0" borderId="2" xfId="0" applyFont="1" applyBorder="1" applyAlignment="1" applyProtection="1">
      <alignment horizontal="center"/>
    </xf>
    <xf numFmtId="3" fontId="17" fillId="0" borderId="1" xfId="0" applyNumberFormat="1" applyFont="1" applyBorder="1" applyAlignment="1" applyProtection="1">
      <alignment horizontal="right"/>
    </xf>
    <xf numFmtId="0" fontId="3" fillId="0" borderId="2" xfId="0" applyFont="1" applyBorder="1" applyProtection="1"/>
    <xf numFmtId="0" fontId="6" fillId="0" borderId="2" xfId="0" applyFont="1" applyBorder="1" applyAlignment="1" applyProtection="1">
      <alignment horizontal="left"/>
    </xf>
    <xf numFmtId="0" fontId="6" fillId="0" borderId="2" xfId="0" applyFont="1" applyBorder="1" applyProtection="1"/>
    <xf numFmtId="0" fontId="3" fillId="0" borderId="2" xfId="0" applyFont="1" applyBorder="1" applyAlignment="1" applyProtection="1">
      <alignment horizontal="left" vertical="center" wrapText="1" indent="1"/>
    </xf>
    <xf numFmtId="0" fontId="6" fillId="0" borderId="2" xfId="0" applyFont="1" applyBorder="1" applyAlignment="1" applyProtection="1">
      <alignment horizontal="left" vertical="center" indent="1"/>
    </xf>
    <xf numFmtId="3" fontId="17" fillId="2" borderId="3" xfId="0" applyNumberFormat="1" applyFont="1" applyFill="1" applyBorder="1" applyAlignment="1" applyProtection="1">
      <alignment horizontal="right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 indent="1"/>
    </xf>
    <xf numFmtId="0" fontId="3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3" fontId="17" fillId="0" borderId="3" xfId="0" applyNumberFormat="1" applyFont="1" applyBorder="1" applyAlignment="1" applyProtection="1">
      <alignment horizontal="right"/>
    </xf>
    <xf numFmtId="0" fontId="6" fillId="0" borderId="4" xfId="0" applyFont="1" applyBorder="1" applyAlignment="1" applyProtection="1">
      <alignment horizontal="left" vertical="center" indent="1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9" fontId="21" fillId="0" borderId="0" xfId="4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69" fontId="18" fillId="0" borderId="1" xfId="4" applyNumberFormat="1" applyFont="1" applyBorder="1" applyAlignment="1" applyProtection="1">
      <alignment horizontal="left" vertical="center"/>
    </xf>
    <xf numFmtId="3" fontId="18" fillId="0" borderId="1" xfId="4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4" applyNumberFormat="1" applyFont="1" applyFill="1" applyBorder="1" applyAlignment="1" applyProtection="1">
      <alignment horizontal="center" wrapText="1"/>
    </xf>
    <xf numFmtId="3" fontId="26" fillId="0" borderId="1" xfId="4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3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6" fillId="0" borderId="1" xfId="4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4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8" fillId="0" borderId="0" xfId="0" applyFont="1" applyBorder="1" applyProtection="1"/>
    <xf numFmtId="169" fontId="19" fillId="0" borderId="0" xfId="4" applyNumberFormat="1" applyFont="1" applyProtection="1"/>
    <xf numFmtId="0" fontId="18" fillId="0" borderId="0" xfId="0" applyFont="1" applyFill="1" applyBorder="1" applyAlignment="1" applyProtection="1">
      <alignment horizontal="right"/>
    </xf>
    <xf numFmtId="170" fontId="19" fillId="0" borderId="0" xfId="0" applyNumberFormat="1" applyFont="1" applyBorder="1" applyAlignment="1" applyProtection="1">
      <alignment wrapText="1"/>
    </xf>
    <xf numFmtId="3" fontId="30" fillId="0" borderId="1" xfId="4" applyNumberFormat="1" applyFont="1" applyBorder="1" applyAlignment="1" applyProtection="1">
      <alignment horizontal="center" vertical="center"/>
      <protection locked="0"/>
    </xf>
    <xf numFmtId="3" fontId="18" fillId="0" borderId="1" xfId="4" applyNumberFormat="1" applyFont="1" applyBorder="1" applyAlignment="1" applyProtection="1">
      <alignment horizontal="center" vertical="center"/>
      <protection locked="0"/>
    </xf>
    <xf numFmtId="3" fontId="19" fillId="0" borderId="1" xfId="4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3" applyNumberFormat="1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9" fontId="2" fillId="6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7" fillId="0" borderId="0" xfId="0" applyNumberFormat="1" applyFont="1" applyAlignment="1">
      <alignment horizontal="center"/>
    </xf>
    <xf numFmtId="0" fontId="0" fillId="0" borderId="0" xfId="0" applyAlignment="1" applyProtection="1">
      <alignment horizontal="center" vertical="center" wrapText="1"/>
    </xf>
    <xf numFmtId="0" fontId="8" fillId="0" borderId="1" xfId="0" applyFont="1" applyBorder="1" applyProtection="1"/>
    <xf numFmtId="3" fontId="3" fillId="0" borderId="1" xfId="0" applyNumberFormat="1" applyFont="1" applyFill="1" applyBorder="1" applyAlignment="1" applyProtection="1"/>
    <xf numFmtId="168" fontId="3" fillId="0" borderId="1" xfId="0" applyNumberFormat="1" applyFont="1" applyFill="1" applyBorder="1" applyAlignment="1" applyProtection="1"/>
    <xf numFmtId="3" fontId="3" fillId="4" borderId="5" xfId="0" applyNumberFormat="1" applyFont="1" applyFill="1" applyBorder="1" applyAlignment="1" applyProtection="1"/>
    <xf numFmtId="3" fontId="3" fillId="4" borderId="3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49" fontId="6" fillId="0" borderId="0" xfId="0" quotePrefix="1" applyNumberFormat="1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left"/>
    </xf>
    <xf numFmtId="0" fontId="3" fillId="0" borderId="1" xfId="0" applyFont="1" applyBorder="1" applyProtection="1"/>
    <xf numFmtId="0" fontId="6" fillId="0" borderId="1" xfId="0" applyFont="1" applyBorder="1" applyProtection="1"/>
    <xf numFmtId="3" fontId="3" fillId="4" borderId="1" xfId="0" applyNumberFormat="1" applyFont="1" applyFill="1" applyBorder="1" applyAlignment="1" applyProtection="1"/>
    <xf numFmtId="0" fontId="3" fillId="0" borderId="1" xfId="0" quotePrefix="1" applyFont="1" applyBorder="1" applyAlignment="1" applyProtection="1">
      <alignment horizontal="left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vertical="center" wrapText="1"/>
    </xf>
    <xf numFmtId="0" fontId="6" fillId="0" borderId="1" xfId="0" quotePrefix="1" applyFont="1" applyBorder="1" applyAlignment="1" applyProtection="1">
      <alignment horizontal="left" vertical="center" wrapText="1"/>
    </xf>
    <xf numFmtId="3" fontId="3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19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4" applyNumberFormat="1" applyFont="1" applyFill="1" applyBorder="1" applyAlignment="1" applyProtection="1">
      <alignment horizontal="center" vertical="center" wrapText="1"/>
    </xf>
    <xf numFmtId="3" fontId="30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4" applyFont="1" applyFill="1" applyBorder="1" applyAlignment="1" applyProtection="1">
      <alignment vertical="center"/>
    </xf>
    <xf numFmtId="0" fontId="38" fillId="0" borderId="0" xfId="0" applyFont="1" applyProtection="1"/>
    <xf numFmtId="0" fontId="38" fillId="0" borderId="0" xfId="0" applyFont="1" applyBorder="1" applyProtection="1"/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2" fillId="0" borderId="2" xfId="1" applyNumberFormat="1" applyFont="1" applyBorder="1" applyAlignment="1" applyProtection="1">
      <alignment horizontal="left" vertical="center" indent="1"/>
    </xf>
    <xf numFmtId="0" fontId="26" fillId="0" borderId="1" xfId="0" applyFont="1" applyFill="1" applyBorder="1" applyAlignment="1" applyProtection="1">
      <alignment horizontal="left" vertical="center" indent="2"/>
    </xf>
    <xf numFmtId="0" fontId="4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3" fontId="41" fillId="0" borderId="1" xfId="4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9" fontId="21" fillId="0" borderId="0" xfId="4" applyNumberFormat="1" applyFont="1" applyBorder="1" applyAlignment="1" applyProtection="1">
      <alignment horizontal="left" indent="2"/>
    </xf>
    <xf numFmtId="0" fontId="35" fillId="0" borderId="0" xfId="0" applyFont="1" applyAlignment="1" applyProtection="1"/>
    <xf numFmtId="0" fontId="35" fillId="0" borderId="0" xfId="0" applyFont="1" applyProtection="1"/>
    <xf numFmtId="170" fontId="40" fillId="0" borderId="0" xfId="0" applyNumberFormat="1" applyFont="1" applyBorder="1" applyAlignment="1" applyProtection="1">
      <alignment horizontal="center"/>
    </xf>
    <xf numFmtId="0" fontId="35" fillId="0" borderId="0" xfId="0" quotePrefix="1" applyFont="1" applyAlignment="1" applyProtection="1">
      <alignment horizontal="left" indent="6"/>
    </xf>
    <xf numFmtId="0" fontId="40" fillId="0" borderId="1" xfId="0" applyFont="1" applyBorder="1" applyAlignment="1" applyProtection="1">
      <alignment horizontal="center" vertical="center"/>
    </xf>
    <xf numFmtId="0" fontId="40" fillId="0" borderId="1" xfId="0" applyFont="1" applyBorder="1" applyAlignment="1" applyProtection="1">
      <alignment horizontal="left" vertical="center" indent="2"/>
    </xf>
    <xf numFmtId="0" fontId="35" fillId="0" borderId="0" xfId="0" applyFont="1" applyAlignment="1" applyProtection="1">
      <alignment vertical="center"/>
    </xf>
    <xf numFmtId="3" fontId="40" fillId="0" borderId="1" xfId="0" applyNumberFormat="1" applyFont="1" applyBorder="1" applyAlignment="1" applyProtection="1">
      <alignment vertical="center"/>
    </xf>
    <xf numFmtId="0" fontId="40" fillId="0" borderId="0" xfId="0" applyFont="1" applyAlignment="1" applyProtection="1">
      <alignment vertical="center"/>
    </xf>
    <xf numFmtId="0" fontId="35" fillId="0" borderId="1" xfId="0" applyFont="1" applyBorder="1" applyAlignment="1" applyProtection="1">
      <alignment vertical="center"/>
    </xf>
    <xf numFmtId="3" fontId="35" fillId="0" borderId="1" xfId="0" applyNumberFormat="1" applyFont="1" applyBorder="1" applyAlignment="1" applyProtection="1">
      <alignment vertical="center"/>
    </xf>
    <xf numFmtId="0" fontId="40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6" fillId="0" borderId="0" xfId="0" applyNumberFormat="1" applyFont="1" applyBorder="1" applyProtection="1"/>
    <xf numFmtId="170" fontId="35" fillId="0" borderId="0" xfId="0" applyNumberFormat="1" applyFont="1" applyBorder="1" applyAlignment="1" applyProtection="1">
      <alignment horizont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27" fillId="0" borderId="1" xfId="0" applyNumberFormat="1" applyFont="1" applyFill="1" applyBorder="1" applyAlignment="1" applyProtection="1">
      <alignment horizontal="center" vertical="center"/>
    </xf>
    <xf numFmtId="3" fontId="27" fillId="0" borderId="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35" fillId="0" borderId="1" xfId="0" applyFont="1" applyBorder="1" applyAlignment="1" applyProtection="1">
      <alignment horizontal="center" vertical="center"/>
    </xf>
    <xf numFmtId="0" fontId="35" fillId="0" borderId="1" xfId="0" applyFont="1" applyBorder="1" applyAlignment="1" applyProtection="1">
      <alignment horizontal="left" vertical="center" indent="2"/>
    </xf>
    <xf numFmtId="3" fontId="35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 indent="2"/>
    </xf>
    <xf numFmtId="0" fontId="43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3" fillId="0" borderId="3" xfId="0" applyNumberFormat="1" applyFont="1" applyBorder="1" applyProtection="1"/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 shrinkToFit="1"/>
    </xf>
    <xf numFmtId="3" fontId="2" fillId="0" borderId="1" xfId="0" applyNumberFormat="1" applyFont="1" applyBorder="1" applyProtection="1"/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7" fillId="0" borderId="0" xfId="0" applyFont="1" applyFill="1" applyAlignment="1" applyProtection="1">
      <alignment vertical="center"/>
    </xf>
    <xf numFmtId="3" fontId="19" fillId="0" borderId="1" xfId="4" applyNumberFormat="1" applyFont="1" applyFill="1" applyBorder="1" applyAlignment="1" applyProtection="1">
      <alignment horizontal="center" vertical="center" wrapText="1"/>
    </xf>
    <xf numFmtId="171" fontId="5" fillId="0" borderId="3" xfId="3" applyNumberFormat="1" applyFont="1" applyBorder="1" applyProtection="1"/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vertical="center"/>
    </xf>
    <xf numFmtId="0" fontId="3" fillId="0" borderId="1" xfId="0" quotePrefix="1" applyFont="1" applyFill="1" applyBorder="1" applyAlignment="1" applyProtection="1">
      <alignment horizontal="left" vertical="center"/>
    </xf>
    <xf numFmtId="168" fontId="3" fillId="0" borderId="1" xfId="0" applyNumberFormat="1" applyFont="1" applyFill="1" applyBorder="1" applyAlignment="1" applyProtection="1">
      <alignment vertical="center"/>
      <protection locked="0"/>
    </xf>
    <xf numFmtId="3" fontId="3" fillId="4" borderId="5" xfId="0" applyNumberFormat="1" applyFont="1" applyFill="1" applyBorder="1" applyAlignment="1" applyProtection="1">
      <alignment vertical="center"/>
    </xf>
    <xf numFmtId="3" fontId="3" fillId="4" borderId="3" xfId="0" applyNumberFormat="1" applyFont="1" applyFill="1" applyBorder="1" applyAlignment="1" applyProtection="1">
      <alignment vertical="center"/>
    </xf>
    <xf numFmtId="0" fontId="6" fillId="0" borderId="1" xfId="0" quotePrefix="1" applyFont="1" applyFill="1" applyBorder="1" applyAlignment="1" applyProtection="1">
      <alignment horizontal="left" vertical="center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27" fillId="3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49" fontId="11" fillId="0" borderId="0" xfId="0" applyNumberFormat="1" applyFont="1" applyAlignment="1">
      <alignment horizontal="centerContinuous" vertical="center"/>
    </xf>
    <xf numFmtId="3" fontId="6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13" fillId="0" borderId="1" xfId="0" applyNumberFormat="1" applyFont="1" applyBorder="1" applyAlignment="1" applyProtection="1">
      <alignment horizontal="center"/>
    </xf>
    <xf numFmtId="3" fontId="10" fillId="0" borderId="1" xfId="0" applyNumberFormat="1" applyFont="1" applyBorder="1" applyAlignment="1" applyProtection="1">
      <alignment horizontal="center" vertical="center" wrapText="1"/>
    </xf>
    <xf numFmtId="3" fontId="13" fillId="0" borderId="1" xfId="0" applyNumberFormat="1" applyFont="1" applyBorder="1" applyProtection="1"/>
    <xf numFmtId="9" fontId="13" fillId="0" borderId="1" xfId="3" applyFont="1" applyBorder="1" applyProtection="1"/>
    <xf numFmtId="3" fontId="13" fillId="0" borderId="1" xfId="3" applyNumberFormat="1" applyFont="1" applyBorder="1" applyProtection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27" fillId="0" borderId="2" xfId="0" applyFont="1" applyBorder="1" applyAlignment="1" applyProtection="1">
      <alignment horizontal="center" vertical="center"/>
    </xf>
    <xf numFmtId="3" fontId="27" fillId="0" borderId="3" xfId="0" applyNumberFormat="1" applyFont="1" applyBorder="1" applyAlignment="1" applyProtection="1">
      <alignment vertical="center"/>
    </xf>
    <xf numFmtId="3" fontId="27" fillId="0" borderId="3" xfId="0" applyNumberFormat="1" applyFont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textRotation="90" wrapText="1"/>
    </xf>
    <xf numFmtId="49" fontId="3" fillId="0" borderId="1" xfId="0" applyNumberFormat="1" applyFont="1" applyBorder="1" applyAlignment="1" applyProtection="1">
      <alignment vertical="center"/>
    </xf>
    <xf numFmtId="49" fontId="11" fillId="0" borderId="0" xfId="0" applyNumberFormat="1" applyFont="1" applyBorder="1" applyAlignment="1">
      <alignment horizontal="centerContinuous" vertical="center"/>
    </xf>
    <xf numFmtId="3" fontId="33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33" fillId="0" borderId="0" xfId="0" applyNumberFormat="1" applyFont="1" applyBorder="1" applyAlignment="1">
      <alignment vertical="center"/>
    </xf>
    <xf numFmtId="3" fontId="46" fillId="0" borderId="0" xfId="0" applyNumberFormat="1" applyFont="1"/>
    <xf numFmtId="0" fontId="47" fillId="0" borderId="0" xfId="0" applyFont="1" applyProtection="1"/>
    <xf numFmtId="167" fontId="47" fillId="0" borderId="0" xfId="4" applyFont="1" applyBorder="1" applyProtection="1"/>
    <xf numFmtId="0" fontId="47" fillId="0" borderId="0" xfId="0" applyFont="1" applyAlignment="1" applyProtection="1">
      <alignment vertical="center"/>
    </xf>
    <xf numFmtId="167" fontId="47" fillId="0" borderId="0" xfId="4" applyFont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3" fontId="48" fillId="0" borderId="0" xfId="0" applyNumberFormat="1" applyFont="1" applyProtection="1"/>
    <xf numFmtId="167" fontId="48" fillId="0" borderId="0" xfId="4" applyFont="1" applyBorder="1" applyProtection="1"/>
    <xf numFmtId="0" fontId="48" fillId="0" borderId="0" xfId="0" applyFont="1" applyProtection="1"/>
    <xf numFmtId="0" fontId="48" fillId="0" borderId="0" xfId="0" applyFont="1" applyAlignment="1" applyProtection="1">
      <alignment vertical="center"/>
    </xf>
    <xf numFmtId="167" fontId="48" fillId="0" borderId="0" xfId="4" applyFont="1" applyBorder="1" applyAlignment="1" applyProtection="1">
      <alignment vertical="center"/>
    </xf>
    <xf numFmtId="169" fontId="48" fillId="0" borderId="0" xfId="4" applyNumberFormat="1" applyFont="1" applyAlignment="1" applyProtection="1">
      <alignment vertical="center"/>
    </xf>
    <xf numFmtId="3" fontId="47" fillId="0" borderId="0" xfId="0" applyNumberFormat="1" applyFont="1" applyAlignment="1" applyProtection="1">
      <alignment vertical="center"/>
    </xf>
    <xf numFmtId="0" fontId="47" fillId="0" borderId="0" xfId="0" applyFont="1" applyFill="1" applyAlignment="1" applyProtection="1">
      <alignment vertical="center"/>
    </xf>
    <xf numFmtId="167" fontId="47" fillId="0" borderId="0" xfId="4" applyFont="1" applyFill="1" applyBorder="1" applyAlignment="1" applyProtection="1">
      <alignment vertical="center"/>
    </xf>
    <xf numFmtId="3" fontId="47" fillId="0" borderId="0" xfId="0" applyNumberFormat="1" applyFont="1" applyFill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167" fontId="49" fillId="0" borderId="0" xfId="4" applyFont="1" applyFill="1" applyBorder="1" applyAlignment="1" applyProtection="1">
      <alignment vertical="center"/>
    </xf>
    <xf numFmtId="3" fontId="49" fillId="0" borderId="0" xfId="0" applyNumberFormat="1" applyFont="1" applyFill="1" applyAlignment="1" applyProtection="1">
      <alignment vertical="center"/>
    </xf>
    <xf numFmtId="0" fontId="49" fillId="0" borderId="0" xfId="0" applyFont="1" applyAlignment="1" applyProtection="1">
      <alignment vertical="center"/>
    </xf>
    <xf numFmtId="167" fontId="49" fillId="0" borderId="0" xfId="4" applyFont="1" applyBorder="1" applyAlignment="1" applyProtection="1">
      <alignment vertical="center"/>
    </xf>
    <xf numFmtId="0" fontId="50" fillId="0" borderId="0" xfId="0" applyFont="1" applyProtection="1"/>
    <xf numFmtId="0" fontId="50" fillId="0" borderId="0" xfId="0" applyFont="1" applyBorder="1" applyProtection="1"/>
    <xf numFmtId="3" fontId="50" fillId="0" borderId="0" xfId="0" applyNumberFormat="1" applyFont="1" applyBorder="1" applyProtection="1"/>
    <xf numFmtId="3" fontId="50" fillId="0" borderId="0" xfId="0" applyNumberFormat="1" applyFont="1" applyProtection="1"/>
    <xf numFmtId="0" fontId="51" fillId="0" borderId="0" xfId="0" applyFont="1" applyProtection="1"/>
    <xf numFmtId="0" fontId="51" fillId="0" borderId="0" xfId="0" applyFont="1" applyBorder="1" applyProtection="1"/>
    <xf numFmtId="3" fontId="51" fillId="0" borderId="0" xfId="0" applyNumberFormat="1" applyFont="1" applyBorder="1" applyProtection="1"/>
    <xf numFmtId="0" fontId="52" fillId="0" borderId="0" xfId="0" applyFont="1" applyProtection="1"/>
    <xf numFmtId="0" fontId="52" fillId="0" borderId="0" xfId="0" applyFont="1" applyAlignment="1" applyProtection="1">
      <alignment vertical="center"/>
    </xf>
    <xf numFmtId="3" fontId="53" fillId="0" borderId="0" xfId="0" applyNumberFormat="1" applyFont="1" applyAlignment="1" applyProtection="1">
      <alignment vertical="center"/>
    </xf>
    <xf numFmtId="0" fontId="51" fillId="0" borderId="0" xfId="0" applyFont="1" applyAlignment="1" applyProtection="1">
      <alignment vertical="center"/>
    </xf>
    <xf numFmtId="0" fontId="51" fillId="0" borderId="0" xfId="0" applyFont="1" applyBorder="1" applyAlignment="1" applyProtection="1">
      <alignment vertical="center"/>
    </xf>
    <xf numFmtId="3" fontId="51" fillId="0" borderId="0" xfId="0" applyNumberFormat="1" applyFont="1" applyBorder="1" applyAlignment="1" applyProtection="1">
      <alignment vertical="center"/>
    </xf>
    <xf numFmtId="3" fontId="51" fillId="0" borderId="0" xfId="0" applyNumberFormat="1" applyFont="1" applyAlignment="1" applyProtection="1">
      <alignment vertical="center"/>
    </xf>
    <xf numFmtId="0" fontId="51" fillId="0" borderId="0" xfId="0" applyFont="1" applyBorder="1" applyAlignment="1" applyProtection="1">
      <alignment vertical="center" wrapText="1"/>
    </xf>
    <xf numFmtId="0" fontId="51" fillId="0" borderId="0" xfId="0" applyFont="1" applyFill="1" applyBorder="1" applyProtection="1"/>
    <xf numFmtId="3" fontId="54" fillId="0" borderId="0" xfId="0" applyNumberFormat="1" applyFont="1" applyBorder="1" applyAlignment="1">
      <alignment vertical="center"/>
    </xf>
    <xf numFmtId="0" fontId="55" fillId="0" borderId="0" xfId="0" applyFont="1" applyAlignment="1">
      <alignment vertical="center"/>
    </xf>
    <xf numFmtId="3" fontId="56" fillId="0" borderId="0" xfId="0" applyNumberFormat="1" applyFont="1" applyBorder="1" applyAlignment="1">
      <alignment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 indent="1"/>
    </xf>
    <xf numFmtId="3" fontId="13" fillId="0" borderId="1" xfId="0" applyNumberFormat="1" applyFont="1" applyFill="1" applyBorder="1" applyAlignment="1" applyProtection="1">
      <alignment vertical="center"/>
    </xf>
    <xf numFmtId="9" fontId="13" fillId="0" borderId="1" xfId="3" applyFont="1" applyFill="1" applyBorder="1" applyAlignment="1" applyProtection="1">
      <alignment vertical="center"/>
    </xf>
    <xf numFmtId="3" fontId="13" fillId="0" borderId="1" xfId="3" applyNumberFormat="1" applyFont="1" applyBorder="1" applyAlignment="1" applyProtection="1">
      <alignment vertical="center"/>
    </xf>
    <xf numFmtId="3" fontId="13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3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/>
    <xf numFmtId="0" fontId="57" fillId="0" borderId="0" xfId="0" applyFont="1" applyAlignment="1" applyProtection="1">
      <alignment vertical="center"/>
    </xf>
    <xf numFmtId="3" fontId="30" fillId="0" borderId="1" xfId="4" applyNumberFormat="1" applyFont="1" applyFill="1" applyBorder="1" applyAlignment="1" applyProtection="1">
      <alignment horizontal="center"/>
      <protection locked="0"/>
    </xf>
    <xf numFmtId="167" fontId="57" fillId="0" borderId="0" xfId="4" applyFont="1" applyBorder="1" applyAlignment="1" applyProtection="1">
      <alignment vertical="center"/>
    </xf>
    <xf numFmtId="3" fontId="57" fillId="0" borderId="1" xfId="4" applyNumberFormat="1" applyFont="1" applyFill="1" applyBorder="1" applyAlignment="1" applyProtection="1">
      <alignment horizontal="center"/>
    </xf>
    <xf numFmtId="9" fontId="27" fillId="0" borderId="1" xfId="3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vertical="center"/>
    </xf>
    <xf numFmtId="0" fontId="34" fillId="0" borderId="0" xfId="0" applyFont="1" applyFill="1"/>
    <xf numFmtId="0" fontId="5" fillId="0" borderId="1" xfId="0" applyFont="1" applyBorder="1" applyProtection="1"/>
    <xf numFmtId="0" fontId="2" fillId="0" borderId="1" xfId="0" applyFont="1" applyBorder="1" applyAlignment="1" applyProtection="1">
      <alignment horizontal="left"/>
    </xf>
    <xf numFmtId="0" fontId="2" fillId="0" borderId="1" xfId="0" applyFont="1" applyFill="1" applyBorder="1" applyAlignment="1" applyProtection="1">
      <alignment wrapText="1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59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vertical="center"/>
    </xf>
    <xf numFmtId="3" fontId="36" fillId="0" borderId="0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 applyProtection="1">
      <alignment horizontal="center" vertical="center"/>
    </xf>
    <xf numFmtId="3" fontId="55" fillId="0" borderId="0" xfId="0" applyNumberFormat="1" applyFont="1" applyFill="1" applyBorder="1" applyAlignment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3" fontId="5" fillId="0" borderId="0" xfId="0" applyNumberFormat="1" applyFont="1" applyBorder="1" applyAlignment="1">
      <alignment vertical="center"/>
    </xf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5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5" fillId="0" borderId="0" xfId="0" applyFont="1" applyFill="1" applyProtection="1">
      <protection hidden="1"/>
    </xf>
    <xf numFmtId="0" fontId="15" fillId="0" borderId="0" xfId="0" applyFont="1" applyFill="1"/>
    <xf numFmtId="3" fontId="61" fillId="0" borderId="0" xfId="0" applyNumberFormat="1" applyFont="1" applyFill="1" applyProtection="1"/>
    <xf numFmtId="3" fontId="61" fillId="0" borderId="0" xfId="0" applyNumberFormat="1" applyFont="1" applyFill="1" applyProtection="1">
      <protection hidden="1"/>
    </xf>
    <xf numFmtId="3" fontId="27" fillId="0" borderId="1" xfId="0" applyNumberFormat="1" applyFont="1" applyFill="1" applyBorder="1" applyProtection="1"/>
    <xf numFmtId="0" fontId="15" fillId="0" borderId="0" xfId="0" applyFont="1" applyBorder="1" applyProtection="1"/>
    <xf numFmtId="3" fontId="15" fillId="0" borderId="0" xfId="0" applyNumberFormat="1" applyFont="1" applyBorder="1" applyProtection="1"/>
    <xf numFmtId="0" fontId="62" fillId="0" borderId="0" xfId="0" applyFont="1" applyFill="1" applyProtection="1"/>
    <xf numFmtId="3" fontId="62" fillId="0" borderId="0" xfId="0" applyNumberFormat="1" applyFont="1" applyFill="1" applyAlignment="1" applyProtection="1">
      <alignment horizontal="center"/>
    </xf>
    <xf numFmtId="3" fontId="62" fillId="0" borderId="0" xfId="0" applyNumberFormat="1" applyFont="1" applyFill="1" applyAlignment="1" applyProtection="1">
      <alignment horizontal="center"/>
      <protection hidden="1"/>
    </xf>
    <xf numFmtId="3" fontId="63" fillId="0" borderId="0" xfId="0" applyNumberFormat="1" applyFont="1"/>
    <xf numFmtId="0" fontId="63" fillId="0" borderId="0" xfId="0" applyFont="1" applyFill="1"/>
    <xf numFmtId="0" fontId="63" fillId="0" borderId="0" xfId="0" applyFont="1" applyAlignment="1">
      <alignment vertical="center"/>
    </xf>
    <xf numFmtId="167" fontId="63" fillId="0" borderId="0" xfId="4" applyFont="1" applyAlignment="1">
      <alignment vertical="center"/>
    </xf>
    <xf numFmtId="0" fontId="63" fillId="0" borderId="0" xfId="0" applyFont="1"/>
    <xf numFmtId="167" fontId="63" fillId="0" borderId="0" xfId="4" applyFont="1"/>
    <xf numFmtId="0" fontId="65" fillId="0" borderId="0" xfId="0" applyFont="1"/>
    <xf numFmtId="167" fontId="65" fillId="0" borderId="0" xfId="4" applyFont="1"/>
    <xf numFmtId="0" fontId="63" fillId="0" borderId="0" xfId="0" applyFont="1" applyFill="1" applyAlignment="1">
      <alignment vertical="center"/>
    </xf>
    <xf numFmtId="167" fontId="63" fillId="0" borderId="0" xfId="4" applyFont="1" applyFill="1" applyAlignment="1">
      <alignment vertical="center"/>
    </xf>
    <xf numFmtId="3" fontId="64" fillId="0" borderId="0" xfId="0" applyNumberFormat="1" applyFont="1" applyFill="1" applyAlignment="1" applyProtection="1">
      <alignment vertical="center"/>
    </xf>
    <xf numFmtId="167" fontId="63" fillId="0" borderId="0" xfId="4" applyFont="1" applyFill="1"/>
    <xf numFmtId="3" fontId="62" fillId="0" borderId="0" xfId="0" applyNumberFormat="1" applyFont="1" applyBorder="1" applyProtection="1"/>
    <xf numFmtId="3" fontId="66" fillId="0" borderId="0" xfId="0" applyNumberFormat="1" applyFont="1" applyBorder="1" applyAlignment="1">
      <alignment horizontal="center" vertical="center"/>
    </xf>
    <xf numFmtId="170" fontId="67" fillId="0" borderId="0" xfId="0" applyNumberFormat="1" applyFont="1" applyBorder="1" applyAlignment="1" applyProtection="1">
      <alignment horizontal="center"/>
    </xf>
    <xf numFmtId="3" fontId="68" fillId="3" borderId="1" xfId="0" applyNumberFormat="1" applyFont="1" applyFill="1" applyBorder="1" applyAlignment="1" applyProtection="1">
      <alignment horizontal="center" vertical="center" wrapText="1"/>
    </xf>
    <xf numFmtId="0" fontId="68" fillId="0" borderId="2" xfId="0" applyFont="1" applyBorder="1" applyAlignment="1">
      <alignment horizontal="center"/>
    </xf>
    <xf numFmtId="3" fontId="67" fillId="0" borderId="3" xfId="0" applyNumberFormat="1" applyFont="1" applyBorder="1" applyProtection="1">
      <protection locked="0"/>
    </xf>
    <xf numFmtId="171" fontId="69" fillId="0" borderId="3" xfId="3" applyNumberFormat="1" applyFont="1" applyBorder="1" applyProtection="1"/>
    <xf numFmtId="3" fontId="69" fillId="0" borderId="1" xfId="0" applyNumberFormat="1" applyFont="1" applyFill="1" applyBorder="1" applyProtection="1"/>
    <xf numFmtId="3" fontId="67" fillId="0" borderId="1" xfId="0" applyNumberFormat="1" applyFont="1" applyFill="1" applyBorder="1" applyProtection="1"/>
    <xf numFmtId="3" fontId="69" fillId="0" borderId="1" xfId="3" applyNumberFormat="1" applyFont="1" applyFill="1" applyBorder="1" applyProtection="1"/>
    <xf numFmtId="0" fontId="67" fillId="0" borderId="0" xfId="0" applyFont="1" applyProtection="1"/>
    <xf numFmtId="0" fontId="62" fillId="0" borderId="0" xfId="0" applyFont="1" applyProtection="1"/>
    <xf numFmtId="0" fontId="57" fillId="20" borderId="1" xfId="0" applyFont="1" applyFill="1" applyBorder="1" applyAlignment="1" applyProtection="1">
      <alignment horizontal="left" vertical="center" wrapText="1" indent="1"/>
    </xf>
    <xf numFmtId="0" fontId="90" fillId="0" borderId="0" xfId="0" applyFont="1" applyFill="1" applyProtection="1"/>
    <xf numFmtId="0" fontId="30" fillId="20" borderId="1" xfId="0" applyFont="1" applyFill="1" applyBorder="1" applyAlignment="1" applyProtection="1">
      <alignment horizontal="left" vertical="center" wrapText="1" indent="1"/>
    </xf>
    <xf numFmtId="3" fontId="27" fillId="0" borderId="3" xfId="0" applyNumberFormat="1" applyFont="1" applyFill="1" applyBorder="1" applyAlignment="1" applyProtection="1">
      <alignment vertical="center"/>
    </xf>
    <xf numFmtId="0" fontId="27" fillId="0" borderId="2" xfId="0" applyFont="1" applyFill="1" applyBorder="1" applyAlignment="1" applyProtection="1">
      <alignment horizontal="left" vertical="center" wrapText="1" indent="2"/>
    </xf>
    <xf numFmtId="3" fontId="27" fillId="0" borderId="3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27" fillId="0" borderId="4" xfId="0" applyFont="1" applyFill="1" applyBorder="1" applyAlignment="1" applyProtection="1">
      <alignment horizontal="center" vertical="center"/>
    </xf>
    <xf numFmtId="3" fontId="27" fillId="0" borderId="1" xfId="0" applyNumberFormat="1" applyFont="1" applyFill="1" applyBorder="1" applyAlignment="1" applyProtection="1">
      <alignment vertical="center"/>
      <protection locked="0"/>
    </xf>
    <xf numFmtId="3" fontId="90" fillId="0" borderId="0" xfId="0" applyNumberFormat="1" applyFont="1" applyFill="1" applyProtection="1"/>
    <xf numFmtId="3" fontId="32" fillId="0" borderId="1" xfId="3" applyNumberFormat="1" applyFont="1" applyFill="1" applyBorder="1" applyProtection="1"/>
    <xf numFmtId="0" fontId="90" fillId="0" borderId="0" xfId="0" applyFont="1" applyFill="1" applyAlignment="1" applyProtection="1">
      <alignment vertical="center"/>
    </xf>
    <xf numFmtId="0" fontId="90" fillId="0" borderId="0" xfId="0" applyFont="1" applyFill="1" applyAlignment="1" applyProtection="1">
      <alignment horizontal="center" vertical="center"/>
    </xf>
    <xf numFmtId="0" fontId="90" fillId="0" borderId="0" xfId="0" applyFont="1" applyFill="1" applyAlignment="1" applyProtection="1">
      <alignment horizontal="center" vertical="center"/>
      <protection hidden="1"/>
    </xf>
    <xf numFmtId="0" fontId="90" fillId="0" borderId="0" xfId="0" applyFont="1" applyFill="1" applyAlignment="1" applyProtection="1">
      <alignment horizontal="center"/>
    </xf>
    <xf numFmtId="0" fontId="90" fillId="0" borderId="0" xfId="0" applyFont="1" applyFill="1" applyAlignment="1" applyProtection="1">
      <alignment horizontal="center"/>
      <protection hidden="1"/>
    </xf>
    <xf numFmtId="3" fontId="90" fillId="0" borderId="0" xfId="0" applyNumberFormat="1" applyFont="1" applyFill="1" applyAlignment="1" applyProtection="1">
      <alignment horizontal="center"/>
    </xf>
    <xf numFmtId="0" fontId="90" fillId="0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3" fontId="67" fillId="0" borderId="1" xfId="0" applyNumberFormat="1" applyFont="1" applyBorder="1" applyAlignment="1" applyProtection="1">
      <alignment vertical="center"/>
    </xf>
    <xf numFmtId="3" fontId="13" fillId="0" borderId="1" xfId="3" applyNumberFormat="1" applyFont="1" applyFill="1" applyBorder="1" applyAlignment="1" applyProtection="1">
      <alignment vertical="center"/>
    </xf>
    <xf numFmtId="0" fontId="91" fillId="0" borderId="0" xfId="0" applyFont="1" applyFill="1" applyProtection="1"/>
    <xf numFmtId="0" fontId="91" fillId="0" borderId="0" xfId="0" applyFont="1" applyFill="1" applyAlignment="1" applyProtection="1">
      <alignment wrapText="1"/>
    </xf>
    <xf numFmtId="0" fontId="91" fillId="0" borderId="0" xfId="0" applyFont="1" applyFill="1" applyAlignment="1" applyProtection="1">
      <alignment horizontal="center"/>
    </xf>
    <xf numFmtId="0" fontId="2" fillId="0" borderId="1" xfId="0" applyFont="1" applyFill="1" applyBorder="1" applyAlignment="1" applyProtection="1">
      <alignment horizontal="left" vertical="center" wrapText="1" indent="2"/>
    </xf>
    <xf numFmtId="0" fontId="28" fillId="0" borderId="0" xfId="0" applyFont="1"/>
    <xf numFmtId="0" fontId="28" fillId="0" borderId="0" xfId="0" applyFont="1" applyFill="1" applyBorder="1"/>
    <xf numFmtId="3" fontId="2" fillId="0" borderId="3" xfId="0" applyNumberFormat="1" applyFont="1" applyFill="1" applyBorder="1" applyProtection="1"/>
    <xf numFmtId="3" fontId="0" fillId="0" borderId="3" xfId="0" applyNumberFormat="1" applyFont="1" applyFill="1" applyBorder="1" applyProtection="1"/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Alignment="1">
      <alignment vertical="center" wrapText="1"/>
    </xf>
    <xf numFmtId="3" fontId="45" fillId="3" borderId="5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vertical="center" wrapText="1"/>
    </xf>
    <xf numFmtId="3" fontId="8" fillId="0" borderId="1" xfId="3" applyNumberFormat="1" applyFont="1" applyFill="1" applyBorder="1" applyAlignment="1" applyProtection="1">
      <alignment vertical="center"/>
    </xf>
    <xf numFmtId="0" fontId="111" fillId="0" borderId="0" xfId="0" applyFont="1" applyFill="1" applyProtection="1"/>
    <xf numFmtId="0" fontId="112" fillId="0" borderId="0" xfId="0" applyFont="1" applyFill="1" applyProtection="1"/>
    <xf numFmtId="3" fontId="112" fillId="0" borderId="0" xfId="0" applyNumberFormat="1" applyFont="1" applyFill="1" applyAlignment="1" applyProtection="1">
      <alignment horizontal="center"/>
    </xf>
    <xf numFmtId="0" fontId="112" fillId="0" borderId="0" xfId="0" applyFont="1" applyFill="1" applyAlignment="1" applyProtection="1">
      <alignment horizontal="center"/>
    </xf>
    <xf numFmtId="3" fontId="112" fillId="0" borderId="0" xfId="0" applyNumberFormat="1" applyFont="1" applyFill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wrapText="1" indent="2"/>
    </xf>
    <xf numFmtId="0" fontId="27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left" vertical="center" wrapText="1" indent="1"/>
    </xf>
    <xf numFmtId="0" fontId="27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7" fillId="0" borderId="1" xfId="0" applyFont="1" applyFill="1" applyBorder="1" applyAlignment="1">
      <alignment horizontal="left" vertical="center" wrapText="1" indent="1"/>
    </xf>
    <xf numFmtId="0" fontId="4" fillId="0" borderId="0" xfId="0" applyFont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45" fillId="3" borderId="5" xfId="0" applyNumberFormat="1" applyFont="1" applyFill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>
      <alignment vertical="center" wrapText="1"/>
    </xf>
    <xf numFmtId="4" fontId="3" fillId="0" borderId="0" xfId="0" applyNumberFormat="1" applyFont="1" applyFill="1" applyBorder="1" applyProtection="1">
      <protection locked="0"/>
    </xf>
    <xf numFmtId="4" fontId="67" fillId="0" borderId="0" xfId="0" applyNumberFormat="1" applyFont="1" applyFill="1" applyBorder="1" applyProtection="1">
      <protection locked="0"/>
    </xf>
    <xf numFmtId="171" fontId="5" fillId="0" borderId="1" xfId="3" applyNumberFormat="1" applyFont="1" applyFill="1" applyBorder="1" applyAlignment="1" applyProtection="1">
      <alignment vertical="center"/>
    </xf>
    <xf numFmtId="171" fontId="69" fillId="0" borderId="1" xfId="3" applyNumberFormat="1" applyFont="1" applyFill="1" applyBorder="1" applyAlignment="1" applyProtection="1">
      <alignment vertical="center"/>
    </xf>
    <xf numFmtId="171" fontId="5" fillId="0" borderId="1" xfId="3" applyNumberFormat="1" applyFont="1" applyFill="1" applyBorder="1" applyProtection="1"/>
    <xf numFmtId="171" fontId="69" fillId="0" borderId="1" xfId="3" applyNumberFormat="1" applyFont="1" applyFill="1" applyBorder="1" applyProtection="1"/>
    <xf numFmtId="3" fontId="2" fillId="0" borderId="1" xfId="0" applyNumberFormat="1" applyFont="1" applyFill="1" applyBorder="1" applyProtection="1"/>
    <xf numFmtId="3" fontId="67" fillId="0" borderId="1" xfId="0" applyNumberFormat="1" applyFont="1" applyFill="1" applyBorder="1" applyAlignment="1" applyProtection="1">
      <alignment vertical="center"/>
    </xf>
    <xf numFmtId="3" fontId="27" fillId="0" borderId="12" xfId="0" applyNumberFormat="1" applyFont="1" applyFill="1" applyBorder="1" applyAlignment="1" applyProtection="1">
      <alignment vertical="center"/>
    </xf>
    <xf numFmtId="3" fontId="20" fillId="43" borderId="1" xfId="0" applyNumberFormat="1" applyFont="1" applyFill="1" applyBorder="1" applyAlignment="1" applyProtection="1">
      <alignment horizontal="right" vertical="center"/>
    </xf>
    <xf numFmtId="49" fontId="11" fillId="0" borderId="0" xfId="0" applyNumberFormat="1" applyFont="1" applyFill="1" applyBorder="1" applyAlignment="1">
      <alignment horizontal="centerContinuous" vertical="center"/>
    </xf>
    <xf numFmtId="0" fontId="4" fillId="0" borderId="0" xfId="0" applyFont="1" applyFill="1" applyBorder="1" applyAlignment="1" applyProtection="1">
      <alignment horizontal="center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170" fontId="5" fillId="0" borderId="0" xfId="0" applyNumberFormat="1" applyFont="1" applyFill="1" applyAlignment="1">
      <alignment horizontal="centerContinuous"/>
    </xf>
    <xf numFmtId="49" fontId="2" fillId="0" borderId="1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49" fontId="2" fillId="0" borderId="0" xfId="0" applyNumberFormat="1" applyFont="1" applyFill="1"/>
    <xf numFmtId="3" fontId="2" fillId="0" borderId="0" xfId="0" applyNumberFormat="1" applyFont="1" applyFill="1" applyBorder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3" fillId="0" borderId="0" xfId="0" applyNumberFormat="1" applyFont="1" applyFill="1" applyBorder="1" applyAlignment="1">
      <alignment horizontal="center" vertical="center" wrapText="1"/>
    </xf>
    <xf numFmtId="3" fontId="10" fillId="0" borderId="0" xfId="0" applyNumberFormat="1" applyFont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wrapText="1"/>
    </xf>
    <xf numFmtId="3" fontId="10" fillId="0" borderId="1" xfId="3" applyNumberFormat="1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0" fontId="2" fillId="0" borderId="1" xfId="0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3" fontId="113" fillId="0" borderId="0" xfId="0" applyNumberFormat="1" applyFont="1" applyBorder="1" applyAlignment="1">
      <alignment horizontal="center" vertical="center"/>
    </xf>
    <xf numFmtId="170" fontId="5" fillId="0" borderId="0" xfId="0" applyNumberFormat="1" applyFont="1" applyAlignment="1">
      <alignment horizontal="centerContinuous"/>
    </xf>
    <xf numFmtId="49" fontId="2" fillId="0" borderId="1" xfId="0" applyNumberFormat="1" applyFont="1" applyBorder="1" applyAlignment="1" applyProtection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Protection="1"/>
    <xf numFmtId="49" fontId="2" fillId="0" borderId="0" xfId="0" applyNumberFormat="1" applyFont="1"/>
    <xf numFmtId="9" fontId="2" fillId="0" borderId="1" xfId="9" applyFont="1" applyFill="1" applyBorder="1" applyProtection="1">
      <protection hidden="1"/>
    </xf>
    <xf numFmtId="3" fontId="2" fillId="0" borderId="1" xfId="0" applyNumberFormat="1" applyFont="1" applyBorder="1"/>
    <xf numFmtId="3" fontId="2" fillId="0" borderId="1" xfId="0" applyNumberFormat="1" applyFont="1" applyBorder="1" applyAlignment="1" applyProtection="1">
      <alignment wrapText="1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Protection="1">
      <protection hidden="1"/>
    </xf>
    <xf numFmtId="3" fontId="2" fillId="0" borderId="3" xfId="0" applyNumberFormat="1" applyFont="1" applyFill="1" applyBorder="1" applyProtection="1">
      <protection locked="0"/>
    </xf>
    <xf numFmtId="3" fontId="0" fillId="0" borderId="3" xfId="0" applyNumberFormat="1" applyFont="1" applyFill="1" applyBorder="1" applyProtection="1">
      <protection locked="0"/>
    </xf>
    <xf numFmtId="3" fontId="44" fillId="0" borderId="1" xfId="0" applyNumberFormat="1" applyFont="1" applyFill="1" applyBorder="1" applyAlignment="1" applyProtection="1">
      <alignment horizontal="left" wrapText="1"/>
    </xf>
    <xf numFmtId="3" fontId="44" fillId="0" borderId="1" xfId="0" applyNumberFormat="1" applyFont="1" applyFill="1" applyBorder="1" applyAlignment="1" applyProtection="1">
      <alignment horizontal="center" wrapText="1"/>
    </xf>
    <xf numFmtId="3" fontId="114" fillId="0" borderId="1" xfId="3" applyNumberFormat="1" applyFont="1" applyBorder="1" applyAlignment="1" applyProtection="1">
      <alignment vertical="center"/>
    </xf>
    <xf numFmtId="0" fontId="34" fillId="0" borderId="0" xfId="0" applyFont="1" applyFill="1" applyAlignment="1">
      <alignment vertical="center"/>
    </xf>
    <xf numFmtId="0" fontId="58" fillId="0" borderId="0" xfId="0" applyFont="1" applyFill="1"/>
    <xf numFmtId="0" fontId="112" fillId="0" borderId="0" xfId="0" applyFont="1" applyFill="1" applyAlignment="1" applyProtection="1">
      <alignment horizontal="center"/>
      <protection hidden="1"/>
    </xf>
    <xf numFmtId="0" fontId="111" fillId="0" borderId="0" xfId="0" applyFont="1" applyFill="1" applyAlignment="1" applyProtection="1">
      <alignment horizontal="right"/>
    </xf>
    <xf numFmtId="0" fontId="4" fillId="0" borderId="3" xfId="0" applyFont="1" applyBorder="1" applyAlignment="1">
      <alignment horizontal="center"/>
    </xf>
    <xf numFmtId="3" fontId="0" fillId="0" borderId="3" xfId="0" applyNumberFormat="1" applyFont="1" applyFill="1" applyBorder="1" applyAlignment="1">
      <alignment vertical="center" wrapText="1"/>
    </xf>
    <xf numFmtId="3" fontId="0" fillId="0" borderId="12" xfId="0" quotePrefix="1" applyNumberFormat="1" applyFill="1" applyBorder="1" applyAlignment="1">
      <alignment vertical="center" wrapText="1"/>
    </xf>
    <xf numFmtId="0" fontId="5" fillId="0" borderId="23" xfId="0" applyFont="1" applyFill="1" applyBorder="1" applyAlignment="1">
      <alignment horizontal="center" wrapText="1"/>
    </xf>
    <xf numFmtId="4" fontId="3" fillId="0" borderId="24" xfId="0" applyNumberFormat="1" applyFont="1" applyFill="1" applyBorder="1" applyProtection="1">
      <protection locked="0"/>
    </xf>
    <xf numFmtId="167" fontId="2" fillId="0" borderId="0" xfId="4" applyFont="1" applyBorder="1" applyProtection="1"/>
    <xf numFmtId="167" fontId="3" fillId="0" borderId="0" xfId="4" applyFont="1" applyBorder="1" applyProtection="1"/>
    <xf numFmtId="167" fontId="50" fillId="0" borderId="0" xfId="4" applyFont="1" applyBorder="1" applyProtection="1"/>
    <xf numFmtId="167" fontId="38" fillId="0" borderId="0" xfId="4" applyFont="1" applyBorder="1" applyProtection="1"/>
    <xf numFmtId="167" fontId="3" fillId="0" borderId="0" xfId="4" applyFont="1" applyProtection="1"/>
    <xf numFmtId="0" fontId="115" fillId="0" borderId="0" xfId="0" applyFont="1" applyAlignment="1" applyProtection="1">
      <alignment horizontal="center"/>
    </xf>
    <xf numFmtId="0" fontId="90" fillId="0" borderId="0" xfId="0" applyFont="1" applyProtection="1"/>
    <xf numFmtId="0" fontId="2" fillId="0" borderId="1" xfId="0" applyFont="1" applyFill="1" applyBorder="1" applyAlignment="1" applyProtection="1">
      <alignment horizontal="left" vertical="center"/>
    </xf>
    <xf numFmtId="49" fontId="5" fillId="0" borderId="1" xfId="0" applyNumberFormat="1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vertical="center"/>
    </xf>
    <xf numFmtId="0" fontId="51" fillId="0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60" fillId="0" borderId="0" xfId="0" applyNumberFormat="1" applyFont="1" applyBorder="1" applyAlignment="1" applyProtection="1">
      <alignment horizontal="center" vertical="center"/>
    </xf>
    <xf numFmtId="167" fontId="63" fillId="0" borderId="0" xfId="4" applyFont="1" applyFill="1" applyAlignment="1" applyProtection="1">
      <alignment vertical="center"/>
    </xf>
    <xf numFmtId="3" fontId="116" fillId="0" borderId="1" xfId="0" quotePrefix="1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168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3" fontId="111" fillId="0" borderId="0" xfId="0" applyNumberFormat="1" applyFont="1" applyFill="1" applyProtection="1"/>
    <xf numFmtId="3" fontId="5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0" borderId="5" xfId="0" applyNumberFormat="1" applyFont="1" applyFill="1" applyBorder="1" applyAlignment="1" applyProtection="1">
      <alignment horizontal="center" vertical="center" wrapText="1"/>
    </xf>
    <xf numFmtId="3" fontId="16" fillId="0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1" xfId="0" applyNumberFormat="1" applyFont="1" applyFill="1" applyBorder="1" applyAlignment="1" applyProtection="1">
      <alignment horizontal="center" vertical="center" wrapText="1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3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10" xfId="0" applyNumberFormat="1" applyFont="1" applyFill="1" applyBorder="1" applyAlignment="1" applyProtection="1">
      <alignment horizontal="center" vertical="center" wrapText="1"/>
    </xf>
    <xf numFmtId="3" fontId="16" fillId="3" borderId="9" xfId="0" applyNumberFormat="1" applyFont="1" applyFill="1" applyBorder="1" applyAlignment="1" applyProtection="1">
      <alignment horizontal="center" vertical="center" wrapText="1"/>
    </xf>
    <xf numFmtId="3" fontId="45" fillId="3" borderId="7" xfId="0" applyNumberFormat="1" applyFont="1" applyFill="1" applyBorder="1" applyAlignment="1" applyProtection="1">
      <alignment horizontal="center" vertical="center" wrapText="1"/>
    </xf>
    <xf numFmtId="3" fontId="45" fillId="3" borderId="10" xfId="0" applyNumberFormat="1" applyFont="1" applyFill="1" applyBorder="1" applyAlignment="1" applyProtection="1">
      <alignment horizontal="center" vertical="center" wrapText="1"/>
    </xf>
    <xf numFmtId="3" fontId="45" fillId="3" borderId="13" xfId="0" applyNumberFormat="1" applyFont="1" applyFill="1" applyBorder="1" applyAlignment="1" applyProtection="1">
      <alignment horizontal="center" vertical="center" wrapText="1"/>
    </xf>
    <xf numFmtId="3" fontId="45" fillId="3" borderId="2" xfId="0" applyNumberFormat="1" applyFont="1" applyFill="1" applyBorder="1" applyAlignment="1" applyProtection="1">
      <alignment horizontal="center" vertical="center" wrapText="1"/>
    </xf>
    <xf numFmtId="3" fontId="45" fillId="3" borderId="9" xfId="0" applyNumberFormat="1" applyFont="1" applyFill="1" applyBorder="1" applyAlignment="1" applyProtection="1">
      <alignment horizontal="center" vertical="center" wrapText="1"/>
    </xf>
    <xf numFmtId="3" fontId="45" fillId="3" borderId="12" xfId="0" applyNumberFormat="1" applyFont="1" applyFill="1" applyBorder="1" applyAlignment="1" applyProtection="1">
      <alignment horizontal="center" vertical="center" wrapText="1"/>
    </xf>
    <xf numFmtId="3" fontId="45" fillId="3" borderId="5" xfId="0" applyNumberFormat="1" applyFont="1" applyFill="1" applyBorder="1" applyAlignment="1" applyProtection="1">
      <alignment horizontal="center" vertical="center" wrapText="1"/>
    </xf>
    <xf numFmtId="3" fontId="45" fillId="3" borderId="11" xfId="0" applyNumberFormat="1" applyFont="1" applyFill="1" applyBorder="1" applyAlignment="1" applyProtection="1">
      <alignment horizontal="center" vertical="center" wrapText="1"/>
    </xf>
    <xf numFmtId="3" fontId="45" fillId="3" borderId="4" xfId="0" applyNumberFormat="1" applyFont="1" applyFill="1" applyBorder="1" applyAlignment="1" applyProtection="1">
      <alignment horizontal="center" vertical="center" wrapText="1"/>
    </xf>
    <xf numFmtId="3" fontId="45" fillId="3" borderId="6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5" fillId="3" borderId="8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170" fontId="27" fillId="0" borderId="9" xfId="0" applyNumberFormat="1" applyFont="1" applyBorder="1" applyAlignment="1" applyProtection="1">
      <alignment horizontal="center"/>
    </xf>
    <xf numFmtId="0" fontId="40" fillId="0" borderId="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428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CC66FF"/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FB90"/>
  <sheetViews>
    <sheetView tabSelected="1" zoomScaleSheetLayoutView="100" workbookViewId="0">
      <pane xSplit="2" ySplit="4" topLeftCell="C29" activePane="bottomRight" state="frozen"/>
      <selection activeCell="B3" sqref="B3:B6"/>
      <selection pane="topRight" activeCell="B3" sqref="B3:B6"/>
      <selection pane="bottomLeft" activeCell="B3" sqref="B3:B6"/>
      <selection pane="bottomRight" activeCell="D42" activeCellId="1" sqref="D44 D42"/>
    </sheetView>
  </sheetViews>
  <sheetFormatPr defaultRowHeight="15" customHeight="1"/>
  <cols>
    <col min="1" max="1" width="7" style="89" customWidth="1"/>
    <col min="2" max="2" width="77.85546875" style="59" customWidth="1"/>
    <col min="3" max="5" width="20" style="59" customWidth="1"/>
    <col min="6" max="8" width="12.5703125" style="304" customWidth="1"/>
    <col min="9" max="9" width="5.85546875" style="304" customWidth="1"/>
    <col min="10" max="13" width="6.140625" style="304" customWidth="1"/>
    <col min="14" max="20" width="6.140625" style="190" customWidth="1"/>
    <col min="21" max="22" width="9.140625" style="190"/>
    <col min="23" max="16384" width="9.140625" style="59"/>
  </cols>
  <sheetData>
    <row r="1" spans="1:22 16382:16382" ht="15" customHeight="1">
      <c r="A1" s="565" t="s">
        <v>426</v>
      </c>
      <c r="B1" s="565"/>
      <c r="C1" s="565"/>
      <c r="D1" s="565"/>
      <c r="E1" s="88" t="s">
        <v>400</v>
      </c>
      <c r="F1" s="411"/>
      <c r="G1" s="548" t="s">
        <v>537</v>
      </c>
      <c r="H1" s="549"/>
    </row>
    <row r="2" spans="1:22 16382:16382" ht="15" customHeight="1">
      <c r="B2" s="90" t="str">
        <f>IF(C3&gt;0," "&amp;TEXT(C3,"д ММММ, гггг"),"Число,Месяц,Год")</f>
        <v xml:space="preserve"> 31 Декабрь, 2020</v>
      </c>
      <c r="C2" s="67"/>
      <c r="D2" s="556"/>
      <c r="E2" s="67"/>
    </row>
    <row r="3" spans="1:22 16382:16382" ht="15" customHeight="1">
      <c r="B3" s="199" t="s">
        <v>552</v>
      </c>
      <c r="C3" s="338">
        <v>44196</v>
      </c>
      <c r="D3" s="184"/>
      <c r="E3" s="200" t="s">
        <v>250</v>
      </c>
    </row>
    <row r="4" spans="1:22 16382:16382" ht="43.5" customHeight="1">
      <c r="A4" s="257" t="s">
        <v>79</v>
      </c>
      <c r="B4" s="257" t="s">
        <v>0</v>
      </c>
      <c r="C4" s="257" t="s">
        <v>236</v>
      </c>
      <c r="D4" s="257" t="s">
        <v>237</v>
      </c>
      <c r="E4" s="257" t="s">
        <v>238</v>
      </c>
      <c r="F4" s="305"/>
      <c r="G4" s="305"/>
      <c r="H4" s="305"/>
      <c r="I4" s="305"/>
      <c r="J4" s="305"/>
      <c r="K4" s="305"/>
      <c r="L4" s="305"/>
      <c r="M4" s="305"/>
      <c r="N4" s="191"/>
      <c r="O4" s="191"/>
      <c r="P4" s="191"/>
      <c r="Q4" s="191"/>
      <c r="R4" s="191"/>
      <c r="S4" s="191"/>
      <c r="T4" s="191"/>
      <c r="U4" s="191"/>
    </row>
    <row r="5" spans="1:22 16382:16382" ht="15" customHeight="1">
      <c r="A5" s="91">
        <v>1</v>
      </c>
      <c r="B5" s="92" t="s">
        <v>289</v>
      </c>
      <c r="C5" s="19">
        <f>+D5+E5</f>
        <v>220312147</v>
      </c>
      <c r="D5" s="19">
        <f>+'Bank Assets Analysis'!T7</f>
        <v>92534448</v>
      </c>
      <c r="E5" s="19">
        <f>+'Bank Assets Analysis'!U7</f>
        <v>127777699</v>
      </c>
      <c r="F5" s="305"/>
      <c r="G5" s="305"/>
      <c r="I5" s="305"/>
      <c r="J5" s="306">
        <f t="shared" ref="J5:J45" si="0">+C5-D5-E5</f>
        <v>0</v>
      </c>
      <c r="K5" s="305"/>
      <c r="L5" s="305"/>
      <c r="M5" s="305"/>
      <c r="N5" s="191"/>
      <c r="O5" s="191"/>
      <c r="P5" s="191"/>
      <c r="Q5" s="191"/>
      <c r="R5" s="191"/>
      <c r="S5" s="191"/>
      <c r="T5" s="191"/>
      <c r="U5" s="191"/>
    </row>
    <row r="6" spans="1:22 16382:16382" ht="15" customHeight="1">
      <c r="A6" s="91">
        <v>2</v>
      </c>
      <c r="B6" s="92" t="s">
        <v>251</v>
      </c>
      <c r="C6" s="93">
        <f t="shared" ref="C6:C78" si="1">+D6+E6</f>
        <v>380783393</v>
      </c>
      <c r="D6" s="19">
        <f>+'Bank Assets Analysis'!T9+'Bank Assets Analysis'!T10</f>
        <v>335334692</v>
      </c>
      <c r="E6" s="19">
        <f>+'Bank Assets Analysis'!U9+'Bank Assets Analysis'!U10</f>
        <v>45448701</v>
      </c>
      <c r="F6" s="305"/>
      <c r="G6" s="305"/>
      <c r="I6" s="305"/>
      <c r="J6" s="306">
        <f t="shared" si="0"/>
        <v>0</v>
      </c>
      <c r="K6" s="305"/>
      <c r="L6" s="305"/>
      <c r="M6" s="305"/>
      <c r="N6" s="191"/>
      <c r="O6" s="191"/>
      <c r="P6" s="191"/>
      <c r="Q6" s="191"/>
      <c r="R6" s="191"/>
      <c r="S6" s="191"/>
      <c r="T6" s="191"/>
      <c r="U6" s="191"/>
    </row>
    <row r="7" spans="1:22 16382:16382" ht="15" customHeight="1">
      <c r="A7" s="91">
        <v>3</v>
      </c>
      <c r="B7" s="92" t="s">
        <v>290</v>
      </c>
      <c r="C7" s="98">
        <f>+'Bank Assets Analysis'!S11</f>
        <v>666431398</v>
      </c>
      <c r="D7" s="98">
        <f>+'Bank Assets Analysis'!T11</f>
        <v>231178103</v>
      </c>
      <c r="E7" s="98">
        <f>+'Bank Assets Analysis'!U11</f>
        <v>435253295</v>
      </c>
      <c r="F7" s="305"/>
      <c r="G7" s="305"/>
      <c r="I7" s="305"/>
      <c r="J7" s="306">
        <f t="shared" si="0"/>
        <v>0</v>
      </c>
      <c r="K7" s="305"/>
      <c r="L7" s="305"/>
      <c r="M7" s="305"/>
      <c r="N7" s="191"/>
      <c r="O7" s="191"/>
      <c r="P7" s="191"/>
      <c r="Q7" s="191"/>
      <c r="R7" s="191"/>
      <c r="S7" s="191"/>
      <c r="T7" s="191"/>
      <c r="U7" s="191"/>
    </row>
    <row r="8" spans="1:22 16382:16382" ht="15" customHeight="1">
      <c r="A8" s="91" t="s">
        <v>220</v>
      </c>
      <c r="B8" s="94" t="s">
        <v>291</v>
      </c>
      <c r="C8" s="19">
        <f t="shared" ref="C8" si="2">+D8+E8</f>
        <v>667134942</v>
      </c>
      <c r="D8" s="15">
        <v>231178103</v>
      </c>
      <c r="E8" s="15">
        <v>435956839</v>
      </c>
      <c r="F8" s="305"/>
      <c r="G8" s="305"/>
      <c r="I8" s="305"/>
      <c r="J8" s="306">
        <f t="shared" si="0"/>
        <v>0</v>
      </c>
      <c r="K8" s="305"/>
      <c r="L8" s="305"/>
      <c r="M8" s="305"/>
      <c r="N8" s="191"/>
      <c r="O8" s="191"/>
      <c r="P8" s="191"/>
      <c r="Q8" s="191"/>
      <c r="R8" s="191"/>
      <c r="S8" s="191"/>
      <c r="T8" s="191"/>
      <c r="U8" s="191"/>
    </row>
    <row r="9" spans="1:22 16382:16382" ht="15" customHeight="1">
      <c r="A9" s="91" t="s">
        <v>221</v>
      </c>
      <c r="B9" s="94" t="s">
        <v>292</v>
      </c>
      <c r="C9" s="19">
        <f t="shared" si="1"/>
        <v>703544</v>
      </c>
      <c r="D9" s="15">
        <v>0</v>
      </c>
      <c r="E9" s="15">
        <v>703544</v>
      </c>
      <c r="F9" s="305"/>
      <c r="G9" s="305"/>
      <c r="I9" s="305"/>
      <c r="J9" s="306">
        <f t="shared" si="0"/>
        <v>0</v>
      </c>
      <c r="K9" s="305"/>
      <c r="L9" s="305"/>
      <c r="M9" s="305"/>
      <c r="N9" s="191"/>
      <c r="O9" s="191"/>
      <c r="P9" s="191"/>
      <c r="Q9" s="191"/>
      <c r="R9" s="191"/>
      <c r="S9" s="191"/>
      <c r="T9" s="191"/>
      <c r="U9" s="191"/>
      <c r="XFB9" s="15"/>
    </row>
    <row r="10" spans="1:22 16382:16382" s="96" customFormat="1" ht="15" customHeight="1">
      <c r="A10" s="91">
        <v>4</v>
      </c>
      <c r="B10" s="197" t="s">
        <v>134</v>
      </c>
      <c r="C10" s="98">
        <f>+D10+E10</f>
        <v>202938240</v>
      </c>
      <c r="D10" s="98">
        <f>+'Investment Securities'!C29</f>
        <v>202938240</v>
      </c>
      <c r="E10" s="98">
        <f>+'Investment Securities'!D29</f>
        <v>0</v>
      </c>
      <c r="F10" s="305"/>
      <c r="G10" s="304"/>
      <c r="H10" s="304"/>
      <c r="I10" s="305"/>
      <c r="J10" s="306">
        <f t="shared" si="0"/>
        <v>0</v>
      </c>
      <c r="K10" s="305"/>
      <c r="L10" s="305"/>
      <c r="M10" s="305"/>
      <c r="N10" s="191"/>
      <c r="O10" s="191"/>
      <c r="P10" s="191"/>
      <c r="Q10" s="191"/>
      <c r="R10" s="191"/>
      <c r="S10" s="191"/>
      <c r="T10" s="191"/>
      <c r="U10" s="191"/>
      <c r="V10" s="190"/>
    </row>
    <row r="11" spans="1:22 16382:16382" s="96" customFormat="1" ht="15" customHeight="1">
      <c r="A11" s="91" t="s">
        <v>255</v>
      </c>
      <c r="B11" s="230" t="s">
        <v>422</v>
      </c>
      <c r="C11" s="19">
        <f t="shared" ref="C11:C13" si="3">+D11+E11</f>
        <v>200000000</v>
      </c>
      <c r="D11" s="19">
        <f>+'Investment Securities'!C26</f>
        <v>200000000</v>
      </c>
      <c r="E11" s="19">
        <f>+'Investment Securities'!D26</f>
        <v>0</v>
      </c>
      <c r="F11" s="305"/>
      <c r="G11" s="305"/>
      <c r="H11" s="304"/>
      <c r="I11" s="305"/>
      <c r="J11" s="306">
        <f t="shared" si="0"/>
        <v>0</v>
      </c>
      <c r="K11" s="305"/>
      <c r="L11" s="305"/>
      <c r="M11" s="305"/>
      <c r="N11" s="191"/>
      <c r="O11" s="191"/>
      <c r="P11" s="191"/>
      <c r="Q11" s="191"/>
      <c r="R11" s="191"/>
      <c r="S11" s="191"/>
      <c r="T11" s="191"/>
      <c r="U11" s="191"/>
      <c r="V11" s="190"/>
    </row>
    <row r="12" spans="1:22 16382:16382" s="96" customFormat="1" ht="15" customHeight="1">
      <c r="A12" s="91" t="s">
        <v>256</v>
      </c>
      <c r="B12" s="230" t="s">
        <v>538</v>
      </c>
      <c r="C12" s="19">
        <f t="shared" si="3"/>
        <v>2938240</v>
      </c>
      <c r="D12" s="19">
        <f>+'Investment Securities'!C27</f>
        <v>2938240</v>
      </c>
      <c r="E12" s="19">
        <f>+'Investment Securities'!D27</f>
        <v>0</v>
      </c>
      <c r="F12" s="305"/>
      <c r="G12" s="305"/>
      <c r="H12" s="304"/>
      <c r="I12" s="305"/>
      <c r="J12" s="306"/>
      <c r="K12" s="305"/>
      <c r="L12" s="305"/>
      <c r="M12" s="305"/>
      <c r="N12" s="191"/>
      <c r="O12" s="191"/>
      <c r="P12" s="191"/>
      <c r="Q12" s="191"/>
      <c r="R12" s="191"/>
      <c r="S12" s="191"/>
      <c r="T12" s="191"/>
      <c r="U12" s="191"/>
      <c r="V12" s="190"/>
    </row>
    <row r="13" spans="1:22 16382:16382" s="96" customFormat="1" ht="15" customHeight="1">
      <c r="A13" s="91" t="s">
        <v>539</v>
      </c>
      <c r="B13" s="230" t="s">
        <v>292</v>
      </c>
      <c r="C13" s="19">
        <f t="shared" si="3"/>
        <v>0</v>
      </c>
      <c r="D13" s="19">
        <f>+'Investment Securities'!C28</f>
        <v>0</v>
      </c>
      <c r="E13" s="19">
        <f>+'Investment Securities'!D28</f>
        <v>0</v>
      </c>
      <c r="F13" s="305"/>
      <c r="G13" s="305"/>
      <c r="H13" s="304"/>
      <c r="I13" s="305"/>
      <c r="J13" s="306">
        <f t="shared" si="0"/>
        <v>0</v>
      </c>
      <c r="K13" s="305"/>
      <c r="L13" s="305"/>
      <c r="M13" s="305"/>
      <c r="N13" s="191"/>
      <c r="O13" s="191"/>
      <c r="P13" s="191"/>
      <c r="Q13" s="191"/>
      <c r="R13" s="191"/>
      <c r="S13" s="191"/>
      <c r="T13" s="191"/>
      <c r="U13" s="191"/>
      <c r="V13" s="190"/>
    </row>
    <row r="14" spans="1:22 16382:16382" s="96" customFormat="1" ht="15" customHeight="1">
      <c r="A14" s="91">
        <v>5</v>
      </c>
      <c r="B14" s="92" t="s">
        <v>363</v>
      </c>
      <c r="C14" s="98">
        <f>+C15-C16</f>
        <v>175</v>
      </c>
      <c r="D14" s="98">
        <f>+'Investment Securities'!C40</f>
        <v>175</v>
      </c>
      <c r="E14" s="98">
        <f>+'Investment Securities'!D40</f>
        <v>0</v>
      </c>
      <c r="F14" s="305"/>
      <c r="G14" s="305"/>
      <c r="H14" s="304"/>
      <c r="I14" s="305"/>
      <c r="J14" s="306">
        <f t="shared" si="0"/>
        <v>0</v>
      </c>
      <c r="K14" s="305"/>
      <c r="L14" s="305"/>
      <c r="M14" s="305"/>
      <c r="N14" s="191"/>
      <c r="O14" s="191"/>
      <c r="P14" s="191"/>
      <c r="Q14" s="191"/>
      <c r="R14" s="191"/>
      <c r="S14" s="191"/>
      <c r="T14" s="191"/>
      <c r="U14" s="191"/>
      <c r="V14" s="190"/>
    </row>
    <row r="15" spans="1:22 16382:16382" s="96" customFormat="1" ht="15" customHeight="1">
      <c r="A15" s="91" t="s">
        <v>257</v>
      </c>
      <c r="B15" s="230" t="s">
        <v>421</v>
      </c>
      <c r="C15" s="19">
        <f t="shared" si="1"/>
        <v>175</v>
      </c>
      <c r="D15" s="19">
        <f>+'Investment Securities'!C38</f>
        <v>175</v>
      </c>
      <c r="E15" s="19">
        <f>+'Investment Securities'!D38</f>
        <v>0</v>
      </c>
      <c r="F15" s="305"/>
      <c r="G15" s="305"/>
      <c r="H15" s="304"/>
      <c r="I15" s="305"/>
      <c r="J15" s="306">
        <f t="shared" si="0"/>
        <v>0</v>
      </c>
      <c r="K15" s="305"/>
      <c r="L15" s="305"/>
      <c r="M15" s="305"/>
      <c r="N15" s="191"/>
      <c r="O15" s="191"/>
      <c r="P15" s="191"/>
      <c r="Q15" s="191"/>
      <c r="R15" s="191"/>
      <c r="S15" s="191"/>
      <c r="T15" s="191"/>
      <c r="U15" s="191"/>
      <c r="V15" s="190"/>
    </row>
    <row r="16" spans="1:22 16382:16382" s="96" customFormat="1" ht="15" customHeight="1">
      <c r="A16" s="91" t="s">
        <v>258</v>
      </c>
      <c r="B16" s="94" t="s">
        <v>292</v>
      </c>
      <c r="C16" s="19">
        <f t="shared" si="1"/>
        <v>0</v>
      </c>
      <c r="D16" s="19">
        <f>+'Investment Securities'!C39</f>
        <v>0</v>
      </c>
      <c r="E16" s="19">
        <f>+'Investment Securities'!D39</f>
        <v>0</v>
      </c>
      <c r="F16" s="305"/>
      <c r="G16" s="305"/>
      <c r="H16" s="304"/>
      <c r="I16" s="305"/>
      <c r="J16" s="306">
        <f t="shared" si="0"/>
        <v>0</v>
      </c>
      <c r="K16" s="305"/>
      <c r="L16" s="305"/>
      <c r="M16" s="305"/>
      <c r="N16" s="191"/>
      <c r="O16" s="191"/>
      <c r="P16" s="191"/>
      <c r="Q16" s="191"/>
      <c r="R16" s="191"/>
      <c r="S16" s="191"/>
      <c r="T16" s="191"/>
      <c r="U16" s="191"/>
      <c r="V16" s="190"/>
    </row>
    <row r="17" spans="1:21" ht="15" customHeight="1">
      <c r="A17" s="91">
        <v>6</v>
      </c>
      <c r="B17" s="92" t="s">
        <v>148</v>
      </c>
      <c r="C17" s="98">
        <f>+'Investment Securities'!B15</f>
        <v>107220</v>
      </c>
      <c r="D17" s="19">
        <f>+'Investment Securities'!C15</f>
        <v>107220</v>
      </c>
      <c r="E17" s="19">
        <f>+'Investment Securities'!D15</f>
        <v>0</v>
      </c>
      <c r="F17" s="305"/>
      <c r="G17" s="305"/>
      <c r="I17" s="305"/>
      <c r="J17" s="306">
        <f t="shared" si="0"/>
        <v>0</v>
      </c>
      <c r="K17" s="305"/>
      <c r="L17" s="305"/>
      <c r="M17" s="305"/>
      <c r="N17" s="191"/>
      <c r="O17" s="191"/>
      <c r="P17" s="191"/>
      <c r="Q17" s="191"/>
      <c r="R17" s="191"/>
      <c r="S17" s="191"/>
      <c r="T17" s="191"/>
      <c r="U17" s="191"/>
    </row>
    <row r="18" spans="1:21" ht="15" customHeight="1">
      <c r="A18" s="91" t="s">
        <v>259</v>
      </c>
      <c r="B18" s="94" t="s">
        <v>364</v>
      </c>
      <c r="C18" s="19">
        <f t="shared" si="1"/>
        <v>107220</v>
      </c>
      <c r="D18" s="19">
        <f>+'Investment Securities'!C13</f>
        <v>107220</v>
      </c>
      <c r="E18" s="19">
        <f>+'Investment Securities'!D13</f>
        <v>0</v>
      </c>
      <c r="F18" s="305"/>
      <c r="G18" s="305"/>
      <c r="I18" s="305"/>
      <c r="J18" s="306">
        <f t="shared" si="0"/>
        <v>0</v>
      </c>
      <c r="K18" s="305"/>
      <c r="L18" s="305"/>
      <c r="M18" s="305"/>
      <c r="N18" s="191"/>
      <c r="O18" s="191"/>
      <c r="P18" s="191"/>
      <c r="Q18" s="191"/>
      <c r="R18" s="191"/>
      <c r="S18" s="191"/>
      <c r="T18" s="191"/>
      <c r="U18" s="191"/>
    </row>
    <row r="19" spans="1:21" ht="15" customHeight="1">
      <c r="A19" s="97" t="s">
        <v>260</v>
      </c>
      <c r="B19" s="94" t="s">
        <v>292</v>
      </c>
      <c r="C19" s="19">
        <f t="shared" si="1"/>
        <v>0</v>
      </c>
      <c r="D19" s="19">
        <f>+'Investment Securities'!C14</f>
        <v>0</v>
      </c>
      <c r="E19" s="19">
        <f>+'Investment Securities'!D14</f>
        <v>0</v>
      </c>
      <c r="F19" s="305"/>
      <c r="G19" s="305"/>
      <c r="I19" s="305"/>
      <c r="J19" s="306">
        <f t="shared" si="0"/>
        <v>0</v>
      </c>
      <c r="K19" s="305"/>
      <c r="L19" s="305"/>
      <c r="M19" s="305"/>
      <c r="N19" s="191"/>
      <c r="O19" s="191"/>
      <c r="P19" s="191"/>
      <c r="Q19" s="191"/>
      <c r="R19" s="191"/>
      <c r="S19" s="191"/>
      <c r="T19" s="191"/>
      <c r="U19" s="191"/>
    </row>
    <row r="20" spans="1:21" ht="15" customHeight="1">
      <c r="A20" s="91">
        <v>7</v>
      </c>
      <c r="B20" s="92" t="s">
        <v>365</v>
      </c>
      <c r="C20" s="19">
        <f>+'Bank Assets Analysis'!S35</f>
        <v>0</v>
      </c>
      <c r="D20" s="19">
        <f>+'Bank Assets Analysis'!T35</f>
        <v>0</v>
      </c>
      <c r="E20" s="19">
        <f>+'Bank Assets Analysis'!U35</f>
        <v>0</v>
      </c>
      <c r="F20" s="305"/>
      <c r="G20" s="305"/>
      <c r="I20" s="305"/>
      <c r="J20" s="306">
        <f t="shared" si="0"/>
        <v>0</v>
      </c>
      <c r="K20" s="305"/>
      <c r="L20" s="305"/>
      <c r="M20" s="305"/>
      <c r="N20" s="191"/>
      <c r="O20" s="191"/>
      <c r="P20" s="191"/>
      <c r="Q20" s="191"/>
      <c r="R20" s="191"/>
      <c r="S20" s="191"/>
      <c r="T20" s="191"/>
      <c r="U20" s="191"/>
    </row>
    <row r="21" spans="1:21" ht="15" customHeight="1">
      <c r="A21" s="91" t="s">
        <v>261</v>
      </c>
      <c r="B21" s="94" t="s">
        <v>366</v>
      </c>
      <c r="C21" s="19">
        <f t="shared" si="1"/>
        <v>0</v>
      </c>
      <c r="D21" s="15">
        <v>0</v>
      </c>
      <c r="E21" s="15">
        <v>0</v>
      </c>
      <c r="F21" s="305"/>
      <c r="G21" s="305"/>
      <c r="I21" s="305"/>
      <c r="J21" s="306">
        <f t="shared" si="0"/>
        <v>0</v>
      </c>
      <c r="K21" s="305"/>
      <c r="L21" s="305"/>
      <c r="M21" s="305"/>
      <c r="N21" s="191"/>
      <c r="O21" s="191"/>
      <c r="P21" s="191"/>
      <c r="Q21" s="191"/>
      <c r="R21" s="191"/>
      <c r="S21" s="191"/>
      <c r="T21" s="191"/>
      <c r="U21" s="191"/>
    </row>
    <row r="22" spans="1:21" ht="15" customHeight="1">
      <c r="A22" s="91" t="s">
        <v>262</v>
      </c>
      <c r="B22" s="94" t="s">
        <v>367</v>
      </c>
      <c r="C22" s="19">
        <f t="shared" si="1"/>
        <v>0</v>
      </c>
      <c r="D22" s="15">
        <v>0</v>
      </c>
      <c r="E22" s="15">
        <v>0</v>
      </c>
      <c r="F22" s="305"/>
      <c r="G22" s="305"/>
      <c r="I22" s="305"/>
      <c r="J22" s="306">
        <f t="shared" si="0"/>
        <v>0</v>
      </c>
      <c r="K22" s="305"/>
      <c r="L22" s="305"/>
      <c r="M22" s="305"/>
      <c r="N22" s="191"/>
      <c r="O22" s="191"/>
      <c r="P22" s="191"/>
      <c r="Q22" s="191"/>
      <c r="R22" s="191"/>
      <c r="S22" s="191"/>
      <c r="T22" s="191"/>
      <c r="U22" s="191"/>
    </row>
    <row r="23" spans="1:21" ht="15" customHeight="1">
      <c r="A23" s="91">
        <v>8</v>
      </c>
      <c r="B23" s="92" t="s">
        <v>368</v>
      </c>
      <c r="C23" s="98">
        <f>+'Bank Assets Analysis'!S30+'Bank Assets Analysis'!S31+'Bank Assets Analysis'!S33</f>
        <v>8342404404</v>
      </c>
      <c r="D23" s="98">
        <f>+'Bank Assets Analysis'!T30+'Bank Assets Analysis'!T31+'Bank Assets Analysis'!T33</f>
        <v>5472161024</v>
      </c>
      <c r="E23" s="98">
        <f>+'Bank Assets Analysis'!U30+'Bank Assets Analysis'!U31+'Bank Assets Analysis'!U33</f>
        <v>2870243380</v>
      </c>
      <c r="G23" s="305"/>
      <c r="I23" s="305"/>
      <c r="J23" s="306">
        <f t="shared" si="0"/>
        <v>0</v>
      </c>
      <c r="K23" s="305"/>
      <c r="L23" s="305"/>
      <c r="M23" s="305"/>
      <c r="N23" s="191"/>
      <c r="O23" s="191"/>
      <c r="P23" s="191"/>
      <c r="Q23" s="191"/>
      <c r="R23" s="191"/>
      <c r="S23" s="191"/>
      <c r="T23" s="191"/>
      <c r="U23" s="191"/>
    </row>
    <row r="24" spans="1:21" ht="12.75">
      <c r="A24" s="91" t="s">
        <v>263</v>
      </c>
      <c r="B24" s="94" t="s">
        <v>369</v>
      </c>
      <c r="C24" s="19">
        <f t="shared" ref="C24:C25" si="4">+D24+E24</f>
        <v>8539798556</v>
      </c>
      <c r="D24" s="15">
        <v>5618504980</v>
      </c>
      <c r="E24" s="15">
        <v>2921293576</v>
      </c>
      <c r="F24" s="305"/>
      <c r="G24" s="305"/>
      <c r="I24" s="305"/>
      <c r="J24" s="306">
        <f t="shared" si="0"/>
        <v>0</v>
      </c>
      <c r="K24" s="305"/>
      <c r="L24" s="305"/>
      <c r="M24" s="305"/>
      <c r="N24" s="191"/>
      <c r="O24" s="191"/>
      <c r="P24" s="191"/>
      <c r="Q24" s="191"/>
      <c r="R24" s="191"/>
      <c r="S24" s="191"/>
      <c r="T24" s="191"/>
      <c r="U24" s="191"/>
    </row>
    <row r="25" spans="1:21" ht="15" customHeight="1">
      <c r="A25" s="91" t="s">
        <v>264</v>
      </c>
      <c r="B25" s="94" t="s">
        <v>292</v>
      </c>
      <c r="C25" s="19">
        <f t="shared" si="4"/>
        <v>197394152</v>
      </c>
      <c r="D25" s="15">
        <v>146343956</v>
      </c>
      <c r="E25" s="15">
        <v>51050196</v>
      </c>
      <c r="F25" s="306"/>
      <c r="G25" s="305"/>
      <c r="I25" s="305"/>
      <c r="J25" s="306">
        <f t="shared" si="0"/>
        <v>0</v>
      </c>
      <c r="K25" s="305"/>
      <c r="L25" s="305"/>
      <c r="M25" s="305"/>
      <c r="N25" s="191"/>
      <c r="O25" s="191"/>
      <c r="P25" s="191"/>
      <c r="Q25" s="191"/>
      <c r="R25" s="191"/>
      <c r="S25" s="191"/>
      <c r="T25" s="191"/>
      <c r="U25" s="191"/>
    </row>
    <row r="26" spans="1:21" ht="15" customHeight="1">
      <c r="A26" s="91">
        <v>9</v>
      </c>
      <c r="B26" s="92" t="s">
        <v>136</v>
      </c>
      <c r="C26" s="98">
        <f>+'Bank Assets Analysis'!S26</f>
        <v>0</v>
      </c>
      <c r="D26" s="98">
        <f>+'Bank Assets Analysis'!T26</f>
        <v>0</v>
      </c>
      <c r="E26" s="98">
        <f>+'Bank Assets Analysis'!U26</f>
        <v>0</v>
      </c>
      <c r="F26" s="305"/>
      <c r="G26" s="305"/>
      <c r="I26" s="305"/>
      <c r="J26" s="306">
        <f t="shared" si="0"/>
        <v>0</v>
      </c>
      <c r="K26" s="305"/>
      <c r="L26" s="305"/>
      <c r="M26" s="305"/>
      <c r="N26" s="191"/>
      <c r="O26" s="191"/>
      <c r="P26" s="191"/>
      <c r="Q26" s="191"/>
      <c r="R26" s="191"/>
      <c r="S26" s="191"/>
      <c r="T26" s="191"/>
      <c r="U26" s="191"/>
    </row>
    <row r="27" spans="1:21" ht="15" customHeight="1">
      <c r="A27" s="91" t="s">
        <v>265</v>
      </c>
      <c r="B27" s="94" t="s">
        <v>370</v>
      </c>
      <c r="C27" s="19">
        <f t="shared" si="1"/>
        <v>0</v>
      </c>
      <c r="D27" s="15">
        <v>0</v>
      </c>
      <c r="E27" s="15">
        <v>0</v>
      </c>
      <c r="F27" s="305"/>
      <c r="G27" s="305"/>
      <c r="I27" s="305"/>
      <c r="J27" s="306">
        <f t="shared" si="0"/>
        <v>0</v>
      </c>
      <c r="K27" s="305"/>
      <c r="L27" s="305"/>
      <c r="M27" s="305"/>
      <c r="N27" s="191"/>
      <c r="O27" s="191"/>
      <c r="P27" s="191"/>
      <c r="Q27" s="191"/>
      <c r="R27" s="191"/>
      <c r="S27" s="191"/>
      <c r="T27" s="191"/>
      <c r="U27" s="191"/>
    </row>
    <row r="28" spans="1:21" ht="15" customHeight="1">
      <c r="A28" s="91" t="s">
        <v>266</v>
      </c>
      <c r="B28" s="94" t="s">
        <v>292</v>
      </c>
      <c r="C28" s="19">
        <f t="shared" si="1"/>
        <v>0</v>
      </c>
      <c r="D28" s="15">
        <v>0</v>
      </c>
      <c r="E28" s="15">
        <v>0</v>
      </c>
      <c r="F28" s="305"/>
      <c r="G28" s="305"/>
      <c r="I28" s="305"/>
      <c r="J28" s="306">
        <f t="shared" si="0"/>
        <v>0</v>
      </c>
      <c r="K28" s="305"/>
      <c r="L28" s="305"/>
      <c r="M28" s="305"/>
      <c r="N28" s="191"/>
      <c r="O28" s="191"/>
      <c r="P28" s="191"/>
      <c r="Q28" s="191"/>
      <c r="R28" s="191"/>
      <c r="S28" s="191"/>
      <c r="T28" s="191"/>
      <c r="U28" s="191"/>
    </row>
    <row r="29" spans="1:21" ht="15" customHeight="1">
      <c r="A29" s="91">
        <v>10</v>
      </c>
      <c r="B29" s="94" t="s">
        <v>371</v>
      </c>
      <c r="C29" s="98">
        <f t="shared" si="1"/>
        <v>0</v>
      </c>
      <c r="D29" s="98">
        <f>+'Bank Assets Analysis'!T27+'Bank Assets Analysis'!T28</f>
        <v>0</v>
      </c>
      <c r="E29" s="98">
        <f>+'Bank Assets Analysis'!U27+'Bank Assets Analysis'!U28</f>
        <v>0</v>
      </c>
      <c r="F29" s="305"/>
      <c r="G29" s="305"/>
      <c r="I29" s="305"/>
      <c r="J29" s="306">
        <f t="shared" si="0"/>
        <v>0</v>
      </c>
      <c r="K29" s="305"/>
      <c r="L29" s="305"/>
      <c r="M29" s="305"/>
      <c r="N29" s="191"/>
      <c r="O29" s="191"/>
      <c r="P29" s="191"/>
      <c r="Q29" s="191"/>
      <c r="R29" s="191"/>
      <c r="S29" s="191"/>
      <c r="T29" s="191"/>
      <c r="U29" s="191"/>
    </row>
    <row r="30" spans="1:21" ht="15" customHeight="1">
      <c r="A30" s="91" t="s">
        <v>267</v>
      </c>
      <c r="B30" s="94" t="s">
        <v>415</v>
      </c>
      <c r="C30" s="19">
        <f t="shared" si="1"/>
        <v>0</v>
      </c>
      <c r="D30" s="15">
        <v>0</v>
      </c>
      <c r="E30" s="15">
        <v>0</v>
      </c>
      <c r="F30" s="305"/>
      <c r="G30" s="305"/>
      <c r="I30" s="305"/>
      <c r="J30" s="306">
        <f t="shared" si="0"/>
        <v>0</v>
      </c>
      <c r="K30" s="305"/>
      <c r="L30" s="305"/>
      <c r="M30" s="305"/>
      <c r="N30" s="191"/>
      <c r="O30" s="191"/>
      <c r="P30" s="191"/>
      <c r="Q30" s="191"/>
      <c r="R30" s="191"/>
      <c r="S30" s="191"/>
      <c r="T30" s="191"/>
      <c r="U30" s="191"/>
    </row>
    <row r="31" spans="1:21" ht="15" customHeight="1">
      <c r="A31" s="91" t="s">
        <v>268</v>
      </c>
      <c r="B31" s="94" t="s">
        <v>292</v>
      </c>
      <c r="C31" s="19">
        <f t="shared" si="1"/>
        <v>0</v>
      </c>
      <c r="D31" s="15">
        <v>0</v>
      </c>
      <c r="E31" s="15">
        <v>0</v>
      </c>
      <c r="F31" s="305"/>
      <c r="G31" s="305"/>
      <c r="I31" s="305"/>
      <c r="J31" s="306">
        <f t="shared" si="0"/>
        <v>0</v>
      </c>
      <c r="K31" s="305"/>
      <c r="L31" s="305"/>
      <c r="M31" s="305"/>
      <c r="N31" s="191"/>
      <c r="O31" s="191"/>
      <c r="P31" s="191"/>
      <c r="Q31" s="191"/>
      <c r="R31" s="191"/>
      <c r="S31" s="191"/>
      <c r="T31" s="191"/>
      <c r="U31" s="191"/>
    </row>
    <row r="32" spans="1:21" ht="15" customHeight="1">
      <c r="A32" s="91">
        <v>11</v>
      </c>
      <c r="B32" s="94" t="s">
        <v>372</v>
      </c>
      <c r="C32" s="19">
        <f>+'Bank Assets Analysis'!S38</f>
        <v>201801025</v>
      </c>
      <c r="D32" s="19">
        <f>+'Bank Assets Analysis'!T38</f>
        <v>201801025</v>
      </c>
      <c r="E32" s="19">
        <f>+'Bank Assets Analysis'!U38</f>
        <v>0</v>
      </c>
      <c r="F32" s="305"/>
      <c r="G32" s="305"/>
      <c r="I32" s="305"/>
      <c r="J32" s="306">
        <f t="shared" si="0"/>
        <v>0</v>
      </c>
      <c r="K32" s="305"/>
      <c r="L32" s="305"/>
      <c r="M32" s="305"/>
      <c r="N32" s="191"/>
      <c r="O32" s="191"/>
      <c r="P32" s="191"/>
      <c r="Q32" s="191"/>
      <c r="R32" s="191"/>
      <c r="S32" s="191"/>
      <c r="T32" s="191"/>
      <c r="U32" s="191"/>
    </row>
    <row r="33" spans="1:21" ht="15" customHeight="1">
      <c r="A33" s="91">
        <v>12</v>
      </c>
      <c r="B33" s="94" t="s">
        <v>416</v>
      </c>
      <c r="C33" s="19">
        <f>+C34+C35-C36</f>
        <v>186779795</v>
      </c>
      <c r="D33" s="19">
        <f>+D34+D35-D36</f>
        <v>134890678</v>
      </c>
      <c r="E33" s="19">
        <f>+E34+E35-E36</f>
        <v>51889117</v>
      </c>
      <c r="F33" s="305"/>
      <c r="G33" s="305"/>
      <c r="I33" s="305"/>
      <c r="J33" s="306">
        <f t="shared" si="0"/>
        <v>0</v>
      </c>
      <c r="K33" s="305"/>
      <c r="L33" s="305"/>
      <c r="M33" s="305"/>
      <c r="N33" s="191"/>
      <c r="O33" s="191"/>
      <c r="P33" s="191"/>
      <c r="Q33" s="191"/>
      <c r="R33" s="191"/>
      <c r="S33" s="191"/>
      <c r="T33" s="191"/>
      <c r="U33" s="191"/>
    </row>
    <row r="34" spans="1:21" ht="15" customHeight="1">
      <c r="A34" s="91" t="s">
        <v>269</v>
      </c>
      <c r="B34" s="94" t="s">
        <v>417</v>
      </c>
      <c r="C34" s="19">
        <f>+'Bank Assets Analysis'!S43</f>
        <v>186692854</v>
      </c>
      <c r="D34" s="19">
        <f>+'Bank Assets Analysis'!T43</f>
        <v>134803737</v>
      </c>
      <c r="E34" s="19">
        <f>+'Bank Assets Analysis'!U43</f>
        <v>51889117</v>
      </c>
      <c r="F34" s="305"/>
      <c r="G34" s="305"/>
      <c r="I34" s="305"/>
      <c r="J34" s="306">
        <f t="shared" si="0"/>
        <v>0</v>
      </c>
      <c r="K34" s="305"/>
      <c r="L34" s="305"/>
      <c r="M34" s="305"/>
      <c r="N34" s="191"/>
      <c r="O34" s="191"/>
      <c r="P34" s="191"/>
      <c r="Q34" s="191"/>
      <c r="R34" s="191"/>
      <c r="S34" s="191"/>
      <c r="T34" s="191"/>
      <c r="U34" s="191"/>
    </row>
    <row r="35" spans="1:21" ht="18" customHeight="1">
      <c r="A35" s="91" t="s">
        <v>270</v>
      </c>
      <c r="B35" s="230" t="s">
        <v>418</v>
      </c>
      <c r="C35" s="19">
        <f t="shared" ref="C35:C36" si="5">+D35+E35</f>
        <v>86941</v>
      </c>
      <c r="D35" s="15">
        <v>86941</v>
      </c>
      <c r="E35" s="15">
        <v>0</v>
      </c>
      <c r="F35" s="305"/>
      <c r="G35" s="305"/>
      <c r="I35" s="305"/>
      <c r="J35" s="306">
        <f t="shared" si="0"/>
        <v>0</v>
      </c>
      <c r="K35" s="305"/>
      <c r="L35" s="305"/>
      <c r="M35" s="305"/>
      <c r="N35" s="191"/>
      <c r="O35" s="191"/>
      <c r="P35" s="191"/>
      <c r="Q35" s="191"/>
      <c r="R35" s="191"/>
      <c r="S35" s="191"/>
      <c r="T35" s="191"/>
      <c r="U35" s="191"/>
    </row>
    <row r="36" spans="1:21" ht="18" customHeight="1">
      <c r="A36" s="91" t="s">
        <v>271</v>
      </c>
      <c r="B36" s="94" t="s">
        <v>292</v>
      </c>
      <c r="C36" s="19">
        <f t="shared" si="5"/>
        <v>0</v>
      </c>
      <c r="D36" s="15">
        <v>0</v>
      </c>
      <c r="E36" s="15">
        <v>0</v>
      </c>
      <c r="F36" s="305"/>
      <c r="G36" s="305"/>
      <c r="I36" s="305"/>
      <c r="J36" s="306">
        <f t="shared" si="0"/>
        <v>0</v>
      </c>
      <c r="K36" s="305"/>
      <c r="L36" s="305"/>
      <c r="M36" s="305"/>
      <c r="N36" s="191"/>
      <c r="O36" s="191"/>
      <c r="P36" s="191"/>
      <c r="Q36" s="191"/>
      <c r="R36" s="191"/>
      <c r="S36" s="191"/>
      <c r="T36" s="191"/>
      <c r="U36" s="191"/>
    </row>
    <row r="37" spans="1:21" ht="18" customHeight="1">
      <c r="A37" s="91">
        <v>13</v>
      </c>
      <c r="B37" s="92" t="s">
        <v>373</v>
      </c>
      <c r="C37" s="19">
        <f>+'Bank Assets Analysis'!S39</f>
        <v>0</v>
      </c>
      <c r="D37" s="19">
        <f>+'Bank Assets Analysis'!T39</f>
        <v>0</v>
      </c>
      <c r="E37" s="19">
        <f>+'Bank Assets Analysis'!U39</f>
        <v>0</v>
      </c>
      <c r="F37" s="305"/>
      <c r="G37" s="305"/>
      <c r="I37" s="305"/>
      <c r="J37" s="306">
        <f t="shared" si="0"/>
        <v>0</v>
      </c>
      <c r="K37" s="305"/>
      <c r="L37" s="305"/>
      <c r="M37" s="305"/>
      <c r="N37" s="191"/>
      <c r="O37" s="191"/>
      <c r="P37" s="191"/>
      <c r="Q37" s="191"/>
      <c r="R37" s="191"/>
      <c r="S37" s="191"/>
      <c r="T37" s="191"/>
      <c r="U37" s="191"/>
    </row>
    <row r="38" spans="1:21" ht="18" customHeight="1">
      <c r="A38" s="91" t="s">
        <v>272</v>
      </c>
      <c r="B38" s="230" t="s">
        <v>419</v>
      </c>
      <c r="C38" s="19">
        <f t="shared" ref="C38:C40" si="6">+D38+E38</f>
        <v>0</v>
      </c>
      <c r="D38" s="15">
        <v>0</v>
      </c>
      <c r="E38" s="15">
        <v>0</v>
      </c>
      <c r="F38" s="305"/>
      <c r="G38" s="305"/>
      <c r="I38" s="305"/>
      <c r="J38" s="306">
        <f t="shared" si="0"/>
        <v>0</v>
      </c>
      <c r="K38" s="305"/>
      <c r="L38" s="305"/>
      <c r="M38" s="305"/>
      <c r="N38" s="191"/>
      <c r="O38" s="191"/>
      <c r="P38" s="191"/>
      <c r="Q38" s="191"/>
      <c r="R38" s="191"/>
      <c r="S38" s="191"/>
      <c r="T38" s="191"/>
      <c r="U38" s="191"/>
    </row>
    <row r="39" spans="1:21" ht="18" customHeight="1">
      <c r="A39" s="91" t="s">
        <v>273</v>
      </c>
      <c r="B39" s="230" t="s">
        <v>420</v>
      </c>
      <c r="C39" s="19">
        <f t="shared" si="6"/>
        <v>0</v>
      </c>
      <c r="D39" s="15">
        <v>0</v>
      </c>
      <c r="E39" s="15">
        <v>0</v>
      </c>
      <c r="F39" s="305"/>
      <c r="G39" s="305"/>
      <c r="I39" s="305"/>
      <c r="J39" s="306">
        <f t="shared" si="0"/>
        <v>0</v>
      </c>
      <c r="K39" s="305"/>
      <c r="L39" s="305"/>
      <c r="M39" s="305"/>
      <c r="N39" s="191"/>
      <c r="O39" s="191"/>
      <c r="P39" s="191"/>
      <c r="Q39" s="191"/>
      <c r="R39" s="191"/>
      <c r="S39" s="191"/>
      <c r="T39" s="191"/>
      <c r="U39" s="191"/>
    </row>
    <row r="40" spans="1:21" ht="18" customHeight="1">
      <c r="A40" s="91" t="s">
        <v>274</v>
      </c>
      <c r="B40" s="99" t="s">
        <v>374</v>
      </c>
      <c r="C40" s="19">
        <f t="shared" si="6"/>
        <v>0</v>
      </c>
      <c r="D40" s="15">
        <v>0</v>
      </c>
      <c r="E40" s="15">
        <v>0</v>
      </c>
      <c r="F40" s="305"/>
      <c r="G40" s="305"/>
      <c r="I40" s="305"/>
      <c r="J40" s="306">
        <f t="shared" si="0"/>
        <v>0</v>
      </c>
      <c r="K40" s="305"/>
      <c r="L40" s="305"/>
      <c r="M40" s="305"/>
      <c r="N40" s="191"/>
      <c r="O40" s="191"/>
      <c r="P40" s="191"/>
      <c r="Q40" s="191"/>
      <c r="R40" s="191"/>
      <c r="S40" s="191"/>
      <c r="T40" s="191"/>
      <c r="U40" s="191"/>
    </row>
    <row r="41" spans="1:21" ht="18" customHeight="1">
      <c r="A41" s="91">
        <v>14</v>
      </c>
      <c r="B41" s="92" t="s">
        <v>81</v>
      </c>
      <c r="C41" s="98">
        <f>+C42-C43+C44</f>
        <v>81357868</v>
      </c>
      <c r="D41" s="98">
        <f>+D42-D43+D44</f>
        <v>40187815</v>
      </c>
      <c r="E41" s="98">
        <f>+E42-E43+E44</f>
        <v>41170053</v>
      </c>
      <c r="F41" s="305"/>
      <c r="G41" s="305"/>
      <c r="I41" s="305"/>
      <c r="J41" s="306">
        <f t="shared" si="0"/>
        <v>0</v>
      </c>
      <c r="K41" s="305"/>
      <c r="L41" s="305"/>
      <c r="M41" s="305"/>
      <c r="N41" s="191"/>
      <c r="O41" s="191"/>
      <c r="P41" s="191"/>
      <c r="Q41" s="191"/>
      <c r="R41" s="191"/>
      <c r="S41" s="191"/>
      <c r="T41" s="191"/>
      <c r="U41" s="191"/>
    </row>
    <row r="42" spans="1:21" ht="18" customHeight="1">
      <c r="A42" s="91" t="s">
        <v>275</v>
      </c>
      <c r="B42" s="230" t="s">
        <v>375</v>
      </c>
      <c r="C42" s="100">
        <f t="shared" si="1"/>
        <v>94973587</v>
      </c>
      <c r="D42" s="15">
        <f>41467610+1624624+2562616</f>
        <v>45654850</v>
      </c>
      <c r="E42" s="15">
        <v>49318737</v>
      </c>
      <c r="F42" s="305"/>
      <c r="G42" s="305"/>
      <c r="H42" s="305"/>
      <c r="I42" s="305"/>
      <c r="J42" s="306">
        <f t="shared" si="0"/>
        <v>0</v>
      </c>
      <c r="K42" s="305"/>
      <c r="L42" s="305"/>
      <c r="M42" s="305"/>
      <c r="N42" s="191"/>
      <c r="O42" s="191"/>
      <c r="P42" s="191"/>
      <c r="Q42" s="191"/>
      <c r="R42" s="191"/>
      <c r="S42" s="191"/>
      <c r="T42" s="191"/>
      <c r="U42" s="191"/>
    </row>
    <row r="43" spans="1:21" ht="15" customHeight="1">
      <c r="A43" s="91" t="s">
        <v>276</v>
      </c>
      <c r="B43" s="94" t="s">
        <v>292</v>
      </c>
      <c r="C43" s="100">
        <f t="shared" si="1"/>
        <v>11053103</v>
      </c>
      <c r="D43" s="15">
        <v>2904419</v>
      </c>
      <c r="E43" s="15">
        <v>8148684</v>
      </c>
      <c r="F43" s="305"/>
      <c r="G43" s="305"/>
      <c r="H43" s="306"/>
      <c r="I43" s="305"/>
      <c r="J43" s="306">
        <f t="shared" si="0"/>
        <v>0</v>
      </c>
      <c r="K43" s="305"/>
      <c r="L43" s="305"/>
      <c r="M43" s="305"/>
      <c r="N43" s="191"/>
      <c r="O43" s="191"/>
      <c r="P43" s="191"/>
      <c r="Q43" s="191"/>
      <c r="R43" s="191"/>
      <c r="S43" s="191"/>
      <c r="T43" s="191"/>
      <c r="U43" s="191"/>
    </row>
    <row r="44" spans="1:21" s="96" customFormat="1" ht="15" customHeight="1">
      <c r="A44" s="91" t="s">
        <v>449</v>
      </c>
      <c r="B44" s="230" t="s">
        <v>446</v>
      </c>
      <c r="C44" s="555">
        <v>-2562616</v>
      </c>
      <c r="D44" s="555">
        <v>-2562616</v>
      </c>
      <c r="E44" s="555"/>
      <c r="F44" s="383"/>
      <c r="G44" s="383"/>
      <c r="H44" s="384"/>
      <c r="I44" s="383"/>
      <c r="J44" s="400">
        <f>+C44-D44-E44</f>
        <v>0</v>
      </c>
      <c r="K44" s="383"/>
      <c r="L44" s="383"/>
      <c r="M44" s="383"/>
      <c r="N44" s="95"/>
      <c r="O44" s="95"/>
      <c r="P44" s="95"/>
      <c r="Q44" s="95"/>
      <c r="R44" s="95"/>
      <c r="S44" s="95"/>
      <c r="T44" s="95"/>
      <c r="U44" s="95"/>
    </row>
    <row r="45" spans="1:21" ht="15" customHeight="1">
      <c r="A45" s="101" t="s">
        <v>153</v>
      </c>
      <c r="B45" s="193" t="s">
        <v>404</v>
      </c>
      <c r="C45" s="102">
        <f>+C5+C6+C7+C10+C14+C17+C20+C23+C26+C29+C32+C33+C37+C41</f>
        <v>10282915665</v>
      </c>
      <c r="D45" s="102">
        <f>+D5+D6+D7+D10+D14+D17+D20+D23+D26+D29+D32+D33+D37+D41</f>
        <v>6711133420</v>
      </c>
      <c r="E45" s="102">
        <f>+E5+E6+E7+E10+E14+E17+E20+E23+E26+E29+E32+E33+E37+E41</f>
        <v>3571782245</v>
      </c>
      <c r="F45" s="306">
        <f>+'Bank Assets Analysis'!S45</f>
        <v>10282915665</v>
      </c>
      <c r="G45" s="306">
        <f>+'Bank Assets Analysis'!T45</f>
        <v>6711133420</v>
      </c>
      <c r="H45" s="306">
        <f>+'Bank Assets Analysis'!U45</f>
        <v>3571782245</v>
      </c>
      <c r="I45" s="305"/>
      <c r="J45" s="306">
        <f t="shared" si="0"/>
        <v>0</v>
      </c>
      <c r="K45" s="305"/>
      <c r="L45" s="305"/>
      <c r="M45" s="305"/>
      <c r="N45" s="191"/>
      <c r="O45" s="191"/>
      <c r="P45" s="191"/>
      <c r="Q45" s="191"/>
      <c r="R45" s="191"/>
      <c r="S45" s="191"/>
      <c r="T45" s="191"/>
      <c r="U45" s="191"/>
    </row>
    <row r="46" spans="1:21" ht="6.75" customHeight="1">
      <c r="A46" s="91"/>
      <c r="B46" s="103"/>
      <c r="C46" s="19"/>
      <c r="D46" s="19"/>
      <c r="E46" s="19"/>
      <c r="F46" s="305"/>
      <c r="G46" s="305"/>
      <c r="H46" s="305"/>
      <c r="I46" s="305"/>
      <c r="J46" s="305"/>
      <c r="K46" s="305"/>
      <c r="L46" s="305"/>
      <c r="M46" s="305"/>
      <c r="N46" s="191"/>
      <c r="O46" s="191"/>
      <c r="P46" s="191"/>
      <c r="Q46" s="191"/>
      <c r="R46" s="191"/>
      <c r="S46" s="191"/>
      <c r="T46" s="191"/>
      <c r="U46" s="191"/>
    </row>
    <row r="47" spans="1:21" ht="15" customHeight="1">
      <c r="A47" s="91"/>
      <c r="B47" s="104" t="s">
        <v>1</v>
      </c>
      <c r="C47" s="19"/>
      <c r="D47" s="19"/>
      <c r="E47" s="19"/>
      <c r="F47" s="545">
        <f>+F45-C45</f>
        <v>0</v>
      </c>
      <c r="G47" s="545">
        <f>+G45-D45</f>
        <v>0</v>
      </c>
      <c r="H47" s="545">
        <f>+H45-E45</f>
        <v>0</v>
      </c>
      <c r="I47" s="305"/>
      <c r="J47" s="305"/>
      <c r="K47" s="305"/>
      <c r="L47" s="305"/>
      <c r="M47" s="305"/>
      <c r="N47" s="191"/>
      <c r="O47" s="191"/>
      <c r="P47" s="191"/>
      <c r="Q47" s="191"/>
      <c r="R47" s="191"/>
      <c r="S47" s="191"/>
      <c r="T47" s="191"/>
      <c r="U47" s="191"/>
    </row>
    <row r="48" spans="1:21" ht="6.75" customHeight="1">
      <c r="A48" s="91"/>
      <c r="B48" s="104"/>
      <c r="C48" s="19"/>
      <c r="D48" s="19"/>
      <c r="E48" s="19"/>
      <c r="F48" s="305"/>
      <c r="G48" s="305"/>
      <c r="H48" s="305"/>
      <c r="I48" s="305"/>
      <c r="J48" s="305"/>
      <c r="K48" s="305"/>
      <c r="L48" s="305"/>
      <c r="M48" s="305"/>
      <c r="N48" s="191"/>
      <c r="O48" s="191"/>
      <c r="P48" s="191"/>
      <c r="Q48" s="191"/>
      <c r="R48" s="191"/>
      <c r="S48" s="191"/>
      <c r="T48" s="191"/>
      <c r="U48" s="191"/>
    </row>
    <row r="49" spans="1:21" ht="15" customHeight="1">
      <c r="A49" s="91"/>
      <c r="B49" s="105" t="s">
        <v>2</v>
      </c>
      <c r="C49" s="19"/>
      <c r="D49" s="19"/>
      <c r="E49" s="19"/>
      <c r="F49" s="305"/>
      <c r="G49" s="305"/>
      <c r="H49" s="305"/>
      <c r="I49" s="305"/>
      <c r="J49" s="305"/>
      <c r="K49" s="305"/>
      <c r="L49" s="305"/>
      <c r="M49" s="305"/>
      <c r="N49" s="191"/>
      <c r="O49" s="191"/>
      <c r="P49" s="191"/>
      <c r="Q49" s="191"/>
      <c r="R49" s="191"/>
      <c r="S49" s="191"/>
      <c r="T49" s="191"/>
      <c r="U49" s="191"/>
    </row>
    <row r="50" spans="1:21" ht="16.5" customHeight="1">
      <c r="A50" s="91" t="s">
        <v>277</v>
      </c>
      <c r="B50" s="92" t="s">
        <v>170</v>
      </c>
      <c r="C50" s="20">
        <f>+'Deposits by Client'!C11</f>
        <v>621497920</v>
      </c>
      <c r="D50" s="116">
        <f>+'Bank Liabilities Analysis'!T16+'Bank Liabilities Analysis'!T8</f>
        <v>544017464</v>
      </c>
      <c r="E50" s="20">
        <f>+'Bank Liabilities Analysis'!U16+'Bank Liabilities Analysis'!U8</f>
        <v>77480456</v>
      </c>
      <c r="F50" s="305"/>
      <c r="G50" s="305"/>
      <c r="H50" s="305"/>
      <c r="I50" s="305"/>
      <c r="J50" s="306">
        <f t="shared" ref="J50:J78" si="7">+C50-D50-E50</f>
        <v>0</v>
      </c>
      <c r="K50" s="305"/>
      <c r="L50" s="305"/>
      <c r="M50" s="305"/>
      <c r="N50" s="191"/>
      <c r="O50" s="191"/>
      <c r="P50" s="191"/>
      <c r="Q50" s="191"/>
      <c r="R50" s="191"/>
      <c r="S50" s="191"/>
      <c r="T50" s="191"/>
      <c r="U50" s="191"/>
    </row>
    <row r="51" spans="1:21" ht="16.5" customHeight="1">
      <c r="A51" s="91" t="s">
        <v>156</v>
      </c>
      <c r="B51" s="92" t="s">
        <v>376</v>
      </c>
      <c r="C51" s="20">
        <f>+'Deposits by Client'!C20</f>
        <v>1761245905</v>
      </c>
      <c r="D51" s="116">
        <f>+'Bank Liabilities Analysis'!T13</f>
        <v>1412963108</v>
      </c>
      <c r="E51" s="20">
        <f>+'Bank Liabilities Analysis'!U13</f>
        <v>348282797</v>
      </c>
      <c r="F51" s="305"/>
      <c r="G51" s="305"/>
      <c r="H51" s="305"/>
      <c r="I51" s="305"/>
      <c r="J51" s="306">
        <f t="shared" si="7"/>
        <v>0</v>
      </c>
      <c r="K51" s="305"/>
      <c r="L51" s="305"/>
      <c r="M51" s="305"/>
      <c r="N51" s="191"/>
      <c r="O51" s="191"/>
      <c r="P51" s="191"/>
      <c r="Q51" s="191"/>
      <c r="R51" s="191"/>
      <c r="S51" s="191"/>
      <c r="T51" s="191"/>
      <c r="U51" s="191"/>
    </row>
    <row r="52" spans="1:21" ht="16.5" customHeight="1">
      <c r="A52" s="91" t="s">
        <v>158</v>
      </c>
      <c r="B52" s="92" t="s">
        <v>176</v>
      </c>
      <c r="C52" s="20">
        <f>+'Bank Liabilities Analysis'!S23</f>
        <v>0</v>
      </c>
      <c r="D52" s="19">
        <f>+'Bank Liabilities Analysis'!T23</f>
        <v>0</v>
      </c>
      <c r="E52" s="19">
        <f>+'Bank Liabilities Analysis'!U23</f>
        <v>0</v>
      </c>
      <c r="F52" s="305"/>
      <c r="G52" s="305"/>
      <c r="H52" s="305"/>
      <c r="I52" s="305"/>
      <c r="J52" s="306">
        <f t="shared" si="7"/>
        <v>0</v>
      </c>
      <c r="K52" s="305"/>
      <c r="L52" s="305"/>
      <c r="M52" s="305"/>
      <c r="N52" s="191"/>
      <c r="O52" s="191"/>
      <c r="P52" s="191"/>
      <c r="Q52" s="191"/>
      <c r="R52" s="191"/>
      <c r="S52" s="191"/>
      <c r="T52" s="191"/>
      <c r="U52" s="191"/>
    </row>
    <row r="53" spans="1:21" ht="16.5" customHeight="1">
      <c r="A53" s="91" t="s">
        <v>160</v>
      </c>
      <c r="B53" s="92" t="s">
        <v>177</v>
      </c>
      <c r="C53" s="20">
        <f>+'Bank Liabilities Analysis'!S24</f>
        <v>1677401207</v>
      </c>
      <c r="D53" s="19">
        <f>+'Bank Liabilities Analysis'!T24</f>
        <v>917960723</v>
      </c>
      <c r="E53" s="19">
        <f>+'Bank Liabilities Analysis'!U24</f>
        <v>759440484</v>
      </c>
      <c r="F53" s="305"/>
      <c r="G53" s="305"/>
      <c r="H53" s="305"/>
      <c r="I53" s="305"/>
      <c r="J53" s="306">
        <f t="shared" si="7"/>
        <v>0</v>
      </c>
      <c r="K53" s="305"/>
      <c r="L53" s="305"/>
      <c r="M53" s="305"/>
      <c r="N53" s="191"/>
      <c r="O53" s="191"/>
      <c r="P53" s="191"/>
      <c r="Q53" s="191"/>
      <c r="R53" s="191"/>
      <c r="S53" s="191"/>
      <c r="T53" s="191"/>
      <c r="U53" s="191"/>
    </row>
    <row r="54" spans="1:21" ht="16.5" customHeight="1">
      <c r="A54" s="91" t="s">
        <v>162</v>
      </c>
      <c r="B54" s="106" t="s">
        <v>377</v>
      </c>
      <c r="C54" s="20">
        <f>+'Bank Liabilities Analysis'!S34</f>
        <v>0</v>
      </c>
      <c r="D54" s="19">
        <f>+'Bank Liabilities Analysis'!T34</f>
        <v>0</v>
      </c>
      <c r="E54" s="19">
        <f>+'Bank Liabilities Analysis'!U34</f>
        <v>0</v>
      </c>
      <c r="F54" s="305"/>
      <c r="G54" s="305"/>
      <c r="H54" s="305"/>
      <c r="I54" s="305"/>
      <c r="J54" s="306">
        <f t="shared" si="7"/>
        <v>0</v>
      </c>
      <c r="K54" s="305"/>
      <c r="L54" s="305"/>
      <c r="M54" s="305"/>
      <c r="N54" s="191"/>
      <c r="O54" s="191"/>
      <c r="P54" s="191"/>
      <c r="Q54" s="191"/>
      <c r="R54" s="191"/>
      <c r="S54" s="191"/>
      <c r="T54" s="191"/>
      <c r="U54" s="191"/>
    </row>
    <row r="55" spans="1:21" ht="16.5" customHeight="1">
      <c r="A55" s="91" t="s">
        <v>164</v>
      </c>
      <c r="B55" s="92" t="s">
        <v>180</v>
      </c>
      <c r="C55" s="20">
        <f t="shared" si="1"/>
        <v>4301859637</v>
      </c>
      <c r="D55" s="15">
        <v>2169849124</v>
      </c>
      <c r="E55" s="15">
        <v>2132010513</v>
      </c>
      <c r="F55" s="305"/>
      <c r="G55" s="305"/>
      <c r="H55" s="305"/>
      <c r="I55" s="305"/>
      <c r="J55" s="306">
        <f t="shared" si="7"/>
        <v>0</v>
      </c>
      <c r="K55" s="305"/>
      <c r="L55" s="305"/>
      <c r="M55" s="305"/>
      <c r="N55" s="191"/>
      <c r="O55" s="191"/>
      <c r="P55" s="191"/>
      <c r="Q55" s="191"/>
      <c r="R55" s="191"/>
      <c r="S55" s="191"/>
      <c r="T55" s="191"/>
      <c r="U55" s="191"/>
    </row>
    <row r="56" spans="1:21" ht="16.5" customHeight="1">
      <c r="A56" s="91" t="s">
        <v>41</v>
      </c>
      <c r="B56" s="197" t="s">
        <v>405</v>
      </c>
      <c r="C56" s="20">
        <f t="shared" si="1"/>
        <v>0</v>
      </c>
      <c r="D56" s="15">
        <v>0</v>
      </c>
      <c r="E56" s="15">
        <v>0</v>
      </c>
      <c r="F56" s="305"/>
      <c r="G56" s="305"/>
      <c r="H56" s="305"/>
      <c r="I56" s="305"/>
      <c r="J56" s="306">
        <f t="shared" si="7"/>
        <v>0</v>
      </c>
      <c r="K56" s="305"/>
      <c r="L56" s="305"/>
      <c r="M56" s="305"/>
      <c r="N56" s="191"/>
      <c r="O56" s="191"/>
      <c r="P56" s="191"/>
      <c r="Q56" s="191"/>
      <c r="R56" s="191"/>
      <c r="S56" s="191"/>
      <c r="T56" s="191"/>
      <c r="U56" s="191"/>
    </row>
    <row r="57" spans="1:21" ht="16.5" customHeight="1">
      <c r="A57" s="91" t="s">
        <v>42</v>
      </c>
      <c r="B57" s="194" t="s">
        <v>378</v>
      </c>
      <c r="C57" s="20">
        <f t="shared" si="1"/>
        <v>0</v>
      </c>
      <c r="D57" s="15">
        <v>0</v>
      </c>
      <c r="E57" s="15">
        <v>0</v>
      </c>
      <c r="F57" s="305"/>
      <c r="G57" s="305"/>
      <c r="H57" s="305"/>
      <c r="I57" s="305"/>
      <c r="J57" s="306">
        <f t="shared" si="7"/>
        <v>0</v>
      </c>
      <c r="K57" s="305"/>
      <c r="L57" s="305"/>
      <c r="M57" s="305"/>
      <c r="N57" s="191"/>
      <c r="O57" s="191"/>
      <c r="P57" s="191"/>
      <c r="Q57" s="191"/>
      <c r="R57" s="191"/>
      <c r="S57" s="191"/>
      <c r="T57" s="191"/>
      <c r="U57" s="191"/>
    </row>
    <row r="58" spans="1:21" ht="16.5" customHeight="1">
      <c r="A58" s="91" t="s">
        <v>278</v>
      </c>
      <c r="B58" s="92" t="s">
        <v>379</v>
      </c>
      <c r="C58" s="20">
        <f>+'Bank Liabilities Analysis'!S37</f>
        <v>65266761</v>
      </c>
      <c r="D58" s="20">
        <f>+'Bank Liabilities Analysis'!T37</f>
        <v>50677310</v>
      </c>
      <c r="E58" s="20">
        <f>+'Bank Liabilities Analysis'!U37</f>
        <v>14589451</v>
      </c>
      <c r="F58" s="305"/>
      <c r="G58" s="305"/>
      <c r="H58" s="305"/>
      <c r="I58" s="305"/>
      <c r="J58" s="306">
        <f t="shared" si="7"/>
        <v>0</v>
      </c>
      <c r="K58" s="305"/>
      <c r="L58" s="305"/>
      <c r="M58" s="305"/>
      <c r="N58" s="191"/>
      <c r="O58" s="191"/>
      <c r="P58" s="191"/>
      <c r="Q58" s="191"/>
      <c r="R58" s="191"/>
      <c r="S58" s="191"/>
      <c r="T58" s="191"/>
      <c r="U58" s="191"/>
    </row>
    <row r="59" spans="1:21" ht="16.5" customHeight="1">
      <c r="A59" s="91" t="s">
        <v>279</v>
      </c>
      <c r="B59" s="92" t="s">
        <v>380</v>
      </c>
      <c r="C59" s="20">
        <f t="shared" si="1"/>
        <v>39600602</v>
      </c>
      <c r="D59" s="15">
        <v>39600602</v>
      </c>
      <c r="E59" s="15">
        <v>0</v>
      </c>
      <c r="F59" s="305"/>
      <c r="G59" s="305"/>
      <c r="H59" s="305"/>
      <c r="I59" s="305"/>
      <c r="J59" s="306">
        <f t="shared" si="7"/>
        <v>0</v>
      </c>
      <c r="K59" s="305"/>
      <c r="L59" s="305"/>
      <c r="M59" s="305"/>
      <c r="N59" s="191"/>
      <c r="O59" s="191"/>
      <c r="P59" s="191"/>
      <c r="Q59" s="191"/>
      <c r="R59" s="191"/>
      <c r="S59" s="191"/>
      <c r="T59" s="191"/>
      <c r="U59" s="191"/>
    </row>
    <row r="60" spans="1:21" ht="16.5" customHeight="1">
      <c r="A60" s="91" t="s">
        <v>280</v>
      </c>
      <c r="B60" s="92" t="s">
        <v>381</v>
      </c>
      <c r="C60" s="20">
        <f>+'Bank Liabilities Analysis'!S36</f>
        <v>602200</v>
      </c>
      <c r="D60" s="19">
        <f>+'Bank Liabilities Analysis'!T36</f>
        <v>497730</v>
      </c>
      <c r="E60" s="19">
        <f>+'Bank Liabilities Analysis'!U36</f>
        <v>104470</v>
      </c>
      <c r="F60" s="305"/>
      <c r="G60" s="305"/>
      <c r="H60" s="305"/>
      <c r="I60" s="305"/>
      <c r="J60" s="306">
        <f t="shared" si="7"/>
        <v>0</v>
      </c>
      <c r="K60" s="305"/>
      <c r="L60" s="305"/>
      <c r="M60" s="305"/>
      <c r="N60" s="191"/>
      <c r="O60" s="191"/>
      <c r="P60" s="191"/>
      <c r="Q60" s="191"/>
      <c r="R60" s="191"/>
      <c r="S60" s="191"/>
      <c r="T60" s="191"/>
      <c r="U60" s="191"/>
    </row>
    <row r="61" spans="1:21" ht="16.5" customHeight="1">
      <c r="A61" s="91" t="s">
        <v>281</v>
      </c>
      <c r="B61" s="92" t="s">
        <v>187</v>
      </c>
      <c r="C61" s="20">
        <f t="shared" si="1"/>
        <v>77151901</v>
      </c>
      <c r="D61" s="15">
        <f>26760733+1624624</f>
        <v>28385357</v>
      </c>
      <c r="E61" s="15">
        <v>48766544</v>
      </c>
      <c r="F61" s="305"/>
      <c r="G61" s="305"/>
      <c r="H61" s="305"/>
      <c r="I61" s="305"/>
      <c r="J61" s="306">
        <f t="shared" si="7"/>
        <v>0</v>
      </c>
      <c r="K61" s="305"/>
      <c r="L61" s="305"/>
      <c r="M61" s="305"/>
      <c r="N61" s="191"/>
      <c r="O61" s="191"/>
      <c r="P61" s="191"/>
      <c r="Q61" s="191"/>
      <c r="R61" s="191"/>
      <c r="S61" s="191"/>
      <c r="T61" s="191"/>
      <c r="U61" s="191"/>
    </row>
    <row r="62" spans="1:21" ht="16.5" customHeight="1">
      <c r="A62" s="109" t="s">
        <v>282</v>
      </c>
      <c r="B62" s="107" t="s">
        <v>392</v>
      </c>
      <c r="C62" s="108">
        <f t="shared" si="1"/>
        <v>8544626133</v>
      </c>
      <c r="D62" s="108">
        <f>SUM(D50:D61)</f>
        <v>5163951418</v>
      </c>
      <c r="E62" s="108">
        <f>SUM(E50:E61)</f>
        <v>3380674715</v>
      </c>
      <c r="F62" s="307">
        <f>+'Bank Liabilities Analysis'!S39</f>
        <v>8544626133</v>
      </c>
      <c r="G62" s="307">
        <f>+'Bank Liabilities Analysis'!T39</f>
        <v>5163951418</v>
      </c>
      <c r="H62" s="307">
        <f>+'Bank Liabilities Analysis'!U39</f>
        <v>3380674715</v>
      </c>
      <c r="I62" s="305"/>
      <c r="J62" s="306">
        <f t="shared" si="7"/>
        <v>0</v>
      </c>
      <c r="K62" s="305"/>
      <c r="L62" s="305"/>
      <c r="M62" s="305"/>
      <c r="N62" s="191"/>
      <c r="O62" s="191"/>
      <c r="P62" s="191"/>
      <c r="Q62" s="191"/>
      <c r="R62" s="191"/>
      <c r="S62" s="191"/>
      <c r="T62" s="191"/>
      <c r="U62" s="191"/>
    </row>
    <row r="63" spans="1:21" ht="6.75" customHeight="1">
      <c r="A63" s="91"/>
      <c r="B63" s="103"/>
      <c r="C63" s="20"/>
      <c r="D63" s="20"/>
      <c r="E63" s="20"/>
      <c r="F63" s="305"/>
      <c r="G63" s="305"/>
      <c r="H63" s="305"/>
      <c r="I63" s="305"/>
      <c r="J63" s="306">
        <f t="shared" si="7"/>
        <v>0</v>
      </c>
      <c r="K63" s="305"/>
      <c r="L63" s="305"/>
      <c r="M63" s="305"/>
      <c r="N63" s="191"/>
      <c r="O63" s="191"/>
      <c r="P63" s="191"/>
      <c r="Q63" s="191"/>
      <c r="R63" s="191"/>
      <c r="S63" s="191"/>
      <c r="T63" s="191"/>
      <c r="U63" s="191"/>
    </row>
    <row r="64" spans="1:21" ht="15" customHeight="1">
      <c r="A64" s="97"/>
      <c r="B64" s="105" t="s">
        <v>3</v>
      </c>
      <c r="C64" s="19"/>
      <c r="D64" s="19"/>
      <c r="E64" s="19"/>
      <c r="F64" s="305"/>
      <c r="G64" s="305"/>
      <c r="H64" s="305"/>
      <c r="I64" s="305"/>
      <c r="J64" s="306">
        <f t="shared" si="7"/>
        <v>0</v>
      </c>
      <c r="K64" s="305"/>
      <c r="L64" s="305"/>
      <c r="M64" s="305"/>
      <c r="N64" s="191"/>
      <c r="O64" s="191"/>
      <c r="P64" s="191"/>
      <c r="Q64" s="191"/>
      <c r="R64" s="191"/>
      <c r="S64" s="191"/>
      <c r="T64" s="191"/>
      <c r="U64" s="191"/>
    </row>
    <row r="65" spans="1:30" ht="6.75" customHeight="1">
      <c r="A65" s="91"/>
      <c r="B65" s="103"/>
      <c r="C65" s="20"/>
      <c r="D65" s="20"/>
      <c r="E65" s="20"/>
      <c r="F65" s="305"/>
      <c r="G65" s="305"/>
      <c r="H65" s="305"/>
      <c r="I65" s="305"/>
      <c r="J65" s="306">
        <f t="shared" ref="J65" si="8">+C65-D65-E65</f>
        <v>0</v>
      </c>
      <c r="K65" s="305"/>
      <c r="L65" s="305"/>
      <c r="M65" s="305"/>
      <c r="N65" s="191"/>
      <c r="O65" s="191"/>
      <c r="P65" s="191"/>
      <c r="Q65" s="191"/>
      <c r="R65" s="191"/>
      <c r="S65" s="191"/>
      <c r="T65" s="191"/>
      <c r="U65" s="191"/>
    </row>
    <row r="66" spans="1:30" ht="15" customHeight="1">
      <c r="A66" s="109" t="s">
        <v>283</v>
      </c>
      <c r="B66" s="92" t="s">
        <v>382</v>
      </c>
      <c r="C66" s="19"/>
      <c r="D66" s="19"/>
      <c r="E66" s="19"/>
      <c r="F66" s="305"/>
      <c r="G66" s="305"/>
      <c r="H66" s="305"/>
      <c r="I66" s="305"/>
      <c r="J66" s="306">
        <f t="shared" si="7"/>
        <v>0</v>
      </c>
      <c r="K66" s="305"/>
      <c r="L66" s="305"/>
      <c r="M66" s="305"/>
      <c r="N66" s="191"/>
      <c r="O66" s="191"/>
      <c r="P66" s="191"/>
      <c r="Q66" s="191"/>
      <c r="R66" s="191"/>
      <c r="S66" s="191"/>
      <c r="T66" s="191"/>
      <c r="U66" s="191"/>
    </row>
    <row r="67" spans="1:30" ht="15" customHeight="1">
      <c r="A67" s="97" t="s">
        <v>406</v>
      </c>
      <c r="B67" s="94" t="s">
        <v>383</v>
      </c>
      <c r="C67" s="19">
        <f t="shared" ref="C67:C69" si="9">+D67+E67</f>
        <v>1641584276</v>
      </c>
      <c r="D67" s="115">
        <v>1641584276</v>
      </c>
      <c r="E67" s="115">
        <v>0</v>
      </c>
      <c r="F67" s="305"/>
      <c r="G67" s="305"/>
      <c r="H67" s="305"/>
      <c r="I67" s="305"/>
      <c r="J67" s="306">
        <f t="shared" si="7"/>
        <v>0</v>
      </c>
      <c r="K67" s="305"/>
      <c r="L67" s="305"/>
      <c r="M67" s="305"/>
      <c r="N67" s="191"/>
      <c r="O67" s="191"/>
      <c r="P67" s="191"/>
      <c r="Q67" s="191"/>
      <c r="R67" s="191"/>
      <c r="S67" s="191"/>
      <c r="T67" s="191"/>
      <c r="U67" s="191"/>
    </row>
    <row r="68" spans="1:30" ht="15" customHeight="1">
      <c r="A68" s="91" t="s">
        <v>407</v>
      </c>
      <c r="B68" s="94" t="s">
        <v>384</v>
      </c>
      <c r="C68" s="19">
        <f t="shared" si="9"/>
        <v>144180</v>
      </c>
      <c r="D68" s="15">
        <v>144180</v>
      </c>
      <c r="E68" s="15">
        <v>0</v>
      </c>
      <c r="F68" s="305"/>
      <c r="G68" s="305"/>
      <c r="H68" s="305"/>
      <c r="I68" s="305"/>
      <c r="J68" s="306">
        <f t="shared" si="7"/>
        <v>0</v>
      </c>
      <c r="K68" s="305"/>
      <c r="L68" s="305"/>
      <c r="M68" s="305"/>
      <c r="N68" s="191"/>
      <c r="O68" s="191"/>
      <c r="P68" s="191"/>
      <c r="Q68" s="191"/>
      <c r="R68" s="191"/>
      <c r="S68" s="191"/>
      <c r="T68" s="191"/>
      <c r="U68" s="191"/>
    </row>
    <row r="69" spans="1:30" ht="15" customHeight="1">
      <c r="A69" s="91" t="s">
        <v>284</v>
      </c>
      <c r="B69" s="110" t="s">
        <v>65</v>
      </c>
      <c r="C69" s="19">
        <f t="shared" si="9"/>
        <v>0</v>
      </c>
      <c r="D69" s="15">
        <v>0</v>
      </c>
      <c r="E69" s="15">
        <v>0</v>
      </c>
      <c r="F69" s="305"/>
      <c r="G69" s="305"/>
      <c r="H69" s="305"/>
      <c r="I69" s="305"/>
      <c r="J69" s="306">
        <f t="shared" si="7"/>
        <v>0</v>
      </c>
      <c r="K69" s="305"/>
      <c r="L69" s="305"/>
      <c r="M69" s="305"/>
      <c r="N69" s="191"/>
      <c r="O69" s="191"/>
      <c r="P69" s="191"/>
      <c r="Q69" s="191"/>
      <c r="R69" s="191"/>
      <c r="S69" s="191"/>
      <c r="T69" s="191"/>
      <c r="U69" s="191"/>
    </row>
    <row r="70" spans="1:30" ht="15" customHeight="1">
      <c r="A70" s="91" t="s">
        <v>285</v>
      </c>
      <c r="B70" s="110" t="s">
        <v>385</v>
      </c>
      <c r="C70" s="19"/>
      <c r="D70" s="19"/>
      <c r="E70" s="19"/>
      <c r="F70" s="305"/>
      <c r="G70" s="305"/>
      <c r="H70" s="305"/>
      <c r="I70" s="305"/>
      <c r="J70" s="306">
        <f t="shared" si="7"/>
        <v>0</v>
      </c>
      <c r="K70" s="305"/>
      <c r="L70" s="305"/>
      <c r="M70" s="305"/>
      <c r="N70" s="191"/>
      <c r="O70" s="191"/>
      <c r="P70" s="191"/>
      <c r="Q70" s="191"/>
      <c r="R70" s="191"/>
      <c r="S70" s="191"/>
      <c r="T70" s="191"/>
      <c r="U70" s="191"/>
    </row>
    <row r="71" spans="1:30" ht="15" customHeight="1">
      <c r="A71" s="91" t="s">
        <v>286</v>
      </c>
      <c r="B71" s="111" t="s">
        <v>386</v>
      </c>
      <c r="C71" s="20">
        <f t="shared" si="1"/>
        <v>33388136</v>
      </c>
      <c r="D71" s="15">
        <v>33388136</v>
      </c>
      <c r="E71" s="15">
        <v>0</v>
      </c>
      <c r="F71" s="305"/>
      <c r="G71" s="305"/>
      <c r="H71" s="305"/>
      <c r="I71" s="305"/>
      <c r="J71" s="306">
        <f t="shared" si="7"/>
        <v>0</v>
      </c>
      <c r="K71" s="305"/>
      <c r="L71" s="305"/>
      <c r="M71" s="305"/>
      <c r="N71" s="191"/>
      <c r="O71" s="191"/>
      <c r="P71" s="191"/>
      <c r="Q71" s="191"/>
      <c r="R71" s="191"/>
      <c r="S71" s="191"/>
      <c r="T71" s="191"/>
      <c r="U71" s="191"/>
    </row>
    <row r="72" spans="1:30" ht="15" customHeight="1">
      <c r="A72" s="91" t="s">
        <v>408</v>
      </c>
      <c r="B72" s="111" t="s">
        <v>387</v>
      </c>
      <c r="C72" s="19">
        <f t="shared" si="1"/>
        <v>0</v>
      </c>
      <c r="D72" s="116">
        <v>0</v>
      </c>
      <c r="E72" s="116">
        <v>0</v>
      </c>
      <c r="F72" s="306"/>
      <c r="G72" s="305"/>
      <c r="H72" s="306"/>
      <c r="I72" s="305"/>
      <c r="J72" s="306">
        <f t="shared" si="7"/>
        <v>0</v>
      </c>
      <c r="K72" s="305"/>
      <c r="L72" s="305"/>
      <c r="M72" s="305"/>
      <c r="N72" s="191"/>
      <c r="O72" s="191"/>
      <c r="P72" s="191"/>
      <c r="Q72" s="191"/>
      <c r="R72" s="191"/>
      <c r="S72" s="191"/>
      <c r="T72" s="191"/>
      <c r="U72" s="191"/>
    </row>
    <row r="73" spans="1:30" ht="15" customHeight="1">
      <c r="A73" s="91" t="s">
        <v>409</v>
      </c>
      <c r="B73" s="192" t="s">
        <v>388</v>
      </c>
      <c r="C73" s="19">
        <f t="shared" si="1"/>
        <v>0</v>
      </c>
      <c r="D73" s="15">
        <v>0</v>
      </c>
      <c r="E73" s="15">
        <v>0</v>
      </c>
      <c r="F73" s="305"/>
      <c r="G73" s="305"/>
      <c r="H73" s="305"/>
      <c r="I73" s="305"/>
      <c r="J73" s="306">
        <f t="shared" si="7"/>
        <v>0</v>
      </c>
      <c r="K73" s="305"/>
      <c r="L73" s="305"/>
      <c r="M73" s="305"/>
      <c r="N73" s="191"/>
      <c r="O73" s="191"/>
      <c r="P73" s="191"/>
      <c r="Q73" s="191"/>
      <c r="R73" s="191"/>
      <c r="S73" s="191"/>
      <c r="T73" s="191"/>
      <c r="U73" s="191"/>
    </row>
    <row r="74" spans="1:30" ht="15" customHeight="1">
      <c r="A74" s="91" t="s">
        <v>410</v>
      </c>
      <c r="B74" s="111" t="s">
        <v>389</v>
      </c>
      <c r="C74" s="20">
        <f t="shared" si="1"/>
        <v>775975</v>
      </c>
      <c r="D74" s="15">
        <v>775975</v>
      </c>
      <c r="E74" s="15">
        <v>0</v>
      </c>
      <c r="F74" s="305"/>
      <c r="G74" s="305"/>
      <c r="H74" s="305"/>
      <c r="I74" s="305"/>
      <c r="J74" s="306">
        <f t="shared" si="7"/>
        <v>0</v>
      </c>
      <c r="K74" s="305"/>
      <c r="L74" s="305"/>
      <c r="M74" s="305"/>
      <c r="N74" s="191"/>
      <c r="O74" s="191"/>
      <c r="P74" s="191"/>
      <c r="Q74" s="191"/>
      <c r="R74" s="191"/>
      <c r="S74" s="191"/>
      <c r="T74" s="191"/>
      <c r="U74" s="191"/>
    </row>
    <row r="75" spans="1:30" ht="15" customHeight="1">
      <c r="A75" s="91" t="s">
        <v>287</v>
      </c>
      <c r="B75" s="110" t="s">
        <v>66</v>
      </c>
      <c r="C75" s="20">
        <f t="shared" si="1"/>
        <v>62396965</v>
      </c>
      <c r="D75" s="15">
        <v>62396965</v>
      </c>
      <c r="E75" s="15">
        <v>0</v>
      </c>
      <c r="F75" s="305"/>
      <c r="G75" s="305"/>
      <c r="H75" s="305"/>
      <c r="I75" s="305"/>
      <c r="J75" s="306">
        <f t="shared" si="7"/>
        <v>0</v>
      </c>
      <c r="K75" s="305"/>
      <c r="L75" s="305"/>
      <c r="M75" s="305"/>
      <c r="N75" s="191"/>
      <c r="O75" s="191"/>
      <c r="P75" s="191"/>
      <c r="Q75" s="191"/>
      <c r="R75" s="191"/>
      <c r="S75" s="191"/>
      <c r="T75" s="191"/>
      <c r="U75" s="191"/>
    </row>
    <row r="76" spans="1:30" ht="15" customHeight="1">
      <c r="A76" s="91" t="s">
        <v>411</v>
      </c>
      <c r="B76" s="192" t="s">
        <v>424</v>
      </c>
      <c r="C76" s="20">
        <f t="shared" si="1"/>
        <v>100028858</v>
      </c>
      <c r="D76" s="15">
        <v>100028858</v>
      </c>
      <c r="E76" s="15">
        <v>0</v>
      </c>
      <c r="F76" s="305"/>
      <c r="G76" s="305"/>
      <c r="H76" s="305"/>
      <c r="I76" s="305"/>
      <c r="J76" s="306">
        <f t="shared" si="7"/>
        <v>0</v>
      </c>
      <c r="K76" s="305"/>
      <c r="L76" s="305"/>
      <c r="M76" s="305"/>
      <c r="N76" s="191"/>
      <c r="O76" s="191"/>
      <c r="P76" s="191"/>
      <c r="Q76" s="191"/>
      <c r="R76" s="191"/>
      <c r="S76" s="191"/>
      <c r="T76" s="191"/>
      <c r="U76" s="191"/>
    </row>
    <row r="77" spans="1:30" ht="15" customHeight="1">
      <c r="A77" s="112" t="s">
        <v>288</v>
      </c>
      <c r="B77" s="107" t="s">
        <v>390</v>
      </c>
      <c r="C77" s="20">
        <f>SUM(C67:C75)</f>
        <v>1738289532</v>
      </c>
      <c r="D77" s="113">
        <f>SUM(D67:D75)</f>
        <v>1738289532</v>
      </c>
      <c r="E77" s="113">
        <f>SUM(E67:E75)</f>
        <v>0</v>
      </c>
      <c r="F77" s="306"/>
      <c r="G77" s="305"/>
      <c r="H77" s="305"/>
      <c r="I77" s="305"/>
      <c r="J77" s="306">
        <f t="shared" si="7"/>
        <v>0</v>
      </c>
      <c r="K77" s="305"/>
      <c r="L77" s="305"/>
      <c r="M77" s="305"/>
      <c r="N77" s="191"/>
      <c r="O77" s="191"/>
      <c r="P77" s="191"/>
      <c r="Q77" s="191"/>
      <c r="R77" s="191"/>
      <c r="S77" s="191"/>
      <c r="T77" s="191"/>
      <c r="U77" s="191"/>
    </row>
    <row r="78" spans="1:30" ht="15" customHeight="1">
      <c r="A78" s="112" t="s">
        <v>412</v>
      </c>
      <c r="B78" s="114" t="s">
        <v>391</v>
      </c>
      <c r="C78" s="102">
        <f t="shared" si="1"/>
        <v>10282915665</v>
      </c>
      <c r="D78" s="102">
        <f>+D62+D77</f>
        <v>6902240950</v>
      </c>
      <c r="E78" s="102">
        <f>+E62+E77</f>
        <v>3380674715</v>
      </c>
      <c r="F78" s="305"/>
      <c r="G78" s="305"/>
      <c r="H78" s="305"/>
      <c r="I78" s="305"/>
      <c r="J78" s="306">
        <f t="shared" si="7"/>
        <v>0</v>
      </c>
      <c r="K78" s="305"/>
      <c r="L78" s="305"/>
      <c r="M78" s="305"/>
      <c r="N78" s="191"/>
      <c r="O78" s="191"/>
      <c r="P78" s="191"/>
      <c r="Q78" s="191"/>
      <c r="R78" s="191"/>
      <c r="S78" s="191"/>
      <c r="T78" s="191"/>
      <c r="U78" s="191"/>
    </row>
    <row r="79" spans="1:30" ht="15" customHeight="1">
      <c r="A79" s="95"/>
      <c r="B79" s="66"/>
      <c r="C79" s="66"/>
      <c r="D79" s="66"/>
      <c r="E79" s="66"/>
      <c r="F79" s="305"/>
      <c r="G79" s="305"/>
      <c r="H79" s="305"/>
      <c r="I79" s="305"/>
      <c r="J79" s="305"/>
      <c r="K79" s="305"/>
      <c r="L79" s="305"/>
      <c r="M79" s="305"/>
      <c r="N79" s="191"/>
      <c r="O79" s="191"/>
      <c r="P79" s="191"/>
      <c r="Q79" s="191"/>
      <c r="R79" s="191"/>
      <c r="S79" s="191"/>
      <c r="T79" s="191"/>
      <c r="U79" s="191"/>
    </row>
    <row r="80" spans="1:30" ht="15" customHeight="1">
      <c r="A80" s="95"/>
      <c r="B80" s="5" t="s">
        <v>4</v>
      </c>
      <c r="C80" s="66"/>
      <c r="D80" s="66"/>
      <c r="E80" s="66"/>
      <c r="F80" s="305"/>
      <c r="G80" s="305"/>
      <c r="H80" s="305"/>
      <c r="I80" s="305"/>
      <c r="J80" s="305"/>
      <c r="K80" s="305"/>
      <c r="L80" s="305"/>
      <c r="M80" s="305"/>
      <c r="N80" s="191"/>
      <c r="O80" s="191"/>
      <c r="P80" s="191"/>
      <c r="Q80" s="191"/>
      <c r="R80" s="191"/>
      <c r="S80" s="191"/>
      <c r="T80" s="191"/>
      <c r="U80" s="191"/>
      <c r="V80" s="191"/>
      <c r="W80" s="66"/>
      <c r="X80" s="66"/>
      <c r="Y80" s="66"/>
      <c r="Z80" s="66"/>
      <c r="AA80" s="66"/>
      <c r="AB80" s="66"/>
      <c r="AC80" s="66"/>
      <c r="AD80" s="66"/>
    </row>
    <row r="81" spans="1:30" ht="11.25" customHeight="1">
      <c r="A81" s="95"/>
      <c r="B81" s="5"/>
      <c r="C81" s="66"/>
      <c r="D81" s="66"/>
      <c r="E81" s="66"/>
      <c r="F81" s="305"/>
      <c r="G81" s="305"/>
      <c r="H81" s="305"/>
      <c r="I81" s="305"/>
      <c r="J81" s="305"/>
      <c r="K81" s="305"/>
      <c r="L81" s="305"/>
      <c r="M81" s="305"/>
      <c r="N81" s="191"/>
      <c r="O81" s="191"/>
      <c r="P81" s="191"/>
      <c r="Q81" s="191"/>
      <c r="R81" s="191"/>
      <c r="S81" s="191"/>
      <c r="T81" s="191"/>
      <c r="U81" s="191"/>
      <c r="V81" s="191"/>
      <c r="W81" s="66"/>
      <c r="X81" s="66"/>
      <c r="Y81" s="66"/>
      <c r="Z81" s="66"/>
      <c r="AA81" s="66"/>
      <c r="AB81" s="66"/>
      <c r="AC81" s="66"/>
      <c r="AD81" s="66"/>
    </row>
    <row r="82" spans="1:30" ht="15" customHeight="1">
      <c r="A82" s="95"/>
      <c r="B82" s="5" t="s">
        <v>5</v>
      </c>
      <c r="C82" s="66"/>
      <c r="D82" s="66"/>
      <c r="E82" s="66"/>
      <c r="F82" s="305"/>
      <c r="G82" s="305"/>
      <c r="H82" s="305"/>
      <c r="I82" s="305"/>
      <c r="J82" s="305"/>
      <c r="K82" s="305"/>
      <c r="L82" s="305"/>
      <c r="M82" s="305"/>
      <c r="N82" s="191"/>
      <c r="O82" s="191"/>
      <c r="P82" s="191"/>
      <c r="Q82" s="191"/>
      <c r="R82" s="191"/>
      <c r="S82" s="191"/>
      <c r="T82" s="191"/>
      <c r="U82" s="191"/>
      <c r="V82" s="191"/>
      <c r="W82" s="66"/>
      <c r="X82" s="66"/>
      <c r="Y82" s="66"/>
      <c r="Z82" s="66"/>
      <c r="AA82" s="66"/>
      <c r="AB82" s="66"/>
      <c r="AC82" s="66"/>
      <c r="AD82" s="66"/>
    </row>
    <row r="83" spans="1:30" ht="15" customHeight="1">
      <c r="A83" s="95"/>
      <c r="B83" s="66"/>
      <c r="C83" s="66"/>
      <c r="D83" s="66"/>
      <c r="E83" s="66"/>
      <c r="F83" s="305"/>
      <c r="G83" s="305"/>
      <c r="H83" s="305"/>
      <c r="I83" s="305"/>
      <c r="J83" s="305"/>
      <c r="K83" s="305"/>
      <c r="L83" s="305"/>
      <c r="M83" s="305"/>
      <c r="N83" s="191"/>
      <c r="O83" s="191"/>
      <c r="P83" s="191"/>
      <c r="Q83" s="191"/>
      <c r="R83" s="191"/>
      <c r="S83" s="191"/>
      <c r="T83" s="191"/>
      <c r="U83" s="191"/>
      <c r="V83" s="191"/>
      <c r="W83" s="66"/>
      <c r="X83" s="66"/>
      <c r="Y83" s="66"/>
      <c r="Z83" s="66"/>
      <c r="AA83" s="66"/>
      <c r="AB83" s="66"/>
      <c r="AC83" s="66"/>
      <c r="AD83" s="66"/>
    </row>
    <row r="84" spans="1:30" s="547" customFormat="1" ht="15" customHeight="1">
      <c r="A84" s="543"/>
      <c r="B84" s="544"/>
      <c r="C84" s="544">
        <f>+C45-C78</f>
        <v>0</v>
      </c>
      <c r="D84" s="544"/>
      <c r="E84" s="544"/>
      <c r="F84" s="545"/>
      <c r="G84" s="545"/>
      <c r="H84" s="545"/>
      <c r="I84" s="545"/>
      <c r="J84" s="545"/>
      <c r="K84" s="545"/>
      <c r="L84" s="545"/>
      <c r="M84" s="545"/>
      <c r="N84" s="546"/>
      <c r="O84" s="546"/>
      <c r="P84" s="546"/>
      <c r="Q84" s="546"/>
      <c r="R84" s="546"/>
      <c r="S84" s="546"/>
      <c r="T84" s="546"/>
      <c r="U84" s="546"/>
      <c r="V84" s="546"/>
      <c r="W84" s="544"/>
      <c r="X84" s="544"/>
      <c r="Y84" s="544"/>
      <c r="Z84" s="544"/>
      <c r="AA84" s="544"/>
      <c r="AB84" s="544"/>
      <c r="AC84" s="544"/>
      <c r="AD84" s="544"/>
    </row>
    <row r="85" spans="1:30" s="547" customFormat="1" ht="15" customHeight="1">
      <c r="A85" s="543"/>
      <c r="B85" s="544"/>
      <c r="C85" s="544"/>
      <c r="D85" s="544"/>
      <c r="E85" s="544"/>
      <c r="F85" s="545"/>
      <c r="G85" s="545"/>
      <c r="H85" s="545"/>
      <c r="I85" s="545"/>
      <c r="J85" s="545"/>
      <c r="K85" s="545"/>
      <c r="L85" s="545"/>
      <c r="M85" s="545"/>
      <c r="N85" s="546"/>
      <c r="O85" s="546"/>
      <c r="P85" s="546"/>
      <c r="Q85" s="546"/>
      <c r="R85" s="546"/>
      <c r="S85" s="546"/>
      <c r="T85" s="546"/>
      <c r="U85" s="546"/>
      <c r="V85" s="546"/>
      <c r="W85" s="544"/>
      <c r="X85" s="544"/>
      <c r="Y85" s="544"/>
      <c r="Z85" s="544"/>
      <c r="AA85" s="544"/>
      <c r="AB85" s="544"/>
      <c r="AC85" s="544"/>
      <c r="AD85" s="544"/>
    </row>
    <row r="86" spans="1:30" s="547" customFormat="1" ht="15" customHeight="1">
      <c r="A86" s="543"/>
      <c r="B86" s="544"/>
      <c r="C86" s="544"/>
      <c r="D86" s="544"/>
      <c r="E86" s="544"/>
      <c r="F86" s="545"/>
      <c r="G86" s="545"/>
      <c r="H86" s="545"/>
      <c r="I86" s="545"/>
      <c r="J86" s="545"/>
      <c r="K86" s="545"/>
      <c r="L86" s="545"/>
      <c r="M86" s="545"/>
      <c r="N86" s="546"/>
      <c r="O86" s="546"/>
      <c r="P86" s="546"/>
      <c r="Q86" s="546"/>
      <c r="R86" s="546"/>
      <c r="S86" s="546"/>
      <c r="T86" s="546"/>
      <c r="U86" s="546"/>
      <c r="V86" s="546"/>
      <c r="W86" s="544"/>
      <c r="X86" s="544"/>
      <c r="Y86" s="544"/>
      <c r="Z86" s="544"/>
      <c r="AA86" s="544"/>
      <c r="AB86" s="544"/>
      <c r="AC86" s="544"/>
      <c r="AD86" s="544"/>
    </row>
    <row r="87" spans="1:30" ht="15" customHeight="1">
      <c r="A87" s="95"/>
      <c r="B87" s="66"/>
      <c r="C87" s="66"/>
      <c r="D87" s="66"/>
      <c r="E87" s="66"/>
      <c r="F87" s="305"/>
      <c r="G87" s="305"/>
      <c r="H87" s="305"/>
      <c r="I87" s="305"/>
      <c r="J87" s="305"/>
      <c r="K87" s="305"/>
      <c r="L87" s="305"/>
      <c r="M87" s="305"/>
      <c r="N87" s="191"/>
      <c r="O87" s="191"/>
      <c r="P87" s="191"/>
      <c r="Q87" s="191"/>
      <c r="R87" s="191"/>
      <c r="S87" s="191"/>
      <c r="T87" s="191"/>
      <c r="U87" s="191"/>
      <c r="V87" s="191"/>
      <c r="W87" s="66"/>
      <c r="X87" s="66"/>
      <c r="Y87" s="66"/>
      <c r="Z87" s="66"/>
      <c r="AA87" s="66"/>
      <c r="AB87" s="66"/>
      <c r="AC87" s="66"/>
      <c r="AD87" s="66"/>
    </row>
    <row r="88" spans="1:30" ht="15" customHeight="1">
      <c r="A88" s="95"/>
      <c r="B88" s="66"/>
      <c r="C88" s="66"/>
      <c r="D88" s="66"/>
      <c r="E88" s="66"/>
      <c r="F88" s="305"/>
      <c r="G88" s="305"/>
      <c r="H88" s="305"/>
      <c r="I88" s="305"/>
      <c r="J88" s="305"/>
      <c r="K88" s="305"/>
      <c r="L88" s="305"/>
      <c r="M88" s="305"/>
      <c r="N88" s="191"/>
      <c r="O88" s="191"/>
      <c r="P88" s="191"/>
      <c r="Q88" s="191"/>
      <c r="R88" s="191"/>
      <c r="S88" s="191"/>
      <c r="T88" s="191"/>
      <c r="U88" s="191"/>
      <c r="V88" s="191"/>
      <c r="W88" s="66"/>
      <c r="X88" s="66"/>
      <c r="Y88" s="66"/>
      <c r="Z88" s="66"/>
      <c r="AA88" s="66"/>
      <c r="AB88" s="66"/>
      <c r="AC88" s="66"/>
      <c r="AD88" s="66"/>
    </row>
    <row r="89" spans="1:30" ht="15" customHeight="1">
      <c r="A89" s="95"/>
      <c r="G89" s="305"/>
      <c r="H89" s="305"/>
      <c r="I89" s="305"/>
      <c r="J89" s="305"/>
      <c r="K89" s="305"/>
      <c r="L89" s="305"/>
      <c r="M89" s="305"/>
      <c r="N89" s="191"/>
      <c r="O89" s="191"/>
      <c r="P89" s="191"/>
      <c r="Q89" s="191"/>
      <c r="R89" s="191"/>
      <c r="S89" s="191"/>
      <c r="T89" s="191"/>
      <c r="U89" s="191"/>
      <c r="V89" s="191"/>
      <c r="W89" s="66"/>
      <c r="X89" s="66"/>
      <c r="Y89" s="66"/>
      <c r="Z89" s="66"/>
      <c r="AA89" s="66"/>
      <c r="AB89" s="66"/>
      <c r="AC89" s="66"/>
      <c r="AD89" s="66"/>
    </row>
    <row r="90" spans="1:30" ht="15" customHeight="1">
      <c r="A90" s="95"/>
    </row>
  </sheetData>
  <sheetProtection algorithmName="SHA-512" hashValue="x6wNfqJsOHBwaNOFORpFyyGcB29JOx4kVUG6E/GgY+yXTqBqfMMzUpePDVZuHGKru1ezsl7/wLaOIHYvkOM8wg==" saltValue="PpgII6mrPt3K9ZwGXi5Wkw==" spinCount="100000" sheet="1" objects="1" scenarios="1"/>
  <mergeCells count="1">
    <mergeCell ref="A1:D1"/>
  </mergeCells>
  <phoneticPr fontId="15" type="noConversion"/>
  <conditionalFormatting sqref="C62">
    <cfRule type="cellIs" dxfId="427" priority="68" operator="notEqual">
      <formula>$F$62</formula>
    </cfRule>
    <cfRule type="cellIs" dxfId="426" priority="103" operator="notEqual">
      <formula>$D$62+$E$62</formula>
    </cfRule>
  </conditionalFormatting>
  <conditionalFormatting sqref="C78">
    <cfRule type="cellIs" dxfId="425" priority="67" operator="notEqual">
      <formula>$C$45</formula>
    </cfRule>
    <cfRule type="cellIs" dxfId="424" priority="100" operator="notEqual">
      <formula>$C$45</formula>
    </cfRule>
  </conditionalFormatting>
  <conditionalFormatting sqref="C51">
    <cfRule type="cellIs" dxfId="423" priority="92" operator="notEqual">
      <formula>$D$51+$E$51</formula>
    </cfRule>
  </conditionalFormatting>
  <conditionalFormatting sqref="D62">
    <cfRule type="cellIs" dxfId="422" priority="69" operator="notEqual">
      <formula>$G$62</formula>
    </cfRule>
  </conditionalFormatting>
  <conditionalFormatting sqref="E62">
    <cfRule type="cellIs" dxfId="421" priority="187" operator="notEqual">
      <formula>$H$62</formula>
    </cfRule>
  </conditionalFormatting>
  <conditionalFormatting sqref="C20:D20">
    <cfRule type="cellIs" dxfId="420" priority="59" operator="notEqual">
      <formula>$D$21-$D$22</formula>
    </cfRule>
  </conditionalFormatting>
  <conditionalFormatting sqref="E20">
    <cfRule type="cellIs" dxfId="419" priority="58" operator="notEqual">
      <formula>$E$21-$E$22</formula>
    </cfRule>
  </conditionalFormatting>
  <conditionalFormatting sqref="C61 C59 C50:C55 C57">
    <cfRule type="cellIs" dxfId="418" priority="53" operator="notEqual">
      <formula>D50+E50</formula>
    </cfRule>
  </conditionalFormatting>
  <conditionalFormatting sqref="E45">
    <cfRule type="cellIs" dxfId="417" priority="42" operator="notEqual">
      <formula>$H$45</formula>
    </cfRule>
  </conditionalFormatting>
  <conditionalFormatting sqref="C7">
    <cfRule type="cellIs" dxfId="416" priority="41" operator="notEqual">
      <formula>+$D$7+$E$7</formula>
    </cfRule>
  </conditionalFormatting>
  <conditionalFormatting sqref="C77">
    <cfRule type="cellIs" dxfId="415" priority="36" stopIfTrue="1" operator="notEqual">
      <formula>$D$77+$E$77</formula>
    </cfRule>
  </conditionalFormatting>
  <conditionalFormatting sqref="C37">
    <cfRule type="cellIs" dxfId="414" priority="35" operator="notEqual">
      <formula>$C$38+$C$39-$C$40</formula>
    </cfRule>
  </conditionalFormatting>
  <conditionalFormatting sqref="D37">
    <cfRule type="cellIs" dxfId="413" priority="34" operator="notEqual">
      <formula>$D$38+$D$39-$D$40</formula>
    </cfRule>
  </conditionalFormatting>
  <conditionalFormatting sqref="E37">
    <cfRule type="cellIs" dxfId="412" priority="32" operator="notEqual">
      <formula>$E$38+$E$39-$E$40</formula>
    </cfRule>
  </conditionalFormatting>
  <conditionalFormatting sqref="E41">
    <cfRule type="cellIs" dxfId="411" priority="31" operator="notEqual">
      <formula>$E$42-$E$43+$E$44</formula>
    </cfRule>
  </conditionalFormatting>
  <conditionalFormatting sqref="C23">
    <cfRule type="cellIs" dxfId="410" priority="28" operator="notEqual">
      <formula>C24-C25</formula>
    </cfRule>
  </conditionalFormatting>
  <conditionalFormatting sqref="D23:E23">
    <cfRule type="cellIs" dxfId="409" priority="27" operator="notEqual">
      <formula>D24-D25</formula>
    </cfRule>
  </conditionalFormatting>
  <conditionalFormatting sqref="C26">
    <cfRule type="cellIs" dxfId="408" priority="26" operator="notEqual">
      <formula>C27-C28</formula>
    </cfRule>
  </conditionalFormatting>
  <conditionalFormatting sqref="D26:E26">
    <cfRule type="cellIs" dxfId="407" priority="25" operator="notEqual">
      <formula>D27-D28</formula>
    </cfRule>
  </conditionalFormatting>
  <conditionalFormatting sqref="C29">
    <cfRule type="cellIs" dxfId="406" priority="24" operator="notEqual">
      <formula>C30-C31</formula>
    </cfRule>
  </conditionalFormatting>
  <conditionalFormatting sqref="D29:E29">
    <cfRule type="cellIs" dxfId="405" priority="23" operator="notEqual">
      <formula>D30-D31</formula>
    </cfRule>
  </conditionalFormatting>
  <conditionalFormatting sqref="C41">
    <cfRule type="cellIs" dxfId="404" priority="22" operator="notEqual">
      <formula>C42-C43+C44</formula>
    </cfRule>
  </conditionalFormatting>
  <conditionalFormatting sqref="C17">
    <cfRule type="cellIs" dxfId="403" priority="20" operator="notEqual">
      <formula>C18-C19</formula>
    </cfRule>
  </conditionalFormatting>
  <conditionalFormatting sqref="C14">
    <cfRule type="cellIs" dxfId="402" priority="18" operator="notEqual">
      <formula>C15-C16</formula>
    </cfRule>
  </conditionalFormatting>
  <conditionalFormatting sqref="D14:E14">
    <cfRule type="cellIs" dxfId="401" priority="17" operator="notEqual">
      <formula>D15-D16</formula>
    </cfRule>
  </conditionalFormatting>
  <conditionalFormatting sqref="C7">
    <cfRule type="cellIs" dxfId="400" priority="14" operator="notEqual">
      <formula>C8-C9</formula>
    </cfRule>
  </conditionalFormatting>
  <conditionalFormatting sqref="E7">
    <cfRule type="cellIs" dxfId="399" priority="13" operator="notEqual">
      <formula>E8-E9</formula>
    </cfRule>
  </conditionalFormatting>
  <conditionalFormatting sqref="C56">
    <cfRule type="cellIs" dxfId="398" priority="10" operator="notEqual">
      <formula>D56+E56</formula>
    </cfRule>
  </conditionalFormatting>
  <conditionalFormatting sqref="D45">
    <cfRule type="cellIs" dxfId="397" priority="2" operator="notEqual">
      <formula>$G$45</formula>
    </cfRule>
  </conditionalFormatting>
  <conditionalFormatting sqref="C45">
    <cfRule type="cellIs" dxfId="396" priority="1" operator="notEqual">
      <formula>$F$45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E58 D71:D76 D55:D61 E72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27 D38:D40"/>
    <dataValidation type="date" operator="greaterThan" allowBlank="1" showInputMessage="1" showErrorMessage="1" prompt="Введите дату в формате ЧЧ.ММ.ГГГГ" sqref="C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14:C43 C58 C77 C7:C9 C46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18" customWidth="1"/>
    <col min="2" max="2" width="105.140625" style="118" customWidth="1"/>
    <col min="3" max="3" width="19.7109375" style="151" customWidth="1"/>
    <col min="4" max="4" width="10.28515625" style="284" bestFit="1" customWidth="1"/>
    <col min="5" max="5" width="19.42578125" style="285" bestFit="1" customWidth="1"/>
    <col min="6" max="6" width="9.28515625" style="284" bestFit="1" customWidth="1"/>
    <col min="7" max="7" width="9.140625" style="284"/>
    <col min="8" max="8" width="17.42578125" style="284" bestFit="1" customWidth="1"/>
    <col min="9" max="16384" width="9.140625" style="118"/>
  </cols>
  <sheetData>
    <row r="1" spans="1:8" ht="23.25" customHeight="1">
      <c r="A1" s="566" t="s">
        <v>423</v>
      </c>
      <c r="B1" s="567"/>
      <c r="C1" s="117" t="s">
        <v>401</v>
      </c>
    </row>
    <row r="2" spans="1:8">
      <c r="A2" s="153"/>
      <c r="B2" s="153"/>
      <c r="C2" s="153"/>
    </row>
    <row r="3" spans="1:8" ht="15.75">
      <c r="A3" s="119"/>
      <c r="B3" s="202" t="str">
        <f>Balance!B3</f>
        <v>АКБ"Микрокредитбанк"</v>
      </c>
      <c r="C3" s="201">
        <f>+Balance!C3</f>
        <v>44196</v>
      </c>
    </row>
    <row r="4" spans="1:8" s="120" customFormat="1" ht="43.5" customHeight="1">
      <c r="A4" s="257" t="s">
        <v>79</v>
      </c>
      <c r="B4" s="257" t="s">
        <v>54</v>
      </c>
      <c r="C4" s="257" t="s">
        <v>8</v>
      </c>
      <c r="D4" s="286"/>
      <c r="E4" s="287"/>
      <c r="F4" s="286"/>
      <c r="G4" s="286"/>
      <c r="H4" s="286"/>
    </row>
    <row r="5" spans="1:8" ht="12.75" customHeight="1">
      <c r="A5" s="232" t="s">
        <v>55</v>
      </c>
      <c r="B5" s="122" t="s">
        <v>195</v>
      </c>
      <c r="C5" s="123"/>
    </row>
    <row r="6" spans="1:8" ht="12.75" customHeight="1">
      <c r="A6" s="121">
        <v>1</v>
      </c>
      <c r="B6" s="122" t="s">
        <v>196</v>
      </c>
      <c r="C6" s="124"/>
    </row>
    <row r="7" spans="1:8" s="131" customFormat="1" ht="18" customHeight="1">
      <c r="A7" s="128" t="s">
        <v>199</v>
      </c>
      <c r="B7" s="129" t="s">
        <v>197</v>
      </c>
      <c r="C7" s="159" t="s">
        <v>190</v>
      </c>
      <c r="D7" s="288"/>
      <c r="E7" s="189"/>
      <c r="F7" s="288"/>
      <c r="G7" s="288"/>
      <c r="H7" s="288"/>
    </row>
    <row r="8" spans="1:8" s="120" customFormat="1" ht="18" customHeight="1">
      <c r="A8" s="138" t="s">
        <v>56</v>
      </c>
      <c r="B8" s="245" t="s">
        <v>57</v>
      </c>
      <c r="C8" s="154"/>
      <c r="D8" s="286"/>
      <c r="E8" s="287"/>
      <c r="F8" s="286"/>
      <c r="G8" s="286"/>
      <c r="H8" s="286"/>
    </row>
    <row r="9" spans="1:8" s="120" customFormat="1" ht="18" customHeight="1">
      <c r="A9" s="138" t="s">
        <v>58</v>
      </c>
      <c r="B9" s="245" t="s">
        <v>59</v>
      </c>
      <c r="C9" s="155"/>
      <c r="D9" s="286"/>
      <c r="E9" s="287"/>
      <c r="F9" s="286"/>
      <c r="G9" s="286"/>
      <c r="H9" s="286"/>
    </row>
    <row r="10" spans="1:8" s="131" customFormat="1" ht="18" customHeight="1">
      <c r="A10" s="128" t="s">
        <v>200</v>
      </c>
      <c r="B10" s="129" t="s">
        <v>198</v>
      </c>
      <c r="C10" s="186">
        <v>0</v>
      </c>
      <c r="D10" s="288"/>
      <c r="E10" s="189"/>
      <c r="F10" s="288"/>
      <c r="G10" s="288"/>
      <c r="H10" s="288"/>
    </row>
    <row r="11" spans="1:8" s="120" customFormat="1" ht="18" customHeight="1">
      <c r="A11" s="138" t="s">
        <v>201</v>
      </c>
      <c r="B11" s="245" t="s">
        <v>202</v>
      </c>
      <c r="C11" s="159" t="s">
        <v>190</v>
      </c>
      <c r="D11" s="286"/>
      <c r="E11" s="287"/>
      <c r="F11" s="286"/>
      <c r="G11" s="286"/>
      <c r="H11" s="286"/>
    </row>
    <row r="12" spans="1:8" s="120" customFormat="1" ht="18" customHeight="1">
      <c r="A12" s="138" t="s">
        <v>62</v>
      </c>
      <c r="B12" s="245" t="s">
        <v>67</v>
      </c>
      <c r="C12" s="188"/>
      <c r="D12" s="286"/>
      <c r="E12" s="287"/>
      <c r="F12" s="286"/>
      <c r="G12" s="286"/>
      <c r="H12" s="286"/>
    </row>
    <row r="13" spans="1:8" s="120" customFormat="1" ht="18" customHeight="1">
      <c r="A13" s="133" t="s">
        <v>58</v>
      </c>
      <c r="B13" s="246" t="s">
        <v>68</v>
      </c>
      <c r="C13" s="188"/>
      <c r="D13" s="286"/>
      <c r="E13" s="287"/>
      <c r="F13" s="286"/>
      <c r="G13" s="286"/>
      <c r="H13" s="286"/>
    </row>
    <row r="14" spans="1:8" s="131" customFormat="1" ht="18" customHeight="1">
      <c r="A14" s="143" t="s">
        <v>60</v>
      </c>
      <c r="B14" s="243" t="s">
        <v>203</v>
      </c>
      <c r="C14" s="185"/>
      <c r="D14" s="288"/>
      <c r="E14" s="189"/>
      <c r="F14" s="288"/>
      <c r="G14" s="288"/>
      <c r="H14" s="288"/>
    </row>
    <row r="15" spans="1:8" s="131" customFormat="1" ht="18" customHeight="1">
      <c r="A15" s="143" t="s">
        <v>69</v>
      </c>
      <c r="B15" s="243" t="s">
        <v>204</v>
      </c>
      <c r="C15" s="185"/>
      <c r="D15" s="288"/>
      <c r="E15" s="189"/>
      <c r="F15" s="288"/>
      <c r="G15" s="288"/>
      <c r="H15" s="288"/>
    </row>
    <row r="16" spans="1:8" s="120" customFormat="1" ht="18" customHeight="1">
      <c r="A16" s="133" t="s">
        <v>205</v>
      </c>
      <c r="B16" s="246" t="s">
        <v>70</v>
      </c>
      <c r="C16" s="186"/>
      <c r="D16" s="286"/>
      <c r="E16" s="287"/>
      <c r="F16" s="286"/>
      <c r="G16" s="286"/>
      <c r="H16" s="286"/>
    </row>
    <row r="17" spans="1:8" s="120" customFormat="1" ht="18" customHeight="1">
      <c r="A17" s="133" t="s">
        <v>206</v>
      </c>
      <c r="B17" s="246" t="s">
        <v>9</v>
      </c>
      <c r="C17" s="186"/>
      <c r="D17" s="286"/>
      <c r="E17" s="287"/>
      <c r="F17" s="286"/>
      <c r="G17" s="286"/>
      <c r="H17" s="286"/>
    </row>
    <row r="18" spans="1:8" s="120" customFormat="1" ht="18" customHeight="1">
      <c r="A18" s="133"/>
      <c r="B18" s="246" t="s">
        <v>207</v>
      </c>
      <c r="C18" s="159" t="s">
        <v>190</v>
      </c>
      <c r="D18" s="286"/>
      <c r="E18" s="287"/>
      <c r="F18" s="286"/>
      <c r="G18" s="286"/>
      <c r="H18" s="286"/>
    </row>
    <row r="19" spans="1:8" s="120" customFormat="1" ht="18" customHeight="1">
      <c r="A19" s="133" t="s">
        <v>235</v>
      </c>
      <c r="B19" s="246" t="s">
        <v>208</v>
      </c>
      <c r="C19" s="159" t="s">
        <v>190</v>
      </c>
      <c r="D19" s="286"/>
      <c r="E19" s="287"/>
      <c r="F19" s="286"/>
      <c r="G19" s="286"/>
      <c r="H19" s="286"/>
    </row>
    <row r="20" spans="1:8" s="131" customFormat="1" ht="18" customHeight="1">
      <c r="A20" s="231" t="s">
        <v>62</v>
      </c>
      <c r="B20" s="414" t="s">
        <v>72</v>
      </c>
      <c r="C20" s="185"/>
      <c r="D20" s="288"/>
      <c r="E20" s="189"/>
      <c r="F20" s="288"/>
      <c r="G20" s="288"/>
      <c r="H20" s="288"/>
    </row>
    <row r="21" spans="1:8" s="130" customFormat="1" ht="25.5">
      <c r="A21" s="231" t="s">
        <v>58</v>
      </c>
      <c r="B21" s="243" t="s">
        <v>18</v>
      </c>
      <c r="C21" s="185"/>
      <c r="D21" s="288"/>
      <c r="E21" s="189"/>
      <c r="F21" s="288"/>
      <c r="G21" s="288"/>
      <c r="H21" s="288"/>
    </row>
    <row r="22" spans="1:8" s="131" customFormat="1" ht="18" customHeight="1">
      <c r="A22" s="231" t="s">
        <v>60</v>
      </c>
      <c r="B22" s="243" t="s">
        <v>10</v>
      </c>
      <c r="C22" s="185"/>
      <c r="D22" s="288"/>
      <c r="E22" s="189"/>
      <c r="F22" s="288"/>
      <c r="G22" s="288"/>
      <c r="H22" s="288"/>
    </row>
    <row r="23" spans="1:8" s="131" customFormat="1" ht="15" customHeight="1">
      <c r="A23" s="128" t="s">
        <v>209</v>
      </c>
      <c r="B23" s="129" t="s">
        <v>210</v>
      </c>
      <c r="C23" s="159" t="s">
        <v>190</v>
      </c>
      <c r="D23" s="288"/>
      <c r="E23" s="189"/>
      <c r="F23" s="288"/>
      <c r="G23" s="288"/>
      <c r="H23" s="288"/>
    </row>
    <row r="24" spans="1:8" ht="16.5" customHeight="1">
      <c r="A24" s="125">
        <v>2</v>
      </c>
      <c r="B24" s="132" t="s">
        <v>211</v>
      </c>
      <c r="C24" s="126"/>
    </row>
    <row r="25" spans="1:8" s="131" customFormat="1" ht="18" customHeight="1">
      <c r="A25" s="143" t="s">
        <v>212</v>
      </c>
      <c r="B25" s="243" t="s">
        <v>61</v>
      </c>
      <c r="C25" s="241">
        <f>+C26+C27</f>
        <v>0</v>
      </c>
      <c r="D25" s="288"/>
      <c r="E25" s="189"/>
      <c r="F25" s="288"/>
      <c r="G25" s="288"/>
      <c r="H25" s="288"/>
    </row>
    <row r="26" spans="1:8" s="131" customFormat="1" ht="18" customHeight="1">
      <c r="A26" s="143" t="s">
        <v>62</v>
      </c>
      <c r="B26" s="243" t="s">
        <v>63</v>
      </c>
      <c r="C26" s="185"/>
      <c r="D26" s="288"/>
      <c r="E26" s="189"/>
      <c r="F26" s="288"/>
      <c r="G26" s="288"/>
      <c r="H26" s="288"/>
    </row>
    <row r="27" spans="1:8" s="131" customFormat="1" ht="18" customHeight="1">
      <c r="A27" s="143" t="s">
        <v>58</v>
      </c>
      <c r="B27" s="243" t="s">
        <v>64</v>
      </c>
      <c r="C27" s="185"/>
      <c r="D27" s="288"/>
      <c r="E27" s="189"/>
      <c r="F27" s="288"/>
      <c r="G27" s="288"/>
      <c r="H27" s="288"/>
    </row>
    <row r="28" spans="1:8" s="131" customFormat="1" ht="18" customHeight="1">
      <c r="A28" s="143" t="s">
        <v>213</v>
      </c>
      <c r="B28" s="243" t="s">
        <v>214</v>
      </c>
      <c r="C28" s="185">
        <v>0</v>
      </c>
      <c r="D28" s="288"/>
      <c r="E28" s="189"/>
      <c r="F28" s="288"/>
      <c r="G28" s="288"/>
      <c r="H28" s="288"/>
    </row>
    <row r="29" spans="1:8">
      <c r="A29" s="133" t="s">
        <v>215</v>
      </c>
      <c r="B29" s="244" t="s">
        <v>216</v>
      </c>
      <c r="C29" s="156">
        <v>0</v>
      </c>
    </row>
    <row r="30" spans="1:8" s="131" customFormat="1" ht="29.25" customHeight="1">
      <c r="A30" s="143" t="s">
        <v>217</v>
      </c>
      <c r="B30" s="243" t="s">
        <v>17</v>
      </c>
      <c r="C30" s="185">
        <v>0</v>
      </c>
      <c r="D30" s="288"/>
      <c r="E30" s="189"/>
      <c r="F30" s="288"/>
      <c r="G30" s="288"/>
      <c r="H30" s="288"/>
    </row>
    <row r="31" spans="1:8" s="135" customFormat="1">
      <c r="A31" s="134" t="s">
        <v>71</v>
      </c>
      <c r="B31" s="195" t="s">
        <v>218</v>
      </c>
      <c r="C31" s="187">
        <f>+C25+C28+C29+C30</f>
        <v>0</v>
      </c>
      <c r="D31" s="289"/>
      <c r="E31" s="290"/>
      <c r="F31" s="291"/>
      <c r="G31" s="291"/>
      <c r="H31" s="291"/>
    </row>
    <row r="32" spans="1:8" s="135" customFormat="1" ht="16.5" customHeight="1">
      <c r="A32" s="134" t="s">
        <v>73</v>
      </c>
      <c r="B32" s="258" t="s">
        <v>219</v>
      </c>
      <c r="C32" s="159" t="s">
        <v>190</v>
      </c>
      <c r="D32" s="291"/>
      <c r="E32" s="290"/>
      <c r="F32" s="291"/>
      <c r="G32" s="291"/>
      <c r="H32" s="291"/>
    </row>
    <row r="33" spans="1:8" s="137" customFormat="1" ht="13.5" customHeight="1">
      <c r="A33" s="136"/>
      <c r="B33" s="136" t="s">
        <v>75</v>
      </c>
      <c r="C33" s="127"/>
      <c r="D33" s="292"/>
      <c r="E33" s="293"/>
      <c r="F33" s="292"/>
      <c r="G33" s="292"/>
      <c r="H33" s="294"/>
    </row>
    <row r="34" spans="1:8" s="131" customFormat="1" ht="18" customHeight="1">
      <c r="A34" s="143" t="s">
        <v>220</v>
      </c>
      <c r="B34" s="412" t="s">
        <v>453</v>
      </c>
      <c r="C34" s="185"/>
      <c r="D34" s="288"/>
      <c r="E34" s="189"/>
      <c r="F34" s="288"/>
      <c r="G34" s="288"/>
      <c r="H34" s="288"/>
    </row>
    <row r="35" spans="1:8" s="131" customFormat="1" ht="25.5">
      <c r="A35" s="143" t="s">
        <v>221</v>
      </c>
      <c r="B35" s="243" t="s">
        <v>19</v>
      </c>
      <c r="C35" s="344" t="e">
        <f>IF(Balance!C72&lt;(C43*1.25%),Balance!C72,(C43*1.25%))</f>
        <v>#REF!</v>
      </c>
      <c r="D35" s="288"/>
      <c r="E35" s="189"/>
      <c r="F35" s="288"/>
      <c r="G35" s="288"/>
      <c r="H35" s="288"/>
    </row>
    <row r="36" spans="1:8" s="131" customFormat="1" ht="18" customHeight="1">
      <c r="A36" s="143" t="s">
        <v>222</v>
      </c>
      <c r="B36" s="243" t="s">
        <v>11</v>
      </c>
      <c r="C36" s="185"/>
      <c r="D36" s="288"/>
      <c r="E36" s="189"/>
      <c r="F36" s="288"/>
      <c r="G36" s="288"/>
      <c r="H36" s="288"/>
    </row>
    <row r="37" spans="1:8" s="131" customFormat="1" ht="18" customHeight="1">
      <c r="A37" s="143" t="s">
        <v>223</v>
      </c>
      <c r="B37" s="243" t="s">
        <v>224</v>
      </c>
      <c r="C37" s="185"/>
      <c r="D37" s="288"/>
      <c r="E37" s="189"/>
      <c r="F37" s="288"/>
      <c r="G37" s="288"/>
      <c r="H37" s="288"/>
    </row>
    <row r="38" spans="1:8" s="131" customFormat="1" ht="18" customHeight="1">
      <c r="A38" s="143" t="s">
        <v>225</v>
      </c>
      <c r="B38" s="243" t="s">
        <v>12</v>
      </c>
      <c r="C38" s="185"/>
      <c r="D38" s="288"/>
      <c r="E38" s="189"/>
      <c r="F38" s="288"/>
      <c r="G38" s="288"/>
      <c r="H38" s="288"/>
    </row>
    <row r="39" spans="1:8" s="131" customFormat="1" ht="18" customHeight="1">
      <c r="A39" s="143" t="s">
        <v>226</v>
      </c>
      <c r="B39" s="243" t="s">
        <v>76</v>
      </c>
      <c r="C39" s="159" t="s">
        <v>190</v>
      </c>
      <c r="D39" s="288"/>
      <c r="E39" s="189"/>
      <c r="F39" s="288"/>
      <c r="G39" s="288"/>
      <c r="H39" s="288"/>
    </row>
    <row r="40" spans="1:8" ht="18.75" customHeight="1">
      <c r="A40" s="138"/>
      <c r="B40" s="139" t="s">
        <v>35</v>
      </c>
      <c r="C40" s="127" t="e">
        <f>SUM(C34:C38)</f>
        <v>#REF!</v>
      </c>
      <c r="D40" s="289"/>
    </row>
    <row r="41" spans="1:8" s="120" customFormat="1" ht="22.5" customHeight="1">
      <c r="A41" s="157" t="s">
        <v>74</v>
      </c>
      <c r="B41" s="140" t="s">
        <v>36</v>
      </c>
      <c r="C41" s="159" t="s">
        <v>190</v>
      </c>
      <c r="D41" s="295"/>
      <c r="E41" s="287"/>
      <c r="F41" s="286"/>
      <c r="G41" s="286"/>
      <c r="H41" s="286"/>
    </row>
    <row r="42" spans="1:8" s="120" customFormat="1" ht="15.75" customHeight="1">
      <c r="A42" s="136" t="s">
        <v>77</v>
      </c>
      <c r="B42" s="140" t="s">
        <v>227</v>
      </c>
      <c r="C42" s="159" t="s">
        <v>190</v>
      </c>
      <c r="D42" s="295"/>
      <c r="E42" s="287"/>
      <c r="F42" s="286"/>
      <c r="G42" s="286"/>
      <c r="H42" s="286"/>
    </row>
    <row r="43" spans="1:8" s="120" customFormat="1" ht="21.75" customHeight="1">
      <c r="A43" s="136" t="s">
        <v>15</v>
      </c>
      <c r="B43" s="129" t="s">
        <v>228</v>
      </c>
      <c r="C43" s="141" t="e">
        <f>+C44+C45+C46</f>
        <v>#REF!</v>
      </c>
      <c r="D43" s="286"/>
      <c r="E43" s="287"/>
      <c r="F43" s="286"/>
      <c r="G43" s="286"/>
      <c r="H43" s="286"/>
    </row>
    <row r="44" spans="1:8" s="131" customFormat="1" ht="18" customHeight="1">
      <c r="A44" s="143" t="s">
        <v>62</v>
      </c>
      <c r="B44" s="243" t="s">
        <v>20</v>
      </c>
      <c r="C44" s="241" t="e">
        <f>+#REF!</f>
        <v>#REF!</v>
      </c>
      <c r="D44" s="288"/>
      <c r="E44" s="189"/>
      <c r="F44" s="288"/>
      <c r="G44" s="288"/>
      <c r="H44" s="288"/>
    </row>
    <row r="45" spans="1:8" s="131" customFormat="1" ht="18" customHeight="1">
      <c r="A45" s="143" t="s">
        <v>58</v>
      </c>
      <c r="B45" s="243" t="s">
        <v>13</v>
      </c>
      <c r="C45" s="241" t="e">
        <f>+#REF!</f>
        <v>#REF!</v>
      </c>
      <c r="D45" s="288"/>
      <c r="E45" s="189"/>
      <c r="F45" s="288"/>
      <c r="G45" s="288"/>
      <c r="H45" s="288"/>
    </row>
    <row r="46" spans="1:8" s="131" customFormat="1" ht="18" customHeight="1">
      <c r="A46" s="143" t="s">
        <v>60</v>
      </c>
      <c r="B46" s="243" t="s">
        <v>14</v>
      </c>
      <c r="C46" s="241" t="e">
        <f>+#REF!</f>
        <v>#REF!</v>
      </c>
      <c r="D46" s="288"/>
      <c r="E46" s="189" t="e">
        <f>+#REF!</f>
        <v>#REF!</v>
      </c>
      <c r="F46" s="288"/>
      <c r="G46" s="288"/>
      <c r="H46" s="288"/>
    </row>
    <row r="47" spans="1:8" s="137" customFormat="1" ht="21.75" customHeight="1">
      <c r="A47" s="157" t="s">
        <v>16</v>
      </c>
      <c r="B47" s="158" t="s">
        <v>229</v>
      </c>
      <c r="C47" s="159" t="s">
        <v>190</v>
      </c>
      <c r="D47" s="292"/>
      <c r="E47" s="293"/>
      <c r="F47" s="292"/>
      <c r="G47" s="292"/>
      <c r="H47" s="292"/>
    </row>
    <row r="48" spans="1:8" s="137" customFormat="1" ht="21.75" customHeight="1">
      <c r="A48" s="157" t="s">
        <v>78</v>
      </c>
      <c r="B48" s="158" t="s">
        <v>230</v>
      </c>
      <c r="C48" s="159" t="s">
        <v>190</v>
      </c>
      <c r="D48" s="292"/>
      <c r="E48" s="293"/>
      <c r="F48" s="292"/>
      <c r="G48" s="292"/>
      <c r="H48" s="292"/>
    </row>
    <row r="49" spans="1:8" s="137" customFormat="1" ht="21.75" customHeight="1">
      <c r="A49" s="157" t="s">
        <v>37</v>
      </c>
      <c r="B49" s="158" t="s">
        <v>231</v>
      </c>
      <c r="C49" s="159" t="s">
        <v>190</v>
      </c>
      <c r="D49" s="292"/>
      <c r="E49" s="293"/>
      <c r="F49" s="292"/>
      <c r="G49" s="292"/>
      <c r="H49" s="292"/>
    </row>
    <row r="50" spans="1:8" s="142" customFormat="1" ht="21.75" customHeight="1">
      <c r="A50" s="136" t="s">
        <v>38</v>
      </c>
      <c r="B50" s="129" t="s">
        <v>29</v>
      </c>
      <c r="C50" s="159" t="s">
        <v>190</v>
      </c>
      <c r="D50" s="296"/>
      <c r="E50" s="297"/>
      <c r="F50" s="298"/>
      <c r="G50" s="296"/>
      <c r="H50" s="296"/>
    </row>
    <row r="51" spans="1:8" s="146" customFormat="1" ht="21.75" customHeight="1">
      <c r="A51" s="143" t="s">
        <v>62</v>
      </c>
      <c r="B51" s="144" t="s">
        <v>46</v>
      </c>
      <c r="C51" s="145">
        <f>+Balance!C45</f>
        <v>10282915665</v>
      </c>
      <c r="D51" s="299"/>
      <c r="E51" s="300"/>
      <c r="F51" s="301"/>
      <c r="G51" s="299"/>
      <c r="H51" s="299"/>
    </row>
    <row r="52" spans="1:8" s="146" customFormat="1" ht="21.75" customHeight="1">
      <c r="A52" s="143" t="s">
        <v>58</v>
      </c>
      <c r="B52" s="144" t="s">
        <v>232</v>
      </c>
      <c r="C52" s="334" t="e">
        <f>SUM(#REF!)</f>
        <v>#REF!</v>
      </c>
      <c r="D52" s="301" t="e">
        <f>+#REF!</f>
        <v>#REF!</v>
      </c>
      <c r="E52" s="300"/>
      <c r="F52" s="301"/>
      <c r="G52" s="299"/>
      <c r="H52" s="299"/>
    </row>
    <row r="53" spans="1:8" s="149" customFormat="1" ht="21.75" customHeight="1">
      <c r="A53" s="147" t="s">
        <v>60</v>
      </c>
      <c r="B53" s="148" t="s">
        <v>233</v>
      </c>
      <c r="C53" s="336" t="e">
        <f>SUM(#REF!)</f>
        <v>#REF!</v>
      </c>
      <c r="D53" s="333"/>
      <c r="E53" s="335"/>
      <c r="F53" s="302"/>
      <c r="G53" s="302"/>
      <c r="H53" s="302"/>
    </row>
    <row r="54" spans="1:8" s="149" customFormat="1" ht="21.75" customHeight="1">
      <c r="A54" s="147" t="s">
        <v>69</v>
      </c>
      <c r="B54" s="148" t="s">
        <v>234</v>
      </c>
      <c r="C54" s="198" t="str">
        <f>+C19</f>
        <v>Формула</v>
      </c>
      <c r="D54" s="302"/>
      <c r="E54" s="303"/>
      <c r="F54" s="302"/>
      <c r="G54" s="302"/>
      <c r="H54" s="302"/>
    </row>
    <row r="55" spans="1:8" s="137" customFormat="1" ht="21.75" customHeight="1">
      <c r="A55" s="157" t="s">
        <v>39</v>
      </c>
      <c r="B55" s="158" t="s">
        <v>47</v>
      </c>
      <c r="C55" s="159" t="s">
        <v>190</v>
      </c>
      <c r="D55" s="292"/>
      <c r="E55" s="293"/>
      <c r="F55" s="292"/>
      <c r="G55" s="292"/>
      <c r="H55" s="292"/>
    </row>
    <row r="56" spans="1:8">
      <c r="B56" s="150"/>
    </row>
    <row r="57" spans="1:8" s="1" customFormat="1">
      <c r="A57" s="32"/>
      <c r="B57" s="3" t="s">
        <v>4</v>
      </c>
      <c r="D57" s="87"/>
      <c r="E57" s="87"/>
      <c r="F57" s="87"/>
      <c r="G57" s="87"/>
      <c r="H57" s="87"/>
    </row>
    <row r="58" spans="1:8" s="1" customFormat="1">
      <c r="A58" s="32"/>
      <c r="B58" s="3"/>
      <c r="D58" s="87"/>
      <c r="E58" s="87"/>
      <c r="F58" s="87"/>
      <c r="G58" s="87"/>
      <c r="H58" s="87"/>
    </row>
    <row r="59" spans="1:8" s="1" customFormat="1">
      <c r="A59" s="32"/>
      <c r="B59" s="3" t="s">
        <v>5</v>
      </c>
      <c r="D59" s="87"/>
      <c r="E59" s="87"/>
      <c r="F59" s="87"/>
      <c r="G59" s="87"/>
      <c r="H59" s="87"/>
    </row>
    <row r="60" spans="1:8">
      <c r="B60" s="152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P81"/>
  <sheetViews>
    <sheetView view="pageBreakPreview" zoomScaleSheetLayoutView="100" workbookViewId="0">
      <pane xSplit="2" ySplit="3" topLeftCell="C18" activePane="bottomRight" state="frozen"/>
      <selection activeCell="B3" sqref="B3:B6"/>
      <selection pane="topRight" activeCell="B3" sqref="B3:B6"/>
      <selection pane="bottomLeft" activeCell="B3" sqref="B3:B6"/>
      <selection pane="bottomRight" activeCell="B39" sqref="B39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59" customWidth="1"/>
    <col min="4" max="4" width="17.42578125" style="410" customWidth="1"/>
    <col min="5" max="5" width="17.42578125" style="59" customWidth="1"/>
    <col min="6" max="7" width="17.140625" style="413" customWidth="1"/>
    <col min="8" max="8" width="17.140625" style="427" customWidth="1"/>
    <col min="9" max="9" width="14.28515625" style="430" customWidth="1"/>
    <col min="10" max="11" width="6.42578125" style="379" customWidth="1"/>
    <col min="12" max="12" width="9.140625" style="379"/>
    <col min="13" max="14" width="11.7109375" style="368" bestFit="1" customWidth="1"/>
    <col min="15" max="16" width="9.140625" style="340"/>
    <col min="17" max="16384" width="9.140625" style="8"/>
  </cols>
  <sheetData>
    <row r="1" spans="1:16" s="55" customFormat="1" ht="34.5" customHeight="1">
      <c r="A1" s="10"/>
      <c r="B1" s="12" t="s">
        <v>124</v>
      </c>
      <c r="C1" s="235"/>
      <c r="D1" s="401"/>
      <c r="E1" s="235" t="s">
        <v>536</v>
      </c>
      <c r="F1" s="424"/>
      <c r="G1" s="424"/>
      <c r="H1" s="425"/>
      <c r="I1" s="426"/>
      <c r="J1" s="375"/>
      <c r="K1" s="375"/>
      <c r="L1" s="376"/>
      <c r="M1" s="377"/>
      <c r="N1" s="377"/>
      <c r="O1" s="534"/>
      <c r="P1" s="534"/>
    </row>
    <row r="2" spans="1:16" ht="20.25" customHeight="1">
      <c r="B2" s="218" t="str">
        <f>Balance!B3</f>
        <v>АКБ"Микрокредитбанк"</v>
      </c>
      <c r="C2" s="216" t="str">
        <f>+Balance!B2</f>
        <v xml:space="preserve"> 31 Декабрь, 2020</v>
      </c>
      <c r="D2" s="402"/>
      <c r="E2" s="216" t="s">
        <v>7</v>
      </c>
      <c r="I2" s="428"/>
      <c r="J2" s="378"/>
      <c r="K2" s="378"/>
    </row>
    <row r="3" spans="1:16" s="332" customFormat="1" ht="36.75" customHeight="1">
      <c r="A3" s="256" t="s">
        <v>79</v>
      </c>
      <c r="B3" s="256" t="s">
        <v>433</v>
      </c>
      <c r="C3" s="256" t="s">
        <v>317</v>
      </c>
      <c r="D3" s="403" t="s">
        <v>444</v>
      </c>
      <c r="E3" s="256" t="s">
        <v>445</v>
      </c>
      <c r="F3" s="413"/>
      <c r="G3" s="413"/>
      <c r="H3" s="427"/>
      <c r="I3" s="428"/>
      <c r="J3" s="378"/>
      <c r="K3" s="378"/>
      <c r="L3" s="379"/>
      <c r="O3" s="535"/>
      <c r="P3" s="535"/>
    </row>
    <row r="4" spans="1:16" ht="10.5" customHeight="1">
      <c r="A4" s="14"/>
      <c r="B4" s="14"/>
      <c r="C4" s="14"/>
      <c r="D4" s="404"/>
      <c r="E4" s="538"/>
      <c r="I4" s="428"/>
      <c r="J4" s="378"/>
      <c r="K4" s="378"/>
    </row>
    <row r="5" spans="1:16" s="332" customFormat="1" ht="17.25" customHeight="1">
      <c r="A5" s="459"/>
      <c r="B5" s="459" t="s">
        <v>476</v>
      </c>
      <c r="C5" s="568" t="s">
        <v>125</v>
      </c>
      <c r="D5" s="569"/>
      <c r="E5" s="570"/>
      <c r="F5" s="451"/>
      <c r="G5" s="451"/>
      <c r="H5" s="454"/>
      <c r="I5" s="536"/>
      <c r="J5" s="378"/>
      <c r="K5" s="378"/>
      <c r="L5" s="379"/>
      <c r="O5" s="535"/>
      <c r="P5" s="535"/>
    </row>
    <row r="6" spans="1:16" s="368" customFormat="1">
      <c r="A6" s="460" t="s">
        <v>199</v>
      </c>
      <c r="B6" s="461" t="s">
        <v>459</v>
      </c>
      <c r="C6" s="470">
        <f>+'Bank Assets Analysis'!S7-'Bank Assets Analysis'!S8</f>
        <v>220312147</v>
      </c>
      <c r="D6" s="470">
        <f>+'Bank Assets Analysis'!T7-'Bank Assets Analysis'!T8</f>
        <v>92534448</v>
      </c>
      <c r="E6" s="539">
        <f>+'Bank Assets Analysis'!U7-'Bank Assets Analysis'!U8</f>
        <v>127777699</v>
      </c>
      <c r="F6" s="537"/>
      <c r="G6" s="451"/>
      <c r="H6" s="454"/>
      <c r="I6" s="536"/>
      <c r="J6" s="378"/>
      <c r="K6" s="378"/>
      <c r="L6" s="379"/>
      <c r="O6" s="340"/>
      <c r="P6" s="340"/>
    </row>
    <row r="7" spans="1:16" s="368" customFormat="1" ht="25.5">
      <c r="A7" s="460" t="s">
        <v>200</v>
      </c>
      <c r="B7" s="461" t="s">
        <v>428</v>
      </c>
      <c r="C7" s="470">
        <f>+'Bank Assets Analysis'!S9</f>
        <v>359385307</v>
      </c>
      <c r="D7" s="470">
        <f>+'Bank Assets Analysis'!T9</f>
        <v>313936606</v>
      </c>
      <c r="E7" s="539">
        <f>+'Bank Assets Analysis'!U9</f>
        <v>45448701</v>
      </c>
      <c r="F7" s="451"/>
      <c r="G7" s="451"/>
      <c r="H7" s="454"/>
      <c r="I7" s="536"/>
      <c r="J7" s="378"/>
      <c r="K7" s="378"/>
      <c r="L7" s="379"/>
      <c r="O7" s="340"/>
      <c r="P7" s="340"/>
    </row>
    <row r="8" spans="1:16" s="368" customFormat="1" ht="25.5">
      <c r="A8" s="460" t="s">
        <v>201</v>
      </c>
      <c r="B8" s="461" t="s">
        <v>460</v>
      </c>
      <c r="C8" s="470">
        <f>+'Bank Assets Analysis'!S20-'Bank Assets Analysis'!S21+'Bank Assets Analysis'!S36</f>
        <v>200000000</v>
      </c>
      <c r="D8" s="470">
        <f>+'Bank Assets Analysis'!T20-'Bank Assets Analysis'!T21+'Bank Assets Analysis'!T36</f>
        <v>200000000</v>
      </c>
      <c r="E8" s="470">
        <f>+'Bank Assets Analysis'!U20-'Bank Assets Analysis'!U21+'Bank Assets Analysis'!U36</f>
        <v>0</v>
      </c>
      <c r="F8" s="537"/>
      <c r="G8" s="451"/>
      <c r="H8" s="454"/>
      <c r="I8" s="536"/>
      <c r="J8" s="378"/>
      <c r="K8" s="378"/>
      <c r="L8" s="379"/>
      <c r="O8" s="340"/>
      <c r="P8" s="340"/>
    </row>
    <row r="9" spans="1:16" s="368" customFormat="1" ht="45.75" customHeight="1">
      <c r="A9" s="460" t="s">
        <v>205</v>
      </c>
      <c r="B9" s="461" t="s">
        <v>523</v>
      </c>
      <c r="C9" s="470">
        <f>+E9</f>
        <v>428640233</v>
      </c>
      <c r="D9" s="480"/>
      <c r="E9" s="540">
        <f>+'Bank Assets Analysis'!D12+'Bank Assets Analysis'!D13</f>
        <v>428640233</v>
      </c>
      <c r="F9" s="451"/>
      <c r="G9" s="451"/>
      <c r="H9" s="454"/>
      <c r="I9" s="536"/>
      <c r="J9" s="378"/>
      <c r="K9" s="378"/>
      <c r="L9" s="379"/>
      <c r="O9" s="340"/>
      <c r="P9" s="340"/>
    </row>
    <row r="10" spans="1:16" s="368" customFormat="1" ht="25.5">
      <c r="A10" s="460" t="s">
        <v>206</v>
      </c>
      <c r="B10" s="461" t="s">
        <v>472</v>
      </c>
      <c r="C10" s="470">
        <f>+E10</f>
        <v>0</v>
      </c>
      <c r="D10" s="480"/>
      <c r="E10" s="479">
        <f>+'Bank Assets Analysis'!F15</f>
        <v>0</v>
      </c>
      <c r="F10" s="451"/>
      <c r="G10" s="451"/>
      <c r="H10" s="454"/>
      <c r="I10" s="536"/>
      <c r="J10" s="378"/>
      <c r="K10" s="378"/>
      <c r="L10" s="379"/>
      <c r="O10" s="340"/>
      <c r="P10" s="340"/>
    </row>
    <row r="11" spans="1:16" s="368" customFormat="1" ht="51.75" customHeight="1">
      <c r="A11" s="460" t="s">
        <v>235</v>
      </c>
      <c r="B11" s="461" t="s">
        <v>461</v>
      </c>
      <c r="C11" s="470">
        <f>+'Bank Assets Analysis'!S23</f>
        <v>0</v>
      </c>
      <c r="D11" s="470">
        <f>+'Bank Assets Analysis'!T23</f>
        <v>0</v>
      </c>
      <c r="E11" s="539">
        <f>+'Bank Assets Analysis'!U23</f>
        <v>0</v>
      </c>
      <c r="F11" s="451"/>
      <c r="G11" s="451"/>
      <c r="H11" s="454"/>
      <c r="I11" s="536"/>
      <c r="J11" s="378"/>
      <c r="K11" s="378"/>
      <c r="L11" s="379"/>
      <c r="O11" s="340"/>
      <c r="P11" s="340"/>
    </row>
    <row r="12" spans="1:16" s="368" customFormat="1" ht="25.5">
      <c r="A12" s="460" t="s">
        <v>477</v>
      </c>
      <c r="B12" s="461" t="s">
        <v>45</v>
      </c>
      <c r="C12" s="470">
        <f>+'Bank Assets Analysis'!S22</f>
        <v>0</v>
      </c>
      <c r="D12" s="470">
        <f>+'Bank Assets Analysis'!T22</f>
        <v>0</v>
      </c>
      <c r="E12" s="539">
        <f>+'Bank Assets Analysis'!U22</f>
        <v>0</v>
      </c>
      <c r="F12" s="451"/>
      <c r="G12" s="451"/>
      <c r="H12" s="454"/>
      <c r="I12" s="536"/>
      <c r="J12" s="378"/>
      <c r="K12" s="378"/>
      <c r="L12" s="379"/>
      <c r="O12" s="340"/>
      <c r="P12" s="340"/>
    </row>
    <row r="13" spans="1:16" s="368" customFormat="1" ht="19.5" customHeight="1">
      <c r="A13" s="460" t="s">
        <v>478</v>
      </c>
      <c r="B13" s="462" t="s">
        <v>458</v>
      </c>
      <c r="C13" s="417">
        <f>SUM(C6:C12)-'Bank Liabilities Analysis'!U25+194716877</f>
        <v>1403054564</v>
      </c>
      <c r="D13" s="417">
        <f>SUM(D6:D12)+194716877</f>
        <v>801187931</v>
      </c>
      <c r="E13" s="417">
        <f>SUM(E6:E12)-'Bank Liabilities Analysis'!U25</f>
        <v>601866633</v>
      </c>
      <c r="F13" s="562">
        <f>SUM(C6:C12)-'Bank Liabilities Analysis'!U25</f>
        <v>1208337687</v>
      </c>
      <c r="G13" s="562">
        <f>SUM(D6:D12)</f>
        <v>606471054</v>
      </c>
      <c r="H13" s="453">
        <f>SUM(E6:E12)-'Bank Liabilities Analysis'!U25</f>
        <v>601866633</v>
      </c>
      <c r="I13" s="536"/>
      <c r="J13" s="378"/>
      <c r="K13" s="378"/>
      <c r="L13" s="379"/>
      <c r="O13" s="340"/>
      <c r="P13" s="340"/>
    </row>
    <row r="14" spans="1:16" ht="13.5" customHeight="1">
      <c r="A14" s="541"/>
      <c r="B14" s="459" t="s">
        <v>479</v>
      </c>
      <c r="C14" s="471"/>
      <c r="D14" s="472"/>
      <c r="E14" s="542"/>
      <c r="F14" s="452"/>
      <c r="G14" s="452"/>
      <c r="H14" s="453"/>
      <c r="I14" s="453"/>
      <c r="J14" s="378"/>
      <c r="K14" s="378"/>
      <c r="M14" s="380"/>
      <c r="N14" s="381"/>
    </row>
    <row r="15" spans="1:16" s="368" customFormat="1" ht="24.75" customHeight="1">
      <c r="A15" s="30" t="s">
        <v>352</v>
      </c>
      <c r="B15" s="463" t="s">
        <v>462</v>
      </c>
      <c r="C15" s="473">
        <f>IFERROR((+C16/C17),0)</f>
        <v>0.13644520773184809</v>
      </c>
      <c r="D15" s="474">
        <f>IFERROR((+D16/D17),0)</f>
        <v>0.11938191075331057</v>
      </c>
      <c r="E15" s="473">
        <f>IFERROR((+E16/E17),0)</f>
        <v>0.1685059703296666</v>
      </c>
      <c r="F15" s="454"/>
      <c r="G15" s="454"/>
      <c r="H15" s="453"/>
      <c r="I15" s="536"/>
      <c r="J15" s="378"/>
      <c r="K15" s="442"/>
      <c r="L15" s="379"/>
      <c r="O15" s="340"/>
      <c r="P15" s="340"/>
    </row>
    <row r="16" spans="1:16" s="368" customFormat="1" ht="15" customHeight="1">
      <c r="A16" s="44" t="s">
        <v>480</v>
      </c>
      <c r="B16" s="464" t="s">
        <v>48</v>
      </c>
      <c r="C16" s="364">
        <f>+C13</f>
        <v>1403054564</v>
      </c>
      <c r="D16" s="364">
        <f>+D13</f>
        <v>801187931</v>
      </c>
      <c r="E16" s="364">
        <f>+E13</f>
        <v>601866633</v>
      </c>
      <c r="F16" s="452"/>
      <c r="G16" s="452"/>
      <c r="H16" s="454"/>
      <c r="I16" s="455"/>
      <c r="J16" s="378"/>
      <c r="K16" s="378"/>
      <c r="L16" s="379"/>
      <c r="O16" s="340"/>
      <c r="P16" s="340"/>
    </row>
    <row r="17" spans="1:16" s="368" customFormat="1" ht="15" customHeight="1">
      <c r="A17" s="44" t="s">
        <v>481</v>
      </c>
      <c r="B17" s="464" t="s">
        <v>463</v>
      </c>
      <c r="C17" s="364">
        <f>+Balance!C45</f>
        <v>10282915665</v>
      </c>
      <c r="D17" s="364">
        <f>+Balance!D45</f>
        <v>6711133420</v>
      </c>
      <c r="E17" s="364">
        <f>+Balance!E45</f>
        <v>3571782245</v>
      </c>
      <c r="F17" s="452"/>
      <c r="G17" s="452"/>
      <c r="H17" s="453"/>
      <c r="I17" s="455"/>
      <c r="J17" s="378"/>
      <c r="K17" s="378"/>
      <c r="L17" s="379"/>
      <c r="O17" s="340"/>
      <c r="P17" s="340"/>
    </row>
    <row r="18" spans="1:16" s="368" customFormat="1" ht="24.75" customHeight="1">
      <c r="A18" s="30" t="s">
        <v>213</v>
      </c>
      <c r="B18" s="463" t="s">
        <v>464</v>
      </c>
      <c r="C18" s="473">
        <f>IFERROR((+C19/C20),0)</f>
        <v>0.37763753796332294</v>
      </c>
      <c r="D18" s="474">
        <f>IFERROR((+D19/D20),0)</f>
        <v>0.34826895130807739</v>
      </c>
      <c r="E18" s="473">
        <f>IFERROR((+E19/E20),0)</f>
        <v>0.42538924800513822</v>
      </c>
      <c r="F18" s="454"/>
      <c r="G18" s="454"/>
      <c r="H18" s="453"/>
      <c r="I18" s="536"/>
      <c r="J18" s="378"/>
      <c r="K18" s="442"/>
      <c r="L18" s="379"/>
      <c r="O18" s="340"/>
      <c r="P18" s="340"/>
    </row>
    <row r="19" spans="1:16" s="368" customFormat="1" ht="15" customHeight="1">
      <c r="A19" s="44" t="s">
        <v>482</v>
      </c>
      <c r="B19" s="464" t="s">
        <v>48</v>
      </c>
      <c r="C19" s="364">
        <f>+C13</f>
        <v>1403054564</v>
      </c>
      <c r="D19" s="364">
        <f>+D13</f>
        <v>801187931</v>
      </c>
      <c r="E19" s="364">
        <f>+E13</f>
        <v>601866633</v>
      </c>
      <c r="F19" s="452"/>
      <c r="G19" s="452"/>
      <c r="H19" s="454"/>
      <c r="I19" s="455"/>
      <c r="J19" s="378"/>
      <c r="K19" s="378"/>
      <c r="L19" s="379"/>
      <c r="O19" s="340"/>
      <c r="P19" s="340"/>
    </row>
    <row r="20" spans="1:16" s="368" customFormat="1" ht="15" customHeight="1">
      <c r="A20" s="44" t="s">
        <v>483</v>
      </c>
      <c r="B20" s="464" t="s">
        <v>465</v>
      </c>
      <c r="C20" s="364">
        <f>+'Bank Liabilities Analysis'!C39+'Bank Liabilities Analysis'!E39+'Bank Liabilities Analysis'!G39+'Bank Liabilities Analysis'!I39+'Bank Liabilities Analysis'!K39+'Bank Liabilities Analysis'!M39</f>
        <v>3715347186</v>
      </c>
      <c r="D20" s="364">
        <f>+C20-E20</f>
        <v>2300486242</v>
      </c>
      <c r="E20" s="364">
        <f>+'Bank Liabilities Analysis'!D39+'Bank Liabilities Analysis'!F39+'Bank Liabilities Analysis'!H39+'Bank Liabilities Analysis'!J39+'Bank Liabilities Analysis'!L39+'Bank Liabilities Analysis'!N39</f>
        <v>1414860944</v>
      </c>
      <c r="F20" s="452"/>
      <c r="G20" s="452"/>
      <c r="H20" s="453"/>
      <c r="I20" s="455"/>
      <c r="J20" s="378"/>
      <c r="K20" s="378"/>
      <c r="L20" s="379"/>
      <c r="O20" s="340"/>
      <c r="P20" s="340"/>
    </row>
    <row r="21" spans="1:16" ht="25.5">
      <c r="A21" s="30" t="s">
        <v>484</v>
      </c>
      <c r="B21" s="463" t="s">
        <v>532</v>
      </c>
      <c r="C21" s="475">
        <f>IFERROR((+C22/C23),0)</f>
        <v>2.3646901308376709</v>
      </c>
      <c r="D21" s="476">
        <f>IFERROR((+D22/D23),0)</f>
        <v>1.8285310571509492</v>
      </c>
      <c r="E21" s="475">
        <f>IFERROR((+E22/E23),0)</f>
        <v>3.878602421255418</v>
      </c>
      <c r="F21" s="452"/>
      <c r="G21" s="452"/>
      <c r="H21" s="453"/>
      <c r="I21" s="453"/>
      <c r="J21" s="378"/>
      <c r="K21" s="378"/>
      <c r="M21" s="380"/>
      <c r="N21" s="381"/>
    </row>
    <row r="22" spans="1:16" ht="15" customHeight="1">
      <c r="A22" s="44" t="s">
        <v>486</v>
      </c>
      <c r="B22" s="45" t="s">
        <v>48</v>
      </c>
      <c r="C22" s="477">
        <f>+C13</f>
        <v>1403054564</v>
      </c>
      <c r="D22" s="408">
        <f>+D13</f>
        <v>801187931</v>
      </c>
      <c r="E22" s="477">
        <f>+E13</f>
        <v>601866633</v>
      </c>
      <c r="F22" s="452"/>
      <c r="G22" s="452"/>
      <c r="H22" s="454"/>
      <c r="I22" s="455"/>
      <c r="J22" s="378"/>
      <c r="K22" s="378"/>
    </row>
    <row r="23" spans="1:16" ht="15" customHeight="1">
      <c r="A23" s="44" t="s">
        <v>485</v>
      </c>
      <c r="B23" s="45" t="s">
        <v>49</v>
      </c>
      <c r="C23" s="477">
        <f>+'Bank Assets Analysis'!X61</f>
        <v>593335484.30000007</v>
      </c>
      <c r="D23" s="408">
        <f>+'Bank Assets Analysis (нац)'!S54</f>
        <v>438159323.50000012</v>
      </c>
      <c r="E23" s="477">
        <f>+'Bank Assets Analysis'!Z61</f>
        <v>155176160.79999998</v>
      </c>
      <c r="F23" s="452"/>
      <c r="G23" s="452"/>
      <c r="H23" s="453"/>
      <c r="I23" s="453"/>
      <c r="J23" s="378"/>
      <c r="K23" s="378"/>
    </row>
    <row r="24" spans="1:16" s="368" customFormat="1" ht="15" customHeight="1">
      <c r="A24" s="44"/>
      <c r="B24" s="464" t="s">
        <v>473</v>
      </c>
      <c r="C24" s="364">
        <f>+'Bank Assets Analysis'!X63</f>
        <v>720713594.60000002</v>
      </c>
      <c r="D24" s="478">
        <f>+'Bank Assets Analysis (нац)'!S56</f>
        <v>527209650.70000005</v>
      </c>
      <c r="E24" s="364">
        <f>+'Bank Assets Analysis'!Z63</f>
        <v>193503943.90000001</v>
      </c>
      <c r="F24" s="452" t="s">
        <v>466</v>
      </c>
      <c r="G24" s="452"/>
      <c r="H24" s="453"/>
      <c r="I24" s="455"/>
      <c r="J24" s="378"/>
      <c r="K24" s="378"/>
      <c r="L24" s="379"/>
      <c r="O24" s="340"/>
      <c r="P24" s="340"/>
    </row>
    <row r="25" spans="1:16" s="368" customFormat="1" ht="15" customHeight="1">
      <c r="A25" s="44"/>
      <c r="B25" s="464" t="s">
        <v>474</v>
      </c>
      <c r="C25" s="364">
        <f>+'Bank Assets Analysis'!X64</f>
        <v>127378110.29999995</v>
      </c>
      <c r="D25" s="478">
        <f>+'Bank Assets Analysis (нац)'!S58</f>
        <v>89050327.199999928</v>
      </c>
      <c r="E25" s="364">
        <f>+'Bank Assets Analysis'!Z64</f>
        <v>38327783.100000024</v>
      </c>
      <c r="F25" s="452" t="s">
        <v>467</v>
      </c>
      <c r="G25" s="452"/>
      <c r="H25" s="453"/>
      <c r="I25" s="455"/>
      <c r="J25" s="378"/>
      <c r="K25" s="378"/>
      <c r="L25" s="379"/>
      <c r="O25" s="340"/>
      <c r="P25" s="340"/>
    </row>
    <row r="26" spans="1:16" s="368" customFormat="1" ht="28.5" customHeight="1">
      <c r="A26" s="30" t="s">
        <v>487</v>
      </c>
      <c r="B26" s="465" t="s">
        <v>533</v>
      </c>
      <c r="C26" s="473">
        <f>IFERROR((+C27/C28),0)</f>
        <v>1.1729639501757143</v>
      </c>
      <c r="D26" s="474">
        <f>IFERROR((+D27/D28),0)</f>
        <v>1.1490836638426403</v>
      </c>
      <c r="E26" s="473">
        <f>IFERROR((+E27/E28),0)</f>
        <v>1.2063365860729021</v>
      </c>
      <c r="F26" s="452"/>
      <c r="G26" s="452"/>
      <c r="H26" s="453"/>
      <c r="I26" s="455"/>
      <c r="J26" s="378"/>
      <c r="K26" s="378"/>
      <c r="L26" s="379"/>
      <c r="O26" s="340"/>
      <c r="P26" s="340"/>
    </row>
    <row r="27" spans="1:16" s="368" customFormat="1" ht="19.5" customHeight="1">
      <c r="A27" s="44" t="s">
        <v>488</v>
      </c>
      <c r="B27" s="464" t="s">
        <v>48</v>
      </c>
      <c r="C27" s="364">
        <f>+C13</f>
        <v>1403054564</v>
      </c>
      <c r="D27" s="364">
        <f>+D13</f>
        <v>801187931</v>
      </c>
      <c r="E27" s="364">
        <f>+E13</f>
        <v>601866633</v>
      </c>
      <c r="F27" s="385"/>
      <c r="G27" s="385"/>
      <c r="H27" s="386"/>
      <c r="I27" s="387"/>
      <c r="J27" s="378"/>
      <c r="K27" s="378"/>
      <c r="L27" s="379"/>
      <c r="O27" s="340"/>
      <c r="P27" s="340"/>
    </row>
    <row r="28" spans="1:16" s="368" customFormat="1" ht="18.75" customHeight="1">
      <c r="A28" s="44" t="s">
        <v>489</v>
      </c>
      <c r="B28" s="464" t="s">
        <v>49</v>
      </c>
      <c r="C28" s="364">
        <f>+'Bank Assets Analysis'!AC61</f>
        <v>1196161709.6500001</v>
      </c>
      <c r="D28" s="364">
        <f>+'Bank Assets Analysis (нац)'!V54</f>
        <v>697240728.60000002</v>
      </c>
      <c r="E28" s="364">
        <f>+'Bank Assets Analysis'!AE61</f>
        <v>498920981.04999995</v>
      </c>
      <c r="F28" s="385"/>
      <c r="G28" s="385"/>
      <c r="H28" s="386"/>
      <c r="I28" s="387"/>
      <c r="J28" s="378"/>
      <c r="K28" s="378"/>
      <c r="L28" s="379"/>
      <c r="O28" s="340"/>
      <c r="P28" s="340"/>
    </row>
    <row r="29" spans="1:16" s="368" customFormat="1" ht="15" customHeight="1">
      <c r="A29" s="44"/>
      <c r="B29" s="464" t="s">
        <v>473</v>
      </c>
      <c r="C29" s="372">
        <f>+'Bank Assets Analysis'!AC63</f>
        <v>1334312110.1500001</v>
      </c>
      <c r="D29" s="432">
        <f>+'Bank Assets Analysis (нац)'!V56</f>
        <v>793951109.10000002</v>
      </c>
      <c r="E29" s="372">
        <f>+'Bank Assets Analysis'!AE63</f>
        <v>540361001.04999995</v>
      </c>
      <c r="F29" s="385"/>
      <c r="G29" s="385"/>
      <c r="H29" s="386"/>
      <c r="I29" s="387"/>
      <c r="J29" s="378"/>
      <c r="K29" s="378"/>
      <c r="L29" s="379"/>
      <c r="O29" s="340"/>
      <c r="P29" s="340"/>
    </row>
    <row r="30" spans="1:16" s="368" customFormat="1" ht="15" customHeight="1">
      <c r="A30" s="31"/>
      <c r="B30" s="431" t="s">
        <v>474</v>
      </c>
      <c r="C30" s="372">
        <f>+'Bank Assets Analysis'!AC66</f>
        <v>138150400.5</v>
      </c>
      <c r="D30" s="432">
        <f>+'Bank Assets Analysis (нац)'!V58</f>
        <v>96710380.5</v>
      </c>
      <c r="E30" s="372">
        <f>+'Bank Assets Analysis'!AE66</f>
        <v>41440020</v>
      </c>
      <c r="F30" s="385"/>
      <c r="G30" s="385"/>
      <c r="H30" s="386"/>
      <c r="I30" s="387"/>
      <c r="J30" s="378"/>
      <c r="K30" s="378"/>
      <c r="L30" s="379"/>
      <c r="O30" s="340"/>
      <c r="P30" s="340"/>
    </row>
    <row r="31" spans="1:16" ht="15" customHeight="1">
      <c r="A31" s="30" t="s">
        <v>490</v>
      </c>
      <c r="B31" s="46" t="s">
        <v>52</v>
      </c>
      <c r="C31" s="242">
        <f>IFERROR((C32/C37),0)</f>
        <v>1.1883969802898113</v>
      </c>
      <c r="D31" s="406">
        <f>IFERROR((D32/D37),0)</f>
        <v>1.2444544887374667</v>
      </c>
      <c r="E31" s="242">
        <f>IFERROR((E32/E37),0)</f>
        <v>1.08062764851128</v>
      </c>
      <c r="I31" s="428"/>
      <c r="J31" s="378"/>
      <c r="K31" s="378"/>
    </row>
    <row r="32" spans="1:16" ht="15" customHeight="1">
      <c r="A32" s="30" t="s">
        <v>491</v>
      </c>
      <c r="B32" s="46" t="s">
        <v>51</v>
      </c>
      <c r="C32" s="237">
        <f>SUM(C33:C36)</f>
        <v>7682172634.8000002</v>
      </c>
      <c r="D32" s="407">
        <f>SUM(D33:D36)</f>
        <v>5291900580.6000004</v>
      </c>
      <c r="E32" s="237">
        <f>SUM(E33:E36)</f>
        <v>2390272054.1999998</v>
      </c>
      <c r="I32" s="428"/>
      <c r="J32" s="378"/>
      <c r="K32" s="378"/>
    </row>
    <row r="33" spans="1:11" ht="15" customHeight="1">
      <c r="A33" s="44" t="s">
        <v>492</v>
      </c>
      <c r="B33" s="160" t="s">
        <v>402</v>
      </c>
      <c r="C33" s="238">
        <f>Balance!C77</f>
        <v>1738289532</v>
      </c>
      <c r="D33" s="238">
        <f>Balance!D77</f>
        <v>1738289532</v>
      </c>
      <c r="E33" s="238">
        <f>Balance!E77</f>
        <v>0</v>
      </c>
      <c r="I33" s="428"/>
      <c r="J33" s="378"/>
      <c r="K33" s="378"/>
    </row>
    <row r="34" spans="1:11" ht="15" customHeight="1">
      <c r="A34" s="51" t="s">
        <v>493</v>
      </c>
      <c r="B34" s="162" t="s">
        <v>353</v>
      </c>
      <c r="C34" s="238">
        <f>'Bank Liabilities Analysis'!O39+'Bank Liabilities Analysis'!Q39</f>
        <v>4829278947</v>
      </c>
      <c r="D34" s="408">
        <f>+'Bank Liabilities Analysis (нац)'!I40+'Bank Liabilities Analysis (нац)'!J40</f>
        <v>2863465176</v>
      </c>
      <c r="E34" s="382">
        <f>'Bank Liabilities Analysis'!P39+'Bank Liabilities Analysis'!R39</f>
        <v>1965813771</v>
      </c>
      <c r="I34" s="428"/>
      <c r="J34" s="378"/>
      <c r="K34" s="378"/>
    </row>
    <row r="35" spans="1:11" ht="15" customHeight="1">
      <c r="A35" s="50" t="s">
        <v>494</v>
      </c>
      <c r="B35" s="47" t="s">
        <v>354</v>
      </c>
      <c r="C35" s="238">
        <f>+('Bank Liabilities Analysis'!C39)*0.3</f>
        <v>244201386.29999998</v>
      </c>
      <c r="D35" s="408">
        <f>+('Bank Liabilities Analysis (нац)'!C40)*0.3</f>
        <v>201516932.09999999</v>
      </c>
      <c r="E35" s="238">
        <f>+('Bank Liabilities Analysis'!D39)*0.3</f>
        <v>42684454.199999996</v>
      </c>
      <c r="I35" s="428"/>
      <c r="J35" s="378"/>
      <c r="K35" s="378"/>
    </row>
    <row r="36" spans="1:11" ht="15" customHeight="1">
      <c r="A36" s="50" t="s">
        <v>495</v>
      </c>
      <c r="B36" s="47" t="s">
        <v>355</v>
      </c>
      <c r="C36" s="238">
        <f>+('Bank Liabilities Analysis'!E39+'Bank Liabilities Analysis'!G39+'Bank Liabilities Analysis'!I39+'Bank Liabilities Analysis'!K39+'Bank Liabilities Analysis'!M39)*0.3</f>
        <v>870402769.5</v>
      </c>
      <c r="D36" s="408">
        <f>+('Bank Liabilities Analysis (нац)'!D40+'Bank Liabilities Analysis (нац)'!E40+'Bank Liabilities Analysis (нац)'!F40+'Bank Liabilities Analysis (нац)'!G40+'Bank Liabilities Analysis (нац)'!H40)*0.3</f>
        <v>488628940.5</v>
      </c>
      <c r="E36" s="238">
        <f>+('Bank Liabilities Analysis'!F39+'Bank Liabilities Analysis'!H39+'Bank Liabilities Analysis'!J39+'Bank Liabilities Analysis'!L39+'Bank Liabilities Analysis'!N39)*0.3</f>
        <v>381773829</v>
      </c>
      <c r="I36" s="428"/>
      <c r="J36" s="378"/>
      <c r="K36" s="378"/>
    </row>
    <row r="37" spans="1:11" ht="15" customHeight="1">
      <c r="A37" s="30" t="s">
        <v>496</v>
      </c>
      <c r="B37" s="46" t="s">
        <v>50</v>
      </c>
      <c r="C37" s="239">
        <f>SUM(C38:C43)</f>
        <v>6464315176</v>
      </c>
      <c r="D37" s="409">
        <f>SUM(D38:D43)</f>
        <v>4252385787.0999999</v>
      </c>
      <c r="E37" s="239">
        <f>SUM(E38:E43)</f>
        <v>2211929388.9000001</v>
      </c>
      <c r="I37" s="428"/>
      <c r="J37" s="378"/>
      <c r="K37" s="378"/>
    </row>
    <row r="38" spans="1:11" ht="15" customHeight="1">
      <c r="A38" s="51" t="s">
        <v>497</v>
      </c>
      <c r="B38" s="48" t="s">
        <v>356</v>
      </c>
      <c r="C38" s="239">
        <f>+'Bank Assets Analysis'!O45-'Bank Assets Analysis'!O38+'Bank Assets Analysis'!Q45-'Bank Assets Analysis'!Q38</f>
        <v>4734103612</v>
      </c>
      <c r="D38" s="409">
        <f>+C38-E38</f>
        <v>2986482565</v>
      </c>
      <c r="E38" s="423">
        <f>+'Bank Assets Analysis'!P45-'Bank Assets Analysis'!P41-'Bank Assets Analysis'!P38+'Bank Assets Analysis'!R45-'Bank Assets Analysis'!R41-'Bank Assets Analysis'!R38</f>
        <v>1747621047</v>
      </c>
      <c r="F38" s="422"/>
      <c r="I38" s="428"/>
      <c r="J38" s="378"/>
      <c r="K38" s="378"/>
    </row>
    <row r="39" spans="1:11" ht="15" customHeight="1">
      <c r="A39" s="42" t="s">
        <v>498</v>
      </c>
      <c r="B39" s="43" t="s">
        <v>152</v>
      </c>
      <c r="C39" s="238">
        <f>+'Bank Assets Analysis'!S38</f>
        <v>201801025</v>
      </c>
      <c r="D39" s="408">
        <f>+'Bank Assets Analysis'!T38</f>
        <v>201801025</v>
      </c>
      <c r="E39" s="238">
        <f>+'Bank Assets Analysis'!U38</f>
        <v>0</v>
      </c>
      <c r="I39" s="428"/>
      <c r="J39" s="378"/>
      <c r="K39" s="378"/>
    </row>
    <row r="40" spans="1:11" ht="26.25" customHeight="1">
      <c r="A40" s="44" t="s">
        <v>499</v>
      </c>
      <c r="B40" s="160" t="s">
        <v>357</v>
      </c>
      <c r="C40" s="238">
        <f>+'Bank Assets Analysis'!C29+'Bank Assets Analysis'!C30+'Bank Assets Analysis'!C31+'Bank Assets Analysis'!C33</f>
        <v>91809428</v>
      </c>
      <c r="D40" s="408">
        <f>+'Bank Assets Analysis (нац)'!C29+'Bank Assets Analysis (нац)'!C30+'Bank Assets Analysis (нац)'!C31+'Bank Assets Analysis (нац)'!C33</f>
        <v>85440009</v>
      </c>
      <c r="E40" s="238">
        <f>+'Bank Assets Analysis'!D29+'Bank Assets Analysis'!D30+'Bank Assets Analysis'!D31+'Bank Assets Analysis'!D33</f>
        <v>6369419</v>
      </c>
      <c r="I40" s="428"/>
      <c r="J40" s="378"/>
      <c r="K40" s="378"/>
    </row>
    <row r="41" spans="1:11" ht="26.25" customHeight="1">
      <c r="A41" s="52" t="s">
        <v>500</v>
      </c>
      <c r="B41" s="49" t="s">
        <v>511</v>
      </c>
      <c r="C41" s="233">
        <f>+D41+E41</f>
        <v>0</v>
      </c>
      <c r="D41" s="405"/>
      <c r="E41" s="6">
        <v>0</v>
      </c>
      <c r="I41" s="428"/>
      <c r="J41" s="378"/>
      <c r="K41" s="378"/>
    </row>
    <row r="42" spans="1:11" ht="25.5">
      <c r="A42" s="44" t="s">
        <v>501</v>
      </c>
      <c r="B42" s="45" t="s">
        <v>358</v>
      </c>
      <c r="C42" s="238">
        <f>(+'Bank Assets Analysis'!S45-'Bank Assets Analysis'!O45-'Bank Assets Analysis'!Q45-'Liquidity Analysis'!C64)*0.3</f>
        <v>1292155407</v>
      </c>
      <c r="D42" s="238">
        <f>('Bank Assets Analysis (нац)'!K45-'Bank Assets Analysis (нац)'!I45-'Bank Assets Analysis (нац)'!J45-'Liquidity Analysis'!D64)*0.3</f>
        <v>927450956.10000002</v>
      </c>
      <c r="E42" s="238">
        <f>('Bank Assets Analysis'!U45-'Bank Assets Analysis'!P45-'Bank Assets Analysis'!R45-'Liquidity Analysis'!E64)*0.3</f>
        <v>364704450.89999998</v>
      </c>
      <c r="H42" s="429"/>
      <c r="I42" s="428"/>
      <c r="J42" s="378"/>
      <c r="K42" s="378"/>
    </row>
    <row r="43" spans="1:11" ht="15" customHeight="1">
      <c r="A43" s="53" t="s">
        <v>502</v>
      </c>
      <c r="B43" s="161" t="s">
        <v>403</v>
      </c>
      <c r="C43" s="238">
        <f>+ROUND(SUM(Commitments!C4-Commitments!C5+Commitments!C7-Commitments!C8+Commitments!C10-'Bank Liabilities Analysis'!S19+Commitments!C18-Commitments!C23)*15%,0)</f>
        <v>144445704</v>
      </c>
      <c r="D43" s="238">
        <f>+ROUND(SUM(Commitments!D4-Commitments!D5+Commitments!D7-Commitments!D8+Commitments!D10-'Bank Liabilities Analysis'!T19+Commitments!D18-Commitments!D23)*15%,0)</f>
        <v>51211232</v>
      </c>
      <c r="E43" s="238">
        <f>+ROUND(SUM(Commitments!E4-Commitments!E5+Commitments!E7-Commitments!E8+Commitments!E10-'Bank Liabilities Analysis'!U19+Commitments!E18-Commitments!E23)*15%,0)</f>
        <v>93234472</v>
      </c>
      <c r="H43" s="429"/>
      <c r="I43" s="428"/>
      <c r="J43" s="378"/>
      <c r="K43" s="378"/>
    </row>
    <row r="44" spans="1:11">
      <c r="H44" s="429"/>
      <c r="I44" s="428"/>
      <c r="J44" s="378"/>
      <c r="K44" s="378"/>
    </row>
    <row r="45" spans="1:11">
      <c r="B45" s="438" t="s">
        <v>504</v>
      </c>
      <c r="H45" s="429"/>
      <c r="I45" s="428"/>
      <c r="J45" s="378"/>
      <c r="K45" s="378"/>
    </row>
    <row r="46" spans="1:11">
      <c r="B46" s="438" t="s">
        <v>505</v>
      </c>
      <c r="H46" s="429"/>
      <c r="I46" s="428"/>
      <c r="J46" s="378"/>
      <c r="K46" s="378"/>
    </row>
    <row r="47" spans="1:11">
      <c r="B47" s="439" t="s">
        <v>506</v>
      </c>
      <c r="H47" s="429"/>
      <c r="I47" s="428"/>
      <c r="J47" s="378"/>
      <c r="K47" s="378"/>
    </row>
    <row r="48" spans="1:11">
      <c r="B48" s="361"/>
      <c r="H48" s="429"/>
      <c r="I48" s="428"/>
      <c r="J48" s="378"/>
      <c r="K48" s="378"/>
    </row>
    <row r="49" spans="1:11">
      <c r="B49" s="361"/>
      <c r="H49" s="429"/>
      <c r="I49" s="428"/>
      <c r="J49" s="378"/>
      <c r="K49" s="378"/>
    </row>
    <row r="50" spans="1:11">
      <c r="B50" s="3" t="s">
        <v>4</v>
      </c>
      <c r="I50" s="428"/>
      <c r="J50" s="378"/>
      <c r="K50" s="378"/>
    </row>
    <row r="51" spans="1:11">
      <c r="B51" s="3"/>
      <c r="I51" s="428"/>
      <c r="J51" s="378"/>
      <c r="K51" s="378"/>
    </row>
    <row r="52" spans="1:11">
      <c r="B52" s="3" t="s">
        <v>5</v>
      </c>
      <c r="I52" s="428"/>
      <c r="J52" s="378"/>
      <c r="K52" s="378"/>
    </row>
    <row r="53" spans="1:11">
      <c r="B53" s="3"/>
      <c r="I53" s="428"/>
      <c r="J53" s="378"/>
      <c r="K53" s="378"/>
    </row>
    <row r="54" spans="1:11">
      <c r="B54" s="3"/>
      <c r="I54" s="428"/>
      <c r="J54" s="378"/>
      <c r="K54" s="378"/>
    </row>
    <row r="55" spans="1:11">
      <c r="B55" s="2"/>
      <c r="I55" s="428"/>
      <c r="J55" s="378"/>
      <c r="K55" s="378"/>
    </row>
    <row r="56" spans="1:11" ht="18.75">
      <c r="A56" s="256" t="s">
        <v>79</v>
      </c>
      <c r="B56" s="256" t="s">
        <v>433</v>
      </c>
      <c r="C56" s="256" t="s">
        <v>317</v>
      </c>
      <c r="D56" s="403" t="s">
        <v>444</v>
      </c>
      <c r="E56" s="256" t="s">
        <v>445</v>
      </c>
      <c r="G56" s="436"/>
      <c r="H56" s="434"/>
      <c r="I56" s="434"/>
      <c r="J56" s="434"/>
      <c r="K56" s="378"/>
    </row>
    <row r="57" spans="1:11">
      <c r="A57" s="456" t="s">
        <v>239</v>
      </c>
      <c r="B57" s="437" t="s">
        <v>475</v>
      </c>
      <c r="C57" s="440">
        <f>+'Bank Assets Analysis'!S7+'Investment Securities'!B40</f>
        <v>220312322</v>
      </c>
      <c r="D57" s="441">
        <f>+'Bank Assets Analysis'!T7+'Investment Securities'!C40</f>
        <v>92534623</v>
      </c>
      <c r="E57" s="440">
        <f>+'Bank Assets Analysis'!U7+'Investment Securities'!D40</f>
        <v>127777699</v>
      </c>
      <c r="G57" s="442"/>
      <c r="H57" s="442"/>
      <c r="I57" s="443"/>
      <c r="J57" s="443"/>
      <c r="K57" s="378"/>
    </row>
    <row r="58" spans="1:11">
      <c r="A58" s="42" t="s">
        <v>240</v>
      </c>
      <c r="B58" s="437" t="s">
        <v>251</v>
      </c>
      <c r="C58" s="440">
        <f>+'Bank Assets Analysis'!S9+'Bank Assets Analysis'!S10</f>
        <v>380783393</v>
      </c>
      <c r="D58" s="441">
        <f>+'Bank Assets Analysis'!T9+'Bank Assets Analysis'!T10</f>
        <v>335334692</v>
      </c>
      <c r="E58" s="440">
        <f>+'Bank Assets Analysis'!U9+'Bank Assets Analysis'!U10</f>
        <v>45448701</v>
      </c>
      <c r="G58" s="442"/>
      <c r="H58" s="442"/>
      <c r="I58" s="443"/>
      <c r="J58" s="443"/>
      <c r="K58" s="378"/>
    </row>
    <row r="59" spans="1:11">
      <c r="A59" s="42" t="s">
        <v>253</v>
      </c>
      <c r="B59" s="437" t="s">
        <v>132</v>
      </c>
      <c r="C59" s="440">
        <f>'Bank Assets Analysis'!C12+'Bank Assets Analysis'!C13+'Bank Assets Analysis'!C14+'Bank Assets Analysis'!C17+'Bank Assets Analysis'!C18+'Bank Assets Analysis'!E18+'Bank Assets Analysis'!G18</f>
        <v>433866579</v>
      </c>
      <c r="D59" s="441">
        <f>+C59-E59</f>
        <v>5226346</v>
      </c>
      <c r="E59" s="440">
        <f>'Bank Assets Analysis'!D12+'Bank Assets Analysis'!D13+'Bank Assets Analysis'!D17+'Bank Assets Analysis'!D18+'Bank Assets Analysis'!F18+'Bank Assets Analysis'!H18</f>
        <v>428640233</v>
      </c>
      <c r="G59" s="442"/>
      <c r="H59" s="442"/>
      <c r="I59" s="443"/>
      <c r="J59" s="443"/>
      <c r="K59" s="378"/>
    </row>
    <row r="60" spans="1:11">
      <c r="A60" s="42" t="s">
        <v>294</v>
      </c>
      <c r="B60" s="437" t="s">
        <v>348</v>
      </c>
      <c r="C60" s="440">
        <f>IF(F60&gt;0,F60,0)</f>
        <v>6665069</v>
      </c>
      <c r="D60" s="441">
        <f>IF(G60&gt;0,G60,0)</f>
        <v>52007</v>
      </c>
      <c r="E60" s="440">
        <f>IF(H60&gt;0,H60,0)</f>
        <v>6613062</v>
      </c>
      <c r="F60" s="444">
        <f>(('Bank Assets Analysis'!E12+'Bank Assets Analysis'!G12+'Bank Assets Analysis'!C16+'Bank Assets Analysis'!E16+'Bank Assets Analysis'!G16)-'Bank Liabilities Analysis'!C26-'Bank Liabilities Analysis'!E26-'Bank Liabilities Analysis'!G26)</f>
        <v>6665069</v>
      </c>
      <c r="G60" s="444">
        <f>+('Bank Assets Analysis'!E12-'Bank Assets Analysis'!F12+'Bank Assets Analysis'!G12-'Bank Assets Analysis'!H12+'Bank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52007</v>
      </c>
      <c r="H60" s="444">
        <f>(('Bank Assets Analysis'!F12+'Bank Assets Analysis'!H12+'Bank Assets Analysis'!D16+'Bank Assets Analysis'!F16+'Bank Assets Analysis'!H16)-'Bank Liabilities Analysis'!D26-'Bank Liabilities Analysis'!F26-'Bank Liabilities Analysis'!H26)</f>
        <v>6613062</v>
      </c>
      <c r="J60" s="443"/>
      <c r="K60" s="378"/>
    </row>
    <row r="61" spans="1:11" ht="38.25">
      <c r="A61" s="42" t="s">
        <v>241</v>
      </c>
      <c r="B61" s="437" t="s">
        <v>24</v>
      </c>
      <c r="C61" s="440">
        <f>+'Investment Securities'!B19+'Investment Securities'!B20+'Investment Securities'!B21</f>
        <v>200000000</v>
      </c>
      <c r="D61" s="440">
        <f>+'Investment Securities'!C19+'Investment Securities'!C20+'Investment Securities'!C21</f>
        <v>200000000</v>
      </c>
      <c r="E61" s="440">
        <f>+'Investment Securities'!D19+'Investment Securities'!D20+'Investment Securities'!D21</f>
        <v>0</v>
      </c>
      <c r="G61" s="442"/>
      <c r="H61" s="442"/>
      <c r="I61" s="443"/>
      <c r="J61" s="443"/>
      <c r="K61" s="378"/>
    </row>
    <row r="62" spans="1:11">
      <c r="A62" s="456" t="s">
        <v>248</v>
      </c>
      <c r="B62" s="437" t="s">
        <v>349</v>
      </c>
      <c r="C62" s="529"/>
      <c r="D62" s="530"/>
      <c r="E62" s="529"/>
      <c r="G62" s="442"/>
      <c r="H62" s="442"/>
      <c r="I62" s="443"/>
      <c r="J62" s="443"/>
      <c r="K62" s="378"/>
    </row>
    <row r="63" spans="1:11">
      <c r="A63" s="456" t="s">
        <v>254</v>
      </c>
      <c r="B63" s="437" t="s">
        <v>350</v>
      </c>
      <c r="C63" s="529"/>
      <c r="D63" s="530"/>
      <c r="E63" s="529"/>
      <c r="G63" s="442"/>
      <c r="H63" s="442"/>
      <c r="I63" s="443"/>
      <c r="J63" s="443"/>
      <c r="K63" s="378"/>
    </row>
    <row r="64" spans="1:11">
      <c r="A64" s="458" t="s">
        <v>249</v>
      </c>
      <c r="B64" s="457" t="s">
        <v>351</v>
      </c>
      <c r="C64" s="237">
        <f>SUM(C57:C63)</f>
        <v>1241627363</v>
      </c>
      <c r="D64" s="382">
        <f>SUM(D57:D63)</f>
        <v>633147668</v>
      </c>
      <c r="E64" s="237">
        <f>SUM(E57:E63)</f>
        <v>608479695</v>
      </c>
      <c r="G64" s="442"/>
      <c r="H64" s="442"/>
      <c r="I64" s="443"/>
      <c r="J64" s="444"/>
      <c r="K64" s="378"/>
    </row>
    <row r="65" spans="2:11" ht="18.75">
      <c r="B65" s="435"/>
      <c r="C65" s="436"/>
      <c r="D65" s="434"/>
      <c r="E65" s="434"/>
      <c r="F65" s="436"/>
      <c r="G65" s="436"/>
      <c r="H65" s="434"/>
      <c r="I65" s="434"/>
      <c r="J65" s="434"/>
      <c r="K65" s="378"/>
    </row>
    <row r="66" spans="2:11">
      <c r="I66" s="428"/>
      <c r="J66" s="378"/>
      <c r="K66" s="378"/>
    </row>
    <row r="67" spans="2:11">
      <c r="I67" s="428"/>
      <c r="J67" s="378"/>
      <c r="K67" s="378"/>
    </row>
    <row r="68" spans="2:11">
      <c r="I68" s="428"/>
      <c r="J68" s="378"/>
      <c r="K68" s="378"/>
    </row>
    <row r="69" spans="2:11">
      <c r="I69" s="428"/>
      <c r="J69" s="378"/>
      <c r="K69" s="378"/>
    </row>
    <row r="70" spans="2:11">
      <c r="I70" s="428"/>
      <c r="J70" s="378"/>
      <c r="K70" s="378"/>
    </row>
    <row r="71" spans="2:11">
      <c r="I71" s="428"/>
      <c r="J71" s="378"/>
      <c r="K71" s="378"/>
    </row>
    <row r="72" spans="2:11">
      <c r="I72" s="428"/>
      <c r="J72" s="378"/>
      <c r="K72" s="378"/>
    </row>
    <row r="73" spans="2:11">
      <c r="I73" s="428"/>
      <c r="J73" s="378"/>
      <c r="K73" s="378"/>
    </row>
    <row r="74" spans="2:11">
      <c r="I74" s="428"/>
      <c r="J74" s="378"/>
      <c r="K74" s="378"/>
    </row>
    <row r="75" spans="2:11">
      <c r="I75" s="428"/>
      <c r="J75" s="378"/>
      <c r="K75" s="378"/>
    </row>
    <row r="76" spans="2:11">
      <c r="I76" s="428"/>
      <c r="J76" s="378"/>
      <c r="K76" s="378"/>
    </row>
    <row r="77" spans="2:11">
      <c r="I77" s="428"/>
      <c r="J77" s="378"/>
      <c r="K77" s="378"/>
    </row>
    <row r="78" spans="2:11">
      <c r="I78" s="428"/>
      <c r="J78" s="378"/>
      <c r="K78" s="378"/>
    </row>
    <row r="79" spans="2:11">
      <c r="I79" s="428"/>
      <c r="J79" s="378"/>
      <c r="K79" s="378"/>
    </row>
    <row r="80" spans="2:11">
      <c r="I80" s="428"/>
      <c r="J80" s="378"/>
      <c r="K80" s="378"/>
    </row>
    <row r="81" spans="9:11">
      <c r="I81" s="428"/>
      <c r="J81" s="378"/>
      <c r="K81" s="378"/>
    </row>
  </sheetData>
  <sheetProtection password="CACA" sheet="1" objects="1" scenarios="1"/>
  <mergeCells count="1">
    <mergeCell ref="C5:E5"/>
  </mergeCells>
  <phoneticPr fontId="15" type="noConversion"/>
  <conditionalFormatting sqref="C16:E20 C22:E30">
    <cfRule type="cellIs" dxfId="395" priority="14" stopIfTrue="1" operator="notBetween">
      <formula>TOTASS/4</formula>
      <formula>TOTASS*4</formula>
    </cfRule>
  </conditionalFormatting>
  <conditionalFormatting sqref="C40">
    <cfRule type="cellIs" dxfId="394" priority="7" operator="notEqual">
      <formula>$D$40+$E$40</formula>
    </cfRule>
  </conditionalFormatting>
  <conditionalFormatting sqref="C41">
    <cfRule type="cellIs" dxfId="393" priority="6" operator="notEqual">
      <formula>$D$41+$E$41</formula>
    </cfRule>
  </conditionalFormatting>
  <dataValidations disablePrompts="1" xWindow="793" yWindow="476" count="5">
    <dataValidation allowBlank="1" showErrorMessage="1" sqref="C15:E43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4:E14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>
      <formula1>-1E+22</formula1>
      <formula2>1E+22</formula2>
    </dataValidation>
    <dataValidation allowBlank="1" showErrorMessage="1" prompt="Введите самостоятельно рассчитанный коэффициент" sqref="C3:E3 A56:E56"/>
    <dataValidation type="whole" operator="greaterThanOrEqual" allowBlank="1" showErrorMessage="1" error="Введите как целое число." sqref="C61:E63">
      <formula1>0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79" orientation="portrait" r:id="rId1"/>
  <headerFooter alignWithMargins="0"/>
  <ignoredErrors>
    <ignoredError sqref="D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69"/>
  <sheetViews>
    <sheetView topLeftCell="A3" zoomScale="70" zoomScaleNormal="70" zoomScaleSheetLayoutView="70" workbookViewId="0">
      <pane xSplit="2" ySplit="3" topLeftCell="C30" activePane="bottomRight" state="frozen"/>
      <selection activeCell="A3" sqref="A3"/>
      <selection pane="topRight" activeCell="C3" sqref="C3"/>
      <selection pane="bottomLeft" activeCell="A6" sqref="A6"/>
      <selection pane="bottomRight" activeCell="B43" sqref="B43"/>
    </sheetView>
  </sheetViews>
  <sheetFormatPr defaultRowHeight="12.75"/>
  <cols>
    <col min="1" max="1" width="6.5703125" style="489" customWidth="1"/>
    <col min="2" max="2" width="78.5703125" style="363" customWidth="1"/>
    <col min="3" max="18" width="15.85546875" style="366" customWidth="1"/>
    <col min="19" max="21" width="18.28515625" style="366" customWidth="1"/>
    <col min="22" max="22" width="9" style="370" customWidth="1"/>
    <col min="23" max="23" width="18.7109375" style="365" customWidth="1"/>
    <col min="24" max="24" width="18.7109375" style="363" customWidth="1"/>
    <col min="25" max="25" width="18.7109375" style="365" customWidth="1"/>
    <col min="26" max="26" width="18.7109375" style="363" customWidth="1"/>
    <col min="27" max="27" width="9" style="370" customWidth="1"/>
    <col min="28" max="28" width="18.7109375" style="365" customWidth="1"/>
    <col min="29" max="29" width="18.7109375" style="363" customWidth="1"/>
    <col min="30" max="30" width="18.7109375" style="365" customWidth="1"/>
    <col min="31" max="31" width="18.7109375" style="363" customWidth="1"/>
    <col min="32" max="16384" width="9.140625" style="366"/>
  </cols>
  <sheetData>
    <row r="1" spans="1:31" s="282" customFormat="1" ht="38.25" customHeight="1">
      <c r="A1" s="481" t="s">
        <v>126</v>
      </c>
      <c r="B1" s="481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577"/>
      <c r="Y1" s="577"/>
      <c r="Z1" s="577"/>
      <c r="AA1" s="279"/>
      <c r="AB1" s="279"/>
      <c r="AC1" s="577" t="s">
        <v>399</v>
      </c>
      <c r="AD1" s="577"/>
      <c r="AE1" s="577"/>
    </row>
    <row r="2" spans="1:31" ht="15.75">
      <c r="A2" s="485"/>
      <c r="B2" s="482" t="str">
        <f>Balance!B3</f>
        <v>АКБ"Микрокредитбанк"</v>
      </c>
      <c r="C2" s="163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T2" s="219" t="str">
        <f>+Balance!B2</f>
        <v xml:space="preserve"> 31 Декабрь, 2020</v>
      </c>
      <c r="V2" s="366"/>
      <c r="W2" s="362"/>
      <c r="Y2" s="362"/>
      <c r="Z2" s="216"/>
      <c r="AA2" s="366"/>
      <c r="AB2" s="362"/>
      <c r="AD2" s="362"/>
      <c r="AE2" s="216" t="s">
        <v>7</v>
      </c>
    </row>
    <row r="3" spans="1:31" s="86" customFormat="1" ht="29.25" customHeight="1">
      <c r="A3" s="574" t="s">
        <v>79</v>
      </c>
      <c r="B3" s="574" t="s">
        <v>54</v>
      </c>
      <c r="C3" s="571" t="s">
        <v>167</v>
      </c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2"/>
      <c r="S3" s="578" t="s">
        <v>127</v>
      </c>
      <c r="T3" s="580" t="s">
        <v>82</v>
      </c>
      <c r="U3" s="581"/>
      <c r="V3" s="580" t="s">
        <v>530</v>
      </c>
      <c r="W3" s="584"/>
      <c r="X3" s="584"/>
      <c r="Y3" s="584"/>
      <c r="Z3" s="581"/>
      <c r="AA3" s="580" t="s">
        <v>529</v>
      </c>
      <c r="AB3" s="584"/>
      <c r="AC3" s="584"/>
      <c r="AD3" s="584"/>
      <c r="AE3" s="581"/>
    </row>
    <row r="4" spans="1:31" s="86" customFormat="1" ht="29.25" customHeight="1">
      <c r="A4" s="575"/>
      <c r="B4" s="575"/>
      <c r="C4" s="571" t="s">
        <v>128</v>
      </c>
      <c r="D4" s="572"/>
      <c r="E4" s="571" t="s">
        <v>441</v>
      </c>
      <c r="F4" s="572"/>
      <c r="G4" s="571" t="s">
        <v>442</v>
      </c>
      <c r="H4" s="572"/>
      <c r="I4" s="571" t="s">
        <v>344</v>
      </c>
      <c r="J4" s="572"/>
      <c r="K4" s="571" t="s">
        <v>345</v>
      </c>
      <c r="L4" s="572"/>
      <c r="M4" s="571" t="s">
        <v>413</v>
      </c>
      <c r="N4" s="572"/>
      <c r="O4" s="571" t="s">
        <v>414</v>
      </c>
      <c r="P4" s="572"/>
      <c r="Q4" s="571" t="s">
        <v>84</v>
      </c>
      <c r="R4" s="572"/>
      <c r="S4" s="579"/>
      <c r="T4" s="582"/>
      <c r="U4" s="583"/>
      <c r="V4" s="582"/>
      <c r="W4" s="585"/>
      <c r="X4" s="585"/>
      <c r="Y4" s="585"/>
      <c r="Z4" s="583"/>
      <c r="AA4" s="582"/>
      <c r="AB4" s="585"/>
      <c r="AC4" s="585"/>
      <c r="AD4" s="585"/>
      <c r="AE4" s="583"/>
    </row>
    <row r="5" spans="1:31" s="86" customFormat="1" ht="102.75" customHeight="1">
      <c r="A5" s="575"/>
      <c r="B5" s="575"/>
      <c r="C5" s="277" t="s">
        <v>317</v>
      </c>
      <c r="D5" s="277" t="s">
        <v>318</v>
      </c>
      <c r="E5" s="277" t="s">
        <v>317</v>
      </c>
      <c r="F5" s="277" t="s">
        <v>318</v>
      </c>
      <c r="G5" s="277" t="s">
        <v>317</v>
      </c>
      <c r="H5" s="277" t="s">
        <v>318</v>
      </c>
      <c r="I5" s="277" t="s">
        <v>317</v>
      </c>
      <c r="J5" s="277" t="s">
        <v>318</v>
      </c>
      <c r="K5" s="277" t="s">
        <v>317</v>
      </c>
      <c r="L5" s="277" t="s">
        <v>318</v>
      </c>
      <c r="M5" s="277" t="s">
        <v>317</v>
      </c>
      <c r="N5" s="277" t="s">
        <v>318</v>
      </c>
      <c r="O5" s="277" t="s">
        <v>317</v>
      </c>
      <c r="P5" s="277" t="s">
        <v>318</v>
      </c>
      <c r="Q5" s="277" t="s">
        <v>317</v>
      </c>
      <c r="R5" s="277" t="s">
        <v>318</v>
      </c>
      <c r="S5" s="579"/>
      <c r="T5" s="277" t="s">
        <v>237</v>
      </c>
      <c r="U5" s="277" t="s">
        <v>396</v>
      </c>
      <c r="V5" s="467" t="s">
        <v>33</v>
      </c>
      <c r="W5" s="467" t="s">
        <v>40</v>
      </c>
      <c r="X5" s="467" t="s">
        <v>512</v>
      </c>
      <c r="Y5" s="467" t="s">
        <v>452</v>
      </c>
      <c r="Z5" s="467" t="s">
        <v>513</v>
      </c>
      <c r="AA5" s="467" t="s">
        <v>33</v>
      </c>
      <c r="AB5" s="467" t="s">
        <v>40</v>
      </c>
      <c r="AC5" s="467" t="s">
        <v>512</v>
      </c>
      <c r="AD5" s="467" t="s">
        <v>452</v>
      </c>
      <c r="AE5" s="467" t="s">
        <v>513</v>
      </c>
    </row>
    <row r="6" spans="1:31" s="493" customFormat="1" ht="45" customHeight="1">
      <c r="A6" s="486"/>
      <c r="B6" s="331" t="s">
        <v>0</v>
      </c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492"/>
      <c r="W6" s="371"/>
      <c r="X6" s="364"/>
      <c r="Y6" s="371"/>
      <c r="Z6" s="364"/>
      <c r="AA6" s="492"/>
      <c r="AB6" s="371"/>
      <c r="AC6" s="364"/>
      <c r="AD6" s="371"/>
      <c r="AE6" s="364"/>
    </row>
    <row r="7" spans="1:31" s="330" customFormat="1" ht="38.25" customHeight="1">
      <c r="A7" s="323" t="s">
        <v>80</v>
      </c>
      <c r="B7" s="324" t="s">
        <v>507</v>
      </c>
      <c r="C7" s="35">
        <v>220312147</v>
      </c>
      <c r="D7" s="35">
        <v>127777699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25">
        <f>+C7+E7+G7+I7+K7+M7+O7+Q7</f>
        <v>220312147</v>
      </c>
      <c r="T7" s="325">
        <f>+S7-U7</f>
        <v>92534448</v>
      </c>
      <c r="U7" s="325">
        <f>+D7+F7+H7+J7+L7+N7+P7+R7</f>
        <v>127777699</v>
      </c>
      <c r="V7" s="326">
        <v>1</v>
      </c>
      <c r="W7" s="327">
        <f>+S7-S8</f>
        <v>220312147</v>
      </c>
      <c r="X7" s="328">
        <f>+W7*V7</f>
        <v>220312147</v>
      </c>
      <c r="Y7" s="327">
        <f>+U7-U8</f>
        <v>127777699</v>
      </c>
      <c r="Z7" s="328">
        <f>+Y7*V7</f>
        <v>127777699</v>
      </c>
      <c r="AA7" s="326">
        <v>1</v>
      </c>
      <c r="AB7" s="327">
        <f>+S7-S8</f>
        <v>220312147</v>
      </c>
      <c r="AC7" s="328">
        <f>+AB7*AA7</f>
        <v>220312147</v>
      </c>
      <c r="AD7" s="327">
        <f>+U7-U8</f>
        <v>127777699</v>
      </c>
      <c r="AE7" s="328">
        <f>+AD7*AA7</f>
        <v>127777699</v>
      </c>
    </row>
    <row r="8" spans="1:31" s="330" customFormat="1" ht="38.25" customHeight="1">
      <c r="A8" s="323" t="s">
        <v>169</v>
      </c>
      <c r="B8" s="324" t="s">
        <v>508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25">
        <f t="shared" ref="S8:U8" si="0">+C8+E8+G8+I8+K8+M8+O8+Q8</f>
        <v>0</v>
      </c>
      <c r="T8" s="325">
        <f t="shared" ref="T8:T45" si="1">+S8-U8</f>
        <v>0</v>
      </c>
      <c r="U8" s="325">
        <f t="shared" si="0"/>
        <v>0</v>
      </c>
      <c r="V8" s="326"/>
      <c r="W8" s="433"/>
      <c r="X8" s="325"/>
      <c r="Y8" s="433"/>
      <c r="Z8" s="325"/>
      <c r="AA8" s="326"/>
      <c r="AB8" s="433"/>
      <c r="AC8" s="325"/>
      <c r="AD8" s="433"/>
      <c r="AE8" s="325"/>
    </row>
    <row r="9" spans="1:31" s="330" customFormat="1" ht="38.25" customHeight="1">
      <c r="A9" s="323" t="s">
        <v>130</v>
      </c>
      <c r="B9" s="324" t="s">
        <v>428</v>
      </c>
      <c r="C9" s="35">
        <v>359385307</v>
      </c>
      <c r="D9" s="35">
        <v>45448701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25">
        <f t="shared" ref="S9:S45" si="2">+C9+E9+G9+I9+K9+M9+O9+Q9</f>
        <v>359385307</v>
      </c>
      <c r="T9" s="325">
        <f t="shared" si="1"/>
        <v>313936606</v>
      </c>
      <c r="U9" s="325">
        <f t="shared" ref="U9:U45" si="3">+D9+F9+H9+J9+L9+N9+P9+R9</f>
        <v>45448701</v>
      </c>
      <c r="V9" s="326">
        <v>1</v>
      </c>
      <c r="W9" s="327">
        <f>+S9</f>
        <v>359385307</v>
      </c>
      <c r="X9" s="328">
        <f t="shared" ref="X9:X43" si="4">+W9*V9</f>
        <v>359385307</v>
      </c>
      <c r="Y9" s="327">
        <f>+U9</f>
        <v>45448701</v>
      </c>
      <c r="Z9" s="328">
        <f>+Y9*V9</f>
        <v>45448701</v>
      </c>
      <c r="AA9" s="326">
        <v>1</v>
      </c>
      <c r="AB9" s="327">
        <f>S9</f>
        <v>359385307</v>
      </c>
      <c r="AC9" s="328">
        <f t="shared" ref="AC9:AC36" si="5">+AB9*AA9</f>
        <v>359385307</v>
      </c>
      <c r="AD9" s="327">
        <f>+U9</f>
        <v>45448701</v>
      </c>
      <c r="AE9" s="328">
        <f>+AD9*AA9</f>
        <v>45448701</v>
      </c>
    </row>
    <row r="10" spans="1:31" s="330" customFormat="1" ht="38.25" customHeight="1">
      <c r="A10" s="323" t="s">
        <v>191</v>
      </c>
      <c r="B10" s="324" t="s">
        <v>427</v>
      </c>
      <c r="C10" s="35"/>
      <c r="D10" s="35"/>
      <c r="E10" s="35"/>
      <c r="F10" s="35"/>
      <c r="G10" s="35">
        <v>21398086</v>
      </c>
      <c r="H10" s="35">
        <v>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25">
        <f t="shared" si="2"/>
        <v>21398086</v>
      </c>
      <c r="T10" s="325">
        <f t="shared" si="1"/>
        <v>21398086</v>
      </c>
      <c r="U10" s="325">
        <f t="shared" si="3"/>
        <v>0</v>
      </c>
      <c r="V10" s="326">
        <v>0</v>
      </c>
      <c r="W10" s="327"/>
      <c r="X10" s="325"/>
      <c r="Y10" s="327"/>
      <c r="Z10" s="327"/>
      <c r="AA10" s="326">
        <v>0</v>
      </c>
      <c r="AB10" s="327"/>
      <c r="AC10" s="325"/>
      <c r="AD10" s="327"/>
      <c r="AE10" s="327"/>
    </row>
    <row r="11" spans="1:31" s="330" customFormat="1" ht="38.25" customHeight="1">
      <c r="A11" s="323" t="s">
        <v>131</v>
      </c>
      <c r="B11" s="324" t="s">
        <v>132</v>
      </c>
      <c r="C11" s="364">
        <f>SUM(C12:C18)-C15</f>
        <v>440531648</v>
      </c>
      <c r="D11" s="364">
        <f t="shared" ref="D11:R11" si="6">SUM(D12:D18)-D15</f>
        <v>435253295</v>
      </c>
      <c r="E11" s="364">
        <f t="shared" si="6"/>
        <v>0</v>
      </c>
      <c r="F11" s="364">
        <f t="shared" si="6"/>
        <v>0</v>
      </c>
      <c r="G11" s="364">
        <f t="shared" si="6"/>
        <v>0</v>
      </c>
      <c r="H11" s="364">
        <f t="shared" si="6"/>
        <v>0</v>
      </c>
      <c r="I11" s="364">
        <f t="shared" si="6"/>
        <v>40000000</v>
      </c>
      <c r="J11" s="364">
        <f t="shared" si="6"/>
        <v>0</v>
      </c>
      <c r="K11" s="364">
        <f t="shared" si="6"/>
        <v>47569200</v>
      </c>
      <c r="L11" s="364">
        <f t="shared" si="6"/>
        <v>0</v>
      </c>
      <c r="M11" s="364">
        <f t="shared" si="6"/>
        <v>101000000</v>
      </c>
      <c r="N11" s="364">
        <f t="shared" si="6"/>
        <v>0</v>
      </c>
      <c r="O11" s="364">
        <f t="shared" si="6"/>
        <v>3000000</v>
      </c>
      <c r="P11" s="364">
        <f t="shared" si="6"/>
        <v>0</v>
      </c>
      <c r="Q11" s="364">
        <f t="shared" si="6"/>
        <v>34330550</v>
      </c>
      <c r="R11" s="364">
        <f t="shared" si="6"/>
        <v>0</v>
      </c>
      <c r="S11" s="325">
        <f t="shared" si="2"/>
        <v>666431398</v>
      </c>
      <c r="T11" s="325">
        <f t="shared" si="1"/>
        <v>231178103</v>
      </c>
      <c r="U11" s="325">
        <f t="shared" si="3"/>
        <v>435253295</v>
      </c>
      <c r="V11" s="326"/>
      <c r="W11" s="327"/>
      <c r="X11" s="325"/>
      <c r="Y11" s="327"/>
      <c r="Z11" s="327"/>
      <c r="AA11" s="326"/>
      <c r="AB11" s="327"/>
      <c r="AC11" s="325"/>
      <c r="AD11" s="327"/>
      <c r="AE11" s="327"/>
    </row>
    <row r="12" spans="1:31" s="330" customFormat="1" ht="45" customHeight="1">
      <c r="A12" s="323" t="s">
        <v>192</v>
      </c>
      <c r="B12" s="324" t="s">
        <v>534</v>
      </c>
      <c r="C12" s="35">
        <v>1312439</v>
      </c>
      <c r="D12" s="35">
        <v>1312439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25">
        <f t="shared" si="2"/>
        <v>1312439</v>
      </c>
      <c r="T12" s="325">
        <f t="shared" si="1"/>
        <v>0</v>
      </c>
      <c r="U12" s="325">
        <f t="shared" si="3"/>
        <v>1312439</v>
      </c>
      <c r="V12" s="326">
        <v>1</v>
      </c>
      <c r="W12" s="327">
        <f>+C12</f>
        <v>1312439</v>
      </c>
      <c r="X12" s="328">
        <f t="shared" si="4"/>
        <v>1312439</v>
      </c>
      <c r="Y12" s="327">
        <f>+D12</f>
        <v>1312439</v>
      </c>
      <c r="Z12" s="328">
        <f>+Y12*V12</f>
        <v>1312439</v>
      </c>
      <c r="AA12" s="326">
        <v>1</v>
      </c>
      <c r="AB12" s="327">
        <f>+C12</f>
        <v>1312439</v>
      </c>
      <c r="AC12" s="328">
        <f t="shared" si="5"/>
        <v>1312439</v>
      </c>
      <c r="AD12" s="327">
        <f>+D12</f>
        <v>1312439</v>
      </c>
      <c r="AE12" s="328">
        <f>+AD12*AA12</f>
        <v>1312439</v>
      </c>
    </row>
    <row r="13" spans="1:31" s="330" customFormat="1" ht="45" customHeight="1">
      <c r="A13" s="323" t="s">
        <v>193</v>
      </c>
      <c r="B13" s="324" t="s">
        <v>527</v>
      </c>
      <c r="C13" s="35">
        <v>427327794</v>
      </c>
      <c r="D13" s="35">
        <v>427327794</v>
      </c>
      <c r="E13" s="364"/>
      <c r="F13" s="364"/>
      <c r="G13" s="364"/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25">
        <f>+C13</f>
        <v>427327794</v>
      </c>
      <c r="T13" s="325">
        <f t="shared" ref="T13:T15" si="7">+S13-U13</f>
        <v>0</v>
      </c>
      <c r="U13" s="325">
        <f>+D13</f>
        <v>427327794</v>
      </c>
      <c r="V13" s="326">
        <v>1</v>
      </c>
      <c r="W13" s="327">
        <f>+C13</f>
        <v>427327794</v>
      </c>
      <c r="X13" s="328">
        <f t="shared" si="4"/>
        <v>427327794</v>
      </c>
      <c r="Y13" s="327">
        <f>+D13</f>
        <v>427327794</v>
      </c>
      <c r="Z13" s="328">
        <f t="shared" ref="Z13:Z43" si="8">+Y13*V13</f>
        <v>427327794</v>
      </c>
      <c r="AA13" s="326">
        <v>1</v>
      </c>
      <c r="AB13" s="327">
        <f>+C13</f>
        <v>427327794</v>
      </c>
      <c r="AC13" s="328">
        <f t="shared" si="5"/>
        <v>427327794</v>
      </c>
      <c r="AD13" s="327">
        <f>+D13</f>
        <v>427327794</v>
      </c>
      <c r="AE13" s="328">
        <f t="shared" ref="AE13:AE36" si="9">+AD13*AA13</f>
        <v>427327794</v>
      </c>
    </row>
    <row r="14" spans="1:31" s="330" customFormat="1" ht="45" customHeight="1">
      <c r="A14" s="323" t="s">
        <v>22</v>
      </c>
      <c r="B14" s="324" t="s">
        <v>468</v>
      </c>
      <c r="C14" s="364"/>
      <c r="D14" s="364"/>
      <c r="E14" s="35"/>
      <c r="F14" s="35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25">
        <f>+E14</f>
        <v>0</v>
      </c>
      <c r="T14" s="325">
        <f t="shared" si="7"/>
        <v>0</v>
      </c>
      <c r="U14" s="325">
        <f>+F14</f>
        <v>0</v>
      </c>
      <c r="V14" s="326">
        <v>1</v>
      </c>
      <c r="W14" s="433">
        <f>+E14-E15</f>
        <v>0</v>
      </c>
      <c r="X14" s="325">
        <f t="shared" si="4"/>
        <v>0</v>
      </c>
      <c r="Y14" s="433">
        <f>+F14-F15</f>
        <v>0</v>
      </c>
      <c r="Z14" s="325">
        <f t="shared" si="8"/>
        <v>0</v>
      </c>
      <c r="AA14" s="326">
        <v>1</v>
      </c>
      <c r="AB14" s="327">
        <f>+E14-E15</f>
        <v>0</v>
      </c>
      <c r="AC14" s="325">
        <f t="shared" si="5"/>
        <v>0</v>
      </c>
      <c r="AD14" s="433">
        <f>+F14-F15</f>
        <v>0</v>
      </c>
      <c r="AE14" s="325">
        <f t="shared" si="9"/>
        <v>0</v>
      </c>
    </row>
    <row r="15" spans="1:31" s="330" customFormat="1" ht="45" customHeight="1">
      <c r="A15" s="323" t="s">
        <v>509</v>
      </c>
      <c r="B15" s="324" t="s">
        <v>531</v>
      </c>
      <c r="C15" s="364"/>
      <c r="D15" s="364"/>
      <c r="E15" s="35"/>
      <c r="F15" s="35"/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25">
        <f>+E15</f>
        <v>0</v>
      </c>
      <c r="T15" s="325">
        <f t="shared" si="7"/>
        <v>0</v>
      </c>
      <c r="U15" s="325">
        <f>+F15</f>
        <v>0</v>
      </c>
      <c r="V15" s="326">
        <v>1</v>
      </c>
      <c r="W15" s="327">
        <f>+E15</f>
        <v>0</v>
      </c>
      <c r="X15" s="328">
        <f t="shared" si="4"/>
        <v>0</v>
      </c>
      <c r="Y15" s="327">
        <f>+F15</f>
        <v>0</v>
      </c>
      <c r="Z15" s="328">
        <f t="shared" si="8"/>
        <v>0</v>
      </c>
      <c r="AA15" s="326">
        <v>1</v>
      </c>
      <c r="AB15" s="327">
        <f>+E15</f>
        <v>0</v>
      </c>
      <c r="AC15" s="328">
        <f t="shared" si="5"/>
        <v>0</v>
      </c>
      <c r="AD15" s="327">
        <f>+F15</f>
        <v>0</v>
      </c>
      <c r="AE15" s="328">
        <f t="shared" si="9"/>
        <v>0</v>
      </c>
    </row>
    <row r="16" spans="1:31" s="330" customFormat="1" ht="38.25" customHeight="1">
      <c r="A16" s="323" t="s">
        <v>347</v>
      </c>
      <c r="B16" s="324" t="s">
        <v>346</v>
      </c>
      <c r="C16" s="35">
        <v>6665069</v>
      </c>
      <c r="D16" s="35">
        <v>6613062</v>
      </c>
      <c r="E16" s="35"/>
      <c r="F16" s="35"/>
      <c r="G16" s="35"/>
      <c r="H16" s="35"/>
      <c r="I16" s="35">
        <v>40000000</v>
      </c>
      <c r="J16" s="35"/>
      <c r="K16" s="35">
        <v>47569200</v>
      </c>
      <c r="L16" s="35"/>
      <c r="M16" s="35">
        <v>101000000</v>
      </c>
      <c r="N16" s="35"/>
      <c r="O16" s="35">
        <v>3000000</v>
      </c>
      <c r="P16" s="35"/>
      <c r="Q16" s="35">
        <v>34330550</v>
      </c>
      <c r="R16" s="35"/>
      <c r="S16" s="325">
        <f t="shared" si="2"/>
        <v>232564819</v>
      </c>
      <c r="T16" s="325">
        <f t="shared" si="1"/>
        <v>225951757</v>
      </c>
      <c r="U16" s="325">
        <f t="shared" si="3"/>
        <v>6613062</v>
      </c>
      <c r="V16" s="326">
        <v>1</v>
      </c>
      <c r="W16" s="327">
        <f>+C16+E16+G16</f>
        <v>6665069</v>
      </c>
      <c r="X16" s="325">
        <f>+W16*V16</f>
        <v>6665069</v>
      </c>
      <c r="Y16" s="327">
        <f>+D16+F16+H16</f>
        <v>6613062</v>
      </c>
      <c r="Z16" s="327">
        <f t="shared" si="8"/>
        <v>6613062</v>
      </c>
      <c r="AA16" s="326">
        <v>1</v>
      </c>
      <c r="AB16" s="327">
        <f>+C16+E16+G16+E12+G12+E13+G13+E14-E15</f>
        <v>6665069</v>
      </c>
      <c r="AC16" s="325">
        <f>+AB16*AA16</f>
        <v>6665069</v>
      </c>
      <c r="AD16" s="327">
        <f>+D16+F16+H16+F12+H12+F13+H13+F14-F15</f>
        <v>6613062</v>
      </c>
      <c r="AE16" s="327">
        <f t="shared" si="9"/>
        <v>6613062</v>
      </c>
    </row>
    <row r="17" spans="1:31" s="330" customFormat="1" ht="38.25" customHeight="1">
      <c r="A17" s="323" t="s">
        <v>469</v>
      </c>
      <c r="B17" s="324" t="s">
        <v>23</v>
      </c>
      <c r="C17" s="35">
        <v>4724609</v>
      </c>
      <c r="D17" s="35">
        <v>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25">
        <f t="shared" si="2"/>
        <v>4724609</v>
      </c>
      <c r="T17" s="325">
        <f t="shared" si="1"/>
        <v>4724609</v>
      </c>
      <c r="U17" s="325">
        <f t="shared" si="3"/>
        <v>0</v>
      </c>
      <c r="V17" s="326">
        <v>0.5</v>
      </c>
      <c r="W17" s="327">
        <f>+C17+E17+G17</f>
        <v>4724609</v>
      </c>
      <c r="X17" s="325">
        <f t="shared" si="4"/>
        <v>2362304.5</v>
      </c>
      <c r="Y17" s="327">
        <f>+D17+F17+H17</f>
        <v>0</v>
      </c>
      <c r="Z17" s="327">
        <f t="shared" si="8"/>
        <v>0</v>
      </c>
      <c r="AA17" s="326">
        <v>1</v>
      </c>
      <c r="AB17" s="327">
        <f>+C17+E17+G17</f>
        <v>4724609</v>
      </c>
      <c r="AC17" s="325">
        <f t="shared" si="5"/>
        <v>4724609</v>
      </c>
      <c r="AD17" s="327">
        <f>+D17+F17+H17</f>
        <v>0</v>
      </c>
      <c r="AE17" s="327">
        <f t="shared" si="9"/>
        <v>0</v>
      </c>
    </row>
    <row r="18" spans="1:31" s="330" customFormat="1" ht="38.25" customHeight="1">
      <c r="A18" s="323" t="s">
        <v>470</v>
      </c>
      <c r="B18" s="324" t="s">
        <v>32</v>
      </c>
      <c r="C18" s="35">
        <v>501737</v>
      </c>
      <c r="D18" s="35">
        <v>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25">
        <f t="shared" si="2"/>
        <v>501737</v>
      </c>
      <c r="T18" s="325">
        <f t="shared" si="1"/>
        <v>501737</v>
      </c>
      <c r="U18" s="325">
        <f t="shared" si="3"/>
        <v>0</v>
      </c>
      <c r="V18" s="326">
        <v>0.3</v>
      </c>
      <c r="W18" s="327">
        <f>+C18+E18+G18</f>
        <v>501737</v>
      </c>
      <c r="X18" s="325">
        <f>+W18*V18</f>
        <v>150521.1</v>
      </c>
      <c r="Y18" s="327">
        <f>+D18+F18+H18</f>
        <v>0</v>
      </c>
      <c r="Z18" s="327">
        <f t="shared" si="8"/>
        <v>0</v>
      </c>
      <c r="AA18" s="326">
        <v>1</v>
      </c>
      <c r="AB18" s="327">
        <f>+C18+E18+G18</f>
        <v>501737</v>
      </c>
      <c r="AC18" s="325">
        <f>+AB18*AA18</f>
        <v>501737</v>
      </c>
      <c r="AD18" s="327">
        <f>+D18+F18+H18</f>
        <v>0</v>
      </c>
      <c r="AE18" s="327">
        <f t="shared" si="9"/>
        <v>0</v>
      </c>
    </row>
    <row r="19" spans="1:31" s="330" customFormat="1" ht="38.25" customHeight="1">
      <c r="A19" s="323" t="s">
        <v>133</v>
      </c>
      <c r="B19" s="324" t="s">
        <v>134</v>
      </c>
      <c r="C19" s="364">
        <f>SUM(C20:C25)-C21</f>
        <v>2938414</v>
      </c>
      <c r="D19" s="364">
        <f>SUM(D20:D25)-D21</f>
        <v>0</v>
      </c>
      <c r="E19" s="364">
        <f t="shared" ref="E19:R19" si="10">SUM(E20:E25)-E21</f>
        <v>0</v>
      </c>
      <c r="F19" s="364">
        <f t="shared" si="10"/>
        <v>0</v>
      </c>
      <c r="G19" s="364">
        <f t="shared" si="10"/>
        <v>48000000</v>
      </c>
      <c r="H19" s="364">
        <f t="shared" si="10"/>
        <v>0</v>
      </c>
      <c r="I19" s="364">
        <f t="shared" si="10"/>
        <v>0</v>
      </c>
      <c r="J19" s="364">
        <f t="shared" si="10"/>
        <v>0</v>
      </c>
      <c r="K19" s="364">
        <f t="shared" si="10"/>
        <v>102000000</v>
      </c>
      <c r="L19" s="364">
        <f t="shared" si="10"/>
        <v>0</v>
      </c>
      <c r="M19" s="364">
        <f t="shared" si="10"/>
        <v>50000000</v>
      </c>
      <c r="N19" s="364">
        <f t="shared" si="10"/>
        <v>0</v>
      </c>
      <c r="O19" s="364">
        <f t="shared" si="10"/>
        <v>0</v>
      </c>
      <c r="P19" s="364">
        <f t="shared" si="10"/>
        <v>0</v>
      </c>
      <c r="Q19" s="364">
        <f t="shared" si="10"/>
        <v>0</v>
      </c>
      <c r="R19" s="364">
        <f t="shared" si="10"/>
        <v>0</v>
      </c>
      <c r="S19" s="325">
        <f t="shared" si="2"/>
        <v>202938414</v>
      </c>
      <c r="T19" s="325">
        <f t="shared" si="1"/>
        <v>202938414</v>
      </c>
      <c r="U19" s="325">
        <f t="shared" si="3"/>
        <v>0</v>
      </c>
      <c r="V19" s="326"/>
      <c r="W19" s="327"/>
      <c r="X19" s="325"/>
      <c r="Y19" s="327"/>
      <c r="Z19" s="327"/>
      <c r="AA19" s="326"/>
      <c r="AB19" s="327"/>
      <c r="AC19" s="325"/>
      <c r="AD19" s="327"/>
      <c r="AE19" s="327"/>
    </row>
    <row r="20" spans="1:31" s="330" customFormat="1" ht="38.25" customHeight="1">
      <c r="A20" s="323" t="s">
        <v>194</v>
      </c>
      <c r="B20" s="324" t="s">
        <v>24</v>
      </c>
      <c r="C20" s="35">
        <v>0</v>
      </c>
      <c r="D20" s="35">
        <v>0</v>
      </c>
      <c r="E20" s="35">
        <v>0</v>
      </c>
      <c r="F20" s="35">
        <v>0</v>
      </c>
      <c r="G20" s="35">
        <v>48000000</v>
      </c>
      <c r="H20" s="35">
        <v>0</v>
      </c>
      <c r="I20" s="35">
        <v>0</v>
      </c>
      <c r="J20" s="35">
        <v>0</v>
      </c>
      <c r="K20" s="35">
        <v>102000000</v>
      </c>
      <c r="L20" s="35">
        <v>0</v>
      </c>
      <c r="M20" s="35">
        <v>50000000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25">
        <f>+C20+E20+G20+I20+K20+M20+O20+Q20</f>
        <v>200000000</v>
      </c>
      <c r="T20" s="325">
        <f t="shared" si="1"/>
        <v>200000000</v>
      </c>
      <c r="U20" s="325">
        <f t="shared" si="3"/>
        <v>0</v>
      </c>
      <c r="V20" s="326">
        <v>1</v>
      </c>
      <c r="W20" s="327">
        <f>+S20-S21</f>
        <v>200000000</v>
      </c>
      <c r="X20" s="328">
        <f t="shared" si="4"/>
        <v>200000000</v>
      </c>
      <c r="Y20" s="327">
        <f>+U20-U21</f>
        <v>0</v>
      </c>
      <c r="Z20" s="328">
        <f t="shared" si="8"/>
        <v>0</v>
      </c>
      <c r="AA20" s="326">
        <v>1</v>
      </c>
      <c r="AB20" s="327">
        <f>+S20-S21</f>
        <v>200000000</v>
      </c>
      <c r="AC20" s="328">
        <f t="shared" si="5"/>
        <v>200000000</v>
      </c>
      <c r="AD20" s="327">
        <f>+U20-U21</f>
        <v>0</v>
      </c>
      <c r="AE20" s="328">
        <f t="shared" si="9"/>
        <v>0</v>
      </c>
    </row>
    <row r="21" spans="1:31" s="559" customFormat="1" ht="48" customHeight="1">
      <c r="A21" s="323" t="s">
        <v>543</v>
      </c>
      <c r="B21" s="324" t="s">
        <v>551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25">
        <f>+C21+E21+G21+I21+K21+M21+O21+Q21</f>
        <v>0</v>
      </c>
      <c r="T21" s="325">
        <f>+S21-U21</f>
        <v>0</v>
      </c>
      <c r="U21" s="325">
        <f>+D21+F21+H21+J21+L21+N21+P21+R21</f>
        <v>0</v>
      </c>
      <c r="V21" s="326">
        <v>1</v>
      </c>
      <c r="W21" s="433">
        <f>+C21+E21+G21</f>
        <v>0</v>
      </c>
      <c r="X21" s="325">
        <f>+W21*V21</f>
        <v>0</v>
      </c>
      <c r="Y21" s="433">
        <f>+D21+F21+H21</f>
        <v>0</v>
      </c>
      <c r="Z21" s="325">
        <f>+Y21*V21</f>
        <v>0</v>
      </c>
      <c r="AA21" s="326">
        <v>1</v>
      </c>
      <c r="AB21" s="433">
        <f>+C21+E21+G21</f>
        <v>0</v>
      </c>
      <c r="AC21" s="325">
        <f>+AB21*AA21</f>
        <v>0</v>
      </c>
      <c r="AD21" s="433">
        <f>+D21+F21+H21</f>
        <v>0</v>
      </c>
      <c r="AE21" s="325">
        <f>+AD21*AA21</f>
        <v>0</v>
      </c>
    </row>
    <row r="22" spans="1:31" s="330" customFormat="1" ht="38.25" customHeight="1">
      <c r="A22" s="323" t="s">
        <v>30</v>
      </c>
      <c r="B22" s="324" t="s">
        <v>45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25">
        <f t="shared" si="2"/>
        <v>0</v>
      </c>
      <c r="T22" s="325">
        <f t="shared" si="1"/>
        <v>0</v>
      </c>
      <c r="U22" s="325">
        <f t="shared" si="3"/>
        <v>0</v>
      </c>
      <c r="V22" s="326">
        <v>1</v>
      </c>
      <c r="W22" s="327">
        <f t="shared" ref="W22:W24" si="11">+S22</f>
        <v>0</v>
      </c>
      <c r="X22" s="328">
        <f t="shared" si="4"/>
        <v>0</v>
      </c>
      <c r="Y22" s="327">
        <f t="shared" ref="Y22:Y24" si="12">+U22</f>
        <v>0</v>
      </c>
      <c r="Z22" s="328">
        <f t="shared" si="8"/>
        <v>0</v>
      </c>
      <c r="AA22" s="326">
        <v>1</v>
      </c>
      <c r="AB22" s="327">
        <f>+S22</f>
        <v>0</v>
      </c>
      <c r="AC22" s="328">
        <f t="shared" si="5"/>
        <v>0</v>
      </c>
      <c r="AD22" s="327">
        <f>+U22</f>
        <v>0</v>
      </c>
      <c r="AE22" s="328">
        <f t="shared" si="9"/>
        <v>0</v>
      </c>
    </row>
    <row r="23" spans="1:31" s="330" customFormat="1" ht="61.5" customHeight="1">
      <c r="A23" s="323" t="s">
        <v>31</v>
      </c>
      <c r="B23" s="324" t="s">
        <v>461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25">
        <f t="shared" ref="S23" si="13">+C23+E23+G23+I23+K23+M23+O23+Q23</f>
        <v>0</v>
      </c>
      <c r="T23" s="325">
        <f t="shared" ref="T23" si="14">+S23-U23</f>
        <v>0</v>
      </c>
      <c r="U23" s="325">
        <f t="shared" ref="U23" si="15">+D23+F23+H23+J23+L23+N23+P23+R23</f>
        <v>0</v>
      </c>
      <c r="V23" s="326">
        <v>1</v>
      </c>
      <c r="W23" s="327">
        <f t="shared" si="11"/>
        <v>0</v>
      </c>
      <c r="X23" s="328">
        <f t="shared" si="4"/>
        <v>0</v>
      </c>
      <c r="Y23" s="327">
        <f t="shared" si="12"/>
        <v>0</v>
      </c>
      <c r="Z23" s="328">
        <f t="shared" si="8"/>
        <v>0</v>
      </c>
      <c r="AA23" s="326">
        <v>1</v>
      </c>
      <c r="AB23" s="327">
        <f>+S23</f>
        <v>0</v>
      </c>
      <c r="AC23" s="328">
        <f t="shared" si="5"/>
        <v>0</v>
      </c>
      <c r="AD23" s="327">
        <f>+U23</f>
        <v>0</v>
      </c>
      <c r="AE23" s="328">
        <f t="shared" si="9"/>
        <v>0</v>
      </c>
    </row>
    <row r="24" spans="1:31" s="330" customFormat="1" ht="45" customHeight="1">
      <c r="A24" s="323" t="s">
        <v>43</v>
      </c>
      <c r="B24" s="324" t="s">
        <v>535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25">
        <f t="shared" si="2"/>
        <v>0</v>
      </c>
      <c r="T24" s="325">
        <f t="shared" si="1"/>
        <v>0</v>
      </c>
      <c r="U24" s="325">
        <f t="shared" si="3"/>
        <v>0</v>
      </c>
      <c r="V24" s="326">
        <v>1</v>
      </c>
      <c r="W24" s="327">
        <f t="shared" si="11"/>
        <v>0</v>
      </c>
      <c r="X24" s="328">
        <f t="shared" si="4"/>
        <v>0</v>
      </c>
      <c r="Y24" s="327">
        <f t="shared" si="12"/>
        <v>0</v>
      </c>
      <c r="Z24" s="328">
        <f t="shared" si="8"/>
        <v>0</v>
      </c>
      <c r="AA24" s="326">
        <v>1</v>
      </c>
      <c r="AB24" s="327">
        <f>+S24</f>
        <v>0</v>
      </c>
      <c r="AC24" s="328">
        <f t="shared" si="5"/>
        <v>0</v>
      </c>
      <c r="AD24" s="327">
        <f>+U24</f>
        <v>0</v>
      </c>
      <c r="AE24" s="328">
        <f t="shared" si="9"/>
        <v>0</v>
      </c>
    </row>
    <row r="25" spans="1:31" s="330" customFormat="1" ht="38.25" customHeight="1">
      <c r="A25" s="323" t="s">
        <v>471</v>
      </c>
      <c r="B25" s="324" t="s">
        <v>21</v>
      </c>
      <c r="C25" s="35">
        <v>2938414</v>
      </c>
      <c r="D25" s="35">
        <v>0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25">
        <f t="shared" si="2"/>
        <v>2938414</v>
      </c>
      <c r="T25" s="325">
        <f t="shared" si="1"/>
        <v>2938414</v>
      </c>
      <c r="U25" s="325">
        <f t="shared" si="3"/>
        <v>0</v>
      </c>
      <c r="V25" s="326">
        <v>0</v>
      </c>
      <c r="W25" s="433"/>
      <c r="X25" s="325"/>
      <c r="Y25" s="433"/>
      <c r="Z25" s="325"/>
      <c r="AA25" s="326">
        <v>0</v>
      </c>
      <c r="AB25" s="327"/>
      <c r="AC25" s="325"/>
      <c r="AD25" s="327"/>
      <c r="AE25" s="325"/>
    </row>
    <row r="26" spans="1:31" s="330" customFormat="1" ht="38.25" customHeight="1">
      <c r="A26" s="323" t="s">
        <v>135</v>
      </c>
      <c r="B26" s="324" t="s">
        <v>136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25">
        <f t="shared" si="2"/>
        <v>0</v>
      </c>
      <c r="T26" s="325">
        <f t="shared" si="1"/>
        <v>0</v>
      </c>
      <c r="U26" s="325">
        <f t="shared" si="3"/>
        <v>0</v>
      </c>
      <c r="V26" s="326">
        <v>0.3</v>
      </c>
      <c r="W26" s="327">
        <f t="shared" ref="W26:W29" si="16">+C26+E26+G26</f>
        <v>0</v>
      </c>
      <c r="X26" s="325">
        <f t="shared" si="4"/>
        <v>0</v>
      </c>
      <c r="Y26" s="327">
        <f t="shared" ref="Y26:Y29" si="17">+D26+F26+H26</f>
        <v>0</v>
      </c>
      <c r="Z26" s="327">
        <f t="shared" si="8"/>
        <v>0</v>
      </c>
      <c r="AA26" s="326">
        <v>0.3</v>
      </c>
      <c r="AB26" s="327">
        <f>+E26+G26</f>
        <v>0</v>
      </c>
      <c r="AC26" s="325">
        <f t="shared" si="5"/>
        <v>0</v>
      </c>
      <c r="AD26" s="327">
        <f>+F26+H26</f>
        <v>0</v>
      </c>
      <c r="AE26" s="327">
        <f t="shared" si="9"/>
        <v>0</v>
      </c>
    </row>
    <row r="27" spans="1:31" s="330" customFormat="1" ht="45" customHeight="1">
      <c r="A27" s="323" t="s">
        <v>137</v>
      </c>
      <c r="B27" s="324" t="s">
        <v>138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25">
        <f t="shared" si="2"/>
        <v>0</v>
      </c>
      <c r="T27" s="325">
        <f t="shared" si="1"/>
        <v>0</v>
      </c>
      <c r="U27" s="325">
        <f t="shared" si="3"/>
        <v>0</v>
      </c>
      <c r="V27" s="326">
        <v>0.3</v>
      </c>
      <c r="W27" s="327">
        <f t="shared" si="16"/>
        <v>0</v>
      </c>
      <c r="X27" s="325">
        <f t="shared" si="4"/>
        <v>0</v>
      </c>
      <c r="Y27" s="327">
        <f t="shared" si="17"/>
        <v>0</v>
      </c>
      <c r="Z27" s="327">
        <f t="shared" si="8"/>
        <v>0</v>
      </c>
      <c r="AA27" s="326">
        <v>0.5</v>
      </c>
      <c r="AB27" s="327">
        <f>+E27+G27</f>
        <v>0</v>
      </c>
      <c r="AC27" s="325">
        <f t="shared" si="5"/>
        <v>0</v>
      </c>
      <c r="AD27" s="327">
        <f>+F27+H27</f>
        <v>0</v>
      </c>
      <c r="AE27" s="327">
        <f t="shared" si="9"/>
        <v>0</v>
      </c>
    </row>
    <row r="28" spans="1:31" s="330" customFormat="1" ht="38.25" customHeight="1">
      <c r="A28" s="323" t="s">
        <v>139</v>
      </c>
      <c r="B28" s="324" t="s">
        <v>140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25">
        <f t="shared" si="2"/>
        <v>0</v>
      </c>
      <c r="T28" s="325">
        <f t="shared" si="1"/>
        <v>0</v>
      </c>
      <c r="U28" s="325">
        <f t="shared" si="3"/>
        <v>0</v>
      </c>
      <c r="V28" s="326">
        <v>0.3</v>
      </c>
      <c r="W28" s="327">
        <f t="shared" si="16"/>
        <v>0</v>
      </c>
      <c r="X28" s="325">
        <f t="shared" si="4"/>
        <v>0</v>
      </c>
      <c r="Y28" s="327">
        <f t="shared" si="17"/>
        <v>0</v>
      </c>
      <c r="Z28" s="327">
        <f t="shared" si="8"/>
        <v>0</v>
      </c>
      <c r="AA28" s="326">
        <v>0.3</v>
      </c>
      <c r="AB28" s="327">
        <f>+E28+G28</f>
        <v>0</v>
      </c>
      <c r="AC28" s="325">
        <f t="shared" si="5"/>
        <v>0</v>
      </c>
      <c r="AD28" s="327">
        <f>+F28+H28</f>
        <v>0</v>
      </c>
      <c r="AE28" s="327">
        <f t="shared" si="9"/>
        <v>0</v>
      </c>
    </row>
    <row r="29" spans="1:31" s="330" customFormat="1" ht="38.25" customHeight="1">
      <c r="A29" s="323" t="s">
        <v>141</v>
      </c>
      <c r="B29" s="324" t="s">
        <v>142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25">
        <f t="shared" si="2"/>
        <v>0</v>
      </c>
      <c r="T29" s="325">
        <f t="shared" si="1"/>
        <v>0</v>
      </c>
      <c r="U29" s="325">
        <f t="shared" si="3"/>
        <v>0</v>
      </c>
      <c r="V29" s="326">
        <v>1</v>
      </c>
      <c r="W29" s="327">
        <f t="shared" si="16"/>
        <v>0</v>
      </c>
      <c r="X29" s="325">
        <f t="shared" si="4"/>
        <v>0</v>
      </c>
      <c r="Y29" s="327">
        <f t="shared" si="17"/>
        <v>0</v>
      </c>
      <c r="Z29" s="327">
        <f t="shared" si="8"/>
        <v>0</v>
      </c>
      <c r="AA29" s="326">
        <v>1</v>
      </c>
      <c r="AB29" s="327">
        <f>+C29+E29+G29</f>
        <v>0</v>
      </c>
      <c r="AC29" s="325">
        <f t="shared" si="5"/>
        <v>0</v>
      </c>
      <c r="AD29" s="327">
        <f>+D29+F29+H29</f>
        <v>0</v>
      </c>
      <c r="AE29" s="327">
        <f t="shared" si="9"/>
        <v>0</v>
      </c>
    </row>
    <row r="30" spans="1:31" s="330" customFormat="1" ht="38.25" customHeight="1">
      <c r="A30" s="323" t="s">
        <v>143</v>
      </c>
      <c r="B30" s="324" t="s">
        <v>144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25">
        <f t="shared" si="2"/>
        <v>0</v>
      </c>
      <c r="T30" s="325">
        <f t="shared" si="1"/>
        <v>0</v>
      </c>
      <c r="U30" s="325">
        <f t="shared" si="3"/>
        <v>0</v>
      </c>
      <c r="V30" s="326">
        <v>0.5</v>
      </c>
      <c r="W30" s="327">
        <f>+E30+G30</f>
        <v>0</v>
      </c>
      <c r="X30" s="325">
        <f t="shared" si="4"/>
        <v>0</v>
      </c>
      <c r="Y30" s="327">
        <f>F30+H30</f>
        <v>0</v>
      </c>
      <c r="Z30" s="327">
        <f t="shared" si="8"/>
        <v>0</v>
      </c>
      <c r="AA30" s="326">
        <v>0.5</v>
      </c>
      <c r="AB30" s="327">
        <f>+E30+G30</f>
        <v>0</v>
      </c>
      <c r="AC30" s="325">
        <f t="shared" si="5"/>
        <v>0</v>
      </c>
      <c r="AD30" s="327">
        <f>+F30+H30</f>
        <v>0</v>
      </c>
      <c r="AE30" s="327">
        <f t="shared" si="9"/>
        <v>0</v>
      </c>
    </row>
    <row r="31" spans="1:31" s="330" customFormat="1" ht="39" customHeight="1">
      <c r="A31" s="323">
        <v>10</v>
      </c>
      <c r="B31" s="324" t="s">
        <v>145</v>
      </c>
      <c r="C31" s="35">
        <v>91834482</v>
      </c>
      <c r="D31" s="35">
        <v>6369419</v>
      </c>
      <c r="E31" s="35">
        <v>157359937</v>
      </c>
      <c r="F31" s="35">
        <v>26913310</v>
      </c>
      <c r="G31" s="35">
        <v>53906229</v>
      </c>
      <c r="H31" s="35">
        <v>26913310</v>
      </c>
      <c r="I31" s="35">
        <v>640161029</v>
      </c>
      <c r="J31" s="35">
        <v>188388519</v>
      </c>
      <c r="K31" s="35">
        <v>1098984494</v>
      </c>
      <c r="L31" s="35">
        <v>397510618</v>
      </c>
      <c r="M31" s="35">
        <v>1603410225</v>
      </c>
      <c r="N31" s="35">
        <v>476527157</v>
      </c>
      <c r="O31" s="35">
        <v>2239130671</v>
      </c>
      <c r="P31" s="35">
        <v>772987367</v>
      </c>
      <c r="Q31" s="35">
        <v>2457642391</v>
      </c>
      <c r="R31" s="35">
        <v>974633680</v>
      </c>
      <c r="S31" s="325">
        <f t="shared" si="2"/>
        <v>8342429458</v>
      </c>
      <c r="T31" s="325">
        <f t="shared" si="1"/>
        <v>5472186078</v>
      </c>
      <c r="U31" s="325">
        <f t="shared" si="3"/>
        <v>2870243380</v>
      </c>
      <c r="V31" s="326">
        <v>0.3</v>
      </c>
      <c r="W31" s="327">
        <f>+E31+G31</f>
        <v>211266166</v>
      </c>
      <c r="X31" s="325">
        <f t="shared" si="4"/>
        <v>63379849.799999997</v>
      </c>
      <c r="Y31" s="327">
        <f>F31+H31</f>
        <v>53826620</v>
      </c>
      <c r="Z31" s="327">
        <f t="shared" si="8"/>
        <v>16147986</v>
      </c>
      <c r="AA31" s="326">
        <v>0.5</v>
      </c>
      <c r="AB31" s="327">
        <f>+E31+G31</f>
        <v>211266166</v>
      </c>
      <c r="AC31" s="325">
        <f t="shared" si="5"/>
        <v>105633083</v>
      </c>
      <c r="AD31" s="327">
        <f>+F31+H31</f>
        <v>53826620</v>
      </c>
      <c r="AE31" s="327">
        <f t="shared" si="9"/>
        <v>26913310</v>
      </c>
    </row>
    <row r="32" spans="1:31" s="330" customFormat="1" ht="39" customHeight="1">
      <c r="A32" s="323" t="s">
        <v>544</v>
      </c>
      <c r="B32" s="324" t="s">
        <v>550</v>
      </c>
      <c r="C32" s="35">
        <v>0</v>
      </c>
      <c r="D32" s="35">
        <v>0</v>
      </c>
      <c r="E32" s="35">
        <v>56372153</v>
      </c>
      <c r="F32" s="35">
        <v>0</v>
      </c>
      <c r="G32" s="35">
        <v>16870841</v>
      </c>
      <c r="H32" s="35">
        <v>0</v>
      </c>
      <c r="I32" s="35">
        <v>184961398</v>
      </c>
      <c r="J32" s="35">
        <v>0</v>
      </c>
      <c r="K32" s="35">
        <v>313432680</v>
      </c>
      <c r="L32" s="35">
        <v>0</v>
      </c>
      <c r="M32" s="35">
        <v>533129992</v>
      </c>
      <c r="N32" s="35">
        <v>0</v>
      </c>
      <c r="O32" s="35">
        <v>682443985</v>
      </c>
      <c r="P32" s="35">
        <v>0</v>
      </c>
      <c r="Q32" s="35">
        <v>565889805</v>
      </c>
      <c r="R32" s="35">
        <v>0</v>
      </c>
      <c r="S32" s="325">
        <f t="shared" si="2"/>
        <v>2353100854</v>
      </c>
      <c r="T32" s="325">
        <f t="shared" si="1"/>
        <v>2353100854</v>
      </c>
      <c r="U32" s="325">
        <f t="shared" si="3"/>
        <v>0</v>
      </c>
      <c r="V32" s="326">
        <v>0</v>
      </c>
      <c r="W32" s="327">
        <f>+E32+G32</f>
        <v>73242994</v>
      </c>
      <c r="X32" s="325">
        <f t="shared" si="4"/>
        <v>0</v>
      </c>
      <c r="Y32" s="327">
        <f>F32+H32</f>
        <v>0</v>
      </c>
      <c r="Z32" s="327">
        <f t="shared" si="8"/>
        <v>0</v>
      </c>
      <c r="AA32" s="326">
        <v>0</v>
      </c>
      <c r="AB32" s="327">
        <f>+E32+G32</f>
        <v>73242994</v>
      </c>
      <c r="AC32" s="325">
        <f t="shared" si="5"/>
        <v>0</v>
      </c>
      <c r="AD32" s="327">
        <f>+F32+H32</f>
        <v>0</v>
      </c>
      <c r="AE32" s="327">
        <f t="shared" si="9"/>
        <v>0</v>
      </c>
    </row>
    <row r="33" spans="1:32" s="330" customFormat="1" ht="38.25" customHeight="1">
      <c r="A33" s="323">
        <v>11</v>
      </c>
      <c r="B33" s="324" t="s">
        <v>146</v>
      </c>
      <c r="C33" s="35">
        <v>-25054</v>
      </c>
      <c r="D33" s="35">
        <v>0</v>
      </c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25">
        <f t="shared" si="2"/>
        <v>-25054</v>
      </c>
      <c r="T33" s="325">
        <f t="shared" si="1"/>
        <v>-25054</v>
      </c>
      <c r="U33" s="325">
        <f t="shared" si="3"/>
        <v>0</v>
      </c>
      <c r="V33" s="326">
        <v>0</v>
      </c>
      <c r="W33" s="327"/>
      <c r="X33" s="325"/>
      <c r="Y33" s="327"/>
      <c r="Z33" s="327"/>
      <c r="AA33" s="326">
        <v>0</v>
      </c>
      <c r="AB33" s="327"/>
      <c r="AC33" s="325"/>
      <c r="AD33" s="327"/>
      <c r="AE33" s="327"/>
    </row>
    <row r="34" spans="1:32" s="330" customFormat="1" ht="38.25" customHeight="1">
      <c r="A34" s="323" t="s">
        <v>147</v>
      </c>
      <c r="B34" s="324" t="s">
        <v>148</v>
      </c>
      <c r="C34" s="35">
        <v>107220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>
        <v>0</v>
      </c>
      <c r="S34" s="325">
        <f t="shared" si="2"/>
        <v>107220</v>
      </c>
      <c r="T34" s="325">
        <f t="shared" si="1"/>
        <v>107220</v>
      </c>
      <c r="U34" s="325">
        <f t="shared" si="3"/>
        <v>0</v>
      </c>
      <c r="V34" s="326">
        <v>0</v>
      </c>
      <c r="W34" s="327"/>
      <c r="X34" s="325"/>
      <c r="Y34" s="327"/>
      <c r="Z34" s="327"/>
      <c r="AA34" s="326">
        <v>0</v>
      </c>
      <c r="AB34" s="327"/>
      <c r="AC34" s="325"/>
      <c r="AD34" s="327"/>
      <c r="AE34" s="327"/>
    </row>
    <row r="35" spans="1:32" s="330" customFormat="1" ht="38.25" customHeight="1">
      <c r="A35" s="323" t="s">
        <v>149</v>
      </c>
      <c r="B35" s="324" t="s">
        <v>150</v>
      </c>
      <c r="C35" s="35">
        <f t="shared" ref="C35:R35" si="18">+C36+C37</f>
        <v>0</v>
      </c>
      <c r="D35" s="35">
        <f t="shared" si="18"/>
        <v>0</v>
      </c>
      <c r="E35" s="35">
        <f t="shared" ref="E35:F35" si="19">+E36+E37</f>
        <v>0</v>
      </c>
      <c r="F35" s="35">
        <f t="shared" si="19"/>
        <v>0</v>
      </c>
      <c r="G35" s="35">
        <f t="shared" si="18"/>
        <v>0</v>
      </c>
      <c r="H35" s="35">
        <f t="shared" si="18"/>
        <v>0</v>
      </c>
      <c r="I35" s="35">
        <f t="shared" si="18"/>
        <v>0</v>
      </c>
      <c r="J35" s="35">
        <f t="shared" si="18"/>
        <v>0</v>
      </c>
      <c r="K35" s="35">
        <f t="shared" si="18"/>
        <v>0</v>
      </c>
      <c r="L35" s="35">
        <f t="shared" si="18"/>
        <v>0</v>
      </c>
      <c r="M35" s="35">
        <f t="shared" si="18"/>
        <v>0</v>
      </c>
      <c r="N35" s="35">
        <f t="shared" si="18"/>
        <v>0</v>
      </c>
      <c r="O35" s="35">
        <f t="shared" si="18"/>
        <v>0</v>
      </c>
      <c r="P35" s="35">
        <f t="shared" si="18"/>
        <v>0</v>
      </c>
      <c r="Q35" s="35">
        <f t="shared" si="18"/>
        <v>0</v>
      </c>
      <c r="R35" s="35">
        <f t="shared" si="18"/>
        <v>0</v>
      </c>
      <c r="S35" s="325">
        <f t="shared" si="2"/>
        <v>0</v>
      </c>
      <c r="T35" s="325">
        <f t="shared" si="1"/>
        <v>0</v>
      </c>
      <c r="U35" s="325">
        <f t="shared" si="3"/>
        <v>0</v>
      </c>
      <c r="V35" s="326"/>
      <c r="W35" s="327"/>
      <c r="X35" s="325"/>
      <c r="Y35" s="327"/>
      <c r="Z35" s="327"/>
      <c r="AA35" s="326"/>
      <c r="AB35" s="327"/>
      <c r="AC35" s="325"/>
      <c r="AD35" s="327"/>
      <c r="AE35" s="327"/>
    </row>
    <row r="36" spans="1:32" s="330" customFormat="1" ht="45" customHeight="1">
      <c r="A36" s="323" t="s">
        <v>25</v>
      </c>
      <c r="B36" s="324" t="s">
        <v>514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25">
        <f t="shared" si="2"/>
        <v>0</v>
      </c>
      <c r="T36" s="325">
        <f t="shared" si="1"/>
        <v>0</v>
      </c>
      <c r="U36" s="325">
        <f t="shared" si="3"/>
        <v>0</v>
      </c>
      <c r="V36" s="326">
        <v>1</v>
      </c>
      <c r="W36" s="327">
        <f>+S36</f>
        <v>0</v>
      </c>
      <c r="X36" s="328">
        <f t="shared" si="4"/>
        <v>0</v>
      </c>
      <c r="Y36" s="327">
        <f>+U36</f>
        <v>0</v>
      </c>
      <c r="Z36" s="328">
        <f t="shared" si="8"/>
        <v>0</v>
      </c>
      <c r="AA36" s="326">
        <v>1</v>
      </c>
      <c r="AB36" s="327">
        <f>+S36</f>
        <v>0</v>
      </c>
      <c r="AC36" s="328">
        <f t="shared" si="5"/>
        <v>0</v>
      </c>
      <c r="AD36" s="327">
        <f>+U36</f>
        <v>0</v>
      </c>
      <c r="AE36" s="328">
        <f t="shared" si="9"/>
        <v>0</v>
      </c>
    </row>
    <row r="37" spans="1:32" s="330" customFormat="1" ht="38.25" customHeight="1">
      <c r="A37" s="323" t="s">
        <v>528</v>
      </c>
      <c r="B37" s="324" t="s">
        <v>26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25">
        <f t="shared" si="2"/>
        <v>0</v>
      </c>
      <c r="T37" s="325">
        <f t="shared" si="1"/>
        <v>0</v>
      </c>
      <c r="U37" s="325">
        <f t="shared" si="3"/>
        <v>0</v>
      </c>
      <c r="V37" s="326">
        <v>0</v>
      </c>
      <c r="W37" s="327"/>
      <c r="X37" s="325"/>
      <c r="Y37" s="327"/>
      <c r="Z37" s="327"/>
      <c r="AA37" s="326">
        <v>0</v>
      </c>
      <c r="AB37" s="327"/>
      <c r="AC37" s="325"/>
      <c r="AD37" s="327"/>
      <c r="AE37" s="327"/>
    </row>
    <row r="38" spans="1:32" s="330" customFormat="1" ht="38.25" customHeight="1">
      <c r="A38" s="323" t="s">
        <v>151</v>
      </c>
      <c r="B38" s="324" t="s">
        <v>372</v>
      </c>
      <c r="C38" s="35">
        <v>201801025</v>
      </c>
      <c r="D38" s="35">
        <v>0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25">
        <f t="shared" si="2"/>
        <v>201801025</v>
      </c>
      <c r="T38" s="325">
        <f t="shared" si="1"/>
        <v>201801025</v>
      </c>
      <c r="U38" s="325">
        <f t="shared" si="3"/>
        <v>0</v>
      </c>
      <c r="V38" s="326">
        <v>0</v>
      </c>
      <c r="W38" s="327"/>
      <c r="X38" s="325"/>
      <c r="Y38" s="327"/>
      <c r="Z38" s="327"/>
      <c r="AA38" s="326">
        <v>0</v>
      </c>
      <c r="AB38" s="327"/>
      <c r="AC38" s="325"/>
      <c r="AD38" s="327"/>
      <c r="AE38" s="327"/>
    </row>
    <row r="39" spans="1:32" s="330" customFormat="1" ht="38.25" customHeight="1">
      <c r="A39" s="323" t="s">
        <v>153</v>
      </c>
      <c r="B39" s="324" t="s">
        <v>373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25">
        <f t="shared" si="2"/>
        <v>0</v>
      </c>
      <c r="T39" s="325">
        <f t="shared" si="1"/>
        <v>0</v>
      </c>
      <c r="U39" s="325">
        <f t="shared" si="3"/>
        <v>0</v>
      </c>
      <c r="V39" s="326">
        <v>0</v>
      </c>
      <c r="W39" s="327"/>
      <c r="X39" s="325"/>
      <c r="Y39" s="327"/>
      <c r="Z39" s="327"/>
      <c r="AA39" s="326">
        <v>0</v>
      </c>
      <c r="AB39" s="327"/>
      <c r="AC39" s="325"/>
      <c r="AD39" s="327"/>
      <c r="AE39" s="327"/>
    </row>
    <row r="40" spans="1:32" s="330" customFormat="1" ht="38.25" customHeight="1">
      <c r="A40" s="323" t="s">
        <v>154</v>
      </c>
      <c r="B40" s="324" t="s">
        <v>155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25">
        <f t="shared" si="2"/>
        <v>0</v>
      </c>
      <c r="T40" s="325">
        <f t="shared" si="1"/>
        <v>0</v>
      </c>
      <c r="U40" s="325">
        <f t="shared" si="3"/>
        <v>0</v>
      </c>
      <c r="V40" s="326">
        <v>0</v>
      </c>
      <c r="W40" s="327"/>
      <c r="X40" s="325"/>
      <c r="Y40" s="327"/>
      <c r="Z40" s="327"/>
      <c r="AA40" s="326">
        <v>0</v>
      </c>
      <c r="AB40" s="327"/>
      <c r="AC40" s="325"/>
      <c r="AD40" s="327"/>
      <c r="AE40" s="327"/>
    </row>
    <row r="41" spans="1:32" s="330" customFormat="1" ht="38.25" customHeight="1">
      <c r="A41" s="323" t="s">
        <v>156</v>
      </c>
      <c r="B41" s="324" t="s">
        <v>157</v>
      </c>
      <c r="C41" s="35">
        <v>-2562616</v>
      </c>
      <c r="D41" s="364"/>
      <c r="E41" s="35"/>
      <c r="F41" s="364"/>
      <c r="G41" s="35"/>
      <c r="H41" s="364"/>
      <c r="I41" s="35"/>
      <c r="J41" s="364"/>
      <c r="K41" s="35"/>
      <c r="L41" s="364"/>
      <c r="M41" s="35"/>
      <c r="N41" s="364"/>
      <c r="O41" s="35"/>
      <c r="P41" s="364"/>
      <c r="Q41" s="35"/>
      <c r="R41" s="364"/>
      <c r="S41" s="325">
        <f t="shared" si="2"/>
        <v>-2562616</v>
      </c>
      <c r="T41" s="325">
        <f t="shared" si="1"/>
        <v>-2562616</v>
      </c>
      <c r="U41" s="325">
        <f t="shared" si="3"/>
        <v>0</v>
      </c>
      <c r="V41" s="326">
        <v>0</v>
      </c>
      <c r="W41" s="327"/>
      <c r="X41" s="325"/>
      <c r="Y41" s="327"/>
      <c r="Z41" s="327"/>
      <c r="AA41" s="326">
        <v>0</v>
      </c>
      <c r="AB41" s="327"/>
      <c r="AC41" s="325"/>
      <c r="AD41" s="327"/>
      <c r="AE41" s="327"/>
    </row>
    <row r="42" spans="1:32" s="330" customFormat="1" ht="38.25" customHeight="1">
      <c r="A42" s="323" t="s">
        <v>158</v>
      </c>
      <c r="B42" s="324" t="s">
        <v>159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25">
        <f t="shared" si="2"/>
        <v>0</v>
      </c>
      <c r="T42" s="325">
        <f t="shared" si="1"/>
        <v>0</v>
      </c>
      <c r="U42" s="325">
        <f t="shared" si="3"/>
        <v>0</v>
      </c>
      <c r="V42" s="326">
        <v>0</v>
      </c>
      <c r="W42" s="327"/>
      <c r="X42" s="325"/>
      <c r="Y42" s="327"/>
      <c r="Z42" s="327"/>
      <c r="AA42" s="326">
        <v>0</v>
      </c>
      <c r="AB42" s="327"/>
      <c r="AC42" s="325"/>
      <c r="AD42" s="327"/>
      <c r="AE42" s="327"/>
    </row>
    <row r="43" spans="1:32" s="330" customFormat="1" ht="38.25" customHeight="1">
      <c r="A43" s="323" t="s">
        <v>160</v>
      </c>
      <c r="B43" s="324" t="s">
        <v>161</v>
      </c>
      <c r="C43" s="35">
        <v>141482748</v>
      </c>
      <c r="D43" s="35">
        <v>36061821</v>
      </c>
      <c r="E43" s="35"/>
      <c r="F43" s="35"/>
      <c r="G43" s="35">
        <v>41251805</v>
      </c>
      <c r="H43" s="35">
        <v>15827296</v>
      </c>
      <c r="I43" s="35">
        <v>3958301</v>
      </c>
      <c r="J43" s="35">
        <v>0</v>
      </c>
      <c r="K43" s="35"/>
      <c r="L43" s="35"/>
      <c r="M43" s="35"/>
      <c r="N43" s="35"/>
      <c r="O43" s="35"/>
      <c r="P43" s="35"/>
      <c r="Q43" s="35"/>
      <c r="R43" s="35"/>
      <c r="S43" s="325">
        <f t="shared" si="2"/>
        <v>186692854</v>
      </c>
      <c r="T43" s="325">
        <f t="shared" si="1"/>
        <v>134803737</v>
      </c>
      <c r="U43" s="325">
        <f t="shared" si="3"/>
        <v>51889117</v>
      </c>
      <c r="V43" s="326">
        <v>0.3</v>
      </c>
      <c r="W43" s="327">
        <f>+C43+E43+G43</f>
        <v>182734553</v>
      </c>
      <c r="X43" s="325">
        <f t="shared" si="4"/>
        <v>54820365.899999999</v>
      </c>
      <c r="Y43" s="327">
        <f>+D43+F43+H43</f>
        <v>51889117</v>
      </c>
      <c r="Z43" s="327">
        <f t="shared" si="8"/>
        <v>15566735.1</v>
      </c>
      <c r="AA43" s="326">
        <v>0.5</v>
      </c>
      <c r="AB43" s="327">
        <f>+E43+G43</f>
        <v>41251805</v>
      </c>
      <c r="AC43" s="325">
        <f>+AB43*AA43</f>
        <v>20625902.5</v>
      </c>
      <c r="AD43" s="327">
        <f>+F43+H43</f>
        <v>15827296</v>
      </c>
      <c r="AE43" s="327">
        <f>+AD43*AA43</f>
        <v>7913648</v>
      </c>
    </row>
    <row r="44" spans="1:32" s="330" customFormat="1" ht="38.25" customHeight="1">
      <c r="A44" s="323" t="s">
        <v>162</v>
      </c>
      <c r="B44" s="324" t="s">
        <v>163</v>
      </c>
      <c r="C44" s="35">
        <f>82382802+1624624</f>
        <v>84007426</v>
      </c>
      <c r="D44" s="35">
        <v>41170053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25">
        <f t="shared" si="2"/>
        <v>84007426</v>
      </c>
      <c r="T44" s="325">
        <f t="shared" si="1"/>
        <v>42837373</v>
      </c>
      <c r="U44" s="325">
        <f t="shared" si="3"/>
        <v>41170053</v>
      </c>
      <c r="V44" s="326">
        <v>0</v>
      </c>
      <c r="W44" s="327"/>
      <c r="X44" s="325"/>
      <c r="Y44" s="327"/>
      <c r="Z44" s="327"/>
      <c r="AA44" s="326">
        <v>0</v>
      </c>
      <c r="AB44" s="327"/>
      <c r="AC44" s="325"/>
      <c r="AD44" s="327"/>
      <c r="AE44" s="327"/>
    </row>
    <row r="45" spans="1:32" s="329" customFormat="1" ht="45" customHeight="1">
      <c r="A45" s="483" t="s">
        <v>164</v>
      </c>
      <c r="B45" s="484" t="s">
        <v>165</v>
      </c>
      <c r="C45" s="339">
        <f>SUM(C7:C44)-C8-C11-C15-C19-C21-C32-C35</f>
        <v>1539812747</v>
      </c>
      <c r="D45" s="339">
        <f t="shared" ref="D45:R45" si="20">SUM(D7:D44)-D8-D11-D15-D19-D21-D32-D35</f>
        <v>692080988</v>
      </c>
      <c r="E45" s="339">
        <f t="shared" si="20"/>
        <v>157359937</v>
      </c>
      <c r="F45" s="339">
        <f t="shared" si="20"/>
        <v>26913310</v>
      </c>
      <c r="G45" s="339">
        <f t="shared" si="20"/>
        <v>164556120</v>
      </c>
      <c r="H45" s="339">
        <f t="shared" si="20"/>
        <v>42740606</v>
      </c>
      <c r="I45" s="339">
        <f t="shared" si="20"/>
        <v>684119330</v>
      </c>
      <c r="J45" s="339">
        <f t="shared" si="20"/>
        <v>188388519</v>
      </c>
      <c r="K45" s="339">
        <f t="shared" si="20"/>
        <v>1248553694</v>
      </c>
      <c r="L45" s="339">
        <f t="shared" si="20"/>
        <v>397510618</v>
      </c>
      <c r="M45" s="339">
        <f t="shared" si="20"/>
        <v>1754410225</v>
      </c>
      <c r="N45" s="339">
        <f t="shared" si="20"/>
        <v>476527157</v>
      </c>
      <c r="O45" s="339">
        <f t="shared" si="20"/>
        <v>2242130671</v>
      </c>
      <c r="P45" s="339">
        <f t="shared" si="20"/>
        <v>772987367</v>
      </c>
      <c r="Q45" s="339">
        <f t="shared" si="20"/>
        <v>2491972941</v>
      </c>
      <c r="R45" s="339">
        <f t="shared" si="20"/>
        <v>974633680</v>
      </c>
      <c r="S45" s="339">
        <f t="shared" si="2"/>
        <v>10282915665</v>
      </c>
      <c r="T45" s="339">
        <f t="shared" si="1"/>
        <v>6711133420</v>
      </c>
      <c r="U45" s="339">
        <f t="shared" si="3"/>
        <v>3571782245</v>
      </c>
      <c r="V45" s="339"/>
      <c r="W45" s="339"/>
      <c r="X45" s="339">
        <f>SUM(X7:X44)-X11-X35</f>
        <v>1335715797.3</v>
      </c>
      <c r="Y45" s="339"/>
      <c r="Z45" s="339">
        <f>SUM(Z7:Z44)-Z11-Z35</f>
        <v>640194416.10000002</v>
      </c>
      <c r="AA45" s="339"/>
      <c r="AB45" s="339"/>
      <c r="AC45" s="339">
        <f>SUM(AC7:AC44)-AC11-AC35</f>
        <v>1346488087.5</v>
      </c>
      <c r="AD45" s="339"/>
      <c r="AE45" s="339">
        <f>SUM(AE7:AE44)-AE11-AE35</f>
        <v>643306653</v>
      </c>
    </row>
    <row r="46" spans="1:32" s="554" customFormat="1" ht="14.25">
      <c r="A46" s="447"/>
      <c r="B46" s="558" t="s">
        <v>545</v>
      </c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  <c r="S46" s="364"/>
      <c r="T46" s="364"/>
      <c r="U46" s="364"/>
      <c r="V46" s="492"/>
      <c r="W46" s="373"/>
      <c r="X46" s="364"/>
      <c r="Y46" s="373"/>
      <c r="Z46" s="364"/>
      <c r="AA46" s="492"/>
      <c r="AB46" s="373"/>
      <c r="AC46" s="373"/>
      <c r="AD46" s="373"/>
      <c r="AE46" s="373"/>
      <c r="AF46" s="557"/>
    </row>
    <row r="47" spans="1:32" s="377" customFormat="1" ht="25.5" customHeight="1">
      <c r="A47" s="551"/>
      <c r="B47" s="324" t="s">
        <v>546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25">
        <f t="shared" ref="S47:S50" si="21">+C47+E47+G47+I47+K47+M47+O47+Q47</f>
        <v>0</v>
      </c>
      <c r="T47" s="325">
        <f t="shared" ref="T47:T50" si="22">+S47-U47</f>
        <v>0</v>
      </c>
      <c r="U47" s="325">
        <f t="shared" ref="U47:U50" si="23">+D47+F47+H47+J47+L47+N47+P47+R47</f>
        <v>0</v>
      </c>
      <c r="V47" s="492"/>
      <c r="W47" s="373"/>
      <c r="X47" s="364"/>
      <c r="Y47" s="373"/>
      <c r="Z47" s="364"/>
      <c r="AA47" s="492"/>
      <c r="AB47" s="373"/>
      <c r="AC47" s="373"/>
      <c r="AD47" s="373"/>
      <c r="AE47" s="373"/>
      <c r="AF47" s="397"/>
    </row>
    <row r="48" spans="1:32" s="377" customFormat="1" ht="25.5" customHeight="1">
      <c r="A48" s="551"/>
      <c r="B48" s="324" t="s">
        <v>547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25">
        <f t="shared" si="21"/>
        <v>0</v>
      </c>
      <c r="T48" s="325">
        <f t="shared" si="22"/>
        <v>0</v>
      </c>
      <c r="U48" s="325">
        <f t="shared" si="23"/>
        <v>0</v>
      </c>
      <c r="V48" s="492"/>
      <c r="W48" s="373"/>
      <c r="X48" s="364"/>
      <c r="Y48" s="373"/>
      <c r="Z48" s="364"/>
      <c r="AA48" s="492"/>
      <c r="AB48" s="373"/>
      <c r="AC48" s="373"/>
      <c r="AD48" s="373"/>
      <c r="AE48" s="373"/>
      <c r="AF48" s="397"/>
    </row>
    <row r="49" spans="1:32" s="377" customFormat="1" ht="25.5" customHeight="1">
      <c r="A49" s="551"/>
      <c r="B49" s="324" t="s">
        <v>548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25">
        <f t="shared" si="21"/>
        <v>0</v>
      </c>
      <c r="T49" s="325">
        <f t="shared" si="22"/>
        <v>0</v>
      </c>
      <c r="U49" s="325">
        <f t="shared" si="23"/>
        <v>0</v>
      </c>
      <c r="V49" s="492"/>
      <c r="W49" s="373"/>
      <c r="X49" s="364"/>
      <c r="Y49" s="373"/>
      <c r="Z49" s="364"/>
      <c r="AA49" s="492"/>
      <c r="AB49" s="373"/>
      <c r="AC49" s="373"/>
      <c r="AD49" s="373"/>
      <c r="AE49" s="373"/>
      <c r="AF49" s="397"/>
    </row>
    <row r="50" spans="1:32" s="377" customFormat="1" ht="38.25" customHeight="1">
      <c r="A50" s="551"/>
      <c r="B50" s="324" t="s">
        <v>549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25">
        <f t="shared" si="21"/>
        <v>0</v>
      </c>
      <c r="T50" s="325">
        <f t="shared" si="22"/>
        <v>0</v>
      </c>
      <c r="U50" s="325">
        <f t="shared" si="23"/>
        <v>0</v>
      </c>
      <c r="V50" s="492"/>
      <c r="W50" s="373"/>
      <c r="X50" s="364"/>
      <c r="Y50" s="373"/>
      <c r="Z50" s="364"/>
      <c r="AA50" s="492"/>
      <c r="AB50" s="373"/>
      <c r="AC50" s="373"/>
      <c r="AD50" s="373"/>
      <c r="AE50" s="373"/>
      <c r="AF50" s="397"/>
    </row>
    <row r="51" spans="1:32" s="369" customFormat="1" ht="10.5" customHeight="1">
      <c r="A51" s="487"/>
      <c r="B51" s="488"/>
      <c r="C51" s="494"/>
      <c r="D51" s="494"/>
      <c r="E51" s="494"/>
      <c r="F51" s="494"/>
      <c r="G51" s="494"/>
      <c r="H51" s="494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5"/>
      <c r="W51" s="496"/>
      <c r="X51" s="497"/>
      <c r="Y51" s="496"/>
      <c r="Z51" s="497"/>
      <c r="AA51" s="495"/>
      <c r="AB51" s="496"/>
      <c r="AC51" s="497"/>
      <c r="AD51" s="496"/>
      <c r="AE51" s="497"/>
    </row>
    <row r="52" spans="1:32" s="369" customFormat="1">
      <c r="A52" s="489"/>
      <c r="B52" s="490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  <c r="N52" s="366"/>
      <c r="O52" s="366"/>
      <c r="P52" s="366"/>
      <c r="Q52" s="366"/>
      <c r="R52" s="366"/>
      <c r="S52" s="366"/>
      <c r="T52" s="366"/>
      <c r="U52" s="366"/>
      <c r="V52" s="370"/>
      <c r="W52" s="365"/>
      <c r="X52" s="363"/>
      <c r="Y52" s="365"/>
      <c r="Z52" s="363"/>
      <c r="AA52" s="370"/>
      <c r="AB52" s="365"/>
      <c r="AC52" s="363"/>
      <c r="AD52" s="365"/>
      <c r="AE52" s="363"/>
    </row>
    <row r="53" spans="1:32" s="369" customFormat="1">
      <c r="A53" s="489"/>
      <c r="B53" s="491" t="s">
        <v>4</v>
      </c>
      <c r="C53" s="366"/>
      <c r="D53" s="366"/>
      <c r="E53" s="366"/>
      <c r="F53" s="366"/>
      <c r="G53" s="366"/>
      <c r="H53" s="366"/>
      <c r="I53" s="366"/>
      <c r="J53" s="366"/>
      <c r="K53" s="366"/>
      <c r="L53" s="366"/>
      <c r="M53" s="366"/>
      <c r="N53" s="366"/>
      <c r="O53" s="366"/>
      <c r="P53" s="366"/>
      <c r="Q53" s="366"/>
      <c r="R53" s="366"/>
      <c r="S53" s="366"/>
      <c r="T53" s="366"/>
      <c r="U53" s="366"/>
      <c r="V53" s="370"/>
      <c r="W53" s="365"/>
      <c r="X53" s="363"/>
      <c r="Y53" s="365"/>
      <c r="Z53" s="363"/>
      <c r="AA53" s="370"/>
      <c r="AB53" s="365"/>
      <c r="AC53" s="363"/>
      <c r="AD53" s="365"/>
      <c r="AE53" s="363"/>
    </row>
    <row r="54" spans="1:32" s="369" customFormat="1">
      <c r="A54" s="489"/>
      <c r="B54" s="491"/>
      <c r="C54" s="366"/>
      <c r="D54" s="366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  <c r="T54" s="366"/>
      <c r="U54" s="366"/>
      <c r="V54" s="370"/>
      <c r="W54" s="365"/>
      <c r="X54" s="363"/>
      <c r="Y54" s="365"/>
      <c r="Z54" s="363"/>
      <c r="AA54" s="370"/>
      <c r="AB54" s="365"/>
      <c r="AC54" s="363"/>
      <c r="AD54" s="365"/>
      <c r="AE54" s="363"/>
    </row>
    <row r="55" spans="1:32" ht="20.25" customHeight="1">
      <c r="B55" s="491" t="s">
        <v>5</v>
      </c>
      <c r="W55" s="498"/>
      <c r="X55" s="499"/>
      <c r="Y55" s="498"/>
      <c r="Z55" s="499"/>
      <c r="AA55" s="500"/>
      <c r="AB55" s="498"/>
      <c r="AC55" s="499"/>
      <c r="AD55" s="498"/>
      <c r="AE55" s="499"/>
    </row>
    <row r="56" spans="1:32">
      <c r="W56" s="576" t="s">
        <v>520</v>
      </c>
      <c r="X56" s="576"/>
      <c r="Y56" s="576"/>
      <c r="Z56" s="576"/>
      <c r="AA56" s="500"/>
      <c r="AB56" s="576" t="s">
        <v>521</v>
      </c>
      <c r="AC56" s="576"/>
      <c r="AD56" s="576"/>
      <c r="AE56" s="576"/>
    </row>
    <row r="57" spans="1:32" ht="15">
      <c r="W57" s="501">
        <f>+Balance!C45</f>
        <v>10282915665</v>
      </c>
      <c r="X57" s="501">
        <f>+Balance!D45</f>
        <v>6711133420</v>
      </c>
      <c r="Y57" s="501">
        <f>+Balance!E45</f>
        <v>3571782245</v>
      </c>
      <c r="Z57" s="502"/>
      <c r="AA57" s="500"/>
      <c r="AB57" s="501">
        <f>+Balance!C45</f>
        <v>10282915665</v>
      </c>
      <c r="AC57" s="501">
        <f>+Balance!D45</f>
        <v>6711133420</v>
      </c>
      <c r="AD57" s="498">
        <f>+Balance!E45</f>
        <v>3571782245</v>
      </c>
      <c r="AE57" s="499"/>
    </row>
    <row r="58" spans="1:32" ht="15">
      <c r="W58" s="503" t="s">
        <v>83</v>
      </c>
      <c r="X58" s="503"/>
      <c r="Y58" s="504" t="s">
        <v>519</v>
      </c>
      <c r="Z58" s="505"/>
      <c r="AA58" s="500"/>
      <c r="AB58" s="506" t="s">
        <v>83</v>
      </c>
      <c r="AC58" s="506"/>
      <c r="AD58" s="507" t="s">
        <v>519</v>
      </c>
      <c r="AE58" s="508"/>
    </row>
    <row r="59" spans="1:32">
      <c r="W59" s="509" t="s">
        <v>518</v>
      </c>
      <c r="X59" s="510">
        <f>+X45-X60</f>
        <v>127378110.29999995</v>
      </c>
      <c r="Y59" s="509" t="s">
        <v>518</v>
      </c>
      <c r="Z59" s="510">
        <f>+Z45-Z60</f>
        <v>38327783.100000024</v>
      </c>
      <c r="AA59" s="500"/>
      <c r="AB59" s="509" t="s">
        <v>518</v>
      </c>
      <c r="AC59" s="510">
        <f>+AC45-AC60</f>
        <v>138150400.5</v>
      </c>
      <c r="AD59" s="509" t="s">
        <v>518</v>
      </c>
      <c r="AE59" s="510">
        <f>+AE45-AE60</f>
        <v>41440020</v>
      </c>
    </row>
    <row r="60" spans="1:32" ht="25.5">
      <c r="W60" s="509" t="s">
        <v>28</v>
      </c>
      <c r="X60" s="510">
        <f>+X7+X9+X12+X13+X15+X20+X22+X23+X24+X36</f>
        <v>1208337687</v>
      </c>
      <c r="Y60" s="509" t="s">
        <v>28</v>
      </c>
      <c r="Z60" s="510">
        <f>+Z7+Z9+Z12+Z13+Z15+Z20+Z22+Z23+Z24+Z36</f>
        <v>601866633</v>
      </c>
      <c r="AA60" s="500"/>
      <c r="AB60" s="509" t="s">
        <v>28</v>
      </c>
      <c r="AC60" s="510">
        <f>+AC7+AC9+AC12+AC13+AC15+AC20+AC22+AC23+AC24+AC36</f>
        <v>1208337687</v>
      </c>
      <c r="AD60" s="509" t="s">
        <v>28</v>
      </c>
      <c r="AE60" s="510">
        <f>+AE7+AE9+AE12+AE13+AE15+AE20+AE22+AE23+AE24+AE36</f>
        <v>601866633</v>
      </c>
    </row>
    <row r="61" spans="1:32" ht="25.5">
      <c r="W61" s="509" t="s">
        <v>434</v>
      </c>
      <c r="X61" s="510">
        <f>+X63-X64</f>
        <v>593335484.30000007</v>
      </c>
      <c r="Y61" s="509" t="s">
        <v>434</v>
      </c>
      <c r="Z61" s="510">
        <f>+Z63-Z64</f>
        <v>155176160.79999998</v>
      </c>
      <c r="AA61" s="500"/>
      <c r="AB61" s="509" t="s">
        <v>434</v>
      </c>
      <c r="AC61" s="510">
        <f>+AC63-AC66</f>
        <v>1196161709.6500001</v>
      </c>
      <c r="AD61" s="509" t="s">
        <v>434</v>
      </c>
      <c r="AE61" s="510">
        <f>+AE63-AE66</f>
        <v>498920981.04999995</v>
      </c>
    </row>
    <row r="62" spans="1:32">
      <c r="W62" s="508"/>
      <c r="X62" s="511"/>
      <c r="Y62" s="508"/>
      <c r="Z62" s="511"/>
      <c r="AA62" s="512"/>
      <c r="AB62" s="513"/>
      <c r="AC62" s="512"/>
      <c r="AD62" s="513"/>
      <c r="AE62" s="512"/>
    </row>
    <row r="63" spans="1:32">
      <c r="W63" s="514" t="s">
        <v>435</v>
      </c>
      <c r="X63" s="515">
        <f>+'Bank Liabilities Analysis'!X39</f>
        <v>720713594.60000002</v>
      </c>
      <c r="Y63" s="514" t="s">
        <v>435</v>
      </c>
      <c r="Z63" s="515">
        <f>+'Bank Liabilities Analysis'!Z39</f>
        <v>193503943.90000001</v>
      </c>
      <c r="AA63" s="512"/>
      <c r="AB63" s="531" t="s">
        <v>524</v>
      </c>
      <c r="AC63" s="532">
        <f>+'Bank Liabilities Analysis'!AB39+'Liquidity Analysis'!C43</f>
        <v>1334312110.1500001</v>
      </c>
      <c r="AD63" s="531" t="s">
        <v>435</v>
      </c>
      <c r="AE63" s="532">
        <f>+'Bank Liabilities Analysis'!AC39+'Liquidity Analysis'!E43</f>
        <v>540361001.04999995</v>
      </c>
    </row>
    <row r="64" spans="1:32" ht="25.5">
      <c r="W64" s="514" t="s">
        <v>436</v>
      </c>
      <c r="X64" s="515">
        <f>IF(X59&gt;(X63*0.75),X63*0.75,X59)</f>
        <v>127378110.29999995</v>
      </c>
      <c r="Y64" s="514" t="s">
        <v>436</v>
      </c>
      <c r="Z64" s="515">
        <f>IF(Z59&gt;(Z63*0.75),Z63*0.75,Z59)</f>
        <v>38327783.100000024</v>
      </c>
      <c r="AA64" s="512"/>
      <c r="AB64" s="516" t="s">
        <v>525</v>
      </c>
      <c r="AC64" s="510">
        <f>+'Liquidity Analysis'!C43</f>
        <v>144445704</v>
      </c>
      <c r="AD64" s="516" t="s">
        <v>525</v>
      </c>
      <c r="AE64" s="510">
        <f>+'Liquidity Analysis'!E43</f>
        <v>93234472</v>
      </c>
    </row>
    <row r="65" spans="23:31">
      <c r="W65" s="498"/>
      <c r="X65" s="499"/>
      <c r="Y65" s="498"/>
      <c r="Z65" s="499"/>
      <c r="AA65" s="512"/>
      <c r="AB65" s="516"/>
      <c r="AC65" s="510"/>
      <c r="AD65" s="516"/>
      <c r="AE65" s="510"/>
    </row>
    <row r="66" spans="23:31" ht="25.5">
      <c r="W66" s="498"/>
      <c r="X66" s="499"/>
      <c r="Y66" s="498"/>
      <c r="Z66" s="499"/>
      <c r="AA66" s="512"/>
      <c r="AB66" s="516" t="s">
        <v>436</v>
      </c>
      <c r="AC66" s="510">
        <f>IF(AC59&gt;(AC63*0.75),AC63*0.75,AC59)</f>
        <v>138150400.5</v>
      </c>
      <c r="AD66" s="516" t="s">
        <v>436</v>
      </c>
      <c r="AE66" s="510">
        <f>IF(AE59&gt;(AE63*0.75),AE63*0.75,AE59)</f>
        <v>41440020</v>
      </c>
    </row>
    <row r="67" spans="23:31">
      <c r="W67" s="498"/>
      <c r="X67" s="499"/>
      <c r="Y67" s="498"/>
      <c r="Z67" s="499"/>
      <c r="AA67" s="500"/>
      <c r="AB67" s="498"/>
      <c r="AC67" s="499"/>
      <c r="AD67" s="498"/>
      <c r="AE67" s="499"/>
    </row>
    <row r="68" spans="23:31">
      <c r="W68" s="498"/>
      <c r="X68" s="499"/>
      <c r="Y68" s="498"/>
      <c r="Z68" s="499"/>
      <c r="AA68" s="500"/>
      <c r="AB68" s="498"/>
      <c r="AC68" s="499"/>
      <c r="AD68" s="498"/>
      <c r="AE68" s="499"/>
    </row>
    <row r="69" spans="23:31">
      <c r="W69" s="498"/>
      <c r="X69" s="499"/>
      <c r="Y69" s="498"/>
      <c r="Z69" s="499"/>
      <c r="AA69" s="500"/>
      <c r="AB69" s="498"/>
      <c r="AC69" s="499"/>
      <c r="AD69" s="498"/>
      <c r="AE69" s="499"/>
    </row>
  </sheetData>
  <sheetProtection password="CACA" sheet="1" objects="1" scenarios="1"/>
  <mergeCells count="19">
    <mergeCell ref="AB56:AE56"/>
    <mergeCell ref="W56:Z56"/>
    <mergeCell ref="X1:Z1"/>
    <mergeCell ref="S3:S5"/>
    <mergeCell ref="T3:U4"/>
    <mergeCell ref="AC1:AE1"/>
    <mergeCell ref="AA3:AE4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5" type="noConversion"/>
  <conditionalFormatting sqref="F7:F8">
    <cfRule type="cellIs" dxfId="392" priority="128" operator="greaterThan">
      <formula>E7</formula>
    </cfRule>
  </conditionalFormatting>
  <conditionalFormatting sqref="D42 F42 D19 F7:F15 F19 F26:F30 D26:D30 D35:D37 F35:F37 F40 D40">
    <cfRule type="cellIs" dxfId="391" priority="127" operator="greaterThan">
      <formula>C7</formula>
    </cfRule>
  </conditionalFormatting>
  <conditionalFormatting sqref="H7:H8">
    <cfRule type="cellIs" dxfId="390" priority="126" operator="greaterThan">
      <formula>G7</formula>
    </cfRule>
  </conditionalFormatting>
  <conditionalFormatting sqref="H42 H7:H15 H19 H26:H30 H35:H37 H40">
    <cfRule type="cellIs" dxfId="389" priority="125" operator="greaterThan">
      <formula>G7</formula>
    </cfRule>
  </conditionalFormatting>
  <conditionalFormatting sqref="J7:J8">
    <cfRule type="cellIs" dxfId="388" priority="124" operator="greaterThan">
      <formula>I7</formula>
    </cfRule>
  </conditionalFormatting>
  <conditionalFormatting sqref="J42 J7:J15 J19 J26:J30 J35:J37 J40">
    <cfRule type="cellIs" dxfId="387" priority="123" operator="greaterThan">
      <formula>I7</formula>
    </cfRule>
  </conditionalFormatting>
  <conditionalFormatting sqref="L7:L8">
    <cfRule type="cellIs" dxfId="386" priority="122" operator="greaterThan">
      <formula>K7</formula>
    </cfRule>
  </conditionalFormatting>
  <conditionalFormatting sqref="L42 L7:L15 L19 L26:L30 L35:L37 L40">
    <cfRule type="cellIs" dxfId="385" priority="121" operator="greaterThan">
      <formula>K7</formula>
    </cfRule>
  </conditionalFormatting>
  <conditionalFormatting sqref="N7:N8">
    <cfRule type="cellIs" dxfId="384" priority="120" operator="greaterThan">
      <formula>M7</formula>
    </cfRule>
  </conditionalFormatting>
  <conditionalFormatting sqref="N7:N15 N42 N26:N30 N19 N35:N37 N40">
    <cfRule type="cellIs" dxfId="383" priority="119" operator="greaterThan">
      <formula>M7</formula>
    </cfRule>
  </conditionalFormatting>
  <conditionalFormatting sqref="P7:P8">
    <cfRule type="cellIs" dxfId="382" priority="118" operator="greaterThan">
      <formula>O7</formula>
    </cfRule>
  </conditionalFormatting>
  <conditionalFormatting sqref="P42 P7:P15 P19 P26:P30 P35:P37 P40">
    <cfRule type="cellIs" dxfId="381" priority="117" operator="greaterThan">
      <formula>O7</formula>
    </cfRule>
  </conditionalFormatting>
  <conditionalFormatting sqref="R7:R8">
    <cfRule type="cellIs" dxfId="380" priority="116" operator="greaterThan">
      <formula>Q7</formula>
    </cfRule>
  </conditionalFormatting>
  <conditionalFormatting sqref="R42 R7:R15 R19 R26:R30 R35:R37 R40">
    <cfRule type="cellIs" dxfId="379" priority="115" operator="greaterThan">
      <formula>Q7</formula>
    </cfRule>
  </conditionalFormatting>
  <conditionalFormatting sqref="H12:H15 J12:J15 L12:L15 N12:N15 P12:P15 R12:R15 F12:F15">
    <cfRule type="cellIs" dxfId="378" priority="114" operator="greaterThan">
      <formula>E12</formula>
    </cfRule>
  </conditionalFormatting>
  <conditionalFormatting sqref="F7:F8">
    <cfRule type="cellIs" dxfId="377" priority="113" operator="greaterThan">
      <formula>E7</formula>
    </cfRule>
  </conditionalFormatting>
  <conditionalFormatting sqref="F42 F7:F15 F19 F26:F30 F35:F37 F40">
    <cfRule type="cellIs" dxfId="376" priority="112" operator="greaterThan">
      <formula>E7</formula>
    </cfRule>
  </conditionalFormatting>
  <conditionalFormatting sqref="D42 J42 L42 F42 P42 R42 N42 N7:N15 H42 N26:N30 D19 R7:R15 P7:P15 F7:F15 L7:L15 J7:J15 H7:H15 H19 J19 L19 F19 P19 R19 N19 R26:R30 P26:P30 F26:F30 L26:L30 J26:J30 H26:H30 D26:D30 D35:D37 H35:H37 J35:J37 L35:L37 F35:F37 P35:P37 R35:R37 N35:N37 N40 R40 P40 F40 L40 J40 H40 D40">
    <cfRule type="cellIs" dxfId="375" priority="111" operator="greaterThan">
      <formula>C7</formula>
    </cfRule>
  </conditionalFormatting>
  <conditionalFormatting sqref="T45">
    <cfRule type="cellIs" dxfId="374" priority="136" operator="notEqual">
      <formula>$X$57</formula>
    </cfRule>
  </conditionalFormatting>
  <conditionalFormatting sqref="U45">
    <cfRule type="cellIs" dxfId="373" priority="137" operator="notEqual">
      <formula>$Y$57</formula>
    </cfRule>
  </conditionalFormatting>
  <conditionalFormatting sqref="S45">
    <cfRule type="cellIs" dxfId="372" priority="140" operator="notEqual">
      <formula>$W$57</formula>
    </cfRule>
  </conditionalFormatting>
  <conditionalFormatting sqref="C7:C8 C10">
    <cfRule type="cellIs" dxfId="371" priority="93" operator="greaterThan">
      <formula>$C$7</formula>
    </cfRule>
  </conditionalFormatting>
  <conditionalFormatting sqref="D7:D8">
    <cfRule type="cellIs" dxfId="370" priority="92" operator="greaterThan">
      <formula>C7</formula>
    </cfRule>
  </conditionalFormatting>
  <conditionalFormatting sqref="D7:D8 D10">
    <cfRule type="cellIs" dxfId="369" priority="91" operator="greaterThan">
      <formula>C7</formula>
    </cfRule>
  </conditionalFormatting>
  <conditionalFormatting sqref="D7:D8 D10">
    <cfRule type="cellIs" dxfId="368" priority="90" operator="greaterThan">
      <formula>C7</formula>
    </cfRule>
  </conditionalFormatting>
  <conditionalFormatting sqref="D10">
    <cfRule type="cellIs" dxfId="367" priority="89" operator="greaterThan">
      <formula>C10</formula>
    </cfRule>
  </conditionalFormatting>
  <conditionalFormatting sqref="D9">
    <cfRule type="cellIs" dxfId="366" priority="87" operator="greaterThan">
      <formula>C9</formula>
    </cfRule>
  </conditionalFormatting>
  <conditionalFormatting sqref="D9">
    <cfRule type="cellIs" dxfId="365" priority="86" operator="greaterThan">
      <formula>C9</formula>
    </cfRule>
  </conditionalFormatting>
  <conditionalFormatting sqref="D9">
    <cfRule type="cellIs" dxfId="364" priority="85" operator="greaterThan">
      <formula>C9</formula>
    </cfRule>
  </conditionalFormatting>
  <conditionalFormatting sqref="D12:D13">
    <cfRule type="cellIs" dxfId="363" priority="83" operator="greaterThan">
      <formula>C12</formula>
    </cfRule>
  </conditionalFormatting>
  <conditionalFormatting sqref="D13">
    <cfRule type="cellIs" dxfId="362" priority="82" operator="greaterThan">
      <formula>C13</formula>
    </cfRule>
  </conditionalFormatting>
  <conditionalFormatting sqref="D12:D13">
    <cfRule type="cellIs" dxfId="361" priority="81" operator="greaterThan">
      <formula>C12</formula>
    </cfRule>
  </conditionalFormatting>
  <conditionalFormatting sqref="D12">
    <cfRule type="cellIs" dxfId="360" priority="80" operator="greaterThan">
      <formula>C12</formula>
    </cfRule>
  </conditionalFormatting>
  <conditionalFormatting sqref="D12">
    <cfRule type="cellIs" dxfId="359" priority="79" operator="greaterThan">
      <formula>C12</formula>
    </cfRule>
  </conditionalFormatting>
  <conditionalFormatting sqref="D12">
    <cfRule type="cellIs" dxfId="358" priority="78" operator="greaterThan">
      <formula>C12</formula>
    </cfRule>
  </conditionalFormatting>
  <conditionalFormatting sqref="D12">
    <cfRule type="cellIs" dxfId="357" priority="77" operator="greaterThan">
      <formula>C12</formula>
    </cfRule>
  </conditionalFormatting>
  <conditionalFormatting sqref="F16:F18 H16:H18 J16:J18 L16:L18 P16:P18 R16:R18 N16:N18">
    <cfRule type="cellIs" dxfId="356" priority="76" operator="greaterThan">
      <formula>E16</formula>
    </cfRule>
  </conditionalFormatting>
  <conditionalFormatting sqref="D16">
    <cfRule type="cellIs" dxfId="355" priority="75" operator="greaterThan">
      <formula>C16</formula>
    </cfRule>
  </conditionalFormatting>
  <conditionalFormatting sqref="D16">
    <cfRule type="cellIs" dxfId="354" priority="74" operator="greaterThan">
      <formula>C16</formula>
    </cfRule>
  </conditionalFormatting>
  <conditionalFormatting sqref="D17">
    <cfRule type="cellIs" dxfId="353" priority="73" operator="greaterThan">
      <formula>C17</formula>
    </cfRule>
  </conditionalFormatting>
  <conditionalFormatting sqref="D17">
    <cfRule type="cellIs" dxfId="352" priority="72" operator="greaterThan">
      <formula>C17</formula>
    </cfRule>
  </conditionalFormatting>
  <conditionalFormatting sqref="H16 J16 L16 N16 P16 R16">
    <cfRule type="cellIs" dxfId="351" priority="71" operator="greaterThan">
      <formula>G16</formula>
    </cfRule>
  </conditionalFormatting>
  <conditionalFormatting sqref="F16">
    <cfRule type="cellIs" dxfId="350" priority="70" operator="greaterThan">
      <formula>E16</formula>
    </cfRule>
  </conditionalFormatting>
  <conditionalFormatting sqref="F16">
    <cfRule type="cellIs" dxfId="349" priority="69" operator="greaterThan">
      <formula>E16</formula>
    </cfRule>
  </conditionalFormatting>
  <conditionalFormatting sqref="F16">
    <cfRule type="cellIs" dxfId="348" priority="68" operator="greaterThan">
      <formula>E16</formula>
    </cfRule>
  </conditionalFormatting>
  <conditionalFormatting sqref="F16">
    <cfRule type="cellIs" dxfId="347" priority="67" operator="greaterThan">
      <formula>E16</formula>
    </cfRule>
  </conditionalFormatting>
  <conditionalFormatting sqref="H17 J17 L17 N17 P17 R17">
    <cfRule type="cellIs" dxfId="346" priority="66" operator="greaterThan">
      <formula>G17</formula>
    </cfRule>
  </conditionalFormatting>
  <conditionalFormatting sqref="F17">
    <cfRule type="cellIs" dxfId="345" priority="65" operator="greaterThan">
      <formula>E17</formula>
    </cfRule>
  </conditionalFormatting>
  <conditionalFormatting sqref="F17">
    <cfRule type="cellIs" dxfId="344" priority="64" operator="greaterThan">
      <formula>E17</formula>
    </cfRule>
  </conditionalFormatting>
  <conditionalFormatting sqref="F17">
    <cfRule type="cellIs" dxfId="343" priority="63" operator="greaterThan">
      <formula>E17</formula>
    </cfRule>
  </conditionalFormatting>
  <conditionalFormatting sqref="F17">
    <cfRule type="cellIs" dxfId="342" priority="62" operator="greaterThan">
      <formula>E17</formula>
    </cfRule>
  </conditionalFormatting>
  <conditionalFormatting sqref="H18 J18 L18 N18 P18 R18">
    <cfRule type="cellIs" dxfId="341" priority="61" operator="greaterThan">
      <formula>G18</formula>
    </cfRule>
  </conditionalFormatting>
  <conditionalFormatting sqref="F18">
    <cfRule type="cellIs" dxfId="340" priority="60" operator="greaterThan">
      <formula>E18</formula>
    </cfRule>
  </conditionalFormatting>
  <conditionalFormatting sqref="F18">
    <cfRule type="cellIs" dxfId="339" priority="59" operator="greaterThan">
      <formula>E18</formula>
    </cfRule>
  </conditionalFormatting>
  <conditionalFormatting sqref="F18">
    <cfRule type="cellIs" dxfId="338" priority="58" operator="greaterThan">
      <formula>E18</formula>
    </cfRule>
  </conditionalFormatting>
  <conditionalFormatting sqref="F18">
    <cfRule type="cellIs" dxfId="337" priority="57" operator="greaterThan">
      <formula>E18</formula>
    </cfRule>
  </conditionalFormatting>
  <conditionalFormatting sqref="N22:N25 R22:R25 P22:P25 L22:L25 J22:J25 H22:H25 D22:D25 F22:F25">
    <cfRule type="cellIs" dxfId="336" priority="56" operator="greaterThan">
      <formula>C22</formula>
    </cfRule>
  </conditionalFormatting>
  <conditionalFormatting sqref="H25 J25 L25 N25 P25 R25">
    <cfRule type="cellIs" dxfId="335" priority="55" operator="greaterThan">
      <formula>G25</formula>
    </cfRule>
  </conditionalFormatting>
  <conditionalFormatting sqref="F25">
    <cfRule type="cellIs" dxfId="334" priority="54" operator="greaterThan">
      <formula>E25</formula>
    </cfRule>
  </conditionalFormatting>
  <conditionalFormatting sqref="F25">
    <cfRule type="cellIs" dxfId="333" priority="53" operator="greaterThan">
      <formula>E25</formula>
    </cfRule>
  </conditionalFormatting>
  <conditionalFormatting sqref="F25">
    <cfRule type="cellIs" dxfId="332" priority="52" operator="greaterThan">
      <formula>E25</formula>
    </cfRule>
  </conditionalFormatting>
  <conditionalFormatting sqref="F25">
    <cfRule type="cellIs" dxfId="331" priority="51" operator="greaterThan">
      <formula>E25</formula>
    </cfRule>
  </conditionalFormatting>
  <conditionalFormatting sqref="F20:F21 D20:D21 H20:H21 J20:J21 L20:L21 P20:P21 R20:R21 N20:N21">
    <cfRule type="cellIs" dxfId="330" priority="50" operator="greaterThan">
      <formula>C20</formula>
    </cfRule>
  </conditionalFormatting>
  <conditionalFormatting sqref="H20:H21 J20:J21 L20:L21 N20:N21 P20:P21 R20:R21">
    <cfRule type="cellIs" dxfId="329" priority="49" operator="greaterThan">
      <formula>G20</formula>
    </cfRule>
  </conditionalFormatting>
  <conditionalFormatting sqref="F20:F21">
    <cfRule type="cellIs" dxfId="328" priority="48" operator="greaterThan">
      <formula>E20</formula>
    </cfRule>
  </conditionalFormatting>
  <conditionalFormatting sqref="F20:F21">
    <cfRule type="cellIs" dxfId="327" priority="47" operator="greaterThan">
      <formula>E20</formula>
    </cfRule>
  </conditionalFormatting>
  <conditionalFormatting sqref="F20:F21">
    <cfRule type="cellIs" dxfId="326" priority="46" operator="greaterThan">
      <formula>E20</formula>
    </cfRule>
  </conditionalFormatting>
  <conditionalFormatting sqref="F20:F21">
    <cfRule type="cellIs" dxfId="325" priority="45" operator="greaterThan">
      <formula>E20</formula>
    </cfRule>
  </conditionalFormatting>
  <conditionalFormatting sqref="N31:N34 R31:R34 P31:P34 L31:L34 J31:J34 H31:H34 D31:D32 F31:F34 D34">
    <cfRule type="cellIs" dxfId="324" priority="44" operator="greaterThan">
      <formula>C31</formula>
    </cfRule>
  </conditionalFormatting>
  <conditionalFormatting sqref="H33 J33 L33 N33 P33 R33">
    <cfRule type="cellIs" dxfId="323" priority="43" operator="greaterThan">
      <formula>G33</formula>
    </cfRule>
  </conditionalFormatting>
  <conditionalFormatting sqref="F33">
    <cfRule type="cellIs" dxfId="322" priority="42" operator="greaterThan">
      <formula>E33</formula>
    </cfRule>
  </conditionalFormatting>
  <conditionalFormatting sqref="F33">
    <cfRule type="cellIs" dxfId="321" priority="41" operator="greaterThan">
      <formula>E33</formula>
    </cfRule>
  </conditionalFormatting>
  <conditionalFormatting sqref="F33">
    <cfRule type="cellIs" dxfId="320" priority="40" operator="greaterThan">
      <formula>E33</formula>
    </cfRule>
  </conditionalFormatting>
  <conditionalFormatting sqref="F33">
    <cfRule type="cellIs" dxfId="319" priority="39" operator="greaterThan">
      <formula>E33</formula>
    </cfRule>
  </conditionalFormatting>
  <conditionalFormatting sqref="H34 J34 L34 N34 P34 R34">
    <cfRule type="cellIs" dxfId="318" priority="38" operator="greaterThan">
      <formula>G34</formula>
    </cfRule>
  </conditionalFormatting>
  <conditionalFormatting sqref="F34">
    <cfRule type="cellIs" dxfId="317" priority="37" operator="greaterThan">
      <formula>E34</formula>
    </cfRule>
  </conditionalFormatting>
  <conditionalFormatting sqref="F34">
    <cfRule type="cellIs" dxfId="316" priority="36" operator="greaterThan">
      <formula>E34</formula>
    </cfRule>
  </conditionalFormatting>
  <conditionalFormatting sqref="F34">
    <cfRule type="cellIs" dxfId="315" priority="35" operator="greaterThan">
      <formula>E34</formula>
    </cfRule>
  </conditionalFormatting>
  <conditionalFormatting sqref="F34">
    <cfRule type="cellIs" dxfId="314" priority="34" operator="greaterThan">
      <formula>E34</formula>
    </cfRule>
  </conditionalFormatting>
  <conditionalFormatting sqref="H31:H32 J31:J32 L31:L32 N31:N32 P31:P32 R31:R32">
    <cfRule type="cellIs" dxfId="313" priority="33" operator="greaterThan">
      <formula>G31</formula>
    </cfRule>
  </conditionalFormatting>
  <conditionalFormatting sqref="F31:F32">
    <cfRule type="cellIs" dxfId="312" priority="32" operator="greaterThan">
      <formula>E31</formula>
    </cfRule>
  </conditionalFormatting>
  <conditionalFormatting sqref="F31:F32">
    <cfRule type="cellIs" dxfId="311" priority="31" operator="greaterThan">
      <formula>E31</formula>
    </cfRule>
  </conditionalFormatting>
  <conditionalFormatting sqref="F31:F32">
    <cfRule type="cellIs" dxfId="310" priority="30" operator="greaterThan">
      <formula>E31</formula>
    </cfRule>
  </conditionalFormatting>
  <conditionalFormatting sqref="F31:F32">
    <cfRule type="cellIs" dxfId="309" priority="29" operator="greaterThan">
      <formula>E31</formula>
    </cfRule>
  </conditionalFormatting>
  <conditionalFormatting sqref="N38:N39 R38:R39 P38:P39 L38:L39 J38:J39 H38:H39 D38:D39 F38:F39">
    <cfRule type="cellIs" dxfId="308" priority="28" operator="greaterThan">
      <formula>C38</formula>
    </cfRule>
  </conditionalFormatting>
  <conditionalFormatting sqref="H38 J38 L38 N38 P38 R38">
    <cfRule type="cellIs" dxfId="307" priority="27" operator="greaterThan">
      <formula>G38</formula>
    </cfRule>
  </conditionalFormatting>
  <conditionalFormatting sqref="F38">
    <cfRule type="cellIs" dxfId="306" priority="26" operator="greaterThan">
      <formula>E38</formula>
    </cfRule>
  </conditionalFormatting>
  <conditionalFormatting sqref="F38">
    <cfRule type="cellIs" dxfId="305" priority="25" operator="greaterThan">
      <formula>E38</formula>
    </cfRule>
  </conditionalFormatting>
  <conditionalFormatting sqref="F38">
    <cfRule type="cellIs" dxfId="304" priority="24" operator="greaterThan">
      <formula>E38</formula>
    </cfRule>
  </conditionalFormatting>
  <conditionalFormatting sqref="F38">
    <cfRule type="cellIs" dxfId="303" priority="23" operator="greaterThan">
      <formula>E38</formula>
    </cfRule>
  </conditionalFormatting>
  <conditionalFormatting sqref="H39 J39 L39 N39 P39 R39">
    <cfRule type="cellIs" dxfId="302" priority="22" operator="greaterThan">
      <formula>G39</formula>
    </cfRule>
  </conditionalFormatting>
  <conditionalFormatting sqref="F39">
    <cfRule type="cellIs" dxfId="301" priority="21" operator="greaterThan">
      <formula>E39</formula>
    </cfRule>
  </conditionalFormatting>
  <conditionalFormatting sqref="F39">
    <cfRule type="cellIs" dxfId="300" priority="20" operator="greaterThan">
      <formula>E39</formula>
    </cfRule>
  </conditionalFormatting>
  <conditionalFormatting sqref="F39">
    <cfRule type="cellIs" dxfId="299" priority="19" operator="greaterThan">
      <formula>E39</formula>
    </cfRule>
  </conditionalFormatting>
  <conditionalFormatting sqref="F39">
    <cfRule type="cellIs" dxfId="298" priority="18" operator="greaterThan">
      <formula>E39</formula>
    </cfRule>
  </conditionalFormatting>
  <conditionalFormatting sqref="N43:N44 R43:R44 P43:P44 L43:L44 J43:J44 H43:H44 F43:F44">
    <cfRule type="cellIs" dxfId="297" priority="17" operator="greaterThan">
      <formula>E43</formula>
    </cfRule>
  </conditionalFormatting>
  <conditionalFormatting sqref="D43:D44">
    <cfRule type="cellIs" dxfId="296" priority="16" operator="greaterThan">
      <formula>C43</formula>
    </cfRule>
  </conditionalFormatting>
  <conditionalFormatting sqref="D43:D44">
    <cfRule type="cellIs" dxfId="295" priority="15" operator="greaterThan">
      <formula>C43</formula>
    </cfRule>
  </conditionalFormatting>
  <conditionalFormatting sqref="H43 J43 L43 N43 P43 R43">
    <cfRule type="cellIs" dxfId="294" priority="14" operator="greaterThan">
      <formula>G43</formula>
    </cfRule>
  </conditionalFormatting>
  <conditionalFormatting sqref="F43">
    <cfRule type="cellIs" dxfId="293" priority="13" operator="greaterThan">
      <formula>E43</formula>
    </cfRule>
  </conditionalFormatting>
  <conditionalFormatting sqref="F43">
    <cfRule type="cellIs" dxfId="292" priority="12" operator="greaterThan">
      <formula>E43</formula>
    </cfRule>
  </conditionalFormatting>
  <conditionalFormatting sqref="F43">
    <cfRule type="cellIs" dxfId="291" priority="11" operator="greaterThan">
      <formula>E43</formula>
    </cfRule>
  </conditionalFormatting>
  <conditionalFormatting sqref="F43">
    <cfRule type="cellIs" dxfId="290" priority="10" operator="greaterThan">
      <formula>E43</formula>
    </cfRule>
  </conditionalFormatting>
  <conditionalFormatting sqref="H44 J44 L44 N44 P44 R44">
    <cfRule type="cellIs" dxfId="289" priority="9" operator="greaterThan">
      <formula>G44</formula>
    </cfRule>
  </conditionalFormatting>
  <conditionalFormatting sqref="F44">
    <cfRule type="cellIs" dxfId="288" priority="8" operator="greaterThan">
      <formula>E44</formula>
    </cfRule>
  </conditionalFormatting>
  <conditionalFormatting sqref="F44">
    <cfRule type="cellIs" dxfId="287" priority="7" operator="greaterThan">
      <formula>E44</formula>
    </cfRule>
  </conditionalFormatting>
  <conditionalFormatting sqref="F44">
    <cfRule type="cellIs" dxfId="286" priority="6" operator="greaterThan">
      <formula>E44</formula>
    </cfRule>
  </conditionalFormatting>
  <conditionalFormatting sqref="F44">
    <cfRule type="cellIs" dxfId="285" priority="5" operator="greaterThan">
      <formula>E44</formula>
    </cfRule>
  </conditionalFormatting>
  <dataValidations count="2">
    <dataValidation type="whole" operator="notEqual" allowBlank="1" showErrorMessage="1" error="Введите как целое число." sqref="Q38:R39 E38:P40 C6:R19 C46:R50 C20:D41 E20:R37 C42:R44 E41:R41">
      <formula1>-1E+28</formula1>
    </dataValidation>
    <dataValidation allowBlank="1" showErrorMessage="1" prompt="Введите самостоятельно рассчитанный коэффициент" sqref="T5:U5 C5:R5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6" orientation="landscape" r:id="rId1"/>
  <headerFooter alignWithMargins="0"/>
  <ignoredErrors>
    <ignoredError sqref="T8:U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V59"/>
  <sheetViews>
    <sheetView zoomScale="70" zoomScaleNormal="70" zoomScaleSheetLayoutView="50" workbookViewId="0">
      <pane xSplit="2" ySplit="6" topLeftCell="C28" activePane="bottomRight" state="frozen"/>
      <selection activeCell="B3" sqref="B3:B6"/>
      <selection pane="topRight" activeCell="B3" sqref="B3:B6"/>
      <selection pane="bottomLeft" activeCell="B3" sqref="B3:B6"/>
      <selection pane="bottomRight" activeCell="B34" sqref="B34"/>
    </sheetView>
  </sheetViews>
  <sheetFormatPr defaultRowHeight="12.75"/>
  <cols>
    <col min="1" max="1" width="8.140625" style="523" customWidth="1"/>
    <col min="2" max="2" width="80.42578125" style="366" customWidth="1"/>
    <col min="3" max="11" width="22.140625" style="366" customWidth="1"/>
    <col min="12" max="12" width="15.5703125" style="370" customWidth="1"/>
    <col min="13" max="13" width="19.42578125" style="365" customWidth="1"/>
    <col min="14" max="14" width="21.85546875" style="363" customWidth="1"/>
    <col min="15" max="15" width="15.5703125" style="370" customWidth="1"/>
    <col min="16" max="16" width="19.42578125" style="365" customWidth="1"/>
    <col min="17" max="17" width="23.28515625" style="363" customWidth="1"/>
    <col min="18" max="18" width="23.7109375" style="366" customWidth="1"/>
    <col min="19" max="19" width="17.5703125" style="366" customWidth="1"/>
    <col min="20" max="20" width="15.140625" style="366" customWidth="1"/>
    <col min="21" max="21" width="23.85546875" style="366" customWidth="1"/>
    <col min="22" max="22" width="15.140625" style="366" customWidth="1"/>
    <col min="23" max="16384" width="9.140625" style="366"/>
  </cols>
  <sheetData>
    <row r="2" spans="1:22" s="282" customFormat="1" ht="26.25" customHeight="1">
      <c r="A2" s="279" t="s">
        <v>450</v>
      </c>
      <c r="B2" s="280"/>
      <c r="C2" s="280"/>
      <c r="D2" s="281"/>
      <c r="E2" s="281"/>
      <c r="F2" s="281"/>
      <c r="G2" s="281"/>
      <c r="H2" s="281"/>
      <c r="I2" s="281"/>
      <c r="K2" s="517"/>
      <c r="L2" s="449"/>
      <c r="M2" s="449"/>
      <c r="N2" s="449"/>
      <c r="O2" s="577" t="s">
        <v>447</v>
      </c>
      <c r="P2" s="577"/>
      <c r="Q2" s="577"/>
    </row>
    <row r="3" spans="1:22" ht="15.75">
      <c r="A3" s="518"/>
      <c r="B3" s="466" t="str">
        <f>Balance!B3</f>
        <v>АКБ"Микрокредитбанк"</v>
      </c>
      <c r="C3" s="163"/>
      <c r="D3" s="362"/>
      <c r="E3" s="362"/>
      <c r="F3" s="362"/>
      <c r="G3" s="362"/>
      <c r="H3" s="362"/>
      <c r="I3" s="362"/>
      <c r="J3" s="219" t="str">
        <f>+Balance!B2</f>
        <v xml:space="preserve"> 31 Декабрь, 2020</v>
      </c>
      <c r="L3" s="366"/>
      <c r="M3" s="362"/>
      <c r="O3" s="366"/>
      <c r="P3" s="362"/>
      <c r="Q3" s="363" t="str">
        <f>+Balance!E3</f>
        <v>тыс. сум</v>
      </c>
    </row>
    <row r="4" spans="1:22" s="86" customFormat="1" ht="37.5" customHeight="1">
      <c r="A4" s="578" t="s">
        <v>79</v>
      </c>
      <c r="B4" s="578" t="s">
        <v>54</v>
      </c>
      <c r="C4" s="571" t="s">
        <v>167</v>
      </c>
      <c r="D4" s="573"/>
      <c r="E4" s="573"/>
      <c r="F4" s="573"/>
      <c r="G4" s="573"/>
      <c r="H4" s="573"/>
      <c r="I4" s="573"/>
      <c r="J4" s="573"/>
      <c r="K4" s="578" t="s">
        <v>127</v>
      </c>
      <c r="L4" s="571" t="s">
        <v>530</v>
      </c>
      <c r="M4" s="573"/>
      <c r="N4" s="572"/>
      <c r="O4" s="571" t="s">
        <v>529</v>
      </c>
      <c r="P4" s="573"/>
      <c r="Q4" s="572"/>
    </row>
    <row r="5" spans="1:22" s="86" customFormat="1" ht="42.75" customHeight="1">
      <c r="A5" s="579"/>
      <c r="B5" s="579"/>
      <c r="C5" s="468" t="s">
        <v>128</v>
      </c>
      <c r="D5" s="468" t="s">
        <v>441</v>
      </c>
      <c r="E5" s="468" t="s">
        <v>442</v>
      </c>
      <c r="F5" s="468" t="s">
        <v>344</v>
      </c>
      <c r="G5" s="468" t="s">
        <v>345</v>
      </c>
      <c r="H5" s="468" t="s">
        <v>413</v>
      </c>
      <c r="I5" s="468" t="s">
        <v>414</v>
      </c>
      <c r="J5" s="468" t="s">
        <v>84</v>
      </c>
      <c r="K5" s="579"/>
      <c r="L5" s="467" t="s">
        <v>33</v>
      </c>
      <c r="M5" s="467" t="s">
        <v>40</v>
      </c>
      <c r="N5" s="467" t="s">
        <v>512</v>
      </c>
      <c r="O5" s="467" t="s">
        <v>33</v>
      </c>
      <c r="P5" s="467" t="s">
        <v>40</v>
      </c>
      <c r="Q5" s="467" t="s">
        <v>512</v>
      </c>
    </row>
    <row r="6" spans="1:22" s="493" customFormat="1" ht="21" customHeight="1">
      <c r="A6" s="519"/>
      <c r="B6" s="359" t="s">
        <v>0</v>
      </c>
      <c r="C6" s="364"/>
      <c r="D6" s="364"/>
      <c r="E6" s="364"/>
      <c r="F6" s="364"/>
      <c r="G6" s="364"/>
      <c r="H6" s="364"/>
      <c r="I6" s="364"/>
      <c r="J6" s="364"/>
      <c r="K6" s="364"/>
      <c r="L6" s="492"/>
      <c r="M6" s="371"/>
      <c r="N6" s="364"/>
      <c r="O6" s="492"/>
      <c r="P6" s="371"/>
      <c r="Q6" s="364"/>
      <c r="R6" s="367"/>
      <c r="S6" s="367"/>
      <c r="T6" s="367"/>
      <c r="U6" s="367"/>
      <c r="V6" s="367"/>
    </row>
    <row r="7" spans="1:22" s="354" customFormat="1" ht="33.75" customHeight="1">
      <c r="A7" s="346" t="s">
        <v>80</v>
      </c>
      <c r="B7" s="347" t="s">
        <v>129</v>
      </c>
      <c r="C7" s="348">
        <f>+'Bank Assets Analysis'!C7-'Bank Assets Analysis'!D7</f>
        <v>92534448</v>
      </c>
      <c r="D7" s="348">
        <f>+'Bank Assets Analysis'!E7-'Bank Assets Analysis'!F7</f>
        <v>0</v>
      </c>
      <c r="E7" s="348">
        <f>+'Bank Assets Analysis'!G7-'Bank Assets Analysis'!H7</f>
        <v>0</v>
      </c>
      <c r="F7" s="348">
        <f>+'Bank Assets Analysis'!I7-'Bank Assets Analysis'!J7</f>
        <v>0</v>
      </c>
      <c r="G7" s="348">
        <f>+'Bank Assets Analysis'!K7-'Bank Assets Analysis'!L7</f>
        <v>0</v>
      </c>
      <c r="H7" s="348">
        <f>+'Bank Assets Analysis'!M7-'Bank Assets Analysis'!N7</f>
        <v>0</v>
      </c>
      <c r="I7" s="348">
        <f>+'Bank Assets Analysis'!O7-'Bank Assets Analysis'!P7</f>
        <v>0</v>
      </c>
      <c r="J7" s="348">
        <f>+'Bank Assets Analysis'!Q7-'Bank Assets Analysis'!R7</f>
        <v>0</v>
      </c>
      <c r="K7" s="348">
        <f t="shared" ref="K7:K44" si="0">+C7+D7+E7+F7+G7+H7+I7+J7</f>
        <v>92534448</v>
      </c>
      <c r="L7" s="349">
        <v>1</v>
      </c>
      <c r="M7" s="350">
        <f>+K7-K8</f>
        <v>92534448</v>
      </c>
      <c r="N7" s="351">
        <f>+M7*L7</f>
        <v>92534448</v>
      </c>
      <c r="O7" s="349">
        <v>1</v>
      </c>
      <c r="P7" s="350">
        <f>+K7-K8</f>
        <v>92534448</v>
      </c>
      <c r="Q7" s="351">
        <f>+P7*O7</f>
        <v>92534448</v>
      </c>
      <c r="R7" s="353"/>
      <c r="S7" s="353"/>
      <c r="T7" s="353"/>
      <c r="U7" s="353"/>
      <c r="V7" s="353"/>
    </row>
    <row r="8" spans="1:22" s="354" customFormat="1" ht="33.75" customHeight="1">
      <c r="A8" s="346" t="s">
        <v>169</v>
      </c>
      <c r="B8" s="347" t="s">
        <v>508</v>
      </c>
      <c r="C8" s="348">
        <f>+'Bank Assets Analysis'!C8-'Bank Assets Analysis'!D8</f>
        <v>0</v>
      </c>
      <c r="D8" s="348">
        <f>+'Bank Assets Analysis'!E8-'Bank Assets Analysis'!F8</f>
        <v>0</v>
      </c>
      <c r="E8" s="348">
        <f>+'Bank Assets Analysis'!G8-'Bank Assets Analysis'!H8</f>
        <v>0</v>
      </c>
      <c r="F8" s="348">
        <f>+'Bank Assets Analysis'!I8-'Bank Assets Analysis'!J8</f>
        <v>0</v>
      </c>
      <c r="G8" s="348">
        <f>+'Bank Assets Analysis'!K8-'Bank Assets Analysis'!L8</f>
        <v>0</v>
      </c>
      <c r="H8" s="348">
        <f>+'Bank Assets Analysis'!M8-'Bank Assets Analysis'!N8</f>
        <v>0</v>
      </c>
      <c r="I8" s="348">
        <f>+'Bank Assets Analysis'!O8-'Bank Assets Analysis'!P8</f>
        <v>0</v>
      </c>
      <c r="J8" s="348">
        <f>+'Bank Assets Analysis'!Q8-'Bank Assets Analysis'!R8</f>
        <v>0</v>
      </c>
      <c r="K8" s="348">
        <f t="shared" ref="K8" si="1">+C8+D8+E8+F8+G8+H8+I8+J8</f>
        <v>0</v>
      </c>
      <c r="L8" s="349">
        <v>0</v>
      </c>
      <c r="M8" s="450"/>
      <c r="N8" s="348"/>
      <c r="O8" s="349">
        <v>0</v>
      </c>
      <c r="P8" s="450"/>
      <c r="Q8" s="348"/>
      <c r="R8" s="520"/>
      <c r="S8" s="353"/>
      <c r="T8" s="353"/>
      <c r="U8" s="353"/>
      <c r="V8" s="353"/>
    </row>
    <row r="9" spans="1:22" s="354" customFormat="1" ht="33.75" customHeight="1">
      <c r="A9" s="346" t="s">
        <v>130</v>
      </c>
      <c r="B9" s="347" t="s">
        <v>428</v>
      </c>
      <c r="C9" s="348">
        <f>+'Bank Assets Analysis'!C9-'Bank Assets Analysis'!D9</f>
        <v>313936606</v>
      </c>
      <c r="D9" s="348">
        <f>+'Bank Assets Analysis'!E9-'Bank Assets Analysis'!F9</f>
        <v>0</v>
      </c>
      <c r="E9" s="348">
        <f>+'Bank Assets Analysis'!G9-'Bank Assets Analysis'!H9</f>
        <v>0</v>
      </c>
      <c r="F9" s="348">
        <f>+'Bank Assets Analysis'!I9-'Bank Assets Analysis'!J9</f>
        <v>0</v>
      </c>
      <c r="G9" s="348">
        <f>+'Bank Assets Analysis'!K9-'Bank Assets Analysis'!L9</f>
        <v>0</v>
      </c>
      <c r="H9" s="348">
        <f>+'Bank Assets Analysis'!M9-'Bank Assets Analysis'!N9</f>
        <v>0</v>
      </c>
      <c r="I9" s="348">
        <f>+'Bank Assets Analysis'!O9-'Bank Assets Analysis'!P9</f>
        <v>0</v>
      </c>
      <c r="J9" s="348">
        <f>+'Bank Assets Analysis'!Q9-'Bank Assets Analysis'!R9</f>
        <v>0</v>
      </c>
      <c r="K9" s="348">
        <f t="shared" si="0"/>
        <v>313936606</v>
      </c>
      <c r="L9" s="349">
        <v>1</v>
      </c>
      <c r="M9" s="350">
        <f>+K9</f>
        <v>313936606</v>
      </c>
      <c r="N9" s="351">
        <f t="shared" ref="N9:N43" si="2">+M9*L9</f>
        <v>313936606</v>
      </c>
      <c r="O9" s="349">
        <v>1</v>
      </c>
      <c r="P9" s="350">
        <f>+K9</f>
        <v>313936606</v>
      </c>
      <c r="Q9" s="351">
        <f t="shared" ref="Q9:Q17" si="3">+P9*O9</f>
        <v>313936606</v>
      </c>
      <c r="R9" s="353"/>
      <c r="S9" s="353"/>
      <c r="T9" s="353"/>
      <c r="U9" s="353"/>
      <c r="V9" s="353"/>
    </row>
    <row r="10" spans="1:22" s="354" customFormat="1" ht="33.75" customHeight="1">
      <c r="A10" s="346" t="s">
        <v>191</v>
      </c>
      <c r="B10" s="347" t="s">
        <v>427</v>
      </c>
      <c r="C10" s="348">
        <f>+'Bank Assets Analysis'!C10-'Bank Assets Analysis'!D10</f>
        <v>0</v>
      </c>
      <c r="D10" s="348">
        <f>+'Bank Assets Analysis'!E10-'Bank Assets Analysis'!F10</f>
        <v>0</v>
      </c>
      <c r="E10" s="348">
        <f>+'Bank Assets Analysis'!G10-'Bank Assets Analysis'!H10</f>
        <v>21398086</v>
      </c>
      <c r="F10" s="348">
        <f>+'Bank Assets Analysis'!I10-'Bank Assets Analysis'!J10</f>
        <v>0</v>
      </c>
      <c r="G10" s="348">
        <f>+'Bank Assets Analysis'!K10-'Bank Assets Analysis'!L10</f>
        <v>0</v>
      </c>
      <c r="H10" s="348">
        <f>+'Bank Assets Analysis'!M10-'Bank Assets Analysis'!N10</f>
        <v>0</v>
      </c>
      <c r="I10" s="348">
        <f>+'Bank Assets Analysis'!O10-'Bank Assets Analysis'!P10</f>
        <v>0</v>
      </c>
      <c r="J10" s="348">
        <f>+'Bank Assets Analysis'!Q10-'Bank Assets Analysis'!R10</f>
        <v>0</v>
      </c>
      <c r="K10" s="348">
        <f t="shared" si="0"/>
        <v>21398086</v>
      </c>
      <c r="L10" s="349">
        <v>0</v>
      </c>
      <c r="M10" s="350"/>
      <c r="N10" s="348">
        <f t="shared" si="2"/>
        <v>0</v>
      </c>
      <c r="O10" s="349">
        <v>0</v>
      </c>
      <c r="P10" s="350"/>
      <c r="Q10" s="348">
        <f t="shared" si="3"/>
        <v>0</v>
      </c>
      <c r="R10" s="353"/>
      <c r="S10" s="353"/>
      <c r="T10" s="353"/>
      <c r="U10" s="353"/>
      <c r="V10" s="353"/>
    </row>
    <row r="11" spans="1:22" s="354" customFormat="1" ht="33.75" customHeight="1">
      <c r="A11" s="346" t="s">
        <v>131</v>
      </c>
      <c r="B11" s="347" t="s">
        <v>132</v>
      </c>
      <c r="C11" s="348">
        <f>SUM(C12:C18)-C15</f>
        <v>5278353</v>
      </c>
      <c r="D11" s="348">
        <f t="shared" ref="D11:J11" si="4">SUM(D12:D18)-D15</f>
        <v>0</v>
      </c>
      <c r="E11" s="348">
        <f t="shared" si="4"/>
        <v>0</v>
      </c>
      <c r="F11" s="348">
        <f t="shared" si="4"/>
        <v>40000000</v>
      </c>
      <c r="G11" s="348">
        <f t="shared" si="4"/>
        <v>47569200</v>
      </c>
      <c r="H11" s="348">
        <f t="shared" si="4"/>
        <v>101000000</v>
      </c>
      <c r="I11" s="348">
        <f t="shared" si="4"/>
        <v>3000000</v>
      </c>
      <c r="J11" s="348">
        <f t="shared" si="4"/>
        <v>34330550</v>
      </c>
      <c r="K11" s="348">
        <f t="shared" si="0"/>
        <v>231178103</v>
      </c>
      <c r="L11" s="349"/>
      <c r="M11" s="350"/>
      <c r="N11" s="348">
        <f t="shared" si="2"/>
        <v>0</v>
      </c>
      <c r="O11" s="349"/>
      <c r="P11" s="350"/>
      <c r="Q11" s="348">
        <f t="shared" si="3"/>
        <v>0</v>
      </c>
      <c r="R11" s="353"/>
      <c r="S11" s="353"/>
      <c r="T11" s="353"/>
      <c r="U11" s="353"/>
      <c r="V11" s="353"/>
    </row>
    <row r="12" spans="1:22" s="354" customFormat="1" ht="33.75" customHeight="1">
      <c r="A12" s="346" t="s">
        <v>192</v>
      </c>
      <c r="B12" s="347" t="s">
        <v>53</v>
      </c>
      <c r="C12" s="348">
        <f>+'Bank Assets Analysis'!C12-'Bank Assets Analysis'!D12</f>
        <v>0</v>
      </c>
      <c r="D12" s="348">
        <f>+'Bank Assets Analysis'!E12-'Bank Assets Analysis'!F12</f>
        <v>0</v>
      </c>
      <c r="E12" s="348">
        <f>+'Bank Assets Analysis'!G12-'Bank Assets Analysis'!H12</f>
        <v>0</v>
      </c>
      <c r="F12" s="348">
        <f>+'Bank Assets Analysis'!I12-'Bank Assets Analysis'!J12</f>
        <v>0</v>
      </c>
      <c r="G12" s="348">
        <f>+'Bank Assets Analysis'!K12-'Bank Assets Analysis'!L12</f>
        <v>0</v>
      </c>
      <c r="H12" s="348">
        <f>+'Bank Assets Analysis'!M12-'Bank Assets Analysis'!N12</f>
        <v>0</v>
      </c>
      <c r="I12" s="348">
        <f>+'Bank Assets Analysis'!O12-'Bank Assets Analysis'!P12</f>
        <v>0</v>
      </c>
      <c r="J12" s="348">
        <f>+'Bank Assets Analysis'!Q12-'Bank Assets Analysis'!R12</f>
        <v>0</v>
      </c>
      <c r="K12" s="348">
        <f t="shared" si="0"/>
        <v>0</v>
      </c>
      <c r="L12" s="349">
        <v>1</v>
      </c>
      <c r="M12" s="350">
        <f>+C12</f>
        <v>0</v>
      </c>
      <c r="N12" s="351">
        <f t="shared" si="2"/>
        <v>0</v>
      </c>
      <c r="O12" s="349">
        <v>1</v>
      </c>
      <c r="P12" s="350">
        <f>+C12</f>
        <v>0</v>
      </c>
      <c r="Q12" s="351">
        <f t="shared" si="3"/>
        <v>0</v>
      </c>
      <c r="R12" s="353"/>
      <c r="S12" s="353"/>
      <c r="T12" s="353"/>
      <c r="U12" s="353"/>
      <c r="V12" s="353"/>
    </row>
    <row r="13" spans="1:22" s="354" customFormat="1" ht="33.75" customHeight="1">
      <c r="A13" s="346" t="s">
        <v>193</v>
      </c>
      <c r="B13" s="347" t="s">
        <v>503</v>
      </c>
      <c r="C13" s="348">
        <f>+'Bank Assets Analysis'!C13-'Bank Assets Analysis'!D13</f>
        <v>0</v>
      </c>
      <c r="D13" s="348">
        <f>+'Bank Assets Analysis'!E13-'Bank Assets Analysis'!F13</f>
        <v>0</v>
      </c>
      <c r="E13" s="348">
        <f>+'Bank Assets Analysis'!G13-'Bank Assets Analysis'!H13</f>
        <v>0</v>
      </c>
      <c r="F13" s="348">
        <f>+'Bank Assets Analysis'!I13-'Bank Assets Analysis'!J13</f>
        <v>0</v>
      </c>
      <c r="G13" s="348">
        <f>+'Bank Assets Analysis'!K13-'Bank Assets Analysis'!L13</f>
        <v>0</v>
      </c>
      <c r="H13" s="348">
        <f>+'Bank Assets Analysis'!M13-'Bank Assets Analysis'!N13</f>
        <v>0</v>
      </c>
      <c r="I13" s="348">
        <f>+'Bank Assets Analysis'!O13-'Bank Assets Analysis'!P13</f>
        <v>0</v>
      </c>
      <c r="J13" s="348">
        <f>+'Bank Assets Analysis'!Q13-'Bank Assets Analysis'!R13</f>
        <v>0</v>
      </c>
      <c r="K13" s="348">
        <f t="shared" ref="K13:K15" si="5">+C13+D13+E13+F13+G13+H13+I13+J13</f>
        <v>0</v>
      </c>
      <c r="L13" s="349">
        <v>1</v>
      </c>
      <c r="M13" s="350">
        <f>+C13</f>
        <v>0</v>
      </c>
      <c r="N13" s="351">
        <f t="shared" ref="N13:N15" si="6">+M13*L13</f>
        <v>0</v>
      </c>
      <c r="O13" s="349">
        <v>1</v>
      </c>
      <c r="P13" s="350">
        <f>+C13</f>
        <v>0</v>
      </c>
      <c r="Q13" s="351">
        <f t="shared" si="3"/>
        <v>0</v>
      </c>
      <c r="R13" s="353"/>
      <c r="S13" s="353"/>
      <c r="T13" s="353"/>
      <c r="U13" s="353"/>
      <c r="V13" s="353"/>
    </row>
    <row r="14" spans="1:22" s="354" customFormat="1" ht="33.75" customHeight="1">
      <c r="A14" s="346" t="s">
        <v>22</v>
      </c>
      <c r="B14" s="347" t="s">
        <v>468</v>
      </c>
      <c r="C14" s="348">
        <f>+'Bank Assets Analysis'!C14-'Bank Assets Analysis'!D14</f>
        <v>0</v>
      </c>
      <c r="D14" s="348">
        <f>+'Bank Assets Analysis'!E14-'Bank Assets Analysis'!F14</f>
        <v>0</v>
      </c>
      <c r="E14" s="348">
        <f>+'Bank Assets Analysis'!G14-'Bank Assets Analysis'!H14</f>
        <v>0</v>
      </c>
      <c r="F14" s="348">
        <f>+'Bank Assets Analysis'!I14-'Bank Assets Analysis'!J14</f>
        <v>0</v>
      </c>
      <c r="G14" s="348">
        <f>+'Bank Assets Analysis'!K14-'Bank Assets Analysis'!L14</f>
        <v>0</v>
      </c>
      <c r="H14" s="348">
        <f>+'Bank Assets Analysis'!M14-'Bank Assets Analysis'!N14</f>
        <v>0</v>
      </c>
      <c r="I14" s="348">
        <f>+'Bank Assets Analysis'!O14-'Bank Assets Analysis'!P14</f>
        <v>0</v>
      </c>
      <c r="J14" s="348">
        <f>+'Bank Assets Analysis'!Q14-'Bank Assets Analysis'!R14</f>
        <v>0</v>
      </c>
      <c r="K14" s="348">
        <f t="shared" si="5"/>
        <v>0</v>
      </c>
      <c r="L14" s="349">
        <v>1</v>
      </c>
      <c r="M14" s="350">
        <f>+C14-C15</f>
        <v>0</v>
      </c>
      <c r="N14" s="348">
        <f t="shared" si="6"/>
        <v>0</v>
      </c>
      <c r="O14" s="349">
        <v>1</v>
      </c>
      <c r="P14" s="450">
        <f>+C14-C15</f>
        <v>0</v>
      </c>
      <c r="Q14" s="348">
        <f t="shared" si="3"/>
        <v>0</v>
      </c>
      <c r="R14" s="353"/>
      <c r="S14" s="353"/>
      <c r="T14" s="353"/>
      <c r="U14" s="353"/>
      <c r="V14" s="353"/>
    </row>
    <row r="15" spans="1:22" s="354" customFormat="1" ht="33.75" customHeight="1">
      <c r="A15" s="346" t="s">
        <v>509</v>
      </c>
      <c r="B15" s="347" t="s">
        <v>510</v>
      </c>
      <c r="C15" s="348">
        <f>+'Bank Assets Analysis'!C15-'Bank Assets Analysis'!D15</f>
        <v>0</v>
      </c>
      <c r="D15" s="348">
        <f>+'Bank Assets Analysis'!E15-'Bank Assets Analysis'!F15</f>
        <v>0</v>
      </c>
      <c r="E15" s="348">
        <f>+'Bank Assets Analysis'!G15-'Bank Assets Analysis'!H15</f>
        <v>0</v>
      </c>
      <c r="F15" s="348">
        <f>+'Bank Assets Analysis'!I15-'Bank Assets Analysis'!J15</f>
        <v>0</v>
      </c>
      <c r="G15" s="348">
        <f>+'Bank Assets Analysis'!K15-'Bank Assets Analysis'!L15</f>
        <v>0</v>
      </c>
      <c r="H15" s="348">
        <f>+'Bank Assets Analysis'!M15-'Bank Assets Analysis'!N15</f>
        <v>0</v>
      </c>
      <c r="I15" s="348">
        <f>+'Bank Assets Analysis'!O15-'Bank Assets Analysis'!P15</f>
        <v>0</v>
      </c>
      <c r="J15" s="348">
        <f>+'Bank Assets Analysis'!Q15-'Bank Assets Analysis'!R15</f>
        <v>0</v>
      </c>
      <c r="K15" s="348">
        <f t="shared" si="5"/>
        <v>0</v>
      </c>
      <c r="L15" s="349">
        <v>1</v>
      </c>
      <c r="M15" s="350">
        <f>+D15</f>
        <v>0</v>
      </c>
      <c r="N15" s="351">
        <f t="shared" si="6"/>
        <v>0</v>
      </c>
      <c r="O15" s="349">
        <v>1</v>
      </c>
      <c r="P15" s="350">
        <f>+C15</f>
        <v>0</v>
      </c>
      <c r="Q15" s="351">
        <f t="shared" si="3"/>
        <v>0</v>
      </c>
      <c r="R15" s="353"/>
      <c r="S15" s="353"/>
      <c r="T15" s="353"/>
      <c r="U15" s="353"/>
      <c r="V15" s="353"/>
    </row>
    <row r="16" spans="1:22" s="354" customFormat="1" ht="33.75" customHeight="1">
      <c r="A16" s="346" t="s">
        <v>347</v>
      </c>
      <c r="B16" s="347" t="s">
        <v>346</v>
      </c>
      <c r="C16" s="348">
        <f>+'Bank Assets Analysis'!C16-'Bank Assets Analysis'!D16</f>
        <v>52007</v>
      </c>
      <c r="D16" s="348">
        <f>+'Bank Assets Analysis'!E16-'Bank Assets Analysis'!F16</f>
        <v>0</v>
      </c>
      <c r="E16" s="348">
        <f>+'Bank Assets Analysis'!G16-'Bank Assets Analysis'!H16</f>
        <v>0</v>
      </c>
      <c r="F16" s="348">
        <f>+'Bank Assets Analysis'!I16-'Bank Assets Analysis'!J16</f>
        <v>40000000</v>
      </c>
      <c r="G16" s="348">
        <f>+'Bank Assets Analysis'!K16-'Bank Assets Analysis'!L16</f>
        <v>47569200</v>
      </c>
      <c r="H16" s="348">
        <f>+'Bank Assets Analysis'!M16-'Bank Assets Analysis'!N16</f>
        <v>101000000</v>
      </c>
      <c r="I16" s="348">
        <f>+'Bank Assets Analysis'!O16-'Bank Assets Analysis'!P16</f>
        <v>3000000</v>
      </c>
      <c r="J16" s="348">
        <f>+'Bank Assets Analysis'!Q16-'Bank Assets Analysis'!R16</f>
        <v>34330550</v>
      </c>
      <c r="K16" s="348">
        <f t="shared" si="0"/>
        <v>225951757</v>
      </c>
      <c r="L16" s="349">
        <v>1</v>
      </c>
      <c r="M16" s="350">
        <f t="shared" ref="M16:M18" si="7">+C16+D16+E16</f>
        <v>52007</v>
      </c>
      <c r="N16" s="348">
        <f t="shared" si="2"/>
        <v>52007</v>
      </c>
      <c r="O16" s="349">
        <v>1</v>
      </c>
      <c r="P16" s="350">
        <f>+C16+D16+E16+D12+D13+D14-D15</f>
        <v>52007</v>
      </c>
      <c r="Q16" s="348">
        <f t="shared" si="3"/>
        <v>52007</v>
      </c>
      <c r="R16" s="353"/>
      <c r="S16" s="353"/>
      <c r="T16" s="353"/>
      <c r="U16" s="353"/>
      <c r="V16" s="353"/>
    </row>
    <row r="17" spans="1:22" s="354" customFormat="1" ht="33.75" customHeight="1">
      <c r="A17" s="346" t="s">
        <v>469</v>
      </c>
      <c r="B17" s="347" t="s">
        <v>23</v>
      </c>
      <c r="C17" s="348">
        <f>+'Bank Assets Analysis'!C17-'Bank Assets Analysis'!D17</f>
        <v>4724609</v>
      </c>
      <c r="D17" s="348">
        <f>+'Bank Assets Analysis'!E17-'Bank Assets Analysis'!F17</f>
        <v>0</v>
      </c>
      <c r="E17" s="348">
        <f>+'Bank Assets Analysis'!G17-'Bank Assets Analysis'!H17</f>
        <v>0</v>
      </c>
      <c r="F17" s="348">
        <f>+'Bank Assets Analysis'!I17-'Bank Assets Analysis'!J17</f>
        <v>0</v>
      </c>
      <c r="G17" s="348">
        <f>+'Bank Assets Analysis'!K17-'Bank Assets Analysis'!L17</f>
        <v>0</v>
      </c>
      <c r="H17" s="348">
        <f>+'Bank Assets Analysis'!M17-'Bank Assets Analysis'!N17</f>
        <v>0</v>
      </c>
      <c r="I17" s="348">
        <f>+'Bank Assets Analysis'!O17-'Bank Assets Analysis'!P17</f>
        <v>0</v>
      </c>
      <c r="J17" s="348">
        <f>+'Bank Assets Analysis'!Q17-'Bank Assets Analysis'!R17</f>
        <v>0</v>
      </c>
      <c r="K17" s="348">
        <f t="shared" si="0"/>
        <v>4724609</v>
      </c>
      <c r="L17" s="349">
        <v>0.5</v>
      </c>
      <c r="M17" s="350">
        <f t="shared" si="7"/>
        <v>4724609</v>
      </c>
      <c r="N17" s="348">
        <f t="shared" si="2"/>
        <v>2362304.5</v>
      </c>
      <c r="O17" s="326">
        <v>1</v>
      </c>
      <c r="P17" s="350">
        <f>+C17+D17+E17</f>
        <v>4724609</v>
      </c>
      <c r="Q17" s="348">
        <f t="shared" si="3"/>
        <v>4724609</v>
      </c>
      <c r="R17" s="353"/>
      <c r="S17" s="353"/>
      <c r="T17" s="353"/>
      <c r="U17" s="353"/>
      <c r="V17" s="353"/>
    </row>
    <row r="18" spans="1:22" s="354" customFormat="1" ht="33.75" customHeight="1">
      <c r="A18" s="346" t="s">
        <v>470</v>
      </c>
      <c r="B18" s="347" t="s">
        <v>32</v>
      </c>
      <c r="C18" s="348">
        <f>+'Bank Assets Analysis'!C18-'Bank Assets Analysis'!D18</f>
        <v>501737</v>
      </c>
      <c r="D18" s="348">
        <f>+'Bank Assets Analysis'!E18-'Bank Assets Analysis'!F18</f>
        <v>0</v>
      </c>
      <c r="E18" s="348">
        <f>+'Bank Assets Analysis'!G18-'Bank Assets Analysis'!H18</f>
        <v>0</v>
      </c>
      <c r="F18" s="348">
        <f>+'Bank Assets Analysis'!I18-'Bank Assets Analysis'!J18</f>
        <v>0</v>
      </c>
      <c r="G18" s="348">
        <f>+'Bank Assets Analysis'!K18-'Bank Assets Analysis'!L18</f>
        <v>0</v>
      </c>
      <c r="H18" s="348">
        <f>+'Bank Assets Analysis'!M18-'Bank Assets Analysis'!N18</f>
        <v>0</v>
      </c>
      <c r="I18" s="348">
        <f>+'Bank Assets Analysis'!O18-'Bank Assets Analysis'!P18</f>
        <v>0</v>
      </c>
      <c r="J18" s="348">
        <f>+'Bank Assets Analysis'!Q18-'Bank Assets Analysis'!R18</f>
        <v>0</v>
      </c>
      <c r="K18" s="348">
        <f t="shared" si="0"/>
        <v>501737</v>
      </c>
      <c r="L18" s="349">
        <v>0.3</v>
      </c>
      <c r="M18" s="350">
        <f t="shared" si="7"/>
        <v>501737</v>
      </c>
      <c r="N18" s="348">
        <f>+M18*L18</f>
        <v>150521.1</v>
      </c>
      <c r="O18" s="326">
        <v>1</v>
      </c>
      <c r="P18" s="350">
        <f>+C18+D18+E18</f>
        <v>501737</v>
      </c>
      <c r="Q18" s="348">
        <f>+P18*O18</f>
        <v>501737</v>
      </c>
      <c r="R18" s="353"/>
      <c r="S18" s="353"/>
      <c r="T18" s="353"/>
      <c r="U18" s="353"/>
      <c r="V18" s="353"/>
    </row>
    <row r="19" spans="1:22" s="354" customFormat="1" ht="33.75" customHeight="1">
      <c r="A19" s="346" t="s">
        <v>133</v>
      </c>
      <c r="B19" s="347" t="s">
        <v>134</v>
      </c>
      <c r="C19" s="348">
        <f>SUM(C20:C25)-C21</f>
        <v>2938414</v>
      </c>
      <c r="D19" s="348">
        <f t="shared" ref="D19:J19" si="8">SUM(D20:D25)-D21</f>
        <v>0</v>
      </c>
      <c r="E19" s="348">
        <f t="shared" si="8"/>
        <v>48000000</v>
      </c>
      <c r="F19" s="348">
        <f t="shared" si="8"/>
        <v>0</v>
      </c>
      <c r="G19" s="348">
        <f t="shared" si="8"/>
        <v>102000000</v>
      </c>
      <c r="H19" s="348">
        <f t="shared" si="8"/>
        <v>50000000</v>
      </c>
      <c r="I19" s="348">
        <f t="shared" si="8"/>
        <v>0</v>
      </c>
      <c r="J19" s="348">
        <f t="shared" si="8"/>
        <v>0</v>
      </c>
      <c r="K19" s="348">
        <f t="shared" si="0"/>
        <v>202938414</v>
      </c>
      <c r="L19" s="349"/>
      <c r="M19" s="350"/>
      <c r="N19" s="348">
        <f t="shared" si="2"/>
        <v>0</v>
      </c>
      <c r="O19" s="349"/>
      <c r="P19" s="350"/>
      <c r="Q19" s="348">
        <f t="shared" ref="Q19:Q44" si="9">+P19*O19</f>
        <v>0</v>
      </c>
      <c r="R19" s="353"/>
      <c r="S19" s="353"/>
      <c r="T19" s="353"/>
      <c r="U19" s="353"/>
      <c r="V19" s="353"/>
    </row>
    <row r="20" spans="1:22" s="354" customFormat="1" ht="33.75" customHeight="1">
      <c r="A20" s="346" t="s">
        <v>194</v>
      </c>
      <c r="B20" s="347" t="s">
        <v>24</v>
      </c>
      <c r="C20" s="348">
        <f>+'Bank Assets Analysis'!C20-'Bank Assets Analysis'!D20</f>
        <v>0</v>
      </c>
      <c r="D20" s="348">
        <f>+'Bank Assets Analysis'!E20-'Bank Assets Analysis'!F20</f>
        <v>0</v>
      </c>
      <c r="E20" s="348">
        <f>+'Bank Assets Analysis'!G20-'Bank Assets Analysis'!H20</f>
        <v>48000000</v>
      </c>
      <c r="F20" s="348">
        <f>+'Bank Assets Analysis'!I20-'Bank Assets Analysis'!J20</f>
        <v>0</v>
      </c>
      <c r="G20" s="348">
        <f>+'Bank Assets Analysis'!K20-'Bank Assets Analysis'!L20</f>
        <v>102000000</v>
      </c>
      <c r="H20" s="348">
        <f>+'Bank Assets Analysis'!M20-'Bank Assets Analysis'!N20</f>
        <v>50000000</v>
      </c>
      <c r="I20" s="348">
        <f>+'Bank Assets Analysis'!O20-'Bank Assets Analysis'!P20</f>
        <v>0</v>
      </c>
      <c r="J20" s="348">
        <f>+'Bank Assets Analysis'!Q20-'Bank Assets Analysis'!R20</f>
        <v>0</v>
      </c>
      <c r="K20" s="348">
        <f t="shared" si="0"/>
        <v>200000000</v>
      </c>
      <c r="L20" s="349">
        <v>1</v>
      </c>
      <c r="M20" s="350">
        <f>+K20-K21</f>
        <v>200000000</v>
      </c>
      <c r="N20" s="351">
        <f t="shared" si="2"/>
        <v>200000000</v>
      </c>
      <c r="O20" s="349">
        <v>1</v>
      </c>
      <c r="P20" s="350">
        <f>+K20-K21</f>
        <v>200000000</v>
      </c>
      <c r="Q20" s="351">
        <f t="shared" si="9"/>
        <v>200000000</v>
      </c>
      <c r="R20" s="353"/>
      <c r="S20" s="353"/>
      <c r="T20" s="353"/>
      <c r="U20" s="353"/>
      <c r="V20" s="353"/>
    </row>
    <row r="21" spans="1:22" s="354" customFormat="1" ht="48" customHeight="1">
      <c r="A21" s="346" t="s">
        <v>543</v>
      </c>
      <c r="B21" s="347" t="s">
        <v>551</v>
      </c>
      <c r="C21" s="348">
        <f>+'Bank Assets Analysis'!C21-'Bank Assets Analysis'!D21</f>
        <v>0</v>
      </c>
      <c r="D21" s="348">
        <f>+'Bank Assets Analysis'!E21-'Bank Assets Analysis'!F21</f>
        <v>0</v>
      </c>
      <c r="E21" s="348">
        <f>+'Bank Assets Analysis'!G21-'Bank Assets Analysis'!H21</f>
        <v>0</v>
      </c>
      <c r="F21" s="348">
        <f>+'Bank Assets Analysis'!I21-'Bank Assets Analysis'!J21</f>
        <v>0</v>
      </c>
      <c r="G21" s="348">
        <f>+'Bank Assets Analysis'!K21-'Bank Assets Analysis'!L21</f>
        <v>0</v>
      </c>
      <c r="H21" s="348">
        <f>+'Bank Assets Analysis'!M21-'Bank Assets Analysis'!N21</f>
        <v>0</v>
      </c>
      <c r="I21" s="348">
        <f>+'Bank Assets Analysis'!O21-'Bank Assets Analysis'!P21</f>
        <v>0</v>
      </c>
      <c r="J21" s="348">
        <f>+'Bank Assets Analysis'!Q21-'Bank Assets Analysis'!R21</f>
        <v>0</v>
      </c>
      <c r="K21" s="348">
        <f t="shared" si="0"/>
        <v>0</v>
      </c>
      <c r="L21" s="349">
        <v>1</v>
      </c>
      <c r="M21" s="450">
        <f>SUM(C21:E21)</f>
        <v>0</v>
      </c>
      <c r="N21" s="348">
        <f>+M21*L21</f>
        <v>0</v>
      </c>
      <c r="O21" s="349">
        <v>1</v>
      </c>
      <c r="P21" s="450">
        <f>SUM(C21:E21)</f>
        <v>0</v>
      </c>
      <c r="Q21" s="348">
        <f>+P21*O21</f>
        <v>0</v>
      </c>
      <c r="R21" s="353"/>
      <c r="S21" s="353"/>
      <c r="T21" s="353"/>
      <c r="U21" s="353"/>
      <c r="V21" s="353"/>
    </row>
    <row r="22" spans="1:22" s="354" customFormat="1" ht="33.75" customHeight="1">
      <c r="A22" s="346" t="s">
        <v>30</v>
      </c>
      <c r="B22" s="347" t="s">
        <v>45</v>
      </c>
      <c r="C22" s="348">
        <f>+'Bank Assets Analysis'!C22-'Bank Assets Analysis'!D22</f>
        <v>0</v>
      </c>
      <c r="D22" s="348">
        <f>+'Bank Assets Analysis'!E22-'Bank Assets Analysis'!F22</f>
        <v>0</v>
      </c>
      <c r="E22" s="348">
        <f>+'Bank Assets Analysis'!G22-'Bank Assets Analysis'!H22</f>
        <v>0</v>
      </c>
      <c r="F22" s="348">
        <f>+'Bank Assets Analysis'!I22-'Bank Assets Analysis'!J22</f>
        <v>0</v>
      </c>
      <c r="G22" s="348">
        <f>+'Bank Assets Analysis'!K22-'Bank Assets Analysis'!L22</f>
        <v>0</v>
      </c>
      <c r="H22" s="348">
        <f>+'Bank Assets Analysis'!M22-'Bank Assets Analysis'!N22</f>
        <v>0</v>
      </c>
      <c r="I22" s="348">
        <f>+'Bank Assets Analysis'!O22-'Bank Assets Analysis'!P22</f>
        <v>0</v>
      </c>
      <c r="J22" s="348">
        <f>+'Bank Assets Analysis'!Q22-'Bank Assets Analysis'!R22</f>
        <v>0</v>
      </c>
      <c r="K22" s="348">
        <f t="shared" si="0"/>
        <v>0</v>
      </c>
      <c r="L22" s="349">
        <v>1</v>
      </c>
      <c r="M22" s="350">
        <f>+K22</f>
        <v>0</v>
      </c>
      <c r="N22" s="351">
        <f t="shared" si="2"/>
        <v>0</v>
      </c>
      <c r="O22" s="349">
        <v>1</v>
      </c>
      <c r="P22" s="350">
        <f>+K22</f>
        <v>0</v>
      </c>
      <c r="Q22" s="351">
        <f t="shared" si="9"/>
        <v>0</v>
      </c>
      <c r="R22" s="353"/>
      <c r="S22" s="353"/>
      <c r="T22" s="353"/>
      <c r="U22" s="353"/>
      <c r="V22" s="353"/>
    </row>
    <row r="23" spans="1:22" s="354" customFormat="1" ht="70.5" customHeight="1">
      <c r="A23" s="346" t="s">
        <v>31</v>
      </c>
      <c r="B23" s="347" t="s">
        <v>461</v>
      </c>
      <c r="C23" s="348">
        <f>+'Bank Assets Analysis'!C23-'Bank Assets Analysis'!D23</f>
        <v>0</v>
      </c>
      <c r="D23" s="348">
        <f>+'Bank Assets Analysis'!E23-'Bank Assets Analysis'!F23</f>
        <v>0</v>
      </c>
      <c r="E23" s="348">
        <f>+'Bank Assets Analysis'!G23-'Bank Assets Analysis'!H23</f>
        <v>0</v>
      </c>
      <c r="F23" s="348">
        <f>+'Bank Assets Analysis'!I23-'Bank Assets Analysis'!J23</f>
        <v>0</v>
      </c>
      <c r="G23" s="348">
        <f>+'Bank Assets Analysis'!K23-'Bank Assets Analysis'!L23</f>
        <v>0</v>
      </c>
      <c r="H23" s="348">
        <f>+'Bank Assets Analysis'!M23-'Bank Assets Analysis'!N23</f>
        <v>0</v>
      </c>
      <c r="I23" s="348">
        <f>+'Bank Assets Analysis'!O23-'Bank Assets Analysis'!P23</f>
        <v>0</v>
      </c>
      <c r="J23" s="348">
        <f>+'Bank Assets Analysis'!Q23-'Bank Assets Analysis'!R23</f>
        <v>0</v>
      </c>
      <c r="K23" s="348">
        <f t="shared" ref="K23" si="10">+C23+D23+E23+F23+G23+H23+I23+J23</f>
        <v>0</v>
      </c>
      <c r="L23" s="349">
        <v>1</v>
      </c>
      <c r="M23" s="350">
        <f>+K23</f>
        <v>0</v>
      </c>
      <c r="N23" s="351">
        <f t="shared" ref="N23" si="11">+M23*L23</f>
        <v>0</v>
      </c>
      <c r="O23" s="349">
        <v>1</v>
      </c>
      <c r="P23" s="350">
        <f>+K23</f>
        <v>0</v>
      </c>
      <c r="Q23" s="351">
        <f t="shared" si="9"/>
        <v>0</v>
      </c>
      <c r="R23" s="353"/>
      <c r="S23" s="353"/>
      <c r="T23" s="353"/>
      <c r="U23" s="353"/>
      <c r="V23" s="353"/>
    </row>
    <row r="24" spans="1:22" s="354" customFormat="1" ht="33.75" customHeight="1">
      <c r="A24" s="346" t="s">
        <v>43</v>
      </c>
      <c r="B24" s="347" t="s">
        <v>44</v>
      </c>
      <c r="C24" s="348">
        <f>+'Bank Assets Analysis'!C24-'Bank Assets Analysis'!D24</f>
        <v>0</v>
      </c>
      <c r="D24" s="348">
        <f>+'Bank Assets Analysis'!E24-'Bank Assets Analysis'!F24</f>
        <v>0</v>
      </c>
      <c r="E24" s="348">
        <f>+'Bank Assets Analysis'!G24-'Bank Assets Analysis'!H24</f>
        <v>0</v>
      </c>
      <c r="F24" s="348">
        <f>+'Bank Assets Analysis'!I24-'Bank Assets Analysis'!J24</f>
        <v>0</v>
      </c>
      <c r="G24" s="348">
        <f>+'Bank Assets Analysis'!K24-'Bank Assets Analysis'!L24</f>
        <v>0</v>
      </c>
      <c r="H24" s="348">
        <f>+'Bank Assets Analysis'!M24-'Bank Assets Analysis'!N24</f>
        <v>0</v>
      </c>
      <c r="I24" s="348">
        <f>+'Bank Assets Analysis'!O24-'Bank Assets Analysis'!P24</f>
        <v>0</v>
      </c>
      <c r="J24" s="348">
        <f>+'Bank Assets Analysis'!Q24-'Bank Assets Analysis'!R24</f>
        <v>0</v>
      </c>
      <c r="K24" s="348">
        <f t="shared" si="0"/>
        <v>0</v>
      </c>
      <c r="L24" s="349">
        <v>1</v>
      </c>
      <c r="M24" s="350">
        <f>+K24</f>
        <v>0</v>
      </c>
      <c r="N24" s="351">
        <f t="shared" si="2"/>
        <v>0</v>
      </c>
      <c r="O24" s="349">
        <v>1</v>
      </c>
      <c r="P24" s="350">
        <f>+D24+E24</f>
        <v>0</v>
      </c>
      <c r="Q24" s="351">
        <f t="shared" si="9"/>
        <v>0</v>
      </c>
      <c r="R24" s="353"/>
      <c r="S24" s="353"/>
      <c r="T24" s="353"/>
      <c r="U24" s="353"/>
      <c r="V24" s="353"/>
    </row>
    <row r="25" spans="1:22" s="354" customFormat="1" ht="33.75" customHeight="1">
      <c r="A25" s="346" t="s">
        <v>471</v>
      </c>
      <c r="B25" s="347" t="s">
        <v>21</v>
      </c>
      <c r="C25" s="348">
        <f>+'Bank Assets Analysis'!C25-'Bank Assets Analysis'!D25</f>
        <v>2938414</v>
      </c>
      <c r="D25" s="348">
        <f>+'Bank Assets Analysis'!E25-'Bank Assets Analysis'!F25</f>
        <v>0</v>
      </c>
      <c r="E25" s="348">
        <f>+'Bank Assets Analysis'!G25-'Bank Assets Analysis'!H25</f>
        <v>0</v>
      </c>
      <c r="F25" s="348">
        <f>+'Bank Assets Analysis'!I25-'Bank Assets Analysis'!J25</f>
        <v>0</v>
      </c>
      <c r="G25" s="348">
        <f>+'Bank Assets Analysis'!K25-'Bank Assets Analysis'!L25</f>
        <v>0</v>
      </c>
      <c r="H25" s="348">
        <f>+'Bank Assets Analysis'!M25-'Bank Assets Analysis'!N25</f>
        <v>0</v>
      </c>
      <c r="I25" s="348">
        <f>+'Bank Assets Analysis'!O25-'Bank Assets Analysis'!P25</f>
        <v>0</v>
      </c>
      <c r="J25" s="348">
        <f>+'Bank Assets Analysis'!Q25-'Bank Assets Analysis'!R25</f>
        <v>0</v>
      </c>
      <c r="K25" s="348">
        <f t="shared" si="0"/>
        <v>2938414</v>
      </c>
      <c r="L25" s="349">
        <v>0</v>
      </c>
      <c r="M25" s="350"/>
      <c r="N25" s="348"/>
      <c r="O25" s="349">
        <v>0</v>
      </c>
      <c r="P25" s="350"/>
      <c r="Q25" s="348"/>
      <c r="R25" s="353"/>
      <c r="S25" s="353"/>
      <c r="T25" s="353"/>
      <c r="U25" s="353"/>
      <c r="V25" s="353"/>
    </row>
    <row r="26" spans="1:22" s="354" customFormat="1" ht="33.75" customHeight="1">
      <c r="A26" s="346" t="s">
        <v>135</v>
      </c>
      <c r="B26" s="347" t="s">
        <v>136</v>
      </c>
      <c r="C26" s="348">
        <f>+'Bank Assets Analysis'!C26-'Bank Assets Analysis'!D26</f>
        <v>0</v>
      </c>
      <c r="D26" s="348">
        <f>+'Bank Assets Analysis'!E26-'Bank Assets Analysis'!F26</f>
        <v>0</v>
      </c>
      <c r="E26" s="348">
        <f>+'Bank Assets Analysis'!G26-'Bank Assets Analysis'!H26</f>
        <v>0</v>
      </c>
      <c r="F26" s="348">
        <f>+'Bank Assets Analysis'!I26-'Bank Assets Analysis'!J26</f>
        <v>0</v>
      </c>
      <c r="G26" s="348">
        <f>+'Bank Assets Analysis'!K26-'Bank Assets Analysis'!L26</f>
        <v>0</v>
      </c>
      <c r="H26" s="348">
        <f>+'Bank Assets Analysis'!M26-'Bank Assets Analysis'!N26</f>
        <v>0</v>
      </c>
      <c r="I26" s="348">
        <f>+'Bank Assets Analysis'!O26-'Bank Assets Analysis'!P26</f>
        <v>0</v>
      </c>
      <c r="J26" s="348">
        <f>+'Bank Assets Analysis'!Q26-'Bank Assets Analysis'!R26</f>
        <v>0</v>
      </c>
      <c r="K26" s="348">
        <f t="shared" si="0"/>
        <v>0</v>
      </c>
      <c r="L26" s="349">
        <v>0.3</v>
      </c>
      <c r="M26" s="350">
        <f t="shared" ref="M26:M29" si="12">+C26+D26+E26</f>
        <v>0</v>
      </c>
      <c r="N26" s="348">
        <f t="shared" si="2"/>
        <v>0</v>
      </c>
      <c r="O26" s="349">
        <v>0.3</v>
      </c>
      <c r="P26" s="350">
        <f>+D26+E26</f>
        <v>0</v>
      </c>
      <c r="Q26" s="348">
        <f t="shared" si="9"/>
        <v>0</v>
      </c>
      <c r="R26" s="353"/>
      <c r="S26" s="353"/>
      <c r="T26" s="353"/>
      <c r="U26" s="353"/>
      <c r="V26" s="353"/>
    </row>
    <row r="27" spans="1:22" s="354" customFormat="1" ht="33.75" customHeight="1">
      <c r="A27" s="346" t="s">
        <v>137</v>
      </c>
      <c r="B27" s="347" t="s">
        <v>138</v>
      </c>
      <c r="C27" s="348">
        <f>+'Bank Assets Analysis'!C27-'Bank Assets Analysis'!D27</f>
        <v>0</v>
      </c>
      <c r="D27" s="348">
        <f>+'Bank Assets Analysis'!E27-'Bank Assets Analysis'!F27</f>
        <v>0</v>
      </c>
      <c r="E27" s="348">
        <f>+'Bank Assets Analysis'!G27-'Bank Assets Analysis'!H27</f>
        <v>0</v>
      </c>
      <c r="F27" s="348">
        <f>+'Bank Assets Analysis'!I27-'Bank Assets Analysis'!J27</f>
        <v>0</v>
      </c>
      <c r="G27" s="348">
        <f>+'Bank Assets Analysis'!K27-'Bank Assets Analysis'!L27</f>
        <v>0</v>
      </c>
      <c r="H27" s="348">
        <f>+'Bank Assets Analysis'!M27-'Bank Assets Analysis'!N27</f>
        <v>0</v>
      </c>
      <c r="I27" s="348">
        <f>+'Bank Assets Analysis'!O27-'Bank Assets Analysis'!P27</f>
        <v>0</v>
      </c>
      <c r="J27" s="348">
        <f>+'Bank Assets Analysis'!Q27-'Bank Assets Analysis'!R27</f>
        <v>0</v>
      </c>
      <c r="K27" s="348">
        <f t="shared" si="0"/>
        <v>0</v>
      </c>
      <c r="L27" s="349">
        <v>0.3</v>
      </c>
      <c r="M27" s="350">
        <f t="shared" si="12"/>
        <v>0</v>
      </c>
      <c r="N27" s="348">
        <f t="shared" si="2"/>
        <v>0</v>
      </c>
      <c r="O27" s="349">
        <v>0.3</v>
      </c>
      <c r="P27" s="350">
        <f>+D27+E27</f>
        <v>0</v>
      </c>
      <c r="Q27" s="348">
        <f t="shared" si="9"/>
        <v>0</v>
      </c>
      <c r="R27" s="353"/>
      <c r="S27" s="353"/>
      <c r="T27" s="353"/>
      <c r="U27" s="353"/>
      <c r="V27" s="353"/>
    </row>
    <row r="28" spans="1:22" s="354" customFormat="1" ht="33.75" customHeight="1">
      <c r="A28" s="346" t="s">
        <v>139</v>
      </c>
      <c r="B28" s="347" t="s">
        <v>140</v>
      </c>
      <c r="C28" s="348">
        <f>+'Bank Assets Analysis'!C28-'Bank Assets Analysis'!D28</f>
        <v>0</v>
      </c>
      <c r="D28" s="348">
        <f>+'Bank Assets Analysis'!E28-'Bank Assets Analysis'!F28</f>
        <v>0</v>
      </c>
      <c r="E28" s="348">
        <f>+'Bank Assets Analysis'!G28-'Bank Assets Analysis'!H28</f>
        <v>0</v>
      </c>
      <c r="F28" s="348">
        <f>+'Bank Assets Analysis'!I28-'Bank Assets Analysis'!J28</f>
        <v>0</v>
      </c>
      <c r="G28" s="348">
        <f>+'Bank Assets Analysis'!K28-'Bank Assets Analysis'!L28</f>
        <v>0</v>
      </c>
      <c r="H28" s="348">
        <f>+'Bank Assets Analysis'!M28-'Bank Assets Analysis'!N28</f>
        <v>0</v>
      </c>
      <c r="I28" s="348">
        <f>+'Bank Assets Analysis'!O28-'Bank Assets Analysis'!P28</f>
        <v>0</v>
      </c>
      <c r="J28" s="348">
        <f>+'Bank Assets Analysis'!Q28-'Bank Assets Analysis'!R28</f>
        <v>0</v>
      </c>
      <c r="K28" s="348">
        <f t="shared" si="0"/>
        <v>0</v>
      </c>
      <c r="L28" s="349">
        <v>0.3</v>
      </c>
      <c r="M28" s="350">
        <f t="shared" si="12"/>
        <v>0</v>
      </c>
      <c r="N28" s="348">
        <f t="shared" si="2"/>
        <v>0</v>
      </c>
      <c r="O28" s="349">
        <v>0.3</v>
      </c>
      <c r="P28" s="350">
        <f>+D28+E28</f>
        <v>0</v>
      </c>
      <c r="Q28" s="348">
        <f t="shared" si="9"/>
        <v>0</v>
      </c>
      <c r="R28" s="353"/>
      <c r="S28" s="353"/>
      <c r="T28" s="353"/>
      <c r="U28" s="353"/>
      <c r="V28" s="353"/>
    </row>
    <row r="29" spans="1:22" s="354" customFormat="1" ht="33.75" customHeight="1">
      <c r="A29" s="346" t="s">
        <v>141</v>
      </c>
      <c r="B29" s="347" t="s">
        <v>142</v>
      </c>
      <c r="C29" s="348">
        <f>+'Bank Assets Analysis'!C29-'Bank Assets Analysis'!D29</f>
        <v>0</v>
      </c>
      <c r="D29" s="348">
        <f>+'Bank Assets Analysis'!E29-'Bank Assets Analysis'!F29</f>
        <v>0</v>
      </c>
      <c r="E29" s="348">
        <f>+'Bank Assets Analysis'!G29-'Bank Assets Analysis'!H29</f>
        <v>0</v>
      </c>
      <c r="F29" s="348">
        <f>+'Bank Assets Analysis'!I29-'Bank Assets Analysis'!J29</f>
        <v>0</v>
      </c>
      <c r="G29" s="348">
        <f>+'Bank Assets Analysis'!K29-'Bank Assets Analysis'!L29</f>
        <v>0</v>
      </c>
      <c r="H29" s="348">
        <f>+'Bank Assets Analysis'!M29-'Bank Assets Analysis'!N29</f>
        <v>0</v>
      </c>
      <c r="I29" s="348">
        <f>+'Bank Assets Analysis'!O29-'Bank Assets Analysis'!P29</f>
        <v>0</v>
      </c>
      <c r="J29" s="348">
        <f>+'Bank Assets Analysis'!Q29-'Bank Assets Analysis'!R29</f>
        <v>0</v>
      </c>
      <c r="K29" s="348">
        <f t="shared" si="0"/>
        <v>0</v>
      </c>
      <c r="L29" s="349">
        <v>1</v>
      </c>
      <c r="M29" s="350">
        <f t="shared" si="12"/>
        <v>0</v>
      </c>
      <c r="N29" s="348">
        <f t="shared" si="2"/>
        <v>0</v>
      </c>
      <c r="O29" s="349">
        <v>1</v>
      </c>
      <c r="P29" s="350">
        <f>C29+D29+E29</f>
        <v>0</v>
      </c>
      <c r="Q29" s="348">
        <f t="shared" si="9"/>
        <v>0</v>
      </c>
      <c r="R29" s="353"/>
      <c r="S29" s="353"/>
      <c r="T29" s="353"/>
      <c r="U29" s="353"/>
      <c r="V29" s="353"/>
    </row>
    <row r="30" spans="1:22" s="354" customFormat="1" ht="33.75" customHeight="1">
      <c r="A30" s="346" t="s">
        <v>143</v>
      </c>
      <c r="B30" s="347" t="s">
        <v>144</v>
      </c>
      <c r="C30" s="348">
        <f>+'Bank Assets Analysis'!C30-'Bank Assets Analysis'!D30</f>
        <v>0</v>
      </c>
      <c r="D30" s="348">
        <f>+'Bank Assets Analysis'!E30-'Bank Assets Analysis'!F30</f>
        <v>0</v>
      </c>
      <c r="E30" s="348">
        <f>+'Bank Assets Analysis'!G30-'Bank Assets Analysis'!H30</f>
        <v>0</v>
      </c>
      <c r="F30" s="348">
        <f>+'Bank Assets Analysis'!I30-'Bank Assets Analysis'!J30</f>
        <v>0</v>
      </c>
      <c r="G30" s="348">
        <f>+'Bank Assets Analysis'!K30-'Bank Assets Analysis'!L30</f>
        <v>0</v>
      </c>
      <c r="H30" s="348">
        <f>+'Bank Assets Analysis'!M30-'Bank Assets Analysis'!N30</f>
        <v>0</v>
      </c>
      <c r="I30" s="348">
        <f>+'Bank Assets Analysis'!O30-'Bank Assets Analysis'!P30</f>
        <v>0</v>
      </c>
      <c r="J30" s="348">
        <f>+'Bank Assets Analysis'!Q30-'Bank Assets Analysis'!R30</f>
        <v>0</v>
      </c>
      <c r="K30" s="348">
        <f t="shared" si="0"/>
        <v>0</v>
      </c>
      <c r="L30" s="349">
        <v>0.5</v>
      </c>
      <c r="M30" s="350">
        <f>D30+E30</f>
        <v>0</v>
      </c>
      <c r="N30" s="348">
        <f t="shared" si="2"/>
        <v>0</v>
      </c>
      <c r="O30" s="349">
        <v>0.5</v>
      </c>
      <c r="P30" s="350">
        <f>+D30+E30</f>
        <v>0</v>
      </c>
      <c r="Q30" s="348">
        <f t="shared" si="9"/>
        <v>0</v>
      </c>
      <c r="R30" s="353"/>
      <c r="S30" s="353"/>
      <c r="T30" s="353"/>
      <c r="U30" s="353"/>
      <c r="V30" s="353"/>
    </row>
    <row r="31" spans="1:22" s="354" customFormat="1" ht="33.75" customHeight="1">
      <c r="A31" s="346">
        <v>10</v>
      </c>
      <c r="B31" s="347" t="s">
        <v>145</v>
      </c>
      <c r="C31" s="348">
        <f>+'Bank Assets Analysis'!C31-'Bank Assets Analysis'!D31</f>
        <v>85465063</v>
      </c>
      <c r="D31" s="348">
        <f>+'Bank Assets Analysis'!E31-'Bank Assets Analysis'!F31</f>
        <v>130446627</v>
      </c>
      <c r="E31" s="348">
        <f>+'Bank Assets Analysis'!G31-'Bank Assets Analysis'!H31</f>
        <v>26992919</v>
      </c>
      <c r="F31" s="348">
        <f>+'Bank Assets Analysis'!I31-'Bank Assets Analysis'!J31</f>
        <v>451772510</v>
      </c>
      <c r="G31" s="348">
        <f>+'Bank Assets Analysis'!K31-'Bank Assets Analysis'!L31</f>
        <v>701473876</v>
      </c>
      <c r="H31" s="348">
        <f>+'Bank Assets Analysis'!M31-'Bank Assets Analysis'!N31</f>
        <v>1126883068</v>
      </c>
      <c r="I31" s="348">
        <f>+'Bank Assets Analysis'!O31-'Bank Assets Analysis'!P31</f>
        <v>1466143304</v>
      </c>
      <c r="J31" s="348">
        <f>+'Bank Assets Analysis'!Q31-'Bank Assets Analysis'!R31</f>
        <v>1483008711</v>
      </c>
      <c r="K31" s="348">
        <f t="shared" si="0"/>
        <v>5472186078</v>
      </c>
      <c r="L31" s="349">
        <v>0.3</v>
      </c>
      <c r="M31" s="350">
        <f>D31+E31</f>
        <v>157439546</v>
      </c>
      <c r="N31" s="348">
        <f t="shared" si="2"/>
        <v>47231863.799999997</v>
      </c>
      <c r="O31" s="349">
        <v>0.5</v>
      </c>
      <c r="P31" s="350">
        <f>+D31+E31</f>
        <v>157439546</v>
      </c>
      <c r="Q31" s="348">
        <f t="shared" si="9"/>
        <v>78719773</v>
      </c>
      <c r="R31" s="353"/>
      <c r="S31" s="353"/>
      <c r="T31" s="353"/>
      <c r="U31" s="353"/>
      <c r="V31" s="353"/>
    </row>
    <row r="32" spans="1:22" s="354" customFormat="1" ht="33.75" customHeight="1">
      <c r="A32" s="346" t="s">
        <v>544</v>
      </c>
      <c r="B32" s="347" t="s">
        <v>550</v>
      </c>
      <c r="C32" s="348">
        <f>+'Bank Assets Analysis'!C32-'Bank Assets Analysis'!D32</f>
        <v>0</v>
      </c>
      <c r="D32" s="348">
        <f>+'Bank Assets Analysis'!E32-'Bank Assets Analysis'!F32</f>
        <v>56372153</v>
      </c>
      <c r="E32" s="348">
        <f>+'Bank Assets Analysis'!G32-'Bank Assets Analysis'!H32</f>
        <v>16870841</v>
      </c>
      <c r="F32" s="348">
        <f>+'Bank Assets Analysis'!I32-'Bank Assets Analysis'!J32</f>
        <v>184961398</v>
      </c>
      <c r="G32" s="348">
        <f>+'Bank Assets Analysis'!K32-'Bank Assets Analysis'!L32</f>
        <v>313432680</v>
      </c>
      <c r="H32" s="348">
        <f>+'Bank Assets Analysis'!M32-'Bank Assets Analysis'!N32</f>
        <v>533129992</v>
      </c>
      <c r="I32" s="348">
        <f>+'Bank Assets Analysis'!O32-'Bank Assets Analysis'!P32</f>
        <v>682443985</v>
      </c>
      <c r="J32" s="348">
        <f>+'Bank Assets Analysis'!Q32-'Bank Assets Analysis'!R32</f>
        <v>565889805</v>
      </c>
      <c r="K32" s="348">
        <f t="shared" si="0"/>
        <v>2353100854</v>
      </c>
      <c r="L32" s="349">
        <v>0</v>
      </c>
      <c r="M32" s="350"/>
      <c r="N32" s="348"/>
      <c r="O32" s="349">
        <v>0</v>
      </c>
      <c r="P32" s="350"/>
      <c r="Q32" s="348"/>
      <c r="R32" s="353"/>
      <c r="S32" s="353"/>
      <c r="T32" s="353"/>
      <c r="U32" s="353"/>
      <c r="V32" s="353"/>
    </row>
    <row r="33" spans="1:22" s="354" customFormat="1" ht="33.75" customHeight="1">
      <c r="A33" s="346">
        <v>11</v>
      </c>
      <c r="B33" s="347" t="s">
        <v>146</v>
      </c>
      <c r="C33" s="348">
        <f>+'Bank Assets Analysis'!C33-'Bank Assets Analysis'!D33</f>
        <v>-25054</v>
      </c>
      <c r="D33" s="348">
        <f>+'Bank Assets Analysis'!E33-'Bank Assets Analysis'!F33</f>
        <v>0</v>
      </c>
      <c r="E33" s="348">
        <f>+'Bank Assets Analysis'!G33-'Bank Assets Analysis'!H33</f>
        <v>0</v>
      </c>
      <c r="F33" s="348">
        <f>+'Bank Assets Analysis'!I33-'Bank Assets Analysis'!J33</f>
        <v>0</v>
      </c>
      <c r="G33" s="348">
        <f>+'Bank Assets Analysis'!K33-'Bank Assets Analysis'!L33</f>
        <v>0</v>
      </c>
      <c r="H33" s="348">
        <f>+'Bank Assets Analysis'!M33-'Bank Assets Analysis'!N33</f>
        <v>0</v>
      </c>
      <c r="I33" s="348">
        <f>+'Bank Assets Analysis'!O33-'Bank Assets Analysis'!P33</f>
        <v>0</v>
      </c>
      <c r="J33" s="348">
        <f>+'Bank Assets Analysis'!Q33-'Bank Assets Analysis'!R33</f>
        <v>0</v>
      </c>
      <c r="K33" s="348">
        <f t="shared" si="0"/>
        <v>-25054</v>
      </c>
      <c r="L33" s="349">
        <v>0</v>
      </c>
      <c r="M33" s="350"/>
      <c r="N33" s="348"/>
      <c r="O33" s="349">
        <v>0</v>
      </c>
      <c r="P33" s="350"/>
      <c r="Q33" s="348"/>
      <c r="R33" s="353"/>
      <c r="S33" s="353"/>
      <c r="T33" s="353"/>
      <c r="U33" s="353"/>
      <c r="V33" s="353"/>
    </row>
    <row r="34" spans="1:22" s="354" customFormat="1" ht="33.75" customHeight="1">
      <c r="A34" s="346" t="s">
        <v>147</v>
      </c>
      <c r="B34" s="347" t="s">
        <v>148</v>
      </c>
      <c r="C34" s="348">
        <f>+'Bank Assets Analysis'!C34-'Bank Assets Analysis'!D34</f>
        <v>107220</v>
      </c>
      <c r="D34" s="348">
        <f>+'Bank Assets Analysis'!E34-'Bank Assets Analysis'!F34</f>
        <v>0</v>
      </c>
      <c r="E34" s="348">
        <f>+'Bank Assets Analysis'!G34-'Bank Assets Analysis'!H34</f>
        <v>0</v>
      </c>
      <c r="F34" s="348">
        <f>+'Bank Assets Analysis'!I34-'Bank Assets Analysis'!J34</f>
        <v>0</v>
      </c>
      <c r="G34" s="348">
        <f>+'Bank Assets Analysis'!K34-'Bank Assets Analysis'!L34</f>
        <v>0</v>
      </c>
      <c r="H34" s="348">
        <f>+'Bank Assets Analysis'!M34-'Bank Assets Analysis'!N34</f>
        <v>0</v>
      </c>
      <c r="I34" s="348">
        <f>+'Bank Assets Analysis'!O34-'Bank Assets Analysis'!P34</f>
        <v>0</v>
      </c>
      <c r="J34" s="348">
        <f>+'Bank Assets Analysis'!Q34-'Bank Assets Analysis'!R34</f>
        <v>0</v>
      </c>
      <c r="K34" s="348">
        <f t="shared" si="0"/>
        <v>107220</v>
      </c>
      <c r="L34" s="349">
        <v>0</v>
      </c>
      <c r="M34" s="350"/>
      <c r="N34" s="348"/>
      <c r="O34" s="349">
        <v>0</v>
      </c>
      <c r="P34" s="350"/>
      <c r="Q34" s="348"/>
      <c r="R34" s="353"/>
      <c r="S34" s="353"/>
      <c r="T34" s="353"/>
      <c r="U34" s="353"/>
      <c r="V34" s="353"/>
    </row>
    <row r="35" spans="1:22" s="354" customFormat="1" ht="33.75" customHeight="1">
      <c r="A35" s="346" t="s">
        <v>149</v>
      </c>
      <c r="B35" s="347" t="s">
        <v>150</v>
      </c>
      <c r="C35" s="348">
        <f t="shared" ref="C35:J35" si="13">+C36+C37</f>
        <v>0</v>
      </c>
      <c r="D35" s="348">
        <f t="shared" si="13"/>
        <v>0</v>
      </c>
      <c r="E35" s="348">
        <f t="shared" si="13"/>
        <v>0</v>
      </c>
      <c r="F35" s="348">
        <f t="shared" si="13"/>
        <v>0</v>
      </c>
      <c r="G35" s="348">
        <f t="shared" si="13"/>
        <v>0</v>
      </c>
      <c r="H35" s="348">
        <f t="shared" si="13"/>
        <v>0</v>
      </c>
      <c r="I35" s="348">
        <f t="shared" si="13"/>
        <v>0</v>
      </c>
      <c r="J35" s="348">
        <f t="shared" si="13"/>
        <v>0</v>
      </c>
      <c r="K35" s="348">
        <f t="shared" si="0"/>
        <v>0</v>
      </c>
      <c r="L35" s="349"/>
      <c r="M35" s="350"/>
      <c r="N35" s="348"/>
      <c r="O35" s="349"/>
      <c r="P35" s="350"/>
      <c r="Q35" s="348"/>
      <c r="R35" s="353"/>
      <c r="S35" s="353"/>
      <c r="T35" s="353"/>
      <c r="U35" s="353"/>
      <c r="V35" s="353"/>
    </row>
    <row r="36" spans="1:22" s="354" customFormat="1" ht="33.75" customHeight="1">
      <c r="A36" s="346" t="s">
        <v>25</v>
      </c>
      <c r="B36" s="347" t="s">
        <v>514</v>
      </c>
      <c r="C36" s="348">
        <f>+'Bank Assets Analysis'!C36-'Bank Assets Analysis'!D36</f>
        <v>0</v>
      </c>
      <c r="D36" s="348">
        <f>+'Bank Assets Analysis'!E36-'Bank Assets Analysis'!F36</f>
        <v>0</v>
      </c>
      <c r="E36" s="348">
        <f>+'Bank Assets Analysis'!G36-'Bank Assets Analysis'!H36</f>
        <v>0</v>
      </c>
      <c r="F36" s="348">
        <f>+'Bank Assets Analysis'!I36-'Bank Assets Analysis'!J36</f>
        <v>0</v>
      </c>
      <c r="G36" s="348">
        <f>+'Bank Assets Analysis'!K36-'Bank Assets Analysis'!L36</f>
        <v>0</v>
      </c>
      <c r="H36" s="348">
        <f>+'Bank Assets Analysis'!M36-'Bank Assets Analysis'!N36</f>
        <v>0</v>
      </c>
      <c r="I36" s="348">
        <f>+'Bank Assets Analysis'!O36-'Bank Assets Analysis'!P36</f>
        <v>0</v>
      </c>
      <c r="J36" s="348">
        <f>+'Bank Assets Analysis'!Q36-'Bank Assets Analysis'!R36</f>
        <v>0</v>
      </c>
      <c r="K36" s="348">
        <f t="shared" si="0"/>
        <v>0</v>
      </c>
      <c r="L36" s="349">
        <v>1</v>
      </c>
      <c r="M36" s="350">
        <f>+K36</f>
        <v>0</v>
      </c>
      <c r="N36" s="351">
        <f t="shared" si="2"/>
        <v>0</v>
      </c>
      <c r="O36" s="349">
        <v>1</v>
      </c>
      <c r="P36" s="350">
        <f>+K36</f>
        <v>0</v>
      </c>
      <c r="Q36" s="351">
        <f t="shared" si="9"/>
        <v>0</v>
      </c>
      <c r="R36" s="353"/>
      <c r="S36" s="353"/>
      <c r="T36" s="353"/>
      <c r="U36" s="353"/>
      <c r="V36" s="353"/>
    </row>
    <row r="37" spans="1:22" s="354" customFormat="1" ht="33.75" customHeight="1">
      <c r="A37" s="346" t="s">
        <v>528</v>
      </c>
      <c r="B37" s="347" t="s">
        <v>26</v>
      </c>
      <c r="C37" s="348">
        <f>+'Bank Assets Analysis'!C37-'Bank Assets Analysis'!D37</f>
        <v>0</v>
      </c>
      <c r="D37" s="348">
        <f>+'Bank Assets Analysis'!E37-'Bank Assets Analysis'!F37</f>
        <v>0</v>
      </c>
      <c r="E37" s="348">
        <f>+'Bank Assets Analysis'!G37-'Bank Assets Analysis'!H37</f>
        <v>0</v>
      </c>
      <c r="F37" s="348">
        <f>+'Bank Assets Analysis'!I37-'Bank Assets Analysis'!J37</f>
        <v>0</v>
      </c>
      <c r="G37" s="348">
        <f>+'Bank Assets Analysis'!K37-'Bank Assets Analysis'!L37</f>
        <v>0</v>
      </c>
      <c r="H37" s="348">
        <f>+'Bank Assets Analysis'!M37-'Bank Assets Analysis'!N37</f>
        <v>0</v>
      </c>
      <c r="I37" s="348">
        <f>+'Bank Assets Analysis'!O37-'Bank Assets Analysis'!P37</f>
        <v>0</v>
      </c>
      <c r="J37" s="348">
        <f>+'Bank Assets Analysis'!Q37-'Bank Assets Analysis'!R37</f>
        <v>0</v>
      </c>
      <c r="K37" s="348">
        <f t="shared" si="0"/>
        <v>0</v>
      </c>
      <c r="L37" s="349">
        <v>0</v>
      </c>
      <c r="M37" s="350"/>
      <c r="N37" s="348"/>
      <c r="O37" s="349">
        <v>0</v>
      </c>
      <c r="P37" s="350"/>
      <c r="Q37" s="348">
        <f t="shared" si="9"/>
        <v>0</v>
      </c>
      <c r="R37" s="353"/>
      <c r="S37" s="353"/>
      <c r="T37" s="353"/>
      <c r="U37" s="353"/>
      <c r="V37" s="353"/>
    </row>
    <row r="38" spans="1:22" s="354" customFormat="1" ht="33.75" customHeight="1">
      <c r="A38" s="346" t="s">
        <v>151</v>
      </c>
      <c r="B38" s="347" t="s">
        <v>372</v>
      </c>
      <c r="C38" s="348">
        <f>+'Bank Assets Analysis'!C38-'Bank Assets Analysis'!D38</f>
        <v>201801025</v>
      </c>
      <c r="D38" s="348">
        <f>+'Bank Assets Analysis'!E38-'Bank Assets Analysis'!F38</f>
        <v>0</v>
      </c>
      <c r="E38" s="348">
        <f>+'Bank Assets Analysis'!G38-'Bank Assets Analysis'!H38</f>
        <v>0</v>
      </c>
      <c r="F38" s="348">
        <f>+'Bank Assets Analysis'!I38-'Bank Assets Analysis'!J38</f>
        <v>0</v>
      </c>
      <c r="G38" s="348">
        <f>+'Bank Assets Analysis'!K38-'Bank Assets Analysis'!L38</f>
        <v>0</v>
      </c>
      <c r="H38" s="348">
        <f>+'Bank Assets Analysis'!M38-'Bank Assets Analysis'!N38</f>
        <v>0</v>
      </c>
      <c r="I38" s="348">
        <f>+'Bank Assets Analysis'!O38-'Bank Assets Analysis'!P38</f>
        <v>0</v>
      </c>
      <c r="J38" s="348">
        <f>+'Bank Assets Analysis'!Q38-'Bank Assets Analysis'!R38</f>
        <v>0</v>
      </c>
      <c r="K38" s="348">
        <f t="shared" si="0"/>
        <v>201801025</v>
      </c>
      <c r="L38" s="349">
        <v>0</v>
      </c>
      <c r="M38" s="350"/>
      <c r="N38" s="348"/>
      <c r="O38" s="349">
        <v>0</v>
      </c>
      <c r="P38" s="350"/>
      <c r="Q38" s="348">
        <f t="shared" si="9"/>
        <v>0</v>
      </c>
      <c r="R38" s="353"/>
      <c r="S38" s="353"/>
      <c r="T38" s="353"/>
      <c r="U38" s="353"/>
      <c r="V38" s="353"/>
    </row>
    <row r="39" spans="1:22" s="354" customFormat="1" ht="33.75" customHeight="1">
      <c r="A39" s="346" t="s">
        <v>153</v>
      </c>
      <c r="B39" s="347" t="s">
        <v>373</v>
      </c>
      <c r="C39" s="348">
        <f>+'Bank Assets Analysis'!C39-'Bank Assets Analysis'!D39</f>
        <v>0</v>
      </c>
      <c r="D39" s="348">
        <f>+'Bank Assets Analysis'!E39-'Bank Assets Analysis'!F39</f>
        <v>0</v>
      </c>
      <c r="E39" s="348">
        <f>+'Bank Assets Analysis'!G39-'Bank Assets Analysis'!H39</f>
        <v>0</v>
      </c>
      <c r="F39" s="348">
        <f>+'Bank Assets Analysis'!I39-'Bank Assets Analysis'!J39</f>
        <v>0</v>
      </c>
      <c r="G39" s="348">
        <f>+'Bank Assets Analysis'!K39-'Bank Assets Analysis'!L39</f>
        <v>0</v>
      </c>
      <c r="H39" s="348">
        <f>+'Bank Assets Analysis'!M39-'Bank Assets Analysis'!N39</f>
        <v>0</v>
      </c>
      <c r="I39" s="348">
        <f>+'Bank Assets Analysis'!O39-'Bank Assets Analysis'!P39</f>
        <v>0</v>
      </c>
      <c r="J39" s="348">
        <f>+'Bank Assets Analysis'!Q39-'Bank Assets Analysis'!R39</f>
        <v>0</v>
      </c>
      <c r="K39" s="348">
        <f t="shared" si="0"/>
        <v>0</v>
      </c>
      <c r="L39" s="349">
        <v>0</v>
      </c>
      <c r="M39" s="350"/>
      <c r="N39" s="348"/>
      <c r="O39" s="349">
        <v>0</v>
      </c>
      <c r="P39" s="350"/>
      <c r="Q39" s="348">
        <f t="shared" si="9"/>
        <v>0</v>
      </c>
      <c r="R39" s="353"/>
      <c r="S39" s="353"/>
      <c r="T39" s="353"/>
      <c r="U39" s="353"/>
      <c r="V39" s="353"/>
    </row>
    <row r="40" spans="1:22" s="354" customFormat="1" ht="33.75" customHeight="1">
      <c r="A40" s="346" t="s">
        <v>154</v>
      </c>
      <c r="B40" s="347" t="s">
        <v>155</v>
      </c>
      <c r="C40" s="348">
        <f>+'Bank Assets Analysis'!C40-'Bank Assets Analysis'!D40</f>
        <v>0</v>
      </c>
      <c r="D40" s="348">
        <f>+'Bank Assets Analysis'!E40-'Bank Assets Analysis'!F40</f>
        <v>0</v>
      </c>
      <c r="E40" s="348">
        <f>+'Bank Assets Analysis'!G40-'Bank Assets Analysis'!H40</f>
        <v>0</v>
      </c>
      <c r="F40" s="348">
        <f>+'Bank Assets Analysis'!I40-'Bank Assets Analysis'!J40</f>
        <v>0</v>
      </c>
      <c r="G40" s="348">
        <f>+'Bank Assets Analysis'!K40-'Bank Assets Analysis'!L40</f>
        <v>0</v>
      </c>
      <c r="H40" s="348">
        <f>+'Bank Assets Analysis'!M40-'Bank Assets Analysis'!N40</f>
        <v>0</v>
      </c>
      <c r="I40" s="348">
        <f>+'Bank Assets Analysis'!O40-'Bank Assets Analysis'!P40</f>
        <v>0</v>
      </c>
      <c r="J40" s="348">
        <f>+'Bank Assets Analysis'!Q40-'Bank Assets Analysis'!R40</f>
        <v>0</v>
      </c>
      <c r="K40" s="348">
        <f t="shared" si="0"/>
        <v>0</v>
      </c>
      <c r="L40" s="349">
        <v>0</v>
      </c>
      <c r="M40" s="350"/>
      <c r="N40" s="348"/>
      <c r="O40" s="349">
        <v>0</v>
      </c>
      <c r="P40" s="350"/>
      <c r="Q40" s="348">
        <f t="shared" si="9"/>
        <v>0</v>
      </c>
      <c r="R40" s="353"/>
      <c r="S40" s="353"/>
      <c r="T40" s="353"/>
      <c r="U40" s="353"/>
      <c r="V40" s="353"/>
    </row>
    <row r="41" spans="1:22" s="354" customFormat="1" ht="33.75" customHeight="1">
      <c r="A41" s="346" t="s">
        <v>156</v>
      </c>
      <c r="B41" s="347" t="s">
        <v>157</v>
      </c>
      <c r="C41" s="348">
        <f>+'Bank Assets Analysis'!C41-'Bank Assets Analysis'!D41</f>
        <v>-2562616</v>
      </c>
      <c r="D41" s="348"/>
      <c r="E41" s="348"/>
      <c r="F41" s="348"/>
      <c r="G41" s="348"/>
      <c r="H41" s="348"/>
      <c r="I41" s="348"/>
      <c r="J41" s="348"/>
      <c r="K41" s="348">
        <f t="shared" si="0"/>
        <v>-2562616</v>
      </c>
      <c r="L41" s="349">
        <v>0</v>
      </c>
      <c r="M41" s="350"/>
      <c r="N41" s="348"/>
      <c r="O41" s="349">
        <v>0</v>
      </c>
      <c r="P41" s="350"/>
      <c r="Q41" s="348">
        <f t="shared" si="9"/>
        <v>0</v>
      </c>
      <c r="R41" s="353"/>
      <c r="S41" s="353"/>
      <c r="T41" s="353"/>
      <c r="U41" s="353"/>
      <c r="V41" s="353"/>
    </row>
    <row r="42" spans="1:22" s="354" customFormat="1" ht="33.75" customHeight="1">
      <c r="A42" s="346" t="s">
        <v>158</v>
      </c>
      <c r="B42" s="347" t="s">
        <v>159</v>
      </c>
      <c r="C42" s="348">
        <f>+'Bank Assets Analysis'!C42-'Bank Assets Analysis'!D42</f>
        <v>0</v>
      </c>
      <c r="D42" s="348">
        <f>+'Bank Assets Analysis'!E42-'Bank Assets Analysis'!F42</f>
        <v>0</v>
      </c>
      <c r="E42" s="348">
        <f>+'Bank Assets Analysis'!G42-'Bank Assets Analysis'!H42</f>
        <v>0</v>
      </c>
      <c r="F42" s="348">
        <f>+'Bank Assets Analysis'!I42-'Bank Assets Analysis'!J42</f>
        <v>0</v>
      </c>
      <c r="G42" s="348">
        <f>+'Bank Assets Analysis'!K42-'Bank Assets Analysis'!L42</f>
        <v>0</v>
      </c>
      <c r="H42" s="348">
        <f>+'Bank Assets Analysis'!M42-'Bank Assets Analysis'!N42</f>
        <v>0</v>
      </c>
      <c r="I42" s="348">
        <f>+'Bank Assets Analysis'!O42-'Bank Assets Analysis'!P42</f>
        <v>0</v>
      </c>
      <c r="J42" s="348">
        <f>+'Bank Assets Analysis'!Q42-'Bank Assets Analysis'!R42</f>
        <v>0</v>
      </c>
      <c r="K42" s="348">
        <f t="shared" si="0"/>
        <v>0</v>
      </c>
      <c r="L42" s="349">
        <v>0</v>
      </c>
      <c r="M42" s="350"/>
      <c r="N42" s="348"/>
      <c r="O42" s="349">
        <v>0</v>
      </c>
      <c r="P42" s="350"/>
      <c r="Q42" s="348">
        <f t="shared" si="9"/>
        <v>0</v>
      </c>
      <c r="R42" s="353"/>
      <c r="S42" s="353"/>
      <c r="T42" s="353"/>
      <c r="U42" s="353"/>
      <c r="V42" s="353"/>
    </row>
    <row r="43" spans="1:22" s="354" customFormat="1" ht="33.75" customHeight="1">
      <c r="A43" s="346" t="s">
        <v>160</v>
      </c>
      <c r="B43" s="347" t="s">
        <v>161</v>
      </c>
      <c r="C43" s="348">
        <f>+'Bank Assets Analysis'!C43-'Bank Assets Analysis'!D43</f>
        <v>105420927</v>
      </c>
      <c r="D43" s="348">
        <f>+'Bank Assets Analysis'!E43-'Bank Assets Analysis'!F43</f>
        <v>0</v>
      </c>
      <c r="E43" s="348">
        <f>+'Bank Assets Analysis'!G43-'Bank Assets Analysis'!H43</f>
        <v>25424509</v>
      </c>
      <c r="F43" s="348">
        <f>+'Bank Assets Analysis'!I43-'Bank Assets Analysis'!J43</f>
        <v>3958301</v>
      </c>
      <c r="G43" s="348">
        <f>+'Bank Assets Analysis'!K43-'Bank Assets Analysis'!L43</f>
        <v>0</v>
      </c>
      <c r="H43" s="348">
        <f>+'Bank Assets Analysis'!M43-'Bank Assets Analysis'!N43</f>
        <v>0</v>
      </c>
      <c r="I43" s="348">
        <f>+'Bank Assets Analysis'!O43-'Bank Assets Analysis'!P43</f>
        <v>0</v>
      </c>
      <c r="J43" s="348">
        <f>+'Bank Assets Analysis'!Q43-'Bank Assets Analysis'!R43</f>
        <v>0</v>
      </c>
      <c r="K43" s="348">
        <f t="shared" si="0"/>
        <v>134803737</v>
      </c>
      <c r="L43" s="349">
        <v>0.3</v>
      </c>
      <c r="M43" s="350">
        <f t="shared" ref="M43" si="14">+C43+D43+E43</f>
        <v>130845436</v>
      </c>
      <c r="N43" s="348">
        <f t="shared" si="2"/>
        <v>39253630.799999997</v>
      </c>
      <c r="O43" s="349">
        <v>0.5</v>
      </c>
      <c r="P43" s="350">
        <f>+D43+E43</f>
        <v>25424509</v>
      </c>
      <c r="Q43" s="348">
        <f t="shared" si="9"/>
        <v>12712254.5</v>
      </c>
      <c r="R43" s="353"/>
      <c r="S43" s="353"/>
      <c r="T43" s="353"/>
      <c r="U43" s="353"/>
      <c r="V43" s="353"/>
    </row>
    <row r="44" spans="1:22" s="354" customFormat="1" ht="33.75" customHeight="1">
      <c r="A44" s="346" t="s">
        <v>162</v>
      </c>
      <c r="B44" s="347" t="s">
        <v>163</v>
      </c>
      <c r="C44" s="348">
        <f>+'Bank Assets Analysis'!C44-'Bank Assets Analysis'!D44</f>
        <v>42837373</v>
      </c>
      <c r="D44" s="348">
        <f>+'Bank Assets Analysis'!E44-'Bank Assets Analysis'!F44</f>
        <v>0</v>
      </c>
      <c r="E44" s="348">
        <f>+'Bank Assets Analysis'!G44-'Bank Assets Analysis'!H44</f>
        <v>0</v>
      </c>
      <c r="F44" s="348">
        <f>+'Bank Assets Analysis'!I44-'Bank Assets Analysis'!J44</f>
        <v>0</v>
      </c>
      <c r="G44" s="348">
        <f>+'Bank Assets Analysis'!K44-'Bank Assets Analysis'!L44</f>
        <v>0</v>
      </c>
      <c r="H44" s="348">
        <f>+'Bank Assets Analysis'!M44-'Bank Assets Analysis'!N44</f>
        <v>0</v>
      </c>
      <c r="I44" s="348">
        <f>+'Bank Assets Analysis'!O44-'Bank Assets Analysis'!P44</f>
        <v>0</v>
      </c>
      <c r="J44" s="348">
        <f>+'Bank Assets Analysis'!Q44-'Bank Assets Analysis'!R44</f>
        <v>0</v>
      </c>
      <c r="K44" s="348">
        <f t="shared" si="0"/>
        <v>42837373</v>
      </c>
      <c r="L44" s="349">
        <v>0</v>
      </c>
      <c r="M44" s="350"/>
      <c r="N44" s="348"/>
      <c r="O44" s="349">
        <v>0</v>
      </c>
      <c r="P44" s="350"/>
      <c r="Q44" s="348">
        <f t="shared" si="9"/>
        <v>0</v>
      </c>
      <c r="R44" s="353"/>
      <c r="S44" s="353"/>
      <c r="T44" s="353"/>
      <c r="U44" s="353"/>
      <c r="V44" s="353"/>
    </row>
    <row r="45" spans="1:22" s="353" customFormat="1" ht="33.75" customHeight="1">
      <c r="A45" s="355" t="s">
        <v>164</v>
      </c>
      <c r="B45" s="356" t="s">
        <v>165</v>
      </c>
      <c r="C45" s="357">
        <f>SUM(C7:C44)-C8-C11-C15-C19-C21-C32-C35</f>
        <v>847731759</v>
      </c>
      <c r="D45" s="357">
        <f t="shared" ref="D45:J45" si="15">SUM(D7:D44)-D8-D11-D15-D19-D21-D32-D35</f>
        <v>130446627</v>
      </c>
      <c r="E45" s="357">
        <f t="shared" si="15"/>
        <v>121815514</v>
      </c>
      <c r="F45" s="357">
        <f t="shared" si="15"/>
        <v>495730811</v>
      </c>
      <c r="G45" s="357">
        <f t="shared" si="15"/>
        <v>851043076</v>
      </c>
      <c r="H45" s="357">
        <f t="shared" si="15"/>
        <v>1277883068</v>
      </c>
      <c r="I45" s="357">
        <f t="shared" si="15"/>
        <v>1469143304</v>
      </c>
      <c r="J45" s="357">
        <f t="shared" si="15"/>
        <v>1517339261</v>
      </c>
      <c r="K45" s="357">
        <f>SUM(C45:J45)</f>
        <v>6711133420</v>
      </c>
      <c r="L45" s="357"/>
      <c r="M45" s="357"/>
      <c r="N45" s="357">
        <f>SUM(N7:N44)-N11-N35</f>
        <v>695521381.19999993</v>
      </c>
      <c r="O45" s="357"/>
      <c r="P45" s="357">
        <f>SUM(P7:P44)-P11-P35</f>
        <v>794613462</v>
      </c>
      <c r="Q45" s="357">
        <f>SUM(Q7:Q44)-Q11-Q35</f>
        <v>703181434.5</v>
      </c>
      <c r="R45" s="521">
        <f>+Balance!D45</f>
        <v>6711133420</v>
      </c>
      <c r="S45" s="521">
        <f>+K45-R45</f>
        <v>0</v>
      </c>
      <c r="T45" s="521">
        <f>+Balance!E45</f>
        <v>3571782245</v>
      </c>
      <c r="U45" s="521">
        <f>+R45</f>
        <v>6711133420</v>
      </c>
      <c r="V45" s="521">
        <f>+K45-U45</f>
        <v>0</v>
      </c>
    </row>
    <row r="46" spans="1:22" s="554" customFormat="1" ht="14.25">
      <c r="A46" s="447"/>
      <c r="B46" s="558" t="s">
        <v>545</v>
      </c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557"/>
    </row>
    <row r="47" spans="1:22" s="554" customFormat="1" ht="25.5" customHeight="1">
      <c r="A47" s="551"/>
      <c r="B47" s="324" t="s">
        <v>546</v>
      </c>
      <c r="C47" s="348">
        <f>+'Bank Assets Analysis'!C47-'Bank Assets Analysis'!D47</f>
        <v>0</v>
      </c>
      <c r="D47" s="348">
        <f>+'Bank Assets Analysis'!E47-'Bank Assets Analysis'!F47</f>
        <v>0</v>
      </c>
      <c r="E47" s="348">
        <f>+'Bank Assets Analysis'!G47-'Bank Assets Analysis'!H47</f>
        <v>0</v>
      </c>
      <c r="F47" s="348">
        <f>+'Bank Assets Analysis'!I47-'Bank Assets Analysis'!J47</f>
        <v>0</v>
      </c>
      <c r="G47" s="348">
        <f>+'Bank Assets Analysis'!K47-'Bank Assets Analysis'!L47</f>
        <v>0</v>
      </c>
      <c r="H47" s="348">
        <f>+'Bank Assets Analysis'!M47-'Bank Assets Analysis'!N47</f>
        <v>0</v>
      </c>
      <c r="I47" s="348">
        <f>+'Bank Assets Analysis'!O47-'Bank Assets Analysis'!P47</f>
        <v>0</v>
      </c>
      <c r="J47" s="348">
        <f>+'Bank Assets Analysis'!Q47-'Bank Assets Analysis'!R47</f>
        <v>0</v>
      </c>
      <c r="K47" s="348">
        <f t="shared" ref="K47:K50" si="16">+C47+D47+E47+F47+G47+H47+I47+J47</f>
        <v>0</v>
      </c>
      <c r="L47" s="364"/>
      <c r="M47" s="364"/>
      <c r="N47" s="364"/>
      <c r="O47" s="364"/>
      <c r="P47" s="364"/>
      <c r="Q47" s="364"/>
      <c r="R47" s="557"/>
    </row>
    <row r="48" spans="1:22" s="554" customFormat="1" ht="25.5" customHeight="1">
      <c r="A48" s="551"/>
      <c r="B48" s="324" t="s">
        <v>547</v>
      </c>
      <c r="C48" s="348">
        <f>+'Bank Assets Analysis'!C48-'Bank Assets Analysis'!D48</f>
        <v>0</v>
      </c>
      <c r="D48" s="348">
        <f>+'Bank Assets Analysis'!E48-'Bank Assets Analysis'!F48</f>
        <v>0</v>
      </c>
      <c r="E48" s="348">
        <f>+'Bank Assets Analysis'!G48-'Bank Assets Analysis'!H48</f>
        <v>0</v>
      </c>
      <c r="F48" s="348">
        <f>+'Bank Assets Analysis'!I48-'Bank Assets Analysis'!J48</f>
        <v>0</v>
      </c>
      <c r="G48" s="348">
        <f>+'Bank Assets Analysis'!K48-'Bank Assets Analysis'!L48</f>
        <v>0</v>
      </c>
      <c r="H48" s="348">
        <f>+'Bank Assets Analysis'!M48-'Bank Assets Analysis'!N48</f>
        <v>0</v>
      </c>
      <c r="I48" s="348">
        <f>+'Bank Assets Analysis'!O48-'Bank Assets Analysis'!P48</f>
        <v>0</v>
      </c>
      <c r="J48" s="348">
        <f>+'Bank Assets Analysis'!Q48-'Bank Assets Analysis'!R48</f>
        <v>0</v>
      </c>
      <c r="K48" s="348">
        <f t="shared" si="16"/>
        <v>0</v>
      </c>
      <c r="L48" s="364"/>
      <c r="M48" s="364"/>
      <c r="N48" s="364"/>
      <c r="O48" s="364"/>
      <c r="P48" s="364"/>
      <c r="Q48" s="364"/>
      <c r="R48" s="557"/>
    </row>
    <row r="49" spans="1:22" s="554" customFormat="1" ht="25.5" customHeight="1">
      <c r="A49" s="551"/>
      <c r="B49" s="324" t="s">
        <v>548</v>
      </c>
      <c r="C49" s="348">
        <f>+'Bank Assets Analysis'!C49-'Bank Assets Analysis'!D49</f>
        <v>0</v>
      </c>
      <c r="D49" s="348">
        <f>+'Bank Assets Analysis'!E49-'Bank Assets Analysis'!F49</f>
        <v>0</v>
      </c>
      <c r="E49" s="348">
        <f>+'Bank Assets Analysis'!G49-'Bank Assets Analysis'!H49</f>
        <v>0</v>
      </c>
      <c r="F49" s="348">
        <f>+'Bank Assets Analysis'!I49-'Bank Assets Analysis'!J49</f>
        <v>0</v>
      </c>
      <c r="G49" s="348">
        <f>+'Bank Assets Analysis'!K49-'Bank Assets Analysis'!L49</f>
        <v>0</v>
      </c>
      <c r="H49" s="348">
        <f>+'Bank Assets Analysis'!M49-'Bank Assets Analysis'!N49</f>
        <v>0</v>
      </c>
      <c r="I49" s="348">
        <f>+'Bank Assets Analysis'!O49-'Bank Assets Analysis'!P49</f>
        <v>0</v>
      </c>
      <c r="J49" s="348">
        <f>+'Bank Assets Analysis'!Q49-'Bank Assets Analysis'!R49</f>
        <v>0</v>
      </c>
      <c r="K49" s="348">
        <f t="shared" si="16"/>
        <v>0</v>
      </c>
      <c r="L49" s="364"/>
      <c r="M49" s="364"/>
      <c r="N49" s="364"/>
      <c r="O49" s="364"/>
      <c r="P49" s="364"/>
      <c r="Q49" s="364"/>
      <c r="R49" s="557"/>
    </row>
    <row r="50" spans="1:22" s="554" customFormat="1" ht="32.25" customHeight="1">
      <c r="A50" s="551"/>
      <c r="B50" s="324" t="s">
        <v>549</v>
      </c>
      <c r="C50" s="348">
        <f>+'Bank Assets Analysis'!C50-'Bank Assets Analysis'!D50</f>
        <v>0</v>
      </c>
      <c r="D50" s="348">
        <f>+'Bank Assets Analysis'!E50-'Bank Assets Analysis'!F50</f>
        <v>0</v>
      </c>
      <c r="E50" s="348">
        <f>+'Bank Assets Analysis'!G50-'Bank Assets Analysis'!H50</f>
        <v>0</v>
      </c>
      <c r="F50" s="348">
        <f>+'Bank Assets Analysis'!I50-'Bank Assets Analysis'!J50</f>
        <v>0</v>
      </c>
      <c r="G50" s="348">
        <f>+'Bank Assets Analysis'!K50-'Bank Assets Analysis'!L50</f>
        <v>0</v>
      </c>
      <c r="H50" s="348">
        <f>+'Bank Assets Analysis'!M50-'Bank Assets Analysis'!N50</f>
        <v>0</v>
      </c>
      <c r="I50" s="348">
        <f>+'Bank Assets Analysis'!O50-'Bank Assets Analysis'!P50</f>
        <v>0</v>
      </c>
      <c r="J50" s="348">
        <f>+'Bank Assets Analysis'!Q50-'Bank Assets Analysis'!R50</f>
        <v>0</v>
      </c>
      <c r="K50" s="348">
        <f t="shared" si="16"/>
        <v>0</v>
      </c>
      <c r="L50" s="364"/>
      <c r="M50" s="364"/>
      <c r="N50" s="364"/>
      <c r="O50" s="364"/>
      <c r="P50" s="364"/>
      <c r="Q50" s="364"/>
      <c r="R50" s="557"/>
    </row>
    <row r="51" spans="1:22" s="369" customFormat="1" ht="10.5" customHeight="1">
      <c r="A51" s="522"/>
      <c r="B51" s="494"/>
      <c r="C51" s="494"/>
      <c r="D51" s="494"/>
      <c r="E51" s="494"/>
      <c r="F51" s="494"/>
      <c r="G51" s="494"/>
      <c r="H51" s="494"/>
      <c r="I51" s="494"/>
      <c r="J51" s="494"/>
      <c r="K51" s="494"/>
      <c r="L51" s="495"/>
      <c r="M51" s="496"/>
      <c r="N51" s="497"/>
      <c r="O51" s="495"/>
      <c r="P51" s="496"/>
      <c r="Q51" s="497"/>
      <c r="R51" s="490"/>
      <c r="S51" s="490"/>
      <c r="T51" s="368"/>
      <c r="U51" s="490"/>
      <c r="V51" s="490"/>
    </row>
    <row r="52" spans="1:22" s="369" customFormat="1">
      <c r="A52" s="523"/>
      <c r="C52" s="366"/>
      <c r="D52" s="366"/>
      <c r="E52" s="366"/>
      <c r="F52" s="366"/>
      <c r="G52" s="366"/>
      <c r="H52" s="366"/>
      <c r="I52" s="366"/>
      <c r="J52" s="366"/>
      <c r="K52" s="366"/>
      <c r="L52" s="370"/>
      <c r="M52" s="365"/>
      <c r="N52" s="363"/>
      <c r="O52" s="370"/>
      <c r="P52" s="365"/>
      <c r="Q52" s="363"/>
      <c r="R52" s="524" t="s">
        <v>433</v>
      </c>
      <c r="S52" s="477">
        <f>+N45-S53</f>
        <v>89050327.199999928</v>
      </c>
      <c r="U52" s="524" t="s">
        <v>433</v>
      </c>
      <c r="V52" s="477">
        <f>+Q45-V53</f>
        <v>96710380.5</v>
      </c>
    </row>
    <row r="53" spans="1:22" s="369" customFormat="1">
      <c r="A53" s="523"/>
      <c r="B53" s="16" t="s">
        <v>4</v>
      </c>
      <c r="C53" s="366"/>
      <c r="D53" s="366"/>
      <c r="E53" s="366"/>
      <c r="F53" s="366"/>
      <c r="G53" s="366"/>
      <c r="H53" s="366"/>
      <c r="I53" s="366"/>
      <c r="J53" s="366"/>
      <c r="K53" s="366"/>
      <c r="L53" s="370"/>
      <c r="M53" s="365"/>
      <c r="N53" s="363"/>
      <c r="O53" s="370"/>
      <c r="P53" s="365"/>
      <c r="Q53" s="363"/>
      <c r="R53" s="524" t="s">
        <v>28</v>
      </c>
      <c r="S53" s="477">
        <f>+N7+N9+N12+N13+N15+N20+N22+N24+N36</f>
        <v>606471054</v>
      </c>
      <c r="T53" s="368"/>
      <c r="U53" s="524" t="s">
        <v>28</v>
      </c>
      <c r="V53" s="477">
        <f>+Q7+Q9+Q12+Q13+Q15+Q20+Q22+Q24+Q36</f>
        <v>606471054</v>
      </c>
    </row>
    <row r="54" spans="1:22" s="369" customFormat="1">
      <c r="A54" s="523"/>
      <c r="B54" s="16"/>
      <c r="C54" s="366"/>
      <c r="D54" s="366"/>
      <c r="E54" s="366"/>
      <c r="F54" s="366"/>
      <c r="G54" s="366"/>
      <c r="H54" s="366"/>
      <c r="I54" s="366"/>
      <c r="J54" s="366"/>
      <c r="K54" s="366"/>
      <c r="L54" s="370"/>
      <c r="M54" s="365"/>
      <c r="N54" s="363"/>
      <c r="O54" s="370"/>
      <c r="P54" s="365"/>
      <c r="Q54" s="363"/>
      <c r="R54" s="524" t="s">
        <v>434</v>
      </c>
      <c r="S54" s="477">
        <f>+S56-S58</f>
        <v>438159323.50000012</v>
      </c>
      <c r="T54" s="363"/>
      <c r="U54" s="524" t="s">
        <v>434</v>
      </c>
      <c r="V54" s="477">
        <f>+V56-V58</f>
        <v>697240728.60000002</v>
      </c>
    </row>
    <row r="55" spans="1:22" ht="20.25" customHeight="1">
      <c r="B55" s="16" t="s">
        <v>5</v>
      </c>
      <c r="R55" s="363"/>
      <c r="S55" s="89"/>
      <c r="T55" s="368"/>
      <c r="U55" s="363"/>
      <c r="V55" s="89"/>
    </row>
    <row r="56" spans="1:22">
      <c r="R56" s="525" t="s">
        <v>526</v>
      </c>
      <c r="S56" s="236">
        <f>'Bank Liabilities Analysis (нац)'!M40</f>
        <v>527209650.70000005</v>
      </c>
      <c r="U56" s="525" t="s">
        <v>526</v>
      </c>
      <c r="V56" s="236">
        <f>'Bank Liabilities Analysis (нац)'!O40+V57</f>
        <v>793951109.10000002</v>
      </c>
    </row>
    <row r="57" spans="1:22" ht="23.25" customHeight="1">
      <c r="R57" s="514" t="s">
        <v>525</v>
      </c>
      <c r="S57" s="526">
        <f>+'Liquidity Analysis'!D43</f>
        <v>51211232</v>
      </c>
      <c r="T57" s="527"/>
      <c r="U57" s="514" t="s">
        <v>525</v>
      </c>
      <c r="V57" s="236">
        <f>+'Liquidity Analysis'!D43</f>
        <v>51211232</v>
      </c>
    </row>
    <row r="58" spans="1:22">
      <c r="R58" s="525" t="s">
        <v>436</v>
      </c>
      <c r="S58" s="236">
        <f>IF(S52&gt;(S56*0.75),S56*0.75,S52)</f>
        <v>89050327.199999928</v>
      </c>
      <c r="U58" s="525" t="s">
        <v>436</v>
      </c>
      <c r="V58" s="236">
        <f>IF(V52&gt;(V56*0.75),V56*0.75,V52)</f>
        <v>96710380.5</v>
      </c>
    </row>
    <row r="59" spans="1:22">
      <c r="S59" s="528"/>
    </row>
  </sheetData>
  <sheetProtection algorithmName="SHA-512" hashValue="iEk4gcDHf9rcj66zY4EuURQHEumg734xZWKhHDU4nc8SQfbiRJap8dCHOUr/MIJarRNL+dwRWa91zrVbUM8huA==" saltValue="stI3M05XIROD5d+LNz4c/Q==" spinCount="100000" sheet="1" objects="1" scenarios="1"/>
  <mergeCells count="7">
    <mergeCell ref="O2:Q2"/>
    <mergeCell ref="L4:N4"/>
    <mergeCell ref="O4:Q4"/>
    <mergeCell ref="A4:A5"/>
    <mergeCell ref="B4:B5"/>
    <mergeCell ref="C4:J4"/>
    <mergeCell ref="K4:K5"/>
  </mergeCells>
  <conditionalFormatting sqref="K45">
    <cfRule type="cellIs" dxfId="284" priority="269" operator="notEqual">
      <formula>$R$45</formula>
    </cfRule>
  </conditionalFormatting>
  <conditionalFormatting sqref="L50 N50 P50">
    <cfRule type="cellIs" dxfId="283" priority="2" operator="greaterThan">
      <formula>K50</formula>
    </cfRule>
  </conditionalFormatting>
  <conditionalFormatting sqref="L47:L49 N47:N49 P47:P49">
    <cfRule type="cellIs" dxfId="282" priority="1" operator="greaterThan">
      <formula>K47</formula>
    </cfRule>
  </conditionalFormatting>
  <dataValidations count="1">
    <dataValidation type="whole" operator="notEqual" allowBlank="1" showErrorMessage="1" error="Введите как целое число." sqref="J38:J39 D38:I40 D41:J44 L46:Q50 K46 D6:J37 C46:J50 C6:C44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  <ignoredErrors>
    <ignoredError sqref="C33:J40 C7:J7 C9:J10 C16:J18 C22:J22 C12:J12 C20:J20 C24:J31 C42:J44" unlockedFormula="1"/>
    <ignoredError sqref="M14:P14 N15:P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F60"/>
  <sheetViews>
    <sheetView topLeftCell="A3" zoomScale="77" zoomScaleNormal="77" zoomScaleSheetLayoutView="75" workbookViewId="0">
      <pane xSplit="2" ySplit="4" topLeftCell="C34" activePane="bottomRight" state="frozen"/>
      <selection activeCell="A3" sqref="A3"/>
      <selection pane="topRight" activeCell="C3" sqref="C3"/>
      <selection pane="bottomLeft" activeCell="A7" sqref="A7"/>
      <selection pane="bottomRight" activeCell="B51" sqref="B51"/>
    </sheetView>
  </sheetViews>
  <sheetFormatPr defaultRowHeight="12.75"/>
  <cols>
    <col min="1" max="1" width="6.28515625" style="17" customWidth="1"/>
    <col min="2" max="2" width="53.28515625" style="29" customWidth="1"/>
    <col min="3" max="18" width="14.7109375" style="1" customWidth="1"/>
    <col min="19" max="21" width="15.85546875" style="1" customWidth="1"/>
    <col min="22" max="22" width="8.28515625" style="18" customWidth="1"/>
    <col min="23" max="23" width="17.5703125" style="21" customWidth="1"/>
    <col min="24" max="24" width="17.5703125" style="1" customWidth="1"/>
    <col min="25" max="25" width="17.5703125" style="365" customWidth="1"/>
    <col min="26" max="26" width="17.5703125" style="361" customWidth="1"/>
    <col min="27" max="27" width="17.5703125" style="18" customWidth="1"/>
    <col min="28" max="29" width="17.5703125" style="365" customWidth="1"/>
    <col min="30" max="31" width="17.5703125" style="392" customWidth="1"/>
    <col min="32" max="32" width="17.5703125" style="393" customWidth="1"/>
    <col min="33" max="16384" width="9.140625" style="1"/>
  </cols>
  <sheetData>
    <row r="1" spans="1:32" s="10" customFormat="1" ht="30" customHeight="1">
      <c r="A1" s="261" t="s">
        <v>166</v>
      </c>
      <c r="B1" s="37"/>
      <c r="C1" s="262"/>
      <c r="D1" s="262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4"/>
      <c r="P1" s="264"/>
      <c r="Q1" s="264"/>
      <c r="R1" s="264"/>
      <c r="S1" s="264"/>
      <c r="T1" s="264"/>
      <c r="U1" s="264"/>
      <c r="V1" s="264"/>
      <c r="W1" s="264"/>
      <c r="X1" s="596"/>
      <c r="Y1" s="596"/>
      <c r="Z1" s="596"/>
      <c r="AA1" s="264"/>
      <c r="AB1" s="445" t="s">
        <v>398</v>
      </c>
      <c r="AC1" s="445"/>
      <c r="AD1" s="390"/>
      <c r="AE1" s="390"/>
      <c r="AF1" s="390"/>
    </row>
    <row r="2" spans="1:32" ht="23.25" customHeight="1">
      <c r="B2" s="196" t="str">
        <f>Balance!B3</f>
        <v>АКБ"Микрокредитбанк"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98" t="str">
        <f>+Balance!B2</f>
        <v xml:space="preserve"> 31 Декабрь, 2020</v>
      </c>
      <c r="U2" s="598"/>
      <c r="V2" s="1"/>
      <c r="W2" s="18"/>
      <c r="X2" s="21"/>
      <c r="Y2" s="370"/>
      <c r="Z2" s="365"/>
      <c r="AA2" s="1"/>
      <c r="AB2" s="370"/>
      <c r="AC2" s="365" t="s">
        <v>7</v>
      </c>
      <c r="AD2" s="388"/>
      <c r="AF2" s="392"/>
    </row>
    <row r="3" spans="1:32" s="10" customFormat="1" ht="21.75" customHeight="1">
      <c r="A3" s="592" t="s">
        <v>79</v>
      </c>
      <c r="B3" s="592" t="s">
        <v>54</v>
      </c>
      <c r="C3" s="594" t="s">
        <v>167</v>
      </c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5"/>
      <c r="S3" s="592" t="s">
        <v>127</v>
      </c>
      <c r="T3" s="586" t="s">
        <v>82</v>
      </c>
      <c r="U3" s="588"/>
      <c r="V3" s="586" t="s">
        <v>530</v>
      </c>
      <c r="W3" s="587"/>
      <c r="X3" s="587"/>
      <c r="Y3" s="587"/>
      <c r="Z3" s="588"/>
      <c r="AA3" s="586" t="s">
        <v>529</v>
      </c>
      <c r="AB3" s="587"/>
      <c r="AC3" s="588"/>
      <c r="AD3" s="390"/>
      <c r="AE3" s="390"/>
      <c r="AF3" s="391"/>
    </row>
    <row r="4" spans="1:32" s="10" customFormat="1" ht="21" customHeight="1">
      <c r="A4" s="593"/>
      <c r="B4" s="593"/>
      <c r="C4" s="594" t="s">
        <v>128</v>
      </c>
      <c r="D4" s="595"/>
      <c r="E4" s="594" t="s">
        <v>441</v>
      </c>
      <c r="F4" s="595"/>
      <c r="G4" s="594" t="s">
        <v>442</v>
      </c>
      <c r="H4" s="595"/>
      <c r="I4" s="594" t="s">
        <v>344</v>
      </c>
      <c r="J4" s="595"/>
      <c r="K4" s="594" t="s">
        <v>345</v>
      </c>
      <c r="L4" s="595"/>
      <c r="M4" s="594" t="s">
        <v>413</v>
      </c>
      <c r="N4" s="595"/>
      <c r="O4" s="594" t="s">
        <v>414</v>
      </c>
      <c r="P4" s="595"/>
      <c r="Q4" s="594" t="s">
        <v>84</v>
      </c>
      <c r="R4" s="595"/>
      <c r="S4" s="593"/>
      <c r="T4" s="589"/>
      <c r="U4" s="591"/>
      <c r="V4" s="589"/>
      <c r="W4" s="590"/>
      <c r="X4" s="590"/>
      <c r="Y4" s="590"/>
      <c r="Z4" s="591"/>
      <c r="AA4" s="589"/>
      <c r="AB4" s="590"/>
      <c r="AC4" s="591"/>
      <c r="AD4" s="390"/>
      <c r="AE4" s="390"/>
      <c r="AF4" s="391"/>
    </row>
    <row r="5" spans="1:32" s="10" customFormat="1" ht="102" customHeight="1">
      <c r="A5" s="593"/>
      <c r="B5" s="593"/>
      <c r="C5" s="277" t="s">
        <v>317</v>
      </c>
      <c r="D5" s="277" t="s">
        <v>318</v>
      </c>
      <c r="E5" s="277" t="s">
        <v>317</v>
      </c>
      <c r="F5" s="277" t="s">
        <v>318</v>
      </c>
      <c r="G5" s="277" t="s">
        <v>317</v>
      </c>
      <c r="H5" s="277" t="s">
        <v>318</v>
      </c>
      <c r="I5" s="277" t="s">
        <v>317</v>
      </c>
      <c r="J5" s="277" t="s">
        <v>318</v>
      </c>
      <c r="K5" s="277" t="s">
        <v>317</v>
      </c>
      <c r="L5" s="277" t="s">
        <v>318</v>
      </c>
      <c r="M5" s="277" t="s">
        <v>317</v>
      </c>
      <c r="N5" s="277" t="s">
        <v>318</v>
      </c>
      <c r="O5" s="277" t="s">
        <v>317</v>
      </c>
      <c r="P5" s="277" t="s">
        <v>318</v>
      </c>
      <c r="Q5" s="277" t="s">
        <v>317</v>
      </c>
      <c r="R5" s="277" t="s">
        <v>318</v>
      </c>
      <c r="S5" s="593"/>
      <c r="T5" s="277" t="s">
        <v>237</v>
      </c>
      <c r="U5" s="277" t="s">
        <v>396</v>
      </c>
      <c r="V5" s="446" t="s">
        <v>33</v>
      </c>
      <c r="W5" s="446" t="s">
        <v>473</v>
      </c>
      <c r="X5" s="446" t="s">
        <v>516</v>
      </c>
      <c r="Y5" s="446" t="s">
        <v>515</v>
      </c>
      <c r="Z5" s="446" t="s">
        <v>517</v>
      </c>
      <c r="AA5" s="469" t="s">
        <v>33</v>
      </c>
      <c r="AB5" s="469" t="s">
        <v>473</v>
      </c>
      <c r="AC5" s="469" t="s">
        <v>515</v>
      </c>
      <c r="AD5" s="390"/>
      <c r="AE5" s="390"/>
      <c r="AF5" s="391"/>
    </row>
    <row r="6" spans="1:32" s="13" customFormat="1" ht="17.25" customHeight="1">
      <c r="A6" s="265"/>
      <c r="B6" s="266" t="s">
        <v>2</v>
      </c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8"/>
      <c r="W6" s="269"/>
      <c r="X6" s="267"/>
      <c r="Y6" s="269"/>
      <c r="Z6" s="267"/>
      <c r="AA6" s="268"/>
      <c r="AB6" s="269"/>
      <c r="AC6" s="269"/>
      <c r="AD6" s="394"/>
      <c r="AE6" s="394"/>
      <c r="AF6" s="395"/>
    </row>
    <row r="7" spans="1:32" s="10" customFormat="1" ht="25.5" customHeight="1">
      <c r="A7" s="222" t="s">
        <v>80</v>
      </c>
      <c r="B7" s="78" t="s">
        <v>168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74"/>
      <c r="W7" s="75"/>
      <c r="X7" s="33"/>
      <c r="Y7" s="371"/>
      <c r="Z7" s="372"/>
      <c r="AA7" s="74"/>
      <c r="AB7" s="371"/>
      <c r="AC7" s="371"/>
      <c r="AD7" s="390"/>
      <c r="AE7" s="390"/>
      <c r="AF7" s="391"/>
    </row>
    <row r="8" spans="1:32" s="10" customFormat="1" ht="25.5" customHeight="1">
      <c r="A8" s="222" t="s">
        <v>169</v>
      </c>
      <c r="B8" s="79" t="s">
        <v>170</v>
      </c>
      <c r="C8" s="33">
        <f>SUM(C9:C12)</f>
        <v>395792505</v>
      </c>
      <c r="D8" s="34">
        <f t="shared" ref="D8:R8" si="0">SUM(D9:D12)</f>
        <v>24398582</v>
      </c>
      <c r="E8" s="33">
        <f t="shared" ref="E8:F8" si="1">SUM(E9:E12)</f>
        <v>0</v>
      </c>
      <c r="F8" s="34">
        <f t="shared" si="1"/>
        <v>0</v>
      </c>
      <c r="G8" s="33">
        <f t="shared" si="0"/>
        <v>0</v>
      </c>
      <c r="H8" s="34">
        <f t="shared" si="0"/>
        <v>0</v>
      </c>
      <c r="I8" s="33">
        <f t="shared" ref="I8" si="2">SUM(I9:I12)</f>
        <v>0</v>
      </c>
      <c r="J8" s="34">
        <f t="shared" ref="J8" si="3">SUM(J9:J12)</f>
        <v>0</v>
      </c>
      <c r="K8" s="33">
        <f t="shared" si="0"/>
        <v>0</v>
      </c>
      <c r="L8" s="34">
        <f t="shared" si="0"/>
        <v>0</v>
      </c>
      <c r="M8" s="33">
        <f t="shared" si="0"/>
        <v>0</v>
      </c>
      <c r="N8" s="34">
        <f t="shared" si="0"/>
        <v>0</v>
      </c>
      <c r="O8" s="33">
        <f t="shared" ref="O8" si="4">SUM(O9:O12)</f>
        <v>0</v>
      </c>
      <c r="P8" s="34">
        <f t="shared" ref="P8" si="5">SUM(P9:P12)</f>
        <v>0</v>
      </c>
      <c r="Q8" s="33">
        <f t="shared" si="0"/>
        <v>0</v>
      </c>
      <c r="R8" s="34">
        <f t="shared" si="0"/>
        <v>0</v>
      </c>
      <c r="S8" s="33">
        <f>+C8+E8+G8+I8+K8+M8+O8+Q8</f>
        <v>395792505</v>
      </c>
      <c r="T8" s="33">
        <f>+S8-U8</f>
        <v>371393923</v>
      </c>
      <c r="U8" s="33">
        <f>+D8+F8+H8+J8+L8+N8+P8+R8</f>
        <v>24398582</v>
      </c>
      <c r="V8" s="74"/>
      <c r="W8" s="77"/>
      <c r="X8" s="33"/>
      <c r="Y8" s="373"/>
      <c r="Z8" s="372"/>
      <c r="AA8" s="74"/>
      <c r="AB8" s="373"/>
      <c r="AC8" s="373"/>
      <c r="AD8" s="390"/>
      <c r="AE8" s="390"/>
      <c r="AF8" s="391"/>
    </row>
    <row r="9" spans="1:32" s="55" customFormat="1" ht="25.5" customHeight="1">
      <c r="A9" s="223" t="s">
        <v>319</v>
      </c>
      <c r="B9" s="80" t="s">
        <v>320</v>
      </c>
      <c r="C9" s="35">
        <v>13733374</v>
      </c>
      <c r="D9" s="35">
        <v>2766324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3">
        <f t="shared" ref="S9:S55" si="6">+C9+E9+G9+I9+K9+M9+O9+Q9</f>
        <v>13733374</v>
      </c>
      <c r="T9" s="33">
        <f t="shared" ref="T9:T55" si="7">+S9-U9</f>
        <v>10967050</v>
      </c>
      <c r="U9" s="33">
        <f t="shared" ref="U9:U55" si="8">+D9+F9+H9+J9+L9+N9+P9+R9</f>
        <v>2766324</v>
      </c>
      <c r="V9" s="76">
        <v>0.1</v>
      </c>
      <c r="W9" s="77">
        <f>+C9+E9+G9</f>
        <v>13733374</v>
      </c>
      <c r="X9" s="34">
        <f>+W9*V9</f>
        <v>1373337.4000000001</v>
      </c>
      <c r="Y9" s="373">
        <f>+D9+F9+H9</f>
        <v>2766324</v>
      </c>
      <c r="Z9" s="364">
        <f>+Y9*V9</f>
        <v>276632.40000000002</v>
      </c>
      <c r="AA9" s="76"/>
      <c r="AB9" s="373"/>
      <c r="AC9" s="373"/>
      <c r="AD9" s="396"/>
      <c r="AE9" s="396"/>
      <c r="AF9" s="397"/>
    </row>
    <row r="10" spans="1:32" s="55" customFormat="1" ht="25.5" customHeight="1">
      <c r="A10" s="223" t="s">
        <v>321</v>
      </c>
      <c r="B10" s="270" t="s">
        <v>325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3">
        <f t="shared" si="6"/>
        <v>0</v>
      </c>
      <c r="T10" s="33">
        <f t="shared" si="7"/>
        <v>0</v>
      </c>
      <c r="U10" s="33">
        <f t="shared" si="8"/>
        <v>0</v>
      </c>
      <c r="V10" s="76">
        <v>0</v>
      </c>
      <c r="W10" s="77"/>
      <c r="X10" s="34"/>
      <c r="Y10" s="373"/>
      <c r="Z10" s="364"/>
      <c r="AA10" s="76"/>
      <c r="AB10" s="373"/>
      <c r="AC10" s="373"/>
      <c r="AD10" s="396"/>
      <c r="AE10" s="396"/>
      <c r="AF10" s="397"/>
    </row>
    <row r="11" spans="1:32" s="55" customFormat="1" ht="25.5" customHeight="1">
      <c r="A11" s="223" t="s">
        <v>322</v>
      </c>
      <c r="B11" s="80" t="s">
        <v>323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3">
        <f t="shared" si="6"/>
        <v>0</v>
      </c>
      <c r="T11" s="33">
        <f t="shared" si="7"/>
        <v>0</v>
      </c>
      <c r="U11" s="33">
        <f t="shared" si="8"/>
        <v>0</v>
      </c>
      <c r="V11" s="76">
        <v>0</v>
      </c>
      <c r="W11" s="77"/>
      <c r="X11" s="34"/>
      <c r="Y11" s="373"/>
      <c r="Z11" s="364"/>
      <c r="AA11" s="76"/>
      <c r="AB11" s="373"/>
      <c r="AC11" s="373"/>
      <c r="AD11" s="396"/>
      <c r="AE11" s="396"/>
      <c r="AF11" s="397"/>
    </row>
    <row r="12" spans="1:32" s="55" customFormat="1" ht="25.5" customHeight="1">
      <c r="A12" s="223" t="s">
        <v>324</v>
      </c>
      <c r="B12" s="80" t="s">
        <v>34</v>
      </c>
      <c r="C12" s="35">
        <v>382059131</v>
      </c>
      <c r="D12" s="35">
        <v>21632258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3">
        <f t="shared" si="6"/>
        <v>382059131</v>
      </c>
      <c r="T12" s="33">
        <f t="shared" si="7"/>
        <v>360426873</v>
      </c>
      <c r="U12" s="33">
        <f t="shared" si="8"/>
        <v>21632258</v>
      </c>
      <c r="V12" s="76">
        <v>0.3</v>
      </c>
      <c r="W12" s="77">
        <f>+C12+E12+G12</f>
        <v>382059131</v>
      </c>
      <c r="X12" s="34">
        <f t="shared" ref="X12:X38" si="9">+W12*V12</f>
        <v>114617739.3</v>
      </c>
      <c r="Y12" s="373">
        <f t="shared" ref="Y12:Y38" si="10">+D12+F12+H12</f>
        <v>21632258</v>
      </c>
      <c r="Z12" s="364">
        <f t="shared" ref="Z12:Z38" si="11">+Y12*V12</f>
        <v>6489677.3999999994</v>
      </c>
      <c r="AA12" s="76"/>
      <c r="AB12" s="373"/>
      <c r="AC12" s="373"/>
      <c r="AD12" s="396"/>
      <c r="AE12" s="396"/>
      <c r="AF12" s="397"/>
    </row>
    <row r="13" spans="1:32" s="55" customFormat="1" ht="25.5" customHeight="1">
      <c r="A13" s="223" t="s">
        <v>171</v>
      </c>
      <c r="B13" s="259" t="s">
        <v>432</v>
      </c>
      <c r="C13" s="35">
        <v>2634533</v>
      </c>
      <c r="D13" s="35">
        <v>32340</v>
      </c>
      <c r="E13" s="35">
        <v>233792889</v>
      </c>
      <c r="F13" s="35">
        <v>105714241</v>
      </c>
      <c r="G13" s="35">
        <v>181012304</v>
      </c>
      <c r="H13" s="35">
        <v>3699986</v>
      </c>
      <c r="I13" s="35">
        <v>260330858</v>
      </c>
      <c r="J13" s="35">
        <v>33883233</v>
      </c>
      <c r="K13" s="35">
        <v>254530733</v>
      </c>
      <c r="L13" s="35">
        <v>27652368</v>
      </c>
      <c r="M13" s="35">
        <v>511146073</v>
      </c>
      <c r="N13" s="35">
        <v>18874787</v>
      </c>
      <c r="O13" s="35">
        <v>63458569</v>
      </c>
      <c r="P13" s="35">
        <v>1272042</v>
      </c>
      <c r="Q13" s="35">
        <v>254339946</v>
      </c>
      <c r="R13" s="35">
        <v>157153800</v>
      </c>
      <c r="S13" s="33">
        <f t="shared" si="6"/>
        <v>1761245905</v>
      </c>
      <c r="T13" s="33">
        <f t="shared" si="7"/>
        <v>1412963108</v>
      </c>
      <c r="U13" s="33">
        <f t="shared" si="8"/>
        <v>348282797</v>
      </c>
      <c r="V13" s="76">
        <v>1</v>
      </c>
      <c r="W13" s="77">
        <f>+C13+E13+G13</f>
        <v>417439726</v>
      </c>
      <c r="X13" s="34">
        <f t="shared" si="9"/>
        <v>417439726</v>
      </c>
      <c r="Y13" s="373">
        <f t="shared" si="10"/>
        <v>109446567</v>
      </c>
      <c r="Z13" s="364">
        <f t="shared" si="11"/>
        <v>109446567</v>
      </c>
      <c r="AA13" s="76"/>
      <c r="AB13" s="373"/>
      <c r="AC13" s="373"/>
      <c r="AD13" s="396"/>
      <c r="AE13" s="396"/>
      <c r="AF13" s="397"/>
    </row>
    <row r="14" spans="1:32" s="55" customFormat="1" ht="25.5" customHeight="1">
      <c r="A14" s="223" t="s">
        <v>430</v>
      </c>
      <c r="B14" s="271" t="s">
        <v>320</v>
      </c>
      <c r="C14" s="35"/>
      <c r="D14" s="35"/>
      <c r="E14" s="35">
        <v>30163689</v>
      </c>
      <c r="F14" s="35">
        <v>945041</v>
      </c>
      <c r="G14" s="35">
        <v>57214612</v>
      </c>
      <c r="H14" s="35">
        <v>2652294</v>
      </c>
      <c r="I14" s="35">
        <v>112908752</v>
      </c>
      <c r="J14" s="35">
        <v>22358621</v>
      </c>
      <c r="K14" s="35">
        <v>100968787</v>
      </c>
      <c r="L14" s="35">
        <v>26772307</v>
      </c>
      <c r="M14" s="35">
        <v>111359166</v>
      </c>
      <c r="N14" s="35">
        <v>9026482</v>
      </c>
      <c r="O14" s="35">
        <v>20208569</v>
      </c>
      <c r="P14" s="35">
        <v>1272042</v>
      </c>
      <c r="Q14" s="35">
        <v>2174301</v>
      </c>
      <c r="R14" s="563">
        <v>0</v>
      </c>
      <c r="S14" s="33">
        <f t="shared" si="6"/>
        <v>434997876</v>
      </c>
      <c r="T14" s="33">
        <f t="shared" si="7"/>
        <v>371971089</v>
      </c>
      <c r="U14" s="33">
        <f t="shared" si="8"/>
        <v>63026787</v>
      </c>
      <c r="V14" s="76">
        <v>0</v>
      </c>
      <c r="W14" s="77"/>
      <c r="X14" s="34"/>
      <c r="Y14" s="373"/>
      <c r="Z14" s="364"/>
      <c r="AA14" s="76"/>
      <c r="AB14" s="373"/>
      <c r="AC14" s="373"/>
      <c r="AD14" s="396"/>
      <c r="AE14" s="396"/>
      <c r="AF14" s="397"/>
    </row>
    <row r="15" spans="1:32" s="55" customFormat="1" ht="25.5" customHeight="1">
      <c r="A15" s="223" t="s">
        <v>431</v>
      </c>
      <c r="B15" s="260" t="s">
        <v>429</v>
      </c>
      <c r="C15" s="35"/>
      <c r="D15" s="35"/>
      <c r="E15" s="35"/>
      <c r="F15" s="35"/>
      <c r="G15" s="35">
        <v>26000000</v>
      </c>
      <c r="H15" s="35"/>
      <c r="I15" s="35">
        <v>9100000</v>
      </c>
      <c r="J15" s="35"/>
      <c r="K15" s="35"/>
      <c r="L15" s="35"/>
      <c r="M15" s="35"/>
      <c r="N15" s="35"/>
      <c r="O15" s="35"/>
      <c r="P15" s="35"/>
      <c r="Q15" s="35"/>
      <c r="R15" s="35"/>
      <c r="S15" s="33">
        <f t="shared" si="6"/>
        <v>35100000</v>
      </c>
      <c r="T15" s="33">
        <f t="shared" si="7"/>
        <v>35100000</v>
      </c>
      <c r="U15" s="33">
        <f t="shared" si="8"/>
        <v>0</v>
      </c>
      <c r="V15" s="76">
        <v>0</v>
      </c>
      <c r="W15" s="77"/>
      <c r="X15" s="34"/>
      <c r="Y15" s="373"/>
      <c r="Z15" s="364"/>
      <c r="AA15" s="76"/>
      <c r="AB15" s="373"/>
      <c r="AC15" s="373"/>
      <c r="AD15" s="396"/>
      <c r="AE15" s="396"/>
      <c r="AF15" s="397"/>
    </row>
    <row r="16" spans="1:32" s="55" customFormat="1" ht="25.5" customHeight="1">
      <c r="A16" s="223" t="s">
        <v>172</v>
      </c>
      <c r="B16" s="80" t="s">
        <v>182</v>
      </c>
      <c r="C16" s="33">
        <f>SUM(C17:C21)</f>
        <v>225705415</v>
      </c>
      <c r="D16" s="34">
        <f t="shared" ref="D16:R16" si="12">SUM(D17:D21)</f>
        <v>53081874</v>
      </c>
      <c r="E16" s="33">
        <f t="shared" ref="E16:F16" si="13">SUM(E17:E21)</f>
        <v>0</v>
      </c>
      <c r="F16" s="34">
        <f t="shared" si="13"/>
        <v>0</v>
      </c>
      <c r="G16" s="33">
        <f t="shared" si="12"/>
        <v>0</v>
      </c>
      <c r="H16" s="34">
        <f t="shared" si="12"/>
        <v>0</v>
      </c>
      <c r="I16" s="33">
        <f t="shared" si="12"/>
        <v>0</v>
      </c>
      <c r="J16" s="34">
        <f t="shared" si="12"/>
        <v>0</v>
      </c>
      <c r="K16" s="33">
        <f t="shared" si="12"/>
        <v>0</v>
      </c>
      <c r="L16" s="34">
        <f t="shared" si="12"/>
        <v>0</v>
      </c>
      <c r="M16" s="33">
        <f t="shared" si="12"/>
        <v>0</v>
      </c>
      <c r="N16" s="34">
        <f t="shared" si="12"/>
        <v>0</v>
      </c>
      <c r="O16" s="33">
        <f t="shared" si="12"/>
        <v>0</v>
      </c>
      <c r="P16" s="34">
        <f t="shared" si="12"/>
        <v>0</v>
      </c>
      <c r="Q16" s="33">
        <f t="shared" si="12"/>
        <v>0</v>
      </c>
      <c r="R16" s="34">
        <f t="shared" si="12"/>
        <v>0</v>
      </c>
      <c r="S16" s="33">
        <f t="shared" si="6"/>
        <v>225705415</v>
      </c>
      <c r="T16" s="33">
        <f t="shared" si="7"/>
        <v>172623541</v>
      </c>
      <c r="U16" s="33">
        <f t="shared" si="8"/>
        <v>53081874</v>
      </c>
      <c r="V16" s="76"/>
      <c r="W16" s="77"/>
      <c r="X16" s="34"/>
      <c r="Y16" s="373"/>
      <c r="Z16" s="364"/>
      <c r="AA16" s="76"/>
      <c r="AB16" s="373"/>
      <c r="AC16" s="373"/>
      <c r="AD16" s="396"/>
      <c r="AE16" s="396"/>
      <c r="AF16" s="397"/>
    </row>
    <row r="17" spans="1:32" s="55" customFormat="1" ht="28.5" customHeight="1">
      <c r="A17" s="223" t="s">
        <v>326</v>
      </c>
      <c r="B17" s="80" t="s">
        <v>329</v>
      </c>
      <c r="C17" s="35">
        <v>149627163</v>
      </c>
      <c r="D17" s="35">
        <v>5549710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3">
        <f t="shared" si="6"/>
        <v>149627163</v>
      </c>
      <c r="T17" s="33">
        <f t="shared" si="7"/>
        <v>144077453</v>
      </c>
      <c r="U17" s="33">
        <f t="shared" si="8"/>
        <v>5549710</v>
      </c>
      <c r="V17" s="76">
        <v>0.1</v>
      </c>
      <c r="W17" s="77">
        <f>+C17+E17+G17</f>
        <v>149627163</v>
      </c>
      <c r="X17" s="34">
        <f>+W17*V17</f>
        <v>14962716.300000001</v>
      </c>
      <c r="Y17" s="373">
        <f t="shared" si="10"/>
        <v>5549710</v>
      </c>
      <c r="Z17" s="364">
        <f t="shared" si="11"/>
        <v>554971</v>
      </c>
      <c r="AA17" s="76"/>
      <c r="AB17" s="373"/>
      <c r="AC17" s="373"/>
      <c r="AD17" s="396"/>
      <c r="AE17" s="396"/>
      <c r="AF17" s="397"/>
    </row>
    <row r="18" spans="1:32" s="55" customFormat="1" ht="28.5" customHeight="1">
      <c r="A18" s="223" t="s">
        <v>327</v>
      </c>
      <c r="B18" s="80" t="s">
        <v>330</v>
      </c>
      <c r="C18" s="35">
        <v>9478980</v>
      </c>
      <c r="D18" s="35">
        <v>67872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3">
        <f t="shared" si="6"/>
        <v>9478980</v>
      </c>
      <c r="T18" s="33">
        <f t="shared" si="7"/>
        <v>9411108</v>
      </c>
      <c r="U18" s="33">
        <f t="shared" si="8"/>
        <v>67872</v>
      </c>
      <c r="V18" s="76">
        <v>0.1</v>
      </c>
      <c r="W18" s="77">
        <f>+C18+E18+G18</f>
        <v>9478980</v>
      </c>
      <c r="X18" s="34">
        <f t="shared" ref="X18:X20" si="14">+W18*V18</f>
        <v>947898</v>
      </c>
      <c r="Y18" s="373">
        <f t="shared" si="10"/>
        <v>67872</v>
      </c>
      <c r="Z18" s="364">
        <f t="shared" si="11"/>
        <v>6787.2000000000007</v>
      </c>
      <c r="AA18" s="76"/>
      <c r="AB18" s="373"/>
      <c r="AC18" s="373"/>
      <c r="AD18" s="396"/>
      <c r="AE18" s="396"/>
      <c r="AF18" s="397"/>
    </row>
    <row r="19" spans="1:32" s="55" customFormat="1" ht="25.5" customHeight="1">
      <c r="A19" s="223" t="s">
        <v>328</v>
      </c>
      <c r="B19" s="80" t="s">
        <v>331</v>
      </c>
      <c r="C19" s="35">
        <v>42793985</v>
      </c>
      <c r="D19" s="35">
        <v>42793985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3">
        <f t="shared" si="6"/>
        <v>42793985</v>
      </c>
      <c r="T19" s="33">
        <f t="shared" si="7"/>
        <v>0</v>
      </c>
      <c r="U19" s="33">
        <f t="shared" si="8"/>
        <v>42793985</v>
      </c>
      <c r="V19" s="76">
        <v>0.3</v>
      </c>
      <c r="W19" s="77">
        <f>+C19+E19+G19</f>
        <v>42793985</v>
      </c>
      <c r="X19" s="34">
        <f t="shared" si="14"/>
        <v>12838195.5</v>
      </c>
      <c r="Y19" s="373">
        <f t="shared" si="10"/>
        <v>42793985</v>
      </c>
      <c r="Z19" s="364">
        <f t="shared" si="11"/>
        <v>12838195.5</v>
      </c>
      <c r="AA19" s="76"/>
      <c r="AB19" s="373"/>
      <c r="AC19" s="373"/>
      <c r="AD19" s="396"/>
      <c r="AE19" s="396"/>
      <c r="AF19" s="397"/>
    </row>
    <row r="20" spans="1:32" s="55" customFormat="1" ht="25.5">
      <c r="A20" s="223" t="s">
        <v>332</v>
      </c>
      <c r="B20" s="80" t="s">
        <v>333</v>
      </c>
      <c r="C20" s="35">
        <v>6492248</v>
      </c>
      <c r="D20" s="35">
        <v>0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3">
        <f t="shared" si="6"/>
        <v>6492248</v>
      </c>
      <c r="T20" s="33">
        <f t="shared" si="7"/>
        <v>6492248</v>
      </c>
      <c r="U20" s="33">
        <f t="shared" si="8"/>
        <v>0</v>
      </c>
      <c r="V20" s="76">
        <v>1</v>
      </c>
      <c r="W20" s="77">
        <f>+C20+E20+G20</f>
        <v>6492248</v>
      </c>
      <c r="X20" s="34">
        <f t="shared" si="14"/>
        <v>6492248</v>
      </c>
      <c r="Y20" s="373">
        <f t="shared" si="10"/>
        <v>0</v>
      </c>
      <c r="Z20" s="364">
        <f t="shared" si="11"/>
        <v>0</v>
      </c>
      <c r="AA20" s="76"/>
      <c r="AB20" s="373"/>
      <c r="AC20" s="373"/>
      <c r="AD20" s="396"/>
      <c r="AE20" s="396"/>
      <c r="AF20" s="397"/>
    </row>
    <row r="21" spans="1:32" s="55" customFormat="1" ht="25.5" customHeight="1">
      <c r="A21" s="223" t="s">
        <v>334</v>
      </c>
      <c r="B21" s="80" t="s">
        <v>21</v>
      </c>
      <c r="C21" s="35">
        <v>17313039</v>
      </c>
      <c r="D21" s="35">
        <v>4670307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3">
        <f t="shared" si="6"/>
        <v>17313039</v>
      </c>
      <c r="T21" s="33">
        <f t="shared" si="7"/>
        <v>12642732</v>
      </c>
      <c r="U21" s="33">
        <f t="shared" si="8"/>
        <v>4670307</v>
      </c>
      <c r="V21" s="76">
        <v>0.3</v>
      </c>
      <c r="W21" s="77">
        <f>+C21+E21+G21</f>
        <v>17313039</v>
      </c>
      <c r="X21" s="34">
        <f>+W21*V21</f>
        <v>5193911.7</v>
      </c>
      <c r="Y21" s="373">
        <f t="shared" si="10"/>
        <v>4670307</v>
      </c>
      <c r="Z21" s="364">
        <f t="shared" si="11"/>
        <v>1401092.0999999999</v>
      </c>
      <c r="AA21" s="76"/>
      <c r="AB21" s="373"/>
      <c r="AC21" s="373"/>
      <c r="AD21" s="396"/>
      <c r="AE21" s="396"/>
      <c r="AF21" s="397"/>
    </row>
    <row r="22" spans="1:32" s="55" customFormat="1" ht="25.5" customHeight="1">
      <c r="A22" s="223" t="s">
        <v>174</v>
      </c>
      <c r="B22" s="81" t="s">
        <v>175</v>
      </c>
      <c r="C22" s="34">
        <f t="shared" ref="C22:R22" si="15">+C8+C13+C16</f>
        <v>624132453</v>
      </c>
      <c r="D22" s="34">
        <f t="shared" si="15"/>
        <v>77512796</v>
      </c>
      <c r="E22" s="34">
        <f t="shared" ref="E22:F22" si="16">+E8+E13+E16</f>
        <v>233792889</v>
      </c>
      <c r="F22" s="34">
        <f t="shared" si="16"/>
        <v>105714241</v>
      </c>
      <c r="G22" s="34">
        <f t="shared" si="15"/>
        <v>181012304</v>
      </c>
      <c r="H22" s="34">
        <f t="shared" si="15"/>
        <v>3699986</v>
      </c>
      <c r="I22" s="34">
        <f t="shared" si="15"/>
        <v>260330858</v>
      </c>
      <c r="J22" s="34">
        <f t="shared" si="15"/>
        <v>33883233</v>
      </c>
      <c r="K22" s="34">
        <f t="shared" si="15"/>
        <v>254530733</v>
      </c>
      <c r="L22" s="34">
        <f t="shared" si="15"/>
        <v>27652368</v>
      </c>
      <c r="M22" s="34">
        <f t="shared" si="15"/>
        <v>511146073</v>
      </c>
      <c r="N22" s="34">
        <f t="shared" si="15"/>
        <v>18874787</v>
      </c>
      <c r="O22" s="34">
        <f t="shared" si="15"/>
        <v>63458569</v>
      </c>
      <c r="P22" s="34">
        <f t="shared" si="15"/>
        <v>1272042</v>
      </c>
      <c r="Q22" s="34">
        <f t="shared" si="15"/>
        <v>254339946</v>
      </c>
      <c r="R22" s="34">
        <f t="shared" si="15"/>
        <v>157153800</v>
      </c>
      <c r="S22" s="33">
        <f t="shared" si="6"/>
        <v>2382743825</v>
      </c>
      <c r="T22" s="33">
        <f t="shared" si="7"/>
        <v>1956980572</v>
      </c>
      <c r="U22" s="33">
        <f t="shared" si="8"/>
        <v>425763253</v>
      </c>
      <c r="V22" s="76"/>
      <c r="W22" s="77"/>
      <c r="X22" s="34"/>
      <c r="Y22" s="373">
        <f t="shared" si="10"/>
        <v>186927023</v>
      </c>
      <c r="Z22" s="364">
        <f t="shared" si="11"/>
        <v>0</v>
      </c>
      <c r="AA22" s="76">
        <v>0.15</v>
      </c>
      <c r="AB22" s="373">
        <f>+S22*AA22</f>
        <v>357411573.75</v>
      </c>
      <c r="AC22" s="373">
        <f>U22*AA22</f>
        <v>63864487.949999996</v>
      </c>
      <c r="AD22" s="396"/>
      <c r="AE22" s="396"/>
      <c r="AF22" s="397"/>
    </row>
    <row r="23" spans="1:32" s="55" customFormat="1" ht="25.5" customHeight="1">
      <c r="A23" s="223" t="s">
        <v>130</v>
      </c>
      <c r="B23" s="80" t="s">
        <v>176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3">
        <f t="shared" si="6"/>
        <v>0</v>
      </c>
      <c r="T23" s="33">
        <f t="shared" si="7"/>
        <v>0</v>
      </c>
      <c r="U23" s="33">
        <f t="shared" si="8"/>
        <v>0</v>
      </c>
      <c r="V23" s="76">
        <v>1</v>
      </c>
      <c r="W23" s="77">
        <f>+C23+E23+G23</f>
        <v>0</v>
      </c>
      <c r="X23" s="34">
        <f t="shared" si="9"/>
        <v>0</v>
      </c>
      <c r="Y23" s="373">
        <f t="shared" si="10"/>
        <v>0</v>
      </c>
      <c r="Z23" s="364">
        <f t="shared" si="11"/>
        <v>0</v>
      </c>
      <c r="AA23" s="76">
        <v>1</v>
      </c>
      <c r="AB23" s="373">
        <f>(C23+E23+G23)*AA23</f>
        <v>0</v>
      </c>
      <c r="AC23" s="373">
        <f t="shared" ref="AC23" si="17">(D23+F23+H23)*AA23</f>
        <v>0</v>
      </c>
      <c r="AD23" s="396"/>
      <c r="AE23" s="396"/>
      <c r="AF23" s="397"/>
    </row>
    <row r="24" spans="1:32" s="55" customFormat="1" ht="25.5" customHeight="1">
      <c r="A24" s="223" t="s">
        <v>131</v>
      </c>
      <c r="B24" s="80" t="s">
        <v>177</v>
      </c>
      <c r="C24" s="34">
        <f>SUM(C25:C28)</f>
        <v>4554422</v>
      </c>
      <c r="D24" s="34">
        <f t="shared" ref="D24:R24" si="18">SUM(D25:D28)</f>
        <v>0</v>
      </c>
      <c r="E24" s="34">
        <f t="shared" si="18"/>
        <v>0</v>
      </c>
      <c r="F24" s="34">
        <f t="shared" si="18"/>
        <v>0</v>
      </c>
      <c r="G24" s="34">
        <f t="shared" si="18"/>
        <v>0</v>
      </c>
      <c r="H24" s="34">
        <f t="shared" si="18"/>
        <v>0</v>
      </c>
      <c r="I24" s="34">
        <f t="shared" si="18"/>
        <v>166895134</v>
      </c>
      <c r="J24" s="34">
        <f t="shared" si="18"/>
        <v>66895134</v>
      </c>
      <c r="K24" s="34">
        <f t="shared" si="18"/>
        <v>102384600</v>
      </c>
      <c r="L24" s="34">
        <f t="shared" si="18"/>
        <v>52384600</v>
      </c>
      <c r="M24" s="34">
        <f t="shared" si="18"/>
        <v>411692200</v>
      </c>
      <c r="N24" s="34">
        <f t="shared" si="18"/>
        <v>366692200</v>
      </c>
      <c r="O24" s="34">
        <f t="shared" si="18"/>
        <v>104769200</v>
      </c>
      <c r="P24" s="34">
        <f t="shared" si="18"/>
        <v>104769200</v>
      </c>
      <c r="Q24" s="34">
        <f t="shared" si="18"/>
        <v>887105651</v>
      </c>
      <c r="R24" s="34">
        <f t="shared" si="18"/>
        <v>168699350</v>
      </c>
      <c r="S24" s="33">
        <f t="shared" si="6"/>
        <v>1677401207</v>
      </c>
      <c r="T24" s="33">
        <f t="shared" si="7"/>
        <v>917960723</v>
      </c>
      <c r="U24" s="33">
        <f t="shared" si="8"/>
        <v>759440484</v>
      </c>
      <c r="V24" s="76"/>
      <c r="W24" s="77"/>
      <c r="X24" s="34"/>
      <c r="Y24" s="373"/>
      <c r="Z24" s="364"/>
      <c r="AA24" s="76"/>
      <c r="AB24" s="373"/>
      <c r="AC24" s="373"/>
      <c r="AD24" s="396"/>
      <c r="AE24" s="396"/>
      <c r="AF24" s="397"/>
    </row>
    <row r="25" spans="1:32" s="55" customFormat="1" ht="25.5" customHeight="1">
      <c r="A25" s="223" t="s">
        <v>192</v>
      </c>
      <c r="B25" s="259" t="s">
        <v>522</v>
      </c>
      <c r="C25" s="28"/>
      <c r="D25" s="2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>
        <f>+C25</f>
        <v>0</v>
      </c>
      <c r="T25" s="34">
        <f t="shared" ref="T25" si="19">+S25-U25</f>
        <v>0</v>
      </c>
      <c r="U25" s="34">
        <f>+D25</f>
        <v>0</v>
      </c>
      <c r="V25" s="76">
        <v>1</v>
      </c>
      <c r="W25" s="77">
        <f>+T25</f>
        <v>0</v>
      </c>
      <c r="X25" s="34">
        <f t="shared" si="9"/>
        <v>0</v>
      </c>
      <c r="Y25" s="373"/>
      <c r="Z25" s="373"/>
      <c r="AA25" s="492">
        <v>1</v>
      </c>
      <c r="AB25" s="373">
        <f>+T25*AA25</f>
        <v>0</v>
      </c>
      <c r="AC25" s="373"/>
      <c r="AD25" s="396"/>
      <c r="AE25" s="396"/>
      <c r="AF25" s="397"/>
    </row>
    <row r="26" spans="1:32" s="55" customFormat="1" ht="25.5" customHeight="1">
      <c r="A26" s="223" t="s">
        <v>193</v>
      </c>
      <c r="B26" s="80" t="s">
        <v>335</v>
      </c>
      <c r="C26" s="35"/>
      <c r="D26" s="35"/>
      <c r="E26" s="35"/>
      <c r="F26" s="35"/>
      <c r="G26" s="35"/>
      <c r="H26" s="35"/>
      <c r="I26" s="35">
        <v>166895134</v>
      </c>
      <c r="J26" s="35">
        <v>66895134</v>
      </c>
      <c r="K26" s="35">
        <v>102384600</v>
      </c>
      <c r="L26" s="35">
        <v>52384600</v>
      </c>
      <c r="M26" s="35">
        <v>411692200</v>
      </c>
      <c r="N26" s="35">
        <v>366692200</v>
      </c>
      <c r="O26" s="35">
        <v>104769200</v>
      </c>
      <c r="P26" s="35">
        <v>104769200</v>
      </c>
      <c r="Q26" s="35">
        <v>887105651</v>
      </c>
      <c r="R26" s="35">
        <v>168699350</v>
      </c>
      <c r="S26" s="33">
        <f t="shared" si="6"/>
        <v>1672846785</v>
      </c>
      <c r="T26" s="33">
        <f t="shared" si="7"/>
        <v>913406301</v>
      </c>
      <c r="U26" s="33">
        <f t="shared" si="8"/>
        <v>759440484</v>
      </c>
      <c r="V26" s="76">
        <v>1</v>
      </c>
      <c r="W26" s="77">
        <f t="shared" ref="W26:W38" si="20">+C26+E26+G26</f>
        <v>0</v>
      </c>
      <c r="X26" s="34">
        <f t="shared" si="9"/>
        <v>0</v>
      </c>
      <c r="Y26" s="373">
        <f t="shared" si="10"/>
        <v>0</v>
      </c>
      <c r="Z26" s="364">
        <f t="shared" si="11"/>
        <v>0</v>
      </c>
      <c r="AA26" s="492">
        <v>1</v>
      </c>
      <c r="AB26" s="373">
        <f t="shared" ref="AB26" si="21">(C26+E26+G26)*AA26</f>
        <v>0</v>
      </c>
      <c r="AC26" s="373">
        <f t="shared" ref="AC26:AC34" si="22">(D26+F26+H26)*AA26</f>
        <v>0</v>
      </c>
      <c r="AD26" s="396"/>
      <c r="AE26" s="396"/>
      <c r="AF26" s="397"/>
    </row>
    <row r="27" spans="1:32" s="55" customFormat="1" ht="25.5" customHeight="1">
      <c r="A27" s="223" t="s">
        <v>22</v>
      </c>
      <c r="B27" s="80" t="s">
        <v>336</v>
      </c>
      <c r="C27" s="35">
        <v>4554422</v>
      </c>
      <c r="D27" s="28">
        <v>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3">
        <f t="shared" si="6"/>
        <v>4554422</v>
      </c>
      <c r="T27" s="33">
        <f t="shared" si="7"/>
        <v>4554422</v>
      </c>
      <c r="U27" s="33">
        <f t="shared" si="8"/>
        <v>0</v>
      </c>
      <c r="V27" s="76">
        <v>0.5</v>
      </c>
      <c r="W27" s="77">
        <f t="shared" si="20"/>
        <v>4554422</v>
      </c>
      <c r="X27" s="34">
        <f t="shared" si="9"/>
        <v>2277211</v>
      </c>
      <c r="Y27" s="373">
        <f t="shared" si="10"/>
        <v>0</v>
      </c>
      <c r="Z27" s="364">
        <f t="shared" si="11"/>
        <v>0</v>
      </c>
      <c r="AA27" s="492">
        <v>1</v>
      </c>
      <c r="AB27" s="373">
        <f t="shared" ref="AB27" si="23">(C27+E27+G27)*AA27</f>
        <v>4554422</v>
      </c>
      <c r="AC27" s="373">
        <f t="shared" si="22"/>
        <v>0</v>
      </c>
      <c r="AD27" s="396"/>
      <c r="AE27" s="396"/>
      <c r="AF27" s="397"/>
    </row>
    <row r="28" spans="1:32" s="55" customFormat="1" ht="25.5" customHeight="1">
      <c r="A28" s="447" t="s">
        <v>347</v>
      </c>
      <c r="B28" s="80" t="s">
        <v>32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3">
        <f t="shared" si="6"/>
        <v>0</v>
      </c>
      <c r="T28" s="33">
        <f t="shared" si="7"/>
        <v>0</v>
      </c>
      <c r="U28" s="33">
        <f t="shared" si="8"/>
        <v>0</v>
      </c>
      <c r="V28" s="76">
        <v>0.3</v>
      </c>
      <c r="W28" s="77">
        <f t="shared" si="20"/>
        <v>0</v>
      </c>
      <c r="X28" s="34">
        <f t="shared" si="9"/>
        <v>0</v>
      </c>
      <c r="Y28" s="373">
        <f t="shared" si="10"/>
        <v>0</v>
      </c>
      <c r="Z28" s="364">
        <f t="shared" si="11"/>
        <v>0</v>
      </c>
      <c r="AA28" s="492">
        <v>1</v>
      </c>
      <c r="AB28" s="373">
        <f t="shared" ref="AB28" si="24">(C28+E28+G28)*AA28</f>
        <v>0</v>
      </c>
      <c r="AC28" s="373">
        <f t="shared" si="22"/>
        <v>0</v>
      </c>
      <c r="AD28" s="396"/>
      <c r="AE28" s="396"/>
      <c r="AF28" s="397"/>
    </row>
    <row r="29" spans="1:32" s="55" customFormat="1" ht="25.5" customHeight="1">
      <c r="A29" s="223" t="s">
        <v>133</v>
      </c>
      <c r="B29" s="80" t="s">
        <v>178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3">
        <f t="shared" si="6"/>
        <v>0</v>
      </c>
      <c r="T29" s="33">
        <f t="shared" si="7"/>
        <v>0</v>
      </c>
      <c r="U29" s="33">
        <f t="shared" si="8"/>
        <v>0</v>
      </c>
      <c r="V29" s="76">
        <v>1</v>
      </c>
      <c r="W29" s="77">
        <f t="shared" si="20"/>
        <v>0</v>
      </c>
      <c r="X29" s="34">
        <f t="shared" si="9"/>
        <v>0</v>
      </c>
      <c r="Y29" s="373">
        <f t="shared" si="10"/>
        <v>0</v>
      </c>
      <c r="Z29" s="364">
        <f t="shared" si="11"/>
        <v>0</v>
      </c>
      <c r="AA29" s="492">
        <v>1</v>
      </c>
      <c r="AB29" s="373">
        <f t="shared" ref="AB29" si="25">(C29+E29+G29)*AA29</f>
        <v>0</v>
      </c>
      <c r="AC29" s="373">
        <f t="shared" si="22"/>
        <v>0</v>
      </c>
      <c r="AD29" s="396"/>
      <c r="AE29" s="396"/>
      <c r="AF29" s="397"/>
    </row>
    <row r="30" spans="1:32" s="55" customFormat="1" ht="25.5">
      <c r="A30" s="223" t="s">
        <v>135</v>
      </c>
      <c r="B30" s="80" t="s">
        <v>179</v>
      </c>
      <c r="C30" s="28">
        <v>2586732</v>
      </c>
      <c r="D30" s="28">
        <v>2586732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3">
        <f t="shared" si="6"/>
        <v>2586732</v>
      </c>
      <c r="T30" s="33">
        <f t="shared" si="7"/>
        <v>0</v>
      </c>
      <c r="U30" s="33">
        <f t="shared" si="8"/>
        <v>2586732</v>
      </c>
      <c r="V30" s="76">
        <v>1</v>
      </c>
      <c r="W30" s="77">
        <f t="shared" si="20"/>
        <v>2586732</v>
      </c>
      <c r="X30" s="34">
        <f t="shared" si="9"/>
        <v>2586732</v>
      </c>
      <c r="Y30" s="373">
        <f t="shared" si="10"/>
        <v>2586732</v>
      </c>
      <c r="Z30" s="364">
        <f t="shared" si="11"/>
        <v>2586732</v>
      </c>
      <c r="AA30" s="492">
        <v>1</v>
      </c>
      <c r="AB30" s="373">
        <f t="shared" ref="AB30" si="26">(C30+E30+G30)*AA30</f>
        <v>2586732</v>
      </c>
      <c r="AC30" s="373">
        <f t="shared" si="22"/>
        <v>2586732</v>
      </c>
      <c r="AD30" s="396"/>
      <c r="AE30" s="396"/>
      <c r="AF30" s="397"/>
    </row>
    <row r="31" spans="1:32" s="55" customFormat="1" ht="25.5" customHeight="1">
      <c r="A31" s="223" t="s">
        <v>137</v>
      </c>
      <c r="B31" s="80" t="s">
        <v>180</v>
      </c>
      <c r="C31" s="35">
        <v>2696281</v>
      </c>
      <c r="D31" s="35">
        <v>1308254</v>
      </c>
      <c r="E31" s="35">
        <v>539725</v>
      </c>
      <c r="F31" s="35">
        <v>0</v>
      </c>
      <c r="G31" s="35">
        <v>38614534</v>
      </c>
      <c r="H31" s="35">
        <v>30047171</v>
      </c>
      <c r="I31" s="35">
        <v>313584181</v>
      </c>
      <c r="J31" s="35">
        <v>288193399</v>
      </c>
      <c r="K31" s="35">
        <v>89850271</v>
      </c>
      <c r="L31" s="35">
        <v>39472055</v>
      </c>
      <c r="M31" s="35">
        <v>336969063</v>
      </c>
      <c r="N31" s="35">
        <v>239070256</v>
      </c>
      <c r="O31" s="35">
        <v>1420538163</v>
      </c>
      <c r="P31" s="35">
        <v>1142328694</v>
      </c>
      <c r="Q31" s="35">
        <v>2099067418</v>
      </c>
      <c r="R31" s="35">
        <v>391590685</v>
      </c>
      <c r="S31" s="33">
        <f t="shared" si="6"/>
        <v>4301859636</v>
      </c>
      <c r="T31" s="33">
        <f t="shared" si="7"/>
        <v>2169849122</v>
      </c>
      <c r="U31" s="33">
        <f t="shared" si="8"/>
        <v>2132010514</v>
      </c>
      <c r="V31" s="76">
        <v>1</v>
      </c>
      <c r="W31" s="77">
        <f t="shared" si="20"/>
        <v>41850540</v>
      </c>
      <c r="X31" s="34">
        <f t="shared" si="9"/>
        <v>41850540</v>
      </c>
      <c r="Y31" s="373">
        <f t="shared" si="10"/>
        <v>31355425</v>
      </c>
      <c r="Z31" s="364">
        <f t="shared" si="11"/>
        <v>31355425</v>
      </c>
      <c r="AA31" s="492">
        <v>0.15</v>
      </c>
      <c r="AB31" s="373">
        <f>+S31*AA31</f>
        <v>645278945.39999998</v>
      </c>
      <c r="AC31" s="373">
        <f>(U31)*AA31</f>
        <v>319801577.09999996</v>
      </c>
      <c r="AD31" s="396"/>
      <c r="AE31" s="396"/>
      <c r="AF31" s="397"/>
    </row>
    <row r="32" spans="1:32" s="55" customFormat="1" ht="25.5" customHeight="1">
      <c r="A32" s="223" t="s">
        <v>139</v>
      </c>
      <c r="B32" s="80" t="s">
        <v>405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4">
        <f t="shared" si="6"/>
        <v>0</v>
      </c>
      <c r="T32" s="34">
        <f t="shared" si="7"/>
        <v>0</v>
      </c>
      <c r="U32" s="34">
        <f t="shared" si="8"/>
        <v>0</v>
      </c>
      <c r="V32" s="76">
        <v>1</v>
      </c>
      <c r="W32" s="77">
        <f t="shared" si="20"/>
        <v>0</v>
      </c>
      <c r="X32" s="34">
        <f t="shared" ref="X32:X33" si="27">+W32*V32</f>
        <v>0</v>
      </c>
      <c r="Y32" s="373">
        <f t="shared" si="10"/>
        <v>0</v>
      </c>
      <c r="Z32" s="364">
        <f t="shared" si="11"/>
        <v>0</v>
      </c>
      <c r="AA32" s="492">
        <v>1</v>
      </c>
      <c r="AB32" s="373">
        <f t="shared" ref="AB32" si="28">(C32+E32+G32)*AA32</f>
        <v>0</v>
      </c>
      <c r="AC32" s="373">
        <f t="shared" si="22"/>
        <v>0</v>
      </c>
      <c r="AD32" s="396"/>
      <c r="AE32" s="396"/>
      <c r="AF32" s="397"/>
    </row>
    <row r="33" spans="1:32" s="55" customFormat="1" ht="25.5" customHeight="1">
      <c r="A33" s="223" t="s">
        <v>443</v>
      </c>
      <c r="B33" s="80" t="s">
        <v>378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4">
        <f t="shared" si="6"/>
        <v>0</v>
      </c>
      <c r="T33" s="34">
        <f t="shared" si="7"/>
        <v>0</v>
      </c>
      <c r="U33" s="34">
        <f t="shared" si="8"/>
        <v>0</v>
      </c>
      <c r="V33" s="76">
        <v>1</v>
      </c>
      <c r="W33" s="77">
        <f t="shared" si="20"/>
        <v>0</v>
      </c>
      <c r="X33" s="34">
        <f t="shared" si="27"/>
        <v>0</v>
      </c>
      <c r="Y33" s="373">
        <f t="shared" si="10"/>
        <v>0</v>
      </c>
      <c r="Z33" s="364">
        <f t="shared" si="11"/>
        <v>0</v>
      </c>
      <c r="AA33" s="492">
        <v>1</v>
      </c>
      <c r="AB33" s="373">
        <f t="shared" ref="AB33" si="29">(C33+E33+G33)*AA33</f>
        <v>0</v>
      </c>
      <c r="AC33" s="373">
        <f t="shared" si="22"/>
        <v>0</v>
      </c>
      <c r="AD33" s="396"/>
      <c r="AE33" s="396"/>
      <c r="AF33" s="397"/>
    </row>
    <row r="34" spans="1:32" s="55" customFormat="1" ht="25.5">
      <c r="A34" s="223" t="s">
        <v>141</v>
      </c>
      <c r="B34" s="82" t="s">
        <v>181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3">
        <f t="shared" si="6"/>
        <v>0</v>
      </c>
      <c r="T34" s="33">
        <f t="shared" si="7"/>
        <v>0</v>
      </c>
      <c r="U34" s="33">
        <f t="shared" si="8"/>
        <v>0</v>
      </c>
      <c r="V34" s="76">
        <v>1</v>
      </c>
      <c r="W34" s="77">
        <f t="shared" si="20"/>
        <v>0</v>
      </c>
      <c r="X34" s="34">
        <f t="shared" si="9"/>
        <v>0</v>
      </c>
      <c r="Y34" s="373">
        <f t="shared" si="10"/>
        <v>0</v>
      </c>
      <c r="Z34" s="364">
        <f t="shared" si="11"/>
        <v>0</v>
      </c>
      <c r="AA34" s="492">
        <v>1</v>
      </c>
      <c r="AB34" s="373">
        <f>(C34+E34+G34)*AA34</f>
        <v>0</v>
      </c>
      <c r="AC34" s="373">
        <f t="shared" si="22"/>
        <v>0</v>
      </c>
      <c r="AD34" s="396"/>
      <c r="AE34" s="396"/>
      <c r="AF34" s="397"/>
    </row>
    <row r="35" spans="1:32" s="55" customFormat="1" ht="29.25" customHeight="1">
      <c r="A35" s="223" t="s">
        <v>143</v>
      </c>
      <c r="B35" s="80" t="s">
        <v>183</v>
      </c>
      <c r="C35" s="35">
        <v>20924</v>
      </c>
      <c r="D35" s="35">
        <v>0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3">
        <f t="shared" si="6"/>
        <v>20924</v>
      </c>
      <c r="T35" s="33">
        <f t="shared" si="7"/>
        <v>20924</v>
      </c>
      <c r="U35" s="33">
        <f t="shared" si="8"/>
        <v>0</v>
      </c>
      <c r="V35" s="76">
        <v>1</v>
      </c>
      <c r="W35" s="77">
        <f t="shared" si="20"/>
        <v>20924</v>
      </c>
      <c r="X35" s="34">
        <f t="shared" si="9"/>
        <v>20924</v>
      </c>
      <c r="Y35" s="373">
        <f t="shared" si="10"/>
        <v>0</v>
      </c>
      <c r="Z35" s="364">
        <f t="shared" si="11"/>
        <v>0</v>
      </c>
      <c r="AA35" s="492">
        <v>1</v>
      </c>
      <c r="AB35" s="373">
        <f>(S35)*AA35</f>
        <v>20924</v>
      </c>
      <c r="AC35" s="373">
        <f>(U35)*AA35</f>
        <v>0</v>
      </c>
      <c r="AD35" s="396"/>
      <c r="AE35" s="396"/>
      <c r="AF35" s="397"/>
    </row>
    <row r="36" spans="1:32" s="55" customFormat="1" ht="25.5" customHeight="1">
      <c r="A36" s="223" t="s">
        <v>184</v>
      </c>
      <c r="B36" s="80" t="s">
        <v>185</v>
      </c>
      <c r="C36" s="35">
        <v>602200</v>
      </c>
      <c r="D36" s="35">
        <v>104470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3">
        <f t="shared" si="6"/>
        <v>602200</v>
      </c>
      <c r="T36" s="33">
        <f t="shared" si="7"/>
        <v>497730</v>
      </c>
      <c r="U36" s="33">
        <f t="shared" si="8"/>
        <v>104470</v>
      </c>
      <c r="V36" s="76">
        <v>1</v>
      </c>
      <c r="W36" s="77">
        <f t="shared" si="20"/>
        <v>602200</v>
      </c>
      <c r="X36" s="34">
        <f t="shared" si="9"/>
        <v>602200</v>
      </c>
      <c r="Y36" s="373">
        <f t="shared" si="10"/>
        <v>104470</v>
      </c>
      <c r="Z36" s="364">
        <f t="shared" si="11"/>
        <v>104470</v>
      </c>
      <c r="AA36" s="492">
        <v>1</v>
      </c>
      <c r="AB36" s="373">
        <f>(S36)*AA36</f>
        <v>602200</v>
      </c>
      <c r="AC36" s="373">
        <f>(U36)*AA36</f>
        <v>104470</v>
      </c>
      <c r="AD36" s="396"/>
      <c r="AE36" s="396"/>
      <c r="AF36" s="397"/>
    </row>
    <row r="37" spans="1:32" s="55" customFormat="1" ht="25.5" customHeight="1">
      <c r="A37" s="223" t="s">
        <v>186</v>
      </c>
      <c r="B37" s="80" t="s">
        <v>161</v>
      </c>
      <c r="C37" s="35">
        <v>65266761</v>
      </c>
      <c r="D37" s="35">
        <v>14589451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3">
        <f t="shared" si="6"/>
        <v>65266761</v>
      </c>
      <c r="T37" s="33">
        <f t="shared" si="7"/>
        <v>50677310</v>
      </c>
      <c r="U37" s="33">
        <f t="shared" si="8"/>
        <v>14589451</v>
      </c>
      <c r="V37" s="76">
        <v>1</v>
      </c>
      <c r="W37" s="77">
        <f t="shared" si="20"/>
        <v>65266761</v>
      </c>
      <c r="X37" s="34">
        <f t="shared" si="9"/>
        <v>65266761</v>
      </c>
      <c r="Y37" s="373">
        <f t="shared" si="10"/>
        <v>14589451</v>
      </c>
      <c r="Z37" s="364">
        <f t="shared" si="11"/>
        <v>14589451</v>
      </c>
      <c r="AA37" s="492"/>
      <c r="AB37" s="373">
        <f>C37+E37+G37+((I37+K37+M37+O37+Q37)*15%)</f>
        <v>65266761</v>
      </c>
      <c r="AC37" s="373">
        <f>D37+F37+H37+((J37+L37+N37+P37+R37)*15%)</f>
        <v>14589451</v>
      </c>
      <c r="AD37" s="396"/>
      <c r="AE37" s="396"/>
      <c r="AF37" s="397"/>
    </row>
    <row r="38" spans="1:32" s="55" customFormat="1" ht="25.5" customHeight="1">
      <c r="A38" s="223" t="s">
        <v>147</v>
      </c>
      <c r="B38" s="80" t="s">
        <v>187</v>
      </c>
      <c r="C38" s="35">
        <f>112520224+1624624</f>
        <v>114144848</v>
      </c>
      <c r="D38" s="35">
        <v>46179811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3">
        <f t="shared" si="6"/>
        <v>114144848</v>
      </c>
      <c r="T38" s="33">
        <f t="shared" si="7"/>
        <v>67965037</v>
      </c>
      <c r="U38" s="33">
        <f t="shared" si="8"/>
        <v>46179811</v>
      </c>
      <c r="V38" s="76">
        <v>0.3</v>
      </c>
      <c r="W38" s="77">
        <f t="shared" si="20"/>
        <v>114144848</v>
      </c>
      <c r="X38" s="34">
        <f t="shared" si="9"/>
        <v>34243454.399999999</v>
      </c>
      <c r="Y38" s="373">
        <f t="shared" si="10"/>
        <v>46179811</v>
      </c>
      <c r="Z38" s="364">
        <f t="shared" si="11"/>
        <v>13853943.299999999</v>
      </c>
      <c r="AA38" s="492">
        <v>1</v>
      </c>
      <c r="AB38" s="373">
        <f>(S38)*AA38</f>
        <v>114144848</v>
      </c>
      <c r="AC38" s="373">
        <f>(U38)*AA38</f>
        <v>46179811</v>
      </c>
      <c r="AD38" s="396"/>
      <c r="AE38" s="396"/>
      <c r="AF38" s="396"/>
    </row>
    <row r="39" spans="1:32" s="240" customFormat="1" ht="24.75" customHeight="1">
      <c r="A39" s="224" t="s">
        <v>149</v>
      </c>
      <c r="B39" s="84" t="s">
        <v>188</v>
      </c>
      <c r="C39" s="225">
        <f t="shared" ref="C39:R39" si="30">+C22+C29+C30+C31+C32+C33+C34+C35+C36+C37+C38+C23+C24</f>
        <v>814004621</v>
      </c>
      <c r="D39" s="225">
        <f t="shared" si="30"/>
        <v>142281514</v>
      </c>
      <c r="E39" s="225">
        <f t="shared" si="30"/>
        <v>234332614</v>
      </c>
      <c r="F39" s="225">
        <f t="shared" si="30"/>
        <v>105714241</v>
      </c>
      <c r="G39" s="225">
        <f t="shared" si="30"/>
        <v>219626838</v>
      </c>
      <c r="H39" s="225">
        <f t="shared" si="30"/>
        <v>33747157</v>
      </c>
      <c r="I39" s="225">
        <f t="shared" si="30"/>
        <v>740810173</v>
      </c>
      <c r="J39" s="225">
        <f t="shared" si="30"/>
        <v>388971766</v>
      </c>
      <c r="K39" s="225">
        <f t="shared" si="30"/>
        <v>446765604</v>
      </c>
      <c r="L39" s="225">
        <f t="shared" si="30"/>
        <v>119509023</v>
      </c>
      <c r="M39" s="225">
        <f t="shared" si="30"/>
        <v>1259807336</v>
      </c>
      <c r="N39" s="225">
        <f t="shared" si="30"/>
        <v>624637243</v>
      </c>
      <c r="O39" s="225">
        <f t="shared" si="30"/>
        <v>1588765932</v>
      </c>
      <c r="P39" s="225">
        <f t="shared" si="30"/>
        <v>1248369936</v>
      </c>
      <c r="Q39" s="225">
        <f t="shared" si="30"/>
        <v>3240513015</v>
      </c>
      <c r="R39" s="225">
        <f t="shared" si="30"/>
        <v>717443835</v>
      </c>
      <c r="S39" s="225">
        <f>+S22+S23+S24+S29+S30+S31+S32+S33+S34+S35+S36+S37+S38</f>
        <v>8544626133</v>
      </c>
      <c r="T39" s="225">
        <f>+T22+T23+T24+T29+T30+T31+T32+T33+T34+T35+T36+T37+T38</f>
        <v>5163951418</v>
      </c>
      <c r="U39" s="225">
        <f>+U22+U23+U24+U29+U30+U31+U32+U33+U34+U35+U36+U37+U38</f>
        <v>3380674715</v>
      </c>
      <c r="V39" s="337" t="s">
        <v>27</v>
      </c>
      <c r="W39" s="85"/>
      <c r="X39" s="225">
        <f>SUM(X9:X38)</f>
        <v>720713594.60000002</v>
      </c>
      <c r="Y39" s="85"/>
      <c r="Z39" s="225">
        <f>SUM(Z9:Z38)</f>
        <v>193503943.90000001</v>
      </c>
      <c r="AA39" s="337" t="s">
        <v>27</v>
      </c>
      <c r="AB39" s="225">
        <f>SUM(AB9:AB38)</f>
        <v>1189866406.1500001</v>
      </c>
      <c r="AC39" s="225">
        <f>SUM(AC9:AC38)</f>
        <v>447126529.04999995</v>
      </c>
      <c r="AD39" s="398">
        <f>+Balance!C62</f>
        <v>8544626133</v>
      </c>
      <c r="AE39" s="398">
        <f>+Balance!D62</f>
        <v>5163951418</v>
      </c>
      <c r="AF39" s="398">
        <f>+Balance!E62</f>
        <v>3380674715</v>
      </c>
    </row>
    <row r="40" spans="1:32" s="55" customFormat="1">
      <c r="A40" s="223"/>
      <c r="B40" s="83" t="s">
        <v>337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4">
        <f t="shared" si="6"/>
        <v>0</v>
      </c>
      <c r="T40" s="34">
        <f t="shared" si="7"/>
        <v>0</v>
      </c>
      <c r="U40" s="34">
        <f t="shared" si="8"/>
        <v>0</v>
      </c>
      <c r="V40" s="76"/>
      <c r="W40" s="77"/>
      <c r="X40" s="34"/>
      <c r="Y40" s="373"/>
      <c r="Z40" s="364"/>
      <c r="AA40" s="76"/>
      <c r="AB40" s="373"/>
      <c r="AC40" s="373"/>
      <c r="AD40" s="396"/>
      <c r="AE40" s="396"/>
      <c r="AF40" s="397"/>
    </row>
    <row r="41" spans="1:32" s="55" customFormat="1" ht="25.5">
      <c r="A41" s="223"/>
      <c r="B41" s="40" t="s">
        <v>338</v>
      </c>
      <c r="C41" s="34">
        <f>+C42+C43</f>
        <v>0</v>
      </c>
      <c r="D41" s="34">
        <f t="shared" ref="D41" si="31">+D42+D43</f>
        <v>0</v>
      </c>
      <c r="E41" s="34">
        <f t="shared" ref="E41:G41" si="32">+E42+E43</f>
        <v>0</v>
      </c>
      <c r="F41" s="34">
        <f t="shared" ref="F41:H41" si="33">+F42+F43</f>
        <v>0</v>
      </c>
      <c r="G41" s="34">
        <f t="shared" si="32"/>
        <v>0</v>
      </c>
      <c r="H41" s="34">
        <f t="shared" si="33"/>
        <v>0</v>
      </c>
      <c r="I41" s="34">
        <f t="shared" ref="I41" si="34">+I42+I43</f>
        <v>31492</v>
      </c>
      <c r="J41" s="34">
        <f t="shared" ref="J41" si="35">+J42+J43</f>
        <v>0</v>
      </c>
      <c r="K41" s="34">
        <f t="shared" ref="K41" si="36">+K42+K43</f>
        <v>24978</v>
      </c>
      <c r="L41" s="34">
        <f t="shared" ref="L41" si="37">+L42+L43</f>
        <v>0</v>
      </c>
      <c r="M41" s="34">
        <f t="shared" ref="M41" si="38">+M42+M43</f>
        <v>2141532</v>
      </c>
      <c r="N41" s="34">
        <f t="shared" ref="N41" si="39">+N42+N43</f>
        <v>0</v>
      </c>
      <c r="O41" s="34">
        <f t="shared" ref="O41" si="40">+O42+O43</f>
        <v>8007273</v>
      </c>
      <c r="P41" s="34">
        <f t="shared" ref="P41" si="41">+P42+P43</f>
        <v>0</v>
      </c>
      <c r="Q41" s="34">
        <f t="shared" ref="Q41" si="42">+Q42+Q43</f>
        <v>148343207</v>
      </c>
      <c r="R41" s="34">
        <f t="shared" ref="R41" si="43">+R42+R43</f>
        <v>0</v>
      </c>
      <c r="S41" s="34">
        <f t="shared" si="6"/>
        <v>158548482</v>
      </c>
      <c r="T41" s="34">
        <f t="shared" si="7"/>
        <v>158548482</v>
      </c>
      <c r="U41" s="34">
        <f t="shared" si="8"/>
        <v>0</v>
      </c>
      <c r="V41" s="76"/>
      <c r="W41" s="77"/>
      <c r="X41" s="34"/>
      <c r="Y41" s="373"/>
      <c r="Z41" s="364"/>
      <c r="AA41" s="76"/>
      <c r="AB41" s="373"/>
      <c r="AC41" s="373"/>
      <c r="AD41" s="396"/>
      <c r="AE41" s="396"/>
      <c r="AF41" s="397"/>
    </row>
    <row r="42" spans="1:32" s="55" customFormat="1" ht="20.25" customHeight="1">
      <c r="A42" s="223"/>
      <c r="B42" s="41" t="s">
        <v>293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31492</v>
      </c>
      <c r="J42" s="28">
        <v>0</v>
      </c>
      <c r="K42" s="28">
        <v>24978</v>
      </c>
      <c r="L42" s="28">
        <v>0</v>
      </c>
      <c r="M42" s="28">
        <v>2141532</v>
      </c>
      <c r="N42" s="28">
        <v>0</v>
      </c>
      <c r="O42" s="35">
        <v>8007273</v>
      </c>
      <c r="P42" s="35">
        <v>0</v>
      </c>
      <c r="Q42" s="35">
        <v>148343207</v>
      </c>
      <c r="R42" s="35">
        <v>0</v>
      </c>
      <c r="S42" s="34">
        <f t="shared" si="6"/>
        <v>158548482</v>
      </c>
      <c r="T42" s="34">
        <f t="shared" si="7"/>
        <v>158548482</v>
      </c>
      <c r="U42" s="34">
        <f t="shared" si="8"/>
        <v>0</v>
      </c>
      <c r="V42" s="76"/>
      <c r="W42" s="77"/>
      <c r="X42" s="34"/>
      <c r="Y42" s="373"/>
      <c r="Z42" s="364"/>
      <c r="AA42" s="76"/>
      <c r="AB42" s="373"/>
      <c r="AC42" s="373"/>
      <c r="AD42" s="396"/>
      <c r="AE42" s="396"/>
      <c r="AF42" s="397"/>
    </row>
    <row r="43" spans="1:32" s="55" customFormat="1" ht="20.25" customHeight="1">
      <c r="A43" s="223"/>
      <c r="B43" s="41" t="s">
        <v>339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4">
        <f t="shared" si="6"/>
        <v>0</v>
      </c>
      <c r="T43" s="34">
        <f t="shared" si="7"/>
        <v>0</v>
      </c>
      <c r="U43" s="34">
        <f t="shared" si="8"/>
        <v>0</v>
      </c>
      <c r="V43" s="76"/>
      <c r="W43" s="77"/>
      <c r="X43" s="34"/>
      <c r="Y43" s="373"/>
      <c r="Z43" s="364"/>
      <c r="AA43" s="76"/>
      <c r="AB43" s="373"/>
      <c r="AC43" s="373"/>
      <c r="AD43" s="396"/>
      <c r="AE43" s="396"/>
      <c r="AF43" s="397"/>
    </row>
    <row r="44" spans="1:32" s="55" customFormat="1" ht="20.25" customHeight="1">
      <c r="A44" s="223"/>
      <c r="B44" s="40" t="s">
        <v>340</v>
      </c>
      <c r="C44" s="34">
        <f>+C45+C46</f>
        <v>0</v>
      </c>
      <c r="D44" s="34">
        <f t="shared" ref="D44" si="44">+D45+D46</f>
        <v>0</v>
      </c>
      <c r="E44" s="34">
        <f t="shared" ref="E44:G44" si="45">+E45+E46</f>
        <v>0</v>
      </c>
      <c r="F44" s="34">
        <f t="shared" ref="F44:H44" si="46">+F45+F46</f>
        <v>0</v>
      </c>
      <c r="G44" s="34">
        <f t="shared" si="45"/>
        <v>5090682</v>
      </c>
      <c r="H44" s="34">
        <f t="shared" si="46"/>
        <v>0</v>
      </c>
      <c r="I44" s="34">
        <f t="shared" ref="I44" si="47">+I45+I46</f>
        <v>12302436</v>
      </c>
      <c r="J44" s="34">
        <f t="shared" ref="J44" si="48">+J45+J46</f>
        <v>0</v>
      </c>
      <c r="K44" s="34">
        <f t="shared" ref="K44" si="49">+K45+K46</f>
        <v>54878124</v>
      </c>
      <c r="L44" s="34">
        <f t="shared" ref="L44" si="50">+L45+L46</f>
        <v>0</v>
      </c>
      <c r="M44" s="34">
        <f t="shared" ref="M44" si="51">+M45+M46</f>
        <v>86520558</v>
      </c>
      <c r="N44" s="34">
        <f t="shared" ref="N44" si="52">+N45+N46</f>
        <v>0</v>
      </c>
      <c r="O44" s="34">
        <f t="shared" ref="O44" si="53">+O45+O46</f>
        <v>95001516</v>
      </c>
      <c r="P44" s="34">
        <f t="shared" ref="P44" si="54">+P45+P46</f>
        <v>0</v>
      </c>
      <c r="Q44" s="34">
        <f t="shared" ref="Q44" si="55">+Q45+Q46</f>
        <v>46116095</v>
      </c>
      <c r="R44" s="34">
        <f t="shared" ref="R44" si="56">+R45+R46</f>
        <v>0</v>
      </c>
      <c r="S44" s="34">
        <f t="shared" si="6"/>
        <v>299909411</v>
      </c>
      <c r="T44" s="34">
        <f t="shared" si="7"/>
        <v>299909411</v>
      </c>
      <c r="U44" s="34">
        <f t="shared" si="8"/>
        <v>0</v>
      </c>
      <c r="V44" s="76"/>
      <c r="W44" s="77"/>
      <c r="X44" s="34"/>
      <c r="Y44" s="373"/>
      <c r="Z44" s="364"/>
      <c r="AA44" s="76"/>
      <c r="AB44" s="373"/>
      <c r="AC44" s="373"/>
      <c r="AD44" s="396"/>
      <c r="AE44" s="396"/>
      <c r="AF44" s="397"/>
    </row>
    <row r="45" spans="1:32" s="55" customFormat="1" ht="20.25" customHeight="1">
      <c r="A45" s="223"/>
      <c r="B45" s="41" t="s">
        <v>293</v>
      </c>
      <c r="C45" s="28">
        <v>0</v>
      </c>
      <c r="D45" s="28">
        <v>0</v>
      </c>
      <c r="E45" s="28">
        <v>0</v>
      </c>
      <c r="F45" s="28">
        <v>0</v>
      </c>
      <c r="G45" s="28">
        <v>5090682</v>
      </c>
      <c r="H45" s="28">
        <v>0</v>
      </c>
      <c r="I45" s="28">
        <v>12302436</v>
      </c>
      <c r="J45" s="28">
        <v>0</v>
      </c>
      <c r="K45" s="28">
        <v>19937138</v>
      </c>
      <c r="L45" s="28">
        <v>0</v>
      </c>
      <c r="M45" s="28">
        <v>41120558</v>
      </c>
      <c r="N45" s="28">
        <v>0</v>
      </c>
      <c r="O45" s="28">
        <v>59801516</v>
      </c>
      <c r="P45" s="28">
        <v>0</v>
      </c>
      <c r="Q45" s="28">
        <v>31116095</v>
      </c>
      <c r="R45" s="28">
        <v>0</v>
      </c>
      <c r="S45" s="34">
        <f t="shared" si="6"/>
        <v>169368425</v>
      </c>
      <c r="T45" s="34">
        <f t="shared" si="7"/>
        <v>169368425</v>
      </c>
      <c r="U45" s="34">
        <f t="shared" si="8"/>
        <v>0</v>
      </c>
      <c r="V45" s="76"/>
      <c r="W45" s="77"/>
      <c r="X45" s="34"/>
      <c r="Y45" s="373"/>
      <c r="Z45" s="364"/>
      <c r="AA45" s="76"/>
      <c r="AB45" s="373"/>
      <c r="AC45" s="373"/>
      <c r="AD45" s="396"/>
      <c r="AE45" s="396"/>
      <c r="AF45" s="397"/>
    </row>
    <row r="46" spans="1:32" s="55" customFormat="1" ht="20.25" customHeight="1">
      <c r="A46" s="226"/>
      <c r="B46" s="41" t="s">
        <v>339</v>
      </c>
      <c r="C46" s="28"/>
      <c r="D46" s="28"/>
      <c r="E46" s="28"/>
      <c r="F46" s="28"/>
      <c r="G46" s="28"/>
      <c r="H46" s="28"/>
      <c r="I46" s="28"/>
      <c r="J46" s="28"/>
      <c r="K46" s="28">
        <v>34940986</v>
      </c>
      <c r="L46" s="28"/>
      <c r="M46" s="28">
        <v>45400000</v>
      </c>
      <c r="N46" s="28"/>
      <c r="O46" s="28">
        <v>35200000</v>
      </c>
      <c r="P46" s="28"/>
      <c r="Q46" s="28">
        <v>15000000</v>
      </c>
      <c r="R46" s="28"/>
      <c r="S46" s="34">
        <f t="shared" si="6"/>
        <v>130540986</v>
      </c>
      <c r="T46" s="34">
        <f t="shared" si="7"/>
        <v>130540986</v>
      </c>
      <c r="U46" s="34">
        <f t="shared" si="8"/>
        <v>0</v>
      </c>
      <c r="V46" s="76"/>
      <c r="W46" s="77"/>
      <c r="X46" s="34"/>
      <c r="Y46" s="373"/>
      <c r="Z46" s="364"/>
      <c r="AA46" s="76"/>
      <c r="AB46" s="373"/>
      <c r="AC46" s="373"/>
      <c r="AD46" s="396"/>
      <c r="AE46" s="396"/>
      <c r="AF46" s="397"/>
    </row>
    <row r="47" spans="1:32" s="55" customFormat="1" ht="25.5">
      <c r="A47" s="226"/>
      <c r="B47" s="40" t="s">
        <v>341</v>
      </c>
      <c r="C47" s="34">
        <f>+C48+C49</f>
        <v>0</v>
      </c>
      <c r="D47" s="34">
        <f t="shared" ref="D47" si="57">+D48+D49</f>
        <v>0</v>
      </c>
      <c r="E47" s="34">
        <f t="shared" ref="E47:G47" si="58">+E48+E49</f>
        <v>0</v>
      </c>
      <c r="F47" s="34">
        <f t="shared" ref="F47:H47" si="59">+F48+F49</f>
        <v>0</v>
      </c>
      <c r="G47" s="34">
        <f t="shared" si="58"/>
        <v>0</v>
      </c>
      <c r="H47" s="34">
        <f t="shared" si="59"/>
        <v>0</v>
      </c>
      <c r="I47" s="34">
        <f t="shared" ref="I47" si="60">+I48+I49</f>
        <v>0</v>
      </c>
      <c r="J47" s="34">
        <f t="shared" ref="J47" si="61">+J48+J49</f>
        <v>0</v>
      </c>
      <c r="K47" s="34">
        <f t="shared" ref="K47" si="62">+K48+K49</f>
        <v>34940985.847000003</v>
      </c>
      <c r="L47" s="34">
        <f t="shared" ref="L47" si="63">+L48+L49</f>
        <v>0</v>
      </c>
      <c r="M47" s="34">
        <f t="shared" ref="M47" si="64">+M48+M49</f>
        <v>62862</v>
      </c>
      <c r="N47" s="34">
        <f t="shared" ref="N47" si="65">+N48+N49</f>
        <v>62862</v>
      </c>
      <c r="O47" s="34">
        <f t="shared" ref="O47" si="66">+O48+O49</f>
        <v>121830640</v>
      </c>
      <c r="P47" s="34">
        <f t="shared" ref="P47" si="67">+P48+P49</f>
        <v>125723</v>
      </c>
      <c r="Q47" s="34">
        <f t="shared" ref="Q47" si="68">+Q48+Q49</f>
        <v>1245781729</v>
      </c>
      <c r="R47" s="34">
        <f t="shared" ref="R47" si="69">+R48+R49</f>
        <v>754338</v>
      </c>
      <c r="S47" s="34">
        <f t="shared" si="6"/>
        <v>1402616216.8470001</v>
      </c>
      <c r="T47" s="34">
        <f t="shared" si="7"/>
        <v>1401673293.8470001</v>
      </c>
      <c r="U47" s="34">
        <f t="shared" si="8"/>
        <v>942923</v>
      </c>
      <c r="V47" s="76"/>
      <c r="W47" s="77"/>
      <c r="X47" s="34"/>
      <c r="Y47" s="373"/>
      <c r="Z47" s="364"/>
      <c r="AA47" s="76"/>
      <c r="AB47" s="373"/>
      <c r="AC47" s="373"/>
      <c r="AD47" s="396"/>
      <c r="AE47" s="396"/>
      <c r="AF47" s="397"/>
    </row>
    <row r="48" spans="1:32" s="55" customFormat="1" ht="20.25" customHeight="1">
      <c r="A48" s="226"/>
      <c r="B48" s="41" t="s">
        <v>293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62862</v>
      </c>
      <c r="N48" s="28">
        <v>62862</v>
      </c>
      <c r="O48" s="28">
        <v>121830640</v>
      </c>
      <c r="P48" s="28">
        <v>125723</v>
      </c>
      <c r="Q48" s="28">
        <v>1245781729</v>
      </c>
      <c r="R48" s="28">
        <v>754338</v>
      </c>
      <c r="S48" s="34">
        <f t="shared" si="6"/>
        <v>1367675231</v>
      </c>
      <c r="T48" s="34">
        <f t="shared" si="7"/>
        <v>1366732308</v>
      </c>
      <c r="U48" s="34">
        <f t="shared" si="8"/>
        <v>942923</v>
      </c>
      <c r="V48" s="76"/>
      <c r="W48" s="77"/>
      <c r="X48" s="34"/>
      <c r="Y48" s="373"/>
      <c r="Z48" s="364"/>
      <c r="AA48" s="76"/>
      <c r="AB48" s="373"/>
      <c r="AC48" s="373"/>
      <c r="AD48" s="396"/>
      <c r="AE48" s="396"/>
      <c r="AF48" s="397"/>
    </row>
    <row r="49" spans="1:32" s="55" customFormat="1" ht="20.25" customHeight="1">
      <c r="A49" s="226"/>
      <c r="B49" s="41" t="s">
        <v>339</v>
      </c>
      <c r="C49" s="28"/>
      <c r="D49" s="28"/>
      <c r="E49" s="28"/>
      <c r="F49" s="28"/>
      <c r="G49" s="28"/>
      <c r="H49" s="28"/>
      <c r="I49" s="28"/>
      <c r="J49" s="28"/>
      <c r="K49" s="28">
        <v>34940985.847000003</v>
      </c>
      <c r="L49" s="28"/>
      <c r="M49" s="28"/>
      <c r="N49" s="28"/>
      <c r="O49" s="28"/>
      <c r="P49" s="28"/>
      <c r="Q49" s="28"/>
      <c r="R49" s="28"/>
      <c r="S49" s="34">
        <f t="shared" si="6"/>
        <v>34940985.847000003</v>
      </c>
      <c r="T49" s="34">
        <f t="shared" si="7"/>
        <v>34940985.847000003</v>
      </c>
      <c r="U49" s="34">
        <f t="shared" si="8"/>
        <v>0</v>
      </c>
      <c r="V49" s="76"/>
      <c r="W49" s="77"/>
      <c r="X49" s="34"/>
      <c r="Y49" s="373"/>
      <c r="Z49" s="364"/>
      <c r="AA49" s="76"/>
      <c r="AB49" s="373"/>
      <c r="AC49" s="373"/>
      <c r="AD49" s="396"/>
      <c r="AE49" s="396"/>
      <c r="AF49" s="397"/>
    </row>
    <row r="50" spans="1:32" s="55" customFormat="1" ht="20.25" customHeight="1">
      <c r="A50" s="226"/>
      <c r="B50" s="40" t="s">
        <v>342</v>
      </c>
      <c r="C50" s="34">
        <f>+C51+C52</f>
        <v>0</v>
      </c>
      <c r="D50" s="34">
        <f t="shared" ref="D50" si="70">+D51+D52</f>
        <v>0</v>
      </c>
      <c r="E50" s="34">
        <f t="shared" ref="E50:G50" si="71">+E51+E52</f>
        <v>0</v>
      </c>
      <c r="F50" s="34">
        <f t="shared" ref="F50:H50" si="72">+F51+F52</f>
        <v>0</v>
      </c>
      <c r="G50" s="34">
        <f t="shared" si="71"/>
        <v>0</v>
      </c>
      <c r="H50" s="34">
        <f t="shared" si="72"/>
        <v>0</v>
      </c>
      <c r="I50" s="34">
        <f t="shared" ref="I50" si="73">+I51+I52</f>
        <v>1105800980</v>
      </c>
      <c r="J50" s="34">
        <f t="shared" ref="J50" si="74">+J51+J52</f>
        <v>1105800980</v>
      </c>
      <c r="K50" s="34">
        <f t="shared" ref="K50" si="75">+K51+K52</f>
        <v>38358090</v>
      </c>
      <c r="L50" s="34">
        <f t="shared" ref="L50" si="76">+L51+L52</f>
        <v>38358090</v>
      </c>
      <c r="M50" s="34">
        <f t="shared" ref="M50" si="77">+M51+M52</f>
        <v>237195090</v>
      </c>
      <c r="N50" s="34">
        <f t="shared" ref="N50" si="78">+N51+N52</f>
        <v>237195090</v>
      </c>
      <c r="O50" s="34">
        <f t="shared" ref="O50" si="79">+O51+O52</f>
        <v>103023047</v>
      </c>
      <c r="P50" s="34">
        <f t="shared" ref="P50" si="80">+P51+P52</f>
        <v>103023047</v>
      </c>
      <c r="Q50" s="34">
        <f t="shared" ref="Q50" si="81">+Q51+Q52</f>
        <v>52384600</v>
      </c>
      <c r="R50" s="34">
        <f t="shared" ref="R50" si="82">+R51+R52</f>
        <v>52384600</v>
      </c>
      <c r="S50" s="34">
        <f t="shared" si="6"/>
        <v>1536761807</v>
      </c>
      <c r="T50" s="34">
        <f t="shared" si="7"/>
        <v>0</v>
      </c>
      <c r="U50" s="34">
        <f t="shared" si="8"/>
        <v>1536761807</v>
      </c>
      <c r="V50" s="76"/>
      <c r="W50" s="77"/>
      <c r="X50" s="34"/>
      <c r="Y50" s="373"/>
      <c r="Z50" s="364"/>
      <c r="AA50" s="76"/>
      <c r="AB50" s="373"/>
      <c r="AC50" s="373"/>
      <c r="AD50" s="396"/>
      <c r="AE50" s="396"/>
      <c r="AF50" s="397"/>
    </row>
    <row r="51" spans="1:32" s="55" customFormat="1" ht="20.25" customHeight="1">
      <c r="A51" s="226"/>
      <c r="B51" s="41" t="s">
        <v>293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5">
        <v>1105800980</v>
      </c>
      <c r="J51" s="35">
        <v>1105800980</v>
      </c>
      <c r="K51" s="35">
        <v>38358090</v>
      </c>
      <c r="L51" s="35">
        <v>38358090</v>
      </c>
      <c r="M51" s="35">
        <v>237195090</v>
      </c>
      <c r="N51" s="35">
        <v>237195090</v>
      </c>
      <c r="O51" s="35">
        <v>103023047</v>
      </c>
      <c r="P51" s="35">
        <v>103023047</v>
      </c>
      <c r="Q51" s="35">
        <v>52384600</v>
      </c>
      <c r="R51" s="35">
        <v>52384600</v>
      </c>
      <c r="S51" s="34">
        <f t="shared" si="6"/>
        <v>1536761807</v>
      </c>
      <c r="T51" s="34">
        <f t="shared" si="7"/>
        <v>0</v>
      </c>
      <c r="U51" s="34">
        <f t="shared" si="8"/>
        <v>1536761807</v>
      </c>
      <c r="V51" s="76"/>
      <c r="W51" s="77"/>
      <c r="X51" s="34"/>
      <c r="Y51" s="373"/>
      <c r="Z51" s="364"/>
      <c r="AA51" s="76"/>
      <c r="AB51" s="373"/>
      <c r="AC51" s="373"/>
      <c r="AD51" s="396"/>
      <c r="AE51" s="396"/>
      <c r="AF51" s="397"/>
    </row>
    <row r="52" spans="1:32" s="55" customFormat="1" ht="20.25" customHeight="1">
      <c r="A52" s="226"/>
      <c r="B52" s="41" t="s">
        <v>339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4">
        <f t="shared" si="6"/>
        <v>0</v>
      </c>
      <c r="T52" s="34">
        <f t="shared" si="7"/>
        <v>0</v>
      </c>
      <c r="U52" s="34">
        <f t="shared" si="8"/>
        <v>0</v>
      </c>
      <c r="V52" s="76"/>
      <c r="W52" s="77"/>
      <c r="X52" s="34"/>
      <c r="Y52" s="373"/>
      <c r="Z52" s="364"/>
      <c r="AA52" s="76"/>
      <c r="AB52" s="373"/>
      <c r="AC52" s="373"/>
      <c r="AD52" s="396"/>
      <c r="AE52" s="396"/>
      <c r="AF52" s="397"/>
    </row>
    <row r="53" spans="1:32" s="55" customFormat="1" ht="20.25" customHeight="1">
      <c r="A53" s="226"/>
      <c r="B53" s="40" t="s">
        <v>343</v>
      </c>
      <c r="C53" s="34">
        <f>+C54+C55</f>
        <v>0</v>
      </c>
      <c r="D53" s="34">
        <f t="shared" ref="D53" si="83">+D54+D55</f>
        <v>0</v>
      </c>
      <c r="E53" s="34">
        <f t="shared" ref="E53:G53" si="84">+E54+E55</f>
        <v>0</v>
      </c>
      <c r="F53" s="34">
        <f t="shared" ref="F53:H53" si="85">+F54+F55</f>
        <v>0</v>
      </c>
      <c r="G53" s="34">
        <f t="shared" si="84"/>
        <v>30047171</v>
      </c>
      <c r="H53" s="34">
        <f t="shared" si="85"/>
        <v>30047171</v>
      </c>
      <c r="I53" s="34">
        <f t="shared" ref="I53" si="86">+I54+I55</f>
        <v>0</v>
      </c>
      <c r="J53" s="34">
        <f t="shared" ref="J53" si="87">+J54+J55</f>
        <v>0</v>
      </c>
      <c r="K53" s="34">
        <f t="shared" ref="K53" si="88">+K54+K55</f>
        <v>0</v>
      </c>
      <c r="L53" s="34">
        <f t="shared" ref="L53" si="89">+L54+L55</f>
        <v>0</v>
      </c>
      <c r="M53" s="34">
        <f t="shared" ref="M53" si="90">+M54+M55</f>
        <v>0</v>
      </c>
      <c r="N53" s="34">
        <f t="shared" ref="N53" si="91">+N54+N55</f>
        <v>0</v>
      </c>
      <c r="O53" s="34">
        <f t="shared" ref="O53" si="92">+O54+O55</f>
        <v>187315340</v>
      </c>
      <c r="P53" s="34">
        <f t="shared" ref="P53" si="93">+P54+P55</f>
        <v>187315340</v>
      </c>
      <c r="Q53" s="34">
        <f t="shared" ref="Q53" si="94">+Q54+Q55</f>
        <v>0</v>
      </c>
      <c r="R53" s="34">
        <f t="shared" ref="R53" si="95">+R54+R55</f>
        <v>0</v>
      </c>
      <c r="S53" s="34">
        <f t="shared" si="6"/>
        <v>217362511</v>
      </c>
      <c r="T53" s="34">
        <f t="shared" si="7"/>
        <v>0</v>
      </c>
      <c r="U53" s="34">
        <f t="shared" si="8"/>
        <v>217362511</v>
      </c>
      <c r="V53" s="76"/>
      <c r="W53" s="77"/>
      <c r="X53" s="34"/>
      <c r="Y53" s="373"/>
      <c r="Z53" s="364"/>
      <c r="AA53" s="76"/>
      <c r="AB53" s="373"/>
      <c r="AC53" s="373"/>
      <c r="AD53" s="396"/>
      <c r="AE53" s="396"/>
      <c r="AF53" s="397"/>
    </row>
    <row r="54" spans="1:32" s="55" customFormat="1" ht="20.25" customHeight="1">
      <c r="A54" s="226"/>
      <c r="B54" s="41" t="s">
        <v>293</v>
      </c>
      <c r="C54" s="28">
        <v>0</v>
      </c>
      <c r="D54" s="28">
        <v>0</v>
      </c>
      <c r="E54" s="28">
        <v>0</v>
      </c>
      <c r="F54" s="28">
        <v>0</v>
      </c>
      <c r="G54" s="28">
        <v>30047171</v>
      </c>
      <c r="H54" s="28">
        <v>30047171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187315340</v>
      </c>
      <c r="P54" s="28">
        <v>187315340</v>
      </c>
      <c r="Q54" s="28">
        <v>0</v>
      </c>
      <c r="R54" s="28">
        <v>0</v>
      </c>
      <c r="S54" s="34">
        <f t="shared" si="6"/>
        <v>217362511</v>
      </c>
      <c r="T54" s="34">
        <f t="shared" si="7"/>
        <v>0</v>
      </c>
      <c r="U54" s="34">
        <f t="shared" si="8"/>
        <v>217362511</v>
      </c>
      <c r="V54" s="76"/>
      <c r="W54" s="77"/>
      <c r="X54" s="34"/>
      <c r="Y54" s="373"/>
      <c r="Z54" s="364"/>
      <c r="AA54" s="76"/>
      <c r="AB54" s="373"/>
      <c r="AC54" s="373"/>
      <c r="AD54" s="396"/>
      <c r="AE54" s="396"/>
      <c r="AF54" s="397"/>
    </row>
    <row r="55" spans="1:32" s="55" customFormat="1" ht="20.25" customHeight="1">
      <c r="A55" s="226"/>
      <c r="B55" s="41" t="s">
        <v>339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34">
        <f t="shared" si="6"/>
        <v>0</v>
      </c>
      <c r="T55" s="34">
        <f t="shared" si="7"/>
        <v>0</v>
      </c>
      <c r="U55" s="34">
        <f t="shared" si="8"/>
        <v>0</v>
      </c>
      <c r="V55" s="76"/>
      <c r="W55" s="77"/>
      <c r="X55" s="34"/>
      <c r="Y55" s="373"/>
      <c r="Z55" s="364"/>
      <c r="AA55" s="76"/>
      <c r="AB55" s="373"/>
      <c r="AC55" s="373"/>
      <c r="AD55" s="396"/>
      <c r="AE55" s="396"/>
      <c r="AF55" s="397"/>
    </row>
    <row r="56" spans="1:32" s="8" customFormat="1">
      <c r="A56" s="23"/>
      <c r="B56" s="38"/>
      <c r="V56" s="24"/>
      <c r="W56" s="25"/>
      <c r="Y56" s="374"/>
      <c r="Z56" s="368"/>
      <c r="AA56" s="24"/>
      <c r="AB56" s="374"/>
      <c r="AC56" s="374"/>
      <c r="AD56" s="389"/>
      <c r="AE56" s="389"/>
      <c r="AF56" s="399"/>
    </row>
    <row r="57" spans="1:32" s="8" customFormat="1">
      <c r="A57" s="23"/>
      <c r="B57" s="39" t="s">
        <v>4</v>
      </c>
      <c r="V57" s="24"/>
      <c r="W57" s="25"/>
      <c r="Y57" s="374"/>
      <c r="Z57" s="368"/>
      <c r="AA57" s="24"/>
      <c r="AB57" s="374"/>
      <c r="AC57" s="374"/>
      <c r="AD57" s="389"/>
      <c r="AE57" s="389"/>
      <c r="AF57" s="399"/>
    </row>
    <row r="58" spans="1:32" s="8" customFormat="1">
      <c r="A58" s="23"/>
      <c r="B58" s="39"/>
      <c r="V58" s="24"/>
      <c r="W58" s="25"/>
      <c r="Y58" s="374"/>
      <c r="Z58" s="368"/>
      <c r="AA58" s="24"/>
      <c r="AB58" s="374"/>
      <c r="AC58" s="374"/>
      <c r="AD58" s="389"/>
      <c r="AE58" s="389"/>
      <c r="AF58" s="399"/>
    </row>
    <row r="59" spans="1:32" s="8" customFormat="1">
      <c r="A59" s="23"/>
      <c r="B59" s="39" t="s">
        <v>5</v>
      </c>
      <c r="V59" s="24"/>
      <c r="W59" s="25"/>
      <c r="Y59" s="374"/>
      <c r="Z59" s="368"/>
      <c r="AA59" s="24"/>
      <c r="AB59" s="374"/>
      <c r="AC59" s="374"/>
      <c r="AD59" s="389"/>
      <c r="AE59" s="389"/>
      <c r="AF59" s="399"/>
    </row>
    <row r="60" spans="1:32" s="8" customFormat="1">
      <c r="A60" s="23"/>
      <c r="B60" s="38"/>
      <c r="V60" s="24"/>
      <c r="W60" s="25"/>
      <c r="Y60" s="374"/>
      <c r="Z60" s="368"/>
      <c r="AA60" s="24"/>
      <c r="AB60" s="374"/>
      <c r="AC60" s="374"/>
      <c r="AD60" s="389"/>
      <c r="AE60" s="389"/>
      <c r="AF60" s="393"/>
    </row>
  </sheetData>
  <sheetProtection password="CACA" sheet="1" objects="1" scenarios="1"/>
  <mergeCells count="17">
    <mergeCell ref="X1:Z1"/>
    <mergeCell ref="C3:R3"/>
    <mergeCell ref="C4:D4"/>
    <mergeCell ref="G4:H4"/>
    <mergeCell ref="K4:L4"/>
    <mergeCell ref="M4:N4"/>
    <mergeCell ref="Q4:R4"/>
    <mergeCell ref="S3:S5"/>
    <mergeCell ref="T3:U4"/>
    <mergeCell ref="E4:F4"/>
    <mergeCell ref="T2:U2"/>
    <mergeCell ref="V3:Z4"/>
    <mergeCell ref="AA3:AC4"/>
    <mergeCell ref="A3:A5"/>
    <mergeCell ref="I4:J4"/>
    <mergeCell ref="O4:P4"/>
    <mergeCell ref="B3:B5"/>
  </mergeCells>
  <phoneticPr fontId="15" type="noConversion"/>
  <conditionalFormatting sqref="AE39">
    <cfRule type="cellIs" dxfId="281" priority="306" operator="notEqual">
      <formula>$T$39</formula>
    </cfRule>
  </conditionalFormatting>
  <conditionalFormatting sqref="D8 F8 F16 D16 R16 P16 N16 L16 J16 H16 H22:H25 J22:J25 L22:L25 N22:N25 P22:P25 R22:R25 D22:D25 F22:F25 F27:F30 D27:D30 R27:R30 P27:P30 N27:N30 L27:L30 J27:J30 H27:H30">
    <cfRule type="cellIs" dxfId="280" priority="305" operator="greaterThan">
      <formula>C8</formula>
    </cfRule>
  </conditionalFormatting>
  <conditionalFormatting sqref="D41:D55 F41:F55">
    <cfRule type="cellIs" dxfId="279" priority="303" operator="greaterThan">
      <formula>C41</formula>
    </cfRule>
  </conditionalFormatting>
  <conditionalFormatting sqref="H8">
    <cfRule type="cellIs" dxfId="278" priority="302" operator="greaterThan">
      <formula>G8</formula>
    </cfRule>
  </conditionalFormatting>
  <conditionalFormatting sqref="H41:H55">
    <cfRule type="cellIs" dxfId="277" priority="300" operator="greaterThan">
      <formula>G41</formula>
    </cfRule>
  </conditionalFormatting>
  <conditionalFormatting sqref="J8">
    <cfRule type="cellIs" dxfId="276" priority="299" operator="greaterThan">
      <formula>I8</formula>
    </cfRule>
  </conditionalFormatting>
  <conditionalFormatting sqref="J41:J50 J52:J55">
    <cfRule type="cellIs" dxfId="275" priority="297" operator="greaterThan">
      <formula>I41</formula>
    </cfRule>
  </conditionalFormatting>
  <conditionalFormatting sqref="L8">
    <cfRule type="cellIs" dxfId="274" priority="296" operator="greaterThan">
      <formula>K8</formula>
    </cfRule>
  </conditionalFormatting>
  <conditionalFormatting sqref="L41:L50 L52:L55">
    <cfRule type="cellIs" dxfId="273" priority="294" operator="greaterThan">
      <formula>K41</formula>
    </cfRule>
  </conditionalFormatting>
  <conditionalFormatting sqref="N8">
    <cfRule type="cellIs" dxfId="272" priority="293" operator="greaterThan">
      <formula>M8</formula>
    </cfRule>
  </conditionalFormatting>
  <conditionalFormatting sqref="N41:N50 N52:N55">
    <cfRule type="cellIs" dxfId="271" priority="291" operator="greaterThan">
      <formula>M41</formula>
    </cfRule>
  </conditionalFormatting>
  <conditionalFormatting sqref="P8">
    <cfRule type="cellIs" dxfId="270" priority="290" operator="greaterThan">
      <formula>O8</formula>
    </cfRule>
  </conditionalFormatting>
  <conditionalFormatting sqref="P41 P43:P50 P52:P55">
    <cfRule type="cellIs" dxfId="269" priority="288" operator="greaterThan">
      <formula>O41</formula>
    </cfRule>
  </conditionalFormatting>
  <conditionalFormatting sqref="R8">
    <cfRule type="cellIs" dxfId="268" priority="287" operator="greaterThan">
      <formula>Q8</formula>
    </cfRule>
  </conditionalFormatting>
  <conditionalFormatting sqref="R41 R43:R50 R52:R55">
    <cfRule type="cellIs" dxfId="267" priority="285" operator="greaterThan">
      <formula>Q41</formula>
    </cfRule>
  </conditionalFormatting>
  <conditionalFormatting sqref="F8">
    <cfRule type="cellIs" dxfId="266" priority="282" operator="greaterThan">
      <formula>E8</formula>
    </cfRule>
  </conditionalFormatting>
  <conditionalFormatting sqref="F41:F55">
    <cfRule type="cellIs" dxfId="265" priority="281" operator="greaterThan">
      <formula>E41</formula>
    </cfRule>
  </conditionalFormatting>
  <conditionalFormatting sqref="AF39">
    <cfRule type="cellIs" dxfId="264" priority="280" operator="notEqual">
      <formula>$U$39</formula>
    </cfRule>
  </conditionalFormatting>
  <conditionalFormatting sqref="AD39">
    <cfRule type="cellIs" dxfId="263" priority="279" operator="notEqual">
      <formula>$S$39</formula>
    </cfRule>
  </conditionalFormatting>
  <conditionalFormatting sqref="H9:H12 J9:J12 L9:L12 N9:N12 P9:P12 R9:R12 D9:D12 F9:F12">
    <cfRule type="cellIs" dxfId="262" priority="278" operator="greaterThan">
      <formula>C9</formula>
    </cfRule>
  </conditionalFormatting>
  <conditionalFormatting sqref="H9">
    <cfRule type="cellIs" dxfId="261" priority="277" operator="greaterThan">
      <formula>G9</formula>
    </cfRule>
  </conditionalFormatting>
  <conditionalFormatting sqref="J9">
    <cfRule type="cellIs" dxfId="260" priority="276" operator="greaterThan">
      <formula>I9</formula>
    </cfRule>
  </conditionalFormatting>
  <conditionalFormatting sqref="L9">
    <cfRule type="cellIs" dxfId="259" priority="275" operator="greaterThan">
      <formula>K9</formula>
    </cfRule>
  </conditionalFormatting>
  <conditionalFormatting sqref="N9">
    <cfRule type="cellIs" dxfId="258" priority="274" operator="greaterThan">
      <formula>M9</formula>
    </cfRule>
  </conditionalFormatting>
  <conditionalFormatting sqref="P9">
    <cfRule type="cellIs" dxfId="257" priority="273" operator="greaterThan">
      <formula>O9</formula>
    </cfRule>
  </conditionalFormatting>
  <conditionalFormatting sqref="R9">
    <cfRule type="cellIs" dxfId="256" priority="272" operator="greaterThan">
      <formula>Q9</formula>
    </cfRule>
  </conditionalFormatting>
  <conditionalFormatting sqref="H9 J9 L9 N9 P9 R9">
    <cfRule type="cellIs" dxfId="255" priority="271" operator="greaterThan">
      <formula>G9</formula>
    </cfRule>
  </conditionalFormatting>
  <conditionalFormatting sqref="H9 J9 L9 P9 R9 N9">
    <cfRule type="cellIs" dxfId="254" priority="270" operator="greaterThan">
      <formula>G9</formula>
    </cfRule>
  </conditionalFormatting>
  <conditionalFormatting sqref="F9">
    <cfRule type="cellIs" dxfId="253" priority="269" operator="greaterThan">
      <formula>E9</formula>
    </cfRule>
  </conditionalFormatting>
  <conditionalFormatting sqref="F9">
    <cfRule type="cellIs" dxfId="252" priority="268" operator="greaterThan">
      <formula>E9</formula>
    </cfRule>
  </conditionalFormatting>
  <conditionalFormatting sqref="F9">
    <cfRule type="cellIs" dxfId="251" priority="267" operator="greaterThan">
      <formula>E9</formula>
    </cfRule>
  </conditionalFormatting>
  <conditionalFormatting sqref="F9">
    <cfRule type="cellIs" dxfId="250" priority="266" operator="greaterThan">
      <formula>E9</formula>
    </cfRule>
  </conditionalFormatting>
  <conditionalFormatting sqref="H10">
    <cfRule type="cellIs" dxfId="249" priority="265" operator="greaterThan">
      <formula>G10</formula>
    </cfRule>
  </conditionalFormatting>
  <conditionalFormatting sqref="J10">
    <cfRule type="cellIs" dxfId="248" priority="264" operator="greaterThan">
      <formula>I10</formula>
    </cfRule>
  </conditionalFormatting>
  <conditionalFormatting sqref="L10">
    <cfRule type="cellIs" dxfId="247" priority="263" operator="greaterThan">
      <formula>K10</formula>
    </cfRule>
  </conditionalFormatting>
  <conditionalFormatting sqref="N10">
    <cfRule type="cellIs" dxfId="246" priority="262" operator="greaterThan">
      <formula>M10</formula>
    </cfRule>
  </conditionalFormatting>
  <conditionalFormatting sqref="P10">
    <cfRule type="cellIs" dxfId="245" priority="261" operator="greaterThan">
      <formula>O10</formula>
    </cfRule>
  </conditionalFormatting>
  <conditionalFormatting sqref="R10">
    <cfRule type="cellIs" dxfId="244" priority="260" operator="greaterThan">
      <formula>Q10</formula>
    </cfRule>
  </conditionalFormatting>
  <conditionalFormatting sqref="H10 J10 L10 N10 P10 R10">
    <cfRule type="cellIs" dxfId="243" priority="259" operator="greaterThan">
      <formula>G10</formula>
    </cfRule>
  </conditionalFormatting>
  <conditionalFormatting sqref="H10 J10 L10 P10 R10 N10">
    <cfRule type="cellIs" dxfId="242" priority="258" operator="greaterThan">
      <formula>G10</formula>
    </cfRule>
  </conditionalFormatting>
  <conditionalFormatting sqref="F10">
    <cfRule type="cellIs" dxfId="241" priority="257" operator="greaterThan">
      <formula>E10</formula>
    </cfRule>
  </conditionalFormatting>
  <conditionalFormatting sqref="F10">
    <cfRule type="cellIs" dxfId="240" priority="256" operator="greaterThan">
      <formula>E10</formula>
    </cfRule>
  </conditionalFormatting>
  <conditionalFormatting sqref="F10">
    <cfRule type="cellIs" dxfId="239" priority="255" operator="greaterThan">
      <formula>E10</formula>
    </cfRule>
  </conditionalFormatting>
  <conditionalFormatting sqref="F10">
    <cfRule type="cellIs" dxfId="238" priority="254" operator="greaterThan">
      <formula>E10</formula>
    </cfRule>
  </conditionalFormatting>
  <conditionalFormatting sqref="H12">
    <cfRule type="cellIs" dxfId="237" priority="253" operator="greaterThan">
      <formula>G12</formula>
    </cfRule>
  </conditionalFormatting>
  <conditionalFormatting sqref="J12">
    <cfRule type="cellIs" dxfId="236" priority="252" operator="greaterThan">
      <formula>I12</formula>
    </cfRule>
  </conditionalFormatting>
  <conditionalFormatting sqref="L12">
    <cfRule type="cellIs" dxfId="235" priority="251" operator="greaterThan">
      <formula>K12</formula>
    </cfRule>
  </conditionalFormatting>
  <conditionalFormatting sqref="N12">
    <cfRule type="cellIs" dxfId="234" priority="250" operator="greaterThan">
      <formula>M12</formula>
    </cfRule>
  </conditionalFormatting>
  <conditionalFormatting sqref="P12">
    <cfRule type="cellIs" dxfId="233" priority="249" operator="greaterThan">
      <formula>O12</formula>
    </cfRule>
  </conditionalFormatting>
  <conditionalFormatting sqref="R12">
    <cfRule type="cellIs" dxfId="232" priority="248" operator="greaterThan">
      <formula>Q12</formula>
    </cfRule>
  </conditionalFormatting>
  <conditionalFormatting sqref="H12 J12 L12 N12 P12 R12">
    <cfRule type="cellIs" dxfId="231" priority="247" operator="greaterThan">
      <formula>G12</formula>
    </cfRule>
  </conditionalFormatting>
  <conditionalFormatting sqref="H12 J12 L12 P12 R12 N12">
    <cfRule type="cellIs" dxfId="230" priority="246" operator="greaterThan">
      <formula>G12</formula>
    </cfRule>
  </conditionalFormatting>
  <conditionalFormatting sqref="F12">
    <cfRule type="cellIs" dxfId="229" priority="245" operator="greaterThan">
      <formula>E12</formula>
    </cfRule>
  </conditionalFormatting>
  <conditionalFormatting sqref="F12">
    <cfRule type="cellIs" dxfId="228" priority="244" operator="greaterThan">
      <formula>E12</formula>
    </cfRule>
  </conditionalFormatting>
  <conditionalFormatting sqref="F12">
    <cfRule type="cellIs" dxfId="227" priority="243" operator="greaterThan">
      <formula>E12</formula>
    </cfRule>
  </conditionalFormatting>
  <conditionalFormatting sqref="F12">
    <cfRule type="cellIs" dxfId="226" priority="242" operator="greaterThan">
      <formula>E12</formula>
    </cfRule>
  </conditionalFormatting>
  <conditionalFormatting sqref="F17:F21 D17:D21 R17:R21 P17:P21 N17:N21 L17:L21 J17:J21 H17:H21">
    <cfRule type="cellIs" dxfId="225" priority="217" operator="greaterThan">
      <formula>C17</formula>
    </cfRule>
  </conditionalFormatting>
  <conditionalFormatting sqref="H17">
    <cfRule type="cellIs" dxfId="224" priority="216" operator="greaterThan">
      <formula>G17</formula>
    </cfRule>
  </conditionalFormatting>
  <conditionalFormatting sqref="J17">
    <cfRule type="cellIs" dxfId="223" priority="215" operator="greaterThan">
      <formula>I17</formula>
    </cfRule>
  </conditionalFormatting>
  <conditionalFormatting sqref="L17">
    <cfRule type="cellIs" dxfId="222" priority="214" operator="greaterThan">
      <formula>K17</formula>
    </cfRule>
  </conditionalFormatting>
  <conditionalFormatting sqref="N17">
    <cfRule type="cellIs" dxfId="221" priority="213" operator="greaterThan">
      <formula>M17</formula>
    </cfRule>
  </conditionalFormatting>
  <conditionalFormatting sqref="P17">
    <cfRule type="cellIs" dxfId="220" priority="212" operator="greaterThan">
      <formula>O17</formula>
    </cfRule>
  </conditionalFormatting>
  <conditionalFormatting sqref="R17">
    <cfRule type="cellIs" dxfId="219" priority="211" operator="greaterThan">
      <formula>Q17</formula>
    </cfRule>
  </conditionalFormatting>
  <conditionalFormatting sqref="H17 J17 L17 N17 P17 R17">
    <cfRule type="cellIs" dxfId="218" priority="210" operator="greaterThan">
      <formula>G17</formula>
    </cfRule>
  </conditionalFormatting>
  <conditionalFormatting sqref="H17 J17 L17 P17 R17 N17">
    <cfRule type="cellIs" dxfId="217" priority="209" operator="greaterThan">
      <formula>G17</formula>
    </cfRule>
  </conditionalFormatting>
  <conditionalFormatting sqref="F17">
    <cfRule type="cellIs" dxfId="216" priority="208" operator="greaterThan">
      <formula>E17</formula>
    </cfRule>
  </conditionalFormatting>
  <conditionalFormatting sqref="F17">
    <cfRule type="cellIs" dxfId="215" priority="207" operator="greaterThan">
      <formula>E17</formula>
    </cfRule>
  </conditionalFormatting>
  <conditionalFormatting sqref="F17">
    <cfRule type="cellIs" dxfId="214" priority="206" operator="greaterThan">
      <formula>E17</formula>
    </cfRule>
  </conditionalFormatting>
  <conditionalFormatting sqref="F17">
    <cfRule type="cellIs" dxfId="213" priority="205" operator="greaterThan">
      <formula>E17</formula>
    </cfRule>
  </conditionalFormatting>
  <conditionalFormatting sqref="H18">
    <cfRule type="cellIs" dxfId="212" priority="204" operator="greaterThan">
      <formula>G18</formula>
    </cfRule>
  </conditionalFormatting>
  <conditionalFormatting sqref="J18">
    <cfRule type="cellIs" dxfId="211" priority="203" operator="greaterThan">
      <formula>I18</formula>
    </cfRule>
  </conditionalFormatting>
  <conditionalFormatting sqref="L18">
    <cfRule type="cellIs" dxfId="210" priority="202" operator="greaterThan">
      <formula>K18</formula>
    </cfRule>
  </conditionalFormatting>
  <conditionalFormatting sqref="N18">
    <cfRule type="cellIs" dxfId="209" priority="201" operator="greaterThan">
      <formula>M18</formula>
    </cfRule>
  </conditionalFormatting>
  <conditionalFormatting sqref="P18">
    <cfRule type="cellIs" dxfId="208" priority="200" operator="greaterThan">
      <formula>O18</formula>
    </cfRule>
  </conditionalFormatting>
  <conditionalFormatting sqref="R18">
    <cfRule type="cellIs" dxfId="207" priority="199" operator="greaterThan">
      <formula>Q18</formula>
    </cfRule>
  </conditionalFormatting>
  <conditionalFormatting sqref="H18 J18 L18 N18 P18 R18">
    <cfRule type="cellIs" dxfId="206" priority="198" operator="greaterThan">
      <formula>G18</formula>
    </cfRule>
  </conditionalFormatting>
  <conditionalFormatting sqref="H18 J18 L18 P18 R18 N18">
    <cfRule type="cellIs" dxfId="205" priority="197" operator="greaterThan">
      <formula>G18</formula>
    </cfRule>
  </conditionalFormatting>
  <conditionalFormatting sqref="F18">
    <cfRule type="cellIs" dxfId="204" priority="196" operator="greaterThan">
      <formula>E18</formula>
    </cfRule>
  </conditionalFormatting>
  <conditionalFormatting sqref="F18">
    <cfRule type="cellIs" dxfId="203" priority="195" operator="greaterThan">
      <formula>E18</formula>
    </cfRule>
  </conditionalFormatting>
  <conditionalFormatting sqref="F18">
    <cfRule type="cellIs" dxfId="202" priority="194" operator="greaterThan">
      <formula>E18</formula>
    </cfRule>
  </conditionalFormatting>
  <conditionalFormatting sqref="F18">
    <cfRule type="cellIs" dxfId="201" priority="193" operator="greaterThan">
      <formula>E18</formula>
    </cfRule>
  </conditionalFormatting>
  <conditionalFormatting sqref="H19">
    <cfRule type="cellIs" dxfId="200" priority="192" operator="greaterThan">
      <formula>G19</formula>
    </cfRule>
  </conditionalFormatting>
  <conditionalFormatting sqref="J19">
    <cfRule type="cellIs" dxfId="199" priority="191" operator="greaterThan">
      <formula>I19</formula>
    </cfRule>
  </conditionalFormatting>
  <conditionalFormatting sqref="L19">
    <cfRule type="cellIs" dxfId="198" priority="190" operator="greaterThan">
      <formula>K19</formula>
    </cfRule>
  </conditionalFormatting>
  <conditionalFormatting sqref="N19">
    <cfRule type="cellIs" dxfId="197" priority="189" operator="greaterThan">
      <formula>M19</formula>
    </cfRule>
  </conditionalFormatting>
  <conditionalFormatting sqref="P19">
    <cfRule type="cellIs" dxfId="196" priority="188" operator="greaterThan">
      <formula>O19</formula>
    </cfRule>
  </conditionalFormatting>
  <conditionalFormatting sqref="R19">
    <cfRule type="cellIs" dxfId="195" priority="187" operator="greaterThan">
      <formula>Q19</formula>
    </cfRule>
  </conditionalFormatting>
  <conditionalFormatting sqref="H19 J19 L19 N19 P19 R19">
    <cfRule type="cellIs" dxfId="194" priority="186" operator="greaterThan">
      <formula>G19</formula>
    </cfRule>
  </conditionalFormatting>
  <conditionalFormatting sqref="H19 J19 L19 P19 R19 N19">
    <cfRule type="cellIs" dxfId="193" priority="185" operator="greaterThan">
      <formula>G19</formula>
    </cfRule>
  </conditionalFormatting>
  <conditionalFormatting sqref="F19">
    <cfRule type="cellIs" dxfId="192" priority="184" operator="greaterThan">
      <formula>E19</formula>
    </cfRule>
  </conditionalFormatting>
  <conditionalFormatting sqref="F19">
    <cfRule type="cellIs" dxfId="191" priority="183" operator="greaterThan">
      <formula>E19</formula>
    </cfRule>
  </conditionalFormatting>
  <conditionalFormatting sqref="F19">
    <cfRule type="cellIs" dxfId="190" priority="182" operator="greaterThan">
      <formula>E19</formula>
    </cfRule>
  </conditionalFormatting>
  <conditionalFormatting sqref="F19">
    <cfRule type="cellIs" dxfId="189" priority="181" operator="greaterThan">
      <formula>E19</formula>
    </cfRule>
  </conditionalFormatting>
  <conditionalFormatting sqref="H20">
    <cfRule type="cellIs" dxfId="188" priority="180" operator="greaterThan">
      <formula>G20</formula>
    </cfRule>
  </conditionalFormatting>
  <conditionalFormatting sqref="J20">
    <cfRule type="cellIs" dxfId="187" priority="179" operator="greaterThan">
      <formula>I20</formula>
    </cfRule>
  </conditionalFormatting>
  <conditionalFormatting sqref="L20">
    <cfRule type="cellIs" dxfId="186" priority="178" operator="greaterThan">
      <formula>K20</formula>
    </cfRule>
  </conditionalFormatting>
  <conditionalFormatting sqref="N20">
    <cfRule type="cellIs" dxfId="185" priority="177" operator="greaterThan">
      <formula>M20</formula>
    </cfRule>
  </conditionalFormatting>
  <conditionalFormatting sqref="P20">
    <cfRule type="cellIs" dxfId="184" priority="176" operator="greaterThan">
      <formula>O20</formula>
    </cfRule>
  </conditionalFormatting>
  <conditionalFormatting sqref="R20">
    <cfRule type="cellIs" dxfId="183" priority="175" operator="greaterThan">
      <formula>Q20</formula>
    </cfRule>
  </conditionalFormatting>
  <conditionalFormatting sqref="H20 J20 L20 N20 P20 R20">
    <cfRule type="cellIs" dxfId="182" priority="174" operator="greaterThan">
      <formula>G20</formula>
    </cfRule>
  </conditionalFormatting>
  <conditionalFormatting sqref="H20 J20 L20 P20 R20 N20">
    <cfRule type="cellIs" dxfId="181" priority="173" operator="greaterThan">
      <formula>G20</formula>
    </cfRule>
  </conditionalFormatting>
  <conditionalFormatting sqref="F20">
    <cfRule type="cellIs" dxfId="180" priority="172" operator="greaterThan">
      <formula>E20</formula>
    </cfRule>
  </conditionalFormatting>
  <conditionalFormatting sqref="F20">
    <cfRule type="cellIs" dxfId="179" priority="171" operator="greaterThan">
      <formula>E20</formula>
    </cfRule>
  </conditionalFormatting>
  <conditionalFormatting sqref="F20">
    <cfRule type="cellIs" dxfId="178" priority="170" operator="greaterThan">
      <formula>E20</formula>
    </cfRule>
  </conditionalFormatting>
  <conditionalFormatting sqref="F20">
    <cfRule type="cellIs" dxfId="177" priority="169" operator="greaterThan">
      <formula>E20</formula>
    </cfRule>
  </conditionalFormatting>
  <conditionalFormatting sqref="H21">
    <cfRule type="cellIs" dxfId="176" priority="168" operator="greaterThan">
      <formula>G21</formula>
    </cfRule>
  </conditionalFormatting>
  <conditionalFormatting sqref="J21">
    <cfRule type="cellIs" dxfId="175" priority="167" operator="greaterThan">
      <formula>I21</formula>
    </cfRule>
  </conditionalFormatting>
  <conditionalFormatting sqref="L21">
    <cfRule type="cellIs" dxfId="174" priority="166" operator="greaterThan">
      <formula>K21</formula>
    </cfRule>
  </conditionalFormatting>
  <conditionalFormatting sqref="N21">
    <cfRule type="cellIs" dxfId="173" priority="165" operator="greaterThan">
      <formula>M21</formula>
    </cfRule>
  </conditionalFormatting>
  <conditionalFormatting sqref="P21">
    <cfRule type="cellIs" dxfId="172" priority="164" operator="greaterThan">
      <formula>O21</formula>
    </cfRule>
  </conditionalFormatting>
  <conditionalFormatting sqref="R21">
    <cfRule type="cellIs" dxfId="171" priority="163" operator="greaterThan">
      <formula>Q21</formula>
    </cfRule>
  </conditionalFormatting>
  <conditionalFormatting sqref="H21 J21 L21 N21 P21 R21">
    <cfRule type="cellIs" dxfId="170" priority="162" operator="greaterThan">
      <formula>G21</formula>
    </cfRule>
  </conditionalFormatting>
  <conditionalFormatting sqref="H21 J21 L21 P21 R21 N21">
    <cfRule type="cellIs" dxfId="169" priority="161" operator="greaterThan">
      <formula>G21</formula>
    </cfRule>
  </conditionalFormatting>
  <conditionalFormatting sqref="F21">
    <cfRule type="cellIs" dxfId="168" priority="160" operator="greaterThan">
      <formula>E21</formula>
    </cfRule>
  </conditionalFormatting>
  <conditionalFormatting sqref="F21">
    <cfRule type="cellIs" dxfId="167" priority="159" operator="greaterThan">
      <formula>E21</formula>
    </cfRule>
  </conditionalFormatting>
  <conditionalFormatting sqref="F21">
    <cfRule type="cellIs" dxfId="166" priority="158" operator="greaterThan">
      <formula>E21</formula>
    </cfRule>
  </conditionalFormatting>
  <conditionalFormatting sqref="F21">
    <cfRule type="cellIs" dxfId="165" priority="157" operator="greaterThan">
      <formula>E21</formula>
    </cfRule>
  </conditionalFormatting>
  <conditionalFormatting sqref="H26 J26 L26 N26 P26 R26 D26 F26">
    <cfRule type="cellIs" dxfId="164" priority="156" operator="greaterThan">
      <formula>C26</formula>
    </cfRule>
  </conditionalFormatting>
  <conditionalFormatting sqref="H26 J26 L26 N26 P26 R26 D26 F26">
    <cfRule type="cellIs" dxfId="163" priority="155" operator="greaterThan">
      <formula>C26</formula>
    </cfRule>
  </conditionalFormatting>
  <conditionalFormatting sqref="H26">
    <cfRule type="cellIs" dxfId="162" priority="154" operator="greaterThan">
      <formula>G26</formula>
    </cfRule>
  </conditionalFormatting>
  <conditionalFormatting sqref="J26">
    <cfRule type="cellIs" dxfId="161" priority="153" operator="greaterThan">
      <formula>I26</formula>
    </cfRule>
  </conditionalFormatting>
  <conditionalFormatting sqref="L26">
    <cfRule type="cellIs" dxfId="160" priority="152" operator="greaterThan">
      <formula>K26</formula>
    </cfRule>
  </conditionalFormatting>
  <conditionalFormatting sqref="N26">
    <cfRule type="cellIs" dxfId="159" priority="151" operator="greaterThan">
      <formula>M26</formula>
    </cfRule>
  </conditionalFormatting>
  <conditionalFormatting sqref="P26">
    <cfRule type="cellIs" dxfId="158" priority="150" operator="greaterThan">
      <formula>O26</formula>
    </cfRule>
  </conditionalFormatting>
  <conditionalFormatting sqref="R26">
    <cfRule type="cellIs" dxfId="157" priority="149" operator="greaterThan">
      <formula>Q26</formula>
    </cfRule>
  </conditionalFormatting>
  <conditionalFormatting sqref="H26 J26 L26 N26 P26 R26">
    <cfRule type="cellIs" dxfId="156" priority="148" operator="greaterThan">
      <formula>G26</formula>
    </cfRule>
  </conditionalFormatting>
  <conditionalFormatting sqref="H26 J26 L26 P26 R26 N26">
    <cfRule type="cellIs" dxfId="155" priority="147" operator="greaterThan">
      <formula>G26</formula>
    </cfRule>
  </conditionalFormatting>
  <conditionalFormatting sqref="F26">
    <cfRule type="cellIs" dxfId="154" priority="146" operator="greaterThan">
      <formula>E26</formula>
    </cfRule>
  </conditionalFormatting>
  <conditionalFormatting sqref="F26">
    <cfRule type="cellIs" dxfId="153" priority="145" operator="greaterThan">
      <formula>E26</formula>
    </cfRule>
  </conditionalFormatting>
  <conditionalFormatting sqref="F26">
    <cfRule type="cellIs" dxfId="152" priority="144" operator="greaterThan">
      <formula>E26</formula>
    </cfRule>
  </conditionalFormatting>
  <conditionalFormatting sqref="F26">
    <cfRule type="cellIs" dxfId="151" priority="143" operator="greaterThan">
      <formula>E26</formula>
    </cfRule>
  </conditionalFormatting>
  <conditionalFormatting sqref="H32:H38 J32:J38 L32:L38 N32:N38 P32:P38 R32:R38 D32:D38 F32:F38">
    <cfRule type="cellIs" dxfId="150" priority="142" operator="greaterThan">
      <formula>C32</formula>
    </cfRule>
  </conditionalFormatting>
  <conditionalFormatting sqref="H31 J31 L31 P31 D31 F31">
    <cfRule type="cellIs" dxfId="149" priority="141" operator="greaterThan">
      <formula>C31</formula>
    </cfRule>
  </conditionalFormatting>
  <conditionalFormatting sqref="H31 J31 L31 P31 D31 F31">
    <cfRule type="cellIs" dxfId="148" priority="140" operator="greaterThan">
      <formula>C31</formula>
    </cfRule>
  </conditionalFormatting>
  <conditionalFormatting sqref="H31">
    <cfRule type="cellIs" dxfId="147" priority="139" operator="greaterThan">
      <formula>G31</formula>
    </cfRule>
  </conditionalFormatting>
  <conditionalFormatting sqref="J31">
    <cfRule type="cellIs" dxfId="146" priority="138" operator="greaterThan">
      <formula>I31</formula>
    </cfRule>
  </conditionalFormatting>
  <conditionalFormatting sqref="L31">
    <cfRule type="cellIs" dxfId="145" priority="137" operator="greaterThan">
      <formula>K31</formula>
    </cfRule>
  </conditionalFormatting>
  <conditionalFormatting sqref="P31">
    <cfRule type="cellIs" dxfId="144" priority="135" operator="greaterThan">
      <formula>O31</formula>
    </cfRule>
  </conditionalFormatting>
  <conditionalFormatting sqref="H31 J31 L31 P31">
    <cfRule type="cellIs" dxfId="143" priority="133" operator="greaterThan">
      <formula>G31</formula>
    </cfRule>
  </conditionalFormatting>
  <conditionalFormatting sqref="H31 J31 L31 P31">
    <cfRule type="cellIs" dxfId="142" priority="132" operator="greaterThan">
      <formula>G31</formula>
    </cfRule>
  </conditionalFormatting>
  <conditionalFormatting sqref="F31">
    <cfRule type="cellIs" dxfId="141" priority="131" operator="greaterThan">
      <formula>E31</formula>
    </cfRule>
  </conditionalFormatting>
  <conditionalFormatting sqref="F31">
    <cfRule type="cellIs" dxfId="140" priority="130" operator="greaterThan">
      <formula>E31</formula>
    </cfRule>
  </conditionalFormatting>
  <conditionalFormatting sqref="F31">
    <cfRule type="cellIs" dxfId="139" priority="129" operator="greaterThan">
      <formula>E31</formula>
    </cfRule>
  </conditionalFormatting>
  <conditionalFormatting sqref="F31">
    <cfRule type="cellIs" dxfId="138" priority="128" operator="greaterThan">
      <formula>E31</formula>
    </cfRule>
  </conditionalFormatting>
  <conditionalFormatting sqref="H33">
    <cfRule type="cellIs" dxfId="137" priority="127" operator="greaterThan">
      <formula>G33</formula>
    </cfRule>
  </conditionalFormatting>
  <conditionalFormatting sqref="J33">
    <cfRule type="cellIs" dxfId="136" priority="126" operator="greaterThan">
      <formula>I33</formula>
    </cfRule>
  </conditionalFormatting>
  <conditionalFormatting sqref="L33">
    <cfRule type="cellIs" dxfId="135" priority="125" operator="greaterThan">
      <formula>K33</formula>
    </cfRule>
  </conditionalFormatting>
  <conditionalFormatting sqref="N33">
    <cfRule type="cellIs" dxfId="134" priority="124" operator="greaterThan">
      <formula>M33</formula>
    </cfRule>
  </conditionalFormatting>
  <conditionalFormatting sqref="P33">
    <cfRule type="cellIs" dxfId="133" priority="123" operator="greaterThan">
      <formula>O33</formula>
    </cfRule>
  </conditionalFormatting>
  <conditionalFormatting sqref="R33">
    <cfRule type="cellIs" dxfId="132" priority="122" operator="greaterThan">
      <formula>Q33</formula>
    </cfRule>
  </conditionalFormatting>
  <conditionalFormatting sqref="H33 J33 L33 N33 P33 R33">
    <cfRule type="cellIs" dxfId="131" priority="121" operator="greaterThan">
      <formula>G33</formula>
    </cfRule>
  </conditionalFormatting>
  <conditionalFormatting sqref="H33 J33 L33 P33 R33 N33">
    <cfRule type="cellIs" dxfId="130" priority="120" operator="greaterThan">
      <formula>G33</formula>
    </cfRule>
  </conditionalFormatting>
  <conditionalFormatting sqref="F33">
    <cfRule type="cellIs" dxfId="129" priority="119" operator="greaterThan">
      <formula>E33</formula>
    </cfRule>
  </conditionalFormatting>
  <conditionalFormatting sqref="F33">
    <cfRule type="cellIs" dxfId="128" priority="118" operator="greaterThan">
      <formula>E33</formula>
    </cfRule>
  </conditionalFormatting>
  <conditionalFormatting sqref="F33">
    <cfRule type="cellIs" dxfId="127" priority="117" operator="greaterThan">
      <formula>E33</formula>
    </cfRule>
  </conditionalFormatting>
  <conditionalFormatting sqref="F33">
    <cfRule type="cellIs" dxfId="126" priority="116" operator="greaterThan">
      <formula>E33</formula>
    </cfRule>
  </conditionalFormatting>
  <conditionalFormatting sqref="H35">
    <cfRule type="cellIs" dxfId="125" priority="115" operator="greaterThan">
      <formula>G35</formula>
    </cfRule>
  </conditionalFormatting>
  <conditionalFormatting sqref="J35">
    <cfRule type="cellIs" dxfId="124" priority="114" operator="greaterThan">
      <formula>I35</formula>
    </cfRule>
  </conditionalFormatting>
  <conditionalFormatting sqref="L35">
    <cfRule type="cellIs" dxfId="123" priority="113" operator="greaterThan">
      <formula>K35</formula>
    </cfRule>
  </conditionalFormatting>
  <conditionalFormatting sqref="N35">
    <cfRule type="cellIs" dxfId="122" priority="112" operator="greaterThan">
      <formula>M35</formula>
    </cfRule>
  </conditionalFormatting>
  <conditionalFormatting sqref="P35">
    <cfRule type="cellIs" dxfId="121" priority="111" operator="greaterThan">
      <formula>O35</formula>
    </cfRule>
  </conditionalFormatting>
  <conditionalFormatting sqref="R35">
    <cfRule type="cellIs" dxfId="120" priority="110" operator="greaterThan">
      <formula>Q35</formula>
    </cfRule>
  </conditionalFormatting>
  <conditionalFormatting sqref="H35 J35 L35 N35 P35 R35">
    <cfRule type="cellIs" dxfId="119" priority="109" operator="greaterThan">
      <formula>G35</formula>
    </cfRule>
  </conditionalFormatting>
  <conditionalFormatting sqref="H35 J35 L35 P35 R35 N35">
    <cfRule type="cellIs" dxfId="118" priority="108" operator="greaterThan">
      <formula>G35</formula>
    </cfRule>
  </conditionalFormatting>
  <conditionalFormatting sqref="F35">
    <cfRule type="cellIs" dxfId="117" priority="107" operator="greaterThan">
      <formula>E35</formula>
    </cfRule>
  </conditionalFormatting>
  <conditionalFormatting sqref="F35">
    <cfRule type="cellIs" dxfId="116" priority="106" operator="greaterThan">
      <formula>E35</formula>
    </cfRule>
  </conditionalFormatting>
  <conditionalFormatting sqref="F35">
    <cfRule type="cellIs" dxfId="115" priority="105" operator="greaterThan">
      <formula>E35</formula>
    </cfRule>
  </conditionalFormatting>
  <conditionalFormatting sqref="F35">
    <cfRule type="cellIs" dxfId="114" priority="104" operator="greaterThan">
      <formula>E35</formula>
    </cfRule>
  </conditionalFormatting>
  <conditionalFormatting sqref="H36">
    <cfRule type="cellIs" dxfId="113" priority="103" operator="greaterThan">
      <formula>G36</formula>
    </cfRule>
  </conditionalFormatting>
  <conditionalFormatting sqref="J36">
    <cfRule type="cellIs" dxfId="112" priority="102" operator="greaterThan">
      <formula>I36</formula>
    </cfRule>
  </conditionalFormatting>
  <conditionalFormatting sqref="L36">
    <cfRule type="cellIs" dxfId="111" priority="101" operator="greaterThan">
      <formula>K36</formula>
    </cfRule>
  </conditionalFormatting>
  <conditionalFormatting sqref="N36">
    <cfRule type="cellIs" dxfId="110" priority="100" operator="greaterThan">
      <formula>M36</formula>
    </cfRule>
  </conditionalFormatting>
  <conditionalFormatting sqref="P36">
    <cfRule type="cellIs" dxfId="109" priority="99" operator="greaterThan">
      <formula>O36</formula>
    </cfRule>
  </conditionalFormatting>
  <conditionalFormatting sqref="R36">
    <cfRule type="cellIs" dxfId="108" priority="98" operator="greaterThan">
      <formula>Q36</formula>
    </cfRule>
  </conditionalFormatting>
  <conditionalFormatting sqref="H36 J36 L36 N36 P36 R36">
    <cfRule type="cellIs" dxfId="107" priority="97" operator="greaterThan">
      <formula>G36</formula>
    </cfRule>
  </conditionalFormatting>
  <conditionalFormatting sqref="H36 J36 L36 P36 R36 N36">
    <cfRule type="cellIs" dxfId="106" priority="96" operator="greaterThan">
      <formula>G36</formula>
    </cfRule>
  </conditionalFormatting>
  <conditionalFormatting sqref="F36">
    <cfRule type="cellIs" dxfId="105" priority="95" operator="greaterThan">
      <formula>E36</formula>
    </cfRule>
  </conditionalFormatting>
  <conditionalFormatting sqref="F36">
    <cfRule type="cellIs" dxfId="104" priority="94" operator="greaterThan">
      <formula>E36</formula>
    </cfRule>
  </conditionalFormatting>
  <conditionalFormatting sqref="F36">
    <cfRule type="cellIs" dxfId="103" priority="93" operator="greaterThan">
      <formula>E36</formula>
    </cfRule>
  </conditionalFormatting>
  <conditionalFormatting sqref="F36">
    <cfRule type="cellIs" dxfId="102" priority="92" operator="greaterThan">
      <formula>E36</formula>
    </cfRule>
  </conditionalFormatting>
  <conditionalFormatting sqref="H37">
    <cfRule type="cellIs" dxfId="101" priority="91" operator="greaterThan">
      <formula>G37</formula>
    </cfRule>
  </conditionalFormatting>
  <conditionalFormatting sqref="J37">
    <cfRule type="cellIs" dxfId="100" priority="90" operator="greaterThan">
      <formula>I37</formula>
    </cfRule>
  </conditionalFormatting>
  <conditionalFormatting sqref="L37">
    <cfRule type="cellIs" dxfId="99" priority="89" operator="greaterThan">
      <formula>K37</formula>
    </cfRule>
  </conditionalFormatting>
  <conditionalFormatting sqref="N37">
    <cfRule type="cellIs" dxfId="98" priority="88" operator="greaterThan">
      <formula>M37</formula>
    </cfRule>
  </conditionalFormatting>
  <conditionalFormatting sqref="P37">
    <cfRule type="cellIs" dxfId="97" priority="87" operator="greaterThan">
      <formula>O37</formula>
    </cfRule>
  </conditionalFormatting>
  <conditionalFormatting sqref="R37">
    <cfRule type="cellIs" dxfId="96" priority="86" operator="greaterThan">
      <formula>Q37</formula>
    </cfRule>
  </conditionalFormatting>
  <conditionalFormatting sqref="H37 J37 L37 N37 P37 R37">
    <cfRule type="cellIs" dxfId="95" priority="85" operator="greaterThan">
      <formula>G37</formula>
    </cfRule>
  </conditionalFormatting>
  <conditionalFormatting sqref="H37 J37 L37 P37 R37 N37">
    <cfRule type="cellIs" dxfId="94" priority="84" operator="greaterThan">
      <formula>G37</formula>
    </cfRule>
  </conditionalFormatting>
  <conditionalFormatting sqref="F37">
    <cfRule type="cellIs" dxfId="93" priority="83" operator="greaterThan">
      <formula>E37</formula>
    </cfRule>
  </conditionalFormatting>
  <conditionalFormatting sqref="F37">
    <cfRule type="cellIs" dxfId="92" priority="82" operator="greaterThan">
      <formula>E37</formula>
    </cfRule>
  </conditionalFormatting>
  <conditionalFormatting sqref="F37">
    <cfRule type="cellIs" dxfId="91" priority="81" operator="greaterThan">
      <formula>E37</formula>
    </cfRule>
  </conditionalFormatting>
  <conditionalFormatting sqref="F37">
    <cfRule type="cellIs" dxfId="90" priority="80" operator="greaterThan">
      <formula>E37</formula>
    </cfRule>
  </conditionalFormatting>
  <conditionalFormatting sqref="H38">
    <cfRule type="cellIs" dxfId="89" priority="79" operator="greaterThan">
      <formula>G38</formula>
    </cfRule>
  </conditionalFormatting>
  <conditionalFormatting sqref="J38">
    <cfRule type="cellIs" dxfId="88" priority="78" operator="greaterThan">
      <formula>I38</formula>
    </cfRule>
  </conditionalFormatting>
  <conditionalFormatting sqref="L38">
    <cfRule type="cellIs" dxfId="87" priority="77" operator="greaterThan">
      <formula>K38</formula>
    </cfRule>
  </conditionalFormatting>
  <conditionalFormatting sqref="N38">
    <cfRule type="cellIs" dxfId="86" priority="76" operator="greaterThan">
      <formula>M38</formula>
    </cfRule>
  </conditionalFormatting>
  <conditionalFormatting sqref="P38">
    <cfRule type="cellIs" dxfId="85" priority="75" operator="greaterThan">
      <formula>O38</formula>
    </cfRule>
  </conditionalFormatting>
  <conditionalFormatting sqref="R38">
    <cfRule type="cellIs" dxfId="84" priority="74" operator="greaterThan">
      <formula>Q38</formula>
    </cfRule>
  </conditionalFormatting>
  <conditionalFormatting sqref="H38 J38 L38 N38 P38 R38">
    <cfRule type="cellIs" dxfId="83" priority="73" operator="greaterThan">
      <formula>G38</formula>
    </cfRule>
  </conditionalFormatting>
  <conditionalFormatting sqref="H38 J38 L38 P38 R38 N38">
    <cfRule type="cellIs" dxfId="82" priority="72" operator="greaterThan">
      <formula>G38</formula>
    </cfRule>
  </conditionalFormatting>
  <conditionalFormatting sqref="F38">
    <cfRule type="cellIs" dxfId="81" priority="71" operator="greaterThan">
      <formula>E38</formula>
    </cfRule>
  </conditionalFormatting>
  <conditionalFormatting sqref="F38">
    <cfRule type="cellIs" dxfId="80" priority="70" operator="greaterThan">
      <formula>E38</formula>
    </cfRule>
  </conditionalFormatting>
  <conditionalFormatting sqref="F38">
    <cfRule type="cellIs" dxfId="79" priority="69" operator="greaterThan">
      <formula>E38</formula>
    </cfRule>
  </conditionalFormatting>
  <conditionalFormatting sqref="F38">
    <cfRule type="cellIs" dxfId="78" priority="68" operator="greaterThan">
      <formula>E38</formula>
    </cfRule>
  </conditionalFormatting>
  <conditionalFormatting sqref="P42">
    <cfRule type="cellIs" dxfId="77" priority="67" operator="greaterThan">
      <formula>O42</formula>
    </cfRule>
  </conditionalFormatting>
  <conditionalFormatting sqref="R42">
    <cfRule type="cellIs" dxfId="76" priority="66" operator="greaterThan">
      <formula>Q42</formula>
    </cfRule>
  </conditionalFormatting>
  <conditionalFormatting sqref="J51">
    <cfRule type="cellIs" dxfId="75" priority="65" operator="greaterThan">
      <formula>I51</formula>
    </cfRule>
  </conditionalFormatting>
  <conditionalFormatting sqref="L51">
    <cfRule type="cellIs" dxfId="74" priority="64" operator="greaterThan">
      <formula>K51</formula>
    </cfRule>
  </conditionalFormatting>
  <conditionalFormatting sqref="P51">
    <cfRule type="cellIs" dxfId="73" priority="62" operator="greaterThan">
      <formula>O51</formula>
    </cfRule>
  </conditionalFormatting>
  <conditionalFormatting sqref="F14:F15 D14:D15 H14:H15 P14:P15 N14:N15 L14:L15 J14:J15 R15">
    <cfRule type="cellIs" dxfId="72" priority="60" operator="greaterThan">
      <formula>C14</formula>
    </cfRule>
  </conditionalFormatting>
  <conditionalFormatting sqref="H14">
    <cfRule type="cellIs" dxfId="71" priority="59" operator="greaterThan">
      <formula>G14</formula>
    </cfRule>
  </conditionalFormatting>
  <conditionalFormatting sqref="J14">
    <cfRule type="cellIs" dxfId="70" priority="58" operator="greaterThan">
      <formula>I14</formula>
    </cfRule>
  </conditionalFormatting>
  <conditionalFormatting sqref="L14">
    <cfRule type="cellIs" dxfId="69" priority="57" operator="greaterThan">
      <formula>K14</formula>
    </cfRule>
  </conditionalFormatting>
  <conditionalFormatting sqref="N14">
    <cfRule type="cellIs" dxfId="68" priority="56" operator="greaterThan">
      <formula>M14</formula>
    </cfRule>
  </conditionalFormatting>
  <conditionalFormatting sqref="P14">
    <cfRule type="cellIs" dxfId="67" priority="55" operator="greaterThan">
      <formula>O14</formula>
    </cfRule>
  </conditionalFormatting>
  <conditionalFormatting sqref="H14 J14 L14 N14 P14">
    <cfRule type="cellIs" dxfId="66" priority="53" operator="greaterThan">
      <formula>G14</formula>
    </cfRule>
  </conditionalFormatting>
  <conditionalFormatting sqref="H14 J14 L14 P14 N14">
    <cfRule type="cellIs" dxfId="65" priority="52" operator="greaterThan">
      <formula>G14</formula>
    </cfRule>
  </conditionalFormatting>
  <conditionalFormatting sqref="F14">
    <cfRule type="cellIs" dxfId="64" priority="51" operator="greaterThan">
      <formula>E14</formula>
    </cfRule>
  </conditionalFormatting>
  <conditionalFormatting sqref="F14">
    <cfRule type="cellIs" dxfId="63" priority="50" operator="greaterThan">
      <formula>E14</formula>
    </cfRule>
  </conditionalFormatting>
  <conditionalFormatting sqref="F14">
    <cfRule type="cellIs" dxfId="62" priority="49" operator="greaterThan">
      <formula>E14</formula>
    </cfRule>
  </conditionalFormatting>
  <conditionalFormatting sqref="F14">
    <cfRule type="cellIs" dxfId="61" priority="48" operator="greaterThan">
      <formula>E14</formula>
    </cfRule>
  </conditionalFormatting>
  <conditionalFormatting sqref="H15">
    <cfRule type="cellIs" dxfId="60" priority="47" operator="greaterThan">
      <formula>G15</formula>
    </cfRule>
  </conditionalFormatting>
  <conditionalFormatting sqref="J15">
    <cfRule type="cellIs" dxfId="59" priority="46" operator="greaterThan">
      <formula>I15</formula>
    </cfRule>
  </conditionalFormatting>
  <conditionalFormatting sqref="L15">
    <cfRule type="cellIs" dxfId="58" priority="45" operator="greaterThan">
      <formula>K15</formula>
    </cfRule>
  </conditionalFormatting>
  <conditionalFormatting sqref="N15">
    <cfRule type="cellIs" dxfId="57" priority="44" operator="greaterThan">
      <formula>M15</formula>
    </cfRule>
  </conditionalFormatting>
  <conditionalFormatting sqref="P15">
    <cfRule type="cellIs" dxfId="56" priority="43" operator="greaterThan">
      <formula>O15</formula>
    </cfRule>
  </conditionalFormatting>
  <conditionalFormatting sqref="R15">
    <cfRule type="cellIs" dxfId="55" priority="42" operator="greaterThan">
      <formula>Q15</formula>
    </cfRule>
  </conditionalFormatting>
  <conditionalFormatting sqref="H15 J15 L15 N15 P15 R15">
    <cfRule type="cellIs" dxfId="54" priority="41" operator="greaterThan">
      <formula>G15</formula>
    </cfRule>
  </conditionalFormatting>
  <conditionalFormatting sqref="H15 J15 L15 P15 R15 N15">
    <cfRule type="cellIs" dxfId="53" priority="40" operator="greaterThan">
      <formula>G15</formula>
    </cfRule>
  </conditionalFormatting>
  <conditionalFormatting sqref="F15">
    <cfRule type="cellIs" dxfId="52" priority="39" operator="greaterThan">
      <formula>E15</formula>
    </cfRule>
  </conditionalFormatting>
  <conditionalFormatting sqref="F15">
    <cfRule type="cellIs" dxfId="51" priority="38" operator="greaterThan">
      <formula>E15</formula>
    </cfRule>
  </conditionalFormatting>
  <conditionalFormatting sqref="F15">
    <cfRule type="cellIs" dxfId="50" priority="37" operator="greaterThan">
      <formula>E15</formula>
    </cfRule>
  </conditionalFormatting>
  <conditionalFormatting sqref="F15">
    <cfRule type="cellIs" dxfId="49" priority="36" operator="greaterThan">
      <formula>E15</formula>
    </cfRule>
  </conditionalFormatting>
  <conditionalFormatting sqref="D19">
    <cfRule type="cellIs" dxfId="48" priority="35" operator="greaterThan">
      <formula>C19</formula>
    </cfRule>
  </conditionalFormatting>
  <conditionalFormatting sqref="H9 J9 L9 N9 P9 R9 D9 F9">
    <cfRule type="cellIs" dxfId="47" priority="34" operator="greaterThan">
      <formula>C9</formula>
    </cfRule>
  </conditionalFormatting>
  <conditionalFormatting sqref="H9">
    <cfRule type="cellIs" dxfId="46" priority="33" operator="greaterThan">
      <formula>G9</formula>
    </cfRule>
  </conditionalFormatting>
  <conditionalFormatting sqref="J9">
    <cfRule type="cellIs" dxfId="45" priority="32" operator="greaterThan">
      <formula>I9</formula>
    </cfRule>
  </conditionalFormatting>
  <conditionalFormatting sqref="L9">
    <cfRule type="cellIs" dxfId="44" priority="31" operator="greaterThan">
      <formula>K9</formula>
    </cfRule>
  </conditionalFormatting>
  <conditionalFormatting sqref="N9">
    <cfRule type="cellIs" dxfId="43" priority="30" operator="greaterThan">
      <formula>M9</formula>
    </cfRule>
  </conditionalFormatting>
  <conditionalFormatting sqref="P9">
    <cfRule type="cellIs" dxfId="42" priority="29" operator="greaterThan">
      <formula>O9</formula>
    </cfRule>
  </conditionalFormatting>
  <conditionalFormatting sqref="R9">
    <cfRule type="cellIs" dxfId="41" priority="28" operator="greaterThan">
      <formula>Q9</formula>
    </cfRule>
  </conditionalFormatting>
  <conditionalFormatting sqref="H9 J9 L9 N9 P9 R9">
    <cfRule type="cellIs" dxfId="40" priority="27" operator="greaterThan">
      <formula>G9</formula>
    </cfRule>
  </conditionalFormatting>
  <conditionalFormatting sqref="H9 J9 L9 P9 R9 N9">
    <cfRule type="cellIs" dxfId="39" priority="26" operator="greaterThan">
      <formula>G9</formula>
    </cfRule>
  </conditionalFormatting>
  <conditionalFormatting sqref="F9">
    <cfRule type="cellIs" dxfId="38" priority="25" operator="greaterThan">
      <formula>E9</formula>
    </cfRule>
  </conditionalFormatting>
  <conditionalFormatting sqref="F9">
    <cfRule type="cellIs" dxfId="37" priority="24" operator="greaterThan">
      <formula>E9</formula>
    </cfRule>
  </conditionalFormatting>
  <conditionalFormatting sqref="F9">
    <cfRule type="cellIs" dxfId="36" priority="23" operator="greaterThan">
      <formula>E9</formula>
    </cfRule>
  </conditionalFormatting>
  <conditionalFormatting sqref="F9">
    <cfRule type="cellIs" dxfId="35" priority="22" operator="greaterThan">
      <formula>E9</formula>
    </cfRule>
  </conditionalFormatting>
  <conditionalFormatting sqref="D43 F43">
    <cfRule type="cellIs" dxfId="34" priority="21" operator="greaterThan">
      <formula>C43</formula>
    </cfRule>
  </conditionalFormatting>
  <conditionalFormatting sqref="H43">
    <cfRule type="cellIs" dxfId="33" priority="20" operator="greaterThan">
      <formula>G43</formula>
    </cfRule>
  </conditionalFormatting>
  <conditionalFormatting sqref="J43">
    <cfRule type="cellIs" dxfId="32" priority="19" operator="greaterThan">
      <formula>I43</formula>
    </cfRule>
  </conditionalFormatting>
  <conditionalFormatting sqref="L43">
    <cfRule type="cellIs" dxfId="31" priority="18" operator="greaterThan">
      <formula>K43</formula>
    </cfRule>
  </conditionalFormatting>
  <conditionalFormatting sqref="N43">
    <cfRule type="cellIs" dxfId="30" priority="17" operator="greaterThan">
      <formula>M43</formula>
    </cfRule>
  </conditionalFormatting>
  <conditionalFormatting sqref="P43">
    <cfRule type="cellIs" dxfId="29" priority="16" operator="greaterThan">
      <formula>O43</formula>
    </cfRule>
  </conditionalFormatting>
  <conditionalFormatting sqref="R43">
    <cfRule type="cellIs" dxfId="28" priority="15" operator="greaterThan">
      <formula>Q43</formula>
    </cfRule>
  </conditionalFormatting>
  <conditionalFormatting sqref="F43">
    <cfRule type="cellIs" dxfId="27" priority="14" operator="greaterThan">
      <formula>E43</formula>
    </cfRule>
  </conditionalFormatting>
  <conditionalFormatting sqref="F14 D14 H14 P14 N14 L14 J14">
    <cfRule type="cellIs" dxfId="26" priority="13" operator="greaterThan">
      <formula>C14</formula>
    </cfRule>
  </conditionalFormatting>
  <conditionalFormatting sqref="H14">
    <cfRule type="cellIs" dxfId="25" priority="12" operator="greaterThan">
      <formula>G14</formula>
    </cfRule>
  </conditionalFormatting>
  <conditionalFormatting sqref="J14">
    <cfRule type="cellIs" dxfId="24" priority="11" operator="greaterThan">
      <formula>I14</formula>
    </cfRule>
  </conditionalFormatting>
  <conditionalFormatting sqref="L14">
    <cfRule type="cellIs" dxfId="23" priority="10" operator="greaterThan">
      <formula>K14</formula>
    </cfRule>
  </conditionalFormatting>
  <conditionalFormatting sqref="N14">
    <cfRule type="cellIs" dxfId="22" priority="9" operator="greaterThan">
      <formula>M14</formula>
    </cfRule>
  </conditionalFormatting>
  <conditionalFormatting sqref="P14">
    <cfRule type="cellIs" dxfId="21" priority="8" operator="greaterThan">
      <formula>O14</formula>
    </cfRule>
  </conditionalFormatting>
  <conditionalFormatting sqref="H14 J14 L14 N14 P14">
    <cfRule type="cellIs" dxfId="20" priority="7" operator="greaterThan">
      <formula>G14</formula>
    </cfRule>
  </conditionalFormatting>
  <conditionalFormatting sqref="H14 J14 L14 P14 N14">
    <cfRule type="cellIs" dxfId="19" priority="6" operator="greaterThan">
      <formula>G14</formula>
    </cfRule>
  </conditionalFormatting>
  <conditionalFormatting sqref="F14">
    <cfRule type="cellIs" dxfId="18" priority="5" operator="greaterThan">
      <formula>E14</formula>
    </cfRule>
  </conditionalFormatting>
  <conditionalFormatting sqref="F14">
    <cfRule type="cellIs" dxfId="17" priority="4" operator="greaterThan">
      <formula>E14</formula>
    </cfRule>
  </conditionalFormatting>
  <conditionalFormatting sqref="F14">
    <cfRule type="cellIs" dxfId="16" priority="3" operator="greaterThan">
      <formula>E14</formula>
    </cfRule>
  </conditionalFormatting>
  <conditionalFormatting sqref="F14">
    <cfRule type="cellIs" dxfId="15" priority="2" operator="greaterThan">
      <formula>E14</formula>
    </cfRule>
  </conditionalFormatting>
  <conditionalFormatting sqref="R14">
    <cfRule type="cellIs" dxfId="14" priority="1" operator="notEqual">
      <formula>$W$57</formula>
    </cfRule>
  </conditionalFormatting>
  <dataValidations count="3">
    <dataValidation type="whole" operator="notEqual" allowBlank="1" showErrorMessage="1" error="Введите как целое число." sqref="C40:R55 C23:R38 C16:R21 C9:R13">
      <formula1>-1E+28</formula1>
    </dataValidation>
    <dataValidation allowBlank="1" showErrorMessage="1" prompt="Введите самостоятельно рассчитанный коэффициент" sqref="T5:U5 C5:R5"/>
    <dataValidation type="whole" operator="greaterThanOrEqual" allowBlank="1" showErrorMessage="1" error="Введите как целое положительное число." sqref="C14:R15 C8:R8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R60"/>
  <sheetViews>
    <sheetView view="pageBreakPreview" zoomScale="70" zoomScaleNormal="70" zoomScaleSheetLayoutView="70" workbookViewId="0">
      <pane xSplit="2" ySplit="7" topLeftCell="C8" activePane="bottomRight" state="frozen"/>
      <selection activeCell="B3" sqref="B3:B6"/>
      <selection pane="topRight" activeCell="B3" sqref="B3:B6"/>
      <selection pane="bottomLeft" activeCell="B3" sqref="B3:B6"/>
      <selection pane="bottomRight" activeCell="B33" sqref="B33"/>
    </sheetView>
  </sheetViews>
  <sheetFormatPr defaultRowHeight="12.75"/>
  <cols>
    <col min="1" max="1" width="6.42578125" style="17" customWidth="1"/>
    <col min="2" max="2" width="80.42578125" style="7" customWidth="1"/>
    <col min="3" max="10" width="22.140625" style="7" customWidth="1"/>
    <col min="11" max="11" width="20.28515625" style="7" customWidth="1"/>
    <col min="12" max="12" width="18.5703125" style="18" customWidth="1"/>
    <col min="13" max="13" width="18.5703125" style="21" customWidth="1"/>
    <col min="14" max="14" width="18.5703125" style="18" customWidth="1"/>
    <col min="15" max="15" width="18.5703125" style="21" customWidth="1"/>
    <col min="16" max="18" width="15.140625" style="283" customWidth="1"/>
    <col min="19" max="16384" width="9.140625" style="7"/>
  </cols>
  <sheetData>
    <row r="2" spans="1:18" s="282" customFormat="1" ht="26.25" customHeight="1">
      <c r="A2" s="279" t="s">
        <v>451</v>
      </c>
      <c r="B2" s="280"/>
      <c r="C2" s="280"/>
      <c r="D2" s="281"/>
      <c r="E2" s="281"/>
      <c r="F2" s="281"/>
      <c r="G2" s="281"/>
      <c r="H2" s="281"/>
      <c r="I2" s="281"/>
      <c r="L2" s="449"/>
      <c r="M2" s="449"/>
      <c r="N2" s="577" t="s">
        <v>448</v>
      </c>
      <c r="O2" s="577"/>
      <c r="P2" s="320"/>
      <c r="Q2" s="320"/>
      <c r="R2" s="320"/>
    </row>
    <row r="3" spans="1:18" ht="15.75">
      <c r="A3" s="26"/>
      <c r="B3" s="345" t="str">
        <f>Balance!B3</f>
        <v>АКБ"Микрокредитбанк"</v>
      </c>
      <c r="C3" s="163"/>
      <c r="D3" s="9"/>
      <c r="E3" s="9"/>
      <c r="F3" s="9"/>
      <c r="G3" s="9"/>
      <c r="H3" s="9"/>
      <c r="I3" s="9"/>
      <c r="J3" s="219" t="str">
        <f>+Balance!B2</f>
        <v xml:space="preserve"> 31 Декабрь, 2020</v>
      </c>
      <c r="L3" s="7"/>
      <c r="M3" s="9"/>
      <c r="N3" s="7"/>
      <c r="O3" s="22" t="str">
        <f>+Balance!E3</f>
        <v>тыс. сум</v>
      </c>
    </row>
    <row r="4" spans="1:18" s="86" customFormat="1" ht="23.25" customHeight="1">
      <c r="A4" s="578" t="s">
        <v>79</v>
      </c>
      <c r="B4" s="578" t="s">
        <v>54</v>
      </c>
      <c r="C4" s="571" t="s">
        <v>167</v>
      </c>
      <c r="D4" s="573"/>
      <c r="E4" s="573"/>
      <c r="F4" s="573"/>
      <c r="G4" s="573"/>
      <c r="H4" s="573"/>
      <c r="I4" s="573"/>
      <c r="J4" s="573"/>
      <c r="K4" s="578" t="s">
        <v>127</v>
      </c>
      <c r="L4" s="580" t="s">
        <v>530</v>
      </c>
      <c r="M4" s="581"/>
      <c r="N4" s="580" t="s">
        <v>529</v>
      </c>
      <c r="O4" s="581"/>
      <c r="P4" s="321"/>
      <c r="Q4" s="321"/>
      <c r="R4" s="321"/>
    </row>
    <row r="5" spans="1:18" s="86" customFormat="1" ht="27.75" customHeight="1">
      <c r="A5" s="579"/>
      <c r="B5" s="579"/>
      <c r="C5" s="599" t="s">
        <v>128</v>
      </c>
      <c r="D5" s="599" t="s">
        <v>441</v>
      </c>
      <c r="E5" s="599" t="s">
        <v>442</v>
      </c>
      <c r="F5" s="599" t="s">
        <v>344</v>
      </c>
      <c r="G5" s="599" t="s">
        <v>345</v>
      </c>
      <c r="H5" s="599" t="s">
        <v>413</v>
      </c>
      <c r="I5" s="599" t="s">
        <v>414</v>
      </c>
      <c r="J5" s="599" t="s">
        <v>84</v>
      </c>
      <c r="K5" s="579"/>
      <c r="L5" s="582"/>
      <c r="M5" s="583"/>
      <c r="N5" s="582"/>
      <c r="O5" s="583"/>
      <c r="P5" s="321"/>
      <c r="Q5" s="321"/>
      <c r="R5" s="321"/>
    </row>
    <row r="6" spans="1:18" s="86" customFormat="1" ht="34.5" customHeight="1">
      <c r="A6" s="579"/>
      <c r="B6" s="579"/>
      <c r="C6" s="599"/>
      <c r="D6" s="599"/>
      <c r="E6" s="599"/>
      <c r="F6" s="599"/>
      <c r="G6" s="599"/>
      <c r="H6" s="599"/>
      <c r="I6" s="599"/>
      <c r="J6" s="599"/>
      <c r="K6" s="579"/>
      <c r="L6" s="448" t="s">
        <v>33</v>
      </c>
      <c r="M6" s="448" t="s">
        <v>473</v>
      </c>
      <c r="N6" s="448" t="s">
        <v>33</v>
      </c>
      <c r="O6" s="448" t="s">
        <v>473</v>
      </c>
      <c r="P6" s="321"/>
      <c r="Q6" s="321"/>
      <c r="R6" s="321"/>
    </row>
    <row r="7" spans="1:18" s="183" customFormat="1" ht="21" customHeight="1">
      <c r="A7" s="278"/>
      <c r="B7" s="359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76"/>
      <c r="M7" s="75"/>
      <c r="N7" s="76"/>
      <c r="O7" s="75"/>
      <c r="P7" s="322"/>
      <c r="Q7" s="322"/>
      <c r="R7" s="322"/>
    </row>
    <row r="8" spans="1:18" s="354" customFormat="1" ht="20.25" customHeight="1">
      <c r="A8" s="346" t="s">
        <v>80</v>
      </c>
      <c r="B8" s="347" t="s">
        <v>168</v>
      </c>
      <c r="C8" s="34"/>
      <c r="D8" s="34"/>
      <c r="E8" s="34"/>
      <c r="F8" s="34"/>
      <c r="G8" s="34"/>
      <c r="H8" s="34"/>
      <c r="I8" s="34"/>
      <c r="J8" s="34"/>
      <c r="K8" s="34"/>
      <c r="L8" s="349"/>
      <c r="M8" s="350"/>
      <c r="N8" s="349"/>
      <c r="O8" s="350"/>
      <c r="P8" s="352"/>
      <c r="Q8" s="352"/>
      <c r="R8" s="352"/>
    </row>
    <row r="9" spans="1:18" s="354" customFormat="1" ht="25.5" customHeight="1">
      <c r="A9" s="346" t="s">
        <v>169</v>
      </c>
      <c r="B9" s="347" t="s">
        <v>170</v>
      </c>
      <c r="C9" s="348">
        <f>SUM(C10:C13)</f>
        <v>371393923</v>
      </c>
      <c r="D9" s="348">
        <f t="shared" ref="D9:J9" si="0">SUM(D10:D13)</f>
        <v>0</v>
      </c>
      <c r="E9" s="348">
        <f t="shared" si="0"/>
        <v>0</v>
      </c>
      <c r="F9" s="348">
        <f t="shared" si="0"/>
        <v>0</v>
      </c>
      <c r="G9" s="348">
        <f t="shared" si="0"/>
        <v>0</v>
      </c>
      <c r="H9" s="348">
        <f t="shared" si="0"/>
        <v>0</v>
      </c>
      <c r="I9" s="348">
        <f t="shared" si="0"/>
        <v>0</v>
      </c>
      <c r="J9" s="348">
        <f t="shared" si="0"/>
        <v>0</v>
      </c>
      <c r="K9" s="348">
        <f t="shared" ref="K9:K39" si="1">+C9+D9+E9+F9+G9+H9+I9+J9</f>
        <v>371393923</v>
      </c>
      <c r="L9" s="349"/>
      <c r="M9" s="350"/>
      <c r="N9" s="349"/>
      <c r="O9" s="350"/>
      <c r="P9" s="352"/>
      <c r="Q9" s="352"/>
      <c r="R9" s="352"/>
    </row>
    <row r="10" spans="1:18" s="354" customFormat="1" ht="25.5" customHeight="1">
      <c r="A10" s="346" t="s">
        <v>319</v>
      </c>
      <c r="B10" s="347" t="s">
        <v>320</v>
      </c>
      <c r="C10" s="348">
        <f>+'Bank Liabilities Analysis'!C9-'Bank Liabilities Analysis'!D9</f>
        <v>10967050</v>
      </c>
      <c r="D10" s="348">
        <f>+'Bank Liabilities Analysis'!E9-'Bank Liabilities Analysis'!F9</f>
        <v>0</v>
      </c>
      <c r="E10" s="348">
        <f>+'Bank Liabilities Analysis'!G9-'Bank Liabilities Analysis'!H9</f>
        <v>0</v>
      </c>
      <c r="F10" s="348">
        <f>+'Bank Liabilities Analysis'!I9-'Bank Liabilities Analysis'!J9</f>
        <v>0</v>
      </c>
      <c r="G10" s="348">
        <f>+'Bank Liabilities Analysis'!K9-'Bank Liabilities Analysis'!L9</f>
        <v>0</v>
      </c>
      <c r="H10" s="348">
        <f>+'Bank Liabilities Analysis'!M9-'Bank Liabilities Analysis'!N9</f>
        <v>0</v>
      </c>
      <c r="I10" s="348">
        <f>+'Bank Liabilities Analysis'!O9-'Bank Liabilities Analysis'!P9</f>
        <v>0</v>
      </c>
      <c r="J10" s="348">
        <f>+'Bank Liabilities Analysis'!Q9-'Bank Liabilities Analysis'!R9</f>
        <v>0</v>
      </c>
      <c r="K10" s="348">
        <f t="shared" si="1"/>
        <v>10967050</v>
      </c>
      <c r="L10" s="349">
        <v>0.1</v>
      </c>
      <c r="M10" s="350">
        <f>(C10+D10+E10)*L10</f>
        <v>1096705</v>
      </c>
      <c r="N10" s="349"/>
      <c r="O10" s="350"/>
      <c r="P10" s="352"/>
      <c r="Q10" s="352"/>
      <c r="R10" s="352"/>
    </row>
    <row r="11" spans="1:18" s="354" customFormat="1" ht="25.5" customHeight="1">
      <c r="A11" s="346" t="s">
        <v>321</v>
      </c>
      <c r="B11" s="347" t="s">
        <v>325</v>
      </c>
      <c r="C11" s="348">
        <f>+'Bank Liabilities Analysis'!C10-'Bank Liabilities Analysis'!D10</f>
        <v>0</v>
      </c>
      <c r="D11" s="348">
        <f>+'Bank Liabilities Analysis'!E10-'Bank Liabilities Analysis'!F10</f>
        <v>0</v>
      </c>
      <c r="E11" s="348">
        <f>+'Bank Liabilities Analysis'!G10-'Bank Liabilities Analysis'!H10</f>
        <v>0</v>
      </c>
      <c r="F11" s="348">
        <f>+'Bank Liabilities Analysis'!I10-'Bank Liabilities Analysis'!J10</f>
        <v>0</v>
      </c>
      <c r="G11" s="348">
        <f>+'Bank Liabilities Analysis'!K10-'Bank Liabilities Analysis'!L10</f>
        <v>0</v>
      </c>
      <c r="H11" s="348">
        <f>+'Bank Liabilities Analysis'!M10-'Bank Liabilities Analysis'!N10</f>
        <v>0</v>
      </c>
      <c r="I11" s="348">
        <f>+'Bank Liabilities Analysis'!O10-'Bank Liabilities Analysis'!P10</f>
        <v>0</v>
      </c>
      <c r="J11" s="348">
        <f>+'Bank Liabilities Analysis'!Q10-'Bank Liabilities Analysis'!R10</f>
        <v>0</v>
      </c>
      <c r="K11" s="348">
        <f t="shared" si="1"/>
        <v>0</v>
      </c>
      <c r="L11" s="349">
        <v>0</v>
      </c>
      <c r="M11" s="350"/>
      <c r="N11" s="349"/>
      <c r="O11" s="350"/>
      <c r="P11" s="352"/>
      <c r="Q11" s="352"/>
      <c r="R11" s="352"/>
    </row>
    <row r="12" spans="1:18" s="354" customFormat="1" ht="33.75" customHeight="1">
      <c r="A12" s="346" t="s">
        <v>322</v>
      </c>
      <c r="B12" s="347" t="s">
        <v>323</v>
      </c>
      <c r="C12" s="348">
        <f>+'Bank Liabilities Analysis'!C11-'Bank Liabilities Analysis'!D11</f>
        <v>0</v>
      </c>
      <c r="D12" s="348">
        <f>+'Bank Liabilities Analysis'!E11-'Bank Liabilities Analysis'!F11</f>
        <v>0</v>
      </c>
      <c r="E12" s="348">
        <f>+'Bank Liabilities Analysis'!G11-'Bank Liabilities Analysis'!H11</f>
        <v>0</v>
      </c>
      <c r="F12" s="348">
        <f>+'Bank Liabilities Analysis'!I11-'Bank Liabilities Analysis'!J11</f>
        <v>0</v>
      </c>
      <c r="G12" s="348">
        <f>+'Bank Liabilities Analysis'!K11-'Bank Liabilities Analysis'!L11</f>
        <v>0</v>
      </c>
      <c r="H12" s="348">
        <f>+'Bank Liabilities Analysis'!M11-'Bank Liabilities Analysis'!N11</f>
        <v>0</v>
      </c>
      <c r="I12" s="348">
        <f>+'Bank Liabilities Analysis'!O11-'Bank Liabilities Analysis'!P11</f>
        <v>0</v>
      </c>
      <c r="J12" s="348">
        <f>+'Bank Liabilities Analysis'!Q11-'Bank Liabilities Analysis'!R11</f>
        <v>0</v>
      </c>
      <c r="K12" s="348">
        <f t="shared" si="1"/>
        <v>0</v>
      </c>
      <c r="L12" s="349">
        <v>0</v>
      </c>
      <c r="M12" s="350"/>
      <c r="N12" s="349"/>
      <c r="O12" s="350"/>
      <c r="P12" s="352"/>
      <c r="Q12" s="352"/>
      <c r="R12" s="352"/>
    </row>
    <row r="13" spans="1:18" s="354" customFormat="1" ht="25.5" customHeight="1">
      <c r="A13" s="346" t="s">
        <v>324</v>
      </c>
      <c r="B13" s="347" t="s">
        <v>34</v>
      </c>
      <c r="C13" s="348">
        <f>+'Bank Liabilities Analysis'!C12-'Bank Liabilities Analysis'!D12</f>
        <v>360426873</v>
      </c>
      <c r="D13" s="348">
        <f>+'Bank Liabilities Analysis'!E12-'Bank Liabilities Analysis'!F12</f>
        <v>0</v>
      </c>
      <c r="E13" s="348">
        <f>+'Bank Liabilities Analysis'!G12-'Bank Liabilities Analysis'!H12</f>
        <v>0</v>
      </c>
      <c r="F13" s="348">
        <f>+'Bank Liabilities Analysis'!I12-'Bank Liabilities Analysis'!J12</f>
        <v>0</v>
      </c>
      <c r="G13" s="348">
        <f>+'Bank Liabilities Analysis'!K12-'Bank Liabilities Analysis'!L12</f>
        <v>0</v>
      </c>
      <c r="H13" s="348">
        <f>+'Bank Liabilities Analysis'!M12-'Bank Liabilities Analysis'!N12</f>
        <v>0</v>
      </c>
      <c r="I13" s="348">
        <f>+'Bank Liabilities Analysis'!O12-'Bank Liabilities Analysis'!P12</f>
        <v>0</v>
      </c>
      <c r="J13" s="348">
        <f>+'Bank Liabilities Analysis'!Q12-'Bank Liabilities Analysis'!R12</f>
        <v>0</v>
      </c>
      <c r="K13" s="348">
        <f t="shared" si="1"/>
        <v>360426873</v>
      </c>
      <c r="L13" s="349">
        <v>0.3</v>
      </c>
      <c r="M13" s="350">
        <f>(C13+D13+E13)*L13</f>
        <v>108128061.89999999</v>
      </c>
      <c r="N13" s="349"/>
      <c r="O13" s="350"/>
      <c r="P13" s="352"/>
      <c r="Q13" s="352"/>
      <c r="R13" s="352"/>
    </row>
    <row r="14" spans="1:18" s="354" customFormat="1" ht="25.5" customHeight="1">
      <c r="A14" s="346" t="s">
        <v>171</v>
      </c>
      <c r="B14" s="347" t="s">
        <v>432</v>
      </c>
      <c r="C14" s="348">
        <f>+'Bank Liabilities Analysis'!C13-'Bank Liabilities Analysis'!D13</f>
        <v>2602193</v>
      </c>
      <c r="D14" s="348">
        <f>+'Bank Liabilities Analysis'!E13-'Bank Liabilities Analysis'!F13</f>
        <v>128078648</v>
      </c>
      <c r="E14" s="348">
        <f>+'Bank Liabilities Analysis'!G13-'Bank Liabilities Analysis'!H13</f>
        <v>177312318</v>
      </c>
      <c r="F14" s="348">
        <f>+'Bank Liabilities Analysis'!I13-'Bank Liabilities Analysis'!J13</f>
        <v>226447625</v>
      </c>
      <c r="G14" s="348">
        <f>+'Bank Liabilities Analysis'!K13-'Bank Liabilities Analysis'!L13</f>
        <v>226878365</v>
      </c>
      <c r="H14" s="348">
        <f>+'Bank Liabilities Analysis'!M13-'Bank Liabilities Analysis'!N13</f>
        <v>492271286</v>
      </c>
      <c r="I14" s="348">
        <f>+'Bank Liabilities Analysis'!O13-'Bank Liabilities Analysis'!P13</f>
        <v>62186527</v>
      </c>
      <c r="J14" s="348">
        <f>+'Bank Liabilities Analysis'!Q13-'Bank Liabilities Analysis'!R13</f>
        <v>97186146</v>
      </c>
      <c r="K14" s="348">
        <f t="shared" si="1"/>
        <v>1412963108</v>
      </c>
      <c r="L14" s="349">
        <v>1</v>
      </c>
      <c r="M14" s="350">
        <f>(C14+D14+E14)*L14</f>
        <v>307993159</v>
      </c>
      <c r="N14" s="349"/>
      <c r="O14" s="350"/>
      <c r="P14" s="352"/>
      <c r="Q14" s="352"/>
      <c r="R14" s="352"/>
    </row>
    <row r="15" spans="1:18" s="354" customFormat="1" ht="25.5" customHeight="1">
      <c r="A15" s="346" t="s">
        <v>430</v>
      </c>
      <c r="B15" s="347" t="s">
        <v>320</v>
      </c>
      <c r="C15" s="348">
        <f>+'Bank Liabilities Analysis'!C14-'Bank Liabilities Analysis'!D14</f>
        <v>0</v>
      </c>
      <c r="D15" s="348">
        <f>+'Bank Liabilities Analysis'!E14-'Bank Liabilities Analysis'!F14</f>
        <v>29218648</v>
      </c>
      <c r="E15" s="348">
        <f>+'Bank Liabilities Analysis'!G14-'Bank Liabilities Analysis'!H14</f>
        <v>54562318</v>
      </c>
      <c r="F15" s="348">
        <f>+'Bank Liabilities Analysis'!I14-'Bank Liabilities Analysis'!J14</f>
        <v>90550131</v>
      </c>
      <c r="G15" s="348">
        <f>+'Bank Liabilities Analysis'!K14-'Bank Liabilities Analysis'!L14</f>
        <v>74196480</v>
      </c>
      <c r="H15" s="348">
        <f>+'Bank Liabilities Analysis'!M14-'Bank Liabilities Analysis'!N14</f>
        <v>102332684</v>
      </c>
      <c r="I15" s="348">
        <f>+'Bank Liabilities Analysis'!O14-'Bank Liabilities Analysis'!P14</f>
        <v>18936527</v>
      </c>
      <c r="J15" s="348">
        <f>+'Bank Liabilities Analysis'!Q14-'Bank Liabilities Analysis'!R14</f>
        <v>2174301</v>
      </c>
      <c r="K15" s="348">
        <f t="shared" si="1"/>
        <v>371971089</v>
      </c>
      <c r="L15" s="349">
        <v>0</v>
      </c>
      <c r="M15" s="350"/>
      <c r="N15" s="349"/>
      <c r="O15" s="350"/>
      <c r="P15" s="352"/>
      <c r="Q15" s="352"/>
      <c r="R15" s="352"/>
    </row>
    <row r="16" spans="1:18" s="354" customFormat="1" ht="25.5" customHeight="1">
      <c r="A16" s="346" t="s">
        <v>431</v>
      </c>
      <c r="B16" s="347" t="s">
        <v>429</v>
      </c>
      <c r="C16" s="348">
        <f>+'Bank Liabilities Analysis'!C15-'Bank Liabilities Analysis'!D15</f>
        <v>0</v>
      </c>
      <c r="D16" s="348">
        <f>+'Bank Liabilities Analysis'!E15-'Bank Liabilities Analysis'!F15</f>
        <v>0</v>
      </c>
      <c r="E16" s="348">
        <f>+'Bank Liabilities Analysis'!G15-'Bank Liabilities Analysis'!H15</f>
        <v>26000000</v>
      </c>
      <c r="F16" s="348">
        <f>+'Bank Liabilities Analysis'!I15-'Bank Liabilities Analysis'!J15</f>
        <v>9100000</v>
      </c>
      <c r="G16" s="348">
        <f>+'Bank Liabilities Analysis'!K15-'Bank Liabilities Analysis'!L15</f>
        <v>0</v>
      </c>
      <c r="H16" s="348">
        <f>+'Bank Liabilities Analysis'!M15-'Bank Liabilities Analysis'!N15</f>
        <v>0</v>
      </c>
      <c r="I16" s="348">
        <f>+'Bank Liabilities Analysis'!O15-'Bank Liabilities Analysis'!P15</f>
        <v>0</v>
      </c>
      <c r="J16" s="348">
        <f>+'Bank Liabilities Analysis'!Q15-'Bank Liabilities Analysis'!R15</f>
        <v>0</v>
      </c>
      <c r="K16" s="348">
        <f t="shared" si="1"/>
        <v>35100000</v>
      </c>
      <c r="L16" s="349">
        <v>0</v>
      </c>
      <c r="M16" s="350"/>
      <c r="N16" s="349"/>
      <c r="O16" s="350"/>
      <c r="P16" s="352"/>
      <c r="Q16" s="352"/>
      <c r="R16" s="352"/>
    </row>
    <row r="17" spans="1:18" s="354" customFormat="1" ht="25.5" customHeight="1">
      <c r="A17" s="346" t="s">
        <v>172</v>
      </c>
      <c r="B17" s="347" t="s">
        <v>182</v>
      </c>
      <c r="C17" s="348">
        <f>SUM(C18:C22)</f>
        <v>172623541</v>
      </c>
      <c r="D17" s="348">
        <f t="shared" ref="D17:J17" si="2">SUM(D18:D22)</f>
        <v>0</v>
      </c>
      <c r="E17" s="348">
        <f t="shared" si="2"/>
        <v>0</v>
      </c>
      <c r="F17" s="348">
        <f t="shared" si="2"/>
        <v>0</v>
      </c>
      <c r="G17" s="348">
        <f t="shared" si="2"/>
        <v>0</v>
      </c>
      <c r="H17" s="348">
        <f t="shared" si="2"/>
        <v>0</v>
      </c>
      <c r="I17" s="348">
        <f t="shared" si="2"/>
        <v>0</v>
      </c>
      <c r="J17" s="348">
        <f t="shared" si="2"/>
        <v>0</v>
      </c>
      <c r="K17" s="348">
        <f t="shared" si="1"/>
        <v>172623541</v>
      </c>
      <c r="L17" s="349"/>
      <c r="M17" s="350"/>
      <c r="N17" s="349"/>
      <c r="O17" s="350"/>
      <c r="P17" s="352"/>
      <c r="Q17" s="352"/>
      <c r="R17" s="352"/>
    </row>
    <row r="18" spans="1:18" s="354" customFormat="1" ht="25.5" customHeight="1">
      <c r="A18" s="346" t="s">
        <v>326</v>
      </c>
      <c r="B18" s="347" t="s">
        <v>329</v>
      </c>
      <c r="C18" s="348">
        <f>+'Bank Liabilities Analysis'!C17-'Bank Liabilities Analysis'!D17</f>
        <v>144077453</v>
      </c>
      <c r="D18" s="348">
        <f>+'Bank Liabilities Analysis'!E17-'Bank Liabilities Analysis'!F17</f>
        <v>0</v>
      </c>
      <c r="E18" s="348">
        <f>+'Bank Liabilities Analysis'!G17-'Bank Liabilities Analysis'!H17</f>
        <v>0</v>
      </c>
      <c r="F18" s="348">
        <f>+'Bank Liabilities Analysis'!I17-'Bank Liabilities Analysis'!J17</f>
        <v>0</v>
      </c>
      <c r="G18" s="348">
        <f>+'Bank Liabilities Analysis'!K17-'Bank Liabilities Analysis'!L17</f>
        <v>0</v>
      </c>
      <c r="H18" s="348">
        <f>+'Bank Liabilities Analysis'!M17-'Bank Liabilities Analysis'!N17</f>
        <v>0</v>
      </c>
      <c r="I18" s="348">
        <f>+'Bank Liabilities Analysis'!O17-'Bank Liabilities Analysis'!P17</f>
        <v>0</v>
      </c>
      <c r="J18" s="348">
        <f>+'Bank Liabilities Analysis'!Q17-'Bank Liabilities Analysis'!R17</f>
        <v>0</v>
      </c>
      <c r="K18" s="348">
        <f t="shared" si="1"/>
        <v>144077453</v>
      </c>
      <c r="L18" s="349">
        <v>0.1</v>
      </c>
      <c r="M18" s="350">
        <f>(C18+D18+E18)*L18</f>
        <v>14407745.300000001</v>
      </c>
      <c r="N18" s="349"/>
      <c r="O18" s="350"/>
      <c r="P18" s="352"/>
      <c r="Q18" s="352"/>
      <c r="R18" s="352"/>
    </row>
    <row r="19" spans="1:18" s="354" customFormat="1" ht="25.5" customHeight="1">
      <c r="A19" s="346" t="s">
        <v>327</v>
      </c>
      <c r="B19" s="347" t="s">
        <v>330</v>
      </c>
      <c r="C19" s="348">
        <f>+'Bank Liabilities Analysis'!C18-'Bank Liabilities Analysis'!D18</f>
        <v>9411108</v>
      </c>
      <c r="D19" s="348">
        <f>+'Bank Liabilities Analysis'!E18-'Bank Liabilities Analysis'!F18</f>
        <v>0</v>
      </c>
      <c r="E19" s="348">
        <f>+'Bank Liabilities Analysis'!G18-'Bank Liabilities Analysis'!H18</f>
        <v>0</v>
      </c>
      <c r="F19" s="348">
        <f>+'Bank Liabilities Analysis'!I18-'Bank Liabilities Analysis'!J18</f>
        <v>0</v>
      </c>
      <c r="G19" s="348">
        <f>+'Bank Liabilities Analysis'!K18-'Bank Liabilities Analysis'!L18</f>
        <v>0</v>
      </c>
      <c r="H19" s="348">
        <f>+'Bank Liabilities Analysis'!M18-'Bank Liabilities Analysis'!N18</f>
        <v>0</v>
      </c>
      <c r="I19" s="348">
        <f>+'Bank Liabilities Analysis'!O18-'Bank Liabilities Analysis'!P18</f>
        <v>0</v>
      </c>
      <c r="J19" s="348">
        <f>+'Bank Liabilities Analysis'!Q18-'Bank Liabilities Analysis'!R18</f>
        <v>0</v>
      </c>
      <c r="K19" s="348">
        <f t="shared" si="1"/>
        <v>9411108</v>
      </c>
      <c r="L19" s="349">
        <v>0.1</v>
      </c>
      <c r="M19" s="350">
        <f t="shared" ref="M19:M22" si="3">(C19+D19+E19)*L19</f>
        <v>941110.8</v>
      </c>
      <c r="N19" s="349"/>
      <c r="O19" s="350"/>
      <c r="P19" s="352"/>
      <c r="Q19" s="352"/>
      <c r="R19" s="352"/>
    </row>
    <row r="20" spans="1:18" s="354" customFormat="1" ht="25.5" customHeight="1">
      <c r="A20" s="346" t="s">
        <v>328</v>
      </c>
      <c r="B20" s="347" t="s">
        <v>331</v>
      </c>
      <c r="C20" s="348">
        <f>+'Bank Liabilities Analysis'!C19-'Bank Liabilities Analysis'!D19</f>
        <v>0</v>
      </c>
      <c r="D20" s="348">
        <f>+'Bank Liabilities Analysis'!E19-'Bank Liabilities Analysis'!F19</f>
        <v>0</v>
      </c>
      <c r="E20" s="348">
        <f>+'Bank Liabilities Analysis'!G19-'Bank Liabilities Analysis'!H19</f>
        <v>0</v>
      </c>
      <c r="F20" s="348">
        <f>+'Bank Liabilities Analysis'!I19-'Bank Liabilities Analysis'!J19</f>
        <v>0</v>
      </c>
      <c r="G20" s="348">
        <f>+'Bank Liabilities Analysis'!K19-'Bank Liabilities Analysis'!L19</f>
        <v>0</v>
      </c>
      <c r="H20" s="348">
        <f>+'Bank Liabilities Analysis'!M19-'Bank Liabilities Analysis'!N19</f>
        <v>0</v>
      </c>
      <c r="I20" s="348">
        <f>+'Bank Liabilities Analysis'!O19-'Bank Liabilities Analysis'!P19</f>
        <v>0</v>
      </c>
      <c r="J20" s="348">
        <f>+'Bank Liabilities Analysis'!Q19-'Bank Liabilities Analysis'!R19</f>
        <v>0</v>
      </c>
      <c r="K20" s="348">
        <f t="shared" si="1"/>
        <v>0</v>
      </c>
      <c r="L20" s="349">
        <v>0.3</v>
      </c>
      <c r="M20" s="350">
        <f t="shared" si="3"/>
        <v>0</v>
      </c>
      <c r="N20" s="349"/>
      <c r="O20" s="350"/>
      <c r="P20" s="352"/>
      <c r="Q20" s="352"/>
      <c r="R20" s="352"/>
    </row>
    <row r="21" spans="1:18" s="354" customFormat="1" ht="33.75" customHeight="1">
      <c r="A21" s="346" t="s">
        <v>332</v>
      </c>
      <c r="B21" s="347" t="s">
        <v>333</v>
      </c>
      <c r="C21" s="348">
        <f>+'Bank Liabilities Analysis'!C20-'Bank Liabilities Analysis'!D20</f>
        <v>6492248</v>
      </c>
      <c r="D21" s="348">
        <f>+'Bank Liabilities Analysis'!E20-'Bank Liabilities Analysis'!F20</f>
        <v>0</v>
      </c>
      <c r="E21" s="348">
        <f>+'Bank Liabilities Analysis'!G20-'Bank Liabilities Analysis'!H20</f>
        <v>0</v>
      </c>
      <c r="F21" s="348">
        <f>+'Bank Liabilities Analysis'!I20-'Bank Liabilities Analysis'!J20</f>
        <v>0</v>
      </c>
      <c r="G21" s="348">
        <f>+'Bank Liabilities Analysis'!K20-'Bank Liabilities Analysis'!L20</f>
        <v>0</v>
      </c>
      <c r="H21" s="348">
        <f>+'Bank Liabilities Analysis'!M20-'Bank Liabilities Analysis'!N20</f>
        <v>0</v>
      </c>
      <c r="I21" s="348">
        <f>+'Bank Liabilities Analysis'!O20-'Bank Liabilities Analysis'!P20</f>
        <v>0</v>
      </c>
      <c r="J21" s="348">
        <f>+'Bank Liabilities Analysis'!Q20-'Bank Liabilities Analysis'!R20</f>
        <v>0</v>
      </c>
      <c r="K21" s="348">
        <f t="shared" si="1"/>
        <v>6492248</v>
      </c>
      <c r="L21" s="349">
        <v>1</v>
      </c>
      <c r="M21" s="350">
        <f t="shared" si="3"/>
        <v>6492248</v>
      </c>
      <c r="N21" s="349"/>
      <c r="O21" s="350"/>
      <c r="P21" s="352"/>
      <c r="Q21" s="352"/>
      <c r="R21" s="352"/>
    </row>
    <row r="22" spans="1:18" s="354" customFormat="1" ht="25.5" customHeight="1">
      <c r="A22" s="346" t="s">
        <v>334</v>
      </c>
      <c r="B22" s="347" t="s">
        <v>21</v>
      </c>
      <c r="C22" s="348">
        <f>+'Bank Liabilities Analysis'!C21-'Bank Liabilities Analysis'!D21</f>
        <v>12642732</v>
      </c>
      <c r="D22" s="348">
        <f>+'Bank Liabilities Analysis'!E21-'Bank Liabilities Analysis'!F21</f>
        <v>0</v>
      </c>
      <c r="E22" s="348">
        <f>+'Bank Liabilities Analysis'!G21-'Bank Liabilities Analysis'!H21</f>
        <v>0</v>
      </c>
      <c r="F22" s="348">
        <f>+'Bank Liabilities Analysis'!I21-'Bank Liabilities Analysis'!J21</f>
        <v>0</v>
      </c>
      <c r="G22" s="348">
        <f>+'Bank Liabilities Analysis'!K21-'Bank Liabilities Analysis'!L21</f>
        <v>0</v>
      </c>
      <c r="H22" s="348">
        <f>+'Bank Liabilities Analysis'!M21-'Bank Liabilities Analysis'!N21</f>
        <v>0</v>
      </c>
      <c r="I22" s="348">
        <f>+'Bank Liabilities Analysis'!O21-'Bank Liabilities Analysis'!P21</f>
        <v>0</v>
      </c>
      <c r="J22" s="348">
        <f>+'Bank Liabilities Analysis'!Q21-'Bank Liabilities Analysis'!R21</f>
        <v>0</v>
      </c>
      <c r="K22" s="348">
        <f t="shared" si="1"/>
        <v>12642732</v>
      </c>
      <c r="L22" s="349">
        <v>0.3</v>
      </c>
      <c r="M22" s="350">
        <f t="shared" si="3"/>
        <v>3792819.5999999996</v>
      </c>
      <c r="N22" s="349"/>
      <c r="O22" s="350"/>
      <c r="P22" s="352"/>
      <c r="Q22" s="352"/>
      <c r="R22" s="352"/>
    </row>
    <row r="23" spans="1:18" s="354" customFormat="1" ht="25.5" customHeight="1">
      <c r="A23" s="346" t="s">
        <v>174</v>
      </c>
      <c r="B23" s="347" t="s">
        <v>175</v>
      </c>
      <c r="C23" s="348">
        <f t="shared" ref="C23:J23" si="4">+C9+C14+C17</f>
        <v>546619657</v>
      </c>
      <c r="D23" s="348">
        <f t="shared" si="4"/>
        <v>128078648</v>
      </c>
      <c r="E23" s="348">
        <f t="shared" si="4"/>
        <v>177312318</v>
      </c>
      <c r="F23" s="348">
        <f t="shared" si="4"/>
        <v>226447625</v>
      </c>
      <c r="G23" s="348">
        <f t="shared" si="4"/>
        <v>226878365</v>
      </c>
      <c r="H23" s="348">
        <f t="shared" si="4"/>
        <v>492271286</v>
      </c>
      <c r="I23" s="348">
        <f t="shared" si="4"/>
        <v>62186527</v>
      </c>
      <c r="J23" s="348">
        <f t="shared" si="4"/>
        <v>97186146</v>
      </c>
      <c r="K23" s="348">
        <f t="shared" si="1"/>
        <v>1956980572</v>
      </c>
      <c r="L23" s="349"/>
      <c r="M23" s="350"/>
      <c r="N23" s="349">
        <v>0.15</v>
      </c>
      <c r="O23" s="350">
        <f>+K23*N23</f>
        <v>293547085.80000001</v>
      </c>
      <c r="P23" s="352"/>
      <c r="Q23" s="352"/>
      <c r="R23" s="352"/>
    </row>
    <row r="24" spans="1:18" s="354" customFormat="1" ht="25.5" customHeight="1">
      <c r="A24" s="346" t="s">
        <v>130</v>
      </c>
      <c r="B24" s="347" t="s">
        <v>176</v>
      </c>
      <c r="C24" s="348">
        <f>+'Bank Liabilities Analysis'!C23-'Bank Liabilities Analysis'!D23</f>
        <v>0</v>
      </c>
      <c r="D24" s="348">
        <f>+'Bank Liabilities Analysis'!E23-'Bank Liabilities Analysis'!F23</f>
        <v>0</v>
      </c>
      <c r="E24" s="348">
        <f>+'Bank Liabilities Analysis'!G23-'Bank Liabilities Analysis'!H23</f>
        <v>0</v>
      </c>
      <c r="F24" s="348">
        <f>+'Bank Liabilities Analysis'!I23-'Bank Liabilities Analysis'!J23</f>
        <v>0</v>
      </c>
      <c r="G24" s="348">
        <f>+'Bank Liabilities Analysis'!K23-'Bank Liabilities Analysis'!L23</f>
        <v>0</v>
      </c>
      <c r="H24" s="348">
        <f>+'Bank Liabilities Analysis'!M23-'Bank Liabilities Analysis'!N23</f>
        <v>0</v>
      </c>
      <c r="I24" s="348">
        <f>+'Bank Liabilities Analysis'!O23-'Bank Liabilities Analysis'!P23</f>
        <v>0</v>
      </c>
      <c r="J24" s="348">
        <f>+'Bank Liabilities Analysis'!Q23-'Bank Liabilities Analysis'!R23</f>
        <v>0</v>
      </c>
      <c r="K24" s="348">
        <f t="shared" si="1"/>
        <v>0</v>
      </c>
      <c r="L24" s="349">
        <v>1</v>
      </c>
      <c r="M24" s="350">
        <f>(C24+D24+E24)*L24</f>
        <v>0</v>
      </c>
      <c r="N24" s="349">
        <v>1</v>
      </c>
      <c r="O24" s="350">
        <f>(C24+D24+E24)*N24</f>
        <v>0</v>
      </c>
      <c r="P24" s="352"/>
      <c r="Q24" s="352"/>
      <c r="R24" s="352"/>
    </row>
    <row r="25" spans="1:18" s="354" customFormat="1" ht="25.5" customHeight="1">
      <c r="A25" s="346" t="s">
        <v>131</v>
      </c>
      <c r="B25" s="347" t="s">
        <v>177</v>
      </c>
      <c r="C25" s="348">
        <f>SUM(C26:C29)</f>
        <v>4554422</v>
      </c>
      <c r="D25" s="348">
        <f t="shared" ref="D25:J25" si="5">SUM(D26:D29)</f>
        <v>0</v>
      </c>
      <c r="E25" s="348">
        <f t="shared" si="5"/>
        <v>0</v>
      </c>
      <c r="F25" s="348">
        <f t="shared" si="5"/>
        <v>100000000</v>
      </c>
      <c r="G25" s="348">
        <f t="shared" si="5"/>
        <v>50000000</v>
      </c>
      <c r="H25" s="348">
        <f t="shared" si="5"/>
        <v>45000000</v>
      </c>
      <c r="I25" s="348">
        <f t="shared" si="5"/>
        <v>0</v>
      </c>
      <c r="J25" s="348">
        <f t="shared" si="5"/>
        <v>718406301</v>
      </c>
      <c r="K25" s="348">
        <f t="shared" si="1"/>
        <v>917960723</v>
      </c>
      <c r="L25" s="349"/>
      <c r="M25" s="350"/>
      <c r="N25" s="349"/>
      <c r="O25" s="350"/>
      <c r="P25" s="352"/>
      <c r="Q25" s="352"/>
      <c r="R25" s="352"/>
    </row>
    <row r="26" spans="1:18" s="354" customFormat="1" ht="25.5" customHeight="1">
      <c r="A26" s="346" t="s">
        <v>192</v>
      </c>
      <c r="B26" s="347" t="s">
        <v>522</v>
      </c>
      <c r="C26" s="348">
        <f>+'Bank Liabilities Analysis'!C25-'Bank Liabilities Analysis'!D25</f>
        <v>0</v>
      </c>
      <c r="D26" s="348">
        <f>+'Bank Liabilities Analysis'!E25-'Bank Liabilities Analysis'!F25</f>
        <v>0</v>
      </c>
      <c r="E26" s="348">
        <f>+'Bank Liabilities Analysis'!G25-'Bank Liabilities Analysis'!H25</f>
        <v>0</v>
      </c>
      <c r="F26" s="348">
        <f>+'Bank Liabilities Analysis'!I25-'Bank Liabilities Analysis'!J25</f>
        <v>0</v>
      </c>
      <c r="G26" s="348">
        <f>+'Bank Liabilities Analysis'!K25-'Bank Liabilities Analysis'!L25</f>
        <v>0</v>
      </c>
      <c r="H26" s="348">
        <f>+'Bank Liabilities Analysis'!M25-'Bank Liabilities Analysis'!N25</f>
        <v>0</v>
      </c>
      <c r="I26" s="348">
        <f>+'Bank Liabilities Analysis'!O25-'Bank Liabilities Analysis'!P25</f>
        <v>0</v>
      </c>
      <c r="J26" s="348">
        <f>+'Bank Liabilities Analysis'!Q25-'Bank Liabilities Analysis'!R25</f>
        <v>0</v>
      </c>
      <c r="K26" s="348">
        <f t="shared" ref="K26" si="6">+C26+D26+E26+F26+G26+H26+I26+J26</f>
        <v>0</v>
      </c>
      <c r="L26" s="349">
        <v>1</v>
      </c>
      <c r="M26" s="350">
        <f>(K26)*L26</f>
        <v>0</v>
      </c>
      <c r="N26" s="349">
        <v>1</v>
      </c>
      <c r="O26" s="350">
        <f>+K26*N26</f>
        <v>0</v>
      </c>
      <c r="P26" s="352"/>
      <c r="Q26" s="352"/>
      <c r="R26" s="352"/>
    </row>
    <row r="27" spans="1:18" s="354" customFormat="1" ht="25.5" customHeight="1">
      <c r="A27" s="346" t="s">
        <v>193</v>
      </c>
      <c r="B27" s="347" t="s">
        <v>335</v>
      </c>
      <c r="C27" s="348">
        <f>+'Bank Liabilities Analysis'!C26-'Bank Liabilities Analysis'!D26</f>
        <v>0</v>
      </c>
      <c r="D27" s="348">
        <f>+'Bank Liabilities Analysis'!E26-'Bank Liabilities Analysis'!F26</f>
        <v>0</v>
      </c>
      <c r="E27" s="348">
        <f>+'Bank Liabilities Analysis'!G26-'Bank Liabilities Analysis'!H26</f>
        <v>0</v>
      </c>
      <c r="F27" s="348">
        <f>+'Bank Liabilities Analysis'!I26-'Bank Liabilities Analysis'!J26</f>
        <v>100000000</v>
      </c>
      <c r="G27" s="348">
        <f>+'Bank Liabilities Analysis'!K26-'Bank Liabilities Analysis'!L26</f>
        <v>50000000</v>
      </c>
      <c r="H27" s="348">
        <f>+'Bank Liabilities Analysis'!M26-'Bank Liabilities Analysis'!N26</f>
        <v>45000000</v>
      </c>
      <c r="I27" s="348">
        <f>+'Bank Liabilities Analysis'!O26-'Bank Liabilities Analysis'!P26</f>
        <v>0</v>
      </c>
      <c r="J27" s="348">
        <f>+'Bank Liabilities Analysis'!Q26-'Bank Liabilities Analysis'!R26</f>
        <v>718406301</v>
      </c>
      <c r="K27" s="348">
        <f t="shared" si="1"/>
        <v>913406301</v>
      </c>
      <c r="L27" s="349">
        <v>1</v>
      </c>
      <c r="M27" s="350">
        <f t="shared" ref="M27:M39" si="7">(C27+D27+E27)*L27</f>
        <v>0</v>
      </c>
      <c r="N27" s="349">
        <v>1</v>
      </c>
      <c r="O27" s="350">
        <f t="shared" ref="O27:O35" si="8">(C27+D27+E27)*N27</f>
        <v>0</v>
      </c>
      <c r="P27" s="352"/>
      <c r="Q27" s="352"/>
      <c r="R27" s="352"/>
    </row>
    <row r="28" spans="1:18" s="354" customFormat="1" ht="25.5" customHeight="1">
      <c r="A28" s="346" t="s">
        <v>22</v>
      </c>
      <c r="B28" s="347" t="s">
        <v>336</v>
      </c>
      <c r="C28" s="348">
        <f>+'Bank Liabilities Analysis'!C27-'Bank Liabilities Analysis'!D27</f>
        <v>4554422</v>
      </c>
      <c r="D28" s="348">
        <f>+'Bank Liabilities Analysis'!E27-'Bank Liabilities Analysis'!F27</f>
        <v>0</v>
      </c>
      <c r="E28" s="348">
        <f>+'Bank Liabilities Analysis'!G27-'Bank Liabilities Analysis'!H27</f>
        <v>0</v>
      </c>
      <c r="F28" s="348">
        <f>+'Bank Liabilities Analysis'!I27-'Bank Liabilities Analysis'!J27</f>
        <v>0</v>
      </c>
      <c r="G28" s="348">
        <f>+'Bank Liabilities Analysis'!K27-'Bank Liabilities Analysis'!L27</f>
        <v>0</v>
      </c>
      <c r="H28" s="348">
        <f>+'Bank Liabilities Analysis'!M27-'Bank Liabilities Analysis'!N27</f>
        <v>0</v>
      </c>
      <c r="I28" s="348">
        <f>+'Bank Liabilities Analysis'!O27-'Bank Liabilities Analysis'!P27</f>
        <v>0</v>
      </c>
      <c r="J28" s="348">
        <f>+'Bank Liabilities Analysis'!Q27-'Bank Liabilities Analysis'!R27</f>
        <v>0</v>
      </c>
      <c r="K28" s="348">
        <f t="shared" si="1"/>
        <v>4554422</v>
      </c>
      <c r="L28" s="349">
        <v>0.5</v>
      </c>
      <c r="M28" s="350">
        <f t="shared" si="7"/>
        <v>2277211</v>
      </c>
      <c r="N28" s="349">
        <v>1</v>
      </c>
      <c r="O28" s="350">
        <f t="shared" si="8"/>
        <v>4554422</v>
      </c>
      <c r="P28" s="352"/>
      <c r="Q28" s="352"/>
      <c r="R28" s="352"/>
    </row>
    <row r="29" spans="1:18" s="354" customFormat="1" ht="25.5" customHeight="1">
      <c r="A29" s="346" t="s">
        <v>347</v>
      </c>
      <c r="B29" s="347" t="s">
        <v>32</v>
      </c>
      <c r="C29" s="348">
        <f>+'Bank Liabilities Analysis'!C28-'Bank Liabilities Analysis'!D28</f>
        <v>0</v>
      </c>
      <c r="D29" s="348">
        <f>+'Bank Liabilities Analysis'!E28-'Bank Liabilities Analysis'!F28</f>
        <v>0</v>
      </c>
      <c r="E29" s="348">
        <f>+'Bank Liabilities Analysis'!G28-'Bank Liabilities Analysis'!H28</f>
        <v>0</v>
      </c>
      <c r="F29" s="348">
        <f>+'Bank Liabilities Analysis'!I28-'Bank Liabilities Analysis'!J28</f>
        <v>0</v>
      </c>
      <c r="G29" s="348">
        <f>+'Bank Liabilities Analysis'!K28-'Bank Liabilities Analysis'!L28</f>
        <v>0</v>
      </c>
      <c r="H29" s="348">
        <f>+'Bank Liabilities Analysis'!M28-'Bank Liabilities Analysis'!N28</f>
        <v>0</v>
      </c>
      <c r="I29" s="348">
        <f>+'Bank Liabilities Analysis'!O28-'Bank Liabilities Analysis'!P28</f>
        <v>0</v>
      </c>
      <c r="J29" s="348">
        <f>+'Bank Liabilities Analysis'!Q28-'Bank Liabilities Analysis'!R28</f>
        <v>0</v>
      </c>
      <c r="K29" s="348">
        <f t="shared" si="1"/>
        <v>0</v>
      </c>
      <c r="L29" s="349">
        <v>0.3</v>
      </c>
      <c r="M29" s="350">
        <f t="shared" si="7"/>
        <v>0</v>
      </c>
      <c r="N29" s="349">
        <v>1</v>
      </c>
      <c r="O29" s="350">
        <f t="shared" si="8"/>
        <v>0</v>
      </c>
      <c r="P29" s="352"/>
      <c r="Q29" s="352"/>
      <c r="R29" s="352"/>
    </row>
    <row r="30" spans="1:18" s="354" customFormat="1" ht="25.5" customHeight="1">
      <c r="A30" s="346" t="s">
        <v>133</v>
      </c>
      <c r="B30" s="347" t="s">
        <v>178</v>
      </c>
      <c r="C30" s="348">
        <f>+'Bank Liabilities Analysis'!C29-'Bank Liabilities Analysis'!D29</f>
        <v>0</v>
      </c>
      <c r="D30" s="348">
        <f>+'Bank Liabilities Analysis'!E29-'Bank Liabilities Analysis'!F29</f>
        <v>0</v>
      </c>
      <c r="E30" s="348">
        <f>+'Bank Liabilities Analysis'!G29-'Bank Liabilities Analysis'!H29</f>
        <v>0</v>
      </c>
      <c r="F30" s="348">
        <f>+'Bank Liabilities Analysis'!I29-'Bank Liabilities Analysis'!J29</f>
        <v>0</v>
      </c>
      <c r="G30" s="348">
        <f>+'Bank Liabilities Analysis'!K29-'Bank Liabilities Analysis'!L29</f>
        <v>0</v>
      </c>
      <c r="H30" s="348">
        <f>+'Bank Liabilities Analysis'!M29-'Bank Liabilities Analysis'!N29</f>
        <v>0</v>
      </c>
      <c r="I30" s="348">
        <f>+'Bank Liabilities Analysis'!O29-'Bank Liabilities Analysis'!P29</f>
        <v>0</v>
      </c>
      <c r="J30" s="348">
        <f>+'Bank Liabilities Analysis'!Q29-'Bank Liabilities Analysis'!R29</f>
        <v>0</v>
      </c>
      <c r="K30" s="348">
        <f t="shared" si="1"/>
        <v>0</v>
      </c>
      <c r="L30" s="349">
        <v>1</v>
      </c>
      <c r="M30" s="350">
        <f t="shared" si="7"/>
        <v>0</v>
      </c>
      <c r="N30" s="349">
        <v>1</v>
      </c>
      <c r="O30" s="350">
        <f t="shared" si="8"/>
        <v>0</v>
      </c>
      <c r="P30" s="352"/>
      <c r="Q30" s="352"/>
      <c r="R30" s="352"/>
    </row>
    <row r="31" spans="1:18" s="354" customFormat="1" ht="33.75" customHeight="1">
      <c r="A31" s="346" t="s">
        <v>135</v>
      </c>
      <c r="B31" s="347" t="s">
        <v>179</v>
      </c>
      <c r="C31" s="348">
        <f>+'Bank Liabilities Analysis'!C30-'Bank Liabilities Analysis'!D30</f>
        <v>0</v>
      </c>
      <c r="D31" s="348">
        <f>+'Bank Liabilities Analysis'!E30-'Bank Liabilities Analysis'!F30</f>
        <v>0</v>
      </c>
      <c r="E31" s="348">
        <f>+'Bank Liabilities Analysis'!G30-'Bank Liabilities Analysis'!H30</f>
        <v>0</v>
      </c>
      <c r="F31" s="348">
        <f>+'Bank Liabilities Analysis'!I30-'Bank Liabilities Analysis'!J30</f>
        <v>0</v>
      </c>
      <c r="G31" s="348">
        <f>+'Bank Liabilities Analysis'!K30-'Bank Liabilities Analysis'!L30</f>
        <v>0</v>
      </c>
      <c r="H31" s="348">
        <f>+'Bank Liabilities Analysis'!M30-'Bank Liabilities Analysis'!N30</f>
        <v>0</v>
      </c>
      <c r="I31" s="348">
        <f>+'Bank Liabilities Analysis'!O30-'Bank Liabilities Analysis'!P30</f>
        <v>0</v>
      </c>
      <c r="J31" s="348">
        <f>+'Bank Liabilities Analysis'!Q30-'Bank Liabilities Analysis'!R30</f>
        <v>0</v>
      </c>
      <c r="K31" s="348">
        <f t="shared" si="1"/>
        <v>0</v>
      </c>
      <c r="L31" s="349">
        <v>1</v>
      </c>
      <c r="M31" s="350">
        <f t="shared" si="7"/>
        <v>0</v>
      </c>
      <c r="N31" s="349">
        <v>1</v>
      </c>
      <c r="O31" s="350">
        <f t="shared" si="8"/>
        <v>0</v>
      </c>
      <c r="P31" s="352"/>
      <c r="Q31" s="352"/>
      <c r="R31" s="352"/>
    </row>
    <row r="32" spans="1:18" s="354" customFormat="1" ht="25.5" customHeight="1">
      <c r="A32" s="346" t="s">
        <v>137</v>
      </c>
      <c r="B32" s="347" t="s">
        <v>180</v>
      </c>
      <c r="C32" s="348">
        <f>+'Bank Liabilities Analysis'!C31-'Bank Liabilities Analysis'!D31</f>
        <v>1388027</v>
      </c>
      <c r="D32" s="348">
        <f>+'Bank Liabilities Analysis'!E31-'Bank Liabilities Analysis'!F31</f>
        <v>539725</v>
      </c>
      <c r="E32" s="348">
        <f>+'Bank Liabilities Analysis'!G31-'Bank Liabilities Analysis'!H31</f>
        <v>8567363</v>
      </c>
      <c r="F32" s="348">
        <f>+'Bank Liabilities Analysis'!I31-'Bank Liabilities Analysis'!J31</f>
        <v>25390782</v>
      </c>
      <c r="G32" s="348">
        <f>+'Bank Liabilities Analysis'!K31-'Bank Liabilities Analysis'!L31</f>
        <v>50378216</v>
      </c>
      <c r="H32" s="348">
        <f>+'Bank Liabilities Analysis'!M31-'Bank Liabilities Analysis'!N31</f>
        <v>97898807</v>
      </c>
      <c r="I32" s="348">
        <f>+'Bank Liabilities Analysis'!O31-'Bank Liabilities Analysis'!P31</f>
        <v>278209469</v>
      </c>
      <c r="J32" s="348">
        <f>+'Bank Liabilities Analysis'!Q31-'Bank Liabilities Analysis'!R31</f>
        <v>1707476733</v>
      </c>
      <c r="K32" s="348">
        <f t="shared" si="1"/>
        <v>2169849122</v>
      </c>
      <c r="L32" s="349">
        <v>1</v>
      </c>
      <c r="M32" s="350">
        <f t="shared" si="7"/>
        <v>10495115</v>
      </c>
      <c r="N32" s="349">
        <v>0.15</v>
      </c>
      <c r="O32" s="350">
        <f>+K32*N32</f>
        <v>325477368.30000001</v>
      </c>
      <c r="P32" s="352"/>
      <c r="Q32" s="352"/>
      <c r="R32" s="352"/>
    </row>
    <row r="33" spans="1:18" s="354" customFormat="1" ht="25.5" customHeight="1">
      <c r="A33" s="346" t="s">
        <v>139</v>
      </c>
      <c r="B33" s="347" t="s">
        <v>405</v>
      </c>
      <c r="C33" s="348">
        <f>+'Bank Liabilities Analysis'!C32-'Bank Liabilities Analysis'!D32</f>
        <v>0</v>
      </c>
      <c r="D33" s="348">
        <f>+'Bank Liabilities Analysis'!E32-'Bank Liabilities Analysis'!F32</f>
        <v>0</v>
      </c>
      <c r="E33" s="348">
        <f>+'Bank Liabilities Analysis'!G32-'Bank Liabilities Analysis'!H32</f>
        <v>0</v>
      </c>
      <c r="F33" s="348">
        <f>+'Bank Liabilities Analysis'!I32-'Bank Liabilities Analysis'!J32</f>
        <v>0</v>
      </c>
      <c r="G33" s="348">
        <f>+'Bank Liabilities Analysis'!K32-'Bank Liabilities Analysis'!L32</f>
        <v>0</v>
      </c>
      <c r="H33" s="348">
        <f>+'Bank Liabilities Analysis'!M32-'Bank Liabilities Analysis'!N32</f>
        <v>0</v>
      </c>
      <c r="I33" s="348">
        <f>+'Bank Liabilities Analysis'!O32-'Bank Liabilities Analysis'!P32</f>
        <v>0</v>
      </c>
      <c r="J33" s="348">
        <f>+'Bank Liabilities Analysis'!Q32-'Bank Liabilities Analysis'!R32</f>
        <v>0</v>
      </c>
      <c r="K33" s="348">
        <f t="shared" si="1"/>
        <v>0</v>
      </c>
      <c r="L33" s="349">
        <v>1</v>
      </c>
      <c r="M33" s="350">
        <f t="shared" si="7"/>
        <v>0</v>
      </c>
      <c r="N33" s="349">
        <v>1</v>
      </c>
      <c r="O33" s="350">
        <f t="shared" si="8"/>
        <v>0</v>
      </c>
      <c r="P33" s="352"/>
      <c r="Q33" s="352"/>
      <c r="R33" s="352"/>
    </row>
    <row r="34" spans="1:18" s="354" customFormat="1" ht="25.5" customHeight="1">
      <c r="A34" s="346" t="s">
        <v>443</v>
      </c>
      <c r="B34" s="347" t="s">
        <v>378</v>
      </c>
      <c r="C34" s="348">
        <f>+'Bank Liabilities Analysis'!C33-'Bank Liabilities Analysis'!D33</f>
        <v>0</v>
      </c>
      <c r="D34" s="348">
        <f>+'Bank Liabilities Analysis'!E33-'Bank Liabilities Analysis'!F33</f>
        <v>0</v>
      </c>
      <c r="E34" s="348">
        <f>+'Bank Liabilities Analysis'!G33-'Bank Liabilities Analysis'!H33</f>
        <v>0</v>
      </c>
      <c r="F34" s="348">
        <f>+'Bank Liabilities Analysis'!I33-'Bank Liabilities Analysis'!J33</f>
        <v>0</v>
      </c>
      <c r="G34" s="348">
        <f>+'Bank Liabilities Analysis'!K33-'Bank Liabilities Analysis'!L33</f>
        <v>0</v>
      </c>
      <c r="H34" s="348">
        <f>+'Bank Liabilities Analysis'!M33-'Bank Liabilities Analysis'!N33</f>
        <v>0</v>
      </c>
      <c r="I34" s="348">
        <f>+'Bank Liabilities Analysis'!O33-'Bank Liabilities Analysis'!P33</f>
        <v>0</v>
      </c>
      <c r="J34" s="348">
        <f>+'Bank Liabilities Analysis'!Q33-'Bank Liabilities Analysis'!R33</f>
        <v>0</v>
      </c>
      <c r="K34" s="348">
        <f t="shared" si="1"/>
        <v>0</v>
      </c>
      <c r="L34" s="349">
        <v>1</v>
      </c>
      <c r="M34" s="350">
        <f t="shared" si="7"/>
        <v>0</v>
      </c>
      <c r="N34" s="349">
        <v>1</v>
      </c>
      <c r="O34" s="350">
        <f t="shared" si="8"/>
        <v>0</v>
      </c>
      <c r="P34" s="352"/>
      <c r="Q34" s="352"/>
      <c r="R34" s="352"/>
    </row>
    <row r="35" spans="1:18" s="354" customFormat="1" ht="25.5" customHeight="1">
      <c r="A35" s="346" t="s">
        <v>141</v>
      </c>
      <c r="B35" s="347" t="s">
        <v>181</v>
      </c>
      <c r="C35" s="348">
        <f>+'Bank Liabilities Analysis'!C34-'Bank Liabilities Analysis'!D34</f>
        <v>0</v>
      </c>
      <c r="D35" s="348">
        <f>+'Bank Liabilities Analysis'!E34-'Bank Liabilities Analysis'!F34</f>
        <v>0</v>
      </c>
      <c r="E35" s="348">
        <f>+'Bank Liabilities Analysis'!G34-'Bank Liabilities Analysis'!H34</f>
        <v>0</v>
      </c>
      <c r="F35" s="348">
        <f>+'Bank Liabilities Analysis'!I34-'Bank Liabilities Analysis'!J34</f>
        <v>0</v>
      </c>
      <c r="G35" s="348">
        <f>+'Bank Liabilities Analysis'!K34-'Bank Liabilities Analysis'!L34</f>
        <v>0</v>
      </c>
      <c r="H35" s="348">
        <f>+'Bank Liabilities Analysis'!M34-'Bank Liabilities Analysis'!N34</f>
        <v>0</v>
      </c>
      <c r="I35" s="348">
        <f>+'Bank Liabilities Analysis'!O34-'Bank Liabilities Analysis'!P34</f>
        <v>0</v>
      </c>
      <c r="J35" s="348">
        <f>+'Bank Liabilities Analysis'!Q34-'Bank Liabilities Analysis'!R34</f>
        <v>0</v>
      </c>
      <c r="K35" s="348">
        <f t="shared" si="1"/>
        <v>0</v>
      </c>
      <c r="L35" s="349">
        <v>1</v>
      </c>
      <c r="M35" s="350">
        <f t="shared" si="7"/>
        <v>0</v>
      </c>
      <c r="N35" s="349">
        <v>1</v>
      </c>
      <c r="O35" s="350">
        <f t="shared" si="8"/>
        <v>0</v>
      </c>
      <c r="P35" s="352"/>
      <c r="Q35" s="352"/>
      <c r="R35" s="352"/>
    </row>
    <row r="36" spans="1:18" s="354" customFormat="1" ht="33.75" customHeight="1">
      <c r="A36" s="346" t="s">
        <v>143</v>
      </c>
      <c r="B36" s="347" t="s">
        <v>183</v>
      </c>
      <c r="C36" s="348">
        <f>+'Bank Liabilities Analysis'!C35-'Bank Liabilities Analysis'!D35</f>
        <v>20924</v>
      </c>
      <c r="D36" s="348">
        <f>+'Bank Liabilities Analysis'!E35-'Bank Liabilities Analysis'!F35</f>
        <v>0</v>
      </c>
      <c r="E36" s="348">
        <f>+'Bank Liabilities Analysis'!G35-'Bank Liabilities Analysis'!H35</f>
        <v>0</v>
      </c>
      <c r="F36" s="348">
        <f>+'Bank Liabilities Analysis'!I35-'Bank Liabilities Analysis'!J35</f>
        <v>0</v>
      </c>
      <c r="G36" s="348">
        <f>+'Bank Liabilities Analysis'!K35-'Bank Liabilities Analysis'!L35</f>
        <v>0</v>
      </c>
      <c r="H36" s="348">
        <f>+'Bank Liabilities Analysis'!M35-'Bank Liabilities Analysis'!N35</f>
        <v>0</v>
      </c>
      <c r="I36" s="348">
        <f>+'Bank Liabilities Analysis'!O35-'Bank Liabilities Analysis'!P35</f>
        <v>0</v>
      </c>
      <c r="J36" s="348">
        <f>+'Bank Liabilities Analysis'!Q35-'Bank Liabilities Analysis'!R35</f>
        <v>0</v>
      </c>
      <c r="K36" s="348">
        <f t="shared" si="1"/>
        <v>20924</v>
      </c>
      <c r="L36" s="349">
        <v>1</v>
      </c>
      <c r="M36" s="350">
        <f t="shared" si="7"/>
        <v>20924</v>
      </c>
      <c r="N36" s="349">
        <v>1</v>
      </c>
      <c r="O36" s="350">
        <f>+K36*N36</f>
        <v>20924</v>
      </c>
      <c r="P36" s="352"/>
      <c r="Q36" s="352"/>
      <c r="R36" s="352"/>
    </row>
    <row r="37" spans="1:18" s="354" customFormat="1" ht="25.5" customHeight="1">
      <c r="A37" s="346" t="s">
        <v>184</v>
      </c>
      <c r="B37" s="347" t="s">
        <v>185</v>
      </c>
      <c r="C37" s="348">
        <f>+'Bank Liabilities Analysis'!C36-'Bank Liabilities Analysis'!D36</f>
        <v>497730</v>
      </c>
      <c r="D37" s="348">
        <f>+'Bank Liabilities Analysis'!E36-'Bank Liabilities Analysis'!F36</f>
        <v>0</v>
      </c>
      <c r="E37" s="348">
        <f>+'Bank Liabilities Analysis'!G36-'Bank Liabilities Analysis'!H36</f>
        <v>0</v>
      </c>
      <c r="F37" s="348">
        <f>+'Bank Liabilities Analysis'!I36-'Bank Liabilities Analysis'!J36</f>
        <v>0</v>
      </c>
      <c r="G37" s="348">
        <f>+'Bank Liabilities Analysis'!K36-'Bank Liabilities Analysis'!L36</f>
        <v>0</v>
      </c>
      <c r="H37" s="348">
        <f>+'Bank Liabilities Analysis'!M36-'Bank Liabilities Analysis'!N36</f>
        <v>0</v>
      </c>
      <c r="I37" s="348">
        <f>+'Bank Liabilities Analysis'!O36-'Bank Liabilities Analysis'!P36</f>
        <v>0</v>
      </c>
      <c r="J37" s="348">
        <f>+'Bank Liabilities Analysis'!Q36-'Bank Liabilities Analysis'!R36</f>
        <v>0</v>
      </c>
      <c r="K37" s="348">
        <f t="shared" si="1"/>
        <v>497730</v>
      </c>
      <c r="L37" s="349">
        <v>1</v>
      </c>
      <c r="M37" s="350">
        <f t="shared" si="7"/>
        <v>497730</v>
      </c>
      <c r="N37" s="349">
        <v>1</v>
      </c>
      <c r="O37" s="350">
        <f>+K37*N37</f>
        <v>497730</v>
      </c>
      <c r="P37" s="352"/>
      <c r="Q37" s="352"/>
      <c r="R37" s="352"/>
    </row>
    <row r="38" spans="1:18" s="354" customFormat="1" ht="25.5" customHeight="1">
      <c r="A38" s="346" t="s">
        <v>186</v>
      </c>
      <c r="B38" s="347" t="s">
        <v>161</v>
      </c>
      <c r="C38" s="348">
        <f>+'Bank Liabilities Analysis'!C37-'Bank Liabilities Analysis'!D37</f>
        <v>50677310</v>
      </c>
      <c r="D38" s="348">
        <f>+'Bank Liabilities Analysis'!E37-'Bank Liabilities Analysis'!F37</f>
        <v>0</v>
      </c>
      <c r="E38" s="348">
        <f>+'Bank Liabilities Analysis'!G37-'Bank Liabilities Analysis'!H37</f>
        <v>0</v>
      </c>
      <c r="F38" s="348">
        <f>+'Bank Liabilities Analysis'!I37-'Bank Liabilities Analysis'!J37</f>
        <v>0</v>
      </c>
      <c r="G38" s="348">
        <f>+'Bank Liabilities Analysis'!K37-'Bank Liabilities Analysis'!L37</f>
        <v>0</v>
      </c>
      <c r="H38" s="348">
        <f>+'Bank Liabilities Analysis'!M37-'Bank Liabilities Analysis'!N37</f>
        <v>0</v>
      </c>
      <c r="I38" s="348">
        <f>+'Bank Liabilities Analysis'!O37-'Bank Liabilities Analysis'!P37</f>
        <v>0</v>
      </c>
      <c r="J38" s="348">
        <f>+'Bank Liabilities Analysis'!Q37-'Bank Liabilities Analysis'!R37</f>
        <v>0</v>
      </c>
      <c r="K38" s="348">
        <f t="shared" si="1"/>
        <v>50677310</v>
      </c>
      <c r="L38" s="349">
        <v>1</v>
      </c>
      <c r="M38" s="350">
        <f t="shared" si="7"/>
        <v>50677310</v>
      </c>
      <c r="N38" s="349"/>
      <c r="O38" s="533">
        <f>C38+D38+E38+((F38+G38+H38+I38+J38)*15%)</f>
        <v>50677310</v>
      </c>
      <c r="P38" s="352"/>
      <c r="Q38" s="352"/>
      <c r="R38" s="352"/>
    </row>
    <row r="39" spans="1:18" s="354" customFormat="1" ht="25.5" customHeight="1">
      <c r="A39" s="346" t="s">
        <v>147</v>
      </c>
      <c r="B39" s="347" t="s">
        <v>187</v>
      </c>
      <c r="C39" s="348">
        <f>+'Bank Liabilities Analysis'!C38-'Bank Liabilities Analysis'!D38</f>
        <v>67965037</v>
      </c>
      <c r="D39" s="348">
        <f>+'Bank Liabilities Analysis'!E38-'Bank Liabilities Analysis'!F38</f>
        <v>0</v>
      </c>
      <c r="E39" s="348">
        <f>+'Bank Liabilities Analysis'!G38-'Bank Liabilities Analysis'!H38</f>
        <v>0</v>
      </c>
      <c r="F39" s="348">
        <f>+'Bank Liabilities Analysis'!I38-'Bank Liabilities Analysis'!J38</f>
        <v>0</v>
      </c>
      <c r="G39" s="348">
        <f>+'Bank Liabilities Analysis'!K38-'Bank Liabilities Analysis'!L38</f>
        <v>0</v>
      </c>
      <c r="H39" s="348">
        <f>+'Bank Liabilities Analysis'!M38-'Bank Liabilities Analysis'!N38</f>
        <v>0</v>
      </c>
      <c r="I39" s="348">
        <f>+'Bank Liabilities Analysis'!O38-'Bank Liabilities Analysis'!P38</f>
        <v>0</v>
      </c>
      <c r="J39" s="348">
        <f>+'Bank Liabilities Analysis'!Q38-'Bank Liabilities Analysis'!R38</f>
        <v>0</v>
      </c>
      <c r="K39" s="348">
        <f t="shared" si="1"/>
        <v>67965037</v>
      </c>
      <c r="L39" s="349">
        <v>0.3</v>
      </c>
      <c r="M39" s="350">
        <f t="shared" si="7"/>
        <v>20389511.099999998</v>
      </c>
      <c r="N39" s="349">
        <v>1</v>
      </c>
      <c r="O39" s="350">
        <f>+K39*N39</f>
        <v>67965037</v>
      </c>
      <c r="P39" s="352"/>
      <c r="Q39" s="352"/>
      <c r="R39" s="352"/>
    </row>
    <row r="40" spans="1:18" s="353" customFormat="1" ht="25.5" customHeight="1">
      <c r="A40" s="355" t="s">
        <v>149</v>
      </c>
      <c r="B40" s="356" t="s">
        <v>188</v>
      </c>
      <c r="C40" s="357">
        <f>+C23+C30+C31+C32+C33+C34+C35+C36+C37+C38+C39+C24+C25</f>
        <v>671723107</v>
      </c>
      <c r="D40" s="357">
        <f t="shared" ref="D40:K40" si="9">+D23+D30+D31+D32+D33+D34+D35+D36+D37+D38+D39+D24+D25</f>
        <v>128618373</v>
      </c>
      <c r="E40" s="357">
        <f t="shared" si="9"/>
        <v>185879681</v>
      </c>
      <c r="F40" s="357">
        <f t="shared" si="9"/>
        <v>351838407</v>
      </c>
      <c r="G40" s="357">
        <f t="shared" si="9"/>
        <v>327256581</v>
      </c>
      <c r="H40" s="357">
        <f t="shared" si="9"/>
        <v>635170093</v>
      </c>
      <c r="I40" s="357">
        <f t="shared" si="9"/>
        <v>340395996</v>
      </c>
      <c r="J40" s="357">
        <f t="shared" si="9"/>
        <v>2523069180</v>
      </c>
      <c r="K40" s="357">
        <f t="shared" si="9"/>
        <v>5163951418</v>
      </c>
      <c r="L40" s="357" t="s">
        <v>27</v>
      </c>
      <c r="M40" s="357">
        <f>SUM(M9:M39)</f>
        <v>527209650.70000005</v>
      </c>
      <c r="N40" s="357" t="s">
        <v>27</v>
      </c>
      <c r="O40" s="357">
        <f>SUM(O9:O39)</f>
        <v>742739877.10000002</v>
      </c>
      <c r="P40" s="360">
        <f>+Balance!D62</f>
        <v>5163951418</v>
      </c>
      <c r="Q40" s="352"/>
      <c r="R40" s="352"/>
    </row>
    <row r="41" spans="1:18" s="55" customFormat="1" ht="15.75">
      <c r="A41" s="223"/>
      <c r="B41" s="83" t="s">
        <v>337</v>
      </c>
      <c r="C41" s="34"/>
      <c r="D41" s="34"/>
      <c r="E41" s="34"/>
      <c r="F41" s="34"/>
      <c r="G41" s="34"/>
      <c r="H41" s="34"/>
      <c r="I41" s="34"/>
      <c r="J41" s="34"/>
      <c r="K41" s="34">
        <f t="shared" ref="K41:K56" si="10">+C41+D41+E41+F41+G41+H41+I41+J41</f>
        <v>0</v>
      </c>
      <c r="L41" s="28"/>
      <c r="M41" s="28"/>
      <c r="N41" s="28"/>
      <c r="O41" s="28"/>
      <c r="P41" s="358">
        <f>+Balance!C63</f>
        <v>0</v>
      </c>
      <c r="Q41" s="352"/>
      <c r="R41" s="352"/>
    </row>
    <row r="42" spans="1:18" s="55" customFormat="1" ht="15.75">
      <c r="A42" s="223"/>
      <c r="B42" s="40" t="s">
        <v>338</v>
      </c>
      <c r="C42" s="34">
        <f>+C43+C44</f>
        <v>0</v>
      </c>
      <c r="D42" s="34">
        <f t="shared" ref="D42:J42" si="11">+D43+D44</f>
        <v>0</v>
      </c>
      <c r="E42" s="34">
        <f t="shared" si="11"/>
        <v>0</v>
      </c>
      <c r="F42" s="34">
        <f t="shared" si="11"/>
        <v>31492</v>
      </c>
      <c r="G42" s="34">
        <f t="shared" si="11"/>
        <v>24978</v>
      </c>
      <c r="H42" s="34">
        <f t="shared" si="11"/>
        <v>2141532</v>
      </c>
      <c r="I42" s="34">
        <f t="shared" si="11"/>
        <v>8007273</v>
      </c>
      <c r="J42" s="34">
        <f t="shared" si="11"/>
        <v>148343207</v>
      </c>
      <c r="K42" s="34">
        <f t="shared" si="10"/>
        <v>158548482</v>
      </c>
      <c r="L42" s="34"/>
      <c r="M42" s="34"/>
      <c r="N42" s="34"/>
      <c r="O42" s="34"/>
      <c r="P42" s="358"/>
      <c r="Q42" s="352"/>
      <c r="R42" s="352"/>
    </row>
    <row r="43" spans="1:18" s="55" customFormat="1" ht="15.75" customHeight="1">
      <c r="A43" s="223"/>
      <c r="B43" s="41" t="s">
        <v>293</v>
      </c>
      <c r="C43" s="34">
        <f>+'Bank Liabilities Analysis'!C42-'Bank Liabilities Analysis'!D42</f>
        <v>0</v>
      </c>
      <c r="D43" s="34">
        <f>+'Bank Liabilities Analysis'!E42-'Bank Liabilities Analysis'!F42</f>
        <v>0</v>
      </c>
      <c r="E43" s="34">
        <f>+'Bank Liabilities Analysis'!G42-'Bank Liabilities Analysis'!H42</f>
        <v>0</v>
      </c>
      <c r="F43" s="34">
        <f>+'Bank Liabilities Analysis'!I42-'Bank Liabilities Analysis'!J42</f>
        <v>31492</v>
      </c>
      <c r="G43" s="34">
        <f>+'Bank Liabilities Analysis'!K42-'Bank Liabilities Analysis'!L42</f>
        <v>24978</v>
      </c>
      <c r="H43" s="34">
        <f>+'Bank Liabilities Analysis'!M42-'Bank Liabilities Analysis'!N42</f>
        <v>2141532</v>
      </c>
      <c r="I43" s="34">
        <f>+'Bank Liabilities Analysis'!O42-'Bank Liabilities Analysis'!P42</f>
        <v>8007273</v>
      </c>
      <c r="J43" s="34">
        <f>+'Bank Liabilities Analysis'!Q42-'Bank Liabilities Analysis'!R42</f>
        <v>148343207</v>
      </c>
      <c r="K43" s="34">
        <f t="shared" si="10"/>
        <v>158548482</v>
      </c>
      <c r="L43" s="28"/>
      <c r="M43" s="28"/>
      <c r="N43" s="28"/>
      <c r="O43" s="28"/>
      <c r="P43" s="358"/>
      <c r="Q43" s="352"/>
      <c r="R43" s="352"/>
    </row>
    <row r="44" spans="1:18" s="55" customFormat="1" ht="15.75" customHeight="1">
      <c r="A44" s="223"/>
      <c r="B44" s="41" t="s">
        <v>339</v>
      </c>
      <c r="C44" s="34">
        <f>+'Bank Liabilities Analysis'!C43-'Bank Liabilities Analysis'!D43</f>
        <v>0</v>
      </c>
      <c r="D44" s="34">
        <f>+'Bank Liabilities Analysis'!E43-'Bank Liabilities Analysis'!F43</f>
        <v>0</v>
      </c>
      <c r="E44" s="34">
        <f>+'Bank Liabilities Analysis'!G43-'Bank Liabilities Analysis'!H43</f>
        <v>0</v>
      </c>
      <c r="F44" s="34">
        <f>+'Bank Liabilities Analysis'!I43-'Bank Liabilities Analysis'!J43</f>
        <v>0</v>
      </c>
      <c r="G44" s="34">
        <f>+'Bank Liabilities Analysis'!K43-'Bank Liabilities Analysis'!L43</f>
        <v>0</v>
      </c>
      <c r="H44" s="34">
        <f>+'Bank Liabilities Analysis'!M43-'Bank Liabilities Analysis'!N43</f>
        <v>0</v>
      </c>
      <c r="I44" s="34">
        <f>+'Bank Liabilities Analysis'!O43-'Bank Liabilities Analysis'!P43</f>
        <v>0</v>
      </c>
      <c r="J44" s="34">
        <f>+'Bank Liabilities Analysis'!Q43-'Bank Liabilities Analysis'!R43</f>
        <v>0</v>
      </c>
      <c r="K44" s="34">
        <f t="shared" si="10"/>
        <v>0</v>
      </c>
      <c r="L44" s="28"/>
      <c r="M44" s="28"/>
      <c r="N44" s="28"/>
      <c r="O44" s="28"/>
      <c r="P44" s="358"/>
      <c r="Q44" s="352"/>
      <c r="R44" s="352"/>
    </row>
    <row r="45" spans="1:18" s="55" customFormat="1" ht="15.75" customHeight="1">
      <c r="A45" s="223"/>
      <c r="B45" s="40" t="s">
        <v>340</v>
      </c>
      <c r="C45" s="34">
        <f>+C46+C47</f>
        <v>0</v>
      </c>
      <c r="D45" s="34">
        <f t="shared" ref="D45:J45" si="12">+D46+D47</f>
        <v>0</v>
      </c>
      <c r="E45" s="34">
        <f t="shared" si="12"/>
        <v>5090682</v>
      </c>
      <c r="F45" s="34">
        <f t="shared" si="12"/>
        <v>12302436</v>
      </c>
      <c r="G45" s="34">
        <f t="shared" si="12"/>
        <v>54878124</v>
      </c>
      <c r="H45" s="34">
        <f t="shared" si="12"/>
        <v>86520558</v>
      </c>
      <c r="I45" s="34">
        <f t="shared" si="12"/>
        <v>95001516</v>
      </c>
      <c r="J45" s="34">
        <f t="shared" si="12"/>
        <v>46116095</v>
      </c>
      <c r="K45" s="34">
        <f t="shared" si="10"/>
        <v>299909411</v>
      </c>
      <c r="L45" s="34"/>
      <c r="M45" s="34"/>
      <c r="N45" s="34"/>
      <c r="O45" s="34"/>
      <c r="P45" s="358"/>
      <c r="Q45" s="352"/>
      <c r="R45" s="352"/>
    </row>
    <row r="46" spans="1:18" s="55" customFormat="1" ht="15.75" customHeight="1">
      <c r="A46" s="223"/>
      <c r="B46" s="41" t="s">
        <v>293</v>
      </c>
      <c r="C46" s="34">
        <f>+'Bank Liabilities Analysis'!C45-'Bank Liabilities Analysis'!D45</f>
        <v>0</v>
      </c>
      <c r="D46" s="34">
        <f>+'Bank Liabilities Analysis'!E45-'Bank Liabilities Analysis'!F45</f>
        <v>0</v>
      </c>
      <c r="E46" s="34">
        <f>+'Bank Liabilities Analysis'!G45-'Bank Liabilities Analysis'!H45</f>
        <v>5090682</v>
      </c>
      <c r="F46" s="34">
        <f>+'Bank Liabilities Analysis'!I45-'Bank Liabilities Analysis'!J45</f>
        <v>12302436</v>
      </c>
      <c r="G46" s="34">
        <f>+'Bank Liabilities Analysis'!K45-'Bank Liabilities Analysis'!L45</f>
        <v>19937138</v>
      </c>
      <c r="H46" s="34">
        <f>+'Bank Liabilities Analysis'!M45-'Bank Liabilities Analysis'!N45</f>
        <v>41120558</v>
      </c>
      <c r="I46" s="34">
        <f>+'Bank Liabilities Analysis'!O45-'Bank Liabilities Analysis'!P45</f>
        <v>59801516</v>
      </c>
      <c r="J46" s="34">
        <f>+'Bank Liabilities Analysis'!Q45-'Bank Liabilities Analysis'!R45</f>
        <v>31116095</v>
      </c>
      <c r="K46" s="34">
        <f t="shared" si="10"/>
        <v>169368425</v>
      </c>
      <c r="L46" s="28"/>
      <c r="M46" s="28"/>
      <c r="N46" s="28"/>
      <c r="O46" s="28"/>
      <c r="P46" s="358"/>
      <c r="Q46" s="352"/>
      <c r="R46" s="352"/>
    </row>
    <row r="47" spans="1:18" s="55" customFormat="1" ht="15.75" customHeight="1">
      <c r="A47" s="226"/>
      <c r="B47" s="41" t="s">
        <v>339</v>
      </c>
      <c r="C47" s="34">
        <f>+'Bank Liabilities Analysis'!C46-'Bank Liabilities Analysis'!D46</f>
        <v>0</v>
      </c>
      <c r="D47" s="34">
        <f>+'Bank Liabilities Analysis'!E46-'Bank Liabilities Analysis'!F46</f>
        <v>0</v>
      </c>
      <c r="E47" s="34">
        <f>+'Bank Liabilities Analysis'!G46-'Bank Liabilities Analysis'!H46</f>
        <v>0</v>
      </c>
      <c r="F47" s="34">
        <f>+'Bank Liabilities Analysis'!I46-'Bank Liabilities Analysis'!J46</f>
        <v>0</v>
      </c>
      <c r="G47" s="34">
        <f>+'Bank Liabilities Analysis'!K46-'Bank Liabilities Analysis'!L46</f>
        <v>34940986</v>
      </c>
      <c r="H47" s="34">
        <f>+'Bank Liabilities Analysis'!M46-'Bank Liabilities Analysis'!N46</f>
        <v>45400000</v>
      </c>
      <c r="I47" s="34">
        <f>+'Bank Liabilities Analysis'!O46-'Bank Liabilities Analysis'!P46</f>
        <v>35200000</v>
      </c>
      <c r="J47" s="34">
        <f>+'Bank Liabilities Analysis'!Q46-'Bank Liabilities Analysis'!R46</f>
        <v>15000000</v>
      </c>
      <c r="K47" s="34">
        <f t="shared" si="10"/>
        <v>130540986</v>
      </c>
      <c r="L47" s="28"/>
      <c r="M47" s="28"/>
      <c r="N47" s="28"/>
      <c r="O47" s="28"/>
      <c r="P47" s="358"/>
      <c r="Q47" s="352"/>
      <c r="R47" s="352"/>
    </row>
    <row r="48" spans="1:18" s="55" customFormat="1" ht="15.75">
      <c r="A48" s="226"/>
      <c r="B48" s="40" t="s">
        <v>341</v>
      </c>
      <c r="C48" s="34">
        <f>+C49+C50</f>
        <v>0</v>
      </c>
      <c r="D48" s="34">
        <f t="shared" ref="D48:J48" si="13">+D49+D50</f>
        <v>0</v>
      </c>
      <c r="E48" s="34">
        <f t="shared" si="13"/>
        <v>0</v>
      </c>
      <c r="F48" s="34">
        <f t="shared" si="13"/>
        <v>0</v>
      </c>
      <c r="G48" s="34">
        <f t="shared" si="13"/>
        <v>34940985.847000003</v>
      </c>
      <c r="H48" s="34">
        <f t="shared" si="13"/>
        <v>0</v>
      </c>
      <c r="I48" s="34">
        <f t="shared" si="13"/>
        <v>121704917</v>
      </c>
      <c r="J48" s="34">
        <f t="shared" si="13"/>
        <v>1245027391</v>
      </c>
      <c r="K48" s="34">
        <f t="shared" si="10"/>
        <v>1401673293.8470001</v>
      </c>
      <c r="L48" s="34"/>
      <c r="M48" s="34"/>
      <c r="N48" s="34"/>
      <c r="O48" s="34"/>
      <c r="P48" s="358"/>
      <c r="Q48" s="352"/>
      <c r="R48" s="352"/>
    </row>
    <row r="49" spans="1:18" s="55" customFormat="1" ht="15.75" customHeight="1">
      <c r="A49" s="226"/>
      <c r="B49" s="41" t="s">
        <v>293</v>
      </c>
      <c r="C49" s="34">
        <f>+'Bank Liabilities Analysis'!C48-'Bank Liabilities Analysis'!D48</f>
        <v>0</v>
      </c>
      <c r="D49" s="34">
        <f>+'Bank Liabilities Analysis'!E48-'Bank Liabilities Analysis'!F48</f>
        <v>0</v>
      </c>
      <c r="E49" s="34">
        <f>+'Bank Liabilities Analysis'!G48-'Bank Liabilities Analysis'!H48</f>
        <v>0</v>
      </c>
      <c r="F49" s="34">
        <f>+'Bank Liabilities Analysis'!I48-'Bank Liabilities Analysis'!J48</f>
        <v>0</v>
      </c>
      <c r="G49" s="34">
        <f>+'Bank Liabilities Analysis'!K48-'Bank Liabilities Analysis'!L48</f>
        <v>0</v>
      </c>
      <c r="H49" s="34">
        <f>+'Bank Liabilities Analysis'!M48-'Bank Liabilities Analysis'!N48</f>
        <v>0</v>
      </c>
      <c r="I49" s="34">
        <f>+'Bank Liabilities Analysis'!O48-'Bank Liabilities Analysis'!P48</f>
        <v>121704917</v>
      </c>
      <c r="J49" s="34">
        <f>+'Bank Liabilities Analysis'!Q48-'Bank Liabilities Analysis'!R48</f>
        <v>1245027391</v>
      </c>
      <c r="K49" s="34">
        <f t="shared" si="10"/>
        <v>1366732308</v>
      </c>
      <c r="L49" s="28"/>
      <c r="M49" s="28"/>
      <c r="N49" s="28"/>
      <c r="O49" s="28"/>
      <c r="P49" s="358"/>
      <c r="Q49" s="352"/>
      <c r="R49" s="352"/>
    </row>
    <row r="50" spans="1:18" s="55" customFormat="1" ht="15.75" customHeight="1">
      <c r="A50" s="226"/>
      <c r="B50" s="41" t="s">
        <v>339</v>
      </c>
      <c r="C50" s="34">
        <f>+'Bank Liabilities Analysis'!C49-'Bank Liabilities Analysis'!D49</f>
        <v>0</v>
      </c>
      <c r="D50" s="34">
        <f>+'Bank Liabilities Analysis'!E49-'Bank Liabilities Analysis'!F49</f>
        <v>0</v>
      </c>
      <c r="E50" s="34">
        <f>+'Bank Liabilities Analysis'!G49-'Bank Liabilities Analysis'!H49</f>
        <v>0</v>
      </c>
      <c r="F50" s="34">
        <f>+'Bank Liabilities Analysis'!I49-'Bank Liabilities Analysis'!J49</f>
        <v>0</v>
      </c>
      <c r="G50" s="34">
        <f>+'Bank Liabilities Analysis'!K49-'Bank Liabilities Analysis'!L49</f>
        <v>34940985.847000003</v>
      </c>
      <c r="H50" s="34">
        <f>+'Bank Liabilities Analysis'!M49-'Bank Liabilities Analysis'!N49</f>
        <v>0</v>
      </c>
      <c r="I50" s="34">
        <f>+'Bank Liabilities Analysis'!O49-'Bank Liabilities Analysis'!P49</f>
        <v>0</v>
      </c>
      <c r="J50" s="34">
        <f>+'Bank Liabilities Analysis'!Q49-'Bank Liabilities Analysis'!R49</f>
        <v>0</v>
      </c>
      <c r="K50" s="34">
        <f t="shared" si="10"/>
        <v>34940985.847000003</v>
      </c>
      <c r="L50" s="28"/>
      <c r="M50" s="28"/>
      <c r="N50" s="28"/>
      <c r="O50" s="28"/>
      <c r="P50" s="358"/>
      <c r="Q50" s="352"/>
      <c r="R50" s="352"/>
    </row>
    <row r="51" spans="1:18" s="55" customFormat="1" ht="15.75" customHeight="1">
      <c r="A51" s="226"/>
      <c r="B51" s="40" t="s">
        <v>342</v>
      </c>
      <c r="C51" s="34">
        <f>+C52+C53</f>
        <v>0</v>
      </c>
      <c r="D51" s="34">
        <f t="shared" ref="D51:J51" si="14">+D52+D53</f>
        <v>0</v>
      </c>
      <c r="E51" s="34">
        <f t="shared" si="14"/>
        <v>0</v>
      </c>
      <c r="F51" s="34">
        <f t="shared" si="14"/>
        <v>0</v>
      </c>
      <c r="G51" s="34">
        <f t="shared" si="14"/>
        <v>0</v>
      </c>
      <c r="H51" s="34">
        <f t="shared" si="14"/>
        <v>0</v>
      </c>
      <c r="I51" s="34">
        <f t="shared" si="14"/>
        <v>0</v>
      </c>
      <c r="J51" s="34">
        <f t="shared" si="14"/>
        <v>0</v>
      </c>
      <c r="K51" s="34">
        <f t="shared" si="10"/>
        <v>0</v>
      </c>
      <c r="L51" s="34"/>
      <c r="M51" s="34"/>
      <c r="N51" s="34"/>
      <c r="O51" s="34"/>
      <c r="P51" s="358"/>
      <c r="Q51" s="352"/>
      <c r="R51" s="352"/>
    </row>
    <row r="52" spans="1:18" s="55" customFormat="1" ht="15.75" customHeight="1">
      <c r="A52" s="226"/>
      <c r="B52" s="41" t="s">
        <v>293</v>
      </c>
      <c r="C52" s="34">
        <f>+'Bank Liabilities Analysis'!C51-'Bank Liabilities Analysis'!D51</f>
        <v>0</v>
      </c>
      <c r="D52" s="34">
        <f>+'Bank Liabilities Analysis'!E51-'Bank Liabilities Analysis'!F51</f>
        <v>0</v>
      </c>
      <c r="E52" s="34">
        <f>+'Bank Liabilities Analysis'!G51-'Bank Liabilities Analysis'!H51</f>
        <v>0</v>
      </c>
      <c r="F52" s="34">
        <f>+'Bank Liabilities Analysis'!I51-'Bank Liabilities Analysis'!J51</f>
        <v>0</v>
      </c>
      <c r="G52" s="34">
        <f>+'Bank Liabilities Analysis'!K51-'Bank Liabilities Analysis'!L51</f>
        <v>0</v>
      </c>
      <c r="H52" s="34">
        <f>+'Bank Liabilities Analysis'!M51-'Bank Liabilities Analysis'!N51</f>
        <v>0</v>
      </c>
      <c r="I52" s="34">
        <f>+'Bank Liabilities Analysis'!O51-'Bank Liabilities Analysis'!P51</f>
        <v>0</v>
      </c>
      <c r="J52" s="34">
        <f>+'Bank Liabilities Analysis'!Q51-'Bank Liabilities Analysis'!R51</f>
        <v>0</v>
      </c>
      <c r="K52" s="34">
        <f t="shared" si="10"/>
        <v>0</v>
      </c>
      <c r="L52" s="28"/>
      <c r="M52" s="28"/>
      <c r="N52" s="28"/>
      <c r="O52" s="28"/>
      <c r="P52" s="358"/>
      <c r="Q52" s="352"/>
      <c r="R52" s="352"/>
    </row>
    <row r="53" spans="1:18" s="55" customFormat="1" ht="15.75" customHeight="1">
      <c r="A53" s="226"/>
      <c r="B53" s="41" t="s">
        <v>339</v>
      </c>
      <c r="C53" s="34">
        <f>+'Bank Liabilities Analysis'!C52-'Bank Liabilities Analysis'!D52</f>
        <v>0</v>
      </c>
      <c r="D53" s="34">
        <f>+'Bank Liabilities Analysis'!E52-'Bank Liabilities Analysis'!F52</f>
        <v>0</v>
      </c>
      <c r="E53" s="34">
        <f>+'Bank Liabilities Analysis'!G52-'Bank Liabilities Analysis'!H52</f>
        <v>0</v>
      </c>
      <c r="F53" s="34">
        <f>+'Bank Liabilities Analysis'!I52-'Bank Liabilities Analysis'!J52</f>
        <v>0</v>
      </c>
      <c r="G53" s="34">
        <f>+'Bank Liabilities Analysis'!K52-'Bank Liabilities Analysis'!L52</f>
        <v>0</v>
      </c>
      <c r="H53" s="34">
        <f>+'Bank Liabilities Analysis'!M52-'Bank Liabilities Analysis'!N52</f>
        <v>0</v>
      </c>
      <c r="I53" s="34">
        <f>+'Bank Liabilities Analysis'!O52-'Bank Liabilities Analysis'!P52</f>
        <v>0</v>
      </c>
      <c r="J53" s="34">
        <f>+'Bank Liabilities Analysis'!Q52-'Bank Liabilities Analysis'!R52</f>
        <v>0</v>
      </c>
      <c r="K53" s="34">
        <f t="shared" si="10"/>
        <v>0</v>
      </c>
      <c r="L53" s="28"/>
      <c r="M53" s="28"/>
      <c r="N53" s="28"/>
      <c r="O53" s="28"/>
      <c r="P53" s="358"/>
      <c r="Q53" s="352"/>
      <c r="R53" s="352"/>
    </row>
    <row r="54" spans="1:18" s="55" customFormat="1" ht="15.75" customHeight="1">
      <c r="A54" s="226"/>
      <c r="B54" s="40" t="s">
        <v>343</v>
      </c>
      <c r="C54" s="34">
        <f>+C55+C56</f>
        <v>0</v>
      </c>
      <c r="D54" s="34">
        <f t="shared" ref="D54:J54" si="15">+D55+D56</f>
        <v>0</v>
      </c>
      <c r="E54" s="34">
        <f t="shared" si="15"/>
        <v>0</v>
      </c>
      <c r="F54" s="34">
        <f t="shared" si="15"/>
        <v>0</v>
      </c>
      <c r="G54" s="34">
        <f t="shared" si="15"/>
        <v>0</v>
      </c>
      <c r="H54" s="34">
        <f t="shared" si="15"/>
        <v>0</v>
      </c>
      <c r="I54" s="34">
        <f t="shared" si="15"/>
        <v>0</v>
      </c>
      <c r="J54" s="34">
        <f t="shared" si="15"/>
        <v>0</v>
      </c>
      <c r="K54" s="34">
        <f t="shared" si="10"/>
        <v>0</v>
      </c>
      <c r="L54" s="34"/>
      <c r="M54" s="34"/>
      <c r="N54" s="34"/>
      <c r="O54" s="34"/>
      <c r="P54" s="358"/>
      <c r="Q54" s="352"/>
      <c r="R54" s="352"/>
    </row>
    <row r="55" spans="1:18" s="55" customFormat="1" ht="15.75" customHeight="1">
      <c r="A55" s="226"/>
      <c r="B55" s="41" t="s">
        <v>293</v>
      </c>
      <c r="C55" s="34">
        <f>+'Bank Liabilities Analysis'!C54-'Bank Liabilities Analysis'!D54</f>
        <v>0</v>
      </c>
      <c r="D55" s="34">
        <f>+'Bank Liabilities Analysis'!E54-'Bank Liabilities Analysis'!F54</f>
        <v>0</v>
      </c>
      <c r="E55" s="34">
        <f>+'Bank Liabilities Analysis'!G54-'Bank Liabilities Analysis'!H54</f>
        <v>0</v>
      </c>
      <c r="F55" s="34">
        <f>+'Bank Liabilities Analysis'!I54-'Bank Liabilities Analysis'!J54</f>
        <v>0</v>
      </c>
      <c r="G55" s="34">
        <f>+'Bank Liabilities Analysis'!K54-'Bank Liabilities Analysis'!L54</f>
        <v>0</v>
      </c>
      <c r="H55" s="34">
        <f>+'Bank Liabilities Analysis'!M54-'Bank Liabilities Analysis'!N54</f>
        <v>0</v>
      </c>
      <c r="I55" s="34">
        <f>+'Bank Liabilities Analysis'!O54-'Bank Liabilities Analysis'!P54</f>
        <v>0</v>
      </c>
      <c r="J55" s="34">
        <f>+'Bank Liabilities Analysis'!Q54-'Bank Liabilities Analysis'!R54</f>
        <v>0</v>
      </c>
      <c r="K55" s="34">
        <f t="shared" si="10"/>
        <v>0</v>
      </c>
      <c r="L55" s="28"/>
      <c r="M55" s="28"/>
      <c r="N55" s="28"/>
      <c r="O55" s="28"/>
      <c r="P55" s="358"/>
      <c r="Q55" s="352"/>
      <c r="R55" s="352"/>
    </row>
    <row r="56" spans="1:18" s="55" customFormat="1" ht="15.75" customHeight="1">
      <c r="A56" s="226"/>
      <c r="B56" s="41" t="s">
        <v>339</v>
      </c>
      <c r="C56" s="34">
        <f>+'Bank Liabilities Analysis'!C55-'Bank Liabilities Analysis'!D55</f>
        <v>0</v>
      </c>
      <c r="D56" s="34">
        <f>+'Bank Liabilities Analysis'!E55-'Bank Liabilities Analysis'!F55</f>
        <v>0</v>
      </c>
      <c r="E56" s="34">
        <f>+'Bank Liabilities Analysis'!G55-'Bank Liabilities Analysis'!H55</f>
        <v>0</v>
      </c>
      <c r="F56" s="34">
        <f>+'Bank Liabilities Analysis'!I55-'Bank Liabilities Analysis'!J55</f>
        <v>0</v>
      </c>
      <c r="G56" s="34">
        <f>+'Bank Liabilities Analysis'!K55-'Bank Liabilities Analysis'!L55</f>
        <v>0</v>
      </c>
      <c r="H56" s="34">
        <f>+'Bank Liabilities Analysis'!M55-'Bank Liabilities Analysis'!N55</f>
        <v>0</v>
      </c>
      <c r="I56" s="34">
        <f>+'Bank Liabilities Analysis'!O55-'Bank Liabilities Analysis'!P55</f>
        <v>0</v>
      </c>
      <c r="J56" s="34">
        <f>+'Bank Liabilities Analysis'!Q55-'Bank Liabilities Analysis'!R55</f>
        <v>0</v>
      </c>
      <c r="K56" s="34">
        <f t="shared" si="10"/>
        <v>0</v>
      </c>
      <c r="L56" s="28"/>
      <c r="M56" s="28"/>
      <c r="N56" s="28"/>
      <c r="O56" s="28"/>
      <c r="P56" s="358"/>
      <c r="Q56" s="352"/>
      <c r="R56" s="352"/>
    </row>
    <row r="57" spans="1:18" ht="15.75">
      <c r="P57" s="358"/>
      <c r="Q57" s="352"/>
      <c r="R57" s="352"/>
    </row>
    <row r="58" spans="1:18" ht="15.75">
      <c r="B58" s="7" t="s">
        <v>4</v>
      </c>
      <c r="Q58" s="352"/>
      <c r="R58" s="352"/>
    </row>
    <row r="59" spans="1:18" ht="15.75">
      <c r="Q59" s="352"/>
      <c r="R59" s="352"/>
    </row>
    <row r="60" spans="1:18" ht="15.75">
      <c r="B60" s="7" t="s">
        <v>5</v>
      </c>
      <c r="Q60" s="352"/>
      <c r="R60" s="352"/>
    </row>
  </sheetData>
  <sheetProtection password="CACA" sheet="1" objects="1" scenarios="1"/>
  <mergeCells count="15">
    <mergeCell ref="N2:O2"/>
    <mergeCell ref="A4:A6"/>
    <mergeCell ref="B4:B6"/>
    <mergeCell ref="C4:J4"/>
    <mergeCell ref="K4:K6"/>
    <mergeCell ref="N4:O5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3" priority="49" operator="notEqual">
      <formula>$P$40</formula>
    </cfRule>
  </conditionalFormatting>
  <conditionalFormatting sqref="L42:L56">
    <cfRule type="cellIs" dxfId="12" priority="15" operator="greaterThan">
      <formula>K42</formula>
    </cfRule>
  </conditionalFormatting>
  <conditionalFormatting sqref="L42:L56">
    <cfRule type="cellIs" dxfId="11" priority="7" operator="greaterThan">
      <formula>K42</formula>
    </cfRule>
  </conditionalFormatting>
  <conditionalFormatting sqref="N42:O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>
      <formula1>0</formula1>
    </dataValidation>
    <dataValidation type="whole" operator="notEqual" allowBlank="1" showErrorMessage="1" error="Введите как целое число." sqref="C10:J14 C17:J22 C41:J56 C24:J39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E30"/>
  <sheetViews>
    <sheetView view="pageBreakPreview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8" sqref="B8"/>
    </sheetView>
  </sheetViews>
  <sheetFormatPr defaultRowHeight="12.75"/>
  <cols>
    <col min="1" max="1" width="5.85546875" style="68" customWidth="1"/>
    <col min="2" max="2" width="88.28515625" style="59" customWidth="1"/>
    <col min="3" max="4" width="17.7109375" style="59" customWidth="1"/>
    <col min="5" max="5" width="18.5703125" style="59" customWidth="1"/>
    <col min="6" max="6" width="6.42578125" style="59" customWidth="1"/>
    <col min="7" max="16384" width="9.140625" style="59"/>
  </cols>
  <sheetData>
    <row r="1" spans="1:5" s="58" customFormat="1" ht="32.25" customHeight="1">
      <c r="A1" s="600" t="s">
        <v>189</v>
      </c>
      <c r="B1" s="600"/>
      <c r="C1" s="600"/>
      <c r="D1" s="600"/>
      <c r="E1" s="57" t="s">
        <v>316</v>
      </c>
    </row>
    <row r="2" spans="1:5" ht="15.75">
      <c r="A2" s="57"/>
      <c r="B2" s="56" t="str">
        <f>Balance!B3</f>
        <v>АКБ"Микрокредитбанк"</v>
      </c>
      <c r="C2" s="601" t="str">
        <f>+Balance!B2</f>
        <v xml:space="preserve"> 31 Декабрь, 2020</v>
      </c>
      <c r="D2" s="601"/>
      <c r="E2" s="220" t="str">
        <f>+Balance!E3</f>
        <v>тыс. сум</v>
      </c>
    </row>
    <row r="3" spans="1:5" s="58" customFormat="1" ht="53.25" customHeight="1">
      <c r="A3" s="276" t="s">
        <v>79</v>
      </c>
      <c r="B3" s="276" t="s">
        <v>6</v>
      </c>
      <c r="C3" s="276" t="s">
        <v>236</v>
      </c>
      <c r="D3" s="276" t="s">
        <v>237</v>
      </c>
      <c r="E3" s="276" t="s">
        <v>238</v>
      </c>
    </row>
    <row r="4" spans="1:5" s="58" customFormat="1" ht="22.5" customHeight="1">
      <c r="A4" s="273" t="s">
        <v>239</v>
      </c>
      <c r="B4" s="71" t="s">
        <v>455</v>
      </c>
      <c r="C4" s="274">
        <f>+D4+E4</f>
        <v>879166551</v>
      </c>
      <c r="D4" s="275">
        <v>323540070</v>
      </c>
      <c r="E4" s="275">
        <v>555626481</v>
      </c>
    </row>
    <row r="5" spans="1:5" s="418" customFormat="1" ht="22.5" customHeight="1">
      <c r="A5" s="91" t="s">
        <v>454</v>
      </c>
      <c r="B5" s="416" t="s">
        <v>457</v>
      </c>
      <c r="C5" s="415">
        <f>+D5+E5</f>
        <v>0</v>
      </c>
      <c r="D5" s="417">
        <v>0</v>
      </c>
      <c r="E5" s="417">
        <v>0</v>
      </c>
    </row>
    <row r="6" spans="1:5" s="418" customFormat="1" ht="14.25" customHeight="1">
      <c r="A6" s="91"/>
      <c r="B6" s="419"/>
      <c r="C6" s="34"/>
      <c r="D6" s="34"/>
      <c r="E6" s="34"/>
    </row>
    <row r="7" spans="1:5" s="418" customFormat="1" ht="22.5" customHeight="1">
      <c r="A7" s="420" t="s">
        <v>240</v>
      </c>
      <c r="B7" s="416" t="s">
        <v>303</v>
      </c>
      <c r="C7" s="274">
        <f>+D7+E7</f>
        <v>120707714</v>
      </c>
      <c r="D7" s="421">
        <v>17868142</v>
      </c>
      <c r="E7" s="421">
        <v>102839572</v>
      </c>
    </row>
    <row r="8" spans="1:5" s="418" customFormat="1" ht="22.5" customHeight="1">
      <c r="A8" s="91" t="s">
        <v>352</v>
      </c>
      <c r="B8" s="416" t="s">
        <v>456</v>
      </c>
      <c r="C8" s="415">
        <f>+D8+E8</f>
        <v>0</v>
      </c>
      <c r="D8" s="421">
        <v>0</v>
      </c>
      <c r="E8" s="421">
        <v>0</v>
      </c>
    </row>
    <row r="9" spans="1:5" s="58" customFormat="1" ht="14.25" customHeight="1">
      <c r="A9" s="62"/>
      <c r="B9" s="61"/>
      <c r="C9" s="33"/>
      <c r="D9" s="33"/>
      <c r="E9" s="33"/>
    </row>
    <row r="10" spans="1:5" s="58" customFormat="1" ht="29.25" customHeight="1">
      <c r="A10" s="70" t="s">
        <v>253</v>
      </c>
      <c r="B10" s="71" t="s">
        <v>304</v>
      </c>
      <c r="C10" s="274">
        <f>+D10+E10</f>
        <v>5891080</v>
      </c>
      <c r="D10" s="72">
        <f>SUM(D11:D14)</f>
        <v>0</v>
      </c>
      <c r="E10" s="72">
        <f>SUM(E11:E14)</f>
        <v>5891080</v>
      </c>
    </row>
    <row r="11" spans="1:5" s="58" customFormat="1" ht="22.5" customHeight="1">
      <c r="A11" s="62" t="s">
        <v>294</v>
      </c>
      <c r="B11" s="63" t="s">
        <v>305</v>
      </c>
      <c r="C11" s="33">
        <f t="shared" ref="C11:C14" si="0">+D11+E11</f>
        <v>5891080</v>
      </c>
      <c r="D11" s="36">
        <v>0</v>
      </c>
      <c r="E11" s="36">
        <v>5891080</v>
      </c>
    </row>
    <row r="12" spans="1:5" s="58" customFormat="1" ht="22.5" customHeight="1">
      <c r="A12" s="62" t="s">
        <v>295</v>
      </c>
      <c r="B12" s="63" t="s">
        <v>306</v>
      </c>
      <c r="C12" s="33">
        <f t="shared" si="0"/>
        <v>0</v>
      </c>
      <c r="D12" s="561">
        <v>0</v>
      </c>
      <c r="E12" s="561">
        <v>0</v>
      </c>
    </row>
    <row r="13" spans="1:5" s="58" customFormat="1" ht="22.5" customHeight="1">
      <c r="A13" s="62" t="s">
        <v>296</v>
      </c>
      <c r="B13" s="63" t="s">
        <v>307</v>
      </c>
      <c r="C13" s="33">
        <f t="shared" si="0"/>
        <v>0</v>
      </c>
      <c r="D13" s="561">
        <v>0</v>
      </c>
      <c r="E13" s="561">
        <v>0</v>
      </c>
    </row>
    <row r="14" spans="1:5" s="58" customFormat="1" ht="22.5" customHeight="1">
      <c r="A14" s="62" t="s">
        <v>297</v>
      </c>
      <c r="B14" s="63" t="s">
        <v>252</v>
      </c>
      <c r="C14" s="33">
        <f t="shared" si="0"/>
        <v>0</v>
      </c>
      <c r="D14" s="36">
        <v>0</v>
      </c>
      <c r="E14" s="36">
        <v>0</v>
      </c>
    </row>
    <row r="15" spans="1:5" s="58" customFormat="1" ht="14.25" customHeight="1">
      <c r="A15" s="62"/>
      <c r="B15" s="61"/>
      <c r="C15" s="33"/>
      <c r="D15" s="33"/>
      <c r="E15" s="33"/>
    </row>
    <row r="16" spans="1:5" s="58" customFormat="1" ht="22.5" customHeight="1">
      <c r="A16" s="70" t="s">
        <v>241</v>
      </c>
      <c r="B16" s="71" t="s">
        <v>308</v>
      </c>
      <c r="C16" s="72">
        <f t="shared" ref="C16" si="1">+D16+E16</f>
        <v>4701882</v>
      </c>
      <c r="D16" s="73">
        <v>4701882</v>
      </c>
      <c r="E16" s="73">
        <v>0</v>
      </c>
    </row>
    <row r="17" spans="1:5" s="58" customFormat="1" ht="14.25" customHeight="1">
      <c r="A17" s="62"/>
      <c r="B17" s="61"/>
      <c r="C17" s="33"/>
      <c r="D17" s="33"/>
      <c r="E17" s="33"/>
    </row>
    <row r="18" spans="1:5" s="58" customFormat="1" ht="22.5" customHeight="1">
      <c r="A18" s="70" t="s">
        <v>248</v>
      </c>
      <c r="B18" s="71" t="s">
        <v>309</v>
      </c>
      <c r="C18" s="72">
        <f t="shared" ref="C18:C23" si="2">+D18+E18</f>
        <v>25786484</v>
      </c>
      <c r="D18" s="72">
        <f>SUM(D19:D23)</f>
        <v>23574370</v>
      </c>
      <c r="E18" s="72">
        <f>SUM(E19:E23)</f>
        <v>2212114</v>
      </c>
    </row>
    <row r="19" spans="1:5" s="58" customFormat="1" ht="22.5" customHeight="1">
      <c r="A19" s="60" t="s">
        <v>298</v>
      </c>
      <c r="B19" s="63" t="s">
        <v>310</v>
      </c>
      <c r="C19" s="33">
        <f t="shared" si="2"/>
        <v>0</v>
      </c>
      <c r="D19" s="36">
        <v>0</v>
      </c>
      <c r="E19" s="36">
        <v>0</v>
      </c>
    </row>
    <row r="20" spans="1:5" s="58" customFormat="1" ht="22.5" customHeight="1">
      <c r="A20" s="60" t="s">
        <v>299</v>
      </c>
      <c r="B20" s="63" t="s">
        <v>311</v>
      </c>
      <c r="C20" s="33">
        <f t="shared" si="2"/>
        <v>0</v>
      </c>
      <c r="D20" s="36">
        <v>0</v>
      </c>
      <c r="E20" s="36">
        <v>0</v>
      </c>
    </row>
    <row r="21" spans="1:5" s="58" customFormat="1" ht="22.5" customHeight="1">
      <c r="A21" s="60" t="s">
        <v>300</v>
      </c>
      <c r="B21" s="63" t="s">
        <v>312</v>
      </c>
      <c r="C21" s="33">
        <f t="shared" si="2"/>
        <v>0</v>
      </c>
      <c r="D21" s="36">
        <v>0</v>
      </c>
      <c r="E21" s="36">
        <v>0</v>
      </c>
    </row>
    <row r="22" spans="1:5" s="58" customFormat="1" ht="22.5" customHeight="1">
      <c r="A22" s="60" t="s">
        <v>301</v>
      </c>
      <c r="B22" s="63" t="s">
        <v>313</v>
      </c>
      <c r="C22" s="33">
        <f t="shared" si="2"/>
        <v>0</v>
      </c>
      <c r="D22" s="36">
        <v>0</v>
      </c>
      <c r="E22" s="36">
        <v>0</v>
      </c>
    </row>
    <row r="23" spans="1:5" s="58" customFormat="1" ht="22.5" customHeight="1">
      <c r="A23" s="60" t="s">
        <v>302</v>
      </c>
      <c r="B23" s="63" t="s">
        <v>314</v>
      </c>
      <c r="C23" s="33">
        <f t="shared" si="2"/>
        <v>25786484</v>
      </c>
      <c r="D23" s="36">
        <v>23574370</v>
      </c>
      <c r="E23" s="561">
        <v>2212114</v>
      </c>
    </row>
    <row r="24" spans="1:5" s="58" customFormat="1" ht="14.25" customHeight="1">
      <c r="A24" s="62"/>
      <c r="B24" s="61"/>
      <c r="C24" s="33"/>
      <c r="D24" s="33"/>
      <c r="E24" s="33"/>
    </row>
    <row r="25" spans="1:5" s="58" customFormat="1" ht="22.5" customHeight="1">
      <c r="A25" s="70" t="s">
        <v>254</v>
      </c>
      <c r="B25" s="71" t="s">
        <v>315</v>
      </c>
      <c r="C25" s="72">
        <f>+C4+C7+C10+C16+C18</f>
        <v>1036253711</v>
      </c>
      <c r="D25" s="72">
        <f>+D4+D7+D10+D16+D18</f>
        <v>369684464</v>
      </c>
      <c r="E25" s="72">
        <f>+E4+E7+E10+E16+E18</f>
        <v>666569247</v>
      </c>
    </row>
    <row r="26" spans="1:5">
      <c r="A26" s="64"/>
      <c r="B26" s="65"/>
      <c r="C26" s="66"/>
      <c r="D26" s="66"/>
      <c r="E26" s="66"/>
    </row>
    <row r="27" spans="1:5">
      <c r="A27" s="64"/>
      <c r="B27" s="65"/>
      <c r="C27" s="66"/>
      <c r="D27" s="66"/>
      <c r="E27" s="66"/>
    </row>
    <row r="28" spans="1:5">
      <c r="A28" s="67"/>
      <c r="B28" s="5" t="s">
        <v>4</v>
      </c>
      <c r="C28" s="66"/>
      <c r="D28" s="66"/>
      <c r="E28" s="66"/>
    </row>
    <row r="29" spans="1:5">
      <c r="B29" s="5"/>
      <c r="C29" s="66"/>
      <c r="D29" s="66"/>
      <c r="E29" s="66"/>
    </row>
    <row r="30" spans="1:5">
      <c r="A30" s="67"/>
      <c r="B30" s="5" t="s">
        <v>5</v>
      </c>
      <c r="C30" s="66"/>
      <c r="D30" s="66"/>
      <c r="E30" s="66"/>
    </row>
  </sheetData>
  <sheetProtection password="CACA" sheet="1" objects="1" scenarios="1"/>
  <mergeCells count="2">
    <mergeCell ref="A1:D1"/>
    <mergeCell ref="C2:D2"/>
  </mergeCells>
  <phoneticPr fontId="15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>
      <formula1>0</formula1>
    </dataValidation>
    <dataValidation type="whole" operator="greaterThanOrEqual" allowBlank="1" showInputMessage="1" showErrorMessage="1" sqref="C24 C15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G27"/>
  <sheetViews>
    <sheetView zoomScale="75" zoomScaleNormal="7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0" sqref="C20"/>
    </sheetView>
  </sheetViews>
  <sheetFormatPr defaultRowHeight="18.75"/>
  <cols>
    <col min="1" max="1" width="8.5703125" style="204" customWidth="1"/>
    <col min="2" max="2" width="54.7109375" style="204" bestFit="1" customWidth="1"/>
    <col min="3" max="4" width="25.7109375" style="204" customWidth="1"/>
    <col min="5" max="7" width="15.28515625" style="311" customWidth="1"/>
    <col min="8" max="16384" width="9.140625" style="204"/>
  </cols>
  <sheetData>
    <row r="1" spans="1:7" ht="22.5" customHeight="1">
      <c r="A1" s="602" t="s">
        <v>361</v>
      </c>
      <c r="B1" s="602"/>
      <c r="C1" s="602"/>
      <c r="D1" s="203" t="s">
        <v>362</v>
      </c>
    </row>
    <row r="2" spans="1:7" ht="25.5" customHeight="1">
      <c r="B2" s="205" t="str">
        <f>+Balance!B3</f>
        <v>АКБ"Микрокредитбанк"</v>
      </c>
      <c r="C2" s="221" t="str">
        <f>+Balance!B2</f>
        <v xml:space="preserve"> 31 Декабрь, 2020</v>
      </c>
      <c r="D2" s="206" t="s">
        <v>7</v>
      </c>
    </row>
    <row r="3" spans="1:7" ht="80.25" customHeight="1">
      <c r="A3" s="272" t="s">
        <v>79</v>
      </c>
      <c r="B3" s="272" t="s">
        <v>6</v>
      </c>
      <c r="C3" s="272" t="s">
        <v>236</v>
      </c>
      <c r="D3" s="272" t="s">
        <v>397</v>
      </c>
    </row>
    <row r="4" spans="1:7" s="209" customFormat="1" ht="35.25" customHeight="1">
      <c r="A4" s="207" t="s">
        <v>239</v>
      </c>
      <c r="B4" s="208" t="s">
        <v>170</v>
      </c>
      <c r="C4" s="272"/>
      <c r="D4" s="272"/>
      <c r="E4" s="312"/>
      <c r="F4" s="312"/>
      <c r="G4" s="312"/>
    </row>
    <row r="5" spans="1:7" s="209" customFormat="1" ht="35.25" customHeight="1">
      <c r="A5" s="227" t="s">
        <v>242</v>
      </c>
      <c r="B5" s="228" t="s">
        <v>85</v>
      </c>
      <c r="C5" s="229">
        <v>2991155</v>
      </c>
      <c r="D5" s="229">
        <v>30869</v>
      </c>
      <c r="E5" s="312"/>
      <c r="F5" s="312"/>
      <c r="G5" s="312"/>
    </row>
    <row r="6" spans="1:7" s="209" customFormat="1" ht="35.25" customHeight="1">
      <c r="A6" s="227" t="s">
        <v>243</v>
      </c>
      <c r="B6" s="228" t="s">
        <v>86</v>
      </c>
      <c r="C6" s="229">
        <v>163360536</v>
      </c>
      <c r="D6" s="229">
        <v>8316034</v>
      </c>
      <c r="E6" s="312"/>
      <c r="F6" s="312"/>
      <c r="G6" s="312"/>
    </row>
    <row r="7" spans="1:7" s="209" customFormat="1" ht="35.25" customHeight="1">
      <c r="A7" s="227" t="s">
        <v>244</v>
      </c>
      <c r="B7" s="228" t="s">
        <v>87</v>
      </c>
      <c r="C7" s="229">
        <v>103153179</v>
      </c>
      <c r="D7" s="229">
        <v>14723325</v>
      </c>
      <c r="E7" s="312"/>
      <c r="F7" s="312"/>
      <c r="G7" s="312"/>
    </row>
    <row r="8" spans="1:7" s="209" customFormat="1" ht="35.25" customHeight="1">
      <c r="A8" s="227" t="s">
        <v>245</v>
      </c>
      <c r="B8" s="228" t="s">
        <v>88</v>
      </c>
      <c r="C8" s="229">
        <v>2630430</v>
      </c>
      <c r="D8" s="229">
        <v>761674</v>
      </c>
      <c r="E8" s="312"/>
      <c r="F8" s="312"/>
      <c r="G8" s="312"/>
    </row>
    <row r="9" spans="1:7" s="209" customFormat="1" ht="35.25" customHeight="1">
      <c r="A9" s="227" t="s">
        <v>246</v>
      </c>
      <c r="B9" s="228" t="s">
        <v>89</v>
      </c>
      <c r="C9" s="229">
        <v>200269899</v>
      </c>
      <c r="D9" s="229">
        <v>5282293</v>
      </c>
      <c r="E9" s="312"/>
      <c r="F9" s="312"/>
      <c r="G9" s="312"/>
    </row>
    <row r="10" spans="1:7" s="209" customFormat="1" ht="35.25" customHeight="1">
      <c r="A10" s="227" t="s">
        <v>247</v>
      </c>
      <c r="B10" s="228" t="s">
        <v>393</v>
      </c>
      <c r="C10" s="229">
        <v>149092721</v>
      </c>
      <c r="D10" s="229">
        <v>48366261</v>
      </c>
      <c r="E10" s="312"/>
      <c r="F10" s="312"/>
      <c r="G10" s="312"/>
    </row>
    <row r="11" spans="1:7" s="211" customFormat="1" ht="35.25" customHeight="1">
      <c r="A11" s="207" t="s">
        <v>425</v>
      </c>
      <c r="B11" s="208" t="s">
        <v>394</v>
      </c>
      <c r="C11" s="210">
        <f>SUM(C5:C10)</f>
        <v>621497920</v>
      </c>
      <c r="D11" s="210">
        <f>SUM(D5:D10)</f>
        <v>77480456</v>
      </c>
      <c r="E11" s="313">
        <f>+'Bank Liabilities Analysis'!S16+'Bank Liabilities Analysis'!S8</f>
        <v>621497920</v>
      </c>
      <c r="F11" s="313">
        <f>+'Bank Liabilities Analysis'!T16+'Bank Liabilities Analysis'!T8</f>
        <v>544017464</v>
      </c>
      <c r="G11" s="313">
        <f>+'Bank Liabilities Analysis'!U16+'Bank Liabilities Analysis'!U8</f>
        <v>77480456</v>
      </c>
    </row>
    <row r="12" spans="1:7" s="209" customFormat="1" ht="9" customHeight="1">
      <c r="A12" s="212"/>
      <c r="B12" s="228"/>
      <c r="C12" s="213"/>
      <c r="D12" s="212"/>
      <c r="E12" s="312"/>
      <c r="F12" s="312"/>
      <c r="G12" s="312"/>
    </row>
    <row r="13" spans="1:7" s="209" customFormat="1" ht="35.25" customHeight="1">
      <c r="A13" s="207" t="s">
        <v>240</v>
      </c>
      <c r="B13" s="208" t="s">
        <v>173</v>
      </c>
      <c r="C13" s="272"/>
      <c r="D13" s="272"/>
      <c r="E13" s="312"/>
      <c r="F13" s="312"/>
      <c r="G13" s="312"/>
    </row>
    <row r="14" spans="1:7" s="209" customFormat="1" ht="35.25" customHeight="1">
      <c r="A14" s="227" t="s">
        <v>242</v>
      </c>
      <c r="B14" s="228" t="s">
        <v>85</v>
      </c>
      <c r="C14" s="229">
        <v>939658840</v>
      </c>
      <c r="D14" s="229">
        <v>157510015</v>
      </c>
      <c r="E14" s="312"/>
      <c r="F14" s="312"/>
      <c r="G14" s="312"/>
    </row>
    <row r="15" spans="1:7" s="209" customFormat="1" ht="35.25" customHeight="1">
      <c r="A15" s="227" t="s">
        <v>243</v>
      </c>
      <c r="B15" s="228" t="s">
        <v>86</v>
      </c>
      <c r="C15" s="229">
        <v>434997875</v>
      </c>
      <c r="D15" s="229">
        <v>63026787</v>
      </c>
      <c r="E15" s="312"/>
      <c r="F15" s="312"/>
      <c r="G15" s="312"/>
    </row>
    <row r="16" spans="1:7" s="209" customFormat="1" ht="35.25" customHeight="1">
      <c r="A16" s="227" t="s">
        <v>244</v>
      </c>
      <c r="B16" s="228" t="s">
        <v>87</v>
      </c>
      <c r="C16" s="229">
        <v>191816390</v>
      </c>
      <c r="D16" s="229">
        <v>123555227</v>
      </c>
      <c r="E16" s="312"/>
      <c r="F16" s="312"/>
      <c r="G16" s="312"/>
    </row>
    <row r="17" spans="1:7" s="209" customFormat="1" ht="35.25" customHeight="1">
      <c r="A17" s="227" t="s">
        <v>245</v>
      </c>
      <c r="B17" s="228" t="s">
        <v>88</v>
      </c>
      <c r="C17" s="229">
        <v>9675000</v>
      </c>
      <c r="D17" s="229">
        <v>0</v>
      </c>
      <c r="E17" s="312"/>
      <c r="F17" s="312"/>
      <c r="G17" s="312"/>
    </row>
    <row r="18" spans="1:7" s="209" customFormat="1" ht="35.25" customHeight="1">
      <c r="A18" s="227" t="s">
        <v>246</v>
      </c>
      <c r="B18" s="228" t="s">
        <v>89</v>
      </c>
      <c r="C18" s="229">
        <v>51642679</v>
      </c>
      <c r="D18" s="229">
        <v>2095384</v>
      </c>
      <c r="E18" s="312"/>
      <c r="F18" s="312"/>
      <c r="G18" s="312"/>
    </row>
    <row r="19" spans="1:7" s="209" customFormat="1" ht="35.25" customHeight="1">
      <c r="A19" s="227" t="s">
        <v>247</v>
      </c>
      <c r="B19" s="228" t="s">
        <v>440</v>
      </c>
      <c r="C19" s="229">
        <v>133455121</v>
      </c>
      <c r="D19" s="229">
        <v>2095384</v>
      </c>
      <c r="E19" s="312"/>
      <c r="F19" s="312"/>
      <c r="G19" s="312"/>
    </row>
    <row r="20" spans="1:7" s="211" customFormat="1" ht="35.25" customHeight="1">
      <c r="A20" s="207" t="s">
        <v>425</v>
      </c>
      <c r="B20" s="208" t="s">
        <v>395</v>
      </c>
      <c r="C20" s="210">
        <f>SUM(C14:C19)</f>
        <v>1761245905</v>
      </c>
      <c r="D20" s="210">
        <f>SUM(D14:D19)</f>
        <v>348282797</v>
      </c>
      <c r="E20" s="313">
        <f>+'Bank Liabilities Analysis'!S13</f>
        <v>1761245905</v>
      </c>
      <c r="F20" s="313">
        <f>+'Bank Liabilities Analysis'!T13</f>
        <v>1412963108</v>
      </c>
      <c r="G20" s="313">
        <f>+'Bank Liabilities Analysis'!U13</f>
        <v>348282797</v>
      </c>
    </row>
    <row r="21" spans="1:7" s="209" customFormat="1" ht="9" customHeight="1">
      <c r="A21" s="227"/>
      <c r="B21" s="228"/>
      <c r="C21" s="213"/>
      <c r="D21" s="213"/>
      <c r="E21" s="312"/>
      <c r="F21" s="312"/>
      <c r="G21" s="312"/>
    </row>
    <row r="22" spans="1:7" s="211" customFormat="1" ht="35.25" customHeight="1">
      <c r="A22" s="207" t="s">
        <v>253</v>
      </c>
      <c r="B22" s="208" t="s">
        <v>175</v>
      </c>
      <c r="C22" s="210">
        <f t="shared" ref="C22:D22" si="0">+C11+C20</f>
        <v>2382743825</v>
      </c>
      <c r="D22" s="210">
        <f t="shared" si="0"/>
        <v>425763253</v>
      </c>
      <c r="E22" s="313">
        <f>+'Bank Liabilities Analysis'!S22</f>
        <v>2382743825</v>
      </c>
      <c r="F22" s="313">
        <f>+'Bank Liabilities Analysis'!T22</f>
        <v>1956980572</v>
      </c>
      <c r="G22" s="313">
        <f>+'Bank Liabilities Analysis'!U22</f>
        <v>425763253</v>
      </c>
    </row>
    <row r="24" spans="1:7">
      <c r="E24" s="204"/>
      <c r="F24" s="204"/>
      <c r="G24" s="204"/>
    </row>
    <row r="25" spans="1:7">
      <c r="B25" s="214" t="s">
        <v>4</v>
      </c>
      <c r="E25" s="204"/>
      <c r="F25" s="204"/>
      <c r="G25" s="204"/>
    </row>
    <row r="26" spans="1:7">
      <c r="B26" s="214"/>
      <c r="E26" s="204"/>
      <c r="F26" s="204"/>
      <c r="G26" s="204"/>
    </row>
    <row r="27" spans="1:7">
      <c r="B27" s="214" t="s">
        <v>5</v>
      </c>
      <c r="E27" s="204"/>
      <c r="F27" s="204"/>
      <c r="G27" s="204"/>
    </row>
  </sheetData>
  <sheetProtection password="CACA" sheet="1" objects="1" scenarios="1"/>
  <mergeCells count="1">
    <mergeCell ref="A1:C1"/>
  </mergeCells>
  <phoneticPr fontId="15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H54"/>
  <sheetViews>
    <sheetView zoomScaleSheetLayoutView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C25" sqref="C25"/>
    </sheetView>
  </sheetViews>
  <sheetFormatPr defaultRowHeight="12.75"/>
  <cols>
    <col min="1" max="1" width="48.42578125" style="59" customWidth="1"/>
    <col min="2" max="2" width="16.85546875" style="59" customWidth="1"/>
    <col min="3" max="3" width="16.7109375" style="59" customWidth="1"/>
    <col min="4" max="4" width="16" style="59" customWidth="1"/>
    <col min="5" max="5" width="15.42578125" style="59" customWidth="1"/>
    <col min="6" max="8" width="12.140625" style="308" customWidth="1"/>
    <col min="9" max="16384" width="9.140625" style="59"/>
  </cols>
  <sheetData>
    <row r="1" spans="1:8" ht="44.25" customHeight="1">
      <c r="A1" s="600" t="s">
        <v>91</v>
      </c>
      <c r="B1" s="600"/>
      <c r="C1" s="600"/>
      <c r="D1" s="600"/>
      <c r="E1" s="57" t="s">
        <v>360</v>
      </c>
    </row>
    <row r="2" spans="1:8" s="58" customFormat="1" ht="18" customHeight="1">
      <c r="A2" s="217" t="str">
        <f>Balance!B3</f>
        <v>АКБ"Микрокредитбанк"</v>
      </c>
      <c r="C2" s="216" t="str">
        <f>+Balance!B2</f>
        <v xml:space="preserve"> 31 Декабрь, 2020</v>
      </c>
      <c r="D2" s="164"/>
      <c r="E2" s="215" t="str">
        <f>+Balance!E3</f>
        <v>тыс. сум</v>
      </c>
      <c r="F2" s="314"/>
      <c r="G2" s="314"/>
      <c r="H2" s="314"/>
    </row>
    <row r="3" spans="1:8" ht="26.25" customHeight="1">
      <c r="A3" s="605" t="s">
        <v>92</v>
      </c>
      <c r="B3" s="607" t="s">
        <v>359</v>
      </c>
      <c r="C3" s="603" t="s">
        <v>359</v>
      </c>
      <c r="D3" s="604"/>
      <c r="E3" s="609" t="s">
        <v>94</v>
      </c>
    </row>
    <row r="4" spans="1:8" ht="42.75" customHeight="1">
      <c r="A4" s="606"/>
      <c r="B4" s="608"/>
      <c r="C4" s="54" t="s">
        <v>237</v>
      </c>
      <c r="D4" s="54" t="s">
        <v>238</v>
      </c>
      <c r="E4" s="608"/>
    </row>
    <row r="5" spans="1:8" ht="12.75" customHeight="1">
      <c r="A5" s="165"/>
      <c r="B5" s="165"/>
      <c r="C5" s="178"/>
      <c r="D5" s="178"/>
      <c r="E5" s="165"/>
    </row>
    <row r="6" spans="1:8" s="58" customFormat="1" ht="12.75" customHeight="1">
      <c r="A6" s="249" t="s">
        <v>95</v>
      </c>
      <c r="B6" s="33">
        <f t="shared" ref="B6:B15" si="0">+C6+D6</f>
        <v>0</v>
      </c>
      <c r="C6" s="36">
        <v>0</v>
      </c>
      <c r="D6" s="36">
        <v>0</v>
      </c>
      <c r="E6" s="36">
        <v>0</v>
      </c>
      <c r="F6" s="315"/>
      <c r="G6" s="315"/>
      <c r="H6" s="315"/>
    </row>
    <row r="7" spans="1:8" s="58" customFormat="1" ht="12.75" customHeight="1">
      <c r="A7" s="248" t="s">
        <v>96</v>
      </c>
      <c r="B7" s="33">
        <f t="shared" si="0"/>
        <v>0</v>
      </c>
      <c r="C7" s="36">
        <v>0</v>
      </c>
      <c r="D7" s="36">
        <v>0</v>
      </c>
      <c r="E7" s="36">
        <v>0</v>
      </c>
      <c r="F7" s="315"/>
      <c r="G7" s="315"/>
      <c r="H7" s="315"/>
    </row>
    <row r="8" spans="1:8" s="58" customFormat="1" ht="12.75" customHeight="1">
      <c r="A8" s="248" t="s">
        <v>97</v>
      </c>
      <c r="B8" s="33">
        <f t="shared" si="0"/>
        <v>0</v>
      </c>
      <c r="C8" s="36">
        <v>0</v>
      </c>
      <c r="D8" s="36">
        <v>0</v>
      </c>
      <c r="E8" s="36">
        <v>0</v>
      </c>
      <c r="F8" s="315"/>
      <c r="G8" s="315"/>
      <c r="H8" s="315"/>
    </row>
    <row r="9" spans="1:8" s="58" customFormat="1" ht="12.75" customHeight="1">
      <c r="A9" s="248" t="s">
        <v>98</v>
      </c>
      <c r="B9" s="33">
        <f t="shared" si="0"/>
        <v>0</v>
      </c>
      <c r="C9" s="36">
        <v>0</v>
      </c>
      <c r="D9" s="36">
        <v>0</v>
      </c>
      <c r="E9" s="36">
        <v>0</v>
      </c>
      <c r="F9" s="315"/>
      <c r="G9" s="315"/>
      <c r="H9" s="315"/>
    </row>
    <row r="10" spans="1:8" s="58" customFormat="1" ht="12.75" customHeight="1">
      <c r="A10" s="248" t="s">
        <v>99</v>
      </c>
      <c r="B10" s="33">
        <f t="shared" si="0"/>
        <v>0</v>
      </c>
      <c r="C10" s="36">
        <v>0</v>
      </c>
      <c r="D10" s="36">
        <v>0</v>
      </c>
      <c r="E10" s="36">
        <v>0</v>
      </c>
      <c r="F10" s="315"/>
      <c r="G10" s="315"/>
      <c r="H10" s="315"/>
    </row>
    <row r="11" spans="1:8" s="58" customFormat="1" ht="12.75" customHeight="1">
      <c r="A11" s="248" t="s">
        <v>100</v>
      </c>
      <c r="B11" s="33">
        <f t="shared" si="0"/>
        <v>107220</v>
      </c>
      <c r="C11" s="36">
        <v>107220</v>
      </c>
      <c r="D11" s="36">
        <v>0</v>
      </c>
      <c r="E11" s="36">
        <v>107220</v>
      </c>
      <c r="F11" s="315"/>
      <c r="G11" s="314"/>
      <c r="H11" s="314"/>
    </row>
    <row r="12" spans="1:8" s="58" customFormat="1">
      <c r="A12" s="248" t="s">
        <v>101</v>
      </c>
      <c r="B12" s="33">
        <f t="shared" si="0"/>
        <v>0</v>
      </c>
      <c r="C12" s="36">
        <v>0</v>
      </c>
      <c r="D12" s="36">
        <v>0</v>
      </c>
      <c r="E12" s="36">
        <v>0</v>
      </c>
      <c r="F12" s="315"/>
      <c r="G12" s="314"/>
      <c r="H12" s="314"/>
    </row>
    <row r="13" spans="1:8" s="58" customFormat="1" ht="12.75" customHeight="1">
      <c r="A13" s="255" t="s">
        <v>102</v>
      </c>
      <c r="B13" s="34">
        <f t="shared" si="0"/>
        <v>107220</v>
      </c>
      <c r="C13" s="34">
        <f>SUM(C6:C12)</f>
        <v>107220</v>
      </c>
      <c r="D13" s="34">
        <f t="shared" ref="D13" si="1">SUM(D6:D12)</f>
        <v>0</v>
      </c>
      <c r="E13" s="34">
        <f>SUM(E6:E12)</f>
        <v>107220</v>
      </c>
      <c r="F13" s="315"/>
      <c r="G13" s="314"/>
      <c r="H13" s="314"/>
    </row>
    <row r="14" spans="1:8" s="58" customFormat="1" ht="12.75" customHeight="1">
      <c r="A14" s="251" t="s">
        <v>103</v>
      </c>
      <c r="B14" s="33">
        <f t="shared" si="0"/>
        <v>0</v>
      </c>
      <c r="C14" s="252">
        <v>0</v>
      </c>
      <c r="D14" s="252">
        <v>0</v>
      </c>
      <c r="E14" s="253"/>
      <c r="F14" s="315"/>
      <c r="G14" s="314"/>
      <c r="H14" s="314"/>
    </row>
    <row r="15" spans="1:8" s="58" customFormat="1" ht="17.25" customHeight="1">
      <c r="A15" s="255" t="s">
        <v>104</v>
      </c>
      <c r="B15" s="34">
        <f t="shared" si="0"/>
        <v>107220</v>
      </c>
      <c r="C15" s="34">
        <f>C13-C14</f>
        <v>107220</v>
      </c>
      <c r="D15" s="34">
        <f t="shared" ref="D15" si="2">D13-D14</f>
        <v>0</v>
      </c>
      <c r="E15" s="254"/>
      <c r="F15" s="316">
        <f>+'Bank Assets Analysis'!S34</f>
        <v>107220</v>
      </c>
      <c r="G15" s="314">
        <f>+'Bank Assets Analysis'!T34</f>
        <v>107220</v>
      </c>
      <c r="H15" s="314">
        <f>+'Bank Assets Analysis'!U34</f>
        <v>0</v>
      </c>
    </row>
    <row r="16" spans="1:8" ht="12.75" customHeight="1">
      <c r="A16" s="170"/>
      <c r="B16" s="171"/>
      <c r="C16" s="171"/>
      <c r="D16" s="171"/>
      <c r="E16" s="171"/>
      <c r="F16" s="309"/>
      <c r="G16" s="314"/>
      <c r="H16" s="314"/>
    </row>
    <row r="17" spans="1:8" s="58" customFormat="1" ht="38.25" customHeight="1">
      <c r="A17" s="182" t="s">
        <v>105</v>
      </c>
      <c r="B17" s="179" t="s">
        <v>93</v>
      </c>
      <c r="C17" s="234" t="s">
        <v>237</v>
      </c>
      <c r="D17" s="234" t="s">
        <v>238</v>
      </c>
      <c r="E17" s="179" t="s">
        <v>94</v>
      </c>
      <c r="F17" s="317">
        <f>+Balance!C17</f>
        <v>107220</v>
      </c>
      <c r="G17" s="314">
        <f>+Balance!D17</f>
        <v>107220</v>
      </c>
      <c r="H17" s="314">
        <f>+Balance!E17</f>
        <v>0</v>
      </c>
    </row>
    <row r="18" spans="1:8" s="58" customFormat="1" ht="12.75" customHeight="1">
      <c r="A18" s="247"/>
      <c r="B18" s="248"/>
      <c r="C18" s="248"/>
      <c r="D18" s="248"/>
      <c r="E18" s="248"/>
      <c r="F18" s="315"/>
      <c r="G18" s="314"/>
      <c r="H18" s="314"/>
    </row>
    <row r="19" spans="1:8" s="58" customFormat="1">
      <c r="A19" s="249" t="s">
        <v>106</v>
      </c>
      <c r="B19" s="33">
        <f t="shared" ref="B19:C29" si="3">+C19+D19</f>
        <v>0</v>
      </c>
      <c r="C19" s="36">
        <v>0</v>
      </c>
      <c r="D19" s="36">
        <v>0</v>
      </c>
      <c r="E19" s="36">
        <v>0</v>
      </c>
      <c r="F19" s="315"/>
      <c r="G19" s="314"/>
      <c r="H19" s="314"/>
    </row>
    <row r="20" spans="1:8" s="58" customFormat="1">
      <c r="A20" s="248" t="s">
        <v>107</v>
      </c>
      <c r="B20" s="33">
        <f t="shared" si="3"/>
        <v>135000000</v>
      </c>
      <c r="C20" s="36">
        <v>135000000</v>
      </c>
      <c r="D20" s="36">
        <v>0</v>
      </c>
      <c r="E20" s="36">
        <v>135000000</v>
      </c>
      <c r="F20" s="315"/>
      <c r="G20" s="314"/>
      <c r="H20" s="314"/>
    </row>
    <row r="21" spans="1:8" s="58" customFormat="1">
      <c r="A21" s="248" t="s">
        <v>108</v>
      </c>
      <c r="B21" s="33">
        <f t="shared" si="3"/>
        <v>65000000</v>
      </c>
      <c r="C21" s="36">
        <v>65000000</v>
      </c>
      <c r="D21" s="36">
        <v>0</v>
      </c>
      <c r="E21" s="36">
        <v>65000000</v>
      </c>
      <c r="F21" s="315"/>
      <c r="G21" s="314"/>
      <c r="H21" s="314"/>
    </row>
    <row r="22" spans="1:8" s="58" customFormat="1">
      <c r="A22" s="248" t="s">
        <v>109</v>
      </c>
      <c r="B22" s="33">
        <f t="shared" si="3"/>
        <v>0</v>
      </c>
      <c r="C22" s="36">
        <v>0</v>
      </c>
      <c r="D22" s="36">
        <v>0</v>
      </c>
      <c r="E22" s="36">
        <v>0</v>
      </c>
      <c r="F22" s="315"/>
      <c r="G22" s="315"/>
      <c r="H22" s="315"/>
    </row>
    <row r="23" spans="1:8" s="58" customFormat="1">
      <c r="A23" s="248" t="s">
        <v>110</v>
      </c>
      <c r="B23" s="33">
        <f t="shared" si="3"/>
        <v>0</v>
      </c>
      <c r="C23" s="36">
        <v>0</v>
      </c>
      <c r="D23" s="36">
        <v>0</v>
      </c>
      <c r="E23" s="36">
        <v>0</v>
      </c>
      <c r="F23" s="315"/>
      <c r="G23" s="315"/>
      <c r="H23" s="315"/>
    </row>
    <row r="24" spans="1:8" s="58" customFormat="1">
      <c r="A24" s="248" t="s">
        <v>111</v>
      </c>
      <c r="B24" s="33">
        <f t="shared" si="3"/>
        <v>0</v>
      </c>
      <c r="C24" s="36">
        <v>0</v>
      </c>
      <c r="D24" s="36">
        <v>0</v>
      </c>
      <c r="E24" s="36">
        <v>0</v>
      </c>
      <c r="F24" s="315"/>
      <c r="G24" s="315"/>
      <c r="H24" s="315"/>
    </row>
    <row r="25" spans="1:8" s="58" customFormat="1">
      <c r="A25" s="248" t="s">
        <v>112</v>
      </c>
      <c r="B25" s="33">
        <f t="shared" si="3"/>
        <v>0</v>
      </c>
      <c r="C25" s="36"/>
      <c r="D25" s="36">
        <v>0</v>
      </c>
      <c r="E25" s="36">
        <v>2938240</v>
      </c>
      <c r="F25" s="315"/>
      <c r="G25" s="315"/>
      <c r="H25" s="315"/>
    </row>
    <row r="26" spans="1:8" s="58" customFormat="1">
      <c r="A26" s="250" t="s">
        <v>113</v>
      </c>
      <c r="B26" s="34">
        <f t="shared" si="3"/>
        <v>200000000</v>
      </c>
      <c r="C26" s="34">
        <f>SUM(C19:C25)</f>
        <v>200000000</v>
      </c>
      <c r="D26" s="34">
        <f t="shared" ref="D26" si="4">SUM(D19:D25)</f>
        <v>0</v>
      </c>
      <c r="E26" s="34">
        <f>SUM(E19:E25)</f>
        <v>202938240</v>
      </c>
      <c r="F26" s="315"/>
      <c r="G26" s="315"/>
      <c r="H26" s="315"/>
    </row>
    <row r="27" spans="1:8" s="554" customFormat="1">
      <c r="A27" s="552" t="s">
        <v>540</v>
      </c>
      <c r="B27" s="364">
        <f t="shared" si="3"/>
        <v>2938240</v>
      </c>
      <c r="C27" s="36">
        <v>2938240</v>
      </c>
      <c r="D27" s="36">
        <v>0</v>
      </c>
      <c r="E27" s="36">
        <v>0</v>
      </c>
      <c r="F27" s="553"/>
      <c r="G27" s="553"/>
      <c r="H27" s="553"/>
    </row>
    <row r="28" spans="1:8" s="58" customFormat="1">
      <c r="A28" s="550" t="s">
        <v>541</v>
      </c>
      <c r="B28" s="33">
        <f t="shared" si="3"/>
        <v>0</v>
      </c>
      <c r="C28" s="564">
        <f t="shared" si="3"/>
        <v>0</v>
      </c>
      <c r="D28" s="560">
        <v>0</v>
      </c>
      <c r="E28" s="253"/>
      <c r="F28" s="315"/>
      <c r="G28" s="315"/>
      <c r="H28" s="315"/>
    </row>
    <row r="29" spans="1:8" s="58" customFormat="1" ht="32.25" customHeight="1">
      <c r="A29" s="43" t="s">
        <v>542</v>
      </c>
      <c r="B29" s="34">
        <f t="shared" si="3"/>
        <v>202938240</v>
      </c>
      <c r="C29" s="34">
        <f>+C26+C27-C28</f>
        <v>202938240</v>
      </c>
      <c r="D29" s="34">
        <f>+D26+D27-D28</f>
        <v>0</v>
      </c>
      <c r="E29" s="254"/>
      <c r="F29" s="315"/>
      <c r="G29" s="315"/>
      <c r="H29" s="315"/>
    </row>
    <row r="30" spans="1:8" ht="12.75" customHeight="1">
      <c r="A30" s="170"/>
      <c r="B30" s="171"/>
      <c r="C30" s="171"/>
      <c r="D30" s="171"/>
      <c r="E30" s="171"/>
      <c r="F30" s="310"/>
      <c r="G30" s="309"/>
      <c r="H30" s="309"/>
    </row>
    <row r="31" spans="1:8" ht="12.75" customHeight="1">
      <c r="A31" s="172"/>
      <c r="B31" s="172"/>
      <c r="C31" s="172"/>
      <c r="D31" s="172"/>
      <c r="E31" s="172"/>
    </row>
    <row r="32" spans="1:8" ht="12.75" customHeight="1">
      <c r="A32" s="173"/>
      <c r="B32" s="171"/>
      <c r="C32" s="171"/>
      <c r="D32" s="171"/>
      <c r="E32" s="171"/>
      <c r="F32" s="309"/>
      <c r="G32" s="309"/>
      <c r="H32" s="309"/>
    </row>
    <row r="33" spans="1:8" s="181" customFormat="1" ht="42" customHeight="1">
      <c r="A33" s="180" t="s">
        <v>114</v>
      </c>
      <c r="B33" s="179" t="s">
        <v>115</v>
      </c>
      <c r="C33" s="54" t="s">
        <v>237</v>
      </c>
      <c r="D33" s="54" t="s">
        <v>238</v>
      </c>
      <c r="E33" s="179" t="s">
        <v>94</v>
      </c>
      <c r="F33" s="318"/>
      <c r="G33" s="318"/>
      <c r="H33" s="318"/>
    </row>
    <row r="34" spans="1:8" ht="12.75" customHeight="1">
      <c r="A34" s="174"/>
      <c r="B34" s="174"/>
      <c r="C34" s="174"/>
      <c r="D34" s="174"/>
      <c r="E34" s="174"/>
      <c r="F34" s="309"/>
      <c r="G34" s="309"/>
      <c r="H34" s="309"/>
    </row>
    <row r="35" spans="1:8" ht="12.75" customHeight="1">
      <c r="A35" s="174" t="s">
        <v>116</v>
      </c>
      <c r="B35" s="4">
        <f t="shared" ref="B35:B40" si="5">+C35+D35</f>
        <v>0</v>
      </c>
      <c r="C35" s="36">
        <v>0</v>
      </c>
      <c r="D35" s="36">
        <v>0</v>
      </c>
      <c r="E35" s="36">
        <v>0</v>
      </c>
      <c r="F35" s="309"/>
      <c r="G35" s="309"/>
      <c r="H35" s="309"/>
    </row>
    <row r="36" spans="1:8" ht="12.75" customHeight="1">
      <c r="A36" s="174" t="s">
        <v>117</v>
      </c>
      <c r="B36" s="4">
        <f t="shared" si="5"/>
        <v>0</v>
      </c>
      <c r="C36" s="36">
        <v>0</v>
      </c>
      <c r="D36" s="36">
        <v>0</v>
      </c>
      <c r="E36" s="36">
        <v>0</v>
      </c>
      <c r="F36" s="309"/>
      <c r="G36" s="309"/>
      <c r="H36" s="309"/>
    </row>
    <row r="37" spans="1:8" ht="12.75" customHeight="1">
      <c r="A37" s="174" t="s">
        <v>118</v>
      </c>
      <c r="B37" s="4">
        <f t="shared" si="5"/>
        <v>175</v>
      </c>
      <c r="C37" s="36">
        <v>175</v>
      </c>
      <c r="D37" s="36">
        <v>0</v>
      </c>
      <c r="E37" s="36">
        <v>175</v>
      </c>
      <c r="F37" s="309"/>
      <c r="G37" s="309"/>
      <c r="H37" s="309"/>
    </row>
    <row r="38" spans="1:8" ht="12.75" customHeight="1">
      <c r="A38" s="341" t="s">
        <v>437</v>
      </c>
      <c r="B38" s="4">
        <f t="shared" si="5"/>
        <v>175</v>
      </c>
      <c r="C38" s="4">
        <f>SUM(C35:C37)</f>
        <v>175</v>
      </c>
      <c r="D38" s="4">
        <f t="shared" ref="D38" si="6">SUM(D35:D37)</f>
        <v>0</v>
      </c>
      <c r="E38" s="4">
        <f>SUM(E35:E37)</f>
        <v>175</v>
      </c>
      <c r="F38" s="309"/>
      <c r="G38" s="309"/>
      <c r="H38" s="309"/>
    </row>
    <row r="39" spans="1:8" ht="12.75" customHeight="1">
      <c r="A39" s="342" t="s">
        <v>438</v>
      </c>
      <c r="B39" s="4">
        <f t="shared" si="5"/>
        <v>0</v>
      </c>
      <c r="C39" s="167"/>
      <c r="D39" s="167"/>
      <c r="E39" s="168"/>
      <c r="F39" s="309"/>
      <c r="G39" s="309"/>
      <c r="H39" s="309"/>
    </row>
    <row r="40" spans="1:8" ht="25.5">
      <c r="A40" s="343" t="s">
        <v>439</v>
      </c>
      <c r="B40" s="166">
        <f t="shared" si="5"/>
        <v>175</v>
      </c>
      <c r="C40" s="166">
        <f>C38-C39</f>
        <v>175</v>
      </c>
      <c r="D40" s="166">
        <f t="shared" ref="D40" si="7">D38-D39</f>
        <v>0</v>
      </c>
      <c r="E40" s="169"/>
      <c r="F40" s="309"/>
      <c r="G40" s="309"/>
      <c r="H40" s="309"/>
    </row>
    <row r="41" spans="1:8" ht="12.75" customHeight="1">
      <c r="A41" s="69"/>
      <c r="B41" s="27"/>
      <c r="C41" s="27"/>
      <c r="D41" s="27"/>
      <c r="E41" s="27"/>
    </row>
    <row r="42" spans="1:8" ht="12.75" customHeight="1">
      <c r="A42" s="175" t="s">
        <v>90</v>
      </c>
      <c r="B42" s="176"/>
      <c r="C42" s="176"/>
      <c r="D42" s="176"/>
      <c r="E42" s="27"/>
      <c r="F42" s="319"/>
    </row>
    <row r="43" spans="1:8" ht="12.75" customHeight="1">
      <c r="A43" s="177" t="s">
        <v>119</v>
      </c>
      <c r="B43" s="11"/>
      <c r="C43" s="11"/>
      <c r="D43" s="11"/>
      <c r="E43" s="27"/>
      <c r="F43" s="309"/>
    </row>
    <row r="44" spans="1:8" ht="12.75" customHeight="1">
      <c r="A44" s="175" t="s">
        <v>120</v>
      </c>
      <c r="B44" s="176"/>
      <c r="C44" s="176"/>
      <c r="D44" s="176"/>
      <c r="E44" s="27"/>
      <c r="F44" s="319"/>
    </row>
    <row r="45" spans="1:8" ht="12.75" customHeight="1">
      <c r="A45" s="174" t="s">
        <v>121</v>
      </c>
      <c r="B45" s="11">
        <f>E13-B13</f>
        <v>0</v>
      </c>
      <c r="C45" s="11"/>
      <c r="D45" s="11"/>
      <c r="E45" s="27"/>
      <c r="F45" s="309"/>
    </row>
    <row r="46" spans="1:8" ht="12.75" customHeight="1">
      <c r="A46" s="175" t="s">
        <v>122</v>
      </c>
      <c r="B46" s="176"/>
      <c r="C46" s="176"/>
      <c r="D46" s="176"/>
      <c r="E46" s="27"/>
      <c r="F46" s="319"/>
    </row>
    <row r="47" spans="1:8" ht="12.75" customHeight="1">
      <c r="A47" s="174" t="s">
        <v>121</v>
      </c>
      <c r="B47" s="11">
        <f>E26-B26</f>
        <v>2938240</v>
      </c>
      <c r="C47" s="11"/>
      <c r="D47" s="11"/>
      <c r="E47" s="27"/>
      <c r="F47" s="309"/>
    </row>
    <row r="48" spans="1:8" ht="12.75" customHeight="1">
      <c r="A48" s="175" t="s">
        <v>123</v>
      </c>
      <c r="B48" s="176"/>
      <c r="C48" s="176"/>
      <c r="D48" s="176"/>
      <c r="E48" s="27"/>
      <c r="F48" s="319"/>
    </row>
    <row r="49" spans="1:8" ht="12.75" customHeight="1">
      <c r="A49" s="174" t="s">
        <v>121</v>
      </c>
      <c r="B49" s="11">
        <f>E38-B38</f>
        <v>0</v>
      </c>
      <c r="C49" s="11"/>
      <c r="D49" s="11"/>
      <c r="E49" s="27"/>
      <c r="F49" s="309"/>
    </row>
    <row r="50" spans="1:8" ht="12.75" customHeight="1">
      <c r="F50" s="59"/>
      <c r="G50" s="59"/>
      <c r="H50" s="59"/>
    </row>
    <row r="51" spans="1:8" ht="12.75" customHeight="1">
      <c r="F51" s="59"/>
      <c r="G51" s="59"/>
      <c r="H51" s="59"/>
    </row>
    <row r="52" spans="1:8" ht="12.75" customHeight="1">
      <c r="A52" s="5" t="s">
        <v>4</v>
      </c>
      <c r="F52" s="59"/>
      <c r="G52" s="59"/>
      <c r="H52" s="59"/>
    </row>
    <row r="53" spans="1:8" ht="12.75" customHeight="1">
      <c r="A53" s="5"/>
      <c r="F53" s="59"/>
      <c r="G53" s="59"/>
      <c r="H53" s="59"/>
    </row>
    <row r="54" spans="1:8" ht="12.75" customHeight="1">
      <c r="A54" s="5" t="s">
        <v>5</v>
      </c>
      <c r="F54" s="59"/>
      <c r="G54" s="59"/>
      <c r="H54" s="59"/>
    </row>
  </sheetData>
  <sheetProtection password="CACA" sheet="1" objects="1" scenarios="1"/>
  <mergeCells count="5">
    <mergeCell ref="C3:D3"/>
    <mergeCell ref="A3:A4"/>
    <mergeCell ref="B3:B4"/>
    <mergeCell ref="E3:E4"/>
    <mergeCell ref="A1:D1"/>
  </mergeCells>
  <phoneticPr fontId="15" type="noConversion"/>
  <dataValidations count="2">
    <dataValidation type="whole" operator="greaterThanOrEqual" allowBlank="1" showErrorMessage="1" error="Введите как целое число." sqref="B39 C19:E24 B19:B25 B14 B27:B28 B35:E37 B6:E12">
      <formula1>0</formula1>
    </dataValidation>
    <dataValidation type="whole" operator="greaterThanOrEqual" allowBlank="1" showInputMessage="1" showErrorMessage="1" prompt="Ввести как положительное число." sqref="C28:D28 C39:D39 C14:D14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Jamshid Sharipov</cp:lastModifiedBy>
  <cp:lastPrinted>2020-10-02T12:49:43Z</cp:lastPrinted>
  <dcterms:created xsi:type="dcterms:W3CDTF">2014-01-27T05:06:32Z</dcterms:created>
  <dcterms:modified xsi:type="dcterms:W3CDTF">2024-07-10T06:36:06Z</dcterms:modified>
</cp:coreProperties>
</file>