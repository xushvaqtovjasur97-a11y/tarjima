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Руслан\ҳРуслан-Академия-05.04.2023\Руслан-2023\Докторлик диссертация\Докторлик дис-14.06.2023\Банклар маълумоти\Микрокредитбанк-31.12.2016-31.12.2023\2020\"/>
    </mc:Choice>
  </mc:AlternateContent>
  <xr:revisionPtr revIDLastSave="0" documentId="13_ncr:1_{0EDDC66E-0E54-41D3-846C-C8CDCCEB77B3}" xr6:coauthVersionLast="47" xr6:coauthVersionMax="47" xr10:uidLastSave="{00000000-0000-0000-0000-000000000000}"/>
  <workbookProtection workbookPassword="CB5C" lockStructure="1"/>
  <bookViews>
    <workbookView xWindow="240" yWindow="105" windowWidth="9795" windowHeight="10455" tabRatio="902" activeTab="1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Loans to Affiliated P." sheetId="11" r:id="rId8"/>
    <sheet name=" Largest risk" sheetId="12" r:id="rId9"/>
    <sheet name="Charge-offs and Recoveries" sheetId="13" r:id="rId10"/>
    <sheet name="loans_av rate" sheetId="35" r:id="rId11"/>
    <sheet name="loans type" sheetId="40" r:id="rId12"/>
    <sheet name="Bank Capital Calc (2)" sheetId="41" state="hidden" r:id="rId13"/>
    <sheet name="Deposits_av rate" sheetId="30" r:id="rId14"/>
    <sheet name="Economic Normatives" sheetId="20" r:id="rId15"/>
    <sheet name="Miscellaneous" sheetId="21" r:id="rId16"/>
    <sheet name="ПФУ" sheetId="42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add21" localSheetId="16" hidden="1">[1]tab17!#REF!</definedName>
    <definedName name="___add21" localSheetId="16" hidden="1">[1]tab17!#REF!</definedName>
    <definedName name="__123Graph_A" localSheetId="16" hidden="1">'[2]tab 19'!#REF!</definedName>
    <definedName name="__123Graph_B" localSheetId="16" hidden="1">[3]tab17!#REF!</definedName>
    <definedName name="__123Graph_X" localSheetId="16" hidden="1">[3]tab17!#REF!</definedName>
    <definedName name="__add21" localSheetId="16" hidden="1">[1]tab17!#REF!</definedName>
    <definedName name="_10__123Graph_AREALEX_WAGE" localSheetId="16" hidden="1">'[2]tab 19'!#REF!</definedName>
    <definedName name="_10__123Graph_BREALEX_WAGE" localSheetId="16" hidden="1">#REF!</definedName>
    <definedName name="_12__123Graph_BREALEX_WAGE" localSheetId="16" hidden="1">#REF!</definedName>
    <definedName name="_16__123Graph_BCHART_2" hidden="1">[4]A!$C$36:$AJ$36</definedName>
    <definedName name="_16__123Graph_BREALEX_WAGE" localSheetId="16" hidden="1">#REF!</definedName>
    <definedName name="_19__123Graph_XREALEX_WAGE" localSheetId="16" hidden="1">#REF!</definedName>
    <definedName name="_20__123Graph_BREALEX_WAGE" localSheetId="16" hidden="1">#REF!</definedName>
    <definedName name="_22__123Graph_XREALEX_WAGE" localSheetId="16" hidden="1">#REF!</definedName>
    <definedName name="_3__123Graph_ACHART_1" hidden="1">[4]A!$C$31:$AJ$31</definedName>
    <definedName name="_30__123Graph_XREALEX_WAGE" localSheetId="16" hidden="1">#REF!</definedName>
    <definedName name="_36__123Graph_XREALEX_WAGE" localSheetId="16" hidden="1">#REF!</definedName>
    <definedName name="_5__123Graph_AREALEX_WAGE" localSheetId="16" hidden="1">'[2]tab 19'!#REF!</definedName>
    <definedName name="_6__123Graph_AREALEX_WAGE" localSheetId="16" hidden="1">'[5]tab 19'!#REF!</definedName>
    <definedName name="_8__123Graph_AREALEX_WAGE" localSheetId="16" hidden="1">'[2]tab 19'!#REF!</definedName>
    <definedName name="_add21" localSheetId="16" hidden="1">[1]tab17!#REF!</definedName>
    <definedName name="_Key1" localSheetId="16" hidden="1">#REF!</definedName>
    <definedName name="_Key2" localSheetId="16" hidden="1">#REF!</definedName>
    <definedName name="_Parse_Out" localSheetId="16" hidden="1">#REF!</definedName>
    <definedName name="_Sort" localSheetId="16" hidden="1">#REF!</definedName>
    <definedName name="jop" localSheetId="12">#REF!</definedName>
    <definedName name="kol" localSheetId="12">#REF!</definedName>
    <definedName name="RISKTOTASS" localSheetId="11">SUM('[6]Calculation of Risk Weighted As'!$C$38:$F$38)</definedName>
    <definedName name="RISKTOTASS" localSheetId="16">SUM('[7]Calculation of Risk Weighted As'!$C$41:$G$41)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6" hidden="1">{"BOP_TAB",#N/A,FALSE,"N";"MIDTERM_TAB",#N/A,FALSE,"O"}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6" hidden="1">{"MONA",#N/A,FALSE,"S"}</definedName>
    <definedName name="wrn.Output._.tables." localSheetId="16" hidden="1">{#N/A,#N/A,FALSE,"I";#N/A,#N/A,FALSE,"J";#N/A,#N/A,FALSE,"K";#N/A,#N/A,FALSE,"L";#N/A,#N/A,FALSE,"M";#N/A,#N/A,FALSE,"N";#N/A,#N/A,FALSE,"O"}</definedName>
    <definedName name="wrn.WEO." localSheetId="16" hidden="1">{"WEO",#N/A,FALSE,"T"}</definedName>
    <definedName name="ап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8">' Largest risk'!$A$1:$S$73</definedName>
    <definedName name="_xlnm.Print_Area" localSheetId="5">'Aging Analysis'!$A$1:$Y$39</definedName>
    <definedName name="_xlnm.Print_Area" localSheetId="2">'Analysis of Interest'!$A$1:$C$76</definedName>
    <definedName name="_xlnm.Print_Area" localSheetId="6">'Asset Classification'!$A$1:$AB$81</definedName>
    <definedName name="_xlnm.Print_Area" localSheetId="0">'Asset quality'!$A$1:$W$76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9">'Charge-offs and Recoveries'!$A$1:$E$30</definedName>
    <definedName name="_xlnm.Print_Area" localSheetId="13">'Deposits_av rate'!$A$1:$N$21</definedName>
    <definedName name="_xlnm.Print_Area" localSheetId="14">'Economic Normatives'!$A$1:$K$49</definedName>
    <definedName name="_xlnm.Print_Area" localSheetId="1">'Income '!$A$1:$E$80</definedName>
    <definedName name="_xlnm.Print_Area" localSheetId="4">'Loans Receivable'!$A$1:$Y$97</definedName>
    <definedName name="_xlnm.Print_Area" localSheetId="7">'Loans to Affiliated P.'!$A$1:$S$70</definedName>
    <definedName name="_xlnm.Print_Area" localSheetId="11">'loans type'!$A$1:$Z$43</definedName>
    <definedName name="_xlnm.Print_Area" localSheetId="10">'loans_av rate'!$A$1:$H$45</definedName>
    <definedName name="_xlnm.Print_Area" localSheetId="15">Miscellaneous!$A$1:$C$30</definedName>
    <definedName name="_xlnm.Print_Area" localSheetId="16">ПФУ!$A$1:$B$44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2" l="1"/>
  <c r="C16" i="21"/>
  <c r="G7" i="12" l="1"/>
  <c r="G8" i="12"/>
  <c r="G11" i="11"/>
  <c r="G9" i="11"/>
  <c r="G10" i="11"/>
  <c r="G8" i="11"/>
  <c r="G53" i="11" l="1"/>
  <c r="G57" i="11"/>
  <c r="G61" i="11"/>
  <c r="G55" i="11"/>
  <c r="G59" i="11"/>
  <c r="G7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3" i="11"/>
  <c r="G34" i="11"/>
  <c r="G35" i="11"/>
  <c r="G36" i="11"/>
  <c r="G37" i="11"/>
  <c r="G38" i="11"/>
  <c r="G39" i="11"/>
  <c r="G40" i="11"/>
  <c r="G42" i="11"/>
  <c r="G43" i="11"/>
  <c r="G44" i="11"/>
  <c r="G45" i="11"/>
  <c r="G46" i="11"/>
  <c r="G47" i="11"/>
  <c r="G48" i="11"/>
  <c r="G49" i="11"/>
  <c r="G50" i="11"/>
  <c r="G51" i="11"/>
  <c r="G52" i="11"/>
  <c r="G54" i="11"/>
  <c r="G56" i="11"/>
  <c r="G58" i="11"/>
  <c r="G60" i="11"/>
  <c r="G9" i="12" l="1"/>
  <c r="H65" i="11" l="1"/>
  <c r="H64" i="11"/>
  <c r="C12" i="21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54" i="10"/>
  <c r="C72" i="26" l="1"/>
  <c r="D14" i="6"/>
  <c r="D8" i="6"/>
  <c r="C99" i="24"/>
  <c r="M27" i="30"/>
  <c r="I27" i="30"/>
  <c r="G24" i="30"/>
  <c r="C24" i="30"/>
  <c r="P16" i="30"/>
  <c r="P15" i="30"/>
  <c r="P14" i="30"/>
  <c r="P13" i="30"/>
  <c r="P12" i="30"/>
  <c r="P11" i="30"/>
  <c r="P10" i="30"/>
  <c r="P9" i="30"/>
  <c r="P8" i="30"/>
  <c r="B38" i="42" l="1"/>
  <c r="B33" i="42"/>
  <c r="B35" i="42"/>
  <c r="B48" i="42"/>
  <c r="C48" i="42"/>
  <c r="D48" i="42"/>
  <c r="B49" i="42"/>
  <c r="C49" i="42"/>
  <c r="D49" i="42"/>
  <c r="B50" i="42"/>
  <c r="C50" i="42"/>
  <c r="D50" i="42"/>
  <c r="B51" i="42"/>
  <c r="C51" i="42"/>
  <c r="D51" i="42"/>
  <c r="B52" i="42"/>
  <c r="C52" i="42"/>
  <c r="D52" i="42"/>
  <c r="B53" i="42"/>
  <c r="C53" i="42"/>
  <c r="D53" i="42"/>
  <c r="B54" i="42"/>
  <c r="B29" i="42" s="1"/>
  <c r="C54" i="42"/>
  <c r="D54" i="42"/>
  <c r="C47" i="42"/>
  <c r="D47" i="42"/>
  <c r="B47" i="42"/>
  <c r="B30" i="42"/>
  <c r="B36" i="42" s="1"/>
  <c r="I21" i="20" l="1"/>
  <c r="I20" i="20"/>
  <c r="I19" i="20"/>
  <c r="I18" i="20"/>
  <c r="I17" i="20"/>
  <c r="I16" i="20"/>
  <c r="D70" i="10" l="1"/>
  <c r="C70" i="10"/>
  <c r="D69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C70" i="2" l="1"/>
  <c r="C66" i="2"/>
  <c r="C65" i="2"/>
  <c r="C64" i="2"/>
  <c r="C63" i="2"/>
  <c r="C62" i="2"/>
  <c r="C61" i="2"/>
  <c r="C60" i="2"/>
  <c r="C59" i="2"/>
  <c r="C58" i="2"/>
  <c r="C57" i="2"/>
  <c r="E33" i="40" l="1"/>
  <c r="E11" i="40"/>
  <c r="G11" i="40"/>
  <c r="I11" i="40"/>
  <c r="J11" i="40"/>
  <c r="K11" i="40"/>
  <c r="L11" i="40"/>
  <c r="M11" i="40"/>
  <c r="N11" i="40"/>
  <c r="O11" i="40"/>
  <c r="P11" i="40"/>
  <c r="Q11" i="40"/>
  <c r="R11" i="40"/>
  <c r="T11" i="40"/>
  <c r="U11" i="40"/>
  <c r="V11" i="40"/>
  <c r="W11" i="40"/>
  <c r="X11" i="40"/>
  <c r="Y11" i="40"/>
  <c r="Z11" i="40"/>
  <c r="C12" i="40"/>
  <c r="S12" i="40"/>
  <c r="C13" i="40"/>
  <c r="S13" i="40"/>
  <c r="C14" i="40"/>
  <c r="S14" i="40"/>
  <c r="C15" i="40"/>
  <c r="S15" i="40"/>
  <c r="E16" i="40"/>
  <c r="F16" i="40" s="1"/>
  <c r="G16" i="40"/>
  <c r="H16" i="40" s="1"/>
  <c r="I16" i="40"/>
  <c r="J16" i="40"/>
  <c r="K16" i="40"/>
  <c r="L16" i="40"/>
  <c r="M16" i="40"/>
  <c r="N16" i="40"/>
  <c r="O16" i="40"/>
  <c r="P16" i="40"/>
  <c r="Q16" i="40"/>
  <c r="R16" i="40"/>
  <c r="T16" i="40"/>
  <c r="U16" i="40"/>
  <c r="V16" i="40"/>
  <c r="W16" i="40"/>
  <c r="X16" i="40"/>
  <c r="Y16" i="40"/>
  <c r="Z16" i="40"/>
  <c r="C17" i="40"/>
  <c r="S17" i="40"/>
  <c r="C18" i="40"/>
  <c r="S18" i="40"/>
  <c r="C19" i="40"/>
  <c r="S19" i="40"/>
  <c r="C20" i="40"/>
  <c r="S20" i="40"/>
  <c r="C21" i="40"/>
  <c r="S21" i="40"/>
  <c r="C22" i="40"/>
  <c r="S22" i="40"/>
  <c r="C23" i="40"/>
  <c r="S23" i="40"/>
  <c r="C24" i="40"/>
  <c r="S24" i="40"/>
  <c r="E26" i="40"/>
  <c r="E25" i="40" s="1"/>
  <c r="F25" i="40" s="1"/>
  <c r="G26" i="40"/>
  <c r="H26" i="40" s="1"/>
  <c r="I26" i="40"/>
  <c r="I25" i="40" s="1"/>
  <c r="J26" i="40"/>
  <c r="J25" i="40" s="1"/>
  <c r="K26" i="40"/>
  <c r="K25" i="40" s="1"/>
  <c r="L26" i="40"/>
  <c r="L25" i="40" s="1"/>
  <c r="M26" i="40"/>
  <c r="M25" i="40" s="1"/>
  <c r="N26" i="40"/>
  <c r="N25" i="40" s="1"/>
  <c r="O26" i="40"/>
  <c r="P26" i="40"/>
  <c r="P25" i="40" s="1"/>
  <c r="Q26" i="40"/>
  <c r="Q25" i="40" s="1"/>
  <c r="R26" i="40"/>
  <c r="R25" i="40" s="1"/>
  <c r="T26" i="40"/>
  <c r="T25" i="40" s="1"/>
  <c r="U26" i="40"/>
  <c r="U25" i="40" s="1"/>
  <c r="V26" i="40"/>
  <c r="V25" i="40" s="1"/>
  <c r="W26" i="40"/>
  <c r="W25" i="40" s="1"/>
  <c r="X26" i="40"/>
  <c r="X25" i="40" s="1"/>
  <c r="Y26" i="40"/>
  <c r="Y25" i="40" s="1"/>
  <c r="Z26" i="40"/>
  <c r="Z25" i="40" s="1"/>
  <c r="C27" i="40"/>
  <c r="S27" i="40"/>
  <c r="C28" i="40"/>
  <c r="S28" i="40"/>
  <c r="C29" i="40"/>
  <c r="S29" i="40"/>
  <c r="C30" i="40"/>
  <c r="S30" i="40"/>
  <c r="C31" i="40"/>
  <c r="S31" i="40"/>
  <c r="C32" i="40"/>
  <c r="S32" i="40"/>
  <c r="G33" i="40"/>
  <c r="I33" i="40"/>
  <c r="K33" i="40"/>
  <c r="L33" i="40"/>
  <c r="M33" i="40"/>
  <c r="N33" i="40"/>
  <c r="O33" i="40"/>
  <c r="P33" i="40"/>
  <c r="Q33" i="40"/>
  <c r="R33" i="40"/>
  <c r="T33" i="40"/>
  <c r="U33" i="40"/>
  <c r="V33" i="40"/>
  <c r="W33" i="40"/>
  <c r="X33" i="40"/>
  <c r="Y33" i="40"/>
  <c r="Z33" i="40"/>
  <c r="C34" i="40"/>
  <c r="S34" i="40"/>
  <c r="C35" i="40"/>
  <c r="S35" i="40"/>
  <c r="C36" i="40"/>
  <c r="S36" i="40"/>
  <c r="C37" i="40"/>
  <c r="S37" i="40"/>
  <c r="C38" i="40"/>
  <c r="S38" i="40"/>
  <c r="C39" i="40"/>
  <c r="S39" i="40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G34" i="9"/>
  <c r="H34" i="9" s="1"/>
  <c r="E34" i="9"/>
  <c r="F28" i="9" s="1"/>
  <c r="J32" i="9"/>
  <c r="I32" i="9"/>
  <c r="J31" i="9"/>
  <c r="I31" i="9"/>
  <c r="J30" i="9"/>
  <c r="I30" i="9"/>
  <c r="J29" i="9"/>
  <c r="I29" i="9"/>
  <c r="F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F24" i="9" s="1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H33" i="40" l="1"/>
  <c r="O25" i="40"/>
  <c r="F33" i="40"/>
  <c r="S11" i="40"/>
  <c r="F25" i="9"/>
  <c r="F32" i="9"/>
  <c r="F34" i="9"/>
  <c r="G9" i="40"/>
  <c r="J34" i="9"/>
  <c r="J22" i="9"/>
  <c r="Y9" i="40"/>
  <c r="Y8" i="40" s="1"/>
  <c r="Z9" i="40"/>
  <c r="Z8" i="40" s="1"/>
  <c r="R9" i="40"/>
  <c r="R8" i="40" s="1"/>
  <c r="J9" i="40"/>
  <c r="J8" i="40" s="1"/>
  <c r="H9" i="9"/>
  <c r="H11" i="9"/>
  <c r="H17" i="9"/>
  <c r="H19" i="9"/>
  <c r="H10" i="9"/>
  <c r="H12" i="9"/>
  <c r="H18" i="9"/>
  <c r="F13" i="9"/>
  <c r="F22" i="9"/>
  <c r="F9" i="9"/>
  <c r="F17" i="9"/>
  <c r="F12" i="9"/>
  <c r="F20" i="9"/>
  <c r="V9" i="40"/>
  <c r="Q9" i="40"/>
  <c r="Q8" i="40" s="1"/>
  <c r="M9" i="40"/>
  <c r="M8" i="40" s="1"/>
  <c r="I9" i="40"/>
  <c r="I8" i="40" s="1"/>
  <c r="H29" i="9"/>
  <c r="H30" i="9"/>
  <c r="H31" i="9"/>
  <c r="H13" i="9"/>
  <c r="H14" i="9"/>
  <c r="H15" i="9"/>
  <c r="H16" i="9"/>
  <c r="H20" i="9"/>
  <c r="I22" i="9"/>
  <c r="I34" i="9"/>
  <c r="H25" i="9"/>
  <c r="H26" i="9"/>
  <c r="H27" i="9"/>
  <c r="H28" i="9"/>
  <c r="H32" i="9"/>
  <c r="S33" i="40"/>
  <c r="S26" i="40"/>
  <c r="S25" i="40" s="1"/>
  <c r="W9" i="40"/>
  <c r="X9" i="40"/>
  <c r="X8" i="40" s="1"/>
  <c r="T9" i="40"/>
  <c r="T8" i="40" s="1"/>
  <c r="U9" i="40"/>
  <c r="S16" i="40"/>
  <c r="N9" i="40"/>
  <c r="O9" i="40"/>
  <c r="P9" i="40"/>
  <c r="K9" i="40"/>
  <c r="K8" i="40" s="1"/>
  <c r="L9" i="40"/>
  <c r="L8" i="40" s="1"/>
  <c r="C33" i="40"/>
  <c r="D33" i="40" s="1"/>
  <c r="F26" i="40"/>
  <c r="E9" i="40"/>
  <c r="E8" i="40" s="1"/>
  <c r="F11" i="40"/>
  <c r="C26" i="40"/>
  <c r="C16" i="40"/>
  <c r="C11" i="40"/>
  <c r="H11" i="40"/>
  <c r="G25" i="40"/>
  <c r="H25" i="40" s="1"/>
  <c r="F10" i="9"/>
  <c r="F18" i="9"/>
  <c r="F30" i="9"/>
  <c r="F11" i="9"/>
  <c r="F19" i="9"/>
  <c r="F31" i="9"/>
  <c r="F14" i="9"/>
  <c r="F26" i="9"/>
  <c r="F15" i="9"/>
  <c r="F27" i="9"/>
  <c r="F16" i="9"/>
  <c r="W8" i="40" l="1"/>
  <c r="V8" i="40"/>
  <c r="U8" i="40"/>
  <c r="P8" i="40"/>
  <c r="N8" i="40"/>
  <c r="O8" i="40"/>
  <c r="D16" i="40"/>
  <c r="D11" i="40"/>
  <c r="S9" i="40"/>
  <c r="S8" i="40" s="1"/>
  <c r="H9" i="40"/>
  <c r="F9" i="40"/>
  <c r="F8" i="40" s="1"/>
  <c r="D26" i="40"/>
  <c r="C25" i="40"/>
  <c r="D25" i="40" s="1"/>
  <c r="C9" i="40"/>
  <c r="G8" i="40"/>
  <c r="D9" i="40" l="1"/>
  <c r="H8" i="40"/>
  <c r="C8" i="40"/>
  <c r="D8" i="40" l="1"/>
  <c r="Y91" i="24"/>
  <c r="X91" i="24"/>
  <c r="W91" i="24"/>
  <c r="V91" i="24"/>
  <c r="U91" i="24"/>
  <c r="T91" i="24"/>
  <c r="S91" i="24"/>
  <c r="R91" i="24"/>
  <c r="Q91" i="24"/>
  <c r="P91" i="24"/>
  <c r="N91" i="24"/>
  <c r="M91" i="24"/>
  <c r="L91" i="24"/>
  <c r="K91" i="24"/>
  <c r="J91" i="24"/>
  <c r="I91" i="24"/>
  <c r="Y90" i="24"/>
  <c r="X90" i="24"/>
  <c r="W90" i="24"/>
  <c r="V90" i="24"/>
  <c r="U90" i="24"/>
  <c r="T90" i="24"/>
  <c r="S90" i="24"/>
  <c r="R90" i="24"/>
  <c r="Q90" i="24"/>
  <c r="P90" i="24"/>
  <c r="N90" i="24"/>
  <c r="M90" i="24"/>
  <c r="L90" i="24"/>
  <c r="K90" i="24"/>
  <c r="J90" i="24"/>
  <c r="I90" i="24"/>
  <c r="H90" i="24"/>
  <c r="G90" i="24"/>
  <c r="F90" i="24"/>
  <c r="E90" i="24"/>
  <c r="D90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I89" i="24"/>
  <c r="H89" i="24"/>
  <c r="F89" i="24"/>
  <c r="D89" i="24"/>
  <c r="Y88" i="24"/>
  <c r="X88" i="24"/>
  <c r="W88" i="24"/>
  <c r="V88" i="24"/>
  <c r="U88" i="24"/>
  <c r="T88" i="24"/>
  <c r="S88" i="24"/>
  <c r="R88" i="24"/>
  <c r="Q88" i="24"/>
  <c r="P88" i="24"/>
  <c r="N88" i="24"/>
  <c r="M88" i="24"/>
  <c r="L88" i="24"/>
  <c r="K88" i="24"/>
  <c r="J88" i="24"/>
  <c r="I88" i="24"/>
  <c r="H88" i="24"/>
  <c r="G88" i="24"/>
  <c r="F88" i="24"/>
  <c r="E88" i="24"/>
  <c r="D88" i="24"/>
  <c r="Y87" i="24"/>
  <c r="X87" i="24"/>
  <c r="W87" i="24"/>
  <c r="V87" i="24"/>
  <c r="U87" i="24"/>
  <c r="T87" i="24"/>
  <c r="S87" i="24"/>
  <c r="R87" i="24"/>
  <c r="Q87" i="24"/>
  <c r="P87" i="24"/>
  <c r="N87" i="24"/>
  <c r="M87" i="24"/>
  <c r="L87" i="24"/>
  <c r="K87" i="24"/>
  <c r="J87" i="24"/>
  <c r="I87" i="24"/>
  <c r="Y86" i="24"/>
  <c r="X86" i="24"/>
  <c r="W86" i="24"/>
  <c r="V86" i="24"/>
  <c r="U86" i="24"/>
  <c r="T86" i="24"/>
  <c r="S86" i="24"/>
  <c r="R86" i="24"/>
  <c r="Q86" i="24"/>
  <c r="P86" i="24"/>
  <c r="N86" i="24"/>
  <c r="M86" i="24"/>
  <c r="L86" i="24"/>
  <c r="K86" i="24"/>
  <c r="J86" i="24"/>
  <c r="I86" i="24"/>
  <c r="H86" i="24"/>
  <c r="G86" i="24"/>
  <c r="F86" i="24"/>
  <c r="E86" i="24"/>
  <c r="D86" i="24"/>
  <c r="Y85" i="24"/>
  <c r="X85" i="24"/>
  <c r="W85" i="24"/>
  <c r="V85" i="24"/>
  <c r="U85" i="24"/>
  <c r="T85" i="24"/>
  <c r="S85" i="24"/>
  <c r="R85" i="24"/>
  <c r="Q85" i="24"/>
  <c r="P85" i="24"/>
  <c r="N85" i="24"/>
  <c r="M85" i="24"/>
  <c r="L85" i="24"/>
  <c r="K85" i="24"/>
  <c r="J85" i="24"/>
  <c r="I85" i="24"/>
  <c r="H85" i="24"/>
  <c r="G85" i="24"/>
  <c r="F85" i="24"/>
  <c r="E85" i="24"/>
  <c r="D85" i="24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G84" i="24"/>
  <c r="F84" i="24"/>
  <c r="E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G83" i="24" s="1"/>
  <c r="D83" i="24"/>
  <c r="E83" i="24" s="1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G82" i="24" s="1"/>
  <c r="D82" i="24"/>
  <c r="E82" i="24" s="1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G81" i="24" s="1"/>
  <c r="D81" i="24"/>
  <c r="E81" i="24" s="1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G80" i="24" s="1"/>
  <c r="D80" i="24"/>
  <c r="E80" i="24" s="1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D78" i="24"/>
  <c r="E78" i="24" s="1"/>
  <c r="O77" i="24"/>
  <c r="C77" i="24" s="1"/>
  <c r="O76" i="24"/>
  <c r="C76" i="24" s="1"/>
  <c r="O75" i="24"/>
  <c r="C75" i="24" s="1"/>
  <c r="O74" i="24"/>
  <c r="O88" i="24" s="1"/>
  <c r="O73" i="24"/>
  <c r="C73" i="24" s="1"/>
  <c r="O72" i="24"/>
  <c r="C72" i="24" s="1"/>
  <c r="O71" i="24"/>
  <c r="C71" i="24" s="1"/>
  <c r="O70" i="24"/>
  <c r="C70" i="24" s="1"/>
  <c r="O69" i="24"/>
  <c r="C69" i="24" s="1"/>
  <c r="O68" i="24"/>
  <c r="C68" i="24" s="1"/>
  <c r="O67" i="24"/>
  <c r="C67" i="24" s="1"/>
  <c r="Y65" i="24"/>
  <c r="X65" i="24"/>
  <c r="W65" i="24"/>
  <c r="V65" i="24"/>
  <c r="U65" i="24"/>
  <c r="T65" i="24"/>
  <c r="S65" i="24"/>
  <c r="R65" i="24"/>
  <c r="Q65" i="24"/>
  <c r="P65" i="24"/>
  <c r="N65" i="24"/>
  <c r="M65" i="24"/>
  <c r="L65" i="24"/>
  <c r="K65" i="24"/>
  <c r="J65" i="24"/>
  <c r="I65" i="24"/>
  <c r="H65" i="24"/>
  <c r="F65" i="24"/>
  <c r="G65" i="24" s="1"/>
  <c r="D65" i="24"/>
  <c r="E65" i="24" s="1"/>
  <c r="O64" i="24"/>
  <c r="C64" i="24" s="1"/>
  <c r="O63" i="24"/>
  <c r="O62" i="24"/>
  <c r="C62" i="24" s="1"/>
  <c r="O61" i="24"/>
  <c r="C61" i="24" s="1"/>
  <c r="O60" i="24"/>
  <c r="C60" i="24" s="1"/>
  <c r="O59" i="24"/>
  <c r="C59" i="24" s="1"/>
  <c r="O58" i="24"/>
  <c r="C58" i="24" s="1"/>
  <c r="Y56" i="24"/>
  <c r="X56" i="24"/>
  <c r="W56" i="24"/>
  <c r="V56" i="24"/>
  <c r="U56" i="24"/>
  <c r="T56" i="24"/>
  <c r="S56" i="24"/>
  <c r="R56" i="24"/>
  <c r="Q56" i="24"/>
  <c r="P56" i="24"/>
  <c r="N56" i="24"/>
  <c r="M56" i="24"/>
  <c r="L56" i="24"/>
  <c r="K56" i="24"/>
  <c r="J56" i="24"/>
  <c r="I56" i="24"/>
  <c r="H56" i="24"/>
  <c r="F56" i="24"/>
  <c r="G56" i="24" s="1"/>
  <c r="D56" i="24"/>
  <c r="E56" i="24" s="1"/>
  <c r="O55" i="24"/>
  <c r="C55" i="24" s="1"/>
  <c r="O54" i="24"/>
  <c r="C54" i="24" s="1"/>
  <c r="O53" i="24"/>
  <c r="C53" i="24" s="1"/>
  <c r="O52" i="24"/>
  <c r="C52" i="24" s="1"/>
  <c r="O51" i="24"/>
  <c r="C51" i="24" s="1"/>
  <c r="O50" i="24"/>
  <c r="Y48" i="24"/>
  <c r="X48" i="24"/>
  <c r="W48" i="24"/>
  <c r="V48" i="24"/>
  <c r="U48" i="24"/>
  <c r="T48" i="24"/>
  <c r="S48" i="24"/>
  <c r="R48" i="24"/>
  <c r="Q48" i="24"/>
  <c r="P48" i="24"/>
  <c r="N48" i="24"/>
  <c r="M48" i="24"/>
  <c r="L48" i="24"/>
  <c r="K48" i="24"/>
  <c r="J48" i="24"/>
  <c r="I48" i="24"/>
  <c r="H48" i="24"/>
  <c r="F48" i="24"/>
  <c r="G48" i="24" s="1"/>
  <c r="D48" i="24"/>
  <c r="E48" i="24" s="1"/>
  <c r="O47" i="24"/>
  <c r="C47" i="24" s="1"/>
  <c r="O46" i="24"/>
  <c r="C46" i="24" s="1"/>
  <c r="O45" i="24"/>
  <c r="C45" i="24" s="1"/>
  <c r="O44" i="24"/>
  <c r="C44" i="24" s="1"/>
  <c r="O43" i="24"/>
  <c r="C43" i="24" s="1"/>
  <c r="O42" i="24"/>
  <c r="Y40" i="24"/>
  <c r="X40" i="24"/>
  <c r="W40" i="24"/>
  <c r="V40" i="24"/>
  <c r="U40" i="24"/>
  <c r="T40" i="24"/>
  <c r="S40" i="24"/>
  <c r="R40" i="24"/>
  <c r="Q40" i="24"/>
  <c r="P40" i="24"/>
  <c r="N40" i="24"/>
  <c r="M40" i="24"/>
  <c r="L40" i="24"/>
  <c r="K40" i="24"/>
  <c r="J40" i="24"/>
  <c r="I40" i="24"/>
  <c r="H40" i="24"/>
  <c r="F40" i="24"/>
  <c r="G40" i="24" s="1"/>
  <c r="D40" i="24"/>
  <c r="E40" i="24" s="1"/>
  <c r="O39" i="24"/>
  <c r="C39" i="24" s="1"/>
  <c r="O38" i="24"/>
  <c r="C38" i="24" s="1"/>
  <c r="O37" i="24"/>
  <c r="C37" i="24" s="1"/>
  <c r="O36" i="24"/>
  <c r="C36" i="24" s="1"/>
  <c r="O35" i="24"/>
  <c r="C35" i="24" s="1"/>
  <c r="O34" i="24"/>
  <c r="Y32" i="24"/>
  <c r="X32" i="24"/>
  <c r="W32" i="24"/>
  <c r="V32" i="24"/>
  <c r="U32" i="24"/>
  <c r="T32" i="24"/>
  <c r="S32" i="24"/>
  <c r="R32" i="24"/>
  <c r="Q32" i="24"/>
  <c r="P32" i="24"/>
  <c r="N32" i="24"/>
  <c r="M32" i="24"/>
  <c r="L32" i="24"/>
  <c r="K32" i="24"/>
  <c r="J32" i="24"/>
  <c r="I32" i="24"/>
  <c r="H32" i="24"/>
  <c r="F32" i="24"/>
  <c r="G32" i="24" s="1"/>
  <c r="D32" i="24"/>
  <c r="E32" i="24" s="1"/>
  <c r="O31" i="24"/>
  <c r="C31" i="24" s="1"/>
  <c r="O30" i="24"/>
  <c r="C30" i="24" s="1"/>
  <c r="O29" i="24"/>
  <c r="C29" i="24" s="1"/>
  <c r="O28" i="24"/>
  <c r="C28" i="24" s="1"/>
  <c r="O27" i="24"/>
  <c r="C27" i="24" s="1"/>
  <c r="O26" i="24"/>
  <c r="C26" i="24" s="1"/>
  <c r="Y24" i="24"/>
  <c r="X24" i="24"/>
  <c r="W24" i="24"/>
  <c r="V24" i="24"/>
  <c r="U24" i="24"/>
  <c r="T24" i="24"/>
  <c r="S24" i="24"/>
  <c r="R24" i="24"/>
  <c r="Q24" i="24"/>
  <c r="P24" i="24"/>
  <c r="N24" i="24"/>
  <c r="M24" i="24"/>
  <c r="L24" i="24"/>
  <c r="K24" i="24"/>
  <c r="J24" i="24"/>
  <c r="I24" i="24"/>
  <c r="O23" i="24"/>
  <c r="O22" i="24"/>
  <c r="O21" i="24"/>
  <c r="C21" i="24" s="1"/>
  <c r="O20" i="24"/>
  <c r="C20" i="24" s="1"/>
  <c r="O19" i="24"/>
  <c r="O18" i="24"/>
  <c r="C18" i="24" s="1"/>
  <c r="O17" i="24"/>
  <c r="C17" i="24" s="1"/>
  <c r="Y15" i="24"/>
  <c r="X15" i="24"/>
  <c r="W15" i="24"/>
  <c r="V15" i="24"/>
  <c r="U15" i="24"/>
  <c r="T15" i="24"/>
  <c r="S15" i="24"/>
  <c r="R15" i="24"/>
  <c r="Q15" i="24"/>
  <c r="P15" i="24"/>
  <c r="N15" i="24"/>
  <c r="M15" i="24"/>
  <c r="L15" i="24"/>
  <c r="K15" i="24"/>
  <c r="J15" i="24"/>
  <c r="I15" i="24"/>
  <c r="H15" i="24"/>
  <c r="F15" i="24"/>
  <c r="G15" i="24" s="1"/>
  <c r="D15" i="24"/>
  <c r="E15" i="24" s="1"/>
  <c r="O14" i="24"/>
  <c r="O13" i="24"/>
  <c r="C13" i="24" s="1"/>
  <c r="O12" i="24"/>
  <c r="C12" i="24" s="1"/>
  <c r="O11" i="24"/>
  <c r="C11" i="24" s="1"/>
  <c r="O10" i="24"/>
  <c r="O9" i="24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C23" i="24" l="1"/>
  <c r="F91" i="24"/>
  <c r="G91" i="24" s="1"/>
  <c r="D91" i="24"/>
  <c r="E91" i="24" s="1"/>
  <c r="H91" i="24"/>
  <c r="C22" i="24"/>
  <c r="O91" i="24"/>
  <c r="C91" i="24" s="1"/>
  <c r="C20" i="9" s="1"/>
  <c r="C14" i="24"/>
  <c r="O80" i="24"/>
  <c r="C80" i="24" s="1"/>
  <c r="T92" i="24"/>
  <c r="O56" i="24"/>
  <c r="C56" i="24" s="1"/>
  <c r="C30" i="9" s="1"/>
  <c r="O48" i="24"/>
  <c r="C48" i="24" s="1"/>
  <c r="C29" i="9" s="1"/>
  <c r="O40" i="24"/>
  <c r="C40" i="24" s="1"/>
  <c r="C28" i="9" s="1"/>
  <c r="O87" i="24"/>
  <c r="C87" i="24" s="1"/>
  <c r="C11" i="9" s="1"/>
  <c r="O89" i="24"/>
  <c r="C89" i="24" s="1"/>
  <c r="C18" i="9" s="1"/>
  <c r="J92" i="24"/>
  <c r="L92" i="24"/>
  <c r="O81" i="24"/>
  <c r="C81" i="24" s="1"/>
  <c r="C13" i="9" s="1"/>
  <c r="S92" i="24"/>
  <c r="U92" i="24"/>
  <c r="W92" i="24"/>
  <c r="R92" i="24"/>
  <c r="O85" i="24"/>
  <c r="C85" i="24" s="1"/>
  <c r="C10" i="9" s="1"/>
  <c r="O86" i="24"/>
  <c r="C86" i="24" s="1"/>
  <c r="C9" i="9" s="1"/>
  <c r="O90" i="24"/>
  <c r="C90" i="24" s="1"/>
  <c r="C19" i="9" s="1"/>
  <c r="O32" i="24"/>
  <c r="C32" i="24" s="1"/>
  <c r="C27" i="9" s="1"/>
  <c r="O24" i="24"/>
  <c r="C24" i="24" s="1"/>
  <c r="C26" i="9" s="1"/>
  <c r="O15" i="24"/>
  <c r="C15" i="24" s="1"/>
  <c r="C25" i="9" s="1"/>
  <c r="V92" i="24"/>
  <c r="P92" i="24"/>
  <c r="X92" i="24"/>
  <c r="Q92" i="24"/>
  <c r="Y92" i="24"/>
  <c r="C9" i="24"/>
  <c r="C10" i="24"/>
  <c r="G89" i="24"/>
  <c r="K92" i="24"/>
  <c r="M92" i="24"/>
  <c r="I92" i="24"/>
  <c r="C88" i="24"/>
  <c r="C17" i="9" s="1"/>
  <c r="O82" i="24"/>
  <c r="C19" i="24"/>
  <c r="C74" i="24"/>
  <c r="O83" i="24"/>
  <c r="C83" i="24" s="1"/>
  <c r="C15" i="9" s="1"/>
  <c r="E89" i="24"/>
  <c r="C42" i="24"/>
  <c r="C63" i="24"/>
  <c r="O65" i="24"/>
  <c r="C65" i="24" s="1"/>
  <c r="C31" i="9" s="1"/>
  <c r="O84" i="24"/>
  <c r="C84" i="24" s="1"/>
  <c r="C16" i="9" s="1"/>
  <c r="C34" i="24"/>
  <c r="G78" i="24"/>
  <c r="O78" i="24"/>
  <c r="C78" i="24" s="1"/>
  <c r="C32" i="9" s="1"/>
  <c r="N92" i="24"/>
  <c r="C50" i="24"/>
  <c r="F87" i="24" l="1"/>
  <c r="F24" i="24"/>
  <c r="G24" i="24" s="1"/>
  <c r="D87" i="24"/>
  <c r="D24" i="24"/>
  <c r="E24" i="24" s="1"/>
  <c r="H87" i="24"/>
  <c r="H92" i="24" s="1"/>
  <c r="H24" i="24"/>
  <c r="C12" i="9"/>
  <c r="C34" i="9"/>
  <c r="D26" i="9" s="1"/>
  <c r="O92" i="24"/>
  <c r="C92" i="24" s="1"/>
  <c r="C82" i="24"/>
  <c r="C14" i="9" s="1"/>
  <c r="E87" i="24" l="1"/>
  <c r="D92" i="24"/>
  <c r="G87" i="24"/>
  <c r="F92" i="24"/>
  <c r="C22" i="9"/>
  <c r="D15" i="9" s="1"/>
  <c r="D28" i="9"/>
  <c r="D34" i="9"/>
  <c r="D29" i="9"/>
  <c r="D30" i="9"/>
  <c r="D32" i="9"/>
  <c r="D31" i="9"/>
  <c r="D27" i="9"/>
  <c r="D25" i="9"/>
  <c r="AB24" i="40"/>
  <c r="AB22" i="40"/>
  <c r="G92" i="24" l="1"/>
  <c r="E92" i="24"/>
  <c r="D20" i="9"/>
  <c r="D16" i="9"/>
  <c r="D13" i="9"/>
  <c r="D19" i="9"/>
  <c r="D11" i="9"/>
  <c r="D18" i="9"/>
  <c r="D14" i="9"/>
  <c r="D9" i="9"/>
  <c r="D17" i="9"/>
  <c r="D22" i="9"/>
  <c r="D10" i="9"/>
  <c r="D12" i="9"/>
  <c r="B3" i="42"/>
  <c r="B2" i="21" l="1"/>
  <c r="A2" i="42" l="1"/>
  <c r="I2" i="20"/>
  <c r="V3" i="40"/>
  <c r="F3" i="35"/>
  <c r="E3" i="13"/>
  <c r="N3" i="12"/>
  <c r="N3" i="11"/>
  <c r="U2" i="10"/>
  <c r="T3" i="9"/>
  <c r="T3" i="24"/>
  <c r="C3" i="6"/>
  <c r="C3" i="3"/>
  <c r="C3" i="2"/>
  <c r="B2" i="20"/>
  <c r="B2" i="30"/>
  <c r="B3" i="40"/>
  <c r="B3" i="35"/>
  <c r="B3" i="13"/>
  <c r="B3" i="12"/>
  <c r="B3" i="11"/>
  <c r="B2" i="10"/>
  <c r="B3" i="9"/>
  <c r="B3" i="24"/>
  <c r="B3" i="6"/>
  <c r="B3" i="3"/>
  <c r="B3" i="2"/>
  <c r="W77" i="10" l="1"/>
  <c r="S77" i="10"/>
  <c r="O77" i="10"/>
  <c r="O7" i="42" l="1"/>
  <c r="P68" i="10" l="1"/>
  <c r="K68" i="10"/>
  <c r="L65" i="11" l="1"/>
  <c r="L64" i="11"/>
  <c r="M68" i="12"/>
  <c r="M67" i="12"/>
  <c r="L68" i="12"/>
  <c r="L67" i="12"/>
  <c r="P13" i="42" l="1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B21" i="42" s="1"/>
  <c r="O15" i="42"/>
  <c r="O14" i="42"/>
  <c r="O12" i="42"/>
  <c r="O11" i="42"/>
  <c r="O9" i="42"/>
  <c r="O8" i="42"/>
  <c r="O6" i="42"/>
  <c r="O5" i="42"/>
  <c r="K25" i="20"/>
  <c r="B18" i="42" l="1"/>
  <c r="AC11" i="40" l="1"/>
  <c r="AB11" i="40"/>
  <c r="AC16" i="40"/>
  <c r="AB16" i="40"/>
  <c r="AC32" i="40"/>
  <c r="AC31" i="40"/>
  <c r="AC30" i="40"/>
  <c r="AC29" i="40"/>
  <c r="AC28" i="40"/>
  <c r="AC27" i="40"/>
  <c r="AC23" i="40"/>
  <c r="AC21" i="40"/>
  <c r="AB32" i="40"/>
  <c r="AB31" i="40"/>
  <c r="AB30" i="40"/>
  <c r="AB29" i="40"/>
  <c r="AB28" i="40"/>
  <c r="AB27" i="40"/>
  <c r="AB23" i="40"/>
  <c r="AB21" i="40"/>
  <c r="G56" i="12" l="1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0" i="12"/>
  <c r="G39" i="12"/>
  <c r="G38" i="12"/>
  <c r="G37" i="12"/>
  <c r="L9" i="35" l="1"/>
  <c r="K9" i="35" l="1"/>
  <c r="J9" i="35" l="1"/>
  <c r="C74" i="2" l="1"/>
  <c r="C73" i="2"/>
  <c r="C50" i="2"/>
  <c r="C49" i="2"/>
  <c r="C48" i="2"/>
  <c r="C47" i="2"/>
  <c r="C46" i="2"/>
  <c r="C42" i="2"/>
  <c r="C41" i="2"/>
  <c r="C40" i="2"/>
  <c r="C39" i="2"/>
  <c r="C38" i="2"/>
  <c r="C34" i="2"/>
  <c r="C33" i="2"/>
  <c r="C32" i="2"/>
  <c r="C31" i="2"/>
  <c r="C23" i="13" s="1"/>
  <c r="C26" i="2"/>
  <c r="C25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D67" i="2" l="1"/>
  <c r="C52" i="41" l="1"/>
  <c r="C25" i="41"/>
  <c r="C31" i="41" s="1"/>
  <c r="C54" i="41"/>
  <c r="C3" i="41"/>
  <c r="B3" i="41"/>
  <c r="X68" i="10" l="1"/>
  <c r="W68" i="10"/>
  <c r="V68" i="10"/>
  <c r="U68" i="10"/>
  <c r="T68" i="10"/>
  <c r="S68" i="10"/>
  <c r="R68" i="10"/>
  <c r="Q68" i="10"/>
  <c r="O68" i="10"/>
  <c r="N68" i="10"/>
  <c r="M68" i="10"/>
  <c r="L68" i="10"/>
  <c r="J68" i="10"/>
  <c r="I68" i="10"/>
  <c r="H68" i="10"/>
  <c r="G68" i="10"/>
  <c r="F68" i="10"/>
  <c r="E68" i="10"/>
  <c r="Z64" i="10"/>
  <c r="C64" i="10"/>
  <c r="Z67" i="10"/>
  <c r="C67" i="10"/>
  <c r="Z66" i="10"/>
  <c r="C66" i="10"/>
  <c r="Z65" i="10"/>
  <c r="C65" i="10"/>
  <c r="Z63" i="10"/>
  <c r="C63" i="10"/>
  <c r="Z62" i="10"/>
  <c r="C62" i="10"/>
  <c r="Z61" i="10"/>
  <c r="C61" i="10"/>
  <c r="Z60" i="10"/>
  <c r="C60" i="10"/>
  <c r="Z59" i="10"/>
  <c r="C59" i="10"/>
  <c r="Z58" i="10"/>
  <c r="C58" i="10"/>
  <c r="Z57" i="10"/>
  <c r="C57" i="10"/>
  <c r="Z56" i="10"/>
  <c r="C56" i="10"/>
  <c r="Z55" i="10"/>
  <c r="C55" i="10"/>
  <c r="Z54" i="10"/>
  <c r="C54" i="10"/>
  <c r="E27" i="2"/>
  <c r="E16" i="2"/>
  <c r="D16" i="2"/>
  <c r="E43" i="2"/>
  <c r="D43" i="2"/>
  <c r="E51" i="2"/>
  <c r="D51" i="2"/>
  <c r="C67" i="2"/>
  <c r="K77" i="10"/>
  <c r="I77" i="10"/>
  <c r="G77" i="10"/>
  <c r="E77" i="10"/>
  <c r="M77" i="10"/>
  <c r="Q77" i="10"/>
  <c r="U77" i="10"/>
  <c r="M50" i="10"/>
  <c r="Q50" i="10"/>
  <c r="Q71" i="10" s="1"/>
  <c r="U50" i="10"/>
  <c r="U71" i="10" s="1"/>
  <c r="Z68" i="10" l="1"/>
  <c r="D68" i="10"/>
  <c r="M71" i="10"/>
  <c r="B14" i="42"/>
  <c r="Y68" i="10"/>
  <c r="C68" i="10"/>
  <c r="D23" i="2"/>
  <c r="E23" i="2"/>
  <c r="E28" i="2" s="1"/>
  <c r="E30" i="2" s="1"/>
  <c r="E35" i="2" s="1"/>
  <c r="E53" i="2" s="1"/>
  <c r="E69" i="2" s="1"/>
  <c r="E72" i="2" s="1"/>
  <c r="E76" i="2" s="1"/>
  <c r="Y77" i="10"/>
  <c r="C55" i="26" l="1"/>
  <c r="I55" i="26"/>
  <c r="N64" i="26" l="1"/>
  <c r="C64" i="26" s="1"/>
  <c r="I64" i="26"/>
  <c r="N63" i="26" l="1"/>
  <c r="I9" i="30" l="1"/>
  <c r="C9" i="30"/>
  <c r="Q9" i="30" l="1"/>
  <c r="E48" i="35"/>
  <c r="C15" i="30" l="1"/>
  <c r="C14" i="30"/>
  <c r="C13" i="30"/>
  <c r="C12" i="30"/>
  <c r="C11" i="30"/>
  <c r="C10" i="30"/>
  <c r="I15" i="30"/>
  <c r="I14" i="30"/>
  <c r="I13" i="30"/>
  <c r="I12" i="30"/>
  <c r="I11" i="30"/>
  <c r="I10" i="30"/>
  <c r="I8" i="30"/>
  <c r="C8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C14" i="35"/>
  <c r="C13" i="35"/>
  <c r="C12" i="35"/>
  <c r="C11" i="35"/>
  <c r="C10" i="35"/>
  <c r="Q14" i="30" l="1"/>
  <c r="Q15" i="30"/>
  <c r="Q10" i="30"/>
  <c r="Q11" i="30"/>
  <c r="Q8" i="30"/>
  <c r="Q13" i="30"/>
  <c r="Q12" i="30"/>
  <c r="AA11" i="40"/>
  <c r="AA22" i="40"/>
  <c r="AA24" i="40"/>
  <c r="AA23" i="40"/>
  <c r="AA29" i="40"/>
  <c r="AA28" i="40"/>
  <c r="AA32" i="40"/>
  <c r="AA27" i="40"/>
  <c r="AA31" i="40"/>
  <c r="AA21" i="40"/>
  <c r="AA30" i="40"/>
  <c r="AA16" i="40"/>
  <c r="H31" i="10"/>
  <c r="P62" i="26" l="1"/>
  <c r="G63" i="11" l="1"/>
  <c r="G66" i="12"/>
  <c r="G65" i="12"/>
  <c r="G64" i="12"/>
  <c r="G63" i="12"/>
  <c r="G62" i="12"/>
  <c r="G61" i="12"/>
  <c r="G60" i="12"/>
  <c r="G59" i="12"/>
  <c r="G58" i="12"/>
  <c r="G57" i="12"/>
  <c r="G41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65" i="11" l="1"/>
  <c r="G64" i="11"/>
  <c r="P9" i="26"/>
  <c r="K78" i="10" l="1"/>
  <c r="C34" i="26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P68" i="12" l="1"/>
  <c r="P67" i="12"/>
  <c r="K68" i="12"/>
  <c r="J68" i="12"/>
  <c r="I68" i="12"/>
  <c r="H68" i="12"/>
  <c r="K67" i="12"/>
  <c r="J67" i="12"/>
  <c r="I67" i="12"/>
  <c r="H67" i="12"/>
  <c r="G68" i="12"/>
  <c r="G67" i="12"/>
  <c r="I60" i="26" l="1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3" i="35" l="1"/>
  <c r="H33" i="35" s="1"/>
  <c r="E33" i="35"/>
  <c r="C33" i="35"/>
  <c r="G24" i="35"/>
  <c r="E24" i="35"/>
  <c r="C24" i="35"/>
  <c r="G16" i="35"/>
  <c r="H16" i="35" s="1"/>
  <c r="E16" i="35"/>
  <c r="F16" i="35" s="1"/>
  <c r="C16" i="35"/>
  <c r="D16" i="35" s="1"/>
  <c r="G8" i="35"/>
  <c r="E8" i="35"/>
  <c r="C8" i="35"/>
  <c r="C16" i="30"/>
  <c r="C25" i="30" s="1"/>
  <c r="C26" i="30" s="1"/>
  <c r="D33" i="35" l="1"/>
  <c r="F33" i="35"/>
  <c r="AA25" i="40"/>
  <c r="AB25" i="40"/>
  <c r="L8" i="35"/>
  <c r="L10" i="35" s="1"/>
  <c r="D8" i="35"/>
  <c r="J8" i="35"/>
  <c r="J10" i="35" s="1"/>
  <c r="F8" i="35"/>
  <c r="K8" i="35"/>
  <c r="K10" i="35" s="1"/>
  <c r="AC25" i="40"/>
  <c r="G51" i="35"/>
  <c r="H8" i="35"/>
  <c r="D16" i="30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C62" i="26" l="1"/>
  <c r="I62" i="26"/>
  <c r="Z33" i="9"/>
  <c r="Z24" i="9"/>
  <c r="Z23" i="9"/>
  <c r="Z21" i="9"/>
  <c r="C6" i="10" l="1"/>
  <c r="M16" i="30" l="1"/>
  <c r="M28" i="30" s="1"/>
  <c r="M29" i="30" s="1"/>
  <c r="K16" i="30"/>
  <c r="L16" i="30" s="1"/>
  <c r="I16" i="30"/>
  <c r="G16" i="30"/>
  <c r="G25" i="30" s="1"/>
  <c r="G26" i="30" s="1"/>
  <c r="E16" i="30"/>
  <c r="F16" i="30" s="1"/>
  <c r="I28" i="30" l="1"/>
  <c r="I29" i="30" s="1"/>
  <c r="Q16" i="30"/>
  <c r="N16" i="30"/>
  <c r="H16" i="30"/>
  <c r="J16" i="30"/>
  <c r="M9" i="26"/>
  <c r="L9" i="26"/>
  <c r="K9" i="26"/>
  <c r="J9" i="26"/>
  <c r="K2" i="30" l="1"/>
  <c r="O3" i="12" l="1"/>
  <c r="S62" i="26"/>
  <c r="R62" i="26"/>
  <c r="Q62" i="26"/>
  <c r="O62" i="26"/>
  <c r="N62" i="26"/>
  <c r="P64" i="11" l="1"/>
  <c r="P65" i="11"/>
  <c r="I64" i="11"/>
  <c r="J64" i="11"/>
  <c r="K64" i="11"/>
  <c r="M64" i="11"/>
  <c r="I65" i="11"/>
  <c r="J65" i="11"/>
  <c r="K65" i="11"/>
  <c r="M65" i="11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V50" i="10"/>
  <c r="V71" i="10" s="1"/>
  <c r="T50" i="10"/>
  <c r="T71" i="10" s="1"/>
  <c r="S50" i="10"/>
  <c r="R50" i="10"/>
  <c r="R71" i="10" s="1"/>
  <c r="P50" i="10"/>
  <c r="P71" i="10" s="1"/>
  <c r="O50" i="10"/>
  <c r="N50" i="10"/>
  <c r="N71" i="10" s="1"/>
  <c r="L50" i="10"/>
  <c r="K50" i="10"/>
  <c r="J50" i="10"/>
  <c r="I50" i="10"/>
  <c r="H50" i="10"/>
  <c r="H71" i="10" s="1"/>
  <c r="G50" i="10"/>
  <c r="F50" i="10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69" i="10"/>
  <c r="Z34" i="10"/>
  <c r="G50" i="35"/>
  <c r="G52" i="35" s="1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F71" i="10" l="1"/>
  <c r="L71" i="10"/>
  <c r="J71" i="10"/>
  <c r="C50" i="35"/>
  <c r="C52" i="35" s="1"/>
  <c r="AF8" i="40"/>
  <c r="AE8" i="40"/>
  <c r="AB9" i="40"/>
  <c r="AB10" i="40" s="1"/>
  <c r="AB8" i="40"/>
  <c r="AC9" i="40"/>
  <c r="AC10" i="40" s="1"/>
  <c r="AC8" i="40"/>
  <c r="AD9" i="40"/>
  <c r="AD10" i="40" s="1"/>
  <c r="AE9" i="40"/>
  <c r="AE10" i="40" s="1"/>
  <c r="AF9" i="40"/>
  <c r="AF10" i="40" s="1"/>
  <c r="Y31" i="10"/>
  <c r="AD8" i="40"/>
  <c r="B11" i="42"/>
  <c r="I71" i="10"/>
  <c r="I79" i="10"/>
  <c r="M79" i="10"/>
  <c r="Q79" i="10"/>
  <c r="U79" i="10"/>
  <c r="K71" i="10"/>
  <c r="K80" i="10" s="1"/>
  <c r="K79" i="10"/>
  <c r="S71" i="10"/>
  <c r="S79" i="10"/>
  <c r="W71" i="10"/>
  <c r="W79" i="10"/>
  <c r="O71" i="10"/>
  <c r="O79" i="10"/>
  <c r="E79" i="10"/>
  <c r="G71" i="10"/>
  <c r="G79" i="10"/>
  <c r="Z30" i="10"/>
  <c r="Y30" i="10"/>
  <c r="Z31" i="10"/>
  <c r="D30" i="10"/>
  <c r="G54" i="35" s="1"/>
  <c r="D31" i="10"/>
  <c r="D50" i="10"/>
  <c r="C51" i="10"/>
  <c r="C31" i="10"/>
  <c r="C30" i="10"/>
  <c r="D51" i="10"/>
  <c r="C50" i="10"/>
  <c r="Z50" i="10"/>
  <c r="Z71" i="10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D71" i="10" l="1"/>
  <c r="C54" i="35"/>
  <c r="C56" i="35" s="1"/>
  <c r="G48" i="35"/>
  <c r="G56" i="35"/>
  <c r="C48" i="35" l="1"/>
  <c r="S9" i="26" l="1"/>
  <c r="R9" i="26"/>
  <c r="Q9" i="26"/>
  <c r="I12" i="26"/>
  <c r="I9" i="26" s="1"/>
  <c r="W78" i="10" l="1"/>
  <c r="W80" i="10" s="1"/>
  <c r="O78" i="10"/>
  <c r="O80" i="10" s="1"/>
  <c r="S78" i="10"/>
  <c r="S80" i="10" s="1"/>
  <c r="E9" i="26"/>
  <c r="O9" i="26"/>
  <c r="H9" i="26"/>
  <c r="G9" i="26"/>
  <c r="F9" i="26"/>
  <c r="Y78" i="10" l="1"/>
  <c r="G78" i="10"/>
  <c r="G80" i="10" s="1"/>
  <c r="N9" i="26"/>
  <c r="C12" i="26"/>
  <c r="E15" i="13"/>
  <c r="D15" i="13"/>
  <c r="C21" i="13" s="1"/>
  <c r="C15" i="13"/>
  <c r="B15" i="13"/>
  <c r="C22" i="13" s="1"/>
  <c r="Z22" i="9"/>
  <c r="C70" i="3"/>
  <c r="C61" i="3"/>
  <c r="C52" i="3"/>
  <c r="C36" i="3"/>
  <c r="C28" i="3"/>
  <c r="C19" i="3"/>
  <c r="C14" i="3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Y34" i="10"/>
  <c r="C51" i="2"/>
  <c r="B26" i="42" s="1"/>
  <c r="C43" i="2"/>
  <c r="C7" i="6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6" i="2"/>
  <c r="C23" i="2"/>
  <c r="AA34" i="10"/>
  <c r="AA35" i="10" s="1"/>
  <c r="AA48" i="10"/>
  <c r="AA49" i="10" s="1"/>
  <c r="AA44" i="10"/>
  <c r="AA45" i="10" s="1"/>
  <c r="AA42" i="10"/>
  <c r="AA43" i="10" s="1"/>
  <c r="AA40" i="10"/>
  <c r="AA41" i="10" s="1"/>
  <c r="AA38" i="10"/>
  <c r="AA39" i="10" s="1"/>
  <c r="AA36" i="10"/>
  <c r="AA37" i="10" s="1"/>
  <c r="AA46" i="10"/>
  <c r="AA47" i="10" s="1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A22" i="10"/>
  <c r="AA23" i="10" s="1"/>
  <c r="AA16" i="10"/>
  <c r="AA17" i="10" s="1"/>
  <c r="AA26" i="10"/>
  <c r="AA27" i="10" s="1"/>
  <c r="C25" i="13"/>
  <c r="AA18" i="10"/>
  <c r="AA19" i="10" s="1"/>
  <c r="AA10" i="10"/>
  <c r="AA11" i="10" s="1"/>
  <c r="AA28" i="10"/>
  <c r="AA29" i="10" s="1"/>
  <c r="AA20" i="10"/>
  <c r="AA21" i="10" s="1"/>
  <c r="AA14" i="10"/>
  <c r="AA15" i="10" s="1"/>
  <c r="AA8" i="10"/>
  <c r="AA9" i="10" s="1"/>
  <c r="AA24" i="10"/>
  <c r="AA25" i="10" s="1"/>
  <c r="Y50" i="10"/>
  <c r="C42" i="3"/>
  <c r="G16" i="2" s="1"/>
  <c r="C63" i="3"/>
  <c r="C72" i="3" s="1"/>
  <c r="G28" i="2" s="1"/>
  <c r="Z34" i="9"/>
  <c r="Y79" i="10" l="1"/>
  <c r="K32" i="9"/>
  <c r="K34" i="9"/>
  <c r="K31" i="9"/>
  <c r="K29" i="9"/>
  <c r="K28" i="9"/>
  <c r="K30" i="9"/>
  <c r="K27" i="9"/>
  <c r="K26" i="9"/>
  <c r="K25" i="9"/>
  <c r="AA12" i="10"/>
  <c r="AA13" i="10" s="1"/>
  <c r="AA9" i="40"/>
  <c r="F25" i="13"/>
  <c r="AA6" i="10"/>
  <c r="AA7" i="10" s="1"/>
  <c r="Y71" i="10"/>
  <c r="Y80" i="10" s="1"/>
  <c r="K39" i="20"/>
  <c r="K27" i="20"/>
  <c r="AA8" i="40" l="1"/>
  <c r="B15" i="42"/>
  <c r="B13" i="42" s="1"/>
  <c r="E46" i="41"/>
  <c r="C45" i="41"/>
  <c r="C44" i="41"/>
  <c r="D52" i="41"/>
  <c r="C46" i="41" l="1"/>
  <c r="C43" i="41" s="1"/>
  <c r="C35" i="41" s="1"/>
  <c r="C40" i="41" s="1"/>
  <c r="K44" i="20" l="1"/>
  <c r="C51" i="41"/>
  <c r="K32" i="20" l="1"/>
  <c r="B39" i="42" l="1"/>
  <c r="B12" i="42"/>
  <c r="B10" i="42" s="1"/>
  <c r="F50" i="42"/>
  <c r="G50" i="42"/>
  <c r="H50" i="42"/>
  <c r="C100" i="24"/>
  <c r="B32" i="42" l="1"/>
  <c r="B31" i="42" s="1"/>
  <c r="K21" i="20" l="1"/>
  <c r="K16" i="20"/>
  <c r="K18" i="20" l="1"/>
  <c r="K17" i="20"/>
  <c r="B28" i="42" l="1"/>
  <c r="B34" i="42"/>
  <c r="K20" i="20" l="1"/>
  <c r="K19" i="20"/>
  <c r="B37" i="42" l="1"/>
  <c r="C24" i="2" l="1"/>
  <c r="C27" i="2" s="1"/>
  <c r="C28" i="2" s="1"/>
  <c r="C30" i="2" s="1"/>
  <c r="D27" i="2"/>
  <c r="D28" i="2" s="1"/>
  <c r="D30" i="2" s="1"/>
  <c r="D35" i="2" s="1"/>
  <c r="D53" i="2" s="1"/>
  <c r="D69" i="2" s="1"/>
  <c r="D72" i="2" s="1"/>
  <c r="D76" i="2" s="1"/>
  <c r="B23" i="42" l="1"/>
  <c r="B27" i="42"/>
  <c r="C35" i="2"/>
  <c r="C53" i="2" s="1"/>
  <c r="C69" i="2" s="1"/>
  <c r="B24" i="42" l="1"/>
  <c r="B22" i="42" s="1"/>
  <c r="B25" i="42"/>
  <c r="C72" i="2"/>
  <c r="C76" i="2" s="1"/>
  <c r="B17" i="42"/>
  <c r="B16" i="42" s="1"/>
  <c r="C8" i="6" l="1"/>
  <c r="C14" i="6" s="1"/>
  <c r="B20" i="42"/>
  <c r="B19" i="42" s="1"/>
  <c r="D9" i="26" l="1"/>
  <c r="C60" i="26"/>
  <c r="C9" i="26" l="1"/>
  <c r="E69" i="10"/>
  <c r="B6" i="42"/>
  <c r="B9" i="42" s="1"/>
  <c r="C69" i="10" l="1"/>
  <c r="C71" i="10" s="1"/>
  <c r="E71" i="10"/>
  <c r="B8" i="42"/>
  <c r="B7" i="42" s="1"/>
  <c r="I34" i="20"/>
  <c r="K34" i="20" s="1"/>
  <c r="I36" i="20"/>
  <c r="K36" i="20" s="1"/>
  <c r="I23" i="20"/>
  <c r="K23" i="20" s="1"/>
  <c r="I29" i="20"/>
  <c r="K29" i="20" s="1"/>
  <c r="I41" i="20"/>
  <c r="K41" i="20" s="1"/>
  <c r="I9" i="20" l="1"/>
  <c r="K9" i="20" s="1"/>
  <c r="I7" i="20"/>
  <c r="K7" i="20" s="1"/>
  <c r="B5" i="42" l="1"/>
  <c r="B4" i="42" s="1"/>
  <c r="I11" i="20" l="1"/>
  <c r="K11" i="20" s="1"/>
  <c r="I13" i="20" l="1"/>
  <c r="K13" i="20" s="1"/>
  <c r="J33" i="40"/>
</calcChain>
</file>

<file path=xl/sharedStrings.xml><?xml version="1.0" encoding="utf-8"?>
<sst xmlns="http://schemas.openxmlformats.org/spreadsheetml/2006/main" count="1802" uniqueCount="1011">
  <si>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</si>
  <si>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</si>
  <si>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</si>
  <si>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</si>
  <si>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</si>
  <si>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</si>
  <si>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</si>
  <si>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</si>
  <si>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</si>
  <si>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</si>
  <si>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</si>
  <si>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</si>
  <si>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</si>
  <si>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</si>
  <si>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</si>
  <si>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</si>
  <si>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</si>
  <si>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</si>
  <si>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</si>
  <si>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</si>
  <si>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</si>
  <si>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</si>
  <si>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</si>
  <si>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</si>
  <si>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</si>
  <si>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</si>
  <si>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</si>
  <si>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</si>
  <si>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</si>
  <si>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</si>
  <si>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</si>
  <si>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</si>
  <si>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</si>
  <si>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</si>
  <si>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</si>
  <si>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</si>
  <si>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</si>
  <si>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</si>
  <si>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</si>
  <si>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</si>
  <si>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</si>
  <si>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</si>
  <si>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</si>
  <si>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</si>
  <si>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</si>
  <si>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</si>
  <si>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</si>
  <si>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</si>
  <si>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</si>
  <si>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</si>
  <si>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</si>
  <si>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</si>
  <si>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</si>
  <si>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</si>
  <si>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>Гарантированные Правительством Республики Узбекистан в иностранной валюте (экв.сум)</t>
  </si>
  <si>
    <t>2.2</t>
  </si>
  <si>
    <t>Общие резервы (1%)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</si>
  <si>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</si>
  <si>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</si>
  <si>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</si>
  <si>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</si>
  <si>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</si>
  <si>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</si>
  <si>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</si>
  <si>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</si>
  <si>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</si>
  <si>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</si>
  <si>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</si>
  <si>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</si>
  <si>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</si>
  <si>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</si>
  <si>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</si>
  <si>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</si>
  <si>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</si>
  <si>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</si>
  <si>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</si>
  <si>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</si>
  <si>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</si>
  <si>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</si>
  <si>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</si>
  <si>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</si>
  <si>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</si>
  <si>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</si>
  <si>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</si>
  <si>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</si>
  <si>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</si>
  <si>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Другие ценные бумаги</t>
  </si>
  <si>
    <t>(Ж)</t>
  </si>
  <si>
    <t>Аккредитивы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</si>
  <si>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</si>
  <si>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</si>
  <si>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</si>
  <si>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</si>
  <si>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</si>
  <si>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</si>
  <si>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</si>
  <si>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</si>
  <si>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</si>
  <si>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</si>
  <si>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</si>
  <si>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</si>
  <si>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</si>
  <si>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</si>
  <si>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</si>
  <si>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</si>
  <si>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</si>
  <si>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</si>
  <si>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</si>
  <si>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</si>
  <si>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</si>
  <si>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</si>
  <si>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</si>
  <si>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</si>
  <si>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</si>
  <si>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</si>
  <si>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</si>
  <si>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</si>
  <si>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</si>
  <si>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</si>
  <si>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</si>
  <si>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</si>
  <si>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</si>
  <si>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</si>
  <si>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</si>
  <si>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</si>
  <si>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</si>
  <si>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</si>
  <si>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</si>
  <si>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</si>
  <si>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</si>
  <si>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</si>
  <si>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</si>
  <si>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</si>
  <si>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</si>
  <si>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</si>
  <si>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</si>
  <si>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</si>
  <si>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</si>
  <si>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</si>
  <si>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</si>
  <si>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</si>
  <si>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</si>
  <si>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</si>
  <si>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</si>
  <si>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</si>
  <si>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</si>
  <si>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</si>
  <si>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</si>
  <si>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</si>
  <si>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</si>
  <si>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</si>
  <si>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</si>
  <si>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</si>
  <si>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</si>
  <si>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</si>
  <si>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</si>
  <si>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</si>
  <si>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</si>
  <si>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</si>
  <si>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</si>
  <si>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</si>
  <si>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</si>
  <si>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</si>
  <si>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</si>
  <si>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</si>
  <si>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</si>
  <si>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</si>
  <si>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</si>
  <si>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</si>
  <si>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</si>
  <si>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</si>
  <si>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</si>
  <si>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</si>
  <si>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</si>
  <si>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</si>
  <si>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</si>
  <si>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</si>
  <si>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</si>
  <si>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</si>
  <si>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</si>
  <si>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</si>
  <si>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</si>
  <si>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</si>
  <si>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</si>
  <si>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</si>
  <si>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</si>
  <si>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</si>
  <si>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</si>
  <si>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</si>
  <si>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</si>
  <si>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</si>
  <si>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</si>
  <si>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</si>
  <si>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</si>
  <si>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</si>
  <si>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Наименования клиента</t>
  </si>
  <si>
    <t>Номер группы</t>
  </si>
  <si>
    <t>Пересмотрения</t>
  </si>
  <si>
    <t>Классификация</t>
  </si>
  <si>
    <t>Источник кредита</t>
  </si>
  <si>
    <t>В</t>
  </si>
  <si>
    <t>Е</t>
  </si>
  <si>
    <t>Часть 1 Списания и возврат</t>
  </si>
  <si>
    <t>Списание - А</t>
  </si>
  <si>
    <t>Возврат - Б</t>
  </si>
  <si>
    <t>в иностранной валюте</t>
  </si>
  <si>
    <t>1. Промышленность</t>
  </si>
  <si>
    <t>2. Сельское хозяйство</t>
  </si>
  <si>
    <t>3. Транспорт и коммуникации</t>
  </si>
  <si>
    <t>4. Строительство</t>
  </si>
  <si>
    <t>5. Торговля и общественное питание</t>
  </si>
  <si>
    <t>6. Материально-техническое снабжение и сбыт</t>
  </si>
  <si>
    <t>7. Жилищно-коммунальные услуги</t>
  </si>
  <si>
    <t>8. Другие сектора</t>
  </si>
  <si>
    <t>9. Итого</t>
  </si>
  <si>
    <t>Часть 2</t>
  </si>
  <si>
    <t>Изменения в резерве возможных убытков по кредитам и лизингу</t>
  </si>
  <si>
    <t>1. Остаток на начало текущего года</t>
  </si>
  <si>
    <t>2. Плюс: Возвращенные платежи</t>
  </si>
  <si>
    <t>3. Минус: Списанные кредиты и лизинги</t>
  </si>
  <si>
    <t>4. Отчисления в резерв по состоянию на дату от начала года</t>
  </si>
  <si>
    <t>5. Поправки</t>
  </si>
  <si>
    <t>6. Текущий баланс</t>
  </si>
  <si>
    <t>ВСЕГО</t>
  </si>
  <si>
    <t>Бессрочные</t>
  </si>
  <si>
    <t>3.</t>
  </si>
  <si>
    <t>К получению из других банков</t>
  </si>
  <si>
    <t>Другие активы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</si>
  <si>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</si>
  <si>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</si>
  <si>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</si>
  <si>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</si>
  <si>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</si>
  <si>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</si>
  <si>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</si>
  <si>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</si>
  <si>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</si>
  <si>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</si>
  <si>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</si>
  <si>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</si>
  <si>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</si>
  <si>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</si>
  <si>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</si>
  <si>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</si>
  <si>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</si>
  <si>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</si>
  <si>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</si>
  <si>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</si>
  <si>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</si>
  <si>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</si>
  <si>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</si>
  <si>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</si>
  <si>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</si>
  <si>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</si>
  <si>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</si>
  <si>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</si>
  <si>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</si>
  <si>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</si>
  <si>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</si>
  <si>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</si>
  <si>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</si>
  <si>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              Нормативы показателей по операциям со связанными лицами (инсайдерами)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</si>
  <si>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</si>
  <si>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</si>
  <si>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</si>
  <si>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</si>
  <si>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</si>
  <si>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</si>
  <si>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</si>
  <si>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</si>
  <si>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</si>
  <si>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</si>
  <si>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</si>
  <si>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</si>
  <si>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</si>
  <si>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</si>
  <si>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</si>
  <si>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</si>
  <si>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</si>
  <si>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</si>
  <si>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</si>
  <si>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</si>
  <si>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</si>
  <si>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</si>
  <si>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</si>
  <si>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</si>
  <si>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</si>
  <si>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</si>
  <si>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</si>
  <si>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</si>
  <si>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</si>
  <si>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</si>
  <si>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</si>
  <si>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</si>
  <si>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</si>
  <si>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</si>
  <si>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</si>
  <si>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</si>
  <si>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</si>
  <si>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</si>
  <si>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</si>
  <si>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</si>
  <si>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</si>
  <si>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</si>
  <si>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</si>
  <si>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</si>
  <si>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</si>
  <si>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</si>
  <si>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</si>
  <si>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</si>
  <si>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</si>
  <si>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</si>
  <si>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</si>
  <si>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</si>
  <si>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</si>
  <si>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</si>
  <si>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</si>
  <si>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</si>
  <si>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</si>
  <si>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</si>
  <si>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</si>
  <si>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</si>
  <si>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</si>
  <si>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</si>
  <si>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</si>
  <si>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</si>
  <si>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</si>
  <si>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</si>
  <si>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</si>
  <si>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</si>
  <si>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</si>
  <si>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</si>
  <si>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</si>
  <si>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</si>
  <si>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</si>
  <si>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</si>
  <si>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</si>
  <si>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</si>
  <si>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</si>
  <si>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</si>
  <si>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</si>
  <si>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</si>
  <si>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</si>
  <si>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</si>
  <si>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</si>
  <si>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</si>
  <si>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</si>
  <si>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</si>
  <si>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</si>
  <si>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</si>
  <si>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</si>
  <si>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</si>
  <si>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</si>
  <si>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</si>
  <si>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</si>
  <si>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</si>
  <si>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</si>
  <si>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</si>
  <si>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</si>
  <si>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</si>
  <si>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</si>
  <si>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</si>
  <si>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</si>
  <si>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</si>
  <si>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</si>
  <si>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</si>
  <si>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</si>
  <si>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</si>
  <si>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</si>
  <si>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</si>
  <si>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</si>
  <si>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</si>
  <si>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</si>
  <si>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</si>
  <si>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</si>
  <si>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</si>
  <si>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</si>
  <si>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</si>
  <si>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</si>
  <si>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</si>
  <si>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</si>
  <si>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</si>
  <si>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</si>
  <si>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</si>
  <si>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</si>
  <si>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</si>
  <si>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</si>
  <si>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</si>
  <si>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</si>
  <si>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</si>
  <si>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</si>
  <si>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</si>
  <si>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</si>
  <si>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</si>
  <si>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</si>
  <si>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</si>
  <si>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</si>
  <si>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</si>
  <si>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</si>
  <si>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</si>
  <si>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</si>
  <si>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</si>
  <si>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</si>
  <si>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</si>
  <si>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</si>
  <si>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</si>
  <si>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</si>
  <si>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</si>
  <si>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</si>
  <si>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</si>
  <si>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</si>
  <si>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</si>
  <si>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</si>
  <si>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</si>
  <si>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</si>
  <si>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</si>
  <si>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</si>
  <si>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</si>
  <si>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</si>
  <si>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</si>
  <si>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</si>
  <si>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</si>
  <si>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</si>
  <si>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</si>
  <si>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</si>
  <si>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</si>
  <si>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</si>
  <si>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</si>
  <si>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</si>
  <si>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</si>
  <si>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</si>
  <si>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</si>
  <si>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</si>
  <si>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</si>
  <si>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</si>
  <si>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</si>
  <si>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</si>
  <si>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</si>
  <si>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</si>
  <si>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</si>
  <si>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</si>
  <si>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</si>
  <si>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</si>
  <si>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</si>
  <si>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</si>
  <si>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</si>
  <si>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</si>
  <si>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</si>
  <si>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</si>
  <si>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</si>
  <si>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</si>
  <si>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</si>
  <si>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</si>
  <si>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</si>
  <si>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</si>
  <si>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</si>
  <si>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</si>
  <si>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</si>
  <si>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</si>
  <si>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</si>
  <si>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</si>
  <si>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</si>
  <si>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</si>
  <si>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</si>
  <si>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</si>
  <si>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</si>
  <si>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</si>
  <si>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</si>
  <si>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</si>
  <si>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</si>
  <si>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</si>
  <si>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</si>
  <si>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</si>
  <si>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</si>
  <si>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</si>
  <si>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</si>
  <si>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</si>
  <si>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</si>
  <si>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</si>
  <si>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</si>
  <si>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</si>
  <si>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</si>
  <si>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</si>
  <si>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</si>
  <si>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</si>
  <si>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</si>
  <si>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</si>
  <si>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</si>
  <si>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</si>
  <si>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</si>
  <si>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</si>
  <si>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</si>
  <si>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</si>
  <si>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</si>
  <si>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</si>
  <si>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</si>
  <si>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</si>
  <si>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</si>
  <si>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</si>
  <si>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</si>
  <si>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</si>
  <si>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</si>
  <si>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</si>
  <si>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</si>
  <si>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</si>
  <si>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</si>
  <si>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</si>
  <si>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</si>
  <si>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</si>
  <si>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</si>
  <si>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</si>
  <si>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</si>
  <si>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</si>
  <si>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</si>
  <si>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</si>
  <si>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</si>
  <si>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</si>
  <si>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</si>
  <si>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</si>
  <si>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</si>
  <si>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</si>
  <si>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</si>
  <si>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</si>
  <si>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</si>
  <si>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</si>
  <si>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</si>
  <si>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</si>
  <si>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</si>
  <si>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</si>
  <si>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</si>
  <si>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</si>
  <si>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</si>
  <si>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</si>
  <si>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</si>
  <si>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</si>
  <si>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</si>
  <si>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</si>
  <si>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</si>
  <si>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</si>
  <si>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</si>
  <si>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</si>
  <si>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</si>
  <si>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</si>
  <si>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</si>
  <si>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</si>
  <si>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</si>
  <si>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</si>
  <si>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</si>
  <si>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</si>
  <si>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</si>
  <si>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</si>
  <si>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</si>
  <si>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</si>
  <si>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</si>
  <si>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</si>
  <si>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</si>
  <si>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</si>
  <si>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</si>
  <si>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</si>
  <si>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</si>
  <si>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</si>
  <si>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</si>
  <si>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</si>
  <si>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</si>
  <si>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</si>
  <si>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</si>
  <si>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</si>
  <si>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</si>
  <si>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</si>
  <si>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</si>
  <si>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</si>
  <si>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</si>
  <si>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</si>
  <si>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</si>
  <si>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</si>
  <si>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</si>
  <si>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</si>
  <si>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</si>
  <si>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</si>
  <si>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</si>
  <si>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</si>
  <si>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</si>
  <si>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</si>
  <si>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</si>
  <si>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</si>
  <si>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</si>
  <si>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</si>
  <si>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 xml:space="preserve">Кассовая наличность и другие платежные документы </t>
  </si>
  <si>
    <t>Таблица-11</t>
  </si>
  <si>
    <t>ИНН</t>
  </si>
  <si>
    <t>Вид деятельности</t>
  </si>
  <si>
    <t xml:space="preserve">Код валюты </t>
  </si>
  <si>
    <t>Кредиты и лизинги</t>
  </si>
  <si>
    <t>Инвестиции</t>
  </si>
  <si>
    <t>Гарантии</t>
  </si>
  <si>
    <t>Сумма залога</t>
  </si>
  <si>
    <t>Резерв</t>
  </si>
  <si>
    <t>САМЫЙ КРУПНЫЙ АКТИВ, ВЫДАННЫЙ БАНКОМ ОДНОМУ ИНСАЙДЕРУ</t>
  </si>
  <si>
    <t xml:space="preserve">1.  </t>
  </si>
  <si>
    <t>Численность работников банка по штатному расписанию</t>
  </si>
  <si>
    <t>Фактическая численность работников банка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</si>
  <si>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</si>
  <si>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</si>
  <si>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</si>
  <si>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</si>
  <si>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</si>
  <si>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</si>
  <si>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</si>
  <si>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</si>
  <si>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</si>
  <si>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Коэффициент достаточности основного Капитала Уровня 1</t>
  </si>
  <si>
    <t>Основной капитал Уровня I</t>
  </si>
  <si>
    <t>Максимальный размер риска на одного заемщика или группу взаимосвязанных заемщиков,Обеспеченные активами</t>
  </si>
  <si>
    <t>Максимальный размер риска на одного заемщика или группу взаимосвязанных заемщиков, Необеспеченные активы</t>
  </si>
  <si>
    <t>Максимальный размер риска для всех крупных активов</t>
  </si>
  <si>
    <t>Совокупная сумма крупных активов</t>
  </si>
  <si>
    <t>Совокупная сумма  активов предоставленых банком всем инсайдерам</t>
  </si>
  <si>
    <t xml:space="preserve">Сумма выданным активам одному инсайдеру или группе связанных лиц, Обеспеченный активом </t>
  </si>
  <si>
    <t>Совокупная сумма  активов выданных инсайдерам</t>
  </si>
  <si>
    <t xml:space="preserve">3.1. </t>
  </si>
  <si>
    <t>Сумма</t>
  </si>
  <si>
    <t>От 31 до 90 дней</t>
  </si>
  <si>
    <t>От 91 до 180 дней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</si>
  <si>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</si>
  <si>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</si>
  <si>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</si>
  <si>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</si>
  <si>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</si>
  <si>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Обеспечения</t>
  </si>
  <si>
    <t>Вид залога</t>
  </si>
  <si>
    <t>Е1</t>
  </si>
  <si>
    <t>Е2</t>
  </si>
  <si>
    <t>Е3</t>
  </si>
  <si>
    <t>Е4</t>
  </si>
  <si>
    <t>Е5</t>
  </si>
  <si>
    <t>Таблица-12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</si>
  <si>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</si>
  <si>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</si>
  <si>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</si>
  <si>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</si>
  <si>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</si>
  <si>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</si>
  <si>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Таблица-13</t>
  </si>
  <si>
    <t>Таблица-20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</si>
  <si>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</si>
  <si>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</si>
  <si>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</si>
  <si>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</si>
  <si>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</si>
  <si>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</si>
  <si>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</si>
  <si>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</si>
  <si>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</si>
  <si>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</si>
  <si>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</si>
  <si>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Таблица-5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</si>
  <si>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</si>
  <si>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</si>
  <si>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</si>
  <si>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</si>
  <si>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</si>
  <si>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</si>
  <si>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</si>
  <si>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</si>
  <si>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>другие активы*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</si>
  <si>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</si>
  <si>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</si>
  <si>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</si>
  <si>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</si>
  <si>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</si>
  <si>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</si>
  <si>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</si>
  <si>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</si>
  <si>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</si>
  <si>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</si>
  <si>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</si>
  <si>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</si>
  <si>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</si>
  <si>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</si>
  <si>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</si>
  <si>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</si>
  <si>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</si>
  <si>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</si>
  <si>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</si>
  <si>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</si>
  <si>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 xml:space="preserve">ИТОГО КРУПНЫХ АКТИВОВ </t>
  </si>
  <si>
    <t xml:space="preserve">САМЫЙ КРУПНЫЙ АКТИВ, ВЫДАННЫЙ БАНКОМ </t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</si>
  <si>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</si>
  <si>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</si>
  <si>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</si>
  <si>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</si>
  <si>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</si>
  <si>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Текущая задолженность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</si>
  <si>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</si>
  <si>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</si>
  <si>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</si>
  <si>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</si>
  <si>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ОТЧЕТ О СДЕЛКАХ, ЗАКЛЮЧЕННЫХ СО СВЯЗАННЫМИ ЛИЦАМИ</t>
  </si>
  <si>
    <t>ОТЧЕТ О CПИСАННЫХ И ВОЗВРАЩЕННЫХ ПЛАТЕЖАХ ИЗ РЕЗЕРВА ВОЗМОЖНЫХ ПОТЕРЬ ПО КРЕДИТАМ И ЛИЗИНГУ</t>
  </si>
  <si>
    <t>Показатели ликвидности</t>
  </si>
  <si>
    <t>Т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</si>
  <si>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</si>
  <si>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</si>
  <si>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ИТОГО АКТИВОВ ПО СВЯЗАННЫМ ЛИЦАМ</t>
  </si>
  <si>
    <t>Сумма выданным активам одному инсайдеру или группе связанных лиц, Обеспеченные активы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</si>
  <si>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</si>
  <si>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</si>
  <si>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</si>
  <si>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</si>
  <si>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</si>
  <si>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</si>
  <si>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</si>
  <si>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</si>
  <si>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</si>
  <si>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</si>
  <si>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</si>
  <si>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</si>
  <si>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</si>
  <si>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</si>
  <si>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</si>
  <si>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</si>
  <si>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</si>
  <si>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</si>
  <si>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</si>
  <si>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</si>
  <si>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</si>
  <si>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</si>
  <si>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</si>
  <si>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</si>
  <si>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</si>
  <si>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</si>
  <si>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</si>
  <si>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</si>
  <si>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Начисляемые 
кредиты</t>
  </si>
  <si>
    <t>Долгосрочные кредиты, предоставленные негосударственным некоммерческим организациям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</si>
  <si>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</si>
  <si>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</si>
  <si>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</si>
  <si>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</si>
  <si>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</si>
  <si>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</si>
  <si>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</si>
  <si>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Физлица</t>
  </si>
  <si>
    <t>Юрзлица</t>
  </si>
  <si>
    <t>Сроки, погашения средств</t>
  </si>
  <si>
    <t>От 1 до 7 дней</t>
  </si>
  <si>
    <t>От 8 до 30 дней</t>
  </si>
  <si>
    <t>Итого (сумма строк 1, 2, 3, 4, 5, 6, 7, 8 )</t>
  </si>
  <si>
    <t>Кредиты переведённые в статус ненаращивания процентов</t>
  </si>
  <si>
    <t>Нацвалюта</t>
  </si>
  <si>
    <t>Инвалюта</t>
  </si>
  <si>
    <t>51</t>
  </si>
  <si>
    <t>Отсроченная дебиторская задолженность</t>
  </si>
  <si>
    <t>ОТЧЕТ О КРУПНЫХ РИСКАХ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</si>
  <si>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</si>
  <si>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</si>
  <si>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</si>
  <si>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</si>
  <si>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</si>
  <si>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</si>
  <si>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</si>
  <si>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</si>
  <si>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</si>
  <si>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</si>
  <si>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</si>
  <si>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</si>
  <si>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</si>
  <si>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</si>
  <si>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</si>
  <si>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</si>
  <si>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</si>
  <si>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</si>
  <si>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</si>
  <si>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</si>
  <si>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</si>
  <si>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</si>
  <si>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</si>
  <si>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</si>
  <si>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</si>
  <si>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</si>
  <si>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</si>
  <si>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</si>
  <si>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</si>
  <si>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</si>
  <si>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</si>
  <si>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</si>
  <si>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</si>
  <si>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</si>
  <si>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</si>
  <si>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</si>
  <si>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</si>
  <si>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</si>
  <si>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</si>
  <si>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</si>
  <si>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</si>
  <si>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</si>
  <si>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</si>
  <si>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</si>
  <si>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</si>
  <si>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</si>
  <si>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</si>
  <si>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</si>
  <si>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</si>
  <si>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</si>
  <si>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</si>
  <si>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</si>
  <si>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</si>
  <si>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</si>
  <si>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</si>
  <si>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</si>
  <si>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</si>
  <si>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</si>
  <si>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</si>
  <si>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на реконструкцию недвижимого имущества</t>
  </si>
  <si>
    <t>из них на приобретения автомобиля</t>
  </si>
  <si>
    <t>РАСЧЕТ ПРУДЕНЦИАЛЬНЫХ НОРМАТИВОВ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</si>
  <si>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</si>
  <si>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</si>
  <si>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</si>
  <si>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</si>
  <si>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</si>
  <si>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</si>
  <si>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</si>
  <si>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</si>
  <si>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</si>
  <si>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</si>
  <si>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Информация о структуре кредитного портфеля</t>
  </si>
  <si>
    <t xml:space="preserve">  д.</t>
  </si>
  <si>
    <t>90908-90958</t>
  </si>
  <si>
    <t>Краткосрочные обязательства</t>
  </si>
  <si>
    <t xml:space="preserve">               Нормативный показатель по инвестициям банка в недвижимость</t>
  </si>
  <si>
    <t xml:space="preserve"> 6.1</t>
  </si>
  <si>
    <t>Совокупная сумма всех инвестиций банка в недвижимость</t>
  </si>
  <si>
    <t>Сумма всех инвестиций банка в недвижимость</t>
  </si>
  <si>
    <t xml:space="preserve">Количество центров банковских услуг </t>
  </si>
  <si>
    <t>в том числе имеющие основной счет в банке</t>
  </si>
  <si>
    <t xml:space="preserve">Показатели финансовой устойчивости </t>
  </si>
  <si>
    <t>Основные показатели</t>
  </si>
  <si>
    <t>Регулятивный капитал к активам взвешанных с учетом риска</t>
  </si>
  <si>
    <t>Всего Регулятивный капитал</t>
  </si>
  <si>
    <t>Активы взвешанные с учетом риска</t>
  </si>
  <si>
    <t>Регулятивный  капитал 1 - уровня к Активам взвешанных с учетом риска</t>
  </si>
  <si>
    <t>Регулятивный капитал 1- уровня</t>
  </si>
  <si>
    <t>Недействующие ссуды за вычетом резервов/общий объем капитала</t>
  </si>
  <si>
    <t>Недействующие ссуды за вычетом резервов</t>
  </si>
  <si>
    <t>Совокупный капитал на конец периода</t>
  </si>
  <si>
    <t>Недействующие ссуды/общая сумма ссуд</t>
  </si>
  <si>
    <t>Недействующие ссуды</t>
  </si>
  <si>
    <t>Общая сумма ссуд</t>
  </si>
  <si>
    <t>Рентабельность активов</t>
  </si>
  <si>
    <t>Чистая прибыль до уплаты налогов</t>
  </si>
  <si>
    <t>Всего активы (средний за период)</t>
  </si>
  <si>
    <t>Рентабельность капитала</t>
  </si>
  <si>
    <t>Совокупный капитал (средний за период)</t>
  </si>
  <si>
    <t>Процентная маржа/валовой доход</t>
  </si>
  <si>
    <t xml:space="preserve">Процентная маржа </t>
  </si>
  <si>
    <t xml:space="preserve">Валовой доход </t>
  </si>
  <si>
    <t>Непроцентные расходы/валовой доход</t>
  </si>
  <si>
    <t>Непроцентные расходы</t>
  </si>
  <si>
    <t>Валовой доход</t>
  </si>
  <si>
    <t>Ликвидные активы/всего активы</t>
  </si>
  <si>
    <t>Всего активы</t>
  </si>
  <si>
    <t>Ликвидные активы/краткосрочные обязательства</t>
  </si>
  <si>
    <t>Совокупный капитал на конец периода/Всего активы</t>
  </si>
  <si>
    <t>Чистая открытая валютная позиция /Совокупный капитал на конец периода</t>
  </si>
  <si>
    <t xml:space="preserve">Чистая открытая валютная позиция </t>
  </si>
  <si>
    <t>Актив</t>
  </si>
  <si>
    <t>Капитал</t>
  </si>
  <si>
    <t xml:space="preserve">Наличные денежные средства и Драгоценные металлы </t>
  </si>
  <si>
    <t>Максимальный размер риска на одного заемщика или группу взаимосвязанных заемщиков, Обеспеченные активами</t>
  </si>
  <si>
    <t>Е6</t>
  </si>
  <si>
    <t>Месяц</t>
  </si>
  <si>
    <t>1 января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</si>
  <si>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</si>
  <si>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</si>
  <si>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</si>
  <si>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</si>
  <si>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</si>
  <si>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</si>
  <si>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</si>
  <si>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</si>
  <si>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</si>
  <si>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</si>
  <si>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</si>
  <si>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</si>
  <si>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</si>
  <si>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Межбанковские кредиты и депозиты</t>
  </si>
  <si>
    <t>-</t>
  </si>
  <si>
    <t>Индивидуальные предприниматели</t>
  </si>
  <si>
    <t>Максимальный размер риска на один банк или группу взаимосвязанных заемщиков банков по межбанковским кредитам и депозитам</t>
  </si>
  <si>
    <t>Подпись Председателя Правления:</t>
  </si>
  <si>
    <t xml:space="preserve">Чистая прибыль </t>
  </si>
  <si>
    <t>№3</t>
  </si>
  <si>
    <t>ООО "SESAME"</t>
  </si>
  <si>
    <t>ИП ООО "EPSILON DEVELOPMENT COMPANY"</t>
  </si>
  <si>
    <t>нефт</t>
  </si>
  <si>
    <t>Исматуллоев Акрам Акмалович</t>
  </si>
  <si>
    <t>Гуччиев Илхом Турсункулович</t>
  </si>
  <si>
    <t>Пулатова Муниса Тоировна</t>
  </si>
  <si>
    <t>Умаров Сарвар Салахиддинович</t>
  </si>
  <si>
    <t>Ахмаджонов Абдулазиз Абдусатторович</t>
  </si>
  <si>
    <t>Тогаев Даврон Дусмамат уғли</t>
  </si>
  <si>
    <t>Саматов Юнус Уралович</t>
  </si>
  <si>
    <t>Каримкулов Хикматулло</t>
  </si>
  <si>
    <t>Саксонов Азизбек Нурбобоевич</t>
  </si>
  <si>
    <t>Бабаджанов Шухрат Адилбекович</t>
  </si>
  <si>
    <t>Бегматов Бобур Яхшиевич</t>
  </si>
  <si>
    <t>Муминов Юсуп Машарипович</t>
  </si>
  <si>
    <t>Жалолов Бегзод Кодиркулович</t>
  </si>
  <si>
    <t>Мирзанов Толиб Исломович</t>
  </si>
  <si>
    <t>Артиков Рустам Таджимович</t>
  </si>
  <si>
    <t>Саидова Ноила Абдусаттаровна</t>
  </si>
  <si>
    <t>Абдурахмонов Ахрор Акбаралиевич</t>
  </si>
  <si>
    <t>Норбаев Жавохир Баходир угли</t>
  </si>
  <si>
    <t>Джумабаев Рахмонали Умаралиевич</t>
  </si>
  <si>
    <t>Хасанов Жамшид Рустамжанович</t>
  </si>
  <si>
    <t>Авазов Дилшод Уразбаевич</t>
  </si>
  <si>
    <t>Кодиров Акмал Уккибоевич</t>
  </si>
  <si>
    <t>Паннаев Бобур Бекпулатович</t>
  </si>
  <si>
    <t>Худойберганова Сайёра Уткировна</t>
  </si>
  <si>
    <t>Эрдонаев Олим Тожиевич</t>
  </si>
  <si>
    <t>Кушназаров Акбар Нарханович</t>
  </si>
  <si>
    <t>Mamarakhimov Abror Xaldarovich</t>
  </si>
  <si>
    <t>KHOLOV TAKHIR SADULLAYEVICH</t>
  </si>
  <si>
    <t>ARAMOV RASHID RAVSHANOVICH</t>
  </si>
  <si>
    <t>SOLIEV SARDORBEK XOLMIRZAYEVICH</t>
  </si>
  <si>
    <t>SIDDIKOV SHOKHRUKH IBRAGIMJONOVICH</t>
  </si>
  <si>
    <t>JURAYEV ZARIPJAN YULDASHEVICH</t>
  </si>
  <si>
    <t>OMONOV OTAJON JURAQULOVICH</t>
  </si>
  <si>
    <t>ISKANOV ILKHOMJON XOLDOROVICH</t>
  </si>
  <si>
    <t>MUQIMOV AZAMAT SAIDOVICH</t>
  </si>
  <si>
    <t>BESHIMOV AZAMAT XAMROBOYEVICH</t>
  </si>
  <si>
    <t>NARZULLAYEV YAKUB BOBOMURODOVICH</t>
  </si>
  <si>
    <t>TOPILOV SHERZOD SAIDKARIMOVICH</t>
  </si>
  <si>
    <t>AZLAROV ABDULLA ABDULXAYEVICH</t>
  </si>
  <si>
    <t>MADUMAROV XUSNIDDIN KOMILOVICH</t>
  </si>
  <si>
    <t>ESHMATOV MASRUR QURBONOVICH</t>
  </si>
  <si>
    <t>TAYLAKOV ISMOIL RAMIZOVICH</t>
  </si>
  <si>
    <t>MIRZAEV BAKHODIR XUSANOVICH</t>
  </si>
  <si>
    <t>JUMAYEV NURALI ISOXONOVICH</t>
  </si>
  <si>
    <t>OTAQOZIYEV ABRORJON ABDULLAYEVICH</t>
  </si>
  <si>
    <t>SALIMOV OYBEK FURKATOVICH</t>
  </si>
  <si>
    <t>ATAMURODOV TOLQIN TOYMURODOVICH</t>
  </si>
  <si>
    <t>IBROHIMOV MAQSUDBEK MASHARIPOVICH</t>
  </si>
  <si>
    <t>Болтаев Шухрат Ахмедович</t>
  </si>
  <si>
    <t>ABDULLAYEV QURBON QAHRAMONOVICH</t>
  </si>
  <si>
    <t>TANGIRBERDIYEV OZIM KARIMOVICH</t>
  </si>
  <si>
    <t>Юнусов Агзам Эргашевич</t>
  </si>
  <si>
    <t>BURIYEV ESHTUKTAR SATTAROVICH</t>
  </si>
  <si>
    <t>Пардаев Эшдавлат Абдумуминович</t>
  </si>
  <si>
    <t>OCHILOV SARVAR NURMANOVICH</t>
  </si>
  <si>
    <t>AA5013105</t>
  </si>
  <si>
    <t>CT1907643</t>
  </si>
  <si>
    <t>AA1343647</t>
  </si>
  <si>
    <t>AB5528260</t>
  </si>
  <si>
    <t>AA1266275</t>
  </si>
  <si>
    <t>CT1881274</t>
  </si>
  <si>
    <t>CS0384112</t>
  </si>
  <si>
    <t>BG0108618</t>
  </si>
  <si>
    <t>CE2612031</t>
  </si>
  <si>
    <t>AA1901433</t>
  </si>
  <si>
    <t>CN2398457</t>
  </si>
  <si>
    <t>CE2162465</t>
  </si>
  <si>
    <t>CT2349128</t>
  </si>
  <si>
    <t>CT0670437</t>
  </si>
  <si>
    <t>AA5731093</t>
  </si>
  <si>
    <t>CT2253236</t>
  </si>
  <si>
    <t>CB1588836</t>
  </si>
  <si>
    <t>AB3331433</t>
  </si>
  <si>
    <t>AA0807312</t>
  </si>
  <si>
    <t>CH1484515</t>
  </si>
  <si>
    <t>AA2615008</t>
  </si>
  <si>
    <t>AA1515434</t>
  </si>
  <si>
    <t>AA6432623</t>
  </si>
  <si>
    <t>AA1356913</t>
  </si>
  <si>
    <t>CS1661937</t>
  </si>
  <si>
    <t>AA1814951</t>
  </si>
  <si>
    <t>AA1545194</t>
  </si>
  <si>
    <t>AA1598158</t>
  </si>
  <si>
    <t>AA1574588</t>
  </si>
  <si>
    <t>AA1507783</t>
  </si>
  <si>
    <t>AA0281567</t>
  </si>
  <si>
    <t>AA0727084</t>
  </si>
  <si>
    <t>AA8332674</t>
  </si>
  <si>
    <t>AA1086982</t>
  </si>
  <si>
    <t>AA0093700</t>
  </si>
  <si>
    <t>AB9725681</t>
  </si>
  <si>
    <t>AB9773826</t>
  </si>
  <si>
    <t>AA1771771</t>
  </si>
  <si>
    <t>AB0145415</t>
  </si>
  <si>
    <t>AA0620069</t>
  </si>
  <si>
    <t>AA1344338</t>
  </si>
  <si>
    <t>AA4589423</t>
  </si>
  <si>
    <t>AA6739140</t>
  </si>
  <si>
    <t>AA1395310</t>
  </si>
  <si>
    <t>AB6494562</t>
  </si>
  <si>
    <t>AA4037527</t>
  </si>
  <si>
    <t>AA2113404</t>
  </si>
  <si>
    <t>AA9871111</t>
  </si>
  <si>
    <t>AA2698055</t>
  </si>
  <si>
    <t>AA2756710</t>
  </si>
  <si>
    <t>AA5895939</t>
  </si>
  <si>
    <t>AA3151210</t>
  </si>
  <si>
    <t>AA8622548</t>
  </si>
  <si>
    <t>CS0139454</t>
  </si>
  <si>
    <t>AA1176596</t>
  </si>
  <si>
    <t>000</t>
  </si>
  <si>
    <t>11-Собственные</t>
  </si>
  <si>
    <t>Фитч Рейтингс</t>
  </si>
  <si>
    <t>ВВ-</t>
  </si>
  <si>
    <t>АКБ "Микрокредитбанк"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</si>
</sst>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\-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0.0"/>
  </numFmts>
  <fonts count="146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0"/>
      <color indexed="22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10"/>
      <color rgb="FFFF00FF"/>
      <name val="Arial Cyr"/>
      <family val="2"/>
      <charset val="204"/>
    </font>
    <font>
      <sz val="12"/>
      <color rgb="FFFF00FF"/>
      <name val="Arial Cyr"/>
      <family val="2"/>
      <charset val="204"/>
    </font>
    <font>
      <b/>
      <sz val="10"/>
      <color rgb="FFFF00FF"/>
      <name val="Arial Cyr"/>
      <family val="2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b/>
      <sz val="20"/>
      <color rgb="FFFF0000"/>
      <name val="Arial Cyr"/>
      <charset val="204"/>
    </font>
    <font>
      <sz val="12"/>
      <color theme="0" tint="-0.249977111117893"/>
      <name val="Arial Cyr"/>
      <family val="2"/>
      <charset val="204"/>
    </font>
    <font>
      <b/>
      <sz val="12"/>
      <color theme="1"/>
      <name val="Arial Cyr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theme="0" tint="-0.34998626667073579"/>
      <name val="Times New Roman"/>
      <family val="1"/>
      <charset val="204"/>
    </font>
    <font>
      <sz val="8"/>
      <color rgb="FFFF0000"/>
      <name val="Arial Cyr"/>
      <family val="2"/>
      <charset val="204"/>
    </font>
    <font>
      <b/>
      <sz val="20"/>
      <color rgb="FF7030A0"/>
      <name val="Arial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89">
    <xf numFmtId="0" fontId="0" fillId="0" borderId="0"/>
    <xf numFmtId="0" fontId="29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vertical="top"/>
    </xf>
    <xf numFmtId="0" fontId="33" fillId="0" borderId="0" applyNumberFormat="0" applyFont="0" applyFill="0" applyBorder="0" applyAlignment="0" applyProtection="0">
      <alignment vertical="top"/>
    </xf>
    <xf numFmtId="0" fontId="33" fillId="0" borderId="0" applyNumberFormat="0" applyFont="0" applyFill="0" applyBorder="0" applyAlignment="0" applyProtection="0">
      <alignment vertical="top"/>
    </xf>
    <xf numFmtId="166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3" fillId="0" borderId="17">
      <protection locked="0"/>
    </xf>
    <xf numFmtId="174" fontId="95" fillId="0" borderId="0">
      <protection locked="0"/>
    </xf>
    <xf numFmtId="175" fontId="95" fillId="0" borderId="17">
      <protection locked="0"/>
    </xf>
    <xf numFmtId="176" fontId="95" fillId="0" borderId="0">
      <protection locked="0"/>
    </xf>
    <xf numFmtId="4" fontId="95" fillId="0" borderId="0">
      <protection locked="0"/>
    </xf>
    <xf numFmtId="177" fontId="95" fillId="0" borderId="0">
      <protection locked="0"/>
    </xf>
    <xf numFmtId="175" fontId="96" fillId="0" borderId="0">
      <protection locked="0"/>
    </xf>
    <xf numFmtId="175" fontId="97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98" fillId="0" borderId="5">
      <alignment horizontal="center"/>
    </xf>
    <xf numFmtId="165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99" fillId="0" borderId="0"/>
    <xf numFmtId="0" fontId="33" fillId="0" borderId="0"/>
    <xf numFmtId="9" fontId="39" fillId="0" borderId="0" applyFont="0" applyFill="0" applyBorder="0" applyAlignment="0" applyProtection="0"/>
    <xf numFmtId="0" fontId="100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01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0" fillId="0" borderId="0"/>
    <xf numFmtId="0" fontId="102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00" fillId="0" borderId="0"/>
    <xf numFmtId="0" fontId="103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01" fillId="0" borderId="0"/>
    <xf numFmtId="0" fontId="100" fillId="0" borderId="0"/>
    <xf numFmtId="0" fontId="1" fillId="0" borderId="0"/>
    <xf numFmtId="0" fontId="10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1" fillId="0" borderId="0"/>
    <xf numFmtId="0" fontId="33" fillId="0" borderId="0"/>
    <xf numFmtId="0" fontId="100" fillId="0" borderId="0"/>
    <xf numFmtId="0" fontId="33" fillId="0" borderId="0"/>
    <xf numFmtId="0" fontId="10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02" fillId="0" borderId="0"/>
    <xf numFmtId="0" fontId="1" fillId="0" borderId="0"/>
    <xf numFmtId="0" fontId="100" fillId="0" borderId="0"/>
    <xf numFmtId="0" fontId="10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0" fillId="0" borderId="0"/>
    <xf numFmtId="0" fontId="1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3" fillId="0" borderId="0"/>
    <xf numFmtId="0" fontId="2" fillId="0" borderId="0"/>
    <xf numFmtId="0" fontId="39" fillId="0" borderId="0"/>
    <xf numFmtId="0" fontId="1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" fillId="0" borderId="0"/>
    <xf numFmtId="0" fontId="102" fillId="0" borderId="0"/>
    <xf numFmtId="0" fontId="100" fillId="0" borderId="0"/>
    <xf numFmtId="0" fontId="105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00" fillId="0" borderId="0"/>
    <xf numFmtId="0" fontId="100" fillId="0" borderId="0"/>
    <xf numFmtId="0" fontId="100" fillId="0" borderId="0"/>
    <xf numFmtId="0" fontId="39" fillId="0" borderId="0"/>
    <xf numFmtId="0" fontId="1" fillId="0" borderId="0"/>
    <xf numFmtId="0" fontId="1" fillId="0" borderId="0"/>
    <xf numFmtId="0" fontId="106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07" fillId="0" borderId="0"/>
    <xf numFmtId="0" fontId="39" fillId="0" borderId="0"/>
    <xf numFmtId="0" fontId="102" fillId="0" borderId="0"/>
    <xf numFmtId="0" fontId="100" fillId="0" borderId="0"/>
    <xf numFmtId="0" fontId="1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0" fontId="39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39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0" fontId="102" fillId="0" borderId="0"/>
    <xf numFmtId="0" fontId="1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00" fillId="0" borderId="0"/>
    <xf numFmtId="0" fontId="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9" fillId="0" borderId="0"/>
    <xf numFmtId="0" fontId="33" fillId="0" borderId="0"/>
    <xf numFmtId="0" fontId="100" fillId="0" borderId="0"/>
    <xf numFmtId="0" fontId="100" fillId="0" borderId="0"/>
    <xf numFmtId="0" fontId="3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9" fillId="0" borderId="0"/>
    <xf numFmtId="0" fontId="100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0" fontId="1" fillId="0" borderId="0"/>
    <xf numFmtId="0" fontId="10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9" fillId="0" borderId="0"/>
    <xf numFmtId="0" fontId="100" fillId="0" borderId="0"/>
    <xf numFmtId="0" fontId="100" fillId="0" borderId="0"/>
    <xf numFmtId="0" fontId="39" fillId="0" borderId="0"/>
    <xf numFmtId="0" fontId="100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39" fillId="0" borderId="0"/>
    <xf numFmtId="0" fontId="39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9" fillId="0" borderId="0"/>
    <xf numFmtId="0" fontId="101" fillId="0" borderId="0"/>
    <xf numFmtId="0" fontId="101" fillId="0" borderId="0"/>
    <xf numFmtId="0" fontId="39" fillId="0" borderId="0"/>
    <xf numFmtId="0" fontId="101" fillId="0" borderId="0"/>
    <xf numFmtId="0" fontId="101" fillId="0" borderId="0"/>
    <xf numFmtId="0" fontId="39" fillId="0" borderId="0"/>
    <xf numFmtId="0" fontId="39" fillId="0" borderId="0"/>
    <xf numFmtId="0" fontId="37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0" fontId="104" fillId="7" borderId="16" applyNumberFormat="0" applyFont="0" applyAlignment="0" applyProtection="0"/>
    <xf numFmtId="9" fontId="10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9" fillId="0" borderId="0"/>
    <xf numFmtId="165" fontId="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04" fillId="0" borderId="0" applyFont="0" applyFill="0" applyBorder="0" applyAlignment="0" applyProtection="0"/>
    <xf numFmtId="164" fontId="104" fillId="0" borderId="0" applyFont="0" applyFill="0" applyBorder="0" applyAlignment="0" applyProtection="0"/>
    <xf numFmtId="164" fontId="10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71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10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73" fontId="10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1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10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10" fillId="0" borderId="0" applyFont="0" applyFill="0" applyBorder="0" applyAlignment="0" applyProtection="0"/>
    <xf numFmtId="182" fontId="102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00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3" fillId="0" borderId="0">
      <protection locked="0"/>
    </xf>
    <xf numFmtId="0" fontId="7" fillId="0" borderId="0">
      <alignment vertical="top"/>
    </xf>
    <xf numFmtId="184" fontId="120" fillId="0" borderId="0" applyFont="0" applyFill="0" applyBorder="0" applyAlignment="0" applyProtection="0"/>
    <xf numFmtId="185" fontId="120" fillId="0" borderId="0" applyFont="0" applyFill="0" applyBorder="0" applyAlignment="0" applyProtection="0"/>
    <xf numFmtId="0" fontId="104" fillId="22" borderId="0" applyNumberFormat="0" applyBorder="0" applyAlignment="0" applyProtection="0"/>
    <xf numFmtId="0" fontId="104" fillId="23" borderId="0" applyNumberFormat="0" applyBorder="0" applyAlignment="0" applyProtection="0"/>
    <xf numFmtId="0" fontId="104" fillId="24" borderId="0" applyNumberFormat="0" applyBorder="0" applyAlignment="0" applyProtection="0"/>
    <xf numFmtId="0" fontId="104" fillId="25" borderId="0" applyNumberFormat="0" applyBorder="0" applyAlignment="0" applyProtection="0"/>
    <xf numFmtId="0" fontId="104" fillId="26" borderId="0" applyNumberFormat="0" applyBorder="0" applyAlignment="0" applyProtection="0"/>
    <xf numFmtId="0" fontId="104" fillId="27" borderId="0" applyNumberFormat="0" applyBorder="0" applyAlignment="0" applyProtection="0"/>
    <xf numFmtId="186" fontId="120" fillId="0" borderId="0" applyFont="0" applyFill="0" applyBorder="0" applyAlignment="0" applyProtection="0"/>
    <xf numFmtId="0" fontId="104" fillId="28" borderId="0" applyNumberFormat="0" applyBorder="0" applyAlignment="0" applyProtection="0"/>
    <xf numFmtId="0" fontId="104" fillId="29" borderId="0" applyNumberFormat="0" applyBorder="0" applyAlignment="0" applyProtection="0"/>
    <xf numFmtId="0" fontId="104" fillId="30" borderId="0" applyNumberFormat="0" applyBorder="0" applyAlignment="0" applyProtection="0"/>
    <xf numFmtId="0" fontId="104" fillId="25" borderId="0" applyNumberFormat="0" applyBorder="0" applyAlignment="0" applyProtection="0"/>
    <xf numFmtId="0" fontId="104" fillId="28" borderId="0" applyNumberFormat="0" applyBorder="0" applyAlignment="0" applyProtection="0"/>
    <xf numFmtId="0" fontId="104" fillId="31" borderId="0" applyNumberFormat="0" applyBorder="0" applyAlignment="0" applyProtection="0"/>
    <xf numFmtId="0" fontId="121" fillId="32" borderId="0" applyNumberFormat="0" applyBorder="0" applyAlignment="0" applyProtection="0"/>
    <xf numFmtId="0" fontId="121" fillId="29" borderId="0" applyNumberFormat="0" applyBorder="0" applyAlignment="0" applyProtection="0"/>
    <xf numFmtId="0" fontId="121" fillId="30" borderId="0" applyNumberFormat="0" applyBorder="0" applyAlignment="0" applyProtection="0"/>
    <xf numFmtId="0" fontId="121" fillId="33" borderId="0" applyNumberFormat="0" applyBorder="0" applyAlignment="0" applyProtection="0"/>
    <xf numFmtId="0" fontId="121" fillId="34" borderId="0" applyNumberFormat="0" applyBorder="0" applyAlignment="0" applyProtection="0"/>
    <xf numFmtId="0" fontId="121" fillId="35" borderId="0" applyNumberFormat="0" applyBorder="0" applyAlignment="0" applyProtection="0"/>
    <xf numFmtId="0" fontId="121" fillId="36" borderId="0" applyNumberFormat="0" applyBorder="0" applyAlignment="0" applyProtection="0"/>
    <xf numFmtId="0" fontId="121" fillId="37" borderId="0" applyNumberFormat="0" applyBorder="0" applyAlignment="0" applyProtection="0"/>
    <xf numFmtId="0" fontId="121" fillId="38" borderId="0" applyNumberFormat="0" applyBorder="0" applyAlignment="0" applyProtection="0"/>
    <xf numFmtId="0" fontId="121" fillId="33" borderId="0" applyNumberFormat="0" applyBorder="0" applyAlignment="0" applyProtection="0"/>
    <xf numFmtId="0" fontId="121" fillId="34" borderId="0" applyNumberFormat="0" applyBorder="0" applyAlignment="0" applyProtection="0"/>
    <xf numFmtId="0" fontId="121" fillId="39" borderId="0" applyNumberFormat="0" applyBorder="0" applyAlignment="0" applyProtection="0"/>
    <xf numFmtId="0" fontId="122" fillId="23" borderId="0" applyNumberFormat="0" applyBorder="0" applyAlignment="0" applyProtection="0"/>
    <xf numFmtId="0" fontId="123" fillId="40" borderId="20" applyNumberFormat="0" applyAlignment="0" applyProtection="0"/>
    <xf numFmtId="0" fontId="124" fillId="41" borderId="21" applyNumberFormat="0" applyAlignment="0" applyProtection="0"/>
    <xf numFmtId="178" fontId="125" fillId="0" borderId="0" applyFont="0" applyFill="0" applyBorder="0" applyAlignment="0" applyProtection="0"/>
    <xf numFmtId="3" fontId="33" fillId="0" borderId="0" applyFont="0" applyFill="0" applyBorder="0" applyAlignment="0" applyProtection="0"/>
    <xf numFmtId="0" fontId="15" fillId="0" borderId="0" applyNumberFormat="0" applyFont="0" applyFill="0" applyBorder="0" applyAlignment="0"/>
    <xf numFmtId="187" fontId="33" fillId="0" borderId="0" applyFont="0" applyFill="0" applyBorder="0" applyAlignment="0" applyProtection="0"/>
    <xf numFmtId="18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9" fontId="22" fillId="0" borderId="0" applyFont="0" applyFill="0" applyBorder="0" applyAlignment="0" applyProtection="0"/>
    <xf numFmtId="190" fontId="126" fillId="0" borderId="0"/>
    <xf numFmtId="0" fontId="127" fillId="0" borderId="0" applyNumberFormat="0" applyFill="0" applyBorder="0" applyAlignment="0" applyProtection="0"/>
    <xf numFmtId="2" fontId="33" fillId="0" borderId="0" applyFont="0" applyFill="0" applyBorder="0" applyAlignment="0" applyProtection="0"/>
    <xf numFmtId="0" fontId="128" fillId="24" borderId="0" applyNumberFormat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22" applyNumberFormat="0" applyFill="0" applyAlignment="0" applyProtection="0"/>
    <xf numFmtId="0" fontId="131" fillId="0" borderId="0" applyNumberFormat="0" applyFill="0" applyBorder="0" applyAlignment="0" applyProtection="0"/>
    <xf numFmtId="173" fontId="120" fillId="0" borderId="0" applyFont="0" applyFill="0" applyBorder="0" applyAlignment="0" applyProtection="0"/>
    <xf numFmtId="0" fontId="132" fillId="27" borderId="20" applyNumberFormat="0" applyAlignment="0" applyProtection="0"/>
    <xf numFmtId="0" fontId="133" fillId="0" borderId="23" applyNumberFormat="0" applyFill="0" applyAlignment="0" applyProtection="0"/>
    <xf numFmtId="191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73" fontId="134" fillId="0" borderId="0" applyFill="0" applyBorder="0"/>
    <xf numFmtId="0" fontId="135" fillId="42" borderId="0" applyNumberFormat="0" applyBorder="0" applyAlignment="0" applyProtection="0"/>
    <xf numFmtId="0" fontId="134" fillId="0" borderId="0"/>
    <xf numFmtId="0" fontId="39" fillId="43" borderId="24" applyNumberFormat="0" applyFont="0" applyAlignment="0" applyProtection="0"/>
    <xf numFmtId="0" fontId="136" fillId="40" borderId="25" applyNumberFormat="0" applyAlignment="0" applyProtection="0"/>
    <xf numFmtId="9" fontId="33" fillId="0" borderId="0" applyFont="0" applyFill="0" applyBorder="0" applyAlignment="0" applyProtection="0"/>
    <xf numFmtId="194" fontId="120" fillId="0" borderId="0" applyFont="0" applyFill="0" applyBorder="0" applyAlignment="0" applyProtection="0"/>
    <xf numFmtId="0" fontId="137" fillId="0" borderId="0" applyNumberFormat="0" applyFill="0" applyBorder="0" applyAlignment="0" applyProtection="0"/>
    <xf numFmtId="0" fontId="33" fillId="0" borderId="26" applyNumberFormat="0" applyFont="0" applyFill="0" applyAlignment="0" applyProtection="0"/>
    <xf numFmtId="0" fontId="138" fillId="0" borderId="0" applyNumberFormat="0" applyFill="0" applyBorder="0" applyAlignment="0" applyProtection="0"/>
  </cellStyleXfs>
  <cellXfs count="863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Protection="1">
      <protection hidden="1"/>
    </xf>
    <xf numFmtId="0" fontId="3" fillId="0" borderId="0" xfId="0" applyFont="1" applyBorder="1" applyProtection="1">
      <protection hidden="1"/>
    </xf>
    <xf numFmtId="0" fontId="6" fillId="0" borderId="0" xfId="0" applyFont="1" applyBorder="1"/>
    <xf numFmtId="3" fontId="3" fillId="2" borderId="3" xfId="0" applyNumberFormat="1" applyFont="1" applyFill="1" applyBorder="1"/>
    <xf numFmtId="0" fontId="4" fillId="0" borderId="0" xfId="0" applyFont="1" applyBorder="1" applyAlignment="1">
      <alignment horizontal="centerContinuous"/>
    </xf>
    <xf numFmtId="3" fontId="3" fillId="0" borderId="1" xfId="0" applyNumberFormat="1" applyFont="1" applyBorder="1" applyProtection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Protection="1"/>
    <xf numFmtId="3" fontId="12" fillId="0" borderId="0" xfId="0" applyNumberFormat="1" applyFont="1" applyBorder="1" applyAlignment="1">
      <alignment horizontal="centerContinuous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centerContinuous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3" fontId="3" fillId="0" borderId="0" xfId="0" applyNumberFormat="1" applyFont="1" applyBorder="1"/>
    <xf numFmtId="0" fontId="3" fillId="0" borderId="0" xfId="0" applyFont="1" applyAlignment="1">
      <alignment wrapText="1"/>
    </xf>
    <xf numFmtId="0" fontId="8" fillId="0" borderId="0" xfId="0" applyFont="1"/>
    <xf numFmtId="3" fontId="6" fillId="0" borderId="0" xfId="0" applyNumberFormat="1" applyFont="1" applyAlignment="1">
      <alignment horizontal="center" vertical="center"/>
    </xf>
    <xf numFmtId="3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3" fontId="6" fillId="0" borderId="0" xfId="0" applyNumberFormat="1" applyFont="1" applyBorder="1"/>
    <xf numFmtId="0" fontId="8" fillId="0" borderId="0" xfId="0" applyFont="1" applyBorder="1"/>
    <xf numFmtId="0" fontId="6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Continuous"/>
    </xf>
    <xf numFmtId="3" fontId="3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textRotation="90" wrapText="1"/>
    </xf>
    <xf numFmtId="171" fontId="3" fillId="0" borderId="0" xfId="0" applyNumberFormat="1" applyFont="1"/>
    <xf numFmtId="3" fontId="3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8" fillId="0" borderId="0" xfId="5" applyNumberFormat="1" applyFont="1" applyFill="1" applyBorder="1" applyAlignment="1" applyProtection="1">
      <alignment vertical="center"/>
    </xf>
    <xf numFmtId="0" fontId="18" fillId="0" borderId="0" xfId="5" applyNumberFormat="1" applyFont="1" applyFill="1" applyBorder="1" applyAlignment="1" applyProtection="1">
      <alignment vertical="top"/>
    </xf>
    <xf numFmtId="0" fontId="18" fillId="0" borderId="0" xfId="5" applyNumberFormat="1" applyFont="1" applyFill="1" applyBorder="1" applyAlignment="1" applyProtection="1">
      <alignment vertical="top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49" fontId="34" fillId="5" borderId="1" xfId="5" applyNumberFormat="1" applyFont="1" applyFill="1" applyBorder="1" applyAlignment="1" applyProtection="1">
      <alignment horizontal="center" vertical="center" wrapText="1"/>
    </xf>
    <xf numFmtId="49" fontId="35" fillId="0" borderId="1" xfId="5" applyNumberFormat="1" applyFont="1" applyFill="1" applyBorder="1" applyAlignment="1" applyProtection="1">
      <alignment horizontal="center" vertical="center" wrapText="1"/>
    </xf>
    <xf numFmtId="0" fontId="36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top" wrapText="1"/>
    </xf>
    <xf numFmtId="171" fontId="2" fillId="0" borderId="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167" fontId="3" fillId="0" borderId="3" xfId="0" applyNumberFormat="1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 applyProtection="1">
      <alignment horizontal="center"/>
    </xf>
    <xf numFmtId="3" fontId="3" fillId="0" borderId="0" xfId="0" applyNumberFormat="1" applyFont="1" applyBorder="1" applyProtection="1"/>
    <xf numFmtId="0" fontId="2" fillId="0" borderId="1" xfId="0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32" fillId="0" borderId="4" xfId="0" applyFont="1" applyBorder="1" applyAlignment="1">
      <alignment horizontal="center" vertical="center"/>
    </xf>
    <xf numFmtId="3" fontId="32" fillId="0" borderId="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  <xf numFmtId="0" fontId="32" fillId="0" borderId="1" xfId="0" applyFont="1" applyBorder="1" applyAlignment="1">
      <alignment horizontal="left" vertical="center" wrapText="1" indent="4"/>
    </xf>
    <xf numFmtId="0" fontId="34" fillId="5" borderId="1" xfId="5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3" fontId="2" fillId="0" borderId="3" xfId="2" applyNumberFormat="1" applyFont="1" applyFill="1" applyBorder="1" applyProtection="1">
      <protection locked="0"/>
    </xf>
    <xf numFmtId="0" fontId="6" fillId="0" borderId="2" xfId="0" applyFont="1" applyBorder="1" applyAlignment="1">
      <alignment horizontal="left" vertical="center" indent="1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3" fontId="31" fillId="0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0" xfId="0" applyFont="1"/>
    <xf numFmtId="3" fontId="42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/>
    <xf numFmtId="0" fontId="42" fillId="0" borderId="0" xfId="0" applyFont="1" applyAlignment="1">
      <alignment vertical="center"/>
    </xf>
    <xf numFmtId="0" fontId="42" fillId="0" borderId="0" xfId="0" applyFont="1"/>
    <xf numFmtId="170" fontId="41" fillId="0" borderId="0" xfId="4" applyNumberFormat="1" applyFont="1"/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3" fillId="0" borderId="0" xfId="0" applyFont="1" applyBorder="1" applyProtection="1"/>
    <xf numFmtId="3" fontId="5" fillId="0" borderId="4" xfId="0" applyNumberFormat="1" applyFont="1" applyFill="1" applyBorder="1" applyAlignment="1" applyProtection="1">
      <alignment horizontal="left" vertical="center" indent="2"/>
    </xf>
    <xf numFmtId="3" fontId="5" fillId="0" borderId="8" xfId="0" applyNumberFormat="1" applyFont="1" applyFill="1" applyBorder="1" applyAlignment="1" applyProtection="1">
      <alignment horizontal="left" vertical="center" indent="2"/>
    </xf>
    <xf numFmtId="3" fontId="5" fillId="0" borderId="6" xfId="0" applyNumberFormat="1" applyFont="1" applyFill="1" applyBorder="1" applyAlignment="1" applyProtection="1">
      <alignment horizontal="left" vertical="center" indent="2"/>
    </xf>
    <xf numFmtId="3" fontId="3" fillId="0" borderId="1" xfId="0" applyNumberFormat="1" applyFont="1" applyFill="1" applyBorder="1" applyAlignment="1" applyProtection="1">
      <alignment horizontal="right" vertical="center"/>
    </xf>
    <xf numFmtId="0" fontId="43" fillId="0" borderId="0" xfId="0" applyFont="1"/>
    <xf numFmtId="3" fontId="43" fillId="0" borderId="0" xfId="0" applyNumberFormat="1" applyFont="1" applyBorder="1" applyAlignment="1">
      <alignment horizontal="centerContinuous"/>
    </xf>
    <xf numFmtId="0" fontId="8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 applyProtection="1">
      <alignment horizontal="right" vertical="center"/>
      <protection locked="0"/>
    </xf>
    <xf numFmtId="3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3" fontId="8" fillId="0" borderId="1" xfId="0" applyNumberFormat="1" applyFont="1" applyBorder="1" applyAlignment="1" applyProtection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44" fillId="0" borderId="0" xfId="0" applyFont="1" applyProtection="1">
      <protection hidden="1"/>
    </xf>
    <xf numFmtId="0" fontId="2" fillId="0" borderId="0" xfId="0" applyFont="1" applyFill="1" applyProtection="1"/>
    <xf numFmtId="0" fontId="2" fillId="0" borderId="0" xfId="0" applyFont="1" applyBorder="1" applyProtection="1"/>
    <xf numFmtId="170" fontId="24" fillId="0" borderId="0" xfId="4" applyNumberFormat="1" applyFont="1" applyBorder="1" applyAlignment="1" applyProtection="1">
      <alignment horizontal="center" vertical="center" wrapText="1"/>
    </xf>
    <xf numFmtId="0" fontId="21" fillId="0" borderId="0" xfId="0" applyFont="1" applyProtection="1"/>
    <xf numFmtId="0" fontId="21" fillId="0" borderId="0" xfId="0" applyFont="1" applyBorder="1" applyAlignment="1" applyProtection="1">
      <alignment wrapText="1"/>
    </xf>
    <xf numFmtId="0" fontId="21" fillId="0" borderId="0" xfId="0" applyFont="1" applyAlignment="1" applyProtection="1">
      <alignment vertical="center"/>
    </xf>
    <xf numFmtId="0" fontId="21" fillId="0" borderId="1" xfId="0" applyFont="1" applyBorder="1" applyAlignment="1" applyProtection="1">
      <alignment horizontal="center" wrapText="1"/>
    </xf>
    <xf numFmtId="0" fontId="20" fillId="0" borderId="1" xfId="0" applyFont="1" applyBorder="1" applyAlignment="1" applyProtection="1">
      <alignment horizontal="center" vertical="center"/>
    </xf>
    <xf numFmtId="170" fontId="20" fillId="0" borderId="1" xfId="4" applyNumberFormat="1" applyFont="1" applyBorder="1" applyAlignment="1" applyProtection="1">
      <alignment horizontal="left" vertical="center"/>
    </xf>
    <xf numFmtId="3" fontId="20" fillId="0" borderId="1" xfId="4" applyNumberFormat="1" applyFont="1" applyBorder="1" applyAlignment="1" applyProtection="1">
      <alignment horizontal="center" vertical="center"/>
    </xf>
    <xf numFmtId="0" fontId="21" fillId="0" borderId="1" xfId="0" applyFont="1" applyFill="1" applyBorder="1" applyAlignment="1" applyProtection="1">
      <alignment horizontal="center" wrapText="1"/>
    </xf>
    <xf numFmtId="3" fontId="21" fillId="0" borderId="1" xfId="4" applyNumberFormat="1" applyFont="1" applyFill="1" applyBorder="1" applyAlignment="1" applyProtection="1">
      <alignment horizontal="center" wrapText="1"/>
    </xf>
    <xf numFmtId="3" fontId="30" fillId="0" borderId="1" xfId="4" applyNumberFormat="1" applyFont="1" applyFill="1" applyBorder="1" applyAlignment="1" applyProtection="1">
      <alignment horizontal="center" wrapText="1"/>
    </xf>
    <xf numFmtId="0" fontId="20" fillId="0" borderId="1" xfId="0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 applyProtection="1">
      <alignment horizontal="left" vertical="center" wrapText="1" indent="2"/>
    </xf>
    <xf numFmtId="0" fontId="27" fillId="0" borderId="0" xfId="0" applyFont="1" applyFill="1" applyAlignment="1" applyProtection="1">
      <alignment vertical="center"/>
    </xf>
    <xf numFmtId="0" fontId="20" fillId="0" borderId="0" xfId="0" applyFont="1" applyFill="1" applyAlignment="1" applyProtection="1">
      <alignment vertical="center"/>
    </xf>
    <xf numFmtId="0" fontId="20" fillId="0" borderId="1" xfId="0" applyFont="1" applyFill="1" applyBorder="1" applyAlignment="1" applyProtection="1">
      <alignment horizontal="left" vertical="center" indent="2"/>
    </xf>
    <xf numFmtId="0" fontId="21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center" wrapText="1"/>
    </xf>
    <xf numFmtId="0" fontId="30" fillId="0" borderId="0" xfId="0" applyFont="1" applyProtection="1"/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0" xfId="0" applyFont="1" applyAlignment="1" applyProtection="1">
      <alignment vertical="center"/>
    </xf>
    <xf numFmtId="0" fontId="21" fillId="0" borderId="1" xfId="0" applyFont="1" applyBorder="1" applyAlignment="1" applyProtection="1">
      <alignment horizontal="center" vertical="center" wrapText="1"/>
    </xf>
    <xf numFmtId="0" fontId="20" fillId="0" borderId="1" xfId="0" applyFont="1" applyBorder="1" applyAlignment="1" applyProtection="1">
      <alignment horizontal="left" vertical="center" indent="2"/>
    </xf>
    <xf numFmtId="0" fontId="20" fillId="0" borderId="1" xfId="0" applyFont="1" applyBorder="1" applyAlignment="1" applyProtection="1">
      <alignment horizontal="left" vertical="center" wrapText="1" indent="2"/>
    </xf>
    <xf numFmtId="3" fontId="30" fillId="0" borderId="1" xfId="4" applyNumberFormat="1" applyFont="1" applyBorder="1" applyAlignment="1" applyProtection="1">
      <alignment horizontal="center" vertical="center" wrapText="1"/>
    </xf>
    <xf numFmtId="0" fontId="21" fillId="0" borderId="0" xfId="0" applyFont="1" applyFill="1" applyAlignment="1" applyProtection="1">
      <alignment vertical="center"/>
    </xf>
    <xf numFmtId="0" fontId="37" fillId="0" borderId="1" xfId="0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left" vertical="center" wrapText="1" indent="2"/>
    </xf>
    <xf numFmtId="3" fontId="37" fillId="0" borderId="1" xfId="4" applyNumberFormat="1" applyFont="1" applyFill="1" applyBorder="1" applyAlignment="1" applyProtection="1">
      <alignment horizontal="center"/>
    </xf>
    <xf numFmtId="0" fontId="37" fillId="0" borderId="0" xfId="0" applyFont="1" applyFill="1" applyAlignment="1" applyProtection="1">
      <alignment vertical="center"/>
    </xf>
    <xf numFmtId="0" fontId="37" fillId="0" borderId="1" xfId="0" applyFont="1" applyBorder="1" applyAlignment="1" applyProtection="1">
      <alignment horizontal="center" vertical="center" wrapText="1"/>
    </xf>
    <xf numFmtId="0" fontId="37" fillId="0" borderId="1" xfId="0" applyFont="1" applyBorder="1" applyAlignment="1" applyProtection="1">
      <alignment horizontal="left" vertical="center" wrapText="1" indent="2"/>
    </xf>
    <xf numFmtId="0" fontId="37" fillId="0" borderId="0" xfId="0" applyFont="1" applyAlignment="1" applyProtection="1">
      <alignment vertical="center"/>
    </xf>
    <xf numFmtId="0" fontId="20" fillId="0" borderId="0" xfId="0" applyFont="1" applyBorder="1" applyProtection="1"/>
    <xf numFmtId="170" fontId="21" fillId="0" borderId="0" xfId="4" applyNumberFormat="1" applyFont="1" applyProtection="1"/>
    <xf numFmtId="0" fontId="20" fillId="0" borderId="0" xfId="0" applyFont="1" applyFill="1" applyBorder="1" applyAlignment="1" applyProtection="1">
      <alignment horizontal="right"/>
    </xf>
    <xf numFmtId="171" fontId="21" fillId="0" borderId="0" xfId="0" applyNumberFormat="1" applyFont="1" applyBorder="1" applyAlignment="1" applyProtection="1">
      <alignment wrapText="1"/>
    </xf>
    <xf numFmtId="3" fontId="37" fillId="0" borderId="1" xfId="4" applyNumberFormat="1" applyFont="1" applyBorder="1" applyAlignment="1" applyProtection="1">
      <alignment horizontal="center" vertical="center"/>
      <protection locked="0"/>
    </xf>
    <xf numFmtId="3" fontId="20" fillId="0" borderId="1" xfId="4" applyNumberFormat="1" applyFont="1" applyBorder="1" applyAlignment="1" applyProtection="1">
      <alignment horizontal="center" vertical="center"/>
      <protection locked="0"/>
    </xf>
    <xf numFmtId="3" fontId="21" fillId="0" borderId="1" xfId="4" applyNumberFormat="1" applyFont="1" applyFill="1" applyBorder="1" applyAlignment="1" applyProtection="1">
      <alignment horizontal="center" wrapText="1"/>
      <protection locked="0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10" fontId="30" fillId="0" borderId="1" xfId="3" applyNumberFormat="1" applyFont="1" applyFill="1" applyBorder="1" applyAlignment="1" applyProtection="1">
      <alignment horizontal="center" vertical="center"/>
    </xf>
    <xf numFmtId="0" fontId="18" fillId="0" borderId="0" xfId="6" applyNumberFormat="1" applyFont="1" applyFill="1" applyBorder="1" applyAlignment="1" applyProtection="1">
      <alignment vertical="top"/>
    </xf>
    <xf numFmtId="0" fontId="18" fillId="0" borderId="0" xfId="6" applyNumberFormat="1" applyFont="1" applyFill="1" applyBorder="1" applyAlignment="1" applyProtection="1">
      <alignment horizontal="center" vertical="center"/>
    </xf>
    <xf numFmtId="0" fontId="35" fillId="0" borderId="1" xfId="6" applyNumberFormat="1" applyFont="1" applyFill="1" applyBorder="1" applyAlignment="1" applyProtection="1">
      <alignment horizontal="left" vertical="center" wrapText="1" indent="2"/>
    </xf>
    <xf numFmtId="0" fontId="36" fillId="0" borderId="1" xfId="6" applyNumberFormat="1" applyFont="1" applyFill="1" applyBorder="1" applyAlignment="1" applyProtection="1">
      <alignment horizontal="left" vertical="center" wrapText="1" indent="2"/>
    </xf>
    <xf numFmtId="16" fontId="35" fillId="0" borderId="1" xfId="6" applyNumberFormat="1" applyFont="1" applyFill="1" applyBorder="1" applyAlignment="1" applyProtection="1">
      <alignment horizontal="left" vertical="center" wrapText="1" indent="2"/>
    </xf>
    <xf numFmtId="0" fontId="46" fillId="0" borderId="0" xfId="6" applyNumberFormat="1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 wrapText="1"/>
    </xf>
    <xf numFmtId="0" fontId="47" fillId="0" borderId="0" xfId="0" applyFont="1"/>
    <xf numFmtId="170" fontId="47" fillId="0" borderId="0" xfId="4" applyNumberFormat="1" applyFont="1"/>
    <xf numFmtId="0" fontId="13" fillId="0" borderId="0" xfId="0" applyFont="1" applyProtection="1"/>
    <xf numFmtId="0" fontId="10" fillId="0" borderId="0" xfId="0" applyFont="1" applyAlignment="1" applyProtection="1">
      <alignment vertical="center" wrapText="1"/>
    </xf>
    <xf numFmtId="0" fontId="13" fillId="0" borderId="0" xfId="0" applyFont="1" applyAlignment="1" applyProtection="1">
      <alignment vertical="center" wrapText="1"/>
    </xf>
    <xf numFmtId="3" fontId="3" fillId="4" borderId="7" xfId="0" applyNumberFormat="1" applyFont="1" applyFill="1" applyBorder="1" applyAlignment="1" applyProtection="1">
      <alignment horizontal="right" vertical="top"/>
    </xf>
    <xf numFmtId="3" fontId="3" fillId="4" borderId="11" xfId="0" applyNumberFormat="1" applyFont="1" applyFill="1" applyBorder="1" applyAlignment="1" applyProtection="1">
      <alignment horizontal="right" vertical="top"/>
    </xf>
    <xf numFmtId="3" fontId="3" fillId="4" borderId="15" xfId="0" applyNumberFormat="1" applyFont="1" applyFill="1" applyBorder="1" applyAlignment="1" applyProtection="1">
      <alignment horizontal="right" vertical="top"/>
    </xf>
    <xf numFmtId="0" fontId="13" fillId="0" borderId="0" xfId="0" applyFont="1" applyAlignment="1" applyProtection="1">
      <alignment vertical="center"/>
    </xf>
    <xf numFmtId="3" fontId="3" fillId="4" borderId="2" xfId="0" applyNumberFormat="1" applyFont="1" applyFill="1" applyBorder="1" applyAlignment="1" applyProtection="1">
      <alignment horizontal="right" vertical="top"/>
    </xf>
    <xf numFmtId="3" fontId="3" fillId="4" borderId="9" xfId="0" applyNumberFormat="1" applyFont="1" applyFill="1" applyBorder="1" applyAlignment="1" applyProtection="1">
      <alignment horizontal="right" vertical="top"/>
    </xf>
    <xf numFmtId="3" fontId="3" fillId="4" borderId="14" xfId="0" applyNumberFormat="1" applyFont="1" applyFill="1" applyBorder="1" applyAlignment="1" applyProtection="1">
      <alignment horizontal="right" vertical="top"/>
    </xf>
    <xf numFmtId="0" fontId="13" fillId="0" borderId="0" xfId="0" applyFont="1" applyBorder="1" applyProtection="1"/>
    <xf numFmtId="171" fontId="6" fillId="0" borderId="0" xfId="0" applyNumberFormat="1" applyFont="1" applyAlignment="1" applyProtection="1">
      <alignment horizontal="center"/>
    </xf>
    <xf numFmtId="3" fontId="21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30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30" fillId="0" borderId="1" xfId="4" applyNumberFormat="1" applyFont="1" applyFill="1" applyBorder="1" applyAlignment="1" applyProtection="1">
      <alignment horizontal="center" vertical="center" wrapText="1"/>
    </xf>
    <xf numFmtId="3" fontId="37" fillId="0" borderId="1" xfId="4" applyNumberFormat="1" applyFont="1" applyFill="1" applyBorder="1" applyAlignment="1" applyProtection="1">
      <alignment horizontal="center" vertical="center" wrapText="1"/>
      <protection locked="0"/>
    </xf>
    <xf numFmtId="166" fontId="49" fillId="0" borderId="0" xfId="4" applyFont="1" applyFill="1" applyBorder="1" applyAlignment="1" applyProtection="1">
      <alignment vertical="center"/>
    </xf>
    <xf numFmtId="0" fontId="50" fillId="0" borderId="0" xfId="0" applyFont="1" applyBorder="1" applyProtection="1"/>
    <xf numFmtId="0" fontId="51" fillId="0" borderId="0" xfId="0" applyFont="1" applyBorder="1" applyProtection="1"/>
    <xf numFmtId="0" fontId="46" fillId="0" borderId="0" xfId="5" applyNumberFormat="1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18" fillId="0" borderId="1" xfId="6" applyNumberFormat="1" applyFont="1" applyFill="1" applyBorder="1" applyAlignment="1" applyProtection="1">
      <alignment horizontal="left" vertical="center" wrapText="1" indent="2"/>
    </xf>
    <xf numFmtId="3" fontId="18" fillId="0" borderId="0" xfId="5" applyNumberFormat="1" applyFont="1" applyFill="1" applyBorder="1" applyAlignment="1" applyProtection="1">
      <alignment vertical="top"/>
    </xf>
    <xf numFmtId="3" fontId="34" fillId="5" borderId="1" xfId="5" applyNumberFormat="1" applyFont="1" applyFill="1" applyBorder="1" applyAlignment="1" applyProtection="1">
      <alignment horizontal="center" vertical="center" wrapText="1"/>
    </xf>
    <xf numFmtId="0" fontId="35" fillId="5" borderId="1" xfId="6" applyNumberFormat="1" applyFont="1" applyFill="1" applyBorder="1" applyAlignment="1" applyProtection="1">
      <alignment horizontal="left" vertical="center" wrapText="1" indent="2"/>
    </xf>
    <xf numFmtId="3" fontId="55" fillId="0" borderId="1" xfId="4" applyNumberFormat="1" applyFont="1" applyFill="1" applyBorder="1" applyAlignment="1" applyProtection="1">
      <alignment horizontal="center"/>
    </xf>
    <xf numFmtId="0" fontId="18" fillId="0" borderId="0" xfId="6" applyNumberFormat="1" applyFont="1" applyFill="1" applyBorder="1" applyAlignment="1" applyProtection="1">
      <alignment horizontal="center" vertical="top"/>
    </xf>
    <xf numFmtId="15" fontId="18" fillId="0" borderId="0" xfId="6" applyNumberFormat="1" applyFont="1" applyFill="1" applyBorder="1" applyAlignment="1" applyProtection="1">
      <alignment vertical="top"/>
    </xf>
    <xf numFmtId="0" fontId="56" fillId="0" borderId="0" xfId="0" applyFont="1" applyBorder="1" applyAlignment="1">
      <alignment horizontal="center" vertical="center"/>
    </xf>
    <xf numFmtId="171" fontId="0" fillId="0" borderId="0" xfId="0" applyNumberFormat="1" applyFont="1" applyBorder="1" applyAlignment="1">
      <alignment horizontal="left" indent="2"/>
    </xf>
    <xf numFmtId="15" fontId="37" fillId="0" borderId="0" xfId="0" applyNumberFormat="1" applyFont="1" applyBorder="1" applyAlignment="1" applyProtection="1">
      <alignment horizontal="left" wrapText="1" indent="3"/>
    </xf>
    <xf numFmtId="170" fontId="24" fillId="0" borderId="0" xfId="4" applyNumberFormat="1" applyFont="1" applyBorder="1" applyAlignment="1" applyProtection="1">
      <alignment horizontal="left" indent="2"/>
    </xf>
    <xf numFmtId="171" fontId="0" fillId="0" borderId="0" xfId="0" quotePrefix="1" applyNumberFormat="1" applyFont="1" applyBorder="1" applyAlignment="1">
      <alignment horizontal="left"/>
    </xf>
    <xf numFmtId="3" fontId="31" fillId="0" borderId="0" xfId="0" applyNumberFormat="1" applyFont="1"/>
    <xf numFmtId="3" fontId="57" fillId="0" borderId="0" xfId="0" applyNumberFormat="1" applyFont="1" applyAlignment="1">
      <alignment horizontal="center"/>
    </xf>
    <xf numFmtId="0" fontId="54" fillId="0" borderId="0" xfId="6" applyNumberFormat="1" applyFont="1" applyFill="1" applyBorder="1" applyAlignment="1" applyProtection="1">
      <alignment horizontal="center" vertical="top"/>
    </xf>
    <xf numFmtId="15" fontId="58" fillId="0" borderId="0" xfId="6" applyNumberFormat="1" applyFont="1" applyFill="1" applyBorder="1" applyAlignment="1" applyProtection="1">
      <alignment horizontal="center" vertical="center"/>
    </xf>
    <xf numFmtId="171" fontId="0" fillId="0" borderId="0" xfId="0" applyNumberFormat="1" applyFont="1" applyBorder="1" applyAlignment="1">
      <alignment horizontal="center"/>
    </xf>
    <xf numFmtId="3" fontId="18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18" fillId="0" borderId="1" xfId="5" applyNumberFormat="1" applyFont="1" applyFill="1" applyBorder="1" applyAlignment="1" applyProtection="1">
      <alignment horizontal="center" vertical="center" wrapText="1"/>
      <protection locked="0"/>
    </xf>
    <xf numFmtId="3" fontId="18" fillId="0" borderId="1" xfId="5" applyNumberFormat="1" applyFont="1" applyFill="1" applyBorder="1" applyAlignment="1" applyProtection="1">
      <alignment horizontal="center" vertical="top" wrapText="1"/>
      <protection locked="0"/>
    </xf>
    <xf numFmtId="3" fontId="2" fillId="0" borderId="1" xfId="0" applyNumberFormat="1" applyFont="1" applyFill="1" applyBorder="1" applyAlignment="1">
      <alignment vertical="center"/>
    </xf>
    <xf numFmtId="0" fontId="6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center" wrapText="1"/>
    </xf>
    <xf numFmtId="0" fontId="7" fillId="0" borderId="0" xfId="0" applyFont="1" applyBorder="1" applyAlignment="1" applyProtection="1">
      <alignment horizontal="centerContinuous" vertical="center"/>
    </xf>
    <xf numFmtId="3" fontId="3" fillId="0" borderId="3" xfId="0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center" vertical="center" wrapText="1"/>
    </xf>
    <xf numFmtId="0" fontId="34" fillId="0" borderId="0" xfId="6" applyNumberFormat="1" applyFont="1" applyFill="1" applyBorder="1" applyAlignment="1" applyProtection="1">
      <alignment horizontal="center" vertical="center"/>
    </xf>
    <xf numFmtId="0" fontId="18" fillId="0" borderId="1" xfId="6" applyNumberFormat="1" applyFont="1" applyFill="1" applyBorder="1" applyAlignment="1" applyProtection="1">
      <alignment horizontal="center" vertical="center" wrapText="1"/>
    </xf>
    <xf numFmtId="9" fontId="2" fillId="0" borderId="1" xfId="0" applyNumberFormat="1" applyFont="1" applyBorder="1" applyAlignment="1" applyProtection="1">
      <alignment vertical="center"/>
    </xf>
    <xf numFmtId="1" fontId="8" fillId="0" borderId="1" xfId="0" applyNumberFormat="1" applyFont="1" applyBorder="1" applyAlignment="1" applyProtection="1">
      <alignment vertical="center"/>
    </xf>
    <xf numFmtId="9" fontId="8" fillId="0" borderId="1" xfId="0" applyNumberFormat="1" applyFont="1" applyBorder="1" applyAlignment="1" applyProtection="1">
      <alignment vertical="center"/>
    </xf>
    <xf numFmtId="9" fontId="2" fillId="0" borderId="1" xfId="0" applyNumberFormat="1" applyFont="1" applyBorder="1" applyProtection="1"/>
    <xf numFmtId="3" fontId="6" fillId="0" borderId="1" xfId="0" applyNumberFormat="1" applyFont="1" applyBorder="1" applyAlignment="1" applyProtection="1">
      <alignment horizontal="center" vertical="center" wrapText="1"/>
    </xf>
    <xf numFmtId="3" fontId="21" fillId="0" borderId="1" xfId="4" applyNumberFormat="1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left" vertical="center" wrapText="1" indent="1"/>
    </xf>
    <xf numFmtId="0" fontId="37" fillId="0" borderId="1" xfId="0" applyFont="1" applyFill="1" applyBorder="1" applyAlignment="1" applyProtection="1">
      <alignment horizontal="left" vertical="center" indent="1"/>
    </xf>
    <xf numFmtId="0" fontId="21" fillId="0" borderId="1" xfId="0" applyFont="1" applyBorder="1" applyAlignment="1" applyProtection="1">
      <alignment horizontal="left" vertical="center" wrapText="1" indent="1"/>
    </xf>
    <xf numFmtId="0" fontId="21" fillId="0" borderId="1" xfId="0" applyFont="1" applyFill="1" applyBorder="1" applyAlignment="1" applyProtection="1">
      <alignment horizontal="left" vertical="center" wrapText="1" indent="1"/>
    </xf>
    <xf numFmtId="9" fontId="34" fillId="0" borderId="0" xfId="3" applyFont="1" applyFill="1" applyBorder="1" applyAlignment="1" applyProtection="1">
      <alignment horizontal="center" vertical="center"/>
    </xf>
    <xf numFmtId="9" fontId="35" fillId="0" borderId="1" xfId="3" applyFont="1" applyFill="1" applyBorder="1" applyAlignment="1" applyProtection="1">
      <alignment horizontal="center" vertical="center" wrapText="1"/>
    </xf>
    <xf numFmtId="9" fontId="18" fillId="0" borderId="0" xfId="3" applyFont="1" applyFill="1" applyBorder="1" applyAlignment="1" applyProtection="1">
      <alignment vertical="top"/>
    </xf>
    <xf numFmtId="9" fontId="18" fillId="0" borderId="1" xfId="3" applyFont="1" applyFill="1" applyBorder="1" applyAlignment="1" applyProtection="1">
      <alignment horizontal="center" vertical="center" wrapText="1"/>
    </xf>
    <xf numFmtId="172" fontId="3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3" fontId="57" fillId="3" borderId="1" xfId="0" applyNumberFormat="1" applyFont="1" applyFill="1" applyBorder="1" applyAlignment="1" applyProtection="1">
      <alignment horizontal="center" vertical="center" wrapText="1"/>
    </xf>
    <xf numFmtId="3" fontId="63" fillId="3" borderId="1" xfId="0" applyNumberFormat="1" applyFont="1" applyFill="1" applyBorder="1" applyAlignment="1" applyProtection="1">
      <alignment horizontal="center" vertical="center" wrapText="1"/>
    </xf>
    <xf numFmtId="9" fontId="63" fillId="3" borderId="1" xfId="3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3" fontId="31" fillId="3" borderId="1" xfId="0" applyNumberFormat="1" applyFont="1" applyFill="1" applyBorder="1" applyAlignment="1" applyProtection="1">
      <alignment horizontal="center" vertical="center" wrapText="1"/>
    </xf>
    <xf numFmtId="3" fontId="6" fillId="0" borderId="0" xfId="0" quotePrefix="1" applyNumberFormat="1" applyFont="1" applyBorder="1" applyAlignment="1">
      <alignment horizontal="left"/>
    </xf>
    <xf numFmtId="0" fontId="4" fillId="0" borderId="0" xfId="0" applyFont="1" applyBorder="1" applyAlignment="1">
      <alignment horizontal="centerContinuous" vertical="center"/>
    </xf>
    <xf numFmtId="3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1" xfId="5" applyNumberFormat="1" applyFont="1" applyFill="1" applyBorder="1" applyAlignment="1" applyProtection="1">
      <alignment vertical="center" wrapText="1"/>
    </xf>
    <xf numFmtId="0" fontId="18" fillId="0" borderId="0" xfId="5" applyNumberFormat="1" applyFont="1" applyFill="1" applyBorder="1" applyAlignment="1" applyProtection="1">
      <alignment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 applyProtection="1">
      <alignment vertical="center"/>
      <protection hidden="1"/>
    </xf>
    <xf numFmtId="3" fontId="3" fillId="0" borderId="1" xfId="0" applyNumberFormat="1" applyFont="1" applyBorder="1" applyAlignment="1" applyProtection="1">
      <alignment vertical="center"/>
      <protection hidden="1"/>
    </xf>
    <xf numFmtId="168" fontId="3" fillId="0" borderId="1" xfId="0" applyNumberFormat="1" applyFont="1" applyBorder="1" applyAlignment="1" applyProtection="1">
      <alignment vertical="center"/>
      <protection hidden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31" fillId="0" borderId="3" xfId="0" applyNumberFormat="1" applyFont="1" applyBorder="1" applyAlignment="1" applyProtection="1">
      <alignment vertical="center"/>
    </xf>
    <xf numFmtId="3" fontId="15" fillId="3" borderId="1" xfId="0" applyNumberFormat="1" applyFont="1" applyFill="1" applyBorder="1" applyAlignment="1" applyProtection="1">
      <alignment horizontal="center" vertical="center" wrapText="1"/>
    </xf>
    <xf numFmtId="0" fontId="34" fillId="5" borderId="1" xfId="6" applyNumberFormat="1" applyFont="1" applyFill="1" applyBorder="1" applyAlignment="1" applyProtection="1">
      <alignment horizontal="left" vertical="center" wrapText="1" indent="2"/>
    </xf>
    <xf numFmtId="0" fontId="53" fillId="5" borderId="1" xfId="6" applyNumberFormat="1" applyFont="1" applyFill="1" applyBorder="1" applyAlignment="1" applyProtection="1">
      <alignment horizontal="left" vertical="center" wrapText="1" indent="4"/>
    </xf>
    <xf numFmtId="0" fontId="35" fillId="5" borderId="1" xfId="6" applyNumberFormat="1" applyFont="1" applyFill="1" applyBorder="1" applyAlignment="1" applyProtection="1">
      <alignment horizontal="left" vertical="center" wrapText="1" indent="1"/>
    </xf>
    <xf numFmtId="0" fontId="35" fillId="0" borderId="1" xfId="6" applyNumberFormat="1" applyFont="1" applyFill="1" applyBorder="1" applyAlignment="1" applyProtection="1">
      <alignment horizontal="left" vertical="center" wrapText="1" indent="1"/>
    </xf>
    <xf numFmtId="0" fontId="66" fillId="0" borderId="0" xfId="0" applyFont="1" applyProtection="1"/>
    <xf numFmtId="166" fontId="66" fillId="0" borderId="0" xfId="4" applyFont="1" applyBorder="1" applyProtection="1"/>
    <xf numFmtId="0" fontId="66" fillId="0" borderId="0" xfId="0" applyFont="1" applyAlignment="1" applyProtection="1">
      <alignment vertical="center"/>
    </xf>
    <xf numFmtId="166" fontId="66" fillId="0" borderId="0" xfId="4" applyFont="1" applyBorder="1" applyAlignment="1" applyProtection="1">
      <alignment vertical="center"/>
    </xf>
    <xf numFmtId="0" fontId="49" fillId="0" borderId="0" xfId="0" applyFont="1" applyFill="1" applyAlignment="1" applyProtection="1">
      <alignment vertical="center"/>
    </xf>
    <xf numFmtId="3" fontId="67" fillId="0" borderId="0" xfId="0" applyNumberFormat="1" applyFont="1" applyProtection="1"/>
    <xf numFmtId="166" fontId="67" fillId="0" borderId="0" xfId="4" applyFont="1" applyBorder="1" applyProtection="1"/>
    <xf numFmtId="0" fontId="67" fillId="0" borderId="0" xfId="0" applyFont="1" applyProtection="1"/>
    <xf numFmtId="0" fontId="67" fillId="0" borderId="0" xfId="0" applyFont="1" applyAlignment="1" applyProtection="1">
      <alignment vertical="center"/>
    </xf>
    <xf numFmtId="166" fontId="67" fillId="0" borderId="0" xfId="4" applyFont="1" applyBorder="1" applyAlignment="1" applyProtection="1">
      <alignment vertical="center"/>
    </xf>
    <xf numFmtId="170" fontId="67" fillId="0" borderId="0" xfId="4" applyNumberFormat="1" applyFont="1" applyAlignment="1" applyProtection="1">
      <alignment vertical="center"/>
    </xf>
    <xf numFmtId="3" fontId="66" fillId="0" borderId="0" xfId="0" applyNumberFormat="1" applyFont="1" applyAlignment="1" applyProtection="1">
      <alignment vertical="center"/>
    </xf>
    <xf numFmtId="0" fontId="66" fillId="0" borderId="0" xfId="0" applyFont="1" applyFill="1" applyAlignment="1" applyProtection="1">
      <alignment vertical="center"/>
    </xf>
    <xf numFmtId="166" fontId="66" fillId="0" borderId="0" xfId="4" applyFont="1" applyFill="1" applyBorder="1" applyAlignment="1" applyProtection="1">
      <alignment vertical="center"/>
    </xf>
    <xf numFmtId="3" fontId="66" fillId="0" borderId="0" xfId="0" applyNumberFormat="1" applyFont="1" applyFill="1" applyAlignment="1" applyProtection="1">
      <alignment vertical="center"/>
    </xf>
    <xf numFmtId="0" fontId="68" fillId="0" borderId="0" xfId="0" applyFont="1" applyFill="1" applyAlignment="1" applyProtection="1">
      <alignment vertical="center"/>
    </xf>
    <xf numFmtId="166" fontId="68" fillId="0" borderId="0" xfId="4" applyFont="1" applyFill="1" applyBorder="1" applyAlignment="1" applyProtection="1">
      <alignment vertical="center"/>
    </xf>
    <xf numFmtId="3" fontId="68" fillId="0" borderId="0" xfId="0" applyNumberFormat="1" applyFont="1" applyFill="1" applyAlignment="1" applyProtection="1">
      <alignment vertical="center"/>
    </xf>
    <xf numFmtId="0" fontId="68" fillId="0" borderId="0" xfId="0" applyFont="1" applyAlignment="1" applyProtection="1">
      <alignment vertical="center"/>
    </xf>
    <xf numFmtId="166" fontId="68" fillId="0" borderId="0" xfId="4" applyFont="1" applyBorder="1" applyAlignment="1" applyProtection="1">
      <alignment vertical="center"/>
    </xf>
    <xf numFmtId="0" fontId="69" fillId="0" borderId="0" xfId="0" applyFont="1"/>
    <xf numFmtId="0" fontId="69" fillId="0" borderId="0" xfId="0" applyFont="1" applyAlignment="1">
      <alignment vertical="center"/>
    </xf>
    <xf numFmtId="3" fontId="69" fillId="0" borderId="0" xfId="0" applyNumberFormat="1" applyFont="1" applyAlignment="1">
      <alignment vertical="center"/>
    </xf>
    <xf numFmtId="0" fontId="18" fillId="0" borderId="0" xfId="0" applyFont="1"/>
    <xf numFmtId="0" fontId="70" fillId="0" borderId="0" xfId="0" applyFont="1"/>
    <xf numFmtId="0" fontId="62" fillId="0" borderId="0" xfId="0" applyFont="1"/>
    <xf numFmtId="49" fontId="34" fillId="6" borderId="1" xfId="5" applyNumberFormat="1" applyFont="1" applyFill="1" applyBorder="1" applyAlignment="1" applyProtection="1">
      <alignment horizontal="center" vertical="center" wrapText="1"/>
    </xf>
    <xf numFmtId="0" fontId="34" fillId="6" borderId="1" xfId="5" applyNumberFormat="1" applyFont="1" applyFill="1" applyBorder="1" applyAlignment="1" applyProtection="1">
      <alignment horizontal="center" vertical="center" wrapText="1"/>
    </xf>
    <xf numFmtId="3" fontId="34" fillId="6" borderId="1" xfId="5" applyNumberFormat="1" applyFont="1" applyFill="1" applyBorder="1" applyAlignment="1" applyProtection="1">
      <alignment horizontal="center" vertical="center" wrapText="1"/>
    </xf>
    <xf numFmtId="49" fontId="18" fillId="6" borderId="1" xfId="5" applyNumberFormat="1" applyFont="1" applyFill="1" applyBorder="1" applyAlignment="1" applyProtection="1">
      <alignment horizontal="center" vertical="center" wrapText="1"/>
    </xf>
    <xf numFmtId="0" fontId="15" fillId="6" borderId="1" xfId="5" applyNumberFormat="1" applyFont="1" applyFill="1" applyBorder="1" applyAlignment="1" applyProtection="1">
      <alignment horizontal="center" vertical="center" wrapText="1"/>
    </xf>
    <xf numFmtId="3" fontId="18" fillId="6" borderId="1" xfId="5" applyNumberFormat="1" applyFont="1" applyFill="1" applyBorder="1" applyAlignment="1" applyProtection="1">
      <alignment horizontal="center" vertical="center" wrapText="1"/>
    </xf>
    <xf numFmtId="3" fontId="14" fillId="3" borderId="1" xfId="0" applyNumberFormat="1" applyFont="1" applyFill="1" applyBorder="1" applyProtection="1"/>
    <xf numFmtId="3" fontId="14" fillId="0" borderId="1" xfId="0" applyNumberFormat="1" applyFont="1" applyBorder="1" applyAlignment="1" applyProtection="1">
      <alignment vertical="center"/>
    </xf>
    <xf numFmtId="3" fontId="14" fillId="0" borderId="1" xfId="0" applyNumberFormat="1" applyFont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 applyProtection="1">
      <alignment vertical="center"/>
    </xf>
    <xf numFmtId="3" fontId="14" fillId="3" borderId="1" xfId="0" applyNumberFormat="1" applyFont="1" applyFill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0" fontId="73" fillId="0" borderId="0" xfId="0" applyFont="1" applyAlignment="1" applyProtection="1">
      <alignment vertical="center"/>
    </xf>
    <xf numFmtId="3" fontId="37" fillId="0" borderId="1" xfId="4" applyNumberFormat="1" applyFont="1" applyFill="1" applyBorder="1" applyAlignment="1" applyProtection="1">
      <alignment horizontal="center"/>
      <protection locked="0"/>
    </xf>
    <xf numFmtId="166" fontId="73" fillId="0" borderId="0" xfId="4" applyFont="1" applyBorder="1" applyAlignment="1" applyProtection="1">
      <alignment vertical="center"/>
    </xf>
    <xf numFmtId="3" fontId="73" fillId="0" borderId="1" xfId="4" applyNumberFormat="1" applyFont="1" applyFill="1" applyBorder="1" applyAlignment="1" applyProtection="1">
      <alignment horizontal="center"/>
    </xf>
    <xf numFmtId="3" fontId="48" fillId="0" borderId="0" xfId="0" applyNumberFormat="1" applyFont="1" applyBorder="1" applyAlignment="1">
      <alignment horizontal="center"/>
    </xf>
    <xf numFmtId="0" fontId="54" fillId="0" borderId="0" xfId="5" applyNumberFormat="1" applyFont="1" applyFill="1" applyBorder="1" applyAlignment="1" applyProtection="1">
      <alignment horizontal="center" vertical="center"/>
    </xf>
    <xf numFmtId="3" fontId="52" fillId="3" borderId="5" xfId="0" applyNumberFormat="1" applyFont="1" applyFill="1" applyBorder="1" applyAlignment="1" applyProtection="1">
      <alignment horizontal="center" vertical="center" wrapText="1"/>
    </xf>
    <xf numFmtId="3" fontId="8" fillId="0" borderId="10" xfId="0" applyNumberFormat="1" applyFont="1" applyBorder="1"/>
    <xf numFmtId="3" fontId="8" fillId="0" borderId="0" xfId="0" applyNumberFormat="1" applyFont="1" applyBorder="1"/>
    <xf numFmtId="3" fontId="4" fillId="0" borderId="0" xfId="0" applyNumberFormat="1" applyFont="1" applyBorder="1"/>
    <xf numFmtId="171" fontId="12" fillId="0" borderId="10" xfId="0" applyNumberFormat="1" applyFont="1" applyBorder="1" applyAlignment="1">
      <alignment horizontal="centerContinuous"/>
    </xf>
    <xf numFmtId="0" fontId="43" fillId="0" borderId="0" xfId="0" applyFont="1" applyBorder="1"/>
    <xf numFmtId="3" fontId="76" fillId="0" borderId="0" xfId="0" applyNumberFormat="1" applyFont="1" applyBorder="1" applyAlignment="1">
      <alignment horizontal="centerContinuous"/>
    </xf>
    <xf numFmtId="3" fontId="77" fillId="0" borderId="0" xfId="0" applyNumberFormat="1" applyFont="1" applyBorder="1" applyAlignment="1">
      <alignment horizontal="centerContinuous"/>
    </xf>
    <xf numFmtId="0" fontId="77" fillId="0" borderId="0" xfId="0" applyFont="1" applyBorder="1"/>
    <xf numFmtId="3" fontId="76" fillId="0" borderId="0" xfId="0" applyNumberFormat="1" applyFont="1" applyBorder="1" applyAlignment="1">
      <alignment horizontal="center"/>
    </xf>
    <xf numFmtId="0" fontId="78" fillId="0" borderId="0" xfId="0" applyFont="1"/>
    <xf numFmtId="0" fontId="77" fillId="0" borderId="0" xfId="0" applyFont="1"/>
    <xf numFmtId="0" fontId="79" fillId="0" borderId="0" xfId="5" applyNumberFormat="1" applyFont="1" applyFill="1" applyBorder="1" applyAlignment="1" applyProtection="1">
      <alignment horizontal="right" vertical="top" indent="2"/>
    </xf>
    <xf numFmtId="0" fontId="80" fillId="0" borderId="0" xfId="5" applyNumberFormat="1" applyFont="1" applyFill="1" applyBorder="1" applyAlignment="1" applyProtection="1">
      <alignment vertical="top"/>
    </xf>
    <xf numFmtId="3" fontId="80" fillId="0" borderId="0" xfId="5" applyNumberFormat="1" applyFont="1" applyFill="1" applyBorder="1" applyAlignment="1" applyProtection="1">
      <alignment vertical="top"/>
    </xf>
    <xf numFmtId="0" fontId="82" fillId="5" borderId="1" xfId="6" applyNumberFormat="1" applyFont="1" applyFill="1" applyBorder="1" applyAlignment="1" applyProtection="1">
      <alignment horizontal="center" vertical="center" wrapText="1"/>
    </xf>
    <xf numFmtId="0" fontId="82" fillId="5" borderId="1" xfId="6" applyNumberFormat="1" applyFont="1" applyFill="1" applyBorder="1" applyAlignment="1" applyProtection="1">
      <alignment horizontal="left" vertical="center" wrapText="1" indent="2"/>
    </xf>
    <xf numFmtId="9" fontId="64" fillId="5" borderId="1" xfId="3" applyFont="1" applyFill="1" applyBorder="1" applyAlignment="1" applyProtection="1">
      <alignment horizontal="center" vertical="center" wrapText="1"/>
      <protection locked="0"/>
    </xf>
    <xf numFmtId="0" fontId="64" fillId="0" borderId="0" xfId="6" applyNumberFormat="1" applyFont="1" applyFill="1" applyBorder="1" applyAlignment="1" applyProtection="1">
      <alignment horizontal="center" vertical="center"/>
    </xf>
    <xf numFmtId="0" fontId="64" fillId="0" borderId="0" xfId="6" applyNumberFormat="1" applyFont="1" applyFill="1" applyBorder="1" applyAlignment="1" applyProtection="1">
      <alignment vertical="center"/>
    </xf>
    <xf numFmtId="0" fontId="83" fillId="5" borderId="1" xfId="6" applyNumberFormat="1" applyFont="1" applyFill="1" applyBorder="1" applyAlignment="1" applyProtection="1">
      <alignment horizontal="left" vertical="center" wrapText="1" indent="1"/>
    </xf>
    <xf numFmtId="173" fontId="18" fillId="0" borderId="1" xfId="6" applyNumberFormat="1" applyFont="1" applyFill="1" applyBorder="1" applyAlignment="1" applyProtection="1">
      <alignment horizontal="center" vertical="center" wrapText="1"/>
    </xf>
    <xf numFmtId="173" fontId="18" fillId="0" borderId="1" xfId="6" applyNumberFormat="1" applyFont="1" applyFill="1" applyBorder="1" applyAlignment="1" applyProtection="1">
      <alignment horizontal="center" vertical="center" wrapText="1"/>
      <protection locked="0"/>
    </xf>
    <xf numFmtId="173" fontId="15" fillId="0" borderId="1" xfId="6" applyNumberFormat="1" applyFont="1" applyFill="1" applyBorder="1" applyAlignment="1" applyProtection="1">
      <alignment horizontal="center" vertical="center" wrapText="1"/>
    </xf>
    <xf numFmtId="172" fontId="34" fillId="0" borderId="1" xfId="3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9" fontId="8" fillId="0" borderId="1" xfId="3" applyFont="1" applyBorder="1" applyAlignment="1" applyProtection="1">
      <alignment horizontal="right" vertical="center"/>
      <protection locked="0"/>
    </xf>
    <xf numFmtId="9" fontId="14" fillId="0" borderId="1" xfId="3" applyFont="1" applyBorder="1" applyAlignment="1" applyProtection="1">
      <alignment vertical="center"/>
      <protection locked="0"/>
    </xf>
    <xf numFmtId="9" fontId="14" fillId="3" borderId="1" xfId="3" applyFont="1" applyFill="1" applyBorder="1" applyAlignment="1" applyProtection="1">
      <alignment vertical="center"/>
      <protection locked="0"/>
    </xf>
    <xf numFmtId="9" fontId="14" fillId="3" borderId="1" xfId="3" applyFont="1" applyFill="1" applyBorder="1" applyAlignment="1" applyProtection="1">
      <alignment vertical="center"/>
    </xf>
    <xf numFmtId="9" fontId="14" fillId="0" borderId="1" xfId="3" applyFont="1" applyBorder="1" applyAlignment="1" applyProtection="1">
      <alignment vertical="center"/>
    </xf>
    <xf numFmtId="3" fontId="84" fillId="0" borderId="0" xfId="5" applyNumberFormat="1" applyFont="1" applyFill="1" applyBorder="1" applyAlignment="1" applyProtection="1">
      <alignment vertical="top"/>
    </xf>
    <xf numFmtId="3" fontId="18" fillId="3" borderId="1" xfId="0" applyNumberFormat="1" applyFont="1" applyFill="1" applyBorder="1" applyAlignment="1" applyProtection="1">
      <alignment horizontal="center" vertical="center" wrapText="1"/>
    </xf>
    <xf numFmtId="3" fontId="22" fillId="5" borderId="1" xfId="8" applyNumberFormat="1" applyFont="1" applyFill="1" applyBorder="1" applyAlignment="1" applyProtection="1">
      <alignment horizontal="center" vertical="center" wrapText="1"/>
      <protection locked="0"/>
    </xf>
    <xf numFmtId="173" fontId="19" fillId="5" borderId="1" xfId="8" applyNumberFormat="1" applyFont="1" applyFill="1" applyBorder="1" applyAlignment="1" applyProtection="1">
      <alignment horizontal="center" vertical="center" wrapText="1"/>
    </xf>
    <xf numFmtId="172" fontId="19" fillId="5" borderId="1" xfId="3" applyNumberFormat="1" applyFont="1" applyFill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0" fontId="85" fillId="0" borderId="0" xfId="6" applyNumberFormat="1" applyFont="1" applyFill="1" applyBorder="1" applyAlignment="1" applyProtection="1">
      <alignment horizontal="center" vertical="top"/>
    </xf>
    <xf numFmtId="0" fontId="85" fillId="0" borderId="0" xfId="6" applyNumberFormat="1" applyFont="1" applyFill="1" applyBorder="1" applyAlignment="1" applyProtection="1">
      <alignment vertical="top"/>
    </xf>
    <xf numFmtId="173" fontId="85" fillId="0" borderId="0" xfId="6" applyNumberFormat="1" applyFont="1" applyFill="1" applyBorder="1" applyAlignment="1" applyProtection="1">
      <alignment horizontal="center" vertical="top"/>
    </xf>
    <xf numFmtId="3" fontId="85" fillId="0" borderId="0" xfId="6" applyNumberFormat="1" applyFont="1" applyFill="1" applyBorder="1" applyAlignment="1" applyProtection="1">
      <alignment horizontal="center" vertical="top"/>
    </xf>
    <xf numFmtId="170" fontId="18" fillId="0" borderId="0" xfId="4" applyNumberFormat="1" applyFont="1" applyFill="1" applyBorder="1" applyAlignment="1" applyProtection="1">
      <alignment vertical="top"/>
    </xf>
    <xf numFmtId="170" fontId="85" fillId="0" borderId="0" xfId="4" applyNumberFormat="1" applyFont="1" applyFill="1" applyBorder="1" applyAlignment="1" applyProtection="1">
      <alignment horizontal="center" vertical="top"/>
    </xf>
    <xf numFmtId="0" fontId="8" fillId="0" borderId="0" xfId="0" applyFont="1" applyProtection="1"/>
    <xf numFmtId="170" fontId="85" fillId="0" borderId="0" xfId="4" applyNumberFormat="1" applyFont="1" applyFill="1" applyBorder="1" applyAlignment="1" applyProtection="1">
      <alignment vertical="top"/>
    </xf>
    <xf numFmtId="3" fontId="22" fillId="5" borderId="1" xfId="8" applyNumberFormat="1" applyFont="1" applyFill="1" applyBorder="1" applyAlignment="1" applyProtection="1">
      <alignment horizontal="center" vertical="center" wrapText="1"/>
    </xf>
    <xf numFmtId="3" fontId="86" fillId="0" borderId="0" xfId="6" applyNumberFormat="1" applyFont="1" applyFill="1" applyBorder="1" applyAlignment="1" applyProtection="1">
      <alignment horizontal="center" vertical="center"/>
    </xf>
    <xf numFmtId="3" fontId="87" fillId="0" borderId="0" xfId="6" applyNumberFormat="1" applyFont="1" applyFill="1" applyBorder="1" applyAlignment="1" applyProtection="1">
      <alignment horizontal="center" vertical="center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8" fillId="0" borderId="0" xfId="0" applyNumberFormat="1" applyFont="1" applyBorder="1" applyAlignment="1">
      <alignment horizontal="center" vertical="center"/>
    </xf>
    <xf numFmtId="0" fontId="70" fillId="0" borderId="0" xfId="0" applyFont="1" applyFill="1"/>
    <xf numFmtId="0" fontId="0" fillId="0" borderId="0" xfId="0" applyFill="1"/>
    <xf numFmtId="0" fontId="2" fillId="0" borderId="0" xfId="0" applyFont="1" applyFill="1" applyAlignment="1">
      <alignment vertical="center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textRotation="90" wrapText="1"/>
    </xf>
    <xf numFmtId="49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/>
    <xf numFmtId="0" fontId="39" fillId="0" borderId="0" xfId="0" applyFont="1" applyFill="1"/>
    <xf numFmtId="3" fontId="3" fillId="0" borderId="0" xfId="0" applyNumberFormat="1" applyFont="1" applyAlignment="1" applyProtection="1">
      <alignment horizontal="center"/>
    </xf>
    <xf numFmtId="3" fontId="57" fillId="0" borderId="0" xfId="0" applyNumberFormat="1" applyFont="1" applyAlignment="1" applyProtection="1">
      <alignment horizontal="center"/>
    </xf>
    <xf numFmtId="3" fontId="90" fillId="3" borderId="1" xfId="0" applyNumberFormat="1" applyFont="1" applyFill="1" applyBorder="1" applyAlignment="1" applyProtection="1">
      <alignment horizontal="center" vertical="center" wrapText="1"/>
    </xf>
    <xf numFmtId="0" fontId="73" fillId="20" borderId="1" xfId="0" applyFont="1" applyFill="1" applyBorder="1" applyAlignment="1" applyProtection="1">
      <alignment horizontal="left" vertical="center" wrapText="1" indent="1"/>
    </xf>
    <xf numFmtId="0" fontId="46" fillId="0" borderId="0" xfId="10" applyNumberFormat="1" applyFont="1" applyFill="1" applyBorder="1" applyAlignment="1" applyProtection="1">
      <alignment vertical="top"/>
    </xf>
    <xf numFmtId="9" fontId="46" fillId="0" borderId="0" xfId="11" applyFont="1" applyFill="1" applyBorder="1" applyAlignment="1" applyProtection="1">
      <alignment vertical="top"/>
    </xf>
    <xf numFmtId="0" fontId="46" fillId="0" borderId="0" xfId="10" applyNumberFormat="1" applyFont="1" applyFill="1" applyBorder="1" applyAlignment="1" applyProtection="1">
      <alignment vertical="center"/>
    </xf>
    <xf numFmtId="0" fontId="45" fillId="0" borderId="9" xfId="10" applyNumberFormat="1" applyFont="1" applyFill="1" applyBorder="1" applyAlignment="1" applyProtection="1">
      <alignment vertical="center"/>
    </xf>
    <xf numFmtId="0" fontId="46" fillId="0" borderId="0" xfId="10" applyNumberFormat="1" applyFont="1" applyFill="1" applyBorder="1" applyAlignment="1" applyProtection="1">
      <alignment horizontal="center" vertical="center"/>
    </xf>
    <xf numFmtId="0" fontId="79" fillId="5" borderId="1" xfId="10" applyNumberFormat="1" applyFont="1" applyFill="1" applyBorder="1" applyAlignment="1" applyProtection="1">
      <alignment horizontal="left" vertical="center" wrapText="1" indent="2"/>
    </xf>
    <xf numFmtId="0" fontId="45" fillId="5" borderId="1" xfId="10" applyNumberFormat="1" applyFont="1" applyFill="1" applyBorder="1" applyAlignment="1" applyProtection="1">
      <alignment horizontal="left" vertical="center" wrapText="1" indent="2"/>
    </xf>
    <xf numFmtId="3" fontId="54" fillId="0" borderId="1" xfId="10" applyNumberFormat="1" applyFont="1" applyFill="1" applyBorder="1" applyAlignment="1" applyProtection="1">
      <alignment horizontal="center" vertical="center" wrapText="1"/>
    </xf>
    <xf numFmtId="172" fontId="45" fillId="0" borderId="1" xfId="11" applyNumberFormat="1" applyFont="1" applyFill="1" applyBorder="1" applyAlignment="1" applyProtection="1">
      <alignment horizontal="center" vertical="center" wrapText="1"/>
    </xf>
    <xf numFmtId="0" fontId="79" fillId="21" borderId="1" xfId="10" applyNumberFormat="1" applyFont="1" applyFill="1" applyBorder="1" applyAlignment="1" applyProtection="1">
      <alignment horizontal="center" vertical="center" wrapText="1"/>
    </xf>
    <xf numFmtId="0" fontId="79" fillId="21" borderId="1" xfId="10" applyNumberFormat="1" applyFont="1" applyFill="1" applyBorder="1" applyAlignment="1" applyProtection="1">
      <alignment horizontal="left" vertical="center" wrapText="1" indent="1"/>
    </xf>
    <xf numFmtId="172" fontId="79" fillId="0" borderId="1" xfId="11" applyNumberFormat="1" applyFont="1" applyFill="1" applyBorder="1" applyAlignment="1" applyProtection="1">
      <alignment horizontal="center" vertical="center" wrapText="1"/>
      <protection locked="0"/>
    </xf>
    <xf numFmtId="0" fontId="91" fillId="0" borderId="1" xfId="10" applyNumberFormat="1" applyFont="1" applyFill="1" applyBorder="1" applyAlignment="1" applyProtection="1">
      <alignment horizontal="center" vertical="center" wrapText="1"/>
    </xf>
    <xf numFmtId="0" fontId="91" fillId="5" borderId="1" xfId="10" applyNumberFormat="1" applyFont="1" applyFill="1" applyBorder="1" applyAlignment="1" applyProtection="1">
      <alignment horizontal="left" vertical="center" wrapText="1" indent="1"/>
    </xf>
    <xf numFmtId="0" fontId="92" fillId="0" borderId="0" xfId="10" applyNumberFormat="1" applyFont="1" applyFill="1" applyBorder="1" applyAlignment="1" applyProtection="1">
      <alignment horizontal="center" vertical="center"/>
    </xf>
    <xf numFmtId="0" fontId="79" fillId="0" borderId="1" xfId="10" applyNumberFormat="1" applyFont="1" applyFill="1" applyBorder="1" applyAlignment="1" applyProtection="1">
      <alignment horizontal="center" vertical="center" wrapText="1"/>
    </xf>
    <xf numFmtId="0" fontId="79" fillId="0" borderId="1" xfId="1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>
      <alignment horizontal="left" vertical="center" wrapText="1"/>
    </xf>
    <xf numFmtId="0" fontId="37" fillId="20" borderId="1" xfId="0" applyFont="1" applyFill="1" applyBorder="1" applyAlignment="1" applyProtection="1">
      <alignment horizontal="left" vertical="center" wrapText="1" indent="1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3" xfId="0" applyNumberFormat="1" applyFont="1" applyBorder="1" applyAlignment="1" applyProtection="1">
      <alignment vertical="center"/>
    </xf>
    <xf numFmtId="0" fontId="54" fillId="0" borderId="0" xfId="10" applyNumberFormat="1" applyFont="1" applyFill="1" applyBorder="1" applyAlignment="1" applyProtection="1">
      <alignment horizontal="center" vertical="center"/>
    </xf>
    <xf numFmtId="0" fontId="79" fillId="0" borderId="0" xfId="10" applyNumberFormat="1" applyFont="1" applyFill="1" applyBorder="1" applyAlignment="1" applyProtection="1">
      <alignment horizontal="center" vertical="center" wrapText="1"/>
    </xf>
    <xf numFmtId="0" fontId="79" fillId="0" borderId="0" xfId="10" applyNumberFormat="1" applyFont="1" applyFill="1" applyBorder="1" applyAlignment="1" applyProtection="1">
      <alignment horizontal="left" vertical="center" wrapText="1" indent="1"/>
    </xf>
    <xf numFmtId="173" fontId="46" fillId="0" borderId="0" xfId="10" applyNumberFormat="1" applyFont="1" applyFill="1" applyBorder="1" applyAlignment="1" applyProtection="1">
      <alignment horizontal="center" vertical="center" wrapText="1"/>
    </xf>
    <xf numFmtId="0" fontId="18" fillId="0" borderId="0" xfId="10" applyNumberFormat="1" applyFont="1" applyFill="1" applyBorder="1" applyAlignment="1" applyProtection="1">
      <alignment horizontal="center" vertical="top"/>
    </xf>
    <xf numFmtId="0" fontId="18" fillId="0" borderId="0" xfId="10" applyNumberFormat="1" applyFont="1" applyFill="1" applyBorder="1" applyAlignment="1" applyProtection="1">
      <alignment vertical="top"/>
    </xf>
    <xf numFmtId="0" fontId="4" fillId="0" borderId="0" xfId="0" applyFont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64" fillId="3" borderId="5" xfId="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0" fontId="69" fillId="0" borderId="0" xfId="0" applyFont="1" applyFill="1" applyAlignment="1">
      <alignment vertical="center"/>
    </xf>
    <xf numFmtId="0" fontId="79" fillId="5" borderId="1" xfId="10" applyNumberFormat="1" applyFont="1" applyFill="1" applyBorder="1" applyAlignment="1" applyProtection="1">
      <alignment horizontal="left" vertical="center" wrapText="1" indent="1"/>
    </xf>
    <xf numFmtId="3" fontId="46" fillId="0" borderId="1" xfId="10" applyNumberFormat="1" applyFont="1" applyFill="1" applyBorder="1" applyAlignment="1" applyProtection="1">
      <alignment horizontal="center" vertical="center" wrapText="1"/>
    </xf>
    <xf numFmtId="3" fontId="46" fillId="0" borderId="1" xfId="10" applyNumberFormat="1" applyFont="1" applyFill="1" applyBorder="1" applyAlignment="1" applyProtection="1">
      <alignment horizontal="center" vertical="center" wrapText="1"/>
      <protection locked="0"/>
    </xf>
    <xf numFmtId="3" fontId="54" fillId="21" borderId="1" xfId="10" applyNumberFormat="1" applyFont="1" applyFill="1" applyBorder="1" applyAlignment="1" applyProtection="1">
      <alignment horizontal="center" vertical="center" wrapText="1"/>
    </xf>
    <xf numFmtId="172" fontId="45" fillId="21" borderId="1" xfId="11" applyNumberFormat="1" applyFont="1" applyFill="1" applyBorder="1" applyAlignment="1" applyProtection="1">
      <alignment horizontal="center" vertical="center" wrapText="1"/>
    </xf>
    <xf numFmtId="172" fontId="79" fillId="0" borderId="0" xfId="1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vertical="center"/>
    </xf>
    <xf numFmtId="0" fontId="4" fillId="0" borderId="0" xfId="0" applyFont="1" applyBorder="1" applyProtection="1"/>
    <xf numFmtId="0" fontId="8" fillId="0" borderId="0" xfId="0" applyFont="1" applyAlignment="1" applyProtection="1">
      <alignment vertical="center"/>
      <protection locked="0"/>
    </xf>
    <xf numFmtId="0" fontId="4" fillId="0" borderId="0" xfId="0" applyFont="1" applyBorder="1" applyProtection="1">
      <protection locked="0"/>
    </xf>
    <xf numFmtId="0" fontId="8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 wrapText="1"/>
    </xf>
    <xf numFmtId="171" fontId="0" fillId="0" borderId="0" xfId="0" applyNumberFormat="1" applyFont="1" applyBorder="1" applyAlignment="1" applyProtection="1">
      <alignment horizontal="left" indent="2"/>
    </xf>
    <xf numFmtId="3" fontId="3" fillId="2" borderId="3" xfId="0" applyNumberFormat="1" applyFont="1" applyFill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114" fillId="0" borderId="0" xfId="10" applyNumberFormat="1" applyFont="1" applyFill="1" applyBorder="1" applyAlignment="1" applyProtection="1">
      <alignment vertical="top"/>
    </xf>
    <xf numFmtId="0" fontId="114" fillId="0" borderId="0" xfId="10" applyNumberFormat="1" applyFont="1" applyFill="1" applyBorder="1" applyAlignment="1" applyProtection="1">
      <alignment vertical="center"/>
    </xf>
    <xf numFmtId="0" fontId="114" fillId="0" borderId="0" xfId="10" applyNumberFormat="1" applyFont="1" applyFill="1" applyBorder="1" applyAlignment="1" applyProtection="1">
      <alignment horizontal="center" vertical="center"/>
    </xf>
    <xf numFmtId="3" fontId="114" fillId="3" borderId="1" xfId="0" applyNumberFormat="1" applyFont="1" applyFill="1" applyBorder="1" applyAlignment="1" applyProtection="1">
      <alignment horizontal="center" vertical="center" wrapText="1"/>
    </xf>
    <xf numFmtId="3" fontId="114" fillId="0" borderId="0" xfId="10" applyNumberFormat="1" applyFont="1" applyFill="1" applyBorder="1" applyAlignment="1" applyProtection="1">
      <alignment horizontal="center" vertical="center"/>
    </xf>
    <xf numFmtId="0" fontId="115" fillId="0" borderId="0" xfId="10" applyNumberFormat="1" applyFont="1" applyFill="1" applyBorder="1" applyAlignment="1" applyProtection="1">
      <alignment horizontal="center" vertical="center"/>
    </xf>
    <xf numFmtId="0" fontId="116" fillId="0" borderId="0" xfId="10" applyNumberFormat="1" applyFont="1" applyFill="1" applyBorder="1" applyAlignment="1" applyProtection="1">
      <alignment horizontal="center" vertical="center"/>
    </xf>
    <xf numFmtId="0" fontId="89" fillId="0" borderId="0" xfId="0" applyFont="1" applyProtection="1">
      <protection locked="0"/>
    </xf>
    <xf numFmtId="0" fontId="84" fillId="0" borderId="0" xfId="6" applyNumberFormat="1" applyFont="1" applyFill="1" applyBorder="1" applyAlignment="1" applyProtection="1">
      <alignment vertical="top"/>
    </xf>
    <xf numFmtId="0" fontId="89" fillId="0" borderId="0" xfId="0" applyFont="1" applyProtection="1"/>
    <xf numFmtId="0" fontId="84" fillId="0" borderId="0" xfId="10" applyNumberFormat="1" applyFont="1" applyFill="1" applyBorder="1" applyAlignment="1" applyProtection="1">
      <alignment vertical="top"/>
    </xf>
    <xf numFmtId="0" fontId="61" fillId="0" borderId="0" xfId="0" applyFont="1"/>
    <xf numFmtId="3" fontId="117" fillId="0" borderId="0" xfId="10" applyNumberFormat="1" applyFont="1" applyFill="1" applyBorder="1" applyAlignment="1" applyProtection="1">
      <alignment horizontal="center" vertical="center"/>
    </xf>
    <xf numFmtId="166" fontId="114" fillId="0" borderId="0" xfId="4" applyFont="1" applyFill="1" applyBorder="1" applyAlignment="1" applyProtection="1">
      <alignment horizontal="center" vertical="center"/>
    </xf>
    <xf numFmtId="0" fontId="119" fillId="0" borderId="0" xfId="0" applyFont="1" applyFill="1" applyProtection="1"/>
    <xf numFmtId="0" fontId="119" fillId="0" borderId="0" xfId="0" applyFont="1" applyFill="1" applyBorder="1" applyAlignment="1" applyProtection="1"/>
    <xf numFmtId="14" fontId="119" fillId="0" borderId="0" xfId="0" applyNumberFormat="1" applyFont="1" applyFill="1" applyProtection="1"/>
    <xf numFmtId="0" fontId="118" fillId="0" borderId="1" xfId="1226" applyFont="1" applyFill="1" applyBorder="1" applyAlignment="1" applyProtection="1">
      <alignment horizontal="left" vertical="center" wrapText="1"/>
    </xf>
    <xf numFmtId="0" fontId="119" fillId="0" borderId="18" xfId="1226" applyFont="1" applyFill="1" applyBorder="1" applyAlignment="1" applyProtection="1">
      <alignment horizontal="left" vertical="center" wrapText="1" indent="2"/>
    </xf>
    <xf numFmtId="0" fontId="119" fillId="0" borderId="19" xfId="1226" applyFont="1" applyFill="1" applyBorder="1" applyAlignment="1" applyProtection="1">
      <alignment horizontal="left" vertical="center" wrapText="1" indent="2"/>
    </xf>
    <xf numFmtId="0" fontId="119" fillId="0" borderId="0" xfId="0" applyFont="1" applyFill="1" applyAlignment="1" applyProtection="1">
      <alignment wrapText="1"/>
    </xf>
    <xf numFmtId="0" fontId="119" fillId="0" borderId="0" xfId="0" applyFont="1" applyFill="1" applyAlignment="1" applyProtection="1">
      <alignment horizontal="center"/>
    </xf>
    <xf numFmtId="0" fontId="140" fillId="0" borderId="0" xfId="0" applyFont="1" applyFill="1" applyProtection="1"/>
    <xf numFmtId="0" fontId="2" fillId="0" borderId="1" xfId="0" applyFont="1" applyFill="1" applyBorder="1" applyAlignment="1" applyProtection="1">
      <alignment horizontal="left" vertical="center" wrapText="1" indent="2"/>
    </xf>
    <xf numFmtId="14" fontId="119" fillId="0" borderId="0" xfId="0" applyNumberFormat="1" applyFont="1" applyFill="1" applyAlignment="1" applyProtection="1">
      <alignment horizontal="center" vertical="center"/>
    </xf>
    <xf numFmtId="0" fontId="119" fillId="0" borderId="0" xfId="0" applyFont="1" applyFill="1" applyAlignment="1" applyProtection="1">
      <alignment horizontal="center" vertical="center" wrapText="1"/>
    </xf>
    <xf numFmtId="0" fontId="119" fillId="0" borderId="0" xfId="0" applyFont="1" applyFill="1" applyAlignment="1" applyProtection="1">
      <alignment horizontal="center" vertical="center"/>
    </xf>
    <xf numFmtId="14" fontId="119" fillId="0" borderId="0" xfId="0" applyNumberFormat="1" applyFont="1" applyFill="1" applyAlignment="1" applyProtection="1">
      <alignment horizontal="center" vertical="center" wrapText="1"/>
    </xf>
    <xf numFmtId="3" fontId="119" fillId="0" borderId="0" xfId="0" applyNumberFormat="1" applyFont="1" applyFill="1" applyAlignment="1" applyProtection="1">
      <alignment horizontal="center"/>
    </xf>
    <xf numFmtId="3" fontId="2" fillId="0" borderId="3" xfId="0" applyNumberFormat="1" applyFont="1" applyFill="1" applyBorder="1" applyProtection="1"/>
    <xf numFmtId="0" fontId="17" fillId="0" borderId="0" xfId="0" applyFont="1" applyFill="1" applyProtection="1"/>
    <xf numFmtId="0" fontId="17" fillId="0" borderId="0" xfId="0" applyFont="1" applyFill="1" applyAlignment="1" applyProtection="1">
      <alignment horizontal="center"/>
    </xf>
    <xf numFmtId="3" fontId="17" fillId="0" borderId="0" xfId="0" applyNumberFormat="1" applyFont="1" applyFill="1" applyAlignment="1" applyProtection="1">
      <alignment horizontal="center"/>
    </xf>
    <xf numFmtId="0" fontId="139" fillId="0" borderId="0" xfId="0" applyFont="1" applyFill="1" applyBorder="1" applyAlignment="1" applyProtection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39" fillId="0" borderId="0" xfId="0" applyFont="1" applyFill="1" applyBorder="1" applyAlignment="1" applyProtection="1">
      <alignment horizontal="center" vertical="center" wrapText="1"/>
    </xf>
    <xf numFmtId="3" fontId="119" fillId="0" borderId="0" xfId="0" applyNumberFormat="1" applyFont="1" applyFill="1" applyProtection="1"/>
    <xf numFmtId="0" fontId="141" fillId="0" borderId="0" xfId="0" applyFont="1" applyFill="1" applyProtection="1"/>
    <xf numFmtId="195" fontId="141" fillId="0" borderId="0" xfId="0" applyNumberFormat="1" applyFont="1" applyFill="1" applyProtection="1"/>
    <xf numFmtId="195" fontId="142" fillId="0" borderId="0" xfId="0" applyNumberFormat="1" applyFont="1" applyFill="1" applyProtection="1"/>
    <xf numFmtId="10" fontId="118" fillId="0" borderId="1" xfId="1226" applyNumberFormat="1" applyFont="1" applyFill="1" applyBorder="1" applyAlignment="1" applyProtection="1">
      <alignment horizontal="center" vertical="center" wrapText="1"/>
    </xf>
    <xf numFmtId="183" fontId="119" fillId="0" borderId="18" xfId="1226" applyNumberFormat="1" applyFont="1" applyFill="1" applyBorder="1" applyAlignment="1" applyProtection="1">
      <alignment horizontal="center" vertical="center" wrapText="1"/>
    </xf>
    <xf numFmtId="183" fontId="119" fillId="0" borderId="19" xfId="1226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31" fillId="0" borderId="1" xfId="0" applyFont="1" applyFill="1" applyBorder="1" applyAlignment="1" applyProtection="1">
      <alignment horizontal="left" vertical="center" wrapText="1" indent="2"/>
    </xf>
    <xf numFmtId="0" fontId="31" fillId="0" borderId="1" xfId="0" applyFont="1" applyFill="1" applyBorder="1" applyAlignment="1" applyProtection="1">
      <alignment horizontal="center" vertical="center"/>
    </xf>
    <xf numFmtId="49" fontId="141" fillId="0" borderId="0" xfId="0" applyNumberFormat="1" applyFont="1" applyFill="1" applyProtection="1"/>
    <xf numFmtId="0" fontId="141" fillId="0" borderId="0" xfId="0" applyFont="1" applyFill="1" applyAlignment="1" applyProtection="1">
      <alignment horizontal="center"/>
    </xf>
    <xf numFmtId="171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171" fontId="0" fillId="0" borderId="0" xfId="0" applyNumberFormat="1" applyFont="1" applyAlignment="1" applyProtection="1"/>
    <xf numFmtId="0" fontId="6" fillId="0" borderId="1" xfId="0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169" fontId="3" fillId="0" borderId="3" xfId="0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</xf>
    <xf numFmtId="0" fontId="31" fillId="0" borderId="1" xfId="0" applyFont="1" applyFill="1" applyBorder="1" applyAlignment="1" applyProtection="1">
      <alignment horizontal="left" vertical="center" indent="4"/>
    </xf>
    <xf numFmtId="0" fontId="32" fillId="0" borderId="1" xfId="0" applyFont="1" applyFill="1" applyBorder="1" applyAlignment="1" applyProtection="1">
      <alignment horizontal="left" vertical="center" indent="4"/>
    </xf>
    <xf numFmtId="2" fontId="3" fillId="0" borderId="3" xfId="0" applyNumberFormat="1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 applyProtection="1">
      <alignment horizontal="centerContinuous" vertical="center" wrapText="1"/>
    </xf>
    <xf numFmtId="0" fontId="16" fillId="0" borderId="8" xfId="0" applyFont="1" applyFill="1" applyBorder="1" applyAlignment="1" applyProtection="1">
      <alignment horizontal="centerContinuous" vertical="center"/>
    </xf>
    <xf numFmtId="0" fontId="16" fillId="0" borderId="6" xfId="0" applyFont="1" applyFill="1" applyBorder="1" applyAlignment="1" applyProtection="1">
      <alignment horizontal="centerContinuous" vertical="center"/>
    </xf>
    <xf numFmtId="0" fontId="16" fillId="0" borderId="2" xfId="0" applyFont="1" applyFill="1" applyBorder="1" applyAlignment="1" applyProtection="1">
      <alignment horizontal="centerContinuous" vertical="center"/>
    </xf>
    <xf numFmtId="0" fontId="16" fillId="0" borderId="9" xfId="0" applyFont="1" applyFill="1" applyBorder="1" applyAlignment="1" applyProtection="1">
      <alignment horizontal="centerContinuous" vertical="center"/>
    </xf>
    <xf numFmtId="0" fontId="16" fillId="0" borderId="14" xfId="0" applyFont="1" applyFill="1" applyBorder="1" applyAlignment="1" applyProtection="1">
      <alignment horizontal="centerContinuous" vertical="center"/>
    </xf>
    <xf numFmtId="170" fontId="119" fillId="0" borderId="0" xfId="4" applyNumberFormat="1" applyFont="1" applyFill="1" applyAlignment="1" applyProtection="1">
      <alignment horizontal="center" vertical="center"/>
      <protection locked="0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4" fillId="3" borderId="1" xfId="0" applyNumberFormat="1" applyFont="1" applyFill="1" applyBorder="1" applyAlignment="1" applyProtection="1">
      <alignment horizontal="center" vertical="center" wrapText="1"/>
    </xf>
    <xf numFmtId="171" fontId="54" fillId="3" borderId="1" xfId="0" applyNumberFormat="1" applyFont="1" applyFill="1" applyBorder="1" applyAlignment="1" applyProtection="1">
      <alignment horizontal="center" vertical="center" wrapText="1"/>
    </xf>
    <xf numFmtId="0" fontId="139" fillId="0" borderId="0" xfId="0" applyFont="1" applyFill="1" applyBorder="1" applyAlignment="1" applyProtection="1">
      <alignment horizontal="left" vertical="center" wrapText="1" indent="2"/>
    </xf>
    <xf numFmtId="0" fontId="32" fillId="0" borderId="4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 wrapText="1" indent="4"/>
    </xf>
    <xf numFmtId="3" fontId="32" fillId="0" borderId="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indent="4"/>
    </xf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2" fontId="2" fillId="0" borderId="12" xfId="0" applyNumberFormat="1" applyFont="1" applyFill="1" applyBorder="1" applyAlignment="1" applyProtection="1">
      <alignment horizontal="center" vertical="center"/>
    </xf>
    <xf numFmtId="2" fontId="2" fillId="0" borderId="3" xfId="0" applyNumberFormat="1" applyFont="1" applyFill="1" applyBorder="1" applyAlignment="1" applyProtection="1">
      <alignment horizontal="center" vertical="center"/>
    </xf>
    <xf numFmtId="2" fontId="2" fillId="0" borderId="5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5" fillId="0" borderId="0" xfId="0" applyFont="1" applyFill="1" applyBorder="1" applyProtection="1"/>
    <xf numFmtId="3" fontId="52" fillId="0" borderId="0" xfId="0" applyNumberFormat="1" applyFont="1" applyBorder="1" applyAlignment="1">
      <alignment horizontal="center"/>
    </xf>
    <xf numFmtId="15" fontId="46" fillId="0" borderId="0" xfId="5" applyNumberFormat="1" applyFont="1" applyFill="1" applyBorder="1" applyAlignment="1" applyProtection="1">
      <alignment horizontal="center" vertical="top"/>
    </xf>
    <xf numFmtId="3" fontId="8" fillId="0" borderId="0" xfId="0" applyNumberFormat="1" applyFont="1" applyBorder="1" applyAlignment="1">
      <alignment vertical="top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Border="1" applyAlignment="1" applyProtection="1">
      <alignment horizontal="center"/>
    </xf>
    <xf numFmtId="0" fontId="139" fillId="0" borderId="0" xfId="0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 applyProtection="1">
      <alignment horizontal="centerContinuous"/>
    </xf>
    <xf numFmtId="173" fontId="143" fillId="0" borderId="0" xfId="6" applyNumberFormat="1" applyFont="1" applyFill="1" applyBorder="1" applyAlignment="1" applyProtection="1">
      <alignment horizontal="center" vertical="center"/>
    </xf>
    <xf numFmtId="0" fontId="144" fillId="0" borderId="0" xfId="0" applyFont="1"/>
    <xf numFmtId="0" fontId="144" fillId="0" borderId="0" xfId="0" applyFont="1" applyAlignment="1">
      <alignment vertical="center"/>
    </xf>
    <xf numFmtId="3" fontId="144" fillId="0" borderId="0" xfId="0" applyNumberFormat="1" applyFont="1" applyAlignment="1">
      <alignment vertical="center"/>
    </xf>
    <xf numFmtId="0" fontId="144" fillId="0" borderId="0" xfId="0" applyFont="1" applyFill="1" applyAlignment="1">
      <alignment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3" fontId="23" fillId="3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Fill="1" applyBorder="1" applyAlignment="1" applyProtection="1">
      <alignment horizontal="center" vertical="center"/>
    </xf>
    <xf numFmtId="0" fontId="145" fillId="0" borderId="0" xfId="0" applyFont="1" applyAlignment="1" applyProtection="1">
      <alignment horizontal="center" vertical="center"/>
    </xf>
    <xf numFmtId="0" fontId="56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wrapText="1"/>
    </xf>
    <xf numFmtId="0" fontId="4" fillId="0" borderId="0" xfId="0" applyFont="1" applyBorder="1" applyAlignment="1" applyProtection="1">
      <alignment horizontal="center"/>
    </xf>
    <xf numFmtId="171" fontId="2" fillId="0" borderId="0" xfId="0" applyNumberFormat="1" applyFont="1" applyBorder="1" applyAlignment="1" applyProtection="1">
      <alignment horizont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wrapText="1" inden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left" vertical="center" indent="1"/>
    </xf>
    <xf numFmtId="0" fontId="2" fillId="0" borderId="2" xfId="0" quotePrefix="1" applyFont="1" applyBorder="1" applyAlignment="1" applyProtection="1">
      <alignment horizontal="center" vertical="center" wrapText="1"/>
    </xf>
    <xf numFmtId="0" fontId="3" fillId="0" borderId="2" xfId="0" quotePrefix="1" applyFont="1" applyBorder="1" applyAlignment="1" applyProtection="1">
      <alignment horizontal="left" vertical="center" wrapText="1" indent="1"/>
    </xf>
    <xf numFmtId="0" fontId="3" fillId="0" borderId="2" xfId="0" quotePrefix="1" applyFont="1" applyBorder="1" applyAlignment="1" applyProtection="1">
      <alignment horizontal="left" vertical="center" indent="1"/>
    </xf>
    <xf numFmtId="0" fontId="6" fillId="0" borderId="2" xfId="0" quotePrefix="1" applyFont="1" applyBorder="1" applyAlignment="1" applyProtection="1">
      <alignment horizontal="left" vertical="center" indent="1"/>
    </xf>
    <xf numFmtId="3" fontId="26" fillId="0" borderId="0" xfId="0" applyNumberFormat="1" applyFont="1" applyBorder="1" applyProtection="1"/>
    <xf numFmtId="0" fontId="3" fillId="0" borderId="2" xfId="0" applyFont="1" applyFill="1" applyBorder="1" applyAlignment="1" applyProtection="1">
      <alignment horizontal="left" vertical="center" indent="1"/>
    </xf>
    <xf numFmtId="0" fontId="5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left" vertical="center" indent="1"/>
    </xf>
    <xf numFmtId="0" fontId="2" fillId="0" borderId="2" xfId="0" quotePrefix="1" applyFont="1" applyFill="1" applyBorder="1" applyAlignment="1" applyProtection="1">
      <alignment horizontal="center" vertical="center" wrapText="1"/>
    </xf>
    <xf numFmtId="0" fontId="3" fillId="0" borderId="2" xfId="0" quotePrefix="1" applyFont="1" applyFill="1" applyBorder="1" applyAlignment="1" applyProtection="1">
      <alignment horizontal="left" vertical="center" indent="1"/>
    </xf>
    <xf numFmtId="0" fontId="5" fillId="0" borderId="2" xfId="0" quotePrefix="1" applyFont="1" applyFill="1" applyBorder="1" applyAlignment="1" applyProtection="1">
      <alignment horizontal="center" vertical="center" wrapText="1"/>
    </xf>
    <xf numFmtId="0" fontId="6" fillId="0" borderId="2" xfId="0" quotePrefix="1" applyFont="1" applyFill="1" applyBorder="1" applyAlignment="1" applyProtection="1">
      <alignment horizontal="left" vertical="center" indent="1"/>
    </xf>
    <xf numFmtId="0" fontId="31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left" vertical="center" wrapText="1" indent="1"/>
    </xf>
    <xf numFmtId="0" fontId="5" fillId="0" borderId="0" xfId="0" applyFont="1" applyBorder="1" applyProtection="1"/>
    <xf numFmtId="0" fontId="2" fillId="0" borderId="2" xfId="0" quotePrefix="1" applyFont="1" applyFill="1" applyBorder="1" applyAlignment="1" applyProtection="1">
      <alignment horizontal="left" vertical="center" indent="1"/>
    </xf>
    <xf numFmtId="0" fontId="2" fillId="0" borderId="2" xfId="0" applyFont="1" applyFill="1" applyBorder="1" applyAlignment="1" applyProtection="1">
      <alignment horizontal="left" vertical="center" indent="1"/>
    </xf>
    <xf numFmtId="3" fontId="22" fillId="4" borderId="1" xfId="0" applyNumberFormat="1" applyFont="1" applyFill="1" applyBorder="1" applyAlignment="1" applyProtection="1">
      <alignment horizontal="right" vertical="center"/>
    </xf>
    <xf numFmtId="0" fontId="2" fillId="0" borderId="2" xfId="0" applyFont="1" applyFill="1" applyBorder="1" applyAlignment="1" applyProtection="1">
      <alignment horizontal="left" vertical="center" wrapText="1" indent="1"/>
    </xf>
    <xf numFmtId="0" fontId="3" fillId="0" borderId="0" xfId="0" quotePrefix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wrapText="1"/>
    </xf>
    <xf numFmtId="0" fontId="32" fillId="0" borderId="0" xfId="0" applyFont="1" applyBorder="1" applyAlignment="1" applyProtection="1">
      <alignment horizontal="center" wrapText="1"/>
    </xf>
    <xf numFmtId="0" fontId="32" fillId="0" borderId="0" xfId="0" applyFont="1" applyFill="1" applyBorder="1" applyAlignment="1" applyProtection="1">
      <alignment horizontal="center" wrapText="1"/>
    </xf>
    <xf numFmtId="0" fontId="2" fillId="0" borderId="0" xfId="0" applyFont="1" applyBorder="1" applyAlignment="1" applyProtection="1">
      <alignment horizontal="center" wrapText="1"/>
    </xf>
    <xf numFmtId="0" fontId="3" fillId="0" borderId="0" xfId="0" applyFont="1" applyFill="1" applyProtection="1"/>
    <xf numFmtId="0" fontId="5" fillId="0" borderId="0" xfId="0" applyFont="1" applyAlignment="1" applyProtection="1">
      <alignment vertical="center"/>
    </xf>
    <xf numFmtId="0" fontId="6" fillId="0" borderId="0" xfId="0" applyFont="1" applyProtection="1"/>
    <xf numFmtId="0" fontId="5" fillId="0" borderId="0" xfId="0" applyFont="1" applyFill="1" applyProtection="1"/>
    <xf numFmtId="0" fontId="81" fillId="0" borderId="0" xfId="5" applyNumberFormat="1" applyFont="1" applyFill="1" applyBorder="1" applyAlignment="1" applyProtection="1">
      <alignment horizontal="center" vertical="top"/>
      <protection locked="0"/>
    </xf>
    <xf numFmtId="3" fontId="14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/>
    </xf>
    <xf numFmtId="3" fontId="14" fillId="0" borderId="1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3" fontId="48" fillId="0" borderId="0" xfId="0" applyNumberFormat="1" applyFont="1" applyBorder="1" applyAlignment="1" applyProtection="1">
      <alignment horizontal="centerContinuous" vertical="center"/>
    </xf>
    <xf numFmtId="3" fontId="48" fillId="0" borderId="0" xfId="0" applyNumberFormat="1" applyFont="1" applyBorder="1" applyAlignment="1" applyProtection="1">
      <alignment horizontal="centerContinuous"/>
    </xf>
    <xf numFmtId="3" fontId="12" fillId="0" borderId="0" xfId="0" applyNumberFormat="1" applyFont="1" applyBorder="1" applyAlignment="1" applyProtection="1">
      <alignment horizontal="centerContinuous"/>
    </xf>
    <xf numFmtId="0" fontId="74" fillId="0" borderId="0" xfId="0" applyFont="1" applyProtection="1"/>
    <xf numFmtId="3" fontId="4" fillId="0" borderId="0" xfId="0" applyNumberFormat="1" applyFont="1" applyBorder="1" applyAlignment="1" applyProtection="1">
      <alignment horizontal="centerContinuous"/>
    </xf>
    <xf numFmtId="0" fontId="57" fillId="0" borderId="0" xfId="0" applyFont="1" applyBorder="1" applyAlignment="1" applyProtection="1">
      <alignment horizontal="center"/>
    </xf>
    <xf numFmtId="3" fontId="72" fillId="0" borderId="0" xfId="0" applyNumberFormat="1" applyFont="1" applyBorder="1" applyProtection="1"/>
    <xf numFmtId="3" fontId="72" fillId="0" borderId="0" xfId="0" applyNumberFormat="1" applyFont="1" applyBorder="1" applyAlignment="1" applyProtection="1">
      <alignment horizontal="center"/>
    </xf>
    <xf numFmtId="0" fontId="14" fillId="0" borderId="0" xfId="0" applyFont="1" applyProtection="1"/>
    <xf numFmtId="3" fontId="14" fillId="3" borderId="1" xfId="0" applyNumberFormat="1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 textRotation="90" wrapText="1"/>
    </xf>
    <xf numFmtId="0" fontId="14" fillId="0" borderId="0" xfId="0" applyFont="1" applyBorder="1" applyProtection="1"/>
    <xf numFmtId="3" fontId="71" fillId="0" borderId="3" xfId="0" applyNumberFormat="1" applyFont="1" applyBorder="1" applyAlignment="1" applyProtection="1">
      <alignment horizontal="center" vertical="center"/>
    </xf>
    <xf numFmtId="3" fontId="8" fillId="0" borderId="3" xfId="0" applyNumberFormat="1" applyFont="1" applyBorder="1" applyAlignment="1" applyProtection="1">
      <alignment horizontal="center" vertical="center"/>
    </xf>
    <xf numFmtId="3" fontId="8" fillId="0" borderId="3" xfId="0" applyNumberFormat="1" applyFont="1" applyFill="1" applyBorder="1" applyAlignment="1" applyProtection="1">
      <alignment horizontal="center" vertical="center"/>
    </xf>
    <xf numFmtId="3" fontId="8" fillId="0" borderId="3" xfId="0" quotePrefix="1" applyNumberFormat="1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/>
    </xf>
    <xf numFmtId="3" fontId="11" fillId="3" borderId="1" xfId="0" applyNumberFormat="1" applyFont="1" applyFill="1" applyBorder="1" applyProtection="1"/>
    <xf numFmtId="3" fontId="14" fillId="0" borderId="1" xfId="0" applyNumberFormat="1" applyFont="1" applyBorder="1" applyAlignment="1" applyProtection="1">
      <alignment horizontal="center" vertical="center"/>
    </xf>
    <xf numFmtId="3" fontId="14" fillId="0" borderId="0" xfId="0" applyNumberFormat="1" applyFont="1" applyProtection="1"/>
    <xf numFmtId="9" fontId="14" fillId="0" borderId="0" xfId="0" applyNumberFormat="1" applyFont="1" applyProtection="1"/>
    <xf numFmtId="3" fontId="14" fillId="0" borderId="1" xfId="0" applyNumberFormat="1" applyFont="1" applyFill="1" applyBorder="1" applyAlignment="1" applyProtection="1">
      <alignment horizontal="center" vertical="center"/>
    </xf>
    <xf numFmtId="3" fontId="14" fillId="0" borderId="1" xfId="0" applyNumberFormat="1" applyFont="1" applyFill="1" applyBorder="1" applyAlignment="1" applyProtection="1">
      <alignment vertical="center"/>
    </xf>
    <xf numFmtId="0" fontId="14" fillId="0" borderId="0" xfId="0" applyFont="1" applyFill="1" applyProtection="1"/>
    <xf numFmtId="3" fontId="14" fillId="0" borderId="1" xfId="0" quotePrefix="1" applyNumberFormat="1" applyFont="1" applyFill="1" applyBorder="1" applyAlignment="1" applyProtection="1">
      <alignment horizontal="left" vertical="center"/>
    </xf>
    <xf numFmtId="3" fontId="11" fillId="3" borderId="1" xfId="0" applyNumberFormat="1" applyFont="1" applyFill="1" applyBorder="1" applyAlignment="1" applyProtection="1">
      <alignment vertical="center"/>
    </xf>
    <xf numFmtId="0" fontId="14" fillId="0" borderId="0" xfId="0" applyFont="1" applyFill="1" applyBorder="1" applyProtection="1"/>
    <xf numFmtId="3" fontId="3" fillId="0" borderId="0" xfId="0" applyNumberFormat="1" applyFont="1" applyProtection="1"/>
    <xf numFmtId="3" fontId="10" fillId="0" borderId="0" xfId="0" applyNumberFormat="1" applyFont="1" applyProtection="1"/>
    <xf numFmtId="3" fontId="44" fillId="0" borderId="0" xfId="0" applyNumberFormat="1" applyFont="1" applyProtection="1"/>
    <xf numFmtId="0" fontId="10" fillId="0" borderId="0" xfId="0" applyFont="1" applyProtection="1"/>
    <xf numFmtId="3" fontId="65" fillId="0" borderId="0" xfId="0" applyNumberFormat="1" applyFont="1" applyProtection="1"/>
    <xf numFmtId="0" fontId="4" fillId="0" borderId="0" xfId="0" applyFont="1" applyBorder="1" applyAlignment="1" applyProtection="1">
      <alignment horizontal="center" vertical="center"/>
    </xf>
    <xf numFmtId="171" fontId="2" fillId="0" borderId="0" xfId="0" quotePrefix="1" applyNumberFormat="1" applyFont="1" applyBorder="1" applyAlignment="1" applyProtection="1">
      <alignment horizontal="center" vertical="center"/>
    </xf>
    <xf numFmtId="0" fontId="57" fillId="0" borderId="0" xfId="0" applyFont="1" applyBorder="1" applyAlignment="1" applyProtection="1">
      <alignment horizontal="left" indent="1"/>
    </xf>
    <xf numFmtId="171" fontId="0" fillId="0" borderId="0" xfId="0" quotePrefix="1" applyNumberFormat="1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0" fontId="0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0" fontId="44" fillId="0" borderId="0" xfId="0" applyFont="1" applyProtection="1"/>
    <xf numFmtId="3" fontId="44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32" fillId="0" borderId="0" xfId="0" applyFont="1" applyBorder="1" applyAlignment="1" applyProtection="1">
      <alignment horizontal="center"/>
    </xf>
    <xf numFmtId="0" fontId="32" fillId="0" borderId="0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61" fillId="0" borderId="0" xfId="0" applyNumberFormat="1" applyFont="1"/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3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3" fontId="3" fillId="0" borderId="0" xfId="0" applyNumberFormat="1" applyFont="1" applyAlignment="1" applyProtection="1">
      <alignment horizontal="center" vertical="center"/>
    </xf>
    <xf numFmtId="3" fontId="3" fillId="0" borderId="0" xfId="0" applyNumberFormat="1" applyFont="1" applyBorder="1" applyAlignment="1" applyProtection="1">
      <alignment vertical="center"/>
    </xf>
    <xf numFmtId="3" fontId="2" fillId="0" borderId="3" xfId="2" applyNumberFormat="1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Protection="1">
      <protection locked="0"/>
    </xf>
    <xf numFmtId="3" fontId="18" fillId="0" borderId="0" xfId="5" applyNumberFormat="1" applyFont="1" applyFill="1" applyBorder="1" applyAlignment="1" applyProtection="1">
      <alignment vertical="center"/>
      <protection locked="0"/>
    </xf>
    <xf numFmtId="172" fontId="18" fillId="0" borderId="1" xfId="3" applyNumberFormat="1" applyFont="1" applyFill="1" applyBorder="1" applyAlignment="1" applyProtection="1">
      <alignment horizontal="center" vertical="center" wrapText="1"/>
      <protection locked="0"/>
    </xf>
    <xf numFmtId="172" fontId="35" fillId="0" borderId="1" xfId="11" applyNumberFormat="1" applyFont="1" applyFill="1" applyBorder="1" applyAlignment="1" applyProtection="1">
      <alignment horizontal="center" vertical="center" wrapText="1"/>
      <protection locked="0"/>
    </xf>
    <xf numFmtId="173" fontId="18" fillId="0" borderId="1" xfId="10" applyNumberFormat="1" applyFont="1" applyFill="1" applyBorder="1" applyAlignment="1" applyProtection="1">
      <alignment horizontal="center" vertical="center" wrapText="1"/>
      <protection locked="0"/>
    </xf>
    <xf numFmtId="172" fontId="46" fillId="0" borderId="1" xfId="3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Protection="1"/>
    <xf numFmtId="166" fontId="61" fillId="0" borderId="0" xfId="4" applyFont="1" applyAlignment="1">
      <alignment vertical="center"/>
    </xf>
    <xf numFmtId="170" fontId="2" fillId="0" borderId="0" xfId="4" applyNumberFormat="1" applyFont="1"/>
    <xf numFmtId="3" fontId="2" fillId="0" borderId="1" xfId="0" applyNumberFormat="1" applyFont="1" applyFill="1" applyBorder="1" applyAlignment="1" applyProtection="1">
      <alignment horizontal="right" vertical="center"/>
    </xf>
    <xf numFmtId="3" fontId="2" fillId="0" borderId="1" xfId="0" applyNumberFormat="1" applyFont="1" applyFill="1" applyBorder="1" applyAlignment="1" applyProtection="1">
      <alignment vertical="center"/>
    </xf>
    <xf numFmtId="0" fontId="46" fillId="0" borderId="0" xfId="10" applyNumberFormat="1" applyFont="1" applyFill="1" applyBorder="1" applyAlignment="1" applyProtection="1">
      <alignment horizontal="center" vertical="center"/>
      <protection locked="0"/>
    </xf>
    <xf numFmtId="3" fontId="52" fillId="3" borderId="4" xfId="0" applyNumberFormat="1" applyFont="1" applyFill="1" applyBorder="1" applyAlignment="1" applyProtection="1">
      <alignment horizontal="center" vertical="center" wrapText="1"/>
    </xf>
    <xf numFmtId="3" fontId="52" fillId="3" borderId="8" xfId="0" applyNumberFormat="1" applyFont="1" applyFill="1" applyBorder="1" applyAlignment="1" applyProtection="1">
      <alignment horizontal="center" vertical="center" wrapText="1"/>
    </xf>
    <xf numFmtId="3" fontId="52" fillId="3" borderId="6" xfId="0" applyNumberFormat="1" applyFont="1" applyFill="1" applyBorder="1" applyAlignment="1" applyProtection="1">
      <alignment horizontal="center" vertical="center" wrapText="1"/>
    </xf>
    <xf numFmtId="171" fontId="54" fillId="0" borderId="9" xfId="5" applyNumberFormat="1" applyFont="1" applyFill="1" applyBorder="1" applyAlignment="1" applyProtection="1">
      <alignment horizontal="center" vertical="top" wrapText="1"/>
      <protection locked="0"/>
    </xf>
    <xf numFmtId="3" fontId="52" fillId="3" borderId="5" xfId="0" applyNumberFormat="1" applyFont="1" applyFill="1" applyBorder="1" applyAlignment="1" applyProtection="1">
      <alignment horizontal="center" vertical="center" wrapText="1"/>
    </xf>
    <xf numFmtId="3" fontId="52" fillId="3" borderId="3" xfId="0" applyNumberFormat="1" applyFont="1" applyFill="1" applyBorder="1" applyAlignment="1" applyProtection="1">
      <alignment horizontal="center" vertical="center" wrapText="1"/>
    </xf>
    <xf numFmtId="0" fontId="75" fillId="0" borderId="0" xfId="5" applyNumberFormat="1" applyFont="1" applyFill="1" applyBorder="1" applyAlignment="1" applyProtection="1">
      <alignment horizontal="center" vertical="center" wrapText="1"/>
    </xf>
    <xf numFmtId="0" fontId="75" fillId="0" borderId="0" xfId="5" applyNumberFormat="1" applyFont="1" applyFill="1" applyBorder="1" applyAlignment="1" applyProtection="1">
      <alignment horizontal="center" vertical="center"/>
    </xf>
    <xf numFmtId="0" fontId="52" fillId="0" borderId="0" xfId="0" applyFont="1" applyBorder="1" applyAlignment="1" applyProtection="1">
      <alignment horizontal="center" vertical="center" wrapText="1"/>
    </xf>
    <xf numFmtId="3" fontId="52" fillId="3" borderId="12" xfId="0" applyNumberFormat="1" applyFont="1" applyFill="1" applyBorder="1" applyAlignment="1" applyProtection="1">
      <alignment horizontal="center" vertical="center" wrapText="1"/>
    </xf>
    <xf numFmtId="3" fontId="52" fillId="3" borderId="7" xfId="0" applyNumberFormat="1" applyFont="1" applyFill="1" applyBorder="1" applyAlignment="1" applyProtection="1">
      <alignment horizontal="center" vertical="center" wrapText="1"/>
    </xf>
    <xf numFmtId="3" fontId="52" fillId="3" borderId="11" xfId="0" applyNumberFormat="1" applyFont="1" applyFill="1" applyBorder="1" applyAlignment="1" applyProtection="1">
      <alignment horizontal="center" vertical="center" wrapText="1"/>
    </xf>
    <xf numFmtId="3" fontId="52" fillId="3" borderId="15" xfId="0" applyNumberFormat="1" applyFont="1" applyFill="1" applyBorder="1" applyAlignment="1" applyProtection="1">
      <alignment horizontal="center" vertical="center" wrapText="1"/>
    </xf>
    <xf numFmtId="3" fontId="52" fillId="3" borderId="10" xfId="0" applyNumberFormat="1" applyFont="1" applyFill="1" applyBorder="1" applyAlignment="1" applyProtection="1">
      <alignment horizontal="center" vertical="center" wrapText="1"/>
    </xf>
    <xf numFmtId="3" fontId="52" fillId="3" borderId="0" xfId="0" applyNumberFormat="1" applyFont="1" applyFill="1" applyBorder="1" applyAlignment="1" applyProtection="1">
      <alignment horizontal="center" vertical="center" wrapText="1"/>
    </xf>
    <xf numFmtId="3" fontId="52" fillId="3" borderId="13" xfId="0" applyNumberFormat="1" applyFont="1" applyFill="1" applyBorder="1" applyAlignment="1" applyProtection="1">
      <alignment horizontal="center" vertical="center" wrapText="1"/>
    </xf>
    <xf numFmtId="3" fontId="52" fillId="3" borderId="2" xfId="0" applyNumberFormat="1" applyFont="1" applyFill="1" applyBorder="1" applyAlignment="1" applyProtection="1">
      <alignment horizontal="center" vertical="center" wrapText="1"/>
    </xf>
    <xf numFmtId="3" fontId="52" fillId="3" borderId="9" xfId="0" applyNumberFormat="1" applyFont="1" applyFill="1" applyBorder="1" applyAlignment="1" applyProtection="1">
      <alignment horizontal="center" vertical="center" wrapText="1"/>
    </xf>
    <xf numFmtId="3" fontId="52" fillId="3" borderId="14" xfId="0" applyNumberFormat="1" applyFont="1" applyFill="1" applyBorder="1" applyAlignment="1" applyProtection="1">
      <alignment horizontal="center" vertical="center" wrapText="1"/>
    </xf>
    <xf numFmtId="3" fontId="14" fillId="3" borderId="5" xfId="0" applyNumberFormat="1" applyFont="1" applyFill="1" applyBorder="1" applyAlignment="1" applyProtection="1">
      <alignment horizontal="center" vertical="center"/>
    </xf>
    <xf numFmtId="3" fontId="14" fillId="3" borderId="12" xfId="0" applyNumberFormat="1" applyFont="1" applyFill="1" applyBorder="1" applyAlignment="1" applyProtection="1">
      <alignment horizontal="center" vertical="center"/>
    </xf>
    <xf numFmtId="3" fontId="14" fillId="3" borderId="3" xfId="0" applyNumberFormat="1" applyFont="1" applyFill="1" applyBorder="1" applyAlignment="1" applyProtection="1">
      <alignment horizontal="center" vertical="center"/>
    </xf>
    <xf numFmtId="3" fontId="14" fillId="3" borderId="5" xfId="0" applyNumberFormat="1" applyFont="1" applyFill="1" applyBorder="1" applyAlignment="1" applyProtection="1">
      <alignment horizontal="center" vertical="center" wrapText="1"/>
    </xf>
    <xf numFmtId="3" fontId="14" fillId="3" borderId="12" xfId="0" applyNumberFormat="1" applyFont="1" applyFill="1" applyBorder="1" applyAlignment="1" applyProtection="1">
      <alignment horizontal="center" vertical="center" wrapText="1"/>
    </xf>
    <xf numFmtId="3" fontId="14" fillId="3" borderId="3" xfId="0" applyNumberFormat="1" applyFont="1" applyFill="1" applyBorder="1" applyAlignment="1" applyProtection="1">
      <alignment horizontal="center" vertical="center" wrapText="1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3" fontId="14" fillId="3" borderId="1" xfId="0" applyNumberFormat="1" applyFont="1" applyFill="1" applyBorder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171" fontId="72" fillId="0" borderId="0" xfId="0" applyNumberFormat="1" applyFont="1" applyBorder="1" applyAlignment="1" applyProtection="1">
      <alignment horizontal="center"/>
    </xf>
    <xf numFmtId="3" fontId="57" fillId="3" borderId="4" xfId="0" applyNumberFormat="1" applyFont="1" applyFill="1" applyBorder="1" applyAlignment="1" applyProtection="1">
      <alignment horizontal="center" vertical="center" wrapText="1"/>
    </xf>
    <xf numFmtId="3" fontId="57" fillId="3" borderId="6" xfId="0" applyNumberFormat="1" applyFont="1" applyFill="1" applyBorder="1" applyAlignment="1" applyProtection="1">
      <alignment horizontal="center" vertical="center" wrapText="1"/>
    </xf>
    <xf numFmtId="3" fontId="57" fillId="3" borderId="8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>
      <alignment horizontal="center"/>
    </xf>
    <xf numFmtId="3" fontId="57" fillId="3" borderId="7" xfId="0" applyNumberFormat="1" applyFont="1" applyFill="1" applyBorder="1" applyAlignment="1" applyProtection="1">
      <alignment horizontal="center" vertical="center" wrapText="1"/>
    </xf>
    <xf numFmtId="3" fontId="57" fillId="3" borderId="15" xfId="0" applyNumberFormat="1" applyFont="1" applyFill="1" applyBorder="1" applyAlignment="1" applyProtection="1">
      <alignment horizontal="center" vertical="center" wrapText="1"/>
    </xf>
    <xf numFmtId="3" fontId="57" fillId="3" borderId="2" xfId="0" applyNumberFormat="1" applyFont="1" applyFill="1" applyBorder="1" applyAlignment="1" applyProtection="1">
      <alignment horizontal="center" vertical="center" wrapText="1"/>
    </xf>
    <xf numFmtId="3" fontId="57" fillId="3" borderId="14" xfId="0" applyNumberFormat="1" applyFont="1" applyFill="1" applyBorder="1" applyAlignment="1" applyProtection="1">
      <alignment horizontal="center" vertical="center" wrapText="1"/>
    </xf>
    <xf numFmtId="3" fontId="57" fillId="3" borderId="5" xfId="0" applyNumberFormat="1" applyFont="1" applyFill="1" applyBorder="1" applyAlignment="1" applyProtection="1">
      <alignment horizontal="center" vertical="center" wrapText="1"/>
    </xf>
    <xf numFmtId="3" fontId="57" fillId="3" borderId="12" xfId="0" applyNumberFormat="1" applyFont="1" applyFill="1" applyBorder="1" applyAlignment="1" applyProtection="1">
      <alignment horizontal="center" vertical="center" wrapText="1"/>
    </xf>
    <xf numFmtId="3" fontId="57" fillId="3" borderId="3" xfId="0" applyNumberFormat="1" applyFont="1" applyFill="1" applyBorder="1" applyAlignment="1" applyProtection="1">
      <alignment horizontal="center" vertical="center" wrapText="1"/>
    </xf>
    <xf numFmtId="0" fontId="48" fillId="0" borderId="0" xfId="0" applyFont="1" applyAlignment="1" applyProtection="1">
      <alignment horizontal="center" vertical="center"/>
    </xf>
    <xf numFmtId="171" fontId="0" fillId="0" borderId="9" xfId="0" applyNumberFormat="1" applyFont="1" applyBorder="1" applyAlignment="1" applyProtection="1">
      <alignment horizontal="center"/>
    </xf>
    <xf numFmtId="0" fontId="18" fillId="0" borderId="0" xfId="0" applyFont="1" applyAlignment="1">
      <alignment horizontal="left" indent="1"/>
    </xf>
    <xf numFmtId="3" fontId="56" fillId="3" borderId="4" xfId="0" applyNumberFormat="1" applyFont="1" applyFill="1" applyBorder="1" applyAlignment="1" applyProtection="1">
      <alignment horizontal="center" vertical="center" wrapText="1"/>
    </xf>
    <xf numFmtId="3" fontId="56" fillId="3" borderId="8" xfId="0" applyNumberFormat="1" applyFont="1" applyFill="1" applyBorder="1" applyAlignment="1" applyProtection="1">
      <alignment horizontal="center" vertical="center" wrapText="1"/>
    </xf>
    <xf numFmtId="3" fontId="56" fillId="3" borderId="6" xfId="0" applyNumberFormat="1" applyFont="1" applyFill="1" applyBorder="1" applyAlignment="1" applyProtection="1">
      <alignment horizontal="center" vertical="center" wrapText="1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3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6" fillId="3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 applyProtection="1">
      <alignment horizontal="left" vertical="center" indent="2"/>
    </xf>
    <xf numFmtId="0" fontId="8" fillId="0" borderId="0" xfId="0" applyFont="1" applyBorder="1" applyAlignment="1" applyProtection="1">
      <alignment horizontal="left" vertical="center" indent="2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0" fontId="45" fillId="0" borderId="0" xfId="6" applyNumberFormat="1" applyFont="1" applyFill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18" fillId="3" borderId="12" xfId="0" applyNumberFormat="1" applyFont="1" applyFill="1" applyBorder="1" applyAlignment="1" applyProtection="1">
      <alignment horizontal="center" vertical="center" wrapText="1"/>
    </xf>
    <xf numFmtId="3" fontId="18" fillId="3" borderId="3" xfId="0" applyNumberFormat="1" applyFont="1" applyFill="1" applyBorder="1" applyAlignment="1" applyProtection="1">
      <alignment horizontal="center" vertical="center" wrapText="1"/>
    </xf>
    <xf numFmtId="0" fontId="34" fillId="0" borderId="0" xfId="6" applyNumberFormat="1" applyFont="1" applyFill="1" applyBorder="1" applyAlignment="1" applyProtection="1">
      <alignment horizontal="center" vertical="center"/>
    </xf>
    <xf numFmtId="3" fontId="18" fillId="3" borderId="7" xfId="0" applyNumberFormat="1" applyFont="1" applyFill="1" applyBorder="1" applyAlignment="1" applyProtection="1">
      <alignment horizontal="center" vertical="center" wrapText="1"/>
    </xf>
    <xf numFmtId="3" fontId="18" fillId="3" borderId="15" xfId="0" applyNumberFormat="1" applyFont="1" applyFill="1" applyBorder="1" applyAlignment="1" applyProtection="1">
      <alignment horizontal="center" vertical="center" wrapText="1"/>
    </xf>
    <xf numFmtId="3" fontId="18" fillId="3" borderId="2" xfId="0" applyNumberFormat="1" applyFont="1" applyFill="1" applyBorder="1" applyAlignment="1" applyProtection="1">
      <alignment horizontal="center" vertical="center" wrapText="1"/>
    </xf>
    <xf numFmtId="3" fontId="18" fillId="3" borderId="14" xfId="0" applyNumberFormat="1" applyFont="1" applyFill="1" applyBorder="1" applyAlignment="1" applyProtection="1">
      <alignment horizontal="center" vertical="center" wrapText="1"/>
    </xf>
    <xf numFmtId="3" fontId="18" fillId="3" borderId="4" xfId="0" applyNumberFormat="1" applyFont="1" applyFill="1" applyBorder="1" applyAlignment="1" applyProtection="1">
      <alignment horizontal="center" vertical="center" wrapText="1"/>
    </xf>
    <xf numFmtId="3" fontId="18" fillId="3" borderId="8" xfId="0" applyNumberFormat="1" applyFont="1" applyFill="1" applyBorder="1" applyAlignment="1" applyProtection="1">
      <alignment horizontal="center" vertical="center" wrapText="1"/>
    </xf>
    <xf numFmtId="3" fontId="18" fillId="3" borderId="6" xfId="0" applyNumberFormat="1" applyFont="1" applyFill="1" applyBorder="1" applyAlignment="1" applyProtection="1">
      <alignment horizontal="center" vertical="center" wrapText="1"/>
    </xf>
    <xf numFmtId="171" fontId="31" fillId="0" borderId="9" xfId="0" applyNumberFormat="1" applyFont="1" applyBorder="1" applyAlignment="1" applyProtection="1">
      <alignment horizontal="center" wrapText="1"/>
    </xf>
    <xf numFmtId="3" fontId="46" fillId="3" borderId="1" xfId="0" applyNumberFormat="1" applyFont="1" applyFill="1" applyBorder="1" applyAlignment="1" applyProtection="1">
      <alignment horizontal="center" vertical="center" wrapText="1"/>
    </xf>
    <xf numFmtId="0" fontId="113" fillId="0" borderId="0" xfId="1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2" xfId="0" applyNumberFormat="1" applyFont="1" applyFill="1" applyBorder="1" applyAlignment="1" applyProtection="1">
      <alignment horizontal="center" vertical="center" wrapText="1"/>
    </xf>
    <xf numFmtId="3" fontId="46" fillId="3" borderId="3" xfId="0" applyNumberFormat="1" applyFont="1" applyFill="1" applyBorder="1" applyAlignment="1" applyProtection="1">
      <alignment horizontal="center" vertical="center" wrapText="1"/>
    </xf>
    <xf numFmtId="3" fontId="46" fillId="3" borderId="7" xfId="0" applyNumberFormat="1" applyFont="1" applyFill="1" applyBorder="1" applyAlignment="1" applyProtection="1">
      <alignment horizontal="center" vertical="center" wrapText="1"/>
    </xf>
    <xf numFmtId="3" fontId="46" fillId="3" borderId="11" xfId="0" applyNumberFormat="1" applyFont="1" applyFill="1" applyBorder="1" applyAlignment="1" applyProtection="1">
      <alignment horizontal="center" vertical="center" wrapText="1"/>
    </xf>
    <xf numFmtId="3" fontId="46" fillId="3" borderId="15" xfId="0" applyNumberFormat="1" applyFont="1" applyFill="1" applyBorder="1" applyAlignment="1" applyProtection="1">
      <alignment horizontal="center" vertical="center" wrapText="1"/>
    </xf>
    <xf numFmtId="3" fontId="46" fillId="3" borderId="2" xfId="0" applyNumberFormat="1" applyFont="1" applyFill="1" applyBorder="1" applyAlignment="1" applyProtection="1">
      <alignment horizontal="center" vertical="center" wrapText="1"/>
    </xf>
    <xf numFmtId="3" fontId="46" fillId="3" borderId="9" xfId="0" applyNumberFormat="1" applyFont="1" applyFill="1" applyBorder="1" applyAlignment="1" applyProtection="1">
      <alignment horizontal="center" vertical="center" wrapText="1"/>
    </xf>
    <xf numFmtId="3" fontId="46" fillId="3" borderId="14" xfId="0" applyNumberFormat="1" applyFont="1" applyFill="1" applyBorder="1" applyAlignment="1" applyProtection="1">
      <alignment horizontal="center" vertical="center" wrapText="1"/>
    </xf>
    <xf numFmtId="171" fontId="72" fillId="0" borderId="9" xfId="0" applyNumberFormat="1" applyFont="1" applyBorder="1" applyAlignment="1" applyProtection="1">
      <alignment horizontal="center" wrapText="1"/>
    </xf>
    <xf numFmtId="0" fontId="24" fillId="0" borderId="0" xfId="0" applyFont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center" vertical="center"/>
    </xf>
    <xf numFmtId="3" fontId="18" fillId="3" borderId="1" xfId="0" applyNumberFormat="1" applyFont="1" applyFill="1" applyBorder="1" applyAlignment="1" applyProtection="1">
      <alignment horizontal="center" vertical="center" wrapText="1"/>
    </xf>
    <xf numFmtId="171" fontId="18" fillId="0" borderId="9" xfId="6" applyNumberFormat="1" applyFont="1" applyFill="1" applyBorder="1" applyAlignment="1" applyProtection="1">
      <alignment horizontal="center" vertical="top"/>
    </xf>
    <xf numFmtId="0" fontId="45" fillId="0" borderId="0" xfId="6" applyNumberFormat="1" applyFont="1" applyFill="1" applyBorder="1" applyAlignment="1" applyProtection="1">
      <alignment horizontal="center" vertical="top" wrapText="1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169" fontId="7" fillId="0" borderId="5" xfId="0" applyNumberFormat="1" applyFont="1" applyBorder="1" applyAlignment="1" applyProtection="1">
      <alignment horizontal="center" vertical="center"/>
    </xf>
    <xf numFmtId="169" fontId="2" fillId="0" borderId="12" xfId="0" applyNumberFormat="1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horizontal="center" vertical="center"/>
    </xf>
    <xf numFmtId="0" fontId="16" fillId="0" borderId="1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6" xfId="0" applyFont="1" applyBorder="1" applyAlignment="1" applyProtection="1">
      <alignment horizontal="center"/>
    </xf>
    <xf numFmtId="169" fontId="7" fillId="0" borderId="1" xfId="0" applyNumberFormat="1" applyFont="1" applyFill="1" applyBorder="1" applyAlignment="1" applyProtection="1">
      <alignment horizontal="center" vertical="center"/>
    </xf>
    <xf numFmtId="169" fontId="2" fillId="0" borderId="1" xfId="0" applyNumberFormat="1" applyFont="1" applyFill="1" applyBorder="1" applyAlignment="1" applyProtection="1">
      <alignment horizontal="center" vertical="center"/>
    </xf>
    <xf numFmtId="3" fontId="23" fillId="3" borderId="1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center" vertical="center"/>
    </xf>
    <xf numFmtId="49" fontId="2" fillId="0" borderId="3" xfId="0" applyNumberFormat="1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15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16" fillId="0" borderId="4" xfId="0" applyFont="1" applyBorder="1" applyAlignment="1" applyProtection="1">
      <alignment horizontal="center" vertical="center" wrapText="1"/>
    </xf>
    <xf numFmtId="0" fontId="16" fillId="0" borderId="8" xfId="0" applyFont="1" applyBorder="1" applyAlignment="1" applyProtection="1">
      <alignment horizontal="center" vertical="center" wrapText="1"/>
    </xf>
    <xf numFmtId="0" fontId="16" fillId="0" borderId="6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/>
    </xf>
    <xf numFmtId="0" fontId="16" fillId="0" borderId="4" xfId="0" applyFont="1" applyBorder="1" applyAlignment="1" applyProtection="1">
      <alignment horizontal="center"/>
    </xf>
    <xf numFmtId="0" fontId="16" fillId="0" borderId="8" xfId="0" applyFont="1" applyBorder="1" applyAlignment="1" applyProtection="1">
      <alignment horizontal="center"/>
    </xf>
    <xf numFmtId="0" fontId="16" fillId="0" borderId="6" xfId="0" applyFont="1" applyBorder="1" applyAlignment="1" applyProtection="1">
      <alignment horizontal="center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11" xfId="0" quotePrefix="1" applyFont="1" applyBorder="1" applyAlignment="1" applyProtection="1">
      <alignment horizontal="center" vertical="center" wrapText="1"/>
    </xf>
    <xf numFmtId="0" fontId="16" fillId="0" borderId="15" xfId="0" quotePrefix="1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/>
    </xf>
    <xf numFmtId="0" fontId="16" fillId="0" borderId="4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/>
    </xf>
    <xf numFmtId="0" fontId="16" fillId="0" borderId="6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/>
    </xf>
    <xf numFmtId="0" fontId="16" fillId="0" borderId="11" xfId="0" applyFont="1" applyBorder="1" applyAlignment="1" applyProtection="1">
      <alignment horizontal="center"/>
    </xf>
    <xf numFmtId="0" fontId="16" fillId="0" borderId="15" xfId="0" applyFont="1" applyBorder="1" applyAlignment="1" applyProtection="1">
      <alignment horizontal="center"/>
    </xf>
    <xf numFmtId="49" fontId="2" fillId="0" borderId="5" xfId="0" applyNumberFormat="1" applyFont="1" applyFill="1" applyBorder="1" applyAlignment="1" applyProtection="1">
      <alignment horizontal="center" vertical="center"/>
    </xf>
    <xf numFmtId="49" fontId="2" fillId="0" borderId="12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16" fillId="0" borderId="7" xfId="0" quotePrefix="1" applyFont="1" applyFill="1" applyBorder="1" applyAlignment="1" applyProtection="1">
      <alignment horizontal="center" vertical="center"/>
    </xf>
    <xf numFmtId="0" fontId="16" fillId="0" borderId="11" xfId="0" quotePrefix="1" applyFont="1" applyFill="1" applyBorder="1" applyAlignment="1" applyProtection="1">
      <alignment horizontal="center" vertical="center"/>
    </xf>
    <xf numFmtId="0" fontId="16" fillId="0" borderId="10" xfId="0" quotePrefix="1" applyFont="1" applyFill="1" applyBorder="1" applyAlignment="1" applyProtection="1">
      <alignment horizontal="center" vertical="center"/>
    </xf>
    <xf numFmtId="0" fontId="16" fillId="0" borderId="0" xfId="0" quotePrefix="1" applyFont="1" applyFill="1" applyBorder="1" applyAlignment="1" applyProtection="1">
      <alignment horizontal="center" vertical="center"/>
    </xf>
    <xf numFmtId="0" fontId="16" fillId="0" borderId="2" xfId="0" quotePrefix="1" applyFont="1" applyFill="1" applyBorder="1" applyAlignment="1" applyProtection="1">
      <alignment horizontal="center" vertical="center"/>
    </xf>
    <xf numFmtId="0" fontId="16" fillId="0" borderId="9" xfId="0" quotePrefix="1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16" fillId="0" borderId="10" xfId="0" applyFont="1" applyFill="1" applyBorder="1" applyAlignment="1" applyProtection="1">
      <alignment horizontal="center" vertical="center" wrapText="1"/>
    </xf>
    <xf numFmtId="0" fontId="16" fillId="0" borderId="0" xfId="0" quotePrefix="1" applyFont="1" applyFill="1" applyBorder="1" applyAlignment="1" applyProtection="1">
      <alignment horizontal="center" vertical="center" wrapText="1"/>
    </xf>
    <xf numFmtId="0" fontId="16" fillId="0" borderId="13" xfId="0" quotePrefix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Fill="1" applyBorder="1" applyAlignment="1" applyProtection="1">
      <alignment horizontal="center" vertical="center"/>
    </xf>
    <xf numFmtId="169" fontId="2" fillId="0" borderId="3" xfId="0" applyNumberFormat="1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 applyProtection="1">
      <alignment horizontal="center" vertical="center"/>
    </xf>
    <xf numFmtId="0" fontId="16" fillId="0" borderId="8" xfId="0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 applyProtection="1">
      <alignment horizontal="center" vertical="center"/>
    </xf>
    <xf numFmtId="0" fontId="16" fillId="0" borderId="7" xfId="0" quotePrefix="1" applyFont="1" applyFill="1" applyBorder="1" applyAlignment="1" applyProtection="1">
      <alignment horizontal="center" vertical="center" wrapText="1"/>
    </xf>
    <xf numFmtId="0" fontId="16" fillId="0" borderId="11" xfId="0" quotePrefix="1" applyFont="1" applyFill="1" applyBorder="1" applyAlignment="1" applyProtection="1">
      <alignment horizontal="center" vertical="center" wrapText="1"/>
    </xf>
    <xf numFmtId="0" fontId="16" fillId="0" borderId="15" xfId="0" quotePrefix="1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Border="1" applyAlignment="1" applyProtection="1">
      <alignment horizontal="center" vertical="center"/>
      <protection locked="0"/>
    </xf>
    <xf numFmtId="169" fontId="2" fillId="0" borderId="3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Protection="1"/>
    <xf numFmtId="0" fontId="6" fillId="0" borderId="4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"/>
    </xf>
    <xf numFmtId="0" fontId="6" fillId="0" borderId="6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7" xfId="0" applyFont="1" applyFill="1" applyBorder="1" applyAlignment="1" applyProtection="1">
      <alignment horizontal="center" vertical="center" wrapText="1"/>
    </xf>
    <xf numFmtId="0" fontId="0" fillId="0" borderId="11" xfId="0" applyFont="1" applyFill="1" applyBorder="1" applyAlignment="1" applyProtection="1">
      <alignment horizontal="center" vertical="center" wrapText="1"/>
    </xf>
    <xf numFmtId="0" fontId="0" fillId="0" borderId="15" xfId="0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 applyProtection="1">
      <alignment horizontal="center" vertical="center" wrapText="1"/>
    </xf>
    <xf numFmtId="0" fontId="0" fillId="0" borderId="9" xfId="0" applyFont="1" applyFill="1" applyBorder="1" applyAlignment="1" applyProtection="1">
      <alignment horizontal="center" vertical="center" wrapText="1"/>
    </xf>
    <xf numFmtId="0" fontId="0" fillId="0" borderId="14" xfId="0" applyFont="1" applyFill="1" applyBorder="1" applyAlignment="1" applyProtection="1">
      <alignment horizontal="center" vertical="center" wrapText="1"/>
    </xf>
    <xf numFmtId="0" fontId="16" fillId="0" borderId="7" xfId="0" applyFont="1" applyFill="1" applyBorder="1" applyAlignment="1" applyProtection="1">
      <alignment horizontal="center" vertical="center" wrapText="1"/>
    </xf>
    <xf numFmtId="0" fontId="16" fillId="0" borderId="10" xfId="0" quotePrefix="1" applyFont="1" applyFill="1" applyBorder="1" applyAlignment="1" applyProtection="1">
      <alignment horizontal="center" vertical="center" wrapText="1"/>
    </xf>
    <xf numFmtId="0" fontId="16" fillId="0" borderId="2" xfId="0" quotePrefix="1" applyFont="1" applyFill="1" applyBorder="1" applyAlignment="1" applyProtection="1">
      <alignment horizontal="center" vertical="center" wrapText="1"/>
    </xf>
    <xf numFmtId="0" fontId="16" fillId="0" borderId="9" xfId="0" quotePrefix="1" applyFont="1" applyFill="1" applyBorder="1" applyAlignment="1" applyProtection="1">
      <alignment horizontal="center" vertical="center" wrapText="1"/>
    </xf>
    <xf numFmtId="0" fontId="16" fillId="0" borderId="14" xfId="0" quotePrefix="1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/>
    </xf>
    <xf numFmtId="0" fontId="5" fillId="0" borderId="8" xfId="0" applyFont="1" applyFill="1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16" fillId="0" borderId="11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16" fillId="0" borderId="4" xfId="0" applyFont="1" applyFill="1" applyBorder="1" applyAlignment="1" applyProtection="1">
      <alignment horizontal="center" vertical="center" wrapText="1"/>
    </xf>
    <xf numFmtId="0" fontId="16" fillId="0" borderId="8" xfId="0" applyFont="1" applyFill="1" applyBorder="1" applyAlignment="1" applyProtection="1">
      <alignment horizontal="center" vertical="center" wrapText="1"/>
    </xf>
    <xf numFmtId="0" fontId="16" fillId="0" borderId="6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Fill="1" applyBorder="1" applyAlignment="1" applyProtection="1">
      <alignment horizontal="center" vertical="center"/>
      <protection locked="0"/>
    </xf>
    <xf numFmtId="169" fontId="2" fillId="0" borderId="3" xfId="0" applyNumberFormat="1" applyFont="1" applyFill="1" applyBorder="1" applyAlignment="1" applyProtection="1">
      <alignment horizontal="center" vertical="center"/>
      <protection locked="0"/>
    </xf>
    <xf numFmtId="169" fontId="2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0" borderId="4" xfId="0" applyFont="1" applyFill="1" applyBorder="1" applyAlignment="1" applyProtection="1">
      <alignment horizontal="center"/>
    </xf>
    <xf numFmtId="0" fontId="16" fillId="0" borderId="8" xfId="0" applyFont="1" applyFill="1" applyBorder="1" applyAlignment="1" applyProtection="1">
      <alignment horizontal="center"/>
    </xf>
    <xf numFmtId="0" fontId="16" fillId="0" borderId="6" xfId="0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6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6" fillId="0" borderId="9" xfId="0" applyFont="1" applyFill="1" applyBorder="1" applyAlignment="1" applyProtection="1">
      <alignment horizontal="center" vertical="center" wrapText="1"/>
    </xf>
    <xf numFmtId="0" fontId="16" fillId="0" borderId="14" xfId="0" applyFont="1" applyFill="1" applyBorder="1" applyAlignment="1" applyProtection="1">
      <alignment horizontal="center" vertical="center" wrapText="1"/>
    </xf>
    <xf numFmtId="0" fontId="139" fillId="0" borderId="0" xfId="0" applyFont="1" applyFill="1" applyBorder="1" applyAlignment="1" applyProtection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Обычный" xfId="0" builtinId="0"/>
    <cellStyle name="Обычный 10" xfId="331" xr:uid="{00000000-0005-0000-0000-00007F010000}"/>
    <cellStyle name="Обычный 10 10" xfId="332" xr:uid="{00000000-0005-0000-0000-000080010000}"/>
    <cellStyle name="Обычный 10 11" xfId="333" xr:uid="{00000000-0005-0000-0000-000081010000}"/>
    <cellStyle name="Обычный 10 2" xfId="334" xr:uid="{00000000-0005-0000-0000-000082010000}"/>
    <cellStyle name="Обычный 10 2 2" xfId="335" xr:uid="{00000000-0005-0000-0000-000083010000}"/>
    <cellStyle name="Обычный 10 2 2 2" xfId="336" xr:uid="{00000000-0005-0000-0000-000084010000}"/>
    <cellStyle name="Обычный 10 2 3" xfId="337" xr:uid="{00000000-0005-0000-0000-000085010000}"/>
    <cellStyle name="Обычный 10 3" xfId="338" xr:uid="{00000000-0005-0000-0000-000086010000}"/>
    <cellStyle name="Обычный 10 3 2" xfId="339" xr:uid="{00000000-0005-0000-0000-000087010000}"/>
    <cellStyle name="Обычный 10 3 3" xfId="340" xr:uid="{00000000-0005-0000-0000-000088010000}"/>
    <cellStyle name="Обычный 10 4" xfId="341" xr:uid="{00000000-0005-0000-0000-000089010000}"/>
    <cellStyle name="Обычный 10 5" xfId="342" xr:uid="{00000000-0005-0000-0000-00008A010000}"/>
    <cellStyle name="Обычный 10 6" xfId="343" xr:uid="{00000000-0005-0000-0000-00008B010000}"/>
    <cellStyle name="Обычный 10 7" xfId="344" xr:uid="{00000000-0005-0000-0000-00008C010000}"/>
    <cellStyle name="Обычный 10 8" xfId="345" xr:uid="{00000000-0005-0000-0000-00008D010000}"/>
    <cellStyle name="Обычный 10 9" xfId="346" xr:uid="{00000000-0005-0000-0000-00008E010000}"/>
    <cellStyle name="Обычный 100" xfId="347" xr:uid="{00000000-0005-0000-0000-00008F010000}"/>
    <cellStyle name="Обычный 100 2" xfId="348" xr:uid="{00000000-0005-0000-0000-000090010000}"/>
    <cellStyle name="Обычный 100 2 2" xfId="349" xr:uid="{00000000-0005-0000-0000-000091010000}"/>
    <cellStyle name="Обычный 101" xfId="350" xr:uid="{00000000-0005-0000-0000-000092010000}"/>
    <cellStyle name="Обычный 102" xfId="351" xr:uid="{00000000-0005-0000-0000-000093010000}"/>
    <cellStyle name="Обычный 103" xfId="352" xr:uid="{00000000-0005-0000-0000-000094010000}"/>
    <cellStyle name="Обычный 104" xfId="353" xr:uid="{00000000-0005-0000-0000-000095010000}"/>
    <cellStyle name="Обычный 106" xfId="354" xr:uid="{00000000-0005-0000-0000-000096010000}"/>
    <cellStyle name="Обычный 107" xfId="355" xr:uid="{00000000-0005-0000-0000-000097010000}"/>
    <cellStyle name="Обычный 109" xfId="356" xr:uid="{00000000-0005-0000-0000-000098010000}"/>
    <cellStyle name="Обычный 11" xfId="357" xr:uid="{00000000-0005-0000-0000-000099010000}"/>
    <cellStyle name="Обычный 11 2" xfId="358" xr:uid="{00000000-0005-0000-0000-00009A010000}"/>
    <cellStyle name="Обычный 11 2 2" xfId="359" xr:uid="{00000000-0005-0000-0000-00009B010000}"/>
    <cellStyle name="Обычный 11 3" xfId="360" xr:uid="{00000000-0005-0000-0000-00009C010000}"/>
    <cellStyle name="Обычный 11 4" xfId="361" xr:uid="{00000000-0005-0000-0000-00009D010000}"/>
    <cellStyle name="Обычный 11 6" xfId="362" xr:uid="{00000000-0005-0000-0000-00009E010000}"/>
    <cellStyle name="Обычный 110" xfId="363" xr:uid="{00000000-0005-0000-0000-00009F010000}"/>
    <cellStyle name="Обычный 112" xfId="364" xr:uid="{00000000-0005-0000-0000-0000A0010000}"/>
    <cellStyle name="Обычный 113" xfId="365" xr:uid="{00000000-0005-0000-0000-0000A1010000}"/>
    <cellStyle name="Обычный 115" xfId="366" xr:uid="{00000000-0005-0000-0000-0000A2010000}"/>
    <cellStyle name="Обычный 116" xfId="367" xr:uid="{00000000-0005-0000-0000-0000A3010000}"/>
    <cellStyle name="Обычный 118" xfId="368" xr:uid="{00000000-0005-0000-0000-0000A4010000}"/>
    <cellStyle name="Обычный 12" xfId="369" xr:uid="{00000000-0005-0000-0000-0000A5010000}"/>
    <cellStyle name="Обычный 12 2" xfId="370" xr:uid="{00000000-0005-0000-0000-0000A6010000}"/>
    <cellStyle name="Обычный 12 2 2" xfId="371" xr:uid="{00000000-0005-0000-0000-0000A7010000}"/>
    <cellStyle name="Обычный 12 3" xfId="372" xr:uid="{00000000-0005-0000-0000-0000A8010000}"/>
    <cellStyle name="Обычный 12 4" xfId="373" xr:uid="{00000000-0005-0000-0000-0000A9010000}"/>
    <cellStyle name="Обычный 12 5" xfId="374" xr:uid="{00000000-0005-0000-0000-0000AA010000}"/>
    <cellStyle name="Обычный 12 6" xfId="375" xr:uid="{00000000-0005-0000-0000-0000AB010000}"/>
    <cellStyle name="Обычный 12 7" xfId="376" xr:uid="{00000000-0005-0000-0000-0000AC010000}"/>
    <cellStyle name="Обычный 12 8" xfId="377" xr:uid="{00000000-0005-0000-0000-0000AD010000}"/>
    <cellStyle name="Обычный 120" xfId="378" xr:uid="{00000000-0005-0000-0000-0000AE010000}"/>
    <cellStyle name="Обычный 121" xfId="379" xr:uid="{00000000-0005-0000-0000-0000AF010000}"/>
    <cellStyle name="Обычный 122" xfId="380" xr:uid="{00000000-0005-0000-0000-0000B0010000}"/>
    <cellStyle name="Обычный 123" xfId="381" xr:uid="{00000000-0005-0000-0000-0000B1010000}"/>
    <cellStyle name="Обычный 13" xfId="382" xr:uid="{00000000-0005-0000-0000-0000B2010000}"/>
    <cellStyle name="Обычный 13 2" xfId="383" xr:uid="{00000000-0005-0000-0000-0000B3010000}"/>
    <cellStyle name="Обычный 13 2 2" xfId="384" xr:uid="{00000000-0005-0000-0000-0000B4010000}"/>
    <cellStyle name="Обычный 14" xfId="385" xr:uid="{00000000-0005-0000-0000-0000B5010000}"/>
    <cellStyle name="Обычный 14 2" xfId="386" xr:uid="{00000000-0005-0000-0000-0000B6010000}"/>
    <cellStyle name="Обычный 14 2 2" xfId="387" xr:uid="{00000000-0005-0000-0000-0000B7010000}"/>
    <cellStyle name="Обычный 14 3" xfId="388" xr:uid="{00000000-0005-0000-0000-0000B8010000}"/>
    <cellStyle name="Обычный 14 4" xfId="389" xr:uid="{00000000-0005-0000-0000-0000B9010000}"/>
    <cellStyle name="Обычный 14 5" xfId="390" xr:uid="{00000000-0005-0000-0000-0000BA010000}"/>
    <cellStyle name="Обычный 144" xfId="391" xr:uid="{00000000-0005-0000-0000-0000BB010000}"/>
    <cellStyle name="Обычный 147" xfId="392" xr:uid="{00000000-0005-0000-0000-0000BC010000}"/>
    <cellStyle name="Обычный 148" xfId="393" xr:uid="{00000000-0005-0000-0000-0000BD010000}"/>
    <cellStyle name="Обычный 15" xfId="394" xr:uid="{00000000-0005-0000-0000-0000BE010000}"/>
    <cellStyle name="Обычный 15 2" xfId="395" xr:uid="{00000000-0005-0000-0000-0000BF010000}"/>
    <cellStyle name="Обычный 15 2 2" xfId="396" xr:uid="{00000000-0005-0000-0000-0000C0010000}"/>
    <cellStyle name="Обычный 15 2 3" xfId="397" xr:uid="{00000000-0005-0000-0000-0000C1010000}"/>
    <cellStyle name="Обычный 15 2 4" xfId="398" xr:uid="{00000000-0005-0000-0000-0000C2010000}"/>
    <cellStyle name="Обычный 15 2 5" xfId="399" xr:uid="{00000000-0005-0000-0000-0000C3010000}"/>
    <cellStyle name="Обычный 15 2 6" xfId="400" xr:uid="{00000000-0005-0000-0000-0000C4010000}"/>
    <cellStyle name="Обычный 15 3" xfId="401" xr:uid="{00000000-0005-0000-0000-0000C5010000}"/>
    <cellStyle name="Обычный 15 4" xfId="402" xr:uid="{00000000-0005-0000-0000-0000C6010000}"/>
    <cellStyle name="Обычный 15 5" xfId="403" xr:uid="{00000000-0005-0000-0000-0000C7010000}"/>
    <cellStyle name="Обычный 16" xfId="404" xr:uid="{00000000-0005-0000-0000-0000C8010000}"/>
    <cellStyle name="Обычный 16 10" xfId="405" xr:uid="{00000000-0005-0000-0000-0000C9010000}"/>
    <cellStyle name="Обычный 16 11" xfId="406" xr:uid="{00000000-0005-0000-0000-0000CA010000}"/>
    <cellStyle name="Обычный 16 12" xfId="407" xr:uid="{00000000-0005-0000-0000-0000CB010000}"/>
    <cellStyle name="Обычный 16 13" xfId="408" xr:uid="{00000000-0005-0000-0000-0000CC010000}"/>
    <cellStyle name="Обычный 16 14" xfId="409" xr:uid="{00000000-0005-0000-0000-0000CD010000}"/>
    <cellStyle name="Обычный 16 2" xfId="410" xr:uid="{00000000-0005-0000-0000-0000CE010000}"/>
    <cellStyle name="Обычный 16 2 2" xfId="411" xr:uid="{00000000-0005-0000-0000-0000CF010000}"/>
    <cellStyle name="Обычный 16 3" xfId="412" xr:uid="{00000000-0005-0000-0000-0000D0010000}"/>
    <cellStyle name="Обычный 16 3 2" xfId="413" xr:uid="{00000000-0005-0000-0000-0000D1010000}"/>
    <cellStyle name="Обычный 16 4" xfId="414" xr:uid="{00000000-0005-0000-0000-0000D2010000}"/>
    <cellStyle name="Обычный 16 4 2" xfId="415" xr:uid="{00000000-0005-0000-0000-0000D3010000}"/>
    <cellStyle name="Обычный 16 5" xfId="416" xr:uid="{00000000-0005-0000-0000-0000D4010000}"/>
    <cellStyle name="Обычный 16 6" xfId="417" xr:uid="{00000000-0005-0000-0000-0000D5010000}"/>
    <cellStyle name="Обычный 16 7" xfId="418" xr:uid="{00000000-0005-0000-0000-0000D6010000}"/>
    <cellStyle name="Обычный 16 8" xfId="419" xr:uid="{00000000-0005-0000-0000-0000D7010000}"/>
    <cellStyle name="Обычный 16 9" xfId="420" xr:uid="{00000000-0005-0000-0000-0000D8010000}"/>
    <cellStyle name="Обычный 17" xfId="421" xr:uid="{00000000-0005-0000-0000-0000D9010000}"/>
    <cellStyle name="Обычный 17 2" xfId="422" xr:uid="{00000000-0005-0000-0000-0000DA010000}"/>
    <cellStyle name="Обычный 17 2 2" xfId="423" xr:uid="{00000000-0005-0000-0000-0000DB010000}"/>
    <cellStyle name="Обычный 17 3" xfId="424" xr:uid="{00000000-0005-0000-0000-0000DC010000}"/>
    <cellStyle name="Обычный 17 4" xfId="425" xr:uid="{00000000-0005-0000-0000-0000DD010000}"/>
    <cellStyle name="Обычный 18" xfId="426" xr:uid="{00000000-0005-0000-0000-0000DE010000}"/>
    <cellStyle name="Обычный 18 2" xfId="427" xr:uid="{00000000-0005-0000-0000-0000DF010000}"/>
    <cellStyle name="Обычный 18 2 2" xfId="428" xr:uid="{00000000-0005-0000-0000-0000E0010000}"/>
    <cellStyle name="Обычный 18 2 2 2" xfId="429" xr:uid="{00000000-0005-0000-0000-0000E1010000}"/>
    <cellStyle name="Обычный 18 2 3" xfId="430" xr:uid="{00000000-0005-0000-0000-0000E2010000}"/>
    <cellStyle name="Обычный 18 2 4" xfId="431" xr:uid="{00000000-0005-0000-0000-0000E3010000}"/>
    <cellStyle name="Обычный 18 3" xfId="432" xr:uid="{00000000-0005-0000-0000-0000E4010000}"/>
    <cellStyle name="Обычный 18 3 2" xfId="433" xr:uid="{00000000-0005-0000-0000-0000E5010000}"/>
    <cellStyle name="Обычный 18 4" xfId="434" xr:uid="{00000000-0005-0000-0000-0000E6010000}"/>
    <cellStyle name="Обычный 18 5" xfId="435" xr:uid="{00000000-0005-0000-0000-0000E7010000}"/>
    <cellStyle name="Обычный 18 6" xfId="436" xr:uid="{00000000-0005-0000-0000-0000E8010000}"/>
    <cellStyle name="Обычный 188" xfId="437" xr:uid="{00000000-0005-0000-0000-0000E9010000}"/>
    <cellStyle name="Обычный 19" xfId="438" xr:uid="{00000000-0005-0000-0000-0000EA010000}"/>
    <cellStyle name="Обычный 19 2" xfId="439" xr:uid="{00000000-0005-0000-0000-0000EB010000}"/>
    <cellStyle name="Обычный 19 2 2" xfId="440" xr:uid="{00000000-0005-0000-0000-0000EC010000}"/>
    <cellStyle name="Обычный 19 2 3" xfId="441" xr:uid="{00000000-0005-0000-0000-0000ED010000}"/>
    <cellStyle name="Обычный 19 3" xfId="442" xr:uid="{00000000-0005-0000-0000-0000EE010000}"/>
    <cellStyle name="Обычный 190" xfId="443" xr:uid="{00000000-0005-0000-0000-0000EF010000}"/>
    <cellStyle name="Обычный 2" xfId="1" xr:uid="{00000000-0005-0000-0000-0000F0010000}"/>
    <cellStyle name="Обычный 2 10" xfId="444" xr:uid="{00000000-0005-0000-0000-0000F1010000}"/>
    <cellStyle name="Обычный 2 11" xfId="445" xr:uid="{00000000-0005-0000-0000-0000F2010000}"/>
    <cellStyle name="Обычный 2 12" xfId="446" xr:uid="{00000000-0005-0000-0000-0000F3010000}"/>
    <cellStyle name="Обычный 2 13" xfId="447" xr:uid="{00000000-0005-0000-0000-0000F4010000}"/>
    <cellStyle name="Обычный 2 14" xfId="448" xr:uid="{00000000-0005-0000-0000-0000F5010000}"/>
    <cellStyle name="Обычный 2 15" xfId="449" xr:uid="{00000000-0005-0000-0000-0000F6010000}"/>
    <cellStyle name="Обычный 2 16" xfId="450" xr:uid="{00000000-0005-0000-0000-0000F7010000}"/>
    <cellStyle name="Обычный 2 17" xfId="451" xr:uid="{00000000-0005-0000-0000-0000F8010000}"/>
    <cellStyle name="Обычный 2 18" xfId="452" xr:uid="{00000000-0005-0000-0000-0000F9010000}"/>
    <cellStyle name="Обычный 2 19" xfId="453" xr:uid="{00000000-0005-0000-0000-0000FA010000}"/>
    <cellStyle name="Обычный 2 2" xfId="454" xr:uid="{00000000-0005-0000-0000-0000FB010000}"/>
    <cellStyle name="Обычный 2 2 10" xfId="455" xr:uid="{00000000-0005-0000-0000-0000FC010000}"/>
    <cellStyle name="Обычный 2 2 10 2" xfId="456" xr:uid="{00000000-0005-0000-0000-0000FD010000}"/>
    <cellStyle name="Обычный 2 2 11" xfId="457" xr:uid="{00000000-0005-0000-0000-0000FE010000}"/>
    <cellStyle name="Обычный 2 2 11 2" xfId="458" xr:uid="{00000000-0005-0000-0000-0000FF010000}"/>
    <cellStyle name="Обычный 2 2 12" xfId="459" xr:uid="{00000000-0005-0000-0000-000000020000}"/>
    <cellStyle name="Обычный 2 2 12 2" xfId="460" xr:uid="{00000000-0005-0000-0000-000001020000}"/>
    <cellStyle name="Обычный 2 2 13" xfId="461" xr:uid="{00000000-0005-0000-0000-000002020000}"/>
    <cellStyle name="Обычный 2 2 13 2" xfId="462" xr:uid="{00000000-0005-0000-0000-000003020000}"/>
    <cellStyle name="Обычный 2 2 14" xfId="463" xr:uid="{00000000-0005-0000-0000-000004020000}"/>
    <cellStyle name="Обычный 2 2 14 2" xfId="464" xr:uid="{00000000-0005-0000-0000-000005020000}"/>
    <cellStyle name="Обычный 2 2 15" xfId="465" xr:uid="{00000000-0005-0000-0000-000006020000}"/>
    <cellStyle name="Обычный 2 2 15 2" xfId="466" xr:uid="{00000000-0005-0000-0000-000007020000}"/>
    <cellStyle name="Обычный 2 2 16" xfId="467" xr:uid="{00000000-0005-0000-0000-000008020000}"/>
    <cellStyle name="Обычный 2 2 16 2" xfId="468" xr:uid="{00000000-0005-0000-0000-000009020000}"/>
    <cellStyle name="Обычный 2 2 17" xfId="469" xr:uid="{00000000-0005-0000-0000-00000A020000}"/>
    <cellStyle name="Обычный 2 2 17 2" xfId="470" xr:uid="{00000000-0005-0000-0000-00000B020000}"/>
    <cellStyle name="Обычный 2 2 18" xfId="471" xr:uid="{00000000-0005-0000-0000-00000C020000}"/>
    <cellStyle name="Обычный 2 2 18 2" xfId="472" xr:uid="{00000000-0005-0000-0000-00000D020000}"/>
    <cellStyle name="Обычный 2 2 19" xfId="473" xr:uid="{00000000-0005-0000-0000-00000E020000}"/>
    <cellStyle name="Обычный 2 2 19 2" xfId="474" xr:uid="{00000000-0005-0000-0000-00000F020000}"/>
    <cellStyle name="Обычный 2 2 2" xfId="475" xr:uid="{00000000-0005-0000-0000-000010020000}"/>
    <cellStyle name="Обычный 2 2 2 10" xfId="476" xr:uid="{00000000-0005-0000-0000-000011020000}"/>
    <cellStyle name="Обычный 2 2 2 11" xfId="477" xr:uid="{00000000-0005-0000-0000-000012020000}"/>
    <cellStyle name="Обычный 2 2 2 12" xfId="478" xr:uid="{00000000-0005-0000-0000-000013020000}"/>
    <cellStyle name="Обычный 2 2 2 13" xfId="479" xr:uid="{00000000-0005-0000-0000-000014020000}"/>
    <cellStyle name="Обычный 2 2 2 14" xfId="480" xr:uid="{00000000-0005-0000-0000-000015020000}"/>
    <cellStyle name="Обычный 2 2 2 15" xfId="481" xr:uid="{00000000-0005-0000-0000-000016020000}"/>
    <cellStyle name="Обычный 2 2 2 16" xfId="482" xr:uid="{00000000-0005-0000-0000-000017020000}"/>
    <cellStyle name="Обычный 2 2 2 17" xfId="483" xr:uid="{00000000-0005-0000-0000-000018020000}"/>
    <cellStyle name="Обычный 2 2 2 18" xfId="484" xr:uid="{00000000-0005-0000-0000-000019020000}"/>
    <cellStyle name="Обычный 2 2 2 19" xfId="485" xr:uid="{00000000-0005-0000-0000-00001A020000}"/>
    <cellStyle name="Обычный 2 2 2 2" xfId="486" xr:uid="{00000000-0005-0000-0000-00001B020000}"/>
    <cellStyle name="Обычный 2 2 2 2 10" xfId="487" xr:uid="{00000000-0005-0000-0000-00001C020000}"/>
    <cellStyle name="Обычный 2 2 2 2 11" xfId="488" xr:uid="{00000000-0005-0000-0000-00001D020000}"/>
    <cellStyle name="Обычный 2 2 2 2 12" xfId="489" xr:uid="{00000000-0005-0000-0000-00001E020000}"/>
    <cellStyle name="Обычный 2 2 2 2 13" xfId="490" xr:uid="{00000000-0005-0000-0000-00001F020000}"/>
    <cellStyle name="Обычный 2 2 2 2 14" xfId="491" xr:uid="{00000000-0005-0000-0000-000020020000}"/>
    <cellStyle name="Обычный 2 2 2 2 15" xfId="492" xr:uid="{00000000-0005-0000-0000-000021020000}"/>
    <cellStyle name="Обычный 2 2 2 2 16" xfId="493" xr:uid="{00000000-0005-0000-0000-000022020000}"/>
    <cellStyle name="Обычный 2 2 2 2 17" xfId="494" xr:uid="{00000000-0005-0000-0000-000023020000}"/>
    <cellStyle name="Обычный 2 2 2 2 18" xfId="495" xr:uid="{00000000-0005-0000-0000-000024020000}"/>
    <cellStyle name="Обычный 2 2 2 2 19" xfId="496" xr:uid="{00000000-0005-0000-0000-000025020000}"/>
    <cellStyle name="Обычный 2 2 2 2 2" xfId="497" xr:uid="{00000000-0005-0000-0000-000026020000}"/>
    <cellStyle name="Обычный 2 2 2 2 20" xfId="498" xr:uid="{00000000-0005-0000-0000-000027020000}"/>
    <cellStyle name="Обычный 2 2 2 2 21" xfId="499" xr:uid="{00000000-0005-0000-0000-000028020000}"/>
    <cellStyle name="Обычный 2 2 2 2 22" xfId="500" xr:uid="{00000000-0005-0000-0000-000029020000}"/>
    <cellStyle name="Обычный 2 2 2 2 23" xfId="501" xr:uid="{00000000-0005-0000-0000-00002A020000}"/>
    <cellStyle name="Обычный 2 2 2 2 24" xfId="502" xr:uid="{00000000-0005-0000-0000-00002B020000}"/>
    <cellStyle name="Обычный 2 2 2 2 25" xfId="503" xr:uid="{00000000-0005-0000-0000-00002C020000}"/>
    <cellStyle name="Обычный 2 2 2 2 26" xfId="504" xr:uid="{00000000-0005-0000-0000-00002D020000}"/>
    <cellStyle name="Обычный 2 2 2 2 27" xfId="505" xr:uid="{00000000-0005-0000-0000-00002E020000}"/>
    <cellStyle name="Обычный 2 2 2 2 28" xfId="506" xr:uid="{00000000-0005-0000-0000-00002F020000}"/>
    <cellStyle name="Обычный 2 2 2 2 29" xfId="507" xr:uid="{00000000-0005-0000-0000-000030020000}"/>
    <cellStyle name="Обычный 2 2 2 2 3" xfId="508" xr:uid="{00000000-0005-0000-0000-000031020000}"/>
    <cellStyle name="Обычный 2 2 2 2 30" xfId="509" xr:uid="{00000000-0005-0000-0000-000032020000}"/>
    <cellStyle name="Обычный 2 2 2 2 4" xfId="510" xr:uid="{00000000-0005-0000-0000-000033020000}"/>
    <cellStyle name="Обычный 2 2 2 2 5" xfId="511" xr:uid="{00000000-0005-0000-0000-000034020000}"/>
    <cellStyle name="Обычный 2 2 2 2 6" xfId="512" xr:uid="{00000000-0005-0000-0000-000035020000}"/>
    <cellStyle name="Обычный 2 2 2 2 7" xfId="513" xr:uid="{00000000-0005-0000-0000-000036020000}"/>
    <cellStyle name="Обычный 2 2 2 2 8" xfId="514" xr:uid="{00000000-0005-0000-0000-000037020000}"/>
    <cellStyle name="Обычный 2 2 2 2 9" xfId="515" xr:uid="{00000000-0005-0000-0000-000038020000}"/>
    <cellStyle name="Обычный 2 2 2 20" xfId="516" xr:uid="{00000000-0005-0000-0000-000039020000}"/>
    <cellStyle name="Обычный 2 2 2 21" xfId="517" xr:uid="{00000000-0005-0000-0000-00003A020000}"/>
    <cellStyle name="Обычный 2 2 2 22" xfId="518" xr:uid="{00000000-0005-0000-0000-00003B020000}"/>
    <cellStyle name="Обычный 2 2 2 23" xfId="519" xr:uid="{00000000-0005-0000-0000-00003C020000}"/>
    <cellStyle name="Обычный 2 2 2 24" xfId="520" xr:uid="{00000000-0005-0000-0000-00003D020000}"/>
    <cellStyle name="Обычный 2 2 2 25" xfId="521" xr:uid="{00000000-0005-0000-0000-00003E020000}"/>
    <cellStyle name="Обычный 2 2 2 26" xfId="522" xr:uid="{00000000-0005-0000-0000-00003F020000}"/>
    <cellStyle name="Обычный 2 2 2 27" xfId="523" xr:uid="{00000000-0005-0000-0000-000040020000}"/>
    <cellStyle name="Обычный 2 2 2 28" xfId="524" xr:uid="{00000000-0005-0000-0000-000041020000}"/>
    <cellStyle name="Обычный 2 2 2 29" xfId="525" xr:uid="{00000000-0005-0000-0000-000042020000}"/>
    <cellStyle name="Обычный 2 2 2 3" xfId="526" xr:uid="{00000000-0005-0000-0000-000043020000}"/>
    <cellStyle name="Обычный 2 2 2 30" xfId="527" xr:uid="{00000000-0005-0000-0000-000044020000}"/>
    <cellStyle name="Обычный 2 2 2 31" xfId="528" xr:uid="{00000000-0005-0000-0000-000045020000}"/>
    <cellStyle name="Обычный 2 2 2 4" xfId="529" xr:uid="{00000000-0005-0000-0000-000046020000}"/>
    <cellStyle name="Обычный 2 2 2 5" xfId="530" xr:uid="{00000000-0005-0000-0000-000047020000}"/>
    <cellStyle name="Обычный 2 2 2 6" xfId="531" xr:uid="{00000000-0005-0000-0000-000048020000}"/>
    <cellStyle name="Обычный 2 2 2 7" xfId="532" xr:uid="{00000000-0005-0000-0000-000049020000}"/>
    <cellStyle name="Обычный 2 2 2 8" xfId="533" xr:uid="{00000000-0005-0000-0000-00004A020000}"/>
    <cellStyle name="Обычный 2 2 2 9" xfId="534" xr:uid="{00000000-0005-0000-0000-00004B020000}"/>
    <cellStyle name="Обычный 2 2 20" xfId="535" xr:uid="{00000000-0005-0000-0000-00004C020000}"/>
    <cellStyle name="Обычный 2 2 20 2" xfId="536" xr:uid="{00000000-0005-0000-0000-00004D020000}"/>
    <cellStyle name="Обычный 2 2 21" xfId="537" xr:uid="{00000000-0005-0000-0000-00004E020000}"/>
    <cellStyle name="Обычный 2 2 21 2" xfId="538" xr:uid="{00000000-0005-0000-0000-00004F020000}"/>
    <cellStyle name="Обычный 2 2 22" xfId="539" xr:uid="{00000000-0005-0000-0000-000050020000}"/>
    <cellStyle name="Обычный 2 2 22 2" xfId="540" xr:uid="{00000000-0005-0000-0000-000051020000}"/>
    <cellStyle name="Обычный 2 2 23" xfId="541" xr:uid="{00000000-0005-0000-0000-000052020000}"/>
    <cellStyle name="Обычный 2 2 23 2" xfId="542" xr:uid="{00000000-0005-0000-0000-000053020000}"/>
    <cellStyle name="Обычный 2 2 24" xfId="543" xr:uid="{00000000-0005-0000-0000-000054020000}"/>
    <cellStyle name="Обычный 2 2 24 2" xfId="544" xr:uid="{00000000-0005-0000-0000-000055020000}"/>
    <cellStyle name="Обычный 2 2 25" xfId="545" xr:uid="{00000000-0005-0000-0000-000056020000}"/>
    <cellStyle name="Обычный 2 2 25 2" xfId="546" xr:uid="{00000000-0005-0000-0000-000057020000}"/>
    <cellStyle name="Обычный 2 2 26" xfId="547" xr:uid="{00000000-0005-0000-0000-000058020000}"/>
    <cellStyle name="Обычный 2 2 26 2" xfId="548" xr:uid="{00000000-0005-0000-0000-000059020000}"/>
    <cellStyle name="Обычный 2 2 27" xfId="549" xr:uid="{00000000-0005-0000-0000-00005A020000}"/>
    <cellStyle name="Обычный 2 2 27 2" xfId="550" xr:uid="{00000000-0005-0000-0000-00005B020000}"/>
    <cellStyle name="Обычный 2 2 28" xfId="551" xr:uid="{00000000-0005-0000-0000-00005C020000}"/>
    <cellStyle name="Обычный 2 2 28 2" xfId="552" xr:uid="{00000000-0005-0000-0000-00005D020000}"/>
    <cellStyle name="Обычный 2 2 29" xfId="553" xr:uid="{00000000-0005-0000-0000-00005E020000}"/>
    <cellStyle name="Обычный 2 2 29 2" xfId="554" xr:uid="{00000000-0005-0000-0000-00005F020000}"/>
    <cellStyle name="Обычный 2 2 3" xfId="555" xr:uid="{00000000-0005-0000-0000-000060020000}"/>
    <cellStyle name="Обычный 2 2 3 2" xfId="556" xr:uid="{00000000-0005-0000-0000-000061020000}"/>
    <cellStyle name="Обычный 2 2 30" xfId="557" xr:uid="{00000000-0005-0000-0000-000062020000}"/>
    <cellStyle name="Обычный 2 2 30 2" xfId="558" xr:uid="{00000000-0005-0000-0000-000063020000}"/>
    <cellStyle name="Обычный 2 2 31" xfId="559" xr:uid="{00000000-0005-0000-0000-000064020000}"/>
    <cellStyle name="Обычный 2 2 31 2" xfId="560" xr:uid="{00000000-0005-0000-0000-000065020000}"/>
    <cellStyle name="Обычный 2 2 32" xfId="561" xr:uid="{00000000-0005-0000-0000-000066020000}"/>
    <cellStyle name="Обычный 2 2 4" xfId="562" xr:uid="{00000000-0005-0000-0000-000067020000}"/>
    <cellStyle name="Обычный 2 2 4 2" xfId="563" xr:uid="{00000000-0005-0000-0000-000068020000}"/>
    <cellStyle name="Обычный 2 2 5" xfId="564" xr:uid="{00000000-0005-0000-0000-000069020000}"/>
    <cellStyle name="Обычный 2 2 5 2" xfId="565" xr:uid="{00000000-0005-0000-0000-00006A020000}"/>
    <cellStyle name="Обычный 2 2 6" xfId="566" xr:uid="{00000000-0005-0000-0000-00006B020000}"/>
    <cellStyle name="Обычный 2 2 6 2" xfId="567" xr:uid="{00000000-0005-0000-0000-00006C020000}"/>
    <cellStyle name="Обычный 2 2 7" xfId="568" xr:uid="{00000000-0005-0000-0000-00006D020000}"/>
    <cellStyle name="Обычный 2 2 7 2" xfId="569" xr:uid="{00000000-0005-0000-0000-00006E020000}"/>
    <cellStyle name="Обычный 2 2 8" xfId="570" xr:uid="{00000000-0005-0000-0000-00006F020000}"/>
    <cellStyle name="Обычный 2 2 8 2" xfId="571" xr:uid="{00000000-0005-0000-0000-000070020000}"/>
    <cellStyle name="Обычный 2 2 9" xfId="572" xr:uid="{00000000-0005-0000-0000-000071020000}"/>
    <cellStyle name="Обычный 2 2 9 2" xfId="573" xr:uid="{00000000-0005-0000-0000-000072020000}"/>
    <cellStyle name="Обычный 2 20" xfId="574" xr:uid="{00000000-0005-0000-0000-000073020000}"/>
    <cellStyle name="Обычный 2 21" xfId="575" xr:uid="{00000000-0005-0000-0000-000074020000}"/>
    <cellStyle name="Обычный 2 22" xfId="576" xr:uid="{00000000-0005-0000-0000-000075020000}"/>
    <cellStyle name="Обычный 2 23" xfId="577" xr:uid="{00000000-0005-0000-0000-000076020000}"/>
    <cellStyle name="Обычный 2 24" xfId="578" xr:uid="{00000000-0005-0000-0000-000077020000}"/>
    <cellStyle name="Обычный 2 25" xfId="579" xr:uid="{00000000-0005-0000-0000-000078020000}"/>
    <cellStyle name="Обычный 2 26" xfId="580" xr:uid="{00000000-0005-0000-0000-000079020000}"/>
    <cellStyle name="Обычный 2 27" xfId="581" xr:uid="{00000000-0005-0000-0000-00007A020000}"/>
    <cellStyle name="Обычный 2 28" xfId="582" xr:uid="{00000000-0005-0000-0000-00007B020000}"/>
    <cellStyle name="Обычный 2 29" xfId="583" xr:uid="{00000000-0005-0000-0000-00007C020000}"/>
    <cellStyle name="Обычный 2 3" xfId="584" xr:uid="{00000000-0005-0000-0000-00007D020000}"/>
    <cellStyle name="Обычный 2 3 2" xfId="585" xr:uid="{00000000-0005-0000-0000-00007E020000}"/>
    <cellStyle name="Обычный 2 3 3" xfId="586" xr:uid="{00000000-0005-0000-0000-00007F020000}"/>
    <cellStyle name="Обычный 2 30" xfId="587" xr:uid="{00000000-0005-0000-0000-000080020000}"/>
    <cellStyle name="Обычный 2 31" xfId="588" xr:uid="{00000000-0005-0000-0000-000081020000}"/>
    <cellStyle name="Обычный 2 32" xfId="589" xr:uid="{00000000-0005-0000-0000-000082020000}"/>
    <cellStyle name="Обычный 2 33" xfId="590" xr:uid="{00000000-0005-0000-0000-000083020000}"/>
    <cellStyle name="Обычный 2 34" xfId="591" xr:uid="{00000000-0005-0000-0000-000084020000}"/>
    <cellStyle name="Обычный 2 34 2" xfId="592" xr:uid="{00000000-0005-0000-0000-000085020000}"/>
    <cellStyle name="Обычный 2 35" xfId="593" xr:uid="{00000000-0005-0000-0000-000086020000}"/>
    <cellStyle name="Обычный 2 36" xfId="594" xr:uid="{00000000-0005-0000-0000-000087020000}"/>
    <cellStyle name="Обычный 2 4" xfId="595" xr:uid="{00000000-0005-0000-0000-000088020000}"/>
    <cellStyle name="Обычный 2 4 2" xfId="596" xr:uid="{00000000-0005-0000-0000-000089020000}"/>
    <cellStyle name="Обычный 2 4 3" xfId="597" xr:uid="{00000000-0005-0000-0000-00008A020000}"/>
    <cellStyle name="Обычный 2 5" xfId="598" xr:uid="{00000000-0005-0000-0000-00008B020000}"/>
    <cellStyle name="Обычный 2 5 2" xfId="599" xr:uid="{00000000-0005-0000-0000-00008C020000}"/>
    <cellStyle name="Обычный 2 5 3" xfId="600" xr:uid="{00000000-0005-0000-0000-00008D020000}"/>
    <cellStyle name="Обычный 2 6" xfId="601" xr:uid="{00000000-0005-0000-0000-00008E020000}"/>
    <cellStyle name="Обычный 2 7" xfId="602" xr:uid="{00000000-0005-0000-0000-00008F020000}"/>
    <cellStyle name="Обычный 2 8" xfId="603" xr:uid="{00000000-0005-0000-0000-000090020000}"/>
    <cellStyle name="Обычный 2 9" xfId="604" xr:uid="{00000000-0005-0000-0000-000091020000}"/>
    <cellStyle name="Обычный 20" xfId="605" xr:uid="{00000000-0005-0000-0000-000092020000}"/>
    <cellStyle name="Обычный 20 10" xfId="606" xr:uid="{00000000-0005-0000-0000-000093020000}"/>
    <cellStyle name="Обычный 20 11" xfId="607" xr:uid="{00000000-0005-0000-0000-000094020000}"/>
    <cellStyle name="Обычный 20 12" xfId="608" xr:uid="{00000000-0005-0000-0000-000095020000}"/>
    <cellStyle name="Обычный 20 13" xfId="609" xr:uid="{00000000-0005-0000-0000-000096020000}"/>
    <cellStyle name="Обычный 20 14" xfId="610" xr:uid="{00000000-0005-0000-0000-000097020000}"/>
    <cellStyle name="Обычный 20 15" xfId="611" xr:uid="{00000000-0005-0000-0000-000098020000}"/>
    <cellStyle name="Обычный 20 16" xfId="612" xr:uid="{00000000-0005-0000-0000-000099020000}"/>
    <cellStyle name="Обычный 20 17" xfId="613" xr:uid="{00000000-0005-0000-0000-00009A020000}"/>
    <cellStyle name="Обычный 20 18" xfId="614" xr:uid="{00000000-0005-0000-0000-00009B020000}"/>
    <cellStyle name="Обычный 20 19" xfId="615" xr:uid="{00000000-0005-0000-0000-00009C020000}"/>
    <cellStyle name="Обычный 20 2" xfId="616" xr:uid="{00000000-0005-0000-0000-00009D020000}"/>
    <cellStyle name="Обычный 20 2 2" xfId="617" xr:uid="{00000000-0005-0000-0000-00009E020000}"/>
    <cellStyle name="Обычный 20 2 2 2" xfId="618" xr:uid="{00000000-0005-0000-0000-00009F020000}"/>
    <cellStyle name="Обычный 20 2 3" xfId="619" xr:uid="{00000000-0005-0000-0000-0000A0020000}"/>
    <cellStyle name="Обычный 20 2 4" xfId="620" xr:uid="{00000000-0005-0000-0000-0000A1020000}"/>
    <cellStyle name="Обычный 20 20" xfId="621" xr:uid="{00000000-0005-0000-0000-0000A2020000}"/>
    <cellStyle name="Обычный 20 21" xfId="622" xr:uid="{00000000-0005-0000-0000-0000A3020000}"/>
    <cellStyle name="Обычный 20 22" xfId="623" xr:uid="{00000000-0005-0000-0000-0000A4020000}"/>
    <cellStyle name="Обычный 20 23" xfId="624" xr:uid="{00000000-0005-0000-0000-0000A5020000}"/>
    <cellStyle name="Обычный 20 24" xfId="625" xr:uid="{00000000-0005-0000-0000-0000A6020000}"/>
    <cellStyle name="Обычный 20 25" xfId="626" xr:uid="{00000000-0005-0000-0000-0000A7020000}"/>
    <cellStyle name="Обычный 20 26" xfId="627" xr:uid="{00000000-0005-0000-0000-0000A8020000}"/>
    <cellStyle name="Обычный 20 27" xfId="628" xr:uid="{00000000-0005-0000-0000-0000A9020000}"/>
    <cellStyle name="Обычный 20 28" xfId="629" xr:uid="{00000000-0005-0000-0000-0000AA020000}"/>
    <cellStyle name="Обычный 20 29" xfId="630" xr:uid="{00000000-0005-0000-0000-0000AB020000}"/>
    <cellStyle name="Обычный 20 3" xfId="631" xr:uid="{00000000-0005-0000-0000-0000AC020000}"/>
    <cellStyle name="Обычный 20 3 2" xfId="632" xr:uid="{00000000-0005-0000-0000-0000AD020000}"/>
    <cellStyle name="Обычный 20 30" xfId="633" xr:uid="{00000000-0005-0000-0000-0000AE020000}"/>
    <cellStyle name="Обычный 20 31" xfId="634" xr:uid="{00000000-0005-0000-0000-0000AF020000}"/>
    <cellStyle name="Обычный 20 32" xfId="635" xr:uid="{00000000-0005-0000-0000-0000B0020000}"/>
    <cellStyle name="Обычный 20 4" xfId="636" xr:uid="{00000000-0005-0000-0000-0000B1020000}"/>
    <cellStyle name="Обычный 20 5" xfId="637" xr:uid="{00000000-0005-0000-0000-0000B2020000}"/>
    <cellStyle name="Обычный 20 6" xfId="638" xr:uid="{00000000-0005-0000-0000-0000B3020000}"/>
    <cellStyle name="Обычный 20 7" xfId="639" xr:uid="{00000000-0005-0000-0000-0000B4020000}"/>
    <cellStyle name="Обычный 20 8" xfId="640" xr:uid="{00000000-0005-0000-0000-0000B5020000}"/>
    <cellStyle name="Обычный 20 9" xfId="641" xr:uid="{00000000-0005-0000-0000-0000B6020000}"/>
    <cellStyle name="Обычный 21" xfId="642" xr:uid="{00000000-0005-0000-0000-0000B7020000}"/>
    <cellStyle name="Обычный 21 2" xfId="643" xr:uid="{00000000-0005-0000-0000-0000B8020000}"/>
    <cellStyle name="Обычный 21 2 2" xfId="644" xr:uid="{00000000-0005-0000-0000-0000B9020000}"/>
    <cellStyle name="Обычный 21 2 3" xfId="645" xr:uid="{00000000-0005-0000-0000-0000BA020000}"/>
    <cellStyle name="Обычный 21 2 4" xfId="646" xr:uid="{00000000-0005-0000-0000-0000BB020000}"/>
    <cellStyle name="Обычный 22" xfId="647" xr:uid="{00000000-0005-0000-0000-0000BC020000}"/>
    <cellStyle name="Обычный 22 10" xfId="648" xr:uid="{00000000-0005-0000-0000-0000BD020000}"/>
    <cellStyle name="Обычный 22 11" xfId="649" xr:uid="{00000000-0005-0000-0000-0000BE020000}"/>
    <cellStyle name="Обычный 22 12" xfId="650" xr:uid="{00000000-0005-0000-0000-0000BF020000}"/>
    <cellStyle name="Обычный 22 13" xfId="651" xr:uid="{00000000-0005-0000-0000-0000C0020000}"/>
    <cellStyle name="Обычный 22 14" xfId="652" xr:uid="{00000000-0005-0000-0000-0000C1020000}"/>
    <cellStyle name="Обычный 22 15" xfId="653" xr:uid="{00000000-0005-0000-0000-0000C2020000}"/>
    <cellStyle name="Обычный 22 16" xfId="654" xr:uid="{00000000-0005-0000-0000-0000C3020000}"/>
    <cellStyle name="Обычный 22 17" xfId="655" xr:uid="{00000000-0005-0000-0000-0000C4020000}"/>
    <cellStyle name="Обычный 22 18" xfId="656" xr:uid="{00000000-0005-0000-0000-0000C5020000}"/>
    <cellStyle name="Обычный 22 19" xfId="657" xr:uid="{00000000-0005-0000-0000-0000C6020000}"/>
    <cellStyle name="Обычный 22 2" xfId="658" xr:uid="{00000000-0005-0000-0000-0000C7020000}"/>
    <cellStyle name="Обычный 22 2 2" xfId="659" xr:uid="{00000000-0005-0000-0000-0000C8020000}"/>
    <cellStyle name="Обычный 22 2 3" xfId="660" xr:uid="{00000000-0005-0000-0000-0000C9020000}"/>
    <cellStyle name="Обычный 22 20" xfId="661" xr:uid="{00000000-0005-0000-0000-0000CA020000}"/>
    <cellStyle name="Обычный 22 21" xfId="662" xr:uid="{00000000-0005-0000-0000-0000CB020000}"/>
    <cellStyle name="Обычный 22 22" xfId="663" xr:uid="{00000000-0005-0000-0000-0000CC020000}"/>
    <cellStyle name="Обычный 22 23" xfId="664" xr:uid="{00000000-0005-0000-0000-0000CD020000}"/>
    <cellStyle name="Обычный 22 24" xfId="665" xr:uid="{00000000-0005-0000-0000-0000CE020000}"/>
    <cellStyle name="Обычный 22 25" xfId="666" xr:uid="{00000000-0005-0000-0000-0000CF020000}"/>
    <cellStyle name="Обычный 22 26" xfId="667" xr:uid="{00000000-0005-0000-0000-0000D0020000}"/>
    <cellStyle name="Обычный 22 27" xfId="668" xr:uid="{00000000-0005-0000-0000-0000D1020000}"/>
    <cellStyle name="Обычный 22 28" xfId="669" xr:uid="{00000000-0005-0000-0000-0000D2020000}"/>
    <cellStyle name="Обычный 22 29" xfId="670" xr:uid="{00000000-0005-0000-0000-0000D3020000}"/>
    <cellStyle name="Обычный 22 3" xfId="671" xr:uid="{00000000-0005-0000-0000-0000D4020000}"/>
    <cellStyle name="Обычный 22 30" xfId="672" xr:uid="{00000000-0005-0000-0000-0000D5020000}"/>
    <cellStyle name="Обычный 22 31" xfId="673" xr:uid="{00000000-0005-0000-0000-0000D6020000}"/>
    <cellStyle name="Обычный 22 32" xfId="674" xr:uid="{00000000-0005-0000-0000-0000D7020000}"/>
    <cellStyle name="Обычный 22 4" xfId="675" xr:uid="{00000000-0005-0000-0000-0000D8020000}"/>
    <cellStyle name="Обычный 22 5" xfId="676" xr:uid="{00000000-0005-0000-0000-0000D9020000}"/>
    <cellStyle name="Обычный 22 6" xfId="677" xr:uid="{00000000-0005-0000-0000-0000DA020000}"/>
    <cellStyle name="Обычный 22 7" xfId="678" xr:uid="{00000000-0005-0000-0000-0000DB020000}"/>
    <cellStyle name="Обычный 22 8" xfId="679" xr:uid="{00000000-0005-0000-0000-0000DC020000}"/>
    <cellStyle name="Обычный 22 9" xfId="680" xr:uid="{00000000-0005-0000-0000-0000DD020000}"/>
    <cellStyle name="Обычный 23" xfId="681" xr:uid="{00000000-0005-0000-0000-0000DE020000}"/>
    <cellStyle name="Обычный 24" xfId="682" xr:uid="{00000000-0005-0000-0000-0000DF020000}"/>
    <cellStyle name="Обычный 24 2" xfId="683" xr:uid="{00000000-0005-0000-0000-0000E0020000}"/>
    <cellStyle name="Обычный 24 3" xfId="684" xr:uid="{00000000-0005-0000-0000-0000E1020000}"/>
    <cellStyle name="Обычный 24 4" xfId="685" xr:uid="{00000000-0005-0000-0000-0000E2020000}"/>
    <cellStyle name="Обычный 25" xfId="686" xr:uid="{00000000-0005-0000-0000-0000E3020000}"/>
    <cellStyle name="Обычный 25 2" xfId="687" xr:uid="{00000000-0005-0000-0000-0000E4020000}"/>
    <cellStyle name="Обычный 256" xfId="688" xr:uid="{00000000-0005-0000-0000-0000E5020000}"/>
    <cellStyle name="Обычный 256 2" xfId="689" xr:uid="{00000000-0005-0000-0000-0000E6020000}"/>
    <cellStyle name="Обычный 26" xfId="690" xr:uid="{00000000-0005-0000-0000-0000E7020000}"/>
    <cellStyle name="Обычный 26 10" xfId="691" xr:uid="{00000000-0005-0000-0000-0000E8020000}"/>
    <cellStyle name="Обычный 26 11" xfId="692" xr:uid="{00000000-0005-0000-0000-0000E9020000}"/>
    <cellStyle name="Обычный 26 12" xfId="693" xr:uid="{00000000-0005-0000-0000-0000EA020000}"/>
    <cellStyle name="Обычный 26 13" xfId="694" xr:uid="{00000000-0005-0000-0000-0000EB020000}"/>
    <cellStyle name="Обычный 26 14" xfId="695" xr:uid="{00000000-0005-0000-0000-0000EC020000}"/>
    <cellStyle name="Обычный 26 15" xfId="696" xr:uid="{00000000-0005-0000-0000-0000ED020000}"/>
    <cellStyle name="Обычный 26 16" xfId="697" xr:uid="{00000000-0005-0000-0000-0000EE020000}"/>
    <cellStyle name="Обычный 26 17" xfId="698" xr:uid="{00000000-0005-0000-0000-0000EF020000}"/>
    <cellStyle name="Обычный 26 18" xfId="699" xr:uid="{00000000-0005-0000-0000-0000F0020000}"/>
    <cellStyle name="Обычный 26 19" xfId="700" xr:uid="{00000000-0005-0000-0000-0000F1020000}"/>
    <cellStyle name="Обычный 26 2" xfId="701" xr:uid="{00000000-0005-0000-0000-0000F2020000}"/>
    <cellStyle name="Обычный 26 20" xfId="702" xr:uid="{00000000-0005-0000-0000-0000F3020000}"/>
    <cellStyle name="Обычный 26 21" xfId="703" xr:uid="{00000000-0005-0000-0000-0000F4020000}"/>
    <cellStyle name="Обычный 26 22" xfId="704" xr:uid="{00000000-0005-0000-0000-0000F5020000}"/>
    <cellStyle name="Обычный 26 23" xfId="705" xr:uid="{00000000-0005-0000-0000-0000F6020000}"/>
    <cellStyle name="Обычный 26 24" xfId="706" xr:uid="{00000000-0005-0000-0000-0000F7020000}"/>
    <cellStyle name="Обычный 26 25" xfId="707" xr:uid="{00000000-0005-0000-0000-0000F8020000}"/>
    <cellStyle name="Обычный 26 26" xfId="708" xr:uid="{00000000-0005-0000-0000-0000F9020000}"/>
    <cellStyle name="Обычный 26 27" xfId="709" xr:uid="{00000000-0005-0000-0000-0000FA020000}"/>
    <cellStyle name="Обычный 26 28" xfId="710" xr:uid="{00000000-0005-0000-0000-0000FB020000}"/>
    <cellStyle name="Обычный 26 29" xfId="711" xr:uid="{00000000-0005-0000-0000-0000FC020000}"/>
    <cellStyle name="Обычный 26 3" xfId="712" xr:uid="{00000000-0005-0000-0000-0000FD020000}"/>
    <cellStyle name="Обычный 26 3 2" xfId="713" xr:uid="{00000000-0005-0000-0000-0000FE020000}"/>
    <cellStyle name="Обычный 26 30" xfId="714" xr:uid="{00000000-0005-0000-0000-0000FF020000}"/>
    <cellStyle name="Обычный 26 31" xfId="715" xr:uid="{00000000-0005-0000-0000-000000030000}"/>
    <cellStyle name="Обычный 26 32" xfId="716" xr:uid="{00000000-0005-0000-0000-000001030000}"/>
    <cellStyle name="Обычный 26 4" xfId="717" xr:uid="{00000000-0005-0000-0000-000002030000}"/>
    <cellStyle name="Обычный 26 5" xfId="718" xr:uid="{00000000-0005-0000-0000-000003030000}"/>
    <cellStyle name="Обычный 26 6" xfId="719" xr:uid="{00000000-0005-0000-0000-000004030000}"/>
    <cellStyle name="Обычный 26 7" xfId="720" xr:uid="{00000000-0005-0000-0000-000005030000}"/>
    <cellStyle name="Обычный 26 8" xfId="721" xr:uid="{00000000-0005-0000-0000-000006030000}"/>
    <cellStyle name="Обычный 26 9" xfId="722" xr:uid="{00000000-0005-0000-0000-000007030000}"/>
    <cellStyle name="Обычный 27" xfId="723" xr:uid="{00000000-0005-0000-0000-000008030000}"/>
    <cellStyle name="Обычный 27 2" xfId="724" xr:uid="{00000000-0005-0000-0000-000009030000}"/>
    <cellStyle name="Обычный 28" xfId="725" xr:uid="{00000000-0005-0000-0000-00000A030000}"/>
    <cellStyle name="Обычный 29" xfId="726" xr:uid="{00000000-0005-0000-0000-00000B030000}"/>
    <cellStyle name="Обычный 3" xfId="6" xr:uid="{00000000-0005-0000-0000-00000C030000}"/>
    <cellStyle name="Обычный 3 2" xfId="727" xr:uid="{00000000-0005-0000-0000-00000D030000}"/>
    <cellStyle name="Обычный 3 2 2" xfId="728" xr:uid="{00000000-0005-0000-0000-00000E030000}"/>
    <cellStyle name="Обычный 3 2 2 2" xfId="729" xr:uid="{00000000-0005-0000-0000-00000F030000}"/>
    <cellStyle name="Обычный 3 2 3" xfId="730" xr:uid="{00000000-0005-0000-0000-000010030000}"/>
    <cellStyle name="Обычный 3 2 4" xfId="731" xr:uid="{00000000-0005-0000-0000-000011030000}"/>
    <cellStyle name="Обычный 3 3" xfId="732" xr:uid="{00000000-0005-0000-0000-000012030000}"/>
    <cellStyle name="Обычный 3 3 2" xfId="733" xr:uid="{00000000-0005-0000-0000-000013030000}"/>
    <cellStyle name="Обычный 3 3 2 2" xfId="734" xr:uid="{00000000-0005-0000-0000-000014030000}"/>
    <cellStyle name="Обычный 3 3 3" xfId="735" xr:uid="{00000000-0005-0000-0000-000015030000}"/>
    <cellStyle name="Обычный 3 4" xfId="736" xr:uid="{00000000-0005-0000-0000-000016030000}"/>
    <cellStyle name="Обычный 3 5" xfId="737" xr:uid="{00000000-0005-0000-0000-000017030000}"/>
    <cellStyle name="Обычный 3 5 2" xfId="738" xr:uid="{00000000-0005-0000-0000-000018030000}"/>
    <cellStyle name="Обычный 3 6" xfId="739" xr:uid="{00000000-0005-0000-0000-000019030000}"/>
    <cellStyle name="Обычный 3 7" xfId="740" xr:uid="{00000000-0005-0000-0000-00001A030000}"/>
    <cellStyle name="Обычный 3 8" xfId="10" xr:uid="{00000000-0005-0000-0000-00001B030000}"/>
    <cellStyle name="Обычный 30" xfId="741" xr:uid="{00000000-0005-0000-0000-00001C030000}"/>
    <cellStyle name="Обычный 30 2" xfId="742" xr:uid="{00000000-0005-0000-0000-00001D030000}"/>
    <cellStyle name="Обычный 31" xfId="743" xr:uid="{00000000-0005-0000-0000-00001E030000}"/>
    <cellStyle name="Обычный 31 2" xfId="744" xr:uid="{00000000-0005-0000-0000-00001F030000}"/>
    <cellStyle name="Обычный 32" xfId="745" xr:uid="{00000000-0005-0000-0000-000020030000}"/>
    <cellStyle name="Обычный 32 2" xfId="746" xr:uid="{00000000-0005-0000-0000-000021030000}"/>
    <cellStyle name="Обычный 33" xfId="747" xr:uid="{00000000-0005-0000-0000-000022030000}"/>
    <cellStyle name="Обычный 33 2" xfId="748" xr:uid="{00000000-0005-0000-0000-000023030000}"/>
    <cellStyle name="Обычный 34" xfId="749" xr:uid="{00000000-0005-0000-0000-000024030000}"/>
    <cellStyle name="Обычный 34 2" xfId="750" xr:uid="{00000000-0005-0000-0000-000025030000}"/>
    <cellStyle name="Обычный 35" xfId="751" xr:uid="{00000000-0005-0000-0000-000026030000}"/>
    <cellStyle name="Обычный 35 10" xfId="752" xr:uid="{00000000-0005-0000-0000-000027030000}"/>
    <cellStyle name="Обычный 35 11" xfId="753" xr:uid="{00000000-0005-0000-0000-000028030000}"/>
    <cellStyle name="Обычный 35 12" xfId="754" xr:uid="{00000000-0005-0000-0000-000029030000}"/>
    <cellStyle name="Обычный 35 13" xfId="755" xr:uid="{00000000-0005-0000-0000-00002A030000}"/>
    <cellStyle name="Обычный 35 14" xfId="756" xr:uid="{00000000-0005-0000-0000-00002B030000}"/>
    <cellStyle name="Обычный 35 15" xfId="757" xr:uid="{00000000-0005-0000-0000-00002C030000}"/>
    <cellStyle name="Обычный 35 16" xfId="758" xr:uid="{00000000-0005-0000-0000-00002D030000}"/>
    <cellStyle name="Обычный 35 17" xfId="759" xr:uid="{00000000-0005-0000-0000-00002E030000}"/>
    <cellStyle name="Обычный 35 18" xfId="760" xr:uid="{00000000-0005-0000-0000-00002F030000}"/>
    <cellStyle name="Обычный 35 19" xfId="761" xr:uid="{00000000-0005-0000-0000-000030030000}"/>
    <cellStyle name="Обычный 35 2" xfId="762" xr:uid="{00000000-0005-0000-0000-000031030000}"/>
    <cellStyle name="Обычный 35 2 2" xfId="763" xr:uid="{00000000-0005-0000-0000-000032030000}"/>
    <cellStyle name="Обычный 35 20" xfId="764" xr:uid="{00000000-0005-0000-0000-000033030000}"/>
    <cellStyle name="Обычный 35 21" xfId="765" xr:uid="{00000000-0005-0000-0000-000034030000}"/>
    <cellStyle name="Обычный 35 22" xfId="766" xr:uid="{00000000-0005-0000-0000-000035030000}"/>
    <cellStyle name="Обычный 35 23" xfId="767" xr:uid="{00000000-0005-0000-0000-000036030000}"/>
    <cellStyle name="Обычный 35 24" xfId="768" xr:uid="{00000000-0005-0000-0000-000037030000}"/>
    <cellStyle name="Обычный 35 25" xfId="769" xr:uid="{00000000-0005-0000-0000-000038030000}"/>
    <cellStyle name="Обычный 35 26" xfId="770" xr:uid="{00000000-0005-0000-0000-000039030000}"/>
    <cellStyle name="Обычный 35 27" xfId="771" xr:uid="{00000000-0005-0000-0000-00003A030000}"/>
    <cellStyle name="Обычный 35 28" xfId="772" xr:uid="{00000000-0005-0000-0000-00003B030000}"/>
    <cellStyle name="Обычный 35 29" xfId="773" xr:uid="{00000000-0005-0000-0000-00003C030000}"/>
    <cellStyle name="Обычный 35 3" xfId="774" xr:uid="{00000000-0005-0000-0000-00003D030000}"/>
    <cellStyle name="Обычный 35 30" xfId="775" xr:uid="{00000000-0005-0000-0000-00003E030000}"/>
    <cellStyle name="Обычный 35 31" xfId="776" xr:uid="{00000000-0005-0000-0000-00003F030000}"/>
    <cellStyle name="Обычный 35 4" xfId="777" xr:uid="{00000000-0005-0000-0000-000040030000}"/>
    <cellStyle name="Обычный 35 5" xfId="778" xr:uid="{00000000-0005-0000-0000-000041030000}"/>
    <cellStyle name="Обычный 35 6" xfId="779" xr:uid="{00000000-0005-0000-0000-000042030000}"/>
    <cellStyle name="Обычный 35 7" xfId="780" xr:uid="{00000000-0005-0000-0000-000043030000}"/>
    <cellStyle name="Обычный 35 8" xfId="781" xr:uid="{00000000-0005-0000-0000-000044030000}"/>
    <cellStyle name="Обычный 35 9" xfId="782" xr:uid="{00000000-0005-0000-0000-000045030000}"/>
    <cellStyle name="Обычный 36" xfId="783" xr:uid="{00000000-0005-0000-0000-000046030000}"/>
    <cellStyle name="Обычный 36 2" xfId="784" xr:uid="{00000000-0005-0000-0000-000047030000}"/>
    <cellStyle name="Обычный 37" xfId="785" xr:uid="{00000000-0005-0000-0000-000048030000}"/>
    <cellStyle name="Обычный 37 2" xfId="786" xr:uid="{00000000-0005-0000-0000-000049030000}"/>
    <cellStyle name="Обычный 38" xfId="787" xr:uid="{00000000-0005-0000-0000-00004A030000}"/>
    <cellStyle name="Обычный 38 2" xfId="788" xr:uid="{00000000-0005-0000-0000-00004B030000}"/>
    <cellStyle name="Обычный 39" xfId="789" xr:uid="{00000000-0005-0000-0000-00004C030000}"/>
    <cellStyle name="Обычный 39 2" xfId="790" xr:uid="{00000000-0005-0000-0000-00004D030000}"/>
    <cellStyle name="Обычный 4" xfId="7" xr:uid="{00000000-0005-0000-0000-00004E030000}"/>
    <cellStyle name="Обычный 4 2" xfId="5" xr:uid="{00000000-0005-0000-0000-00004F030000}"/>
    <cellStyle name="Обычный 4 2 2" xfId="791" xr:uid="{00000000-0005-0000-0000-000050030000}"/>
    <cellStyle name="Обычный 4 2 3" xfId="792" xr:uid="{00000000-0005-0000-0000-000051030000}"/>
    <cellStyle name="Обычный 4 3" xfId="793" xr:uid="{00000000-0005-0000-0000-000052030000}"/>
    <cellStyle name="Обычный 4 3 2" xfId="794" xr:uid="{00000000-0005-0000-0000-000053030000}"/>
    <cellStyle name="Обычный 4 4" xfId="795" xr:uid="{00000000-0005-0000-0000-000054030000}"/>
    <cellStyle name="Обычный 4 4 2" xfId="796" xr:uid="{00000000-0005-0000-0000-000055030000}"/>
    <cellStyle name="Обычный 4 5" xfId="797" xr:uid="{00000000-0005-0000-0000-000056030000}"/>
    <cellStyle name="Обычный 40" xfId="798" xr:uid="{00000000-0005-0000-0000-000057030000}"/>
    <cellStyle name="Обычный 40 10" xfId="799" xr:uid="{00000000-0005-0000-0000-000058030000}"/>
    <cellStyle name="Обычный 40 11" xfId="800" xr:uid="{00000000-0005-0000-0000-000059030000}"/>
    <cellStyle name="Обычный 40 12" xfId="801" xr:uid="{00000000-0005-0000-0000-00005A030000}"/>
    <cellStyle name="Обычный 40 13" xfId="802" xr:uid="{00000000-0005-0000-0000-00005B030000}"/>
    <cellStyle name="Обычный 40 14" xfId="803" xr:uid="{00000000-0005-0000-0000-00005C030000}"/>
    <cellStyle name="Обычный 40 15" xfId="804" xr:uid="{00000000-0005-0000-0000-00005D030000}"/>
    <cellStyle name="Обычный 40 16" xfId="805" xr:uid="{00000000-0005-0000-0000-00005E030000}"/>
    <cellStyle name="Обычный 40 17" xfId="806" xr:uid="{00000000-0005-0000-0000-00005F030000}"/>
    <cellStyle name="Обычный 40 18" xfId="807" xr:uid="{00000000-0005-0000-0000-000060030000}"/>
    <cellStyle name="Обычный 40 19" xfId="808" xr:uid="{00000000-0005-0000-0000-000061030000}"/>
    <cellStyle name="Обычный 40 2" xfId="809" xr:uid="{00000000-0005-0000-0000-000062030000}"/>
    <cellStyle name="Обычный 40 2 2" xfId="810" xr:uid="{00000000-0005-0000-0000-000063030000}"/>
    <cellStyle name="Обычный 40 20" xfId="811" xr:uid="{00000000-0005-0000-0000-000064030000}"/>
    <cellStyle name="Обычный 40 21" xfId="812" xr:uid="{00000000-0005-0000-0000-000065030000}"/>
    <cellStyle name="Обычный 40 22" xfId="813" xr:uid="{00000000-0005-0000-0000-000066030000}"/>
    <cellStyle name="Обычный 40 23" xfId="814" xr:uid="{00000000-0005-0000-0000-000067030000}"/>
    <cellStyle name="Обычный 40 24" xfId="815" xr:uid="{00000000-0005-0000-0000-000068030000}"/>
    <cellStyle name="Обычный 40 25" xfId="816" xr:uid="{00000000-0005-0000-0000-000069030000}"/>
    <cellStyle name="Обычный 40 26" xfId="817" xr:uid="{00000000-0005-0000-0000-00006A030000}"/>
    <cellStyle name="Обычный 40 27" xfId="818" xr:uid="{00000000-0005-0000-0000-00006B030000}"/>
    <cellStyle name="Обычный 40 28" xfId="819" xr:uid="{00000000-0005-0000-0000-00006C030000}"/>
    <cellStyle name="Обычный 40 29" xfId="820" xr:uid="{00000000-0005-0000-0000-00006D030000}"/>
    <cellStyle name="Обычный 40 3" xfId="821" xr:uid="{00000000-0005-0000-0000-00006E030000}"/>
    <cellStyle name="Обычный 40 30" xfId="822" xr:uid="{00000000-0005-0000-0000-00006F030000}"/>
    <cellStyle name="Обычный 40 31" xfId="823" xr:uid="{00000000-0005-0000-0000-000070030000}"/>
    <cellStyle name="Обычный 40 32" xfId="824" xr:uid="{00000000-0005-0000-0000-000071030000}"/>
    <cellStyle name="Обычный 40 4" xfId="825" xr:uid="{00000000-0005-0000-0000-000072030000}"/>
    <cellStyle name="Обычный 40 5" xfId="826" xr:uid="{00000000-0005-0000-0000-000073030000}"/>
    <cellStyle name="Обычный 40 6" xfId="827" xr:uid="{00000000-0005-0000-0000-000074030000}"/>
    <cellStyle name="Обычный 40 7" xfId="828" xr:uid="{00000000-0005-0000-0000-000075030000}"/>
    <cellStyle name="Обычный 40 8" xfId="829" xr:uid="{00000000-0005-0000-0000-000076030000}"/>
    <cellStyle name="Обычный 40 9" xfId="830" xr:uid="{00000000-0005-0000-0000-000077030000}"/>
    <cellStyle name="Обычный 41" xfId="831" xr:uid="{00000000-0005-0000-0000-000078030000}"/>
    <cellStyle name="Обычный 41 10" xfId="832" xr:uid="{00000000-0005-0000-0000-000079030000}"/>
    <cellStyle name="Обычный 41 11" xfId="833" xr:uid="{00000000-0005-0000-0000-00007A030000}"/>
    <cellStyle name="Обычный 41 12" xfId="834" xr:uid="{00000000-0005-0000-0000-00007B030000}"/>
    <cellStyle name="Обычный 41 13" xfId="835" xr:uid="{00000000-0005-0000-0000-00007C030000}"/>
    <cellStyle name="Обычный 41 14" xfId="836" xr:uid="{00000000-0005-0000-0000-00007D030000}"/>
    <cellStyle name="Обычный 41 15" xfId="837" xr:uid="{00000000-0005-0000-0000-00007E030000}"/>
    <cellStyle name="Обычный 41 16" xfId="838" xr:uid="{00000000-0005-0000-0000-00007F030000}"/>
    <cellStyle name="Обычный 41 17" xfId="839" xr:uid="{00000000-0005-0000-0000-000080030000}"/>
    <cellStyle name="Обычный 41 18" xfId="840" xr:uid="{00000000-0005-0000-0000-000081030000}"/>
    <cellStyle name="Обычный 41 19" xfId="841" xr:uid="{00000000-0005-0000-0000-000082030000}"/>
    <cellStyle name="Обычный 41 2" xfId="842" xr:uid="{00000000-0005-0000-0000-000083030000}"/>
    <cellStyle name="Обычный 41 2 2" xfId="843" xr:uid="{00000000-0005-0000-0000-000084030000}"/>
    <cellStyle name="Обычный 41 20" xfId="844" xr:uid="{00000000-0005-0000-0000-000085030000}"/>
    <cellStyle name="Обычный 41 21" xfId="845" xr:uid="{00000000-0005-0000-0000-000086030000}"/>
    <cellStyle name="Обычный 41 22" xfId="846" xr:uid="{00000000-0005-0000-0000-000087030000}"/>
    <cellStyle name="Обычный 41 23" xfId="847" xr:uid="{00000000-0005-0000-0000-000088030000}"/>
    <cellStyle name="Обычный 41 24" xfId="848" xr:uid="{00000000-0005-0000-0000-000089030000}"/>
    <cellStyle name="Обычный 41 25" xfId="849" xr:uid="{00000000-0005-0000-0000-00008A030000}"/>
    <cellStyle name="Обычный 41 26" xfId="850" xr:uid="{00000000-0005-0000-0000-00008B030000}"/>
    <cellStyle name="Обычный 41 27" xfId="851" xr:uid="{00000000-0005-0000-0000-00008C030000}"/>
    <cellStyle name="Обычный 41 28" xfId="852" xr:uid="{00000000-0005-0000-0000-00008D030000}"/>
    <cellStyle name="Обычный 41 29" xfId="853" xr:uid="{00000000-0005-0000-0000-00008E030000}"/>
    <cellStyle name="Обычный 41 3" xfId="854" xr:uid="{00000000-0005-0000-0000-00008F030000}"/>
    <cellStyle name="Обычный 41 30" xfId="855" xr:uid="{00000000-0005-0000-0000-000090030000}"/>
    <cellStyle name="Обычный 41 31" xfId="856" xr:uid="{00000000-0005-0000-0000-000091030000}"/>
    <cellStyle name="Обычный 41 32" xfId="857" xr:uid="{00000000-0005-0000-0000-000092030000}"/>
    <cellStyle name="Обычный 41 4" xfId="858" xr:uid="{00000000-0005-0000-0000-000093030000}"/>
    <cellStyle name="Обычный 41 5" xfId="859" xr:uid="{00000000-0005-0000-0000-000094030000}"/>
    <cellStyle name="Обычный 41 6" xfId="860" xr:uid="{00000000-0005-0000-0000-000095030000}"/>
    <cellStyle name="Обычный 41 7" xfId="861" xr:uid="{00000000-0005-0000-0000-000096030000}"/>
    <cellStyle name="Обычный 41 8" xfId="862" xr:uid="{00000000-0005-0000-0000-000097030000}"/>
    <cellStyle name="Обычный 41 9" xfId="863" xr:uid="{00000000-0005-0000-0000-000098030000}"/>
    <cellStyle name="Обычный 42" xfId="864" xr:uid="{00000000-0005-0000-0000-000099030000}"/>
    <cellStyle name="Обычный 43" xfId="865" xr:uid="{00000000-0005-0000-0000-00009A030000}"/>
    <cellStyle name="Обычный 44" xfId="866" xr:uid="{00000000-0005-0000-0000-00009B030000}"/>
    <cellStyle name="Обычный 45" xfId="867" xr:uid="{00000000-0005-0000-0000-00009C030000}"/>
    <cellStyle name="Обычный 46" xfId="868" xr:uid="{00000000-0005-0000-0000-00009D030000}"/>
    <cellStyle name="Обычный 47" xfId="869" xr:uid="{00000000-0005-0000-0000-00009E030000}"/>
    <cellStyle name="Обычный 47 2" xfId="870" xr:uid="{00000000-0005-0000-0000-00009F030000}"/>
    <cellStyle name="Обычный 47 3" xfId="871" xr:uid="{00000000-0005-0000-0000-0000A0030000}"/>
    <cellStyle name="Обычный 47 4" xfId="872" xr:uid="{00000000-0005-0000-0000-0000A1030000}"/>
    <cellStyle name="Обычный 47 5" xfId="873" xr:uid="{00000000-0005-0000-0000-0000A2030000}"/>
    <cellStyle name="Обычный 47 6" xfId="874" xr:uid="{00000000-0005-0000-0000-0000A3030000}"/>
    <cellStyle name="Обычный 47 7" xfId="875" xr:uid="{00000000-0005-0000-0000-0000A4030000}"/>
    <cellStyle name="Обычный 48" xfId="876" xr:uid="{00000000-0005-0000-0000-0000A5030000}"/>
    <cellStyle name="Обычный 48 2" xfId="877" xr:uid="{00000000-0005-0000-0000-0000A6030000}"/>
    <cellStyle name="Обычный 48 3" xfId="878" xr:uid="{00000000-0005-0000-0000-0000A7030000}"/>
    <cellStyle name="Обычный 49" xfId="879" xr:uid="{00000000-0005-0000-0000-0000A8030000}"/>
    <cellStyle name="Обычный 5" xfId="880" xr:uid="{00000000-0005-0000-0000-0000A9030000}"/>
    <cellStyle name="Обычный 5 2" xfId="881" xr:uid="{00000000-0005-0000-0000-0000AA030000}"/>
    <cellStyle name="Обычный 5 2 2" xfId="882" xr:uid="{00000000-0005-0000-0000-0000AB030000}"/>
    <cellStyle name="Обычный 5 2 2 2" xfId="883" xr:uid="{00000000-0005-0000-0000-0000AC030000}"/>
    <cellStyle name="Обычный 5 2 3" xfId="884" xr:uid="{00000000-0005-0000-0000-0000AD030000}"/>
    <cellStyle name="Обычный 5 3" xfId="885" xr:uid="{00000000-0005-0000-0000-0000AE030000}"/>
    <cellStyle name="Обычный 5 3 2" xfId="886" xr:uid="{00000000-0005-0000-0000-0000AF030000}"/>
    <cellStyle name="Обычный 5 3 2 2" xfId="887" xr:uid="{00000000-0005-0000-0000-0000B0030000}"/>
    <cellStyle name="Обычный 5 3 3" xfId="888" xr:uid="{00000000-0005-0000-0000-0000B1030000}"/>
    <cellStyle name="Обычный 5 3 4" xfId="889" xr:uid="{00000000-0005-0000-0000-0000B2030000}"/>
    <cellStyle name="Обычный 5 4" xfId="890" xr:uid="{00000000-0005-0000-0000-0000B3030000}"/>
    <cellStyle name="Обычный 5 4 2" xfId="891" xr:uid="{00000000-0005-0000-0000-0000B4030000}"/>
    <cellStyle name="Обычный 5 5" xfId="892" xr:uid="{00000000-0005-0000-0000-0000B5030000}"/>
    <cellStyle name="Обычный 5 5 2" xfId="893" xr:uid="{00000000-0005-0000-0000-0000B6030000}"/>
    <cellStyle name="Обычный 5 6" xfId="894" xr:uid="{00000000-0005-0000-0000-0000B7030000}"/>
    <cellStyle name="Обычный 5 6 2" xfId="895" xr:uid="{00000000-0005-0000-0000-0000B8030000}"/>
    <cellStyle name="Обычный 5 7" xfId="896" xr:uid="{00000000-0005-0000-0000-0000B9030000}"/>
    <cellStyle name="Обычный 5 7 2" xfId="897" xr:uid="{00000000-0005-0000-0000-0000BA030000}"/>
    <cellStyle name="Обычный 5 8" xfId="898" xr:uid="{00000000-0005-0000-0000-0000BB030000}"/>
    <cellStyle name="Обычный 5 8 2" xfId="899" xr:uid="{00000000-0005-0000-0000-0000BC030000}"/>
    <cellStyle name="Обычный 50" xfId="900" xr:uid="{00000000-0005-0000-0000-0000BD030000}"/>
    <cellStyle name="Обычный 51" xfId="901" xr:uid="{00000000-0005-0000-0000-0000BE030000}"/>
    <cellStyle name="Обычный 52" xfId="902" xr:uid="{00000000-0005-0000-0000-0000BF030000}"/>
    <cellStyle name="Обычный 53" xfId="903" xr:uid="{00000000-0005-0000-0000-0000C0030000}"/>
    <cellStyle name="Обычный 54" xfId="904" xr:uid="{00000000-0005-0000-0000-0000C1030000}"/>
    <cellStyle name="Обычный 55" xfId="905" xr:uid="{00000000-0005-0000-0000-0000C2030000}"/>
    <cellStyle name="Обычный 56" xfId="906" xr:uid="{00000000-0005-0000-0000-0000C3030000}"/>
    <cellStyle name="Обычный 57" xfId="907" xr:uid="{00000000-0005-0000-0000-0000C4030000}"/>
    <cellStyle name="Обычный 58" xfId="908" xr:uid="{00000000-0005-0000-0000-0000C5030000}"/>
    <cellStyle name="Обычный 59" xfId="909" xr:uid="{00000000-0005-0000-0000-0000C6030000}"/>
    <cellStyle name="Обычный 6" xfId="910" xr:uid="{00000000-0005-0000-0000-0000C7030000}"/>
    <cellStyle name="Обычный 6 2" xfId="911" xr:uid="{00000000-0005-0000-0000-0000C8030000}"/>
    <cellStyle name="Обычный 6 2 2" xfId="912" xr:uid="{00000000-0005-0000-0000-0000C9030000}"/>
    <cellStyle name="Обычный 6 2 3" xfId="913" xr:uid="{00000000-0005-0000-0000-0000CA030000}"/>
    <cellStyle name="Обычный 6 3" xfId="914" xr:uid="{00000000-0005-0000-0000-0000CB030000}"/>
    <cellStyle name="Обычный 6 3 2" xfId="915" xr:uid="{00000000-0005-0000-0000-0000CC030000}"/>
    <cellStyle name="Обычный 6 4" xfId="916" xr:uid="{00000000-0005-0000-0000-0000CD030000}"/>
    <cellStyle name="Обычный 6 5" xfId="917" xr:uid="{00000000-0005-0000-0000-0000CE030000}"/>
    <cellStyle name="Обычный 6 6" xfId="918" xr:uid="{00000000-0005-0000-0000-0000CF030000}"/>
    <cellStyle name="Обычный 60" xfId="919" xr:uid="{00000000-0005-0000-0000-0000D0030000}"/>
    <cellStyle name="Обычный 61" xfId="920" xr:uid="{00000000-0005-0000-0000-0000D1030000}"/>
    <cellStyle name="Обычный 62" xfId="921" xr:uid="{00000000-0005-0000-0000-0000D2030000}"/>
    <cellStyle name="Обычный 63" xfId="922" xr:uid="{00000000-0005-0000-0000-0000D3030000}"/>
    <cellStyle name="Обычный 64" xfId="923" xr:uid="{00000000-0005-0000-0000-0000D4030000}"/>
    <cellStyle name="Обычный 65" xfId="924" xr:uid="{00000000-0005-0000-0000-0000D5030000}"/>
    <cellStyle name="Обычный 65 2" xfId="925" xr:uid="{00000000-0005-0000-0000-0000D6030000}"/>
    <cellStyle name="Обычный 66" xfId="926" xr:uid="{00000000-0005-0000-0000-0000D7030000}"/>
    <cellStyle name="Обычный 66 2" xfId="927" xr:uid="{00000000-0005-0000-0000-0000D8030000}"/>
    <cellStyle name="Обычный 66 3" xfId="928" xr:uid="{00000000-0005-0000-0000-0000D9030000}"/>
    <cellStyle name="Обычный 67" xfId="929" xr:uid="{00000000-0005-0000-0000-0000DA030000}"/>
    <cellStyle name="Обычный 68" xfId="930" xr:uid="{00000000-0005-0000-0000-0000DB030000}"/>
    <cellStyle name="Обычный 69" xfId="931" xr:uid="{00000000-0005-0000-0000-0000DC030000}"/>
    <cellStyle name="Обычный 7" xfId="932" xr:uid="{00000000-0005-0000-0000-0000DD030000}"/>
    <cellStyle name="Обычный 7 2" xfId="933" xr:uid="{00000000-0005-0000-0000-0000DE030000}"/>
    <cellStyle name="Обычный 7 2 2" xfId="934" xr:uid="{00000000-0005-0000-0000-0000DF030000}"/>
    <cellStyle name="Обычный 7 2 3" xfId="935" xr:uid="{00000000-0005-0000-0000-0000E0030000}"/>
    <cellStyle name="Обычный 7 3" xfId="936" xr:uid="{00000000-0005-0000-0000-0000E1030000}"/>
    <cellStyle name="Обычный 7 3 2" xfId="937" xr:uid="{00000000-0005-0000-0000-0000E2030000}"/>
    <cellStyle name="Обычный 7 4" xfId="938" xr:uid="{00000000-0005-0000-0000-0000E3030000}"/>
    <cellStyle name="Обычный 7 4 2" xfId="939" xr:uid="{00000000-0005-0000-0000-0000E4030000}"/>
    <cellStyle name="Обычный 7 5" xfId="940" xr:uid="{00000000-0005-0000-0000-0000E5030000}"/>
    <cellStyle name="Обычный 70" xfId="941" xr:uid="{00000000-0005-0000-0000-0000E6030000}"/>
    <cellStyle name="Обычный 71" xfId="942" xr:uid="{00000000-0005-0000-0000-0000E7030000}"/>
    <cellStyle name="Обычный 72" xfId="943" xr:uid="{00000000-0005-0000-0000-0000E8030000}"/>
    <cellStyle name="Обычный 73" xfId="944" xr:uid="{00000000-0005-0000-0000-0000E9030000}"/>
    <cellStyle name="Обычный 73 2" xfId="945" xr:uid="{00000000-0005-0000-0000-0000EA030000}"/>
    <cellStyle name="Обычный 73 3" xfId="946" xr:uid="{00000000-0005-0000-0000-0000EB030000}"/>
    <cellStyle name="Обычный 73 4" xfId="947" xr:uid="{00000000-0005-0000-0000-0000EC030000}"/>
    <cellStyle name="Обычный 74" xfId="948" xr:uid="{00000000-0005-0000-0000-0000ED030000}"/>
    <cellStyle name="Обычный 75" xfId="949" xr:uid="{00000000-0005-0000-0000-0000EE030000}"/>
    <cellStyle name="Обычный 75 2" xfId="950" xr:uid="{00000000-0005-0000-0000-0000EF030000}"/>
    <cellStyle name="Обычный 76" xfId="951" xr:uid="{00000000-0005-0000-0000-0000F0030000}"/>
    <cellStyle name="Обычный 77" xfId="952" xr:uid="{00000000-0005-0000-0000-0000F1030000}"/>
    <cellStyle name="Обычный 78" xfId="953" xr:uid="{00000000-0005-0000-0000-0000F2030000}"/>
    <cellStyle name="Обычный 78 2" xfId="954" xr:uid="{00000000-0005-0000-0000-0000F3030000}"/>
    <cellStyle name="Обычный 78 3" xfId="955" xr:uid="{00000000-0005-0000-0000-0000F4030000}"/>
    <cellStyle name="Обычный 79" xfId="956" xr:uid="{00000000-0005-0000-0000-0000F5030000}"/>
    <cellStyle name="Обычный 8" xfId="957" xr:uid="{00000000-0005-0000-0000-0000F6030000}"/>
    <cellStyle name="Обычный 8 2" xfId="958" xr:uid="{00000000-0005-0000-0000-0000F7030000}"/>
    <cellStyle name="Обычный 8 2 2" xfId="959" xr:uid="{00000000-0005-0000-0000-0000F8030000}"/>
    <cellStyle name="Обычный 8 2 3" xfId="960" xr:uid="{00000000-0005-0000-0000-0000F9030000}"/>
    <cellStyle name="Обычный 8 3" xfId="961" xr:uid="{00000000-0005-0000-0000-0000FA030000}"/>
    <cellStyle name="Обычный 8 3 2" xfId="962" xr:uid="{00000000-0005-0000-0000-0000FB030000}"/>
    <cellStyle name="Обычный 8 4" xfId="963" xr:uid="{00000000-0005-0000-0000-0000FC030000}"/>
    <cellStyle name="Обычный 8 5" xfId="964" xr:uid="{00000000-0005-0000-0000-0000FD030000}"/>
    <cellStyle name="Обычный 8 6" xfId="965" xr:uid="{00000000-0005-0000-0000-0000FE030000}"/>
    <cellStyle name="Обычный 80" xfId="966" xr:uid="{00000000-0005-0000-0000-0000FF030000}"/>
    <cellStyle name="Обычный 81" xfId="967" xr:uid="{00000000-0005-0000-0000-000000040000}"/>
    <cellStyle name="Обычный 82" xfId="968" xr:uid="{00000000-0005-0000-0000-000001040000}"/>
    <cellStyle name="Обычный 83" xfId="969" xr:uid="{00000000-0005-0000-0000-000002040000}"/>
    <cellStyle name="Обычный 84" xfId="970" xr:uid="{00000000-0005-0000-0000-000003040000}"/>
    <cellStyle name="Обычный 85" xfId="971" xr:uid="{00000000-0005-0000-0000-000004040000}"/>
    <cellStyle name="Обычный 86" xfId="972" xr:uid="{00000000-0005-0000-0000-000005040000}"/>
    <cellStyle name="Обычный 87" xfId="973" xr:uid="{00000000-0005-0000-0000-000006040000}"/>
    <cellStyle name="Обычный 87 2" xfId="974" xr:uid="{00000000-0005-0000-0000-000007040000}"/>
    <cellStyle name="Обычный 87 3" xfId="975" xr:uid="{00000000-0005-0000-0000-000008040000}"/>
    <cellStyle name="Обычный 88" xfId="976" xr:uid="{00000000-0005-0000-0000-000009040000}"/>
    <cellStyle name="Обычный 88 2" xfId="977" xr:uid="{00000000-0005-0000-0000-00000A040000}"/>
    <cellStyle name="Обычный 88 3" xfId="978" xr:uid="{00000000-0005-0000-0000-00000B040000}"/>
    <cellStyle name="Обычный 89" xfId="979" xr:uid="{00000000-0005-0000-0000-00000C040000}"/>
    <cellStyle name="Обычный 9" xfId="980" xr:uid="{00000000-0005-0000-0000-00000D040000}"/>
    <cellStyle name="Обычный 9 2" xfId="981" xr:uid="{00000000-0005-0000-0000-00000E040000}"/>
    <cellStyle name="Обычный 9 2 2" xfId="982" xr:uid="{00000000-0005-0000-0000-00000F040000}"/>
    <cellStyle name="Обычный 9 2 3" xfId="983" xr:uid="{00000000-0005-0000-0000-000010040000}"/>
    <cellStyle name="Обычный 9 3" xfId="984" xr:uid="{00000000-0005-0000-0000-000011040000}"/>
    <cellStyle name="Обычный 9 3 2" xfId="985" xr:uid="{00000000-0005-0000-0000-000012040000}"/>
    <cellStyle name="Обычный 9 4" xfId="986" xr:uid="{00000000-0005-0000-0000-000013040000}"/>
    <cellStyle name="Обычный 90" xfId="987" xr:uid="{00000000-0005-0000-0000-000014040000}"/>
    <cellStyle name="Обычный 90 2" xfId="988" xr:uid="{00000000-0005-0000-0000-000015040000}"/>
    <cellStyle name="Обычный 91" xfId="989" xr:uid="{00000000-0005-0000-0000-000016040000}"/>
    <cellStyle name="Обычный 92" xfId="990" xr:uid="{00000000-0005-0000-0000-000017040000}"/>
    <cellStyle name="Обычный 92 2" xfId="991" xr:uid="{00000000-0005-0000-0000-000018040000}"/>
    <cellStyle name="Обычный 93" xfId="992" xr:uid="{00000000-0005-0000-0000-000019040000}"/>
    <cellStyle name="Обычный 93 2" xfId="993" xr:uid="{00000000-0005-0000-0000-00001A040000}"/>
    <cellStyle name="Обычный 93 3" xfId="994" xr:uid="{00000000-0005-0000-0000-00001B040000}"/>
    <cellStyle name="Обычный 94" xfId="995" xr:uid="{00000000-0005-0000-0000-00001C040000}"/>
    <cellStyle name="Обычный 94 2" xfId="996" xr:uid="{00000000-0005-0000-0000-00001D040000}"/>
    <cellStyle name="Обычный 94 3" xfId="997" xr:uid="{00000000-0005-0000-0000-00001E040000}"/>
    <cellStyle name="Обычный 95" xfId="998" xr:uid="{00000000-0005-0000-0000-00001F040000}"/>
    <cellStyle name="Обычный 95 2" xfId="999" xr:uid="{00000000-0005-0000-0000-000020040000}"/>
    <cellStyle name="Обычный 96" xfId="1000" xr:uid="{00000000-0005-0000-0000-000021040000}"/>
    <cellStyle name="Обычный 97" xfId="1001" xr:uid="{00000000-0005-0000-0000-000022040000}"/>
    <cellStyle name="Обычный 97 2" xfId="1002" xr:uid="{00000000-0005-0000-0000-000023040000}"/>
    <cellStyle name="Обычный 98" xfId="1003" xr:uid="{00000000-0005-0000-0000-000024040000}"/>
    <cellStyle name="Обычный 99" xfId="1004" xr:uid="{00000000-0005-0000-0000-000025040000}"/>
    <cellStyle name="Обычный 99 2" xfId="1005" xr:uid="{00000000-0005-0000-0000-000026040000}"/>
    <cellStyle name="Обычный 99 2 2" xfId="1006" xr:uid="{00000000-0005-0000-0000-000027040000}"/>
    <cellStyle name="Обычный_Книга3" xfId="2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279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.sharipov.MKBUZ\Downloads\crs005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.sharipov.MKBUZ\Downloads\crs005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4">
          <cell r="C24">
            <v>8539798556</v>
          </cell>
        </row>
        <row r="45">
          <cell r="C45">
            <v>10282915665</v>
          </cell>
        </row>
        <row r="76">
          <cell r="C76">
            <v>100028858</v>
          </cell>
        </row>
        <row r="77">
          <cell r="C77">
            <v>1738289532</v>
          </cell>
        </row>
      </sheetData>
      <sheetData sheetId="1"/>
      <sheetData sheetId="2">
        <row r="21">
          <cell r="C21">
            <v>2.3646901308376709</v>
          </cell>
          <cell r="D21">
            <v>1.8285310571509492</v>
          </cell>
          <cell r="E21">
            <v>3.878602421255418</v>
          </cell>
        </row>
        <row r="31">
          <cell r="C31">
            <v>1.1883969802898113</v>
          </cell>
          <cell r="D31">
            <v>1.2444544887374667</v>
          </cell>
          <cell r="E31">
            <v>1.08062764851128</v>
          </cell>
        </row>
        <row r="57">
          <cell r="C57">
            <v>220312322</v>
          </cell>
          <cell r="D57">
            <v>92534623</v>
          </cell>
          <cell r="E57">
            <v>127777699</v>
          </cell>
        </row>
        <row r="58">
          <cell r="C58">
            <v>380783393</v>
          </cell>
          <cell r="D58">
            <v>335334692</v>
          </cell>
          <cell r="E58">
            <v>45448701</v>
          </cell>
        </row>
        <row r="59">
          <cell r="C59">
            <v>433866579</v>
          </cell>
          <cell r="D59">
            <v>5226346</v>
          </cell>
          <cell r="E59">
            <v>428640233</v>
          </cell>
        </row>
        <row r="60">
          <cell r="C60">
            <v>6665069</v>
          </cell>
          <cell r="D60">
            <v>52007</v>
          </cell>
          <cell r="E60">
            <v>6613062</v>
          </cell>
        </row>
        <row r="61">
          <cell r="C61">
            <v>200000000</v>
          </cell>
          <cell r="D61">
            <v>200000000</v>
          </cell>
          <cell r="E61">
            <v>0</v>
          </cell>
        </row>
        <row r="64">
          <cell r="C64">
            <v>1241627363</v>
          </cell>
          <cell r="D64">
            <v>633147668</v>
          </cell>
          <cell r="E64">
            <v>608479695</v>
          </cell>
        </row>
      </sheetData>
      <sheetData sheetId="3"/>
      <sheetData sheetId="4"/>
      <sheetData sheetId="5">
        <row r="22">
          <cell r="C22">
            <v>624132453</v>
          </cell>
          <cell r="E22">
            <v>233792889</v>
          </cell>
          <cell r="G22">
            <v>181012304</v>
          </cell>
          <cell r="I22">
            <v>260330858</v>
          </cell>
          <cell r="K22">
            <v>254530733</v>
          </cell>
          <cell r="M22">
            <v>511146073</v>
          </cell>
          <cell r="O22">
            <v>63458569</v>
          </cell>
          <cell r="Q22">
            <v>254339946</v>
          </cell>
          <cell r="S22">
            <v>2382743825</v>
          </cell>
        </row>
        <row r="39">
          <cell r="C39">
            <v>814004621</v>
          </cell>
          <cell r="E39">
            <v>234332614</v>
          </cell>
          <cell r="G39">
            <v>219626838</v>
          </cell>
          <cell r="I39">
            <v>740810173</v>
          </cell>
          <cell r="K39">
            <v>446765604</v>
          </cell>
          <cell r="M39">
            <v>1259807336</v>
          </cell>
        </row>
      </sheetData>
      <sheetData sheetId="6"/>
      <sheetData sheetId="7"/>
      <sheetData sheetId="8">
        <row r="6">
          <cell r="C6">
            <v>163360536</v>
          </cell>
          <cell r="D6">
            <v>8316034</v>
          </cell>
        </row>
        <row r="15">
          <cell r="C15">
            <v>434997875</v>
          </cell>
          <cell r="D15">
            <v>63026787</v>
          </cell>
        </row>
        <row r="22">
          <cell r="C22">
            <v>2382743825</v>
          </cell>
          <cell r="D22">
            <v>425763253</v>
          </cell>
        </row>
      </sheetData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33">
          <cell r="C33">
            <v>1638153454</v>
          </cell>
        </row>
        <row r="43">
          <cell r="C43">
            <v>1738182312</v>
          </cell>
        </row>
        <row r="44">
          <cell r="C44">
            <v>11237792235.253847</v>
          </cell>
        </row>
        <row r="48">
          <cell r="C48">
            <v>0.14575899248799376</v>
          </cell>
        </row>
        <row r="49">
          <cell r="C49">
            <v>0.1457718224101868</v>
          </cell>
        </row>
        <row r="50">
          <cell r="C50">
            <v>0.15467293536066487</v>
          </cell>
        </row>
        <row r="56">
          <cell r="C56">
            <v>0.14511606908670435</v>
          </cell>
        </row>
      </sheetData>
      <sheetData sheetId="1"/>
      <sheetData sheetId="2"/>
      <sheetData sheetId="3"/>
      <sheetData sheetId="4"/>
      <sheetData sheetId="5">
        <row r="26">
          <cell r="C26">
            <v>188544911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F72"/>
  <sheetViews>
    <sheetView view="pageBreakPreview" zoomScale="70" zoomScaleNormal="60" zoomScaleSheetLayoutView="70" workbookViewId="0">
      <pane xSplit="2" ySplit="9" topLeftCell="C45" activePane="bottomRight" state="frozen"/>
      <selection activeCell="C72" sqref="C72"/>
      <selection pane="topRight" activeCell="C72" sqref="C72"/>
      <selection pane="bottomLeft" activeCell="C72" sqref="C72"/>
      <selection pane="bottomRight" activeCell="C63" sqref="C63"/>
    </sheetView>
  </sheetViews>
  <sheetFormatPr defaultRowHeight="15.75"/>
  <cols>
    <col min="1" max="1" width="8" style="44" customWidth="1"/>
    <col min="2" max="2" width="108.7109375" style="45" customWidth="1"/>
    <col min="3" max="3" width="19.42578125" style="201" customWidth="1"/>
    <col min="4" max="8" width="18.28515625" style="44" customWidth="1"/>
    <col min="9" max="9" width="19.42578125" style="44" customWidth="1"/>
    <col min="10" max="13" width="18" style="44" customWidth="1"/>
    <col min="14" max="14" width="19.42578125" style="44" customWidth="1"/>
    <col min="15" max="19" width="16" style="44" customWidth="1"/>
    <col min="20" max="20" width="9.140625" style="44"/>
    <col min="21" max="21" width="14.85546875" style="44" customWidth="1"/>
    <col min="22" max="16384" width="9.140625" style="44"/>
  </cols>
  <sheetData>
    <row r="1" spans="1:21" s="198" customFormat="1" ht="27.75" customHeight="1">
      <c r="A1" s="662" t="s">
        <v>696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4" t="s">
        <v>407</v>
      </c>
      <c r="S1" s="664"/>
      <c r="U1" s="531" t="s">
        <v>892</v>
      </c>
    </row>
    <row r="2" spans="1:21" ht="8.25" customHeight="1"/>
    <row r="3" spans="1:21" s="330" customFormat="1" ht="26.25">
      <c r="B3" s="573" t="s">
        <v>1010</v>
      </c>
      <c r="C3" s="331"/>
      <c r="M3" s="368"/>
      <c r="P3" s="659">
        <v>44196</v>
      </c>
      <c r="Q3" s="659"/>
      <c r="R3" s="329"/>
      <c r="S3" s="515" t="s">
        <v>408</v>
      </c>
    </row>
    <row r="4" spans="1:21" s="316" customFormat="1" ht="30.75" customHeight="1">
      <c r="A4" s="660" t="s">
        <v>83</v>
      </c>
      <c r="B4" s="660" t="s">
        <v>409</v>
      </c>
      <c r="C4" s="660" t="s">
        <v>410</v>
      </c>
      <c r="D4" s="666" t="s">
        <v>411</v>
      </c>
      <c r="E4" s="667"/>
      <c r="F4" s="667"/>
      <c r="G4" s="667"/>
      <c r="H4" s="668"/>
      <c r="I4" s="656" t="s">
        <v>412</v>
      </c>
      <c r="J4" s="657"/>
      <c r="K4" s="657"/>
      <c r="L4" s="657"/>
      <c r="M4" s="658"/>
      <c r="N4" s="656" t="s">
        <v>413</v>
      </c>
      <c r="O4" s="657"/>
      <c r="P4" s="657"/>
      <c r="Q4" s="657"/>
      <c r="R4" s="657"/>
      <c r="S4" s="658"/>
    </row>
    <row r="5" spans="1:21" s="316" customFormat="1" ht="30.75" customHeight="1">
      <c r="A5" s="665"/>
      <c r="B5" s="665"/>
      <c r="C5" s="665"/>
      <c r="D5" s="669"/>
      <c r="E5" s="670"/>
      <c r="F5" s="670"/>
      <c r="G5" s="670"/>
      <c r="H5" s="671"/>
      <c r="I5" s="660" t="s">
        <v>414</v>
      </c>
      <c r="J5" s="660" t="s">
        <v>415</v>
      </c>
      <c r="K5" s="660" t="s">
        <v>416</v>
      </c>
      <c r="L5" s="660" t="s">
        <v>417</v>
      </c>
      <c r="M5" s="660" t="s">
        <v>418</v>
      </c>
      <c r="N5" s="656" t="s">
        <v>419</v>
      </c>
      <c r="O5" s="657"/>
      <c r="P5" s="657"/>
      <c r="Q5" s="657"/>
      <c r="R5" s="657"/>
      <c r="S5" s="658"/>
    </row>
    <row r="6" spans="1:21" s="316" customFormat="1" ht="30.75" customHeight="1">
      <c r="A6" s="665"/>
      <c r="B6" s="665"/>
      <c r="C6" s="665"/>
      <c r="D6" s="672"/>
      <c r="E6" s="673"/>
      <c r="F6" s="673"/>
      <c r="G6" s="673"/>
      <c r="H6" s="674"/>
      <c r="I6" s="665"/>
      <c r="J6" s="665"/>
      <c r="K6" s="665"/>
      <c r="L6" s="665"/>
      <c r="M6" s="665"/>
      <c r="N6" s="660" t="s">
        <v>414</v>
      </c>
      <c r="O6" s="656" t="s">
        <v>420</v>
      </c>
      <c r="P6" s="657"/>
      <c r="Q6" s="657"/>
      <c r="R6" s="657"/>
      <c r="S6" s="657"/>
    </row>
    <row r="7" spans="1:21" s="316" customFormat="1" ht="21" customHeight="1">
      <c r="A7" s="661"/>
      <c r="B7" s="661"/>
      <c r="C7" s="661"/>
      <c r="D7" s="317" t="s">
        <v>278</v>
      </c>
      <c r="E7" s="317" t="s">
        <v>75</v>
      </c>
      <c r="F7" s="317" t="s">
        <v>77</v>
      </c>
      <c r="G7" s="317" t="s">
        <v>78</v>
      </c>
      <c r="H7" s="317" t="s">
        <v>81</v>
      </c>
      <c r="I7" s="661"/>
      <c r="J7" s="661"/>
      <c r="K7" s="661"/>
      <c r="L7" s="661"/>
      <c r="M7" s="661"/>
      <c r="N7" s="661"/>
      <c r="O7" s="317" t="s">
        <v>278</v>
      </c>
      <c r="P7" s="317" t="s">
        <v>75</v>
      </c>
      <c r="Q7" s="317" t="s">
        <v>77</v>
      </c>
      <c r="R7" s="317" t="s">
        <v>78</v>
      </c>
      <c r="S7" s="317" t="s">
        <v>81</v>
      </c>
    </row>
    <row r="8" spans="1:21" s="46" customFormat="1">
      <c r="A8" s="47" t="s">
        <v>182</v>
      </c>
      <c r="B8" s="85" t="s">
        <v>183</v>
      </c>
      <c r="C8" s="202" t="s">
        <v>200</v>
      </c>
      <c r="D8" s="85" t="s">
        <v>184</v>
      </c>
      <c r="E8" s="85" t="s">
        <v>185</v>
      </c>
      <c r="F8" s="85" t="s">
        <v>201</v>
      </c>
      <c r="G8" s="85" t="s">
        <v>186</v>
      </c>
      <c r="H8" s="85" t="s">
        <v>187</v>
      </c>
      <c r="I8" s="85" t="s">
        <v>188</v>
      </c>
      <c r="J8" s="85" t="s">
        <v>189</v>
      </c>
      <c r="K8" s="85" t="s">
        <v>190</v>
      </c>
      <c r="L8" s="85" t="s">
        <v>191</v>
      </c>
      <c r="M8" s="85" t="s">
        <v>192</v>
      </c>
      <c r="N8" s="85" t="s">
        <v>421</v>
      </c>
      <c r="O8" s="85" t="s">
        <v>422</v>
      </c>
      <c r="P8" s="85" t="s">
        <v>423</v>
      </c>
      <c r="Q8" s="85" t="s">
        <v>424</v>
      </c>
      <c r="R8" s="85" t="s">
        <v>700</v>
      </c>
      <c r="S8" s="85" t="s">
        <v>740</v>
      </c>
    </row>
    <row r="9" spans="1:21" s="46" customFormat="1" ht="29.25" customHeight="1">
      <c r="A9" s="299"/>
      <c r="B9" s="300" t="s">
        <v>672</v>
      </c>
      <c r="C9" s="301">
        <f t="shared" ref="C9:S9" si="0">SUM(C10:C60)</f>
        <v>10282915665</v>
      </c>
      <c r="D9" s="301">
        <f t="shared" si="0"/>
        <v>8864423041</v>
      </c>
      <c r="E9" s="301">
        <f t="shared" si="0"/>
        <v>1540989857</v>
      </c>
      <c r="F9" s="301">
        <f t="shared" si="0"/>
        <v>34473291</v>
      </c>
      <c r="G9" s="301">
        <f t="shared" si="0"/>
        <v>35919024</v>
      </c>
      <c r="H9" s="301">
        <f t="shared" si="0"/>
        <v>16214626</v>
      </c>
      <c r="I9" s="301">
        <f t="shared" si="0"/>
        <v>165011663</v>
      </c>
      <c r="J9" s="301">
        <f t="shared" si="0"/>
        <v>58106162</v>
      </c>
      <c r="K9" s="301">
        <f t="shared" si="0"/>
        <v>84659049</v>
      </c>
      <c r="L9" s="301">
        <f t="shared" si="0"/>
        <v>16412138</v>
      </c>
      <c r="M9" s="301">
        <f t="shared" si="0"/>
        <v>5834314</v>
      </c>
      <c r="N9" s="301">
        <f t="shared" si="0"/>
        <v>209104174</v>
      </c>
      <c r="O9" s="301">
        <f t="shared" si="0"/>
        <v>0</v>
      </c>
      <c r="P9" s="301">
        <f t="shared" si="0"/>
        <v>166254213</v>
      </c>
      <c r="Q9" s="301">
        <f t="shared" si="0"/>
        <v>8618322</v>
      </c>
      <c r="R9" s="301">
        <f t="shared" si="0"/>
        <v>18017013</v>
      </c>
      <c r="S9" s="301">
        <f t="shared" si="0"/>
        <v>16214626</v>
      </c>
    </row>
    <row r="10" spans="1:21" s="43" customFormat="1" ht="23.25" customHeight="1">
      <c r="A10" s="48" t="s">
        <v>5</v>
      </c>
      <c r="B10" s="258" t="s">
        <v>587</v>
      </c>
      <c r="C10" s="256">
        <f>SUM(D10:H10)-N10+O10</f>
        <v>220312147</v>
      </c>
      <c r="D10" s="217">
        <v>220312147</v>
      </c>
      <c r="E10" s="217">
        <v>0</v>
      </c>
      <c r="F10" s="217">
        <v>0</v>
      </c>
      <c r="G10" s="217">
        <v>0</v>
      </c>
      <c r="H10" s="217">
        <v>0</v>
      </c>
      <c r="I10" s="256">
        <f>SUM(J10:M10)</f>
        <v>0</v>
      </c>
      <c r="J10" s="217">
        <v>0</v>
      </c>
      <c r="K10" s="217">
        <v>0</v>
      </c>
      <c r="L10" s="217">
        <v>0</v>
      </c>
      <c r="M10" s="217">
        <v>0</v>
      </c>
      <c r="N10" s="256">
        <f>SUM(O10:S10)</f>
        <v>0</v>
      </c>
      <c r="O10" s="217">
        <v>0</v>
      </c>
      <c r="P10" s="217">
        <v>0</v>
      </c>
      <c r="Q10" s="217">
        <v>0</v>
      </c>
      <c r="R10" s="217">
        <v>0</v>
      </c>
      <c r="S10" s="217">
        <v>0</v>
      </c>
      <c r="T10" s="43">
        <v>10100</v>
      </c>
      <c r="U10"/>
    </row>
    <row r="11" spans="1:21" s="43" customFormat="1" ht="23.25" customHeight="1">
      <c r="A11" s="48" t="s">
        <v>8</v>
      </c>
      <c r="B11" s="258" t="s">
        <v>530</v>
      </c>
      <c r="C11" s="256">
        <f t="shared" ref="C11:C60" si="1">SUM(D11:H11)-N11+O11</f>
        <v>380783393</v>
      </c>
      <c r="D11" s="217">
        <v>380783393</v>
      </c>
      <c r="E11" s="217">
        <v>0</v>
      </c>
      <c r="F11" s="217">
        <v>0</v>
      </c>
      <c r="G11" s="217">
        <v>0</v>
      </c>
      <c r="H11" s="217">
        <v>0</v>
      </c>
      <c r="I11" s="256">
        <f>SUM(J11:M11)</f>
        <v>0</v>
      </c>
      <c r="J11" s="217">
        <v>0</v>
      </c>
      <c r="K11" s="217">
        <v>0</v>
      </c>
      <c r="L11" s="217">
        <v>0</v>
      </c>
      <c r="M11" s="217">
        <v>0</v>
      </c>
      <c r="N11" s="256">
        <f t="shared" ref="N11:N60" si="2">SUM(O11:S11)</f>
        <v>0</v>
      </c>
      <c r="O11" s="217">
        <v>0</v>
      </c>
      <c r="P11" s="217">
        <v>0</v>
      </c>
      <c r="Q11" s="217">
        <v>0</v>
      </c>
      <c r="R11" s="217">
        <v>0</v>
      </c>
      <c r="S11" s="217">
        <v>0</v>
      </c>
      <c r="T11" s="296">
        <v>10300</v>
      </c>
      <c r="U11"/>
    </row>
    <row r="12" spans="1:21" s="43" customFormat="1" ht="23.25" customHeight="1">
      <c r="A12" s="48" t="s">
        <v>9</v>
      </c>
      <c r="B12" s="258" t="s">
        <v>226</v>
      </c>
      <c r="C12" s="256">
        <f t="shared" si="1"/>
        <v>666431396</v>
      </c>
      <c r="D12" s="217">
        <v>667134940</v>
      </c>
      <c r="E12" s="217">
        <v>0</v>
      </c>
      <c r="F12" s="218">
        <v>0</v>
      </c>
      <c r="G12" s="218">
        <v>0</v>
      </c>
      <c r="H12" s="217">
        <v>0</v>
      </c>
      <c r="I12" s="256">
        <f>SUM(J12:M12)</f>
        <v>0</v>
      </c>
      <c r="J12" s="217">
        <v>0</v>
      </c>
      <c r="K12" s="217">
        <v>0</v>
      </c>
      <c r="L12" s="217">
        <v>0</v>
      </c>
      <c r="M12" s="217">
        <v>0</v>
      </c>
      <c r="N12" s="256">
        <f t="shared" si="2"/>
        <v>703544</v>
      </c>
      <c r="O12" s="217">
        <v>0</v>
      </c>
      <c r="P12" s="217">
        <v>703544</v>
      </c>
      <c r="Q12" s="217">
        <v>0</v>
      </c>
      <c r="R12" s="217">
        <v>0</v>
      </c>
      <c r="S12" s="217">
        <v>0</v>
      </c>
      <c r="T12" s="296">
        <v>10500</v>
      </c>
      <c r="U12"/>
    </row>
    <row r="13" spans="1:21" s="43" customFormat="1" ht="23.25" customHeight="1">
      <c r="A13" s="48" t="s">
        <v>7</v>
      </c>
      <c r="B13" s="258" t="s">
        <v>425</v>
      </c>
      <c r="C13" s="256">
        <f t="shared" si="1"/>
        <v>202938240</v>
      </c>
      <c r="D13" s="217">
        <v>202938240</v>
      </c>
      <c r="E13" s="218">
        <v>0</v>
      </c>
      <c r="F13" s="218">
        <v>0</v>
      </c>
      <c r="G13" s="218">
        <v>0</v>
      </c>
      <c r="H13" s="218">
        <v>0</v>
      </c>
      <c r="I13" s="256">
        <f t="shared" ref="I13:I60" si="3">SUM(J13:M13)</f>
        <v>0</v>
      </c>
      <c r="J13" s="217">
        <v>0</v>
      </c>
      <c r="K13" s="217">
        <v>0</v>
      </c>
      <c r="L13" s="217">
        <v>0</v>
      </c>
      <c r="M13" s="217">
        <v>0</v>
      </c>
      <c r="N13" s="256">
        <f t="shared" si="2"/>
        <v>0</v>
      </c>
      <c r="O13" s="217">
        <v>0</v>
      </c>
      <c r="P13" s="217">
        <v>0</v>
      </c>
      <c r="Q13" s="217">
        <v>0</v>
      </c>
      <c r="R13" s="217">
        <v>0</v>
      </c>
      <c r="S13" s="217">
        <v>0</v>
      </c>
      <c r="T13" s="43">
        <v>10700</v>
      </c>
      <c r="U13"/>
    </row>
    <row r="14" spans="1:21" s="43" customFormat="1" ht="23.25" customHeight="1">
      <c r="A14" s="48" t="s">
        <v>6</v>
      </c>
      <c r="B14" s="258" t="s">
        <v>426</v>
      </c>
      <c r="C14" s="256">
        <f t="shared" si="1"/>
        <v>0</v>
      </c>
      <c r="D14" s="217">
        <v>0</v>
      </c>
      <c r="E14" s="218">
        <v>0</v>
      </c>
      <c r="F14" s="218">
        <v>0</v>
      </c>
      <c r="G14" s="218">
        <v>0</v>
      </c>
      <c r="H14" s="218">
        <v>0</v>
      </c>
      <c r="I14" s="256">
        <f t="shared" si="3"/>
        <v>0</v>
      </c>
      <c r="J14" s="217">
        <v>0</v>
      </c>
      <c r="K14" s="217">
        <v>0</v>
      </c>
      <c r="L14" s="217">
        <v>0</v>
      </c>
      <c r="M14" s="217">
        <v>0</v>
      </c>
      <c r="N14" s="256">
        <f t="shared" si="2"/>
        <v>0</v>
      </c>
      <c r="O14" s="217">
        <v>0</v>
      </c>
      <c r="P14" s="217">
        <v>0</v>
      </c>
      <c r="Q14" s="217">
        <v>0</v>
      </c>
      <c r="R14" s="217">
        <v>0</v>
      </c>
      <c r="S14" s="217">
        <v>0</v>
      </c>
      <c r="T14" s="43">
        <v>10800</v>
      </c>
      <c r="U14"/>
    </row>
    <row r="15" spans="1:21" s="43" customFormat="1" ht="23.25" customHeight="1">
      <c r="A15" s="48" t="s">
        <v>12</v>
      </c>
      <c r="B15" s="258" t="s">
        <v>427</v>
      </c>
      <c r="C15" s="256">
        <f t="shared" si="1"/>
        <v>175</v>
      </c>
      <c r="D15" s="217">
        <v>175</v>
      </c>
      <c r="E15" s="218">
        <v>0</v>
      </c>
      <c r="F15" s="218">
        <v>0</v>
      </c>
      <c r="G15" s="218">
        <v>0</v>
      </c>
      <c r="H15" s="218">
        <v>0</v>
      </c>
      <c r="I15" s="256">
        <f t="shared" si="3"/>
        <v>0</v>
      </c>
      <c r="J15" s="217">
        <v>0</v>
      </c>
      <c r="K15" s="217">
        <v>0</v>
      </c>
      <c r="L15" s="217">
        <v>0</v>
      </c>
      <c r="M15" s="217">
        <v>0</v>
      </c>
      <c r="N15" s="256">
        <f t="shared" si="2"/>
        <v>0</v>
      </c>
      <c r="O15" s="217">
        <v>0</v>
      </c>
      <c r="P15" s="217">
        <v>0</v>
      </c>
      <c r="Q15" s="217">
        <v>0</v>
      </c>
      <c r="R15" s="217">
        <v>0</v>
      </c>
      <c r="S15" s="217">
        <v>0</v>
      </c>
      <c r="T15" s="43">
        <v>10900</v>
      </c>
      <c r="U15"/>
    </row>
    <row r="16" spans="1:21" s="43" customFormat="1" ht="23.25" customHeight="1">
      <c r="A16" s="48" t="s">
        <v>11</v>
      </c>
      <c r="B16" s="258" t="s">
        <v>428</v>
      </c>
      <c r="C16" s="256">
        <f t="shared" si="1"/>
        <v>17769574</v>
      </c>
      <c r="D16" s="217">
        <v>18077238</v>
      </c>
      <c r="E16" s="217">
        <v>0</v>
      </c>
      <c r="F16" s="218">
        <v>0</v>
      </c>
      <c r="G16" s="218">
        <v>0</v>
      </c>
      <c r="H16" s="218">
        <v>0</v>
      </c>
      <c r="I16" s="256">
        <f t="shared" si="3"/>
        <v>992738</v>
      </c>
      <c r="J16" s="217">
        <v>302846</v>
      </c>
      <c r="K16" s="217">
        <v>189564</v>
      </c>
      <c r="L16" s="217">
        <v>500328</v>
      </c>
      <c r="M16" s="217">
        <v>0</v>
      </c>
      <c r="N16" s="256">
        <f t="shared" si="2"/>
        <v>307664</v>
      </c>
      <c r="O16" s="217">
        <v>0</v>
      </c>
      <c r="P16" s="217">
        <v>0</v>
      </c>
      <c r="Q16" s="217">
        <v>0</v>
      </c>
      <c r="R16" s="217">
        <v>307664</v>
      </c>
      <c r="S16" s="217">
        <v>0</v>
      </c>
      <c r="T16" s="43">
        <v>11100</v>
      </c>
      <c r="U16"/>
    </row>
    <row r="17" spans="1:21" s="43" customFormat="1" ht="23.25" customHeight="1">
      <c r="A17" s="48" t="s">
        <v>10</v>
      </c>
      <c r="B17" s="258" t="s">
        <v>429</v>
      </c>
      <c r="C17" s="256">
        <f t="shared" si="1"/>
        <v>0</v>
      </c>
      <c r="D17" s="217">
        <v>0</v>
      </c>
      <c r="E17" s="218">
        <v>0</v>
      </c>
      <c r="F17" s="218">
        <v>0</v>
      </c>
      <c r="G17" s="218">
        <v>0</v>
      </c>
      <c r="H17" s="218">
        <v>0</v>
      </c>
      <c r="I17" s="256">
        <f t="shared" si="3"/>
        <v>0</v>
      </c>
      <c r="J17" s="217">
        <v>0</v>
      </c>
      <c r="K17" s="217">
        <v>0</v>
      </c>
      <c r="L17" s="217">
        <v>0</v>
      </c>
      <c r="M17" s="217">
        <v>0</v>
      </c>
      <c r="N17" s="256">
        <f t="shared" si="2"/>
        <v>0</v>
      </c>
      <c r="O17" s="217">
        <v>0</v>
      </c>
      <c r="P17" s="217">
        <v>0</v>
      </c>
      <c r="Q17" s="217">
        <v>0</v>
      </c>
      <c r="R17" s="217">
        <v>0</v>
      </c>
      <c r="S17" s="217">
        <v>0</v>
      </c>
      <c r="T17" s="43">
        <v>11300</v>
      </c>
      <c r="U17"/>
    </row>
    <row r="18" spans="1:21" ht="23.25" customHeight="1">
      <c r="A18" s="48" t="s">
        <v>432</v>
      </c>
      <c r="B18" s="258" t="s">
        <v>430</v>
      </c>
      <c r="C18" s="256">
        <f t="shared" si="1"/>
        <v>0</v>
      </c>
      <c r="D18" s="217">
        <v>0</v>
      </c>
      <c r="E18" s="218">
        <v>0</v>
      </c>
      <c r="F18" s="218">
        <v>0</v>
      </c>
      <c r="G18" s="218">
        <v>0</v>
      </c>
      <c r="H18" s="218">
        <v>0</v>
      </c>
      <c r="I18" s="256">
        <f t="shared" si="3"/>
        <v>0</v>
      </c>
      <c r="J18" s="217">
        <v>0</v>
      </c>
      <c r="K18" s="217">
        <v>0</v>
      </c>
      <c r="L18" s="217">
        <v>0</v>
      </c>
      <c r="M18" s="217">
        <v>0</v>
      </c>
      <c r="N18" s="256">
        <f t="shared" si="2"/>
        <v>0</v>
      </c>
      <c r="O18" s="217">
        <v>0</v>
      </c>
      <c r="P18" s="217">
        <v>0</v>
      </c>
      <c r="Q18" s="217">
        <v>0</v>
      </c>
      <c r="R18" s="217">
        <v>0</v>
      </c>
      <c r="S18" s="217">
        <v>0</v>
      </c>
      <c r="T18" s="297">
        <v>11500</v>
      </c>
      <c r="U18"/>
    </row>
    <row r="19" spans="1:21" ht="23.25" customHeight="1">
      <c r="A19" s="48" t="s">
        <v>434</v>
      </c>
      <c r="B19" s="258" t="s">
        <v>431</v>
      </c>
      <c r="C19" s="256">
        <f t="shared" si="1"/>
        <v>0</v>
      </c>
      <c r="D19" s="217">
        <v>0</v>
      </c>
      <c r="E19" s="217">
        <v>0</v>
      </c>
      <c r="F19" s="217">
        <v>0</v>
      </c>
      <c r="G19" s="217">
        <v>0</v>
      </c>
      <c r="H19" s="217">
        <v>0</v>
      </c>
      <c r="I19" s="256">
        <f t="shared" si="3"/>
        <v>0</v>
      </c>
      <c r="J19" s="217">
        <v>0</v>
      </c>
      <c r="K19" s="217">
        <v>0</v>
      </c>
      <c r="L19" s="217">
        <v>0</v>
      </c>
      <c r="M19" s="217">
        <v>0</v>
      </c>
      <c r="N19" s="256">
        <f t="shared" si="2"/>
        <v>0</v>
      </c>
      <c r="O19" s="217">
        <v>0</v>
      </c>
      <c r="P19" s="217">
        <v>0</v>
      </c>
      <c r="Q19" s="217">
        <v>0</v>
      </c>
      <c r="R19" s="217">
        <v>0</v>
      </c>
      <c r="S19" s="217">
        <v>0</v>
      </c>
      <c r="T19" s="297">
        <v>11700</v>
      </c>
      <c r="U19"/>
    </row>
    <row r="20" spans="1:21" ht="23.25" customHeight="1">
      <c r="A20" s="48" t="s">
        <v>436</v>
      </c>
      <c r="B20" s="259" t="s">
        <v>433</v>
      </c>
      <c r="C20" s="256">
        <f t="shared" si="1"/>
        <v>0</v>
      </c>
      <c r="D20" s="217">
        <v>0</v>
      </c>
      <c r="E20" s="217">
        <v>0</v>
      </c>
      <c r="F20" s="217">
        <v>0</v>
      </c>
      <c r="G20" s="217">
        <v>0</v>
      </c>
      <c r="H20" s="217">
        <v>0</v>
      </c>
      <c r="I20" s="256">
        <f t="shared" si="3"/>
        <v>0</v>
      </c>
      <c r="J20" s="217">
        <v>0</v>
      </c>
      <c r="K20" s="217">
        <v>0</v>
      </c>
      <c r="L20" s="217">
        <v>0</v>
      </c>
      <c r="M20" s="217">
        <v>0</v>
      </c>
      <c r="N20" s="256">
        <f t="shared" si="2"/>
        <v>0</v>
      </c>
      <c r="O20" s="217">
        <v>0</v>
      </c>
      <c r="P20" s="217">
        <v>0</v>
      </c>
      <c r="Q20" s="217">
        <v>0</v>
      </c>
      <c r="R20" s="217">
        <v>0</v>
      </c>
      <c r="S20" s="217">
        <v>0</v>
      </c>
      <c r="T20" s="297">
        <v>11800</v>
      </c>
      <c r="U20"/>
    </row>
    <row r="21" spans="1:21" ht="23.25" customHeight="1">
      <c r="A21" s="48" t="s">
        <v>438</v>
      </c>
      <c r="B21" s="258" t="s">
        <v>435</v>
      </c>
      <c r="C21" s="256">
        <f t="shared" si="1"/>
        <v>0</v>
      </c>
      <c r="D21" s="217">
        <v>0</v>
      </c>
      <c r="E21" s="217">
        <v>0</v>
      </c>
      <c r="F21" s="217">
        <v>0</v>
      </c>
      <c r="G21" s="217">
        <v>0</v>
      </c>
      <c r="H21" s="217">
        <v>0</v>
      </c>
      <c r="I21" s="256">
        <f t="shared" si="3"/>
        <v>0</v>
      </c>
      <c r="J21" s="217">
        <v>0</v>
      </c>
      <c r="K21" s="217">
        <v>0</v>
      </c>
      <c r="L21" s="217">
        <v>0</v>
      </c>
      <c r="M21" s="217">
        <v>0</v>
      </c>
      <c r="N21" s="256">
        <f t="shared" si="2"/>
        <v>0</v>
      </c>
      <c r="O21" s="217">
        <v>0</v>
      </c>
      <c r="P21" s="217">
        <v>0</v>
      </c>
      <c r="Q21" s="217">
        <v>0</v>
      </c>
      <c r="R21" s="217">
        <v>0</v>
      </c>
      <c r="S21" s="217">
        <v>0</v>
      </c>
      <c r="T21" s="297">
        <v>11900</v>
      </c>
      <c r="U21"/>
    </row>
    <row r="22" spans="1:21" ht="23.25" customHeight="1">
      <c r="A22" s="48" t="s">
        <v>440</v>
      </c>
      <c r="B22" s="258" t="s">
        <v>437</v>
      </c>
      <c r="C22" s="256">
        <f t="shared" si="1"/>
        <v>0</v>
      </c>
      <c r="D22" s="217">
        <v>0</v>
      </c>
      <c r="E22" s="217">
        <v>0</v>
      </c>
      <c r="F22" s="217">
        <v>0</v>
      </c>
      <c r="G22" s="217">
        <v>0</v>
      </c>
      <c r="H22" s="217">
        <v>0</v>
      </c>
      <c r="I22" s="256">
        <f t="shared" si="3"/>
        <v>0</v>
      </c>
      <c r="J22" s="217">
        <v>0</v>
      </c>
      <c r="K22" s="217">
        <v>0</v>
      </c>
      <c r="L22" s="217">
        <v>0</v>
      </c>
      <c r="M22" s="217">
        <v>0</v>
      </c>
      <c r="N22" s="256">
        <f t="shared" si="2"/>
        <v>0</v>
      </c>
      <c r="O22" s="217">
        <v>0</v>
      </c>
      <c r="P22" s="217">
        <v>0</v>
      </c>
      <c r="Q22" s="217">
        <v>0</v>
      </c>
      <c r="R22" s="217">
        <v>0</v>
      </c>
      <c r="S22" s="217">
        <v>0</v>
      </c>
      <c r="T22" s="297">
        <v>12100</v>
      </c>
      <c r="U22"/>
    </row>
    <row r="23" spans="1:21" ht="23.25" customHeight="1">
      <c r="A23" s="48" t="s">
        <v>442</v>
      </c>
      <c r="B23" s="258" t="s">
        <v>439</v>
      </c>
      <c r="C23" s="256">
        <f t="shared" si="1"/>
        <v>0</v>
      </c>
      <c r="D23" s="217">
        <v>0</v>
      </c>
      <c r="E23" s="217">
        <v>0</v>
      </c>
      <c r="F23" s="217">
        <v>0</v>
      </c>
      <c r="G23" s="217">
        <v>0</v>
      </c>
      <c r="H23" s="217">
        <v>0</v>
      </c>
      <c r="I23" s="256">
        <f t="shared" si="3"/>
        <v>0</v>
      </c>
      <c r="J23" s="217">
        <v>0</v>
      </c>
      <c r="K23" s="217">
        <v>0</v>
      </c>
      <c r="L23" s="217">
        <v>0</v>
      </c>
      <c r="M23" s="217">
        <v>0</v>
      </c>
      <c r="N23" s="256">
        <f t="shared" si="2"/>
        <v>0</v>
      </c>
      <c r="O23" s="217">
        <v>0</v>
      </c>
      <c r="P23" s="217">
        <v>0</v>
      </c>
      <c r="Q23" s="217">
        <v>0</v>
      </c>
      <c r="R23" s="217">
        <v>0</v>
      </c>
      <c r="S23" s="217">
        <v>0</v>
      </c>
      <c r="T23" s="297">
        <v>12300</v>
      </c>
      <c r="U23"/>
    </row>
    <row r="24" spans="1:21" ht="23.25" customHeight="1">
      <c r="A24" s="48" t="s">
        <v>444</v>
      </c>
      <c r="B24" s="258" t="s">
        <v>441</v>
      </c>
      <c r="C24" s="256">
        <f t="shared" si="1"/>
        <v>0</v>
      </c>
      <c r="D24" s="217">
        <v>0</v>
      </c>
      <c r="E24" s="217">
        <v>0</v>
      </c>
      <c r="F24" s="217">
        <v>0</v>
      </c>
      <c r="G24" s="217">
        <v>0</v>
      </c>
      <c r="H24" s="217">
        <v>0</v>
      </c>
      <c r="I24" s="256">
        <f t="shared" si="3"/>
        <v>0</v>
      </c>
      <c r="J24" s="217">
        <v>0</v>
      </c>
      <c r="K24" s="217">
        <v>0</v>
      </c>
      <c r="L24" s="217">
        <v>0</v>
      </c>
      <c r="M24" s="217">
        <v>0</v>
      </c>
      <c r="N24" s="256">
        <f t="shared" si="2"/>
        <v>0</v>
      </c>
      <c r="O24" s="217">
        <v>0</v>
      </c>
      <c r="P24" s="217">
        <v>0</v>
      </c>
      <c r="Q24" s="217">
        <v>0</v>
      </c>
      <c r="R24" s="217">
        <v>0</v>
      </c>
      <c r="S24" s="217">
        <v>0</v>
      </c>
      <c r="T24" s="297">
        <v>12400</v>
      </c>
      <c r="U24"/>
    </row>
    <row r="25" spans="1:21" ht="23.25" customHeight="1">
      <c r="A25" s="48" t="s">
        <v>446</v>
      </c>
      <c r="B25" s="258" t="s">
        <v>443</v>
      </c>
      <c r="C25" s="256">
        <f>SUM(D25:H25)-N25+O25</f>
        <v>169072429</v>
      </c>
      <c r="D25" s="217">
        <v>144580241</v>
      </c>
      <c r="E25" s="217">
        <v>23449665</v>
      </c>
      <c r="F25" s="217">
        <v>621032</v>
      </c>
      <c r="G25" s="217">
        <v>1964161</v>
      </c>
      <c r="H25" s="217">
        <v>275661</v>
      </c>
      <c r="I25" s="256">
        <f t="shared" si="3"/>
        <v>4066840</v>
      </c>
      <c r="J25" s="217">
        <v>1821647</v>
      </c>
      <c r="K25" s="217">
        <v>1838700</v>
      </c>
      <c r="L25" s="217">
        <v>327565</v>
      </c>
      <c r="M25" s="217">
        <v>78928</v>
      </c>
      <c r="N25" s="256">
        <f t="shared" si="2"/>
        <v>1818331</v>
      </c>
      <c r="O25" s="217">
        <v>0</v>
      </c>
      <c r="P25" s="217">
        <v>1311946</v>
      </c>
      <c r="Q25" s="217">
        <v>66657</v>
      </c>
      <c r="R25" s="217">
        <v>350120</v>
      </c>
      <c r="S25" s="217">
        <v>89608</v>
      </c>
      <c r="T25" s="297">
        <v>12500</v>
      </c>
      <c r="U25"/>
    </row>
    <row r="26" spans="1:21" ht="23.25" customHeight="1">
      <c r="A26" s="48" t="s">
        <v>448</v>
      </c>
      <c r="B26" s="258" t="s">
        <v>445</v>
      </c>
      <c r="C26" s="256">
        <f t="shared" si="1"/>
        <v>23920733</v>
      </c>
      <c r="D26" s="217">
        <v>16982914</v>
      </c>
      <c r="E26" s="217">
        <v>6200152</v>
      </c>
      <c r="F26" s="217">
        <v>74610</v>
      </c>
      <c r="G26" s="217">
        <v>695167</v>
      </c>
      <c r="H26" s="217">
        <v>324082</v>
      </c>
      <c r="I26" s="256">
        <f t="shared" si="3"/>
        <v>620951</v>
      </c>
      <c r="J26" s="217">
        <v>304203</v>
      </c>
      <c r="K26" s="217">
        <v>251178</v>
      </c>
      <c r="L26" s="217">
        <v>65570</v>
      </c>
      <c r="M26" s="217">
        <v>0</v>
      </c>
      <c r="N26" s="256">
        <f t="shared" si="2"/>
        <v>356192</v>
      </c>
      <c r="O26" s="217">
        <v>0</v>
      </c>
      <c r="P26" s="217">
        <v>217420</v>
      </c>
      <c r="Q26" s="217">
        <v>17632</v>
      </c>
      <c r="R26" s="217">
        <v>121140</v>
      </c>
      <c r="S26" s="217">
        <v>0</v>
      </c>
      <c r="T26" s="297">
        <v>12600</v>
      </c>
      <c r="U26"/>
    </row>
    <row r="27" spans="1:21" ht="23.25" customHeight="1">
      <c r="A27" s="48" t="s">
        <v>450</v>
      </c>
      <c r="B27" s="258" t="s">
        <v>447</v>
      </c>
      <c r="C27" s="256">
        <f>SUM(D27:H27)-N27+O27</f>
        <v>8946867</v>
      </c>
      <c r="D27" s="217">
        <v>7946867</v>
      </c>
      <c r="E27" s="217">
        <v>1000000</v>
      </c>
      <c r="F27" s="217">
        <v>0</v>
      </c>
      <c r="G27" s="217">
        <v>0</v>
      </c>
      <c r="H27" s="217">
        <v>0</v>
      </c>
      <c r="I27" s="256">
        <f t="shared" si="3"/>
        <v>0</v>
      </c>
      <c r="J27" s="217">
        <v>0</v>
      </c>
      <c r="K27" s="217">
        <v>0</v>
      </c>
      <c r="L27" s="217">
        <v>0</v>
      </c>
      <c r="M27" s="217">
        <v>0</v>
      </c>
      <c r="N27" s="256">
        <f t="shared" si="2"/>
        <v>0</v>
      </c>
      <c r="O27" s="217">
        <v>0</v>
      </c>
      <c r="P27" s="217">
        <v>0</v>
      </c>
      <c r="Q27" s="217">
        <v>0</v>
      </c>
      <c r="R27" s="217">
        <v>0</v>
      </c>
      <c r="S27" s="217">
        <v>0</v>
      </c>
      <c r="T27" s="297">
        <v>12700</v>
      </c>
      <c r="U27"/>
    </row>
    <row r="28" spans="1:21" ht="33.75" customHeight="1">
      <c r="A28" s="48" t="s">
        <v>452</v>
      </c>
      <c r="B28" s="258" t="s">
        <v>449</v>
      </c>
      <c r="C28" s="256">
        <f t="shared" si="1"/>
        <v>0</v>
      </c>
      <c r="D28" s="217">
        <v>0</v>
      </c>
      <c r="E28" s="217">
        <v>0</v>
      </c>
      <c r="F28" s="217">
        <v>0</v>
      </c>
      <c r="G28" s="217">
        <v>0</v>
      </c>
      <c r="H28" s="217">
        <v>0</v>
      </c>
      <c r="I28" s="256">
        <f t="shared" si="3"/>
        <v>0</v>
      </c>
      <c r="J28" s="217">
        <v>0</v>
      </c>
      <c r="K28" s="217">
        <v>0</v>
      </c>
      <c r="L28" s="217">
        <v>0</v>
      </c>
      <c r="M28" s="217">
        <v>0</v>
      </c>
      <c r="N28" s="256">
        <f t="shared" si="2"/>
        <v>0</v>
      </c>
      <c r="O28" s="217">
        <v>0</v>
      </c>
      <c r="P28" s="217">
        <v>0</v>
      </c>
      <c r="Q28" s="217">
        <v>0</v>
      </c>
      <c r="R28" s="217">
        <v>0</v>
      </c>
      <c r="S28" s="217">
        <v>0</v>
      </c>
      <c r="T28" s="297">
        <v>12800</v>
      </c>
      <c r="U28" s="298"/>
    </row>
    <row r="29" spans="1:21" ht="23.25" customHeight="1">
      <c r="A29" s="48" t="s">
        <v>454</v>
      </c>
      <c r="B29" s="258" t="s">
        <v>451</v>
      </c>
      <c r="C29" s="256">
        <f t="shared" si="1"/>
        <v>4024282</v>
      </c>
      <c r="D29" s="217">
        <v>5864924</v>
      </c>
      <c r="E29" s="217">
        <v>848588</v>
      </c>
      <c r="F29" s="217">
        <v>0</v>
      </c>
      <c r="G29" s="217">
        <v>0</v>
      </c>
      <c r="H29" s="217">
        <v>0</v>
      </c>
      <c r="I29" s="256">
        <f t="shared" si="3"/>
        <v>77778</v>
      </c>
      <c r="J29" s="217">
        <v>77778</v>
      </c>
      <c r="K29" s="217">
        <v>0</v>
      </c>
      <c r="L29" s="217">
        <v>0</v>
      </c>
      <c r="M29" s="217">
        <v>0</v>
      </c>
      <c r="N29" s="256">
        <f t="shared" si="2"/>
        <v>2689230</v>
      </c>
      <c r="O29" s="217">
        <v>0</v>
      </c>
      <c r="P29" s="217">
        <v>2689230</v>
      </c>
      <c r="Q29" s="217">
        <v>0</v>
      </c>
      <c r="R29" s="217">
        <v>0</v>
      </c>
      <c r="S29" s="217">
        <v>0</v>
      </c>
      <c r="T29" s="297">
        <v>12900</v>
      </c>
      <c r="U29"/>
    </row>
    <row r="30" spans="1:21" ht="24" customHeight="1">
      <c r="A30" s="48" t="s">
        <v>456</v>
      </c>
      <c r="B30" s="258" t="s">
        <v>453</v>
      </c>
      <c r="C30" s="256">
        <f t="shared" si="1"/>
        <v>1243161</v>
      </c>
      <c r="D30" s="217">
        <v>1242186</v>
      </c>
      <c r="E30" s="217">
        <v>975</v>
      </c>
      <c r="F30" s="217">
        <v>0</v>
      </c>
      <c r="G30" s="217">
        <v>0</v>
      </c>
      <c r="H30" s="217">
        <v>0</v>
      </c>
      <c r="I30" s="256">
        <f t="shared" si="3"/>
        <v>0</v>
      </c>
      <c r="J30" s="217">
        <v>0</v>
      </c>
      <c r="K30" s="217">
        <v>0</v>
      </c>
      <c r="L30" s="217">
        <v>0</v>
      </c>
      <c r="M30" s="217">
        <v>0</v>
      </c>
      <c r="N30" s="256">
        <f t="shared" si="2"/>
        <v>0</v>
      </c>
      <c r="O30" s="217">
        <v>0</v>
      </c>
      <c r="P30" s="217">
        <v>0</v>
      </c>
      <c r="Q30" s="217">
        <v>0</v>
      </c>
      <c r="R30" s="217">
        <v>0</v>
      </c>
      <c r="S30" s="217">
        <v>0</v>
      </c>
      <c r="T30" s="297">
        <v>13000</v>
      </c>
      <c r="U30"/>
    </row>
    <row r="31" spans="1:21" ht="33.75" customHeight="1">
      <c r="A31" s="48" t="s">
        <v>458</v>
      </c>
      <c r="B31" s="258" t="s">
        <v>455</v>
      </c>
      <c r="C31" s="256">
        <f t="shared" si="1"/>
        <v>476154810</v>
      </c>
      <c r="D31" s="217">
        <v>381176075</v>
      </c>
      <c r="E31" s="217">
        <v>83740862</v>
      </c>
      <c r="F31" s="217">
        <v>1810909</v>
      </c>
      <c r="G31" s="217">
        <v>23555115</v>
      </c>
      <c r="H31" s="217">
        <v>3316606</v>
      </c>
      <c r="I31" s="256">
        <f t="shared" si="3"/>
        <v>28553809</v>
      </c>
      <c r="J31" s="217">
        <v>3767688</v>
      </c>
      <c r="K31" s="217">
        <v>23950734</v>
      </c>
      <c r="L31" s="217">
        <v>708744</v>
      </c>
      <c r="M31" s="217">
        <v>126643</v>
      </c>
      <c r="N31" s="256">
        <f t="shared" si="2"/>
        <v>17444757</v>
      </c>
      <c r="O31" s="217">
        <v>0</v>
      </c>
      <c r="P31" s="217">
        <v>6893260</v>
      </c>
      <c r="Q31" s="217">
        <v>3224</v>
      </c>
      <c r="R31" s="217">
        <v>10413946</v>
      </c>
      <c r="S31" s="217">
        <v>134327</v>
      </c>
      <c r="T31" s="297">
        <v>13100</v>
      </c>
      <c r="U31"/>
    </row>
    <row r="32" spans="1:21" ht="23.25" customHeight="1">
      <c r="A32" s="48" t="s">
        <v>460</v>
      </c>
      <c r="B32" s="258" t="s">
        <v>457</v>
      </c>
      <c r="C32" s="256">
        <f t="shared" si="1"/>
        <v>32400</v>
      </c>
      <c r="D32" s="217">
        <v>32400</v>
      </c>
      <c r="E32" s="217">
        <v>0</v>
      </c>
      <c r="F32" s="217">
        <v>0</v>
      </c>
      <c r="G32" s="217">
        <v>0</v>
      </c>
      <c r="H32" s="217">
        <v>0</v>
      </c>
      <c r="I32" s="256">
        <f t="shared" si="3"/>
        <v>0</v>
      </c>
      <c r="J32" s="217">
        <v>0</v>
      </c>
      <c r="K32" s="217">
        <v>0</v>
      </c>
      <c r="L32" s="217">
        <v>0</v>
      </c>
      <c r="M32" s="217">
        <v>0</v>
      </c>
      <c r="N32" s="256">
        <f t="shared" si="2"/>
        <v>0</v>
      </c>
      <c r="O32" s="217">
        <v>0</v>
      </c>
      <c r="P32" s="217">
        <v>0</v>
      </c>
      <c r="Q32" s="217">
        <v>0</v>
      </c>
      <c r="R32" s="217">
        <v>0</v>
      </c>
      <c r="S32" s="217">
        <v>0</v>
      </c>
      <c r="T32" s="297">
        <v>13200</v>
      </c>
      <c r="U32"/>
    </row>
    <row r="33" spans="1:21" ht="32.25" customHeight="1">
      <c r="A33" s="48" t="s">
        <v>462</v>
      </c>
      <c r="B33" s="258" t="s">
        <v>736</v>
      </c>
      <c r="C33" s="256">
        <f t="shared" si="1"/>
        <v>5712</v>
      </c>
      <c r="D33" s="217">
        <v>5712</v>
      </c>
      <c r="E33" s="217">
        <v>0</v>
      </c>
      <c r="F33" s="217">
        <v>0</v>
      </c>
      <c r="G33" s="217">
        <v>0</v>
      </c>
      <c r="H33" s="217">
        <v>0</v>
      </c>
      <c r="I33" s="256">
        <f>SUM(J33:M33)</f>
        <v>0</v>
      </c>
      <c r="J33" s="217">
        <v>0</v>
      </c>
      <c r="K33" s="217">
        <v>0</v>
      </c>
      <c r="L33" s="217">
        <v>0</v>
      </c>
      <c r="M33" s="217">
        <v>0</v>
      </c>
      <c r="N33" s="256">
        <f t="shared" si="2"/>
        <v>0</v>
      </c>
      <c r="O33" s="217">
        <v>0</v>
      </c>
      <c r="P33" s="217">
        <v>0</v>
      </c>
      <c r="Q33" s="217">
        <v>0</v>
      </c>
      <c r="R33" s="217">
        <v>0</v>
      </c>
      <c r="S33" s="217">
        <v>0</v>
      </c>
      <c r="T33" s="297">
        <v>13300</v>
      </c>
      <c r="U33"/>
    </row>
    <row r="34" spans="1:21" ht="32.25" customHeight="1">
      <c r="A34" s="48" t="s">
        <v>464</v>
      </c>
      <c r="B34" s="258" t="s">
        <v>737</v>
      </c>
      <c r="C34" s="256">
        <f t="shared" si="1"/>
        <v>0</v>
      </c>
      <c r="D34" s="217">
        <v>0</v>
      </c>
      <c r="E34" s="217">
        <v>0</v>
      </c>
      <c r="F34" s="217">
        <v>0</v>
      </c>
      <c r="G34" s="217">
        <v>0</v>
      </c>
      <c r="H34" s="217">
        <v>0</v>
      </c>
      <c r="I34" s="256">
        <f>SUM(J34:M34)</f>
        <v>0</v>
      </c>
      <c r="J34" s="217">
        <v>0</v>
      </c>
      <c r="K34" s="217">
        <v>0</v>
      </c>
      <c r="L34" s="217">
        <v>0</v>
      </c>
      <c r="M34" s="217">
        <v>0</v>
      </c>
      <c r="N34" s="256">
        <f t="shared" si="2"/>
        <v>0</v>
      </c>
      <c r="O34" s="217">
        <v>0</v>
      </c>
      <c r="P34" s="217">
        <v>0</v>
      </c>
      <c r="Q34" s="217">
        <v>0</v>
      </c>
      <c r="R34" s="217">
        <v>0</v>
      </c>
      <c r="S34" s="217">
        <v>0</v>
      </c>
      <c r="T34" s="297">
        <v>14300</v>
      </c>
      <c r="U34"/>
    </row>
    <row r="35" spans="1:21" ht="33.75" customHeight="1">
      <c r="A35" s="48" t="s">
        <v>466</v>
      </c>
      <c r="B35" s="258" t="s">
        <v>459</v>
      </c>
      <c r="C35" s="256">
        <f t="shared" si="1"/>
        <v>1457916</v>
      </c>
      <c r="D35" s="217">
        <v>711250</v>
      </c>
      <c r="E35" s="217">
        <v>853333</v>
      </c>
      <c r="F35" s="217">
        <v>0</v>
      </c>
      <c r="G35" s="217">
        <v>0</v>
      </c>
      <c r="H35" s="217">
        <v>0</v>
      </c>
      <c r="I35" s="256">
        <f t="shared" si="3"/>
        <v>213333</v>
      </c>
      <c r="J35" s="217">
        <v>71111</v>
      </c>
      <c r="K35" s="217">
        <v>142222</v>
      </c>
      <c r="L35" s="217">
        <v>0</v>
      </c>
      <c r="M35" s="217">
        <v>0</v>
      </c>
      <c r="N35" s="256">
        <f t="shared" si="2"/>
        <v>106667</v>
      </c>
      <c r="O35" s="217">
        <v>0</v>
      </c>
      <c r="P35" s="217">
        <v>106667</v>
      </c>
      <c r="Q35" s="217">
        <v>0</v>
      </c>
      <c r="R35" s="217">
        <v>0</v>
      </c>
      <c r="S35" s="217">
        <v>0</v>
      </c>
      <c r="T35" s="297">
        <v>14400</v>
      </c>
      <c r="U35"/>
    </row>
    <row r="36" spans="1:21" ht="23.25" customHeight="1">
      <c r="A36" s="48" t="s">
        <v>468</v>
      </c>
      <c r="B36" s="258" t="s">
        <v>461</v>
      </c>
      <c r="C36" s="256">
        <f t="shared" si="1"/>
        <v>0</v>
      </c>
      <c r="D36" s="217">
        <v>0</v>
      </c>
      <c r="E36" s="217">
        <v>0</v>
      </c>
      <c r="F36" s="217">
        <v>0</v>
      </c>
      <c r="G36" s="217">
        <v>0</v>
      </c>
      <c r="H36" s="217">
        <v>0</v>
      </c>
      <c r="I36" s="256">
        <f t="shared" si="3"/>
        <v>0</v>
      </c>
      <c r="J36" s="217">
        <v>0</v>
      </c>
      <c r="K36" s="217">
        <v>0</v>
      </c>
      <c r="L36" s="217">
        <v>0</v>
      </c>
      <c r="M36" s="217">
        <v>0</v>
      </c>
      <c r="N36" s="256">
        <f t="shared" si="2"/>
        <v>0</v>
      </c>
      <c r="O36" s="217">
        <v>0</v>
      </c>
      <c r="P36" s="217">
        <v>0</v>
      </c>
      <c r="Q36" s="217">
        <v>0</v>
      </c>
      <c r="R36" s="217">
        <v>0</v>
      </c>
      <c r="S36" s="217">
        <v>0</v>
      </c>
      <c r="T36" s="297">
        <v>14500</v>
      </c>
      <c r="U36"/>
    </row>
    <row r="37" spans="1:21" ht="23.25" customHeight="1">
      <c r="A37" s="48" t="s">
        <v>470</v>
      </c>
      <c r="B37" s="258" t="s">
        <v>463</v>
      </c>
      <c r="C37" s="256">
        <f t="shared" si="1"/>
        <v>0</v>
      </c>
      <c r="D37" s="217">
        <v>0</v>
      </c>
      <c r="E37" s="217">
        <v>0</v>
      </c>
      <c r="F37" s="217">
        <v>0</v>
      </c>
      <c r="G37" s="217">
        <v>0</v>
      </c>
      <c r="H37" s="217">
        <v>0</v>
      </c>
      <c r="I37" s="256">
        <f t="shared" si="3"/>
        <v>0</v>
      </c>
      <c r="J37" s="217">
        <v>0</v>
      </c>
      <c r="K37" s="217">
        <v>0</v>
      </c>
      <c r="L37" s="217">
        <v>0</v>
      </c>
      <c r="M37" s="217">
        <v>0</v>
      </c>
      <c r="N37" s="256">
        <f t="shared" si="2"/>
        <v>0</v>
      </c>
      <c r="O37" s="217">
        <v>0</v>
      </c>
      <c r="P37" s="217">
        <v>0</v>
      </c>
      <c r="Q37" s="217">
        <v>0</v>
      </c>
      <c r="R37" s="217">
        <v>0</v>
      </c>
      <c r="S37" s="217">
        <v>0</v>
      </c>
      <c r="T37" s="297">
        <v>14700</v>
      </c>
      <c r="U37"/>
    </row>
    <row r="38" spans="1:21" ht="23.25" customHeight="1">
      <c r="A38" s="48" t="s">
        <v>472</v>
      </c>
      <c r="B38" s="258" t="s">
        <v>465</v>
      </c>
      <c r="C38" s="256">
        <f t="shared" si="1"/>
        <v>0</v>
      </c>
      <c r="D38" s="217">
        <v>0</v>
      </c>
      <c r="E38" s="217">
        <v>0</v>
      </c>
      <c r="F38" s="217">
        <v>0</v>
      </c>
      <c r="G38" s="217">
        <v>0</v>
      </c>
      <c r="H38" s="217">
        <v>0</v>
      </c>
      <c r="I38" s="256">
        <f t="shared" si="3"/>
        <v>0</v>
      </c>
      <c r="J38" s="217">
        <v>0</v>
      </c>
      <c r="K38" s="217">
        <v>0</v>
      </c>
      <c r="L38" s="217">
        <v>0</v>
      </c>
      <c r="M38" s="217">
        <v>0</v>
      </c>
      <c r="N38" s="256">
        <f t="shared" si="2"/>
        <v>0</v>
      </c>
      <c r="O38" s="217">
        <v>0</v>
      </c>
      <c r="P38" s="217">
        <v>0</v>
      </c>
      <c r="Q38" s="217">
        <v>0</v>
      </c>
      <c r="R38" s="217">
        <v>0</v>
      </c>
      <c r="S38" s="217">
        <v>0</v>
      </c>
      <c r="T38" s="297">
        <v>14800</v>
      </c>
      <c r="U38"/>
    </row>
    <row r="39" spans="1:21" ht="23.25" customHeight="1">
      <c r="A39" s="48" t="s">
        <v>473</v>
      </c>
      <c r="B39" s="258" t="s">
        <v>467</v>
      </c>
      <c r="C39" s="256">
        <f t="shared" si="1"/>
        <v>2178550333</v>
      </c>
      <c r="D39" s="217">
        <v>1843572200</v>
      </c>
      <c r="E39" s="217">
        <v>354420338</v>
      </c>
      <c r="F39" s="217">
        <v>21854383</v>
      </c>
      <c r="G39" s="217">
        <v>3097592</v>
      </c>
      <c r="H39" s="217">
        <v>1126746</v>
      </c>
      <c r="I39" s="256">
        <f t="shared" si="3"/>
        <v>13591847</v>
      </c>
      <c r="J39" s="217">
        <v>6428833</v>
      </c>
      <c r="K39" s="217">
        <v>6257780</v>
      </c>
      <c r="L39" s="217">
        <v>844706</v>
      </c>
      <c r="M39" s="217">
        <v>60528</v>
      </c>
      <c r="N39" s="256">
        <f t="shared" si="2"/>
        <v>45520926</v>
      </c>
      <c r="O39" s="217">
        <v>0</v>
      </c>
      <c r="P39" s="217">
        <v>36475174</v>
      </c>
      <c r="Q39" s="217">
        <v>5552196</v>
      </c>
      <c r="R39" s="217">
        <v>2180757</v>
      </c>
      <c r="S39" s="217">
        <v>1312799</v>
      </c>
      <c r="T39" s="297">
        <v>14900</v>
      </c>
      <c r="U39"/>
    </row>
    <row r="40" spans="1:21" ht="23.25" customHeight="1">
      <c r="A40" s="48" t="s">
        <v>475</v>
      </c>
      <c r="B40" s="258" t="s">
        <v>469</v>
      </c>
      <c r="C40" s="256">
        <f t="shared" si="1"/>
        <v>303241650</v>
      </c>
      <c r="D40" s="217">
        <v>252314700</v>
      </c>
      <c r="E40" s="217">
        <v>57009322</v>
      </c>
      <c r="F40" s="217">
        <v>34212</v>
      </c>
      <c r="G40" s="217">
        <v>1094088</v>
      </c>
      <c r="H40" s="217">
        <v>532419</v>
      </c>
      <c r="I40" s="256">
        <f t="shared" si="3"/>
        <v>5354365</v>
      </c>
      <c r="J40" s="217">
        <v>2598363</v>
      </c>
      <c r="K40" s="217">
        <v>2277049</v>
      </c>
      <c r="L40" s="217">
        <v>368469</v>
      </c>
      <c r="M40" s="217">
        <v>110484</v>
      </c>
      <c r="N40" s="256">
        <f t="shared" si="2"/>
        <v>7743091</v>
      </c>
      <c r="O40" s="217">
        <v>0</v>
      </c>
      <c r="P40" s="217">
        <v>6103528</v>
      </c>
      <c r="Q40" s="217">
        <v>9574</v>
      </c>
      <c r="R40" s="217">
        <v>773488</v>
      </c>
      <c r="S40" s="217">
        <v>856501</v>
      </c>
      <c r="T40" s="297">
        <v>15000</v>
      </c>
      <c r="U40"/>
    </row>
    <row r="41" spans="1:21" ht="33.75" customHeight="1">
      <c r="A41" s="48" t="s">
        <v>477</v>
      </c>
      <c r="B41" s="258" t="s">
        <v>471</v>
      </c>
      <c r="C41" s="256">
        <f t="shared" si="1"/>
        <v>195521810</v>
      </c>
      <c r="D41" s="217">
        <v>186611810</v>
      </c>
      <c r="E41" s="217">
        <v>9900000</v>
      </c>
      <c r="F41" s="217">
        <v>0</v>
      </c>
      <c r="G41" s="217">
        <v>0</v>
      </c>
      <c r="H41" s="217">
        <v>0</v>
      </c>
      <c r="I41" s="256">
        <f t="shared" si="3"/>
        <v>529358</v>
      </c>
      <c r="J41" s="217">
        <v>108412</v>
      </c>
      <c r="K41" s="217">
        <v>130996</v>
      </c>
      <c r="L41" s="217">
        <v>74758</v>
      </c>
      <c r="M41" s="217">
        <v>215192</v>
      </c>
      <c r="N41" s="256">
        <f t="shared" si="2"/>
        <v>990000</v>
      </c>
      <c r="O41" s="217">
        <v>0</v>
      </c>
      <c r="P41" s="217">
        <v>990000</v>
      </c>
      <c r="Q41" s="217">
        <v>0</v>
      </c>
      <c r="R41" s="217">
        <v>0</v>
      </c>
      <c r="S41" s="217">
        <v>0</v>
      </c>
      <c r="T41" s="297">
        <v>15100</v>
      </c>
      <c r="U41"/>
    </row>
    <row r="42" spans="1:21" ht="23.25" customHeight="1">
      <c r="A42" s="48" t="s">
        <v>479</v>
      </c>
      <c r="B42" s="258" t="s">
        <v>734</v>
      </c>
      <c r="C42" s="256">
        <f t="shared" si="1"/>
        <v>41013185</v>
      </c>
      <c r="D42" s="217">
        <v>41006780</v>
      </c>
      <c r="E42" s="217">
        <v>7225</v>
      </c>
      <c r="F42" s="217">
        <v>0</v>
      </c>
      <c r="G42" s="217">
        <v>0</v>
      </c>
      <c r="H42" s="217">
        <v>0</v>
      </c>
      <c r="I42" s="256">
        <f t="shared" si="3"/>
        <v>1243162</v>
      </c>
      <c r="J42" s="217">
        <v>249862</v>
      </c>
      <c r="K42" s="217">
        <v>387035</v>
      </c>
      <c r="L42" s="217">
        <v>118914</v>
      </c>
      <c r="M42" s="217">
        <v>487351</v>
      </c>
      <c r="N42" s="256">
        <f t="shared" si="2"/>
        <v>820</v>
      </c>
      <c r="O42" s="217">
        <v>0</v>
      </c>
      <c r="P42" s="217">
        <v>820</v>
      </c>
      <c r="Q42" s="217">
        <v>0</v>
      </c>
      <c r="R42" s="217">
        <v>0</v>
      </c>
      <c r="S42" s="217">
        <v>0</v>
      </c>
      <c r="T42" s="297">
        <v>15200</v>
      </c>
      <c r="U42"/>
    </row>
    <row r="43" spans="1:21" ht="23.25" customHeight="1">
      <c r="A43" s="48" t="s">
        <v>481</v>
      </c>
      <c r="B43" s="258" t="s">
        <v>474</v>
      </c>
      <c r="C43" s="256">
        <f t="shared" si="1"/>
        <v>238677974</v>
      </c>
      <c r="D43" s="217">
        <v>163590205</v>
      </c>
      <c r="E43" s="217">
        <v>80537109</v>
      </c>
      <c r="F43" s="217">
        <v>0</v>
      </c>
      <c r="G43" s="217">
        <v>0</v>
      </c>
      <c r="H43" s="217">
        <v>0</v>
      </c>
      <c r="I43" s="256">
        <f t="shared" si="3"/>
        <v>148588</v>
      </c>
      <c r="J43" s="217">
        <v>25223</v>
      </c>
      <c r="K43" s="217">
        <v>123365</v>
      </c>
      <c r="L43" s="217">
        <v>0</v>
      </c>
      <c r="M43" s="217">
        <v>0</v>
      </c>
      <c r="N43" s="256">
        <f t="shared" si="2"/>
        <v>5449340</v>
      </c>
      <c r="O43" s="217">
        <v>0</v>
      </c>
      <c r="P43" s="217">
        <v>5449340</v>
      </c>
      <c r="Q43" s="217">
        <v>0</v>
      </c>
      <c r="R43" s="217">
        <v>0</v>
      </c>
      <c r="S43" s="217">
        <v>0</v>
      </c>
      <c r="T43" s="297">
        <v>15300</v>
      </c>
      <c r="U43"/>
    </row>
    <row r="44" spans="1:21" ht="23.25" customHeight="1">
      <c r="A44" s="48" t="s">
        <v>483</v>
      </c>
      <c r="B44" s="258" t="s">
        <v>476</v>
      </c>
      <c r="C44" s="256">
        <f t="shared" si="1"/>
        <v>0</v>
      </c>
      <c r="D44" s="217">
        <v>0</v>
      </c>
      <c r="E44" s="217">
        <v>0</v>
      </c>
      <c r="F44" s="217">
        <v>0</v>
      </c>
      <c r="G44" s="217">
        <v>0</v>
      </c>
      <c r="H44" s="217">
        <v>0</v>
      </c>
      <c r="I44" s="256">
        <f t="shared" si="3"/>
        <v>0</v>
      </c>
      <c r="J44" s="217">
        <v>0</v>
      </c>
      <c r="K44" s="217">
        <v>0</v>
      </c>
      <c r="L44" s="217">
        <v>0</v>
      </c>
      <c r="M44" s="217">
        <v>0</v>
      </c>
      <c r="N44" s="256">
        <f t="shared" si="2"/>
        <v>0</v>
      </c>
      <c r="O44" s="217">
        <v>0</v>
      </c>
      <c r="P44" s="217">
        <v>0</v>
      </c>
      <c r="Q44" s="217">
        <v>0</v>
      </c>
      <c r="R44" s="217">
        <v>0</v>
      </c>
      <c r="S44" s="217">
        <v>0</v>
      </c>
      <c r="T44" s="297">
        <v>15400</v>
      </c>
      <c r="U44"/>
    </row>
    <row r="45" spans="1:21" ht="33.75" customHeight="1">
      <c r="A45" s="48" t="s">
        <v>485</v>
      </c>
      <c r="B45" s="258" t="s">
        <v>478</v>
      </c>
      <c r="C45" s="256">
        <f t="shared" si="1"/>
        <v>4671581012</v>
      </c>
      <c r="D45" s="217">
        <v>3837848574</v>
      </c>
      <c r="E45" s="217">
        <v>922624394</v>
      </c>
      <c r="F45" s="217">
        <v>9785048</v>
      </c>
      <c r="G45" s="217">
        <v>5512901</v>
      </c>
      <c r="H45" s="217">
        <v>3499210</v>
      </c>
      <c r="I45" s="256">
        <f t="shared" si="3"/>
        <v>36341384</v>
      </c>
      <c r="J45" s="217">
        <v>13018636</v>
      </c>
      <c r="K45" s="217">
        <v>16210642</v>
      </c>
      <c r="L45" s="217">
        <v>4177405</v>
      </c>
      <c r="M45" s="217">
        <v>2934701</v>
      </c>
      <c r="N45" s="256">
        <f t="shared" si="2"/>
        <v>107689115</v>
      </c>
      <c r="O45" s="217">
        <v>0</v>
      </c>
      <c r="P45" s="217">
        <v>94267017</v>
      </c>
      <c r="Q45" s="217">
        <v>2895765</v>
      </c>
      <c r="R45" s="217">
        <v>3869898</v>
      </c>
      <c r="S45" s="217">
        <v>6656435</v>
      </c>
      <c r="T45" s="297">
        <v>15500</v>
      </c>
      <c r="U45"/>
    </row>
    <row r="46" spans="1:21" ht="18" customHeight="1">
      <c r="A46" s="48" t="s">
        <v>487</v>
      </c>
      <c r="B46" s="258" t="s">
        <v>726</v>
      </c>
      <c r="C46" s="256">
        <f t="shared" si="1"/>
        <v>11215610</v>
      </c>
      <c r="D46" s="217">
        <v>10637682</v>
      </c>
      <c r="E46" s="217">
        <v>397894</v>
      </c>
      <c r="F46" s="217">
        <v>293097</v>
      </c>
      <c r="G46" s="217">
        <v>0</v>
      </c>
      <c r="H46" s="217">
        <v>67148</v>
      </c>
      <c r="I46" s="256">
        <f t="shared" si="3"/>
        <v>100333</v>
      </c>
      <c r="J46" s="217">
        <v>10108</v>
      </c>
      <c r="K46" s="217">
        <v>64188</v>
      </c>
      <c r="L46" s="217">
        <v>4111</v>
      </c>
      <c r="M46" s="217">
        <v>21926</v>
      </c>
      <c r="N46" s="256">
        <f t="shared" si="2"/>
        <v>180211</v>
      </c>
      <c r="O46" s="217">
        <v>0</v>
      </c>
      <c r="P46" s="217">
        <v>39789</v>
      </c>
      <c r="Q46" s="217">
        <v>73274</v>
      </c>
      <c r="R46" s="217">
        <v>0</v>
      </c>
      <c r="S46" s="217">
        <v>67148</v>
      </c>
      <c r="T46" s="297">
        <v>15600</v>
      </c>
      <c r="U46"/>
    </row>
    <row r="47" spans="1:21" ht="23.25" customHeight="1">
      <c r="A47" s="48" t="s">
        <v>489</v>
      </c>
      <c r="B47" s="258" t="s">
        <v>480</v>
      </c>
      <c r="C47" s="256">
        <f t="shared" si="1"/>
        <v>-25054</v>
      </c>
      <c r="D47" s="217">
        <v>0</v>
      </c>
      <c r="E47" s="217">
        <v>0</v>
      </c>
      <c r="F47" s="217">
        <v>0</v>
      </c>
      <c r="G47" s="217">
        <v>0</v>
      </c>
      <c r="H47" s="217">
        <v>7072754</v>
      </c>
      <c r="I47" s="256">
        <f t="shared" si="3"/>
        <v>0</v>
      </c>
      <c r="J47" s="217">
        <v>0</v>
      </c>
      <c r="K47" s="217">
        <v>0</v>
      </c>
      <c r="L47" s="217">
        <v>0</v>
      </c>
      <c r="M47" s="217">
        <v>0</v>
      </c>
      <c r="N47" s="256">
        <f t="shared" si="2"/>
        <v>7097808</v>
      </c>
      <c r="O47" s="217">
        <v>0</v>
      </c>
      <c r="P47" s="217">
        <v>0</v>
      </c>
      <c r="Q47" s="217">
        <v>0</v>
      </c>
      <c r="R47" s="217">
        <v>0</v>
      </c>
      <c r="S47" s="217">
        <v>7097808</v>
      </c>
      <c r="T47" s="297">
        <v>15700</v>
      </c>
      <c r="U47"/>
    </row>
    <row r="48" spans="1:21" ht="33.75" customHeight="1">
      <c r="A48" s="48" t="s">
        <v>491</v>
      </c>
      <c r="B48" s="258" t="s">
        <v>482</v>
      </c>
      <c r="C48" s="256">
        <f t="shared" si="1"/>
        <v>107220</v>
      </c>
      <c r="D48" s="217">
        <v>107220</v>
      </c>
      <c r="E48" s="217">
        <v>0</v>
      </c>
      <c r="F48" s="217">
        <v>0</v>
      </c>
      <c r="G48" s="217">
        <v>0</v>
      </c>
      <c r="H48" s="217">
        <v>0</v>
      </c>
      <c r="I48" s="256">
        <f t="shared" si="3"/>
        <v>0</v>
      </c>
      <c r="J48" s="217">
        <v>0</v>
      </c>
      <c r="K48" s="217">
        <v>0</v>
      </c>
      <c r="L48" s="217">
        <v>0</v>
      </c>
      <c r="M48" s="217">
        <v>0</v>
      </c>
      <c r="N48" s="256">
        <f t="shared" si="2"/>
        <v>0</v>
      </c>
      <c r="O48" s="217">
        <v>0</v>
      </c>
      <c r="P48" s="644">
        <v>0</v>
      </c>
      <c r="Q48" s="217">
        <v>0</v>
      </c>
      <c r="R48" s="217">
        <v>0</v>
      </c>
      <c r="S48" s="217">
        <v>0</v>
      </c>
      <c r="T48" s="297">
        <v>15800</v>
      </c>
      <c r="U48"/>
    </row>
    <row r="49" spans="1:29" ht="23.25" customHeight="1">
      <c r="A49" s="48" t="s">
        <v>673</v>
      </c>
      <c r="B49" s="258" t="s">
        <v>484</v>
      </c>
      <c r="C49" s="256">
        <f t="shared" si="1"/>
        <v>0</v>
      </c>
      <c r="D49" s="217">
        <v>0</v>
      </c>
      <c r="E49" s="217">
        <v>0</v>
      </c>
      <c r="F49" s="217">
        <v>0</v>
      </c>
      <c r="G49" s="217">
        <v>0</v>
      </c>
      <c r="H49" s="217">
        <v>0</v>
      </c>
      <c r="I49" s="256">
        <f t="shared" si="3"/>
        <v>0</v>
      </c>
      <c r="J49" s="217">
        <v>0</v>
      </c>
      <c r="K49" s="217">
        <v>0</v>
      </c>
      <c r="L49" s="217">
        <v>0</v>
      </c>
      <c r="M49" s="217">
        <v>0</v>
      </c>
      <c r="N49" s="256">
        <f t="shared" si="2"/>
        <v>0</v>
      </c>
      <c r="O49" s="217">
        <v>0</v>
      </c>
      <c r="P49" s="645">
        <v>0</v>
      </c>
      <c r="Q49" s="217">
        <v>0</v>
      </c>
      <c r="R49" s="217">
        <v>0</v>
      </c>
      <c r="S49" s="217">
        <v>0</v>
      </c>
      <c r="T49" s="297">
        <v>15900</v>
      </c>
      <c r="U49"/>
    </row>
    <row r="50" spans="1:29" ht="23.25" customHeight="1">
      <c r="A50" s="48" t="s">
        <v>674</v>
      </c>
      <c r="B50" s="258" t="s">
        <v>486</v>
      </c>
      <c r="C50" s="256">
        <f t="shared" si="1"/>
        <v>186692854</v>
      </c>
      <c r="D50" s="217">
        <v>186692854</v>
      </c>
      <c r="E50" s="217">
        <v>0</v>
      </c>
      <c r="F50" s="217">
        <v>0</v>
      </c>
      <c r="G50" s="217">
        <v>0</v>
      </c>
      <c r="H50" s="217">
        <v>0</v>
      </c>
      <c r="I50" s="256">
        <f t="shared" si="3"/>
        <v>73177177</v>
      </c>
      <c r="J50" s="217">
        <v>29321452</v>
      </c>
      <c r="K50" s="217">
        <v>32835596</v>
      </c>
      <c r="L50" s="217">
        <v>9221568</v>
      </c>
      <c r="M50" s="217">
        <v>1798561</v>
      </c>
      <c r="N50" s="256">
        <f t="shared" si="2"/>
        <v>0</v>
      </c>
      <c r="O50" s="217">
        <v>0</v>
      </c>
      <c r="P50" s="217">
        <v>0</v>
      </c>
      <c r="Q50" s="217">
        <v>0</v>
      </c>
      <c r="R50" s="217">
        <v>0</v>
      </c>
      <c r="S50" s="217">
        <v>0</v>
      </c>
      <c r="T50" s="297">
        <v>16300</v>
      </c>
      <c r="U50"/>
    </row>
    <row r="51" spans="1:29" ht="23.25" customHeight="1">
      <c r="A51" s="48" t="s">
        <v>719</v>
      </c>
      <c r="B51" s="258" t="s">
        <v>488</v>
      </c>
      <c r="C51" s="256">
        <f t="shared" si="1"/>
        <v>86941</v>
      </c>
      <c r="D51" s="217">
        <v>86941</v>
      </c>
      <c r="E51" s="217">
        <v>0</v>
      </c>
      <c r="F51" s="217">
        <v>0</v>
      </c>
      <c r="G51" s="217">
        <v>0</v>
      </c>
      <c r="H51" s="217">
        <v>0</v>
      </c>
      <c r="I51" s="256">
        <f t="shared" si="3"/>
        <v>0</v>
      </c>
      <c r="J51" s="217">
        <v>0</v>
      </c>
      <c r="K51" s="217">
        <v>0</v>
      </c>
      <c r="L51" s="217">
        <v>0</v>
      </c>
      <c r="M51" s="217">
        <v>0</v>
      </c>
      <c r="N51" s="256">
        <f t="shared" si="2"/>
        <v>0</v>
      </c>
      <c r="O51" s="217">
        <v>0</v>
      </c>
      <c r="P51" s="217">
        <v>0</v>
      </c>
      <c r="Q51" s="217">
        <v>0</v>
      </c>
      <c r="R51" s="217">
        <v>0</v>
      </c>
      <c r="S51" s="217">
        <v>0</v>
      </c>
      <c r="T51" s="297">
        <v>16400</v>
      </c>
      <c r="U51"/>
    </row>
    <row r="52" spans="1:29" ht="23.25" customHeight="1">
      <c r="A52" s="48" t="s">
        <v>727</v>
      </c>
      <c r="B52" s="258" t="s">
        <v>718</v>
      </c>
      <c r="C52" s="256">
        <f t="shared" si="1"/>
        <v>201393654</v>
      </c>
      <c r="D52" s="217">
        <v>201393654</v>
      </c>
      <c r="E52" s="217">
        <v>0</v>
      </c>
      <c r="F52" s="217">
        <v>0</v>
      </c>
      <c r="G52" s="217">
        <v>0</v>
      </c>
      <c r="H52" s="217">
        <v>0</v>
      </c>
      <c r="I52" s="256">
        <f t="shared" si="3"/>
        <v>0</v>
      </c>
      <c r="J52" s="217">
        <v>0</v>
      </c>
      <c r="K52" s="217">
        <v>0</v>
      </c>
      <c r="L52" s="217">
        <v>0</v>
      </c>
      <c r="M52" s="217">
        <v>0</v>
      </c>
      <c r="N52" s="256">
        <f t="shared" si="2"/>
        <v>0</v>
      </c>
      <c r="O52" s="217">
        <v>0</v>
      </c>
      <c r="P52" s="217">
        <v>0</v>
      </c>
      <c r="Q52" s="217">
        <v>0</v>
      </c>
      <c r="R52" s="217">
        <v>0</v>
      </c>
      <c r="S52" s="217">
        <v>0</v>
      </c>
      <c r="T52" s="297">
        <v>16500</v>
      </c>
      <c r="U52"/>
    </row>
    <row r="53" spans="1:29" ht="23.25" customHeight="1">
      <c r="A53" s="48" t="s">
        <v>728</v>
      </c>
      <c r="B53" s="258" t="s">
        <v>721</v>
      </c>
      <c r="C53" s="256">
        <f t="shared" si="1"/>
        <v>407371</v>
      </c>
      <c r="D53" s="217">
        <v>407371</v>
      </c>
      <c r="E53" s="217">
        <v>0</v>
      </c>
      <c r="F53" s="217">
        <v>0</v>
      </c>
      <c r="G53" s="217">
        <v>0</v>
      </c>
      <c r="H53" s="217">
        <v>0</v>
      </c>
      <c r="I53" s="256">
        <f t="shared" si="3"/>
        <v>0</v>
      </c>
      <c r="J53" s="217">
        <v>0</v>
      </c>
      <c r="K53" s="217">
        <v>0</v>
      </c>
      <c r="L53" s="217">
        <v>0</v>
      </c>
      <c r="M53" s="217">
        <v>0</v>
      </c>
      <c r="N53" s="256">
        <f t="shared" si="2"/>
        <v>0</v>
      </c>
      <c r="O53" s="217">
        <v>0</v>
      </c>
      <c r="P53" s="217">
        <v>0</v>
      </c>
      <c r="Q53" s="217">
        <v>0</v>
      </c>
      <c r="R53" s="217">
        <v>0</v>
      </c>
      <c r="S53" s="217">
        <v>0</v>
      </c>
      <c r="T53" s="297">
        <v>16600</v>
      </c>
      <c r="U53"/>
    </row>
    <row r="54" spans="1:29" ht="23.25" customHeight="1">
      <c r="A54" s="48" t="s">
        <v>729</v>
      </c>
      <c r="B54" s="258" t="s">
        <v>490</v>
      </c>
      <c r="C54" s="256">
        <f t="shared" si="1"/>
        <v>0</v>
      </c>
      <c r="D54" s="217">
        <v>0</v>
      </c>
      <c r="E54" s="217">
        <v>0</v>
      </c>
      <c r="F54" s="217">
        <v>0</v>
      </c>
      <c r="G54" s="217">
        <v>0</v>
      </c>
      <c r="H54" s="217">
        <v>0</v>
      </c>
      <c r="I54" s="256">
        <f t="shared" si="3"/>
        <v>0</v>
      </c>
      <c r="J54" s="217">
        <v>0</v>
      </c>
      <c r="K54" s="217">
        <v>0</v>
      </c>
      <c r="L54" s="217">
        <v>0</v>
      </c>
      <c r="M54" s="217">
        <v>0</v>
      </c>
      <c r="N54" s="256">
        <f t="shared" si="2"/>
        <v>0</v>
      </c>
      <c r="O54" s="217">
        <v>0</v>
      </c>
      <c r="P54" s="217">
        <v>0</v>
      </c>
      <c r="Q54" s="217">
        <v>0</v>
      </c>
      <c r="R54" s="217">
        <v>0</v>
      </c>
      <c r="S54" s="217">
        <v>0</v>
      </c>
      <c r="T54" s="369">
        <v>16700</v>
      </c>
      <c r="U54" s="370"/>
    </row>
    <row r="55" spans="1:29" ht="23.25" customHeight="1">
      <c r="A55" s="376" t="s">
        <v>730</v>
      </c>
      <c r="B55" s="258" t="s">
        <v>752</v>
      </c>
      <c r="C55" s="256">
        <f>SUM(D55:H55)-N55+O55</f>
        <v>7976742</v>
      </c>
      <c r="D55" s="217">
        <v>10156851</v>
      </c>
      <c r="E55" s="217">
        <v>0</v>
      </c>
      <c r="F55" s="217">
        <v>0</v>
      </c>
      <c r="G55" s="217">
        <v>0</v>
      </c>
      <c r="H55" s="217">
        <v>0</v>
      </c>
      <c r="I55" s="256">
        <f>SUM(J55:M55)</f>
        <v>0</v>
      </c>
      <c r="J55" s="217">
        <v>0</v>
      </c>
      <c r="K55" s="217">
        <v>0</v>
      </c>
      <c r="L55" s="217">
        <v>0</v>
      </c>
      <c r="M55" s="217">
        <v>0</v>
      </c>
      <c r="N55" s="256">
        <f>SUM(O55:S55)</f>
        <v>2180109</v>
      </c>
      <c r="O55" s="217">
        <v>0</v>
      </c>
      <c r="P55" s="217">
        <v>2180109</v>
      </c>
      <c r="Q55" s="217">
        <v>0</v>
      </c>
      <c r="R55" s="217">
        <v>0</v>
      </c>
      <c r="S55" s="217">
        <v>0</v>
      </c>
      <c r="T55" s="377">
        <v>16800</v>
      </c>
      <c r="U55" s="378"/>
    </row>
    <row r="56" spans="1:29" ht="23.25" customHeight="1">
      <c r="A56" s="48" t="s">
        <v>731</v>
      </c>
      <c r="B56" s="258" t="s">
        <v>722</v>
      </c>
      <c r="C56" s="256">
        <f t="shared" si="1"/>
        <v>0</v>
      </c>
      <c r="D56" s="217">
        <v>0</v>
      </c>
      <c r="E56" s="217">
        <v>0</v>
      </c>
      <c r="F56" s="217">
        <v>0</v>
      </c>
      <c r="G56" s="217">
        <v>0</v>
      </c>
      <c r="H56" s="217">
        <v>0</v>
      </c>
      <c r="I56" s="256">
        <f t="shared" si="3"/>
        <v>0</v>
      </c>
      <c r="J56" s="217">
        <v>0</v>
      </c>
      <c r="K56" s="217">
        <v>0</v>
      </c>
      <c r="L56" s="217">
        <v>0</v>
      </c>
      <c r="M56" s="217">
        <v>0</v>
      </c>
      <c r="N56" s="256">
        <f t="shared" si="2"/>
        <v>0</v>
      </c>
      <c r="O56" s="217">
        <v>0</v>
      </c>
      <c r="P56" s="217">
        <v>0</v>
      </c>
      <c r="Q56" s="217">
        <v>0</v>
      </c>
      <c r="R56" s="217">
        <v>0</v>
      </c>
      <c r="S56" s="217">
        <v>0</v>
      </c>
      <c r="T56" s="369">
        <v>16900</v>
      </c>
      <c r="U56" s="370"/>
    </row>
    <row r="57" spans="1:29" ht="23.25" customHeight="1">
      <c r="A57" s="48" t="s">
        <v>732</v>
      </c>
      <c r="B57" s="258" t="s">
        <v>723</v>
      </c>
      <c r="C57" s="256">
        <f t="shared" si="1"/>
        <v>-2562616</v>
      </c>
      <c r="D57" s="217">
        <v>-2562616</v>
      </c>
      <c r="E57" s="217">
        <v>0</v>
      </c>
      <c r="F57" s="217">
        <v>0</v>
      </c>
      <c r="G57" s="217">
        <v>0</v>
      </c>
      <c r="H57" s="217">
        <v>0</v>
      </c>
      <c r="I57" s="256">
        <f t="shared" si="3"/>
        <v>0</v>
      </c>
      <c r="J57" s="217">
        <v>0</v>
      </c>
      <c r="K57" s="217">
        <v>0</v>
      </c>
      <c r="L57" s="217">
        <v>0</v>
      </c>
      <c r="M57" s="217">
        <v>0</v>
      </c>
      <c r="N57" s="256">
        <f t="shared" si="2"/>
        <v>0</v>
      </c>
      <c r="O57" s="217">
        <v>0</v>
      </c>
      <c r="P57" s="217">
        <v>0</v>
      </c>
      <c r="Q57" s="217">
        <v>0</v>
      </c>
      <c r="R57" s="217">
        <v>0</v>
      </c>
      <c r="S57" s="217">
        <v>0</v>
      </c>
      <c r="T57" s="369">
        <v>17100</v>
      </c>
      <c r="U57" s="370"/>
    </row>
    <row r="58" spans="1:29" ht="23.25" customHeight="1">
      <c r="A58" s="48" t="s">
        <v>738</v>
      </c>
      <c r="B58" s="258" t="s">
        <v>724</v>
      </c>
      <c r="C58" s="256">
        <f t="shared" si="1"/>
        <v>0</v>
      </c>
      <c r="D58" s="217">
        <v>0</v>
      </c>
      <c r="E58" s="217">
        <v>0</v>
      </c>
      <c r="F58" s="217">
        <v>0</v>
      </c>
      <c r="G58" s="217">
        <v>0</v>
      </c>
      <c r="H58" s="217">
        <v>0</v>
      </c>
      <c r="I58" s="256">
        <f t="shared" si="3"/>
        <v>0</v>
      </c>
      <c r="J58" s="217">
        <v>0</v>
      </c>
      <c r="K58" s="217">
        <v>0</v>
      </c>
      <c r="L58" s="217">
        <v>0</v>
      </c>
      <c r="M58" s="217">
        <v>0</v>
      </c>
      <c r="N58" s="256">
        <f t="shared" si="2"/>
        <v>0</v>
      </c>
      <c r="O58" s="217">
        <v>0</v>
      </c>
      <c r="P58" s="217">
        <v>0</v>
      </c>
      <c r="Q58" s="217">
        <v>0</v>
      </c>
      <c r="R58" s="217">
        <v>0</v>
      </c>
      <c r="S58" s="217">
        <v>0</v>
      </c>
      <c r="T58" s="369">
        <v>17300</v>
      </c>
      <c r="U58" s="370"/>
    </row>
    <row r="59" spans="1:29" ht="23.25" customHeight="1">
      <c r="A59" s="48" t="s">
        <v>739</v>
      </c>
      <c r="B59" s="258" t="s">
        <v>725</v>
      </c>
      <c r="C59" s="256">
        <f t="shared" si="1"/>
        <v>2312242</v>
      </c>
      <c r="D59" s="217">
        <v>2312242</v>
      </c>
      <c r="E59" s="217">
        <v>0</v>
      </c>
      <c r="F59" s="217">
        <v>0</v>
      </c>
      <c r="G59" s="217">
        <v>0</v>
      </c>
      <c r="H59" s="217">
        <v>0</v>
      </c>
      <c r="I59" s="256">
        <f t="shared" si="3"/>
        <v>0</v>
      </c>
      <c r="J59" s="217">
        <v>0</v>
      </c>
      <c r="K59" s="217">
        <v>0</v>
      </c>
      <c r="L59" s="217">
        <v>0</v>
      </c>
      <c r="M59" s="217">
        <v>0</v>
      </c>
      <c r="N59" s="256">
        <f t="shared" si="2"/>
        <v>0</v>
      </c>
      <c r="O59" s="217">
        <v>0</v>
      </c>
      <c r="P59" s="217">
        <v>0</v>
      </c>
      <c r="Q59" s="217">
        <v>0</v>
      </c>
      <c r="R59" s="217">
        <v>0</v>
      </c>
      <c r="S59" s="217">
        <v>0</v>
      </c>
      <c r="T59" s="369">
        <v>17400</v>
      </c>
      <c r="U59" s="370"/>
      <c r="V59" s="49"/>
      <c r="W59" s="49"/>
      <c r="X59" s="49"/>
      <c r="Y59" s="49"/>
      <c r="Z59" s="49"/>
      <c r="AA59" s="49"/>
      <c r="AB59" s="49"/>
      <c r="AC59" s="49"/>
    </row>
    <row r="60" spans="1:29" s="49" customFormat="1" ht="23.25" customHeight="1">
      <c r="A60" s="48" t="s">
        <v>751</v>
      </c>
      <c r="B60" s="258" t="s">
        <v>227</v>
      </c>
      <c r="C60" s="256">
        <f t="shared" si="1"/>
        <v>73631502</v>
      </c>
      <c r="D60" s="217">
        <v>82457871</v>
      </c>
      <c r="E60" s="217">
        <v>0</v>
      </c>
      <c r="F60" s="217">
        <v>0</v>
      </c>
      <c r="G60" s="217">
        <v>0</v>
      </c>
      <c r="H60" s="217">
        <v>0</v>
      </c>
      <c r="I60" s="256">
        <f t="shared" si="3"/>
        <v>0</v>
      </c>
      <c r="J60" s="217">
        <v>0</v>
      </c>
      <c r="K60" s="217">
        <v>0</v>
      </c>
      <c r="L60" s="217">
        <v>0</v>
      </c>
      <c r="M60" s="217">
        <v>0</v>
      </c>
      <c r="N60" s="256">
        <f t="shared" si="2"/>
        <v>8826369</v>
      </c>
      <c r="O60" s="217">
        <v>0</v>
      </c>
      <c r="P60" s="644">
        <v>8826369</v>
      </c>
      <c r="Q60" s="217">
        <v>0</v>
      </c>
      <c r="R60" s="217">
        <v>0</v>
      </c>
      <c r="S60" s="217">
        <v>0</v>
      </c>
      <c r="T60" s="369">
        <v>19900</v>
      </c>
      <c r="U60" s="370"/>
      <c r="V60" s="43"/>
      <c r="W60" s="43"/>
      <c r="X60" s="43"/>
      <c r="Y60" s="43"/>
      <c r="Z60" s="43"/>
      <c r="AA60" s="43"/>
      <c r="AB60" s="43"/>
      <c r="AC60" s="43"/>
    </row>
    <row r="61" spans="1:29" s="49" customFormat="1" ht="15" customHeight="1">
      <c r="A61" s="48"/>
      <c r="B61" s="258"/>
      <c r="C61" s="256"/>
      <c r="D61" s="256"/>
      <c r="E61" s="257"/>
      <c r="F61" s="257"/>
      <c r="G61" s="257"/>
      <c r="H61" s="257"/>
      <c r="I61" s="256"/>
      <c r="J61" s="217"/>
      <c r="K61" s="217"/>
      <c r="L61" s="217"/>
      <c r="M61" s="217"/>
      <c r="N61" s="256"/>
      <c r="O61" s="219"/>
      <c r="P61" s="219"/>
      <c r="Q61" s="219"/>
      <c r="R61" s="219"/>
      <c r="S61" s="219"/>
      <c r="T61" s="297"/>
      <c r="U61"/>
      <c r="V61" s="43"/>
      <c r="W61" s="43"/>
      <c r="X61" s="43"/>
      <c r="Y61" s="43"/>
      <c r="Z61" s="43"/>
      <c r="AA61" s="43"/>
      <c r="AB61" s="43"/>
      <c r="AC61" s="43"/>
    </row>
    <row r="62" spans="1:29" s="43" customFormat="1" ht="23.25" customHeight="1">
      <c r="A62" s="302"/>
      <c r="B62" s="303" t="s">
        <v>492</v>
      </c>
      <c r="C62" s="304">
        <f>SUM(D62:H62)</f>
        <v>126598793</v>
      </c>
      <c r="D62" s="304">
        <f>SUM(D63:D64)</f>
        <v>126598793</v>
      </c>
      <c r="E62" s="304">
        <f>SUM(E63:E64)</f>
        <v>0</v>
      </c>
      <c r="F62" s="304">
        <f>SUM(F63:F64)</f>
        <v>0</v>
      </c>
      <c r="G62" s="304">
        <f>SUM(G63:G64)</f>
        <v>0</v>
      </c>
      <c r="H62" s="304">
        <f>SUM(H63:H64)</f>
        <v>0</v>
      </c>
      <c r="I62" s="304">
        <f>SUM(J62:M62)</f>
        <v>0</v>
      </c>
      <c r="J62" s="304">
        <f t="shared" ref="J62:S62" si="4">SUM(J63:J64)</f>
        <v>0</v>
      </c>
      <c r="K62" s="304">
        <f t="shared" si="4"/>
        <v>0</v>
      </c>
      <c r="L62" s="304">
        <f t="shared" si="4"/>
        <v>0</v>
      </c>
      <c r="M62" s="304">
        <f t="shared" si="4"/>
        <v>0</v>
      </c>
      <c r="N62" s="304">
        <f t="shared" si="4"/>
        <v>0</v>
      </c>
      <c r="O62" s="304">
        <f t="shared" si="4"/>
        <v>0</v>
      </c>
      <c r="P62" s="304">
        <f t="shared" si="4"/>
        <v>0</v>
      </c>
      <c r="Q62" s="304">
        <f t="shared" si="4"/>
        <v>0</v>
      </c>
      <c r="R62" s="304">
        <f t="shared" si="4"/>
        <v>0</v>
      </c>
      <c r="S62" s="304">
        <f t="shared" si="4"/>
        <v>0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spans="1:29" ht="23.25" customHeight="1">
      <c r="A63" s="48" t="s">
        <v>5</v>
      </c>
      <c r="B63" s="258" t="s">
        <v>88</v>
      </c>
      <c r="C63" s="256">
        <f>SUM(D63:H63)-N63+O63</f>
        <v>5891080</v>
      </c>
      <c r="D63" s="217">
        <v>5891080</v>
      </c>
      <c r="E63" s="218"/>
      <c r="F63" s="218"/>
      <c r="G63" s="218"/>
      <c r="H63" s="218"/>
      <c r="I63" s="256">
        <f>SUM(J63:M63)</f>
        <v>0</v>
      </c>
      <c r="J63" s="219"/>
      <c r="K63" s="219"/>
      <c r="L63" s="219"/>
      <c r="M63" s="219"/>
      <c r="N63" s="256">
        <f>SUM(O63:S63)</f>
        <v>0</v>
      </c>
      <c r="O63" s="217"/>
      <c r="P63" s="219"/>
      <c r="Q63" s="219"/>
      <c r="R63" s="219"/>
      <c r="S63" s="219"/>
      <c r="T63" s="296" t="s">
        <v>828</v>
      </c>
    </row>
    <row r="64" spans="1:29" ht="23.25" customHeight="1">
      <c r="A64" s="48" t="s">
        <v>8</v>
      </c>
      <c r="B64" s="258" t="s">
        <v>493</v>
      </c>
      <c r="C64" s="256">
        <f>SUM(D64:H64)-N64+O64</f>
        <v>120707713</v>
      </c>
      <c r="D64" s="217">
        <v>120707713</v>
      </c>
      <c r="E64" s="218"/>
      <c r="F64" s="218"/>
      <c r="G64" s="218"/>
      <c r="H64" s="218"/>
      <c r="I64" s="256">
        <f>SUM(J64:M64)</f>
        <v>0</v>
      </c>
      <c r="J64" s="219"/>
      <c r="K64" s="219"/>
      <c r="L64" s="219"/>
      <c r="M64" s="219"/>
      <c r="N64" s="256">
        <f>SUM(O64:S64)</f>
        <v>0</v>
      </c>
      <c r="O64" s="217"/>
      <c r="P64" s="219"/>
      <c r="Q64" s="219"/>
      <c r="R64" s="219"/>
      <c r="S64" s="219"/>
      <c r="T64" s="44">
        <v>90993</v>
      </c>
    </row>
    <row r="67" spans="1:32" s="105" customFormat="1" ht="15" customHeight="1">
      <c r="A67" s="126"/>
      <c r="B67" s="10" t="s">
        <v>0</v>
      </c>
      <c r="C67" s="106"/>
      <c r="D67" s="106"/>
      <c r="E67" s="106"/>
      <c r="F67" s="196"/>
      <c r="G67" s="196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06"/>
      <c r="Z67" s="106"/>
      <c r="AA67" s="106"/>
      <c r="AB67" s="106"/>
      <c r="AC67" s="106"/>
      <c r="AD67" s="106"/>
      <c r="AE67" s="106"/>
      <c r="AF67" s="106"/>
    </row>
    <row r="68" spans="1:32" s="105" customFormat="1" ht="15" customHeight="1">
      <c r="A68" s="126"/>
      <c r="B68" s="10"/>
      <c r="C68" s="106"/>
      <c r="D68" s="106"/>
      <c r="E68" s="106"/>
      <c r="F68" s="196"/>
      <c r="G68" s="196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44"/>
      <c r="V68" s="197"/>
      <c r="W68" s="197"/>
      <c r="X68" s="197"/>
      <c r="Y68" s="106"/>
      <c r="Z68" s="106"/>
      <c r="AA68" s="106"/>
      <c r="AB68" s="106"/>
      <c r="AC68" s="106"/>
      <c r="AD68" s="106"/>
      <c r="AE68" s="106"/>
      <c r="AF68" s="106"/>
    </row>
    <row r="69" spans="1:32" s="105" customFormat="1" ht="15" customHeight="1">
      <c r="A69" s="126"/>
      <c r="B69" s="10" t="s">
        <v>1</v>
      </c>
      <c r="C69" s="106"/>
      <c r="D69" s="106"/>
      <c r="E69" s="106"/>
      <c r="F69" s="196"/>
      <c r="G69" s="196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106"/>
      <c r="AE69" s="106"/>
      <c r="AF69" s="106"/>
    </row>
    <row r="71" spans="1:32">
      <c r="B71" s="50" t="s">
        <v>494</v>
      </c>
    </row>
    <row r="72" spans="1:32">
      <c r="C72" s="350">
        <f>+[8]Balance!$C$45</f>
        <v>10282915665</v>
      </c>
    </row>
  </sheetData>
  <sheetProtection password="CACA" sheet="1" objects="1" scenarios="1"/>
  <mergeCells count="17">
    <mergeCell ref="M5:M7"/>
    <mergeCell ref="N5:S5"/>
    <mergeCell ref="P3:Q3"/>
    <mergeCell ref="N6:N7"/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</mergeCells>
  <conditionalFormatting sqref="C9">
    <cfRule type="cellIs" dxfId="278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1" orientation="landscape" r:id="rId1"/>
  <ignoredErrors>
    <ignoredError sqref="I62 T62 Q62:S62 T65 C65:O66 O62 Q65:S66" unlockedFormula="1"/>
    <ignoredError sqref="N62" formulaRange="1" unlockedFormula="1"/>
    <ignoredError sqref="N61 N6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G94"/>
  <sheetViews>
    <sheetView tabSelected="1" view="pageBreakPreview" zoomScale="70" zoomScaleSheetLayoutView="70" workbookViewId="0">
      <pane xSplit="2" ySplit="4" topLeftCell="C56" activePane="bottomRight" state="frozen"/>
      <selection activeCell="C72" sqref="C72"/>
      <selection pane="topRight" activeCell="C72" sqref="C72"/>
      <selection pane="bottomLeft" activeCell="C72" sqref="C72"/>
      <selection pane="bottomRight" activeCell="C70" sqref="C70"/>
    </sheetView>
  </sheetViews>
  <sheetFormatPr defaultRowHeight="15" customHeight="1"/>
  <cols>
    <col min="1" max="1" width="4.85546875" style="568" customWidth="1"/>
    <col min="2" max="2" width="80.28515625" style="106" customWidth="1"/>
    <col min="3" max="5" width="16.85546875" style="106" customWidth="1"/>
    <col min="6" max="6" width="7.42578125" style="106" customWidth="1"/>
    <col min="7" max="7" width="11.140625" style="106" bestFit="1" customWidth="1"/>
    <col min="8" max="10" width="7.42578125" style="106" customWidth="1"/>
    <col min="11" max="16384" width="9.140625" style="106"/>
  </cols>
  <sheetData>
    <row r="1" spans="1:7" ht="18.75" customHeight="1">
      <c r="A1" s="533"/>
      <c r="B1" s="534" t="s">
        <v>695</v>
      </c>
      <c r="D1" s="428" t="s">
        <v>584</v>
      </c>
      <c r="E1" s="428"/>
    </row>
    <row r="2" spans="1:7" ht="7.5" customHeight="1">
      <c r="A2" s="533"/>
      <c r="B2" s="534"/>
      <c r="C2" s="428"/>
      <c r="D2" s="428"/>
      <c r="E2" s="428"/>
    </row>
    <row r="3" spans="1:7" ht="15" customHeight="1">
      <c r="A3" s="535"/>
      <c r="B3" s="532" t="str">
        <f>+'Asset quality'!B3</f>
        <v>АКБ "Микрокредитбанк"</v>
      </c>
      <c r="C3" s="520">
        <f>+'Asset quality'!P3</f>
        <v>44196</v>
      </c>
      <c r="D3" s="520"/>
      <c r="E3" s="429" t="s">
        <v>3</v>
      </c>
    </row>
    <row r="4" spans="1:7" ht="42" customHeight="1">
      <c r="A4" s="253" t="s">
        <v>83</v>
      </c>
      <c r="B4" s="253" t="s">
        <v>2</v>
      </c>
      <c r="C4" s="253" t="s">
        <v>305</v>
      </c>
      <c r="D4" s="253" t="s">
        <v>306</v>
      </c>
      <c r="E4" s="253" t="s">
        <v>307</v>
      </c>
    </row>
    <row r="5" spans="1:7" ht="15" customHeight="1">
      <c r="A5" s="536" t="s">
        <v>329</v>
      </c>
      <c r="B5" s="537" t="s">
        <v>4</v>
      </c>
      <c r="C5" s="253"/>
      <c r="D5" s="253"/>
      <c r="E5" s="253"/>
    </row>
    <row r="6" spans="1:7" ht="15" customHeight="1">
      <c r="A6" s="538" t="s">
        <v>330</v>
      </c>
      <c r="B6" s="539" t="s">
        <v>318</v>
      </c>
      <c r="C6" s="403">
        <f>+D6+E6</f>
        <v>997178</v>
      </c>
      <c r="D6" s="402">
        <v>997178</v>
      </c>
      <c r="E6" s="402"/>
    </row>
    <row r="7" spans="1:7" ht="15" customHeight="1">
      <c r="A7" s="538" t="s">
        <v>331</v>
      </c>
      <c r="B7" s="539" t="s">
        <v>319</v>
      </c>
      <c r="C7" s="403">
        <f t="shared" ref="C7:C15" si="0">+D7+E7</f>
        <v>44869998</v>
      </c>
      <c r="D7" s="402">
        <v>44869998</v>
      </c>
      <c r="E7" s="402"/>
    </row>
    <row r="8" spans="1:7" ht="15" customHeight="1">
      <c r="A8" s="538" t="s">
        <v>332</v>
      </c>
      <c r="B8" s="539" t="s">
        <v>320</v>
      </c>
      <c r="C8" s="403">
        <f t="shared" si="0"/>
        <v>0</v>
      </c>
      <c r="D8" s="402">
        <v>0</v>
      </c>
      <c r="E8" s="402"/>
    </row>
    <row r="9" spans="1:7" ht="15" customHeight="1">
      <c r="A9" s="538" t="s">
        <v>333</v>
      </c>
      <c r="B9" s="540" t="s">
        <v>321</v>
      </c>
      <c r="C9" s="403">
        <f t="shared" si="0"/>
        <v>439759</v>
      </c>
      <c r="D9" s="402">
        <v>439759</v>
      </c>
      <c r="E9" s="402"/>
    </row>
    <row r="10" spans="1:7" ht="15" customHeight="1">
      <c r="A10" s="538" t="s">
        <v>334</v>
      </c>
      <c r="B10" s="539" t="s">
        <v>322</v>
      </c>
      <c r="C10" s="403">
        <f t="shared" si="0"/>
        <v>22827406</v>
      </c>
      <c r="D10" s="402">
        <v>22827406</v>
      </c>
      <c r="E10" s="402"/>
    </row>
    <row r="11" spans="1:7" ht="15" customHeight="1">
      <c r="A11" s="541" t="s">
        <v>335</v>
      </c>
      <c r="B11" s="542" t="s">
        <v>323</v>
      </c>
      <c r="C11" s="403">
        <f t="shared" si="0"/>
        <v>0</v>
      </c>
      <c r="D11" s="402">
        <v>0</v>
      </c>
      <c r="E11" s="402"/>
    </row>
    <row r="12" spans="1:7" ht="15" customHeight="1">
      <c r="A12" s="541" t="s">
        <v>336</v>
      </c>
      <c r="B12" s="542" t="s">
        <v>324</v>
      </c>
      <c r="C12" s="403">
        <f t="shared" si="0"/>
        <v>0</v>
      </c>
      <c r="D12" s="402">
        <v>0</v>
      </c>
      <c r="E12" s="402"/>
    </row>
    <row r="13" spans="1:7" ht="15" customHeight="1">
      <c r="A13" s="541" t="s">
        <v>337</v>
      </c>
      <c r="B13" s="543" t="s">
        <v>325</v>
      </c>
      <c r="C13" s="403">
        <f t="shared" si="0"/>
        <v>970220612</v>
      </c>
      <c r="D13" s="402">
        <v>970220612</v>
      </c>
      <c r="E13" s="402"/>
    </row>
    <row r="14" spans="1:7" ht="15" customHeight="1">
      <c r="A14" s="544" t="s">
        <v>338</v>
      </c>
      <c r="B14" s="545" t="s">
        <v>326</v>
      </c>
      <c r="C14" s="403">
        <f t="shared" si="0"/>
        <v>0</v>
      </c>
      <c r="D14" s="402">
        <v>0</v>
      </c>
      <c r="E14" s="402"/>
    </row>
    <row r="15" spans="1:7" ht="15" customHeight="1">
      <c r="A15" s="544" t="s">
        <v>339</v>
      </c>
      <c r="B15" s="546" t="s">
        <v>327</v>
      </c>
      <c r="C15" s="403">
        <f t="shared" si="0"/>
        <v>361508054</v>
      </c>
      <c r="D15" s="402">
        <v>361508054</v>
      </c>
      <c r="E15" s="402"/>
    </row>
    <row r="16" spans="1:7" ht="15" customHeight="1">
      <c r="A16" s="536" t="s">
        <v>340</v>
      </c>
      <c r="B16" s="547" t="s">
        <v>328</v>
      </c>
      <c r="C16" s="267">
        <f>SUM(C6:C15)</f>
        <v>1400863007</v>
      </c>
      <c r="D16" s="267">
        <f>SUM(D6:D15)</f>
        <v>1400863007</v>
      </c>
      <c r="E16" s="267">
        <f>SUM(E6:E15)</f>
        <v>0</v>
      </c>
      <c r="G16" s="548">
        <f>+'Analysis of Interest'!C42</f>
        <v>1400863007</v>
      </c>
    </row>
    <row r="17" spans="1:7" ht="7.5" customHeight="1">
      <c r="A17" s="536"/>
      <c r="B17" s="537"/>
      <c r="C17" s="430"/>
      <c r="D17" s="430"/>
      <c r="E17" s="430"/>
    </row>
    <row r="18" spans="1:7" ht="15" customHeight="1">
      <c r="A18" s="536" t="s">
        <v>341</v>
      </c>
      <c r="B18" s="537" t="s">
        <v>375</v>
      </c>
      <c r="C18" s="253"/>
      <c r="D18" s="253"/>
      <c r="E18" s="253"/>
    </row>
    <row r="19" spans="1:7" ht="15" customHeight="1">
      <c r="A19" s="529" t="s">
        <v>342</v>
      </c>
      <c r="B19" s="549" t="s">
        <v>308</v>
      </c>
      <c r="C19" s="403">
        <f>+D19+E19</f>
        <v>5884243</v>
      </c>
      <c r="D19" s="402">
        <v>5884243</v>
      </c>
      <c r="E19" s="402"/>
    </row>
    <row r="20" spans="1:7" ht="15" customHeight="1">
      <c r="A20" s="529" t="s">
        <v>343</v>
      </c>
      <c r="B20" s="549" t="s">
        <v>309</v>
      </c>
      <c r="C20" s="403">
        <f>+D20+E20</f>
        <v>190404626</v>
      </c>
      <c r="D20" s="402">
        <v>190404626</v>
      </c>
      <c r="E20" s="402"/>
    </row>
    <row r="21" spans="1:7" ht="15" customHeight="1">
      <c r="A21" s="529" t="s">
        <v>344</v>
      </c>
      <c r="B21" s="549" t="s">
        <v>310</v>
      </c>
      <c r="C21" s="403">
        <f>+D21+E21</f>
        <v>0</v>
      </c>
      <c r="D21" s="402">
        <v>0</v>
      </c>
      <c r="E21" s="402"/>
    </row>
    <row r="22" spans="1:7" ht="15" customHeight="1">
      <c r="A22" s="529" t="s">
        <v>345</v>
      </c>
      <c r="B22" s="549" t="s">
        <v>311</v>
      </c>
      <c r="C22" s="403">
        <f>+D22+E22</f>
        <v>113814181</v>
      </c>
      <c r="D22" s="402">
        <v>113814181</v>
      </c>
      <c r="E22" s="402"/>
    </row>
    <row r="23" spans="1:7" s="10" customFormat="1" ht="15" customHeight="1">
      <c r="A23" s="550" t="s">
        <v>346</v>
      </c>
      <c r="B23" s="551" t="s">
        <v>312</v>
      </c>
      <c r="C23" s="267">
        <f>SUM(C19:C22)</f>
        <v>310103050</v>
      </c>
      <c r="D23" s="267">
        <f>SUM(D19:D22)</f>
        <v>310103050</v>
      </c>
      <c r="E23" s="267">
        <f>SUM(E19:E22)</f>
        <v>0</v>
      </c>
    </row>
    <row r="24" spans="1:7" ht="15.75" customHeight="1">
      <c r="A24" s="529" t="s">
        <v>347</v>
      </c>
      <c r="B24" s="549" t="s">
        <v>313</v>
      </c>
      <c r="C24" s="403">
        <f>+D24+E24</f>
        <v>199829463</v>
      </c>
      <c r="D24" s="402">
        <v>199829463</v>
      </c>
      <c r="E24" s="402"/>
    </row>
    <row r="25" spans="1:7" ht="15.75" customHeight="1">
      <c r="A25" s="552" t="s">
        <v>348</v>
      </c>
      <c r="B25" s="553" t="s">
        <v>314</v>
      </c>
      <c r="C25" s="403">
        <f>+D25+E25</f>
        <v>2222268</v>
      </c>
      <c r="D25" s="402">
        <v>2222268</v>
      </c>
      <c r="E25" s="402"/>
    </row>
    <row r="26" spans="1:7" ht="15.75" customHeight="1">
      <c r="A26" s="552" t="s">
        <v>349</v>
      </c>
      <c r="B26" s="553" t="s">
        <v>315</v>
      </c>
      <c r="C26" s="403">
        <f>+D26+E26</f>
        <v>361849530</v>
      </c>
      <c r="D26" s="402">
        <v>361849530</v>
      </c>
      <c r="E26" s="402"/>
    </row>
    <row r="27" spans="1:7" ht="15" customHeight="1">
      <c r="A27" s="554" t="s">
        <v>350</v>
      </c>
      <c r="B27" s="555" t="s">
        <v>316</v>
      </c>
      <c r="C27" s="267">
        <f>SUM(C24:C26)</f>
        <v>563901261</v>
      </c>
      <c r="D27" s="267">
        <f>SUM(D24:D26)</f>
        <v>563901261</v>
      </c>
      <c r="E27" s="267">
        <f>SUM(E24:E26)</f>
        <v>0</v>
      </c>
    </row>
    <row r="28" spans="1:7" ht="15" customHeight="1">
      <c r="A28" s="554" t="s">
        <v>351</v>
      </c>
      <c r="B28" s="555" t="s">
        <v>317</v>
      </c>
      <c r="C28" s="267">
        <f>C27+C23</f>
        <v>874004311</v>
      </c>
      <c r="D28" s="267">
        <f>D27+D23</f>
        <v>874004311</v>
      </c>
      <c r="E28" s="267">
        <f>E27+E23</f>
        <v>0</v>
      </c>
      <c r="G28" s="548">
        <f>+'Analysis of Interest'!C72</f>
        <v>874004311</v>
      </c>
    </row>
    <row r="29" spans="1:7" ht="7.5" customHeight="1">
      <c r="A29" s="529"/>
      <c r="B29" s="549"/>
      <c r="C29" s="430"/>
      <c r="D29" s="430"/>
      <c r="E29" s="430"/>
    </row>
    <row r="30" spans="1:7" s="558" customFormat="1" ht="25.5">
      <c r="A30" s="556" t="s">
        <v>225</v>
      </c>
      <c r="B30" s="557" t="s">
        <v>763</v>
      </c>
      <c r="C30" s="267">
        <f>C16-C28</f>
        <v>526858696</v>
      </c>
      <c r="D30" s="267">
        <f>D16-D28</f>
        <v>526858696</v>
      </c>
      <c r="E30" s="267">
        <f>E16-E28</f>
        <v>0</v>
      </c>
    </row>
    <row r="31" spans="1:7" ht="15.75" customHeight="1">
      <c r="A31" s="552" t="s">
        <v>352</v>
      </c>
      <c r="B31" s="559" t="s">
        <v>376</v>
      </c>
      <c r="C31" s="403">
        <f>+D31+E31</f>
        <v>199222532</v>
      </c>
      <c r="D31" s="402">
        <v>199222532</v>
      </c>
      <c r="E31" s="402"/>
    </row>
    <row r="32" spans="1:7" ht="15.75" customHeight="1">
      <c r="A32" s="552" t="s">
        <v>757</v>
      </c>
      <c r="B32" s="553" t="s">
        <v>758</v>
      </c>
      <c r="C32" s="403">
        <f>+D32+E32</f>
        <v>0</v>
      </c>
      <c r="D32" s="402">
        <v>0</v>
      </c>
      <c r="E32" s="402"/>
    </row>
    <row r="33" spans="1:5" ht="15.75" customHeight="1">
      <c r="A33" s="552" t="s">
        <v>759</v>
      </c>
      <c r="B33" s="553" t="s">
        <v>760</v>
      </c>
      <c r="C33" s="403">
        <f>+D33+E33</f>
        <v>0</v>
      </c>
      <c r="D33" s="402">
        <v>0</v>
      </c>
      <c r="E33" s="402"/>
    </row>
    <row r="34" spans="1:5" ht="15.75" customHeight="1">
      <c r="A34" s="552" t="s">
        <v>761</v>
      </c>
      <c r="B34" s="553" t="s">
        <v>762</v>
      </c>
      <c r="C34" s="403">
        <f>+D34+E34</f>
        <v>1852889</v>
      </c>
      <c r="D34" s="402">
        <v>1852889</v>
      </c>
      <c r="E34" s="402"/>
    </row>
    <row r="35" spans="1:5" ht="25.5">
      <c r="A35" s="556" t="s">
        <v>827</v>
      </c>
      <c r="B35" s="557" t="s">
        <v>377</v>
      </c>
      <c r="C35" s="267">
        <f>C30-C31-C32-C33-C34</f>
        <v>325783275</v>
      </c>
      <c r="D35" s="267">
        <f>D30-D31-D32-D33-D34</f>
        <v>325783275</v>
      </c>
      <c r="E35" s="267">
        <f>E30-E31-E32-E33-E34</f>
        <v>0</v>
      </c>
    </row>
    <row r="36" spans="1:5" ht="7.5" customHeight="1">
      <c r="A36" s="529"/>
      <c r="B36" s="549"/>
      <c r="C36" s="430"/>
      <c r="D36" s="430"/>
      <c r="E36" s="430"/>
    </row>
    <row r="37" spans="1:5" ht="15" customHeight="1">
      <c r="A37" s="550" t="s">
        <v>353</v>
      </c>
      <c r="B37" s="551" t="s">
        <v>378</v>
      </c>
      <c r="C37" s="253"/>
      <c r="D37" s="253"/>
      <c r="E37" s="253"/>
    </row>
    <row r="38" spans="1:5" ht="15" customHeight="1">
      <c r="A38" s="529" t="s">
        <v>354</v>
      </c>
      <c r="B38" s="549" t="s">
        <v>379</v>
      </c>
      <c r="C38" s="403">
        <f>+D38+E38</f>
        <v>96683089</v>
      </c>
      <c r="D38" s="402">
        <v>96683089</v>
      </c>
      <c r="E38" s="402"/>
    </row>
    <row r="39" spans="1:5" ht="15" customHeight="1">
      <c r="A39" s="529" t="s">
        <v>355</v>
      </c>
      <c r="B39" s="549" t="s">
        <v>380</v>
      </c>
      <c r="C39" s="403">
        <f>+D39+E39</f>
        <v>114855708</v>
      </c>
      <c r="D39" s="402">
        <v>0</v>
      </c>
      <c r="E39" s="402">
        <v>114855708</v>
      </c>
    </row>
    <row r="40" spans="1:5" ht="15" customHeight="1">
      <c r="A40" s="529" t="s">
        <v>356</v>
      </c>
      <c r="B40" s="549" t="s">
        <v>381</v>
      </c>
      <c r="C40" s="403">
        <f>+D40+E40</f>
        <v>2182</v>
      </c>
      <c r="D40" s="402">
        <v>2182</v>
      </c>
      <c r="E40" s="402"/>
    </row>
    <row r="41" spans="1:5" ht="15" customHeight="1">
      <c r="A41" s="529" t="s">
        <v>357</v>
      </c>
      <c r="B41" s="549" t="s">
        <v>382</v>
      </c>
      <c r="C41" s="403">
        <f>+D41+E41</f>
        <v>158968</v>
      </c>
      <c r="D41" s="402">
        <v>158968</v>
      </c>
      <c r="E41" s="402"/>
    </row>
    <row r="42" spans="1:5" ht="15" customHeight="1">
      <c r="A42" s="529" t="s">
        <v>358</v>
      </c>
      <c r="B42" s="549" t="s">
        <v>383</v>
      </c>
      <c r="C42" s="403">
        <f>+D42+E42</f>
        <v>111447456</v>
      </c>
      <c r="D42" s="402">
        <v>111447456</v>
      </c>
      <c r="E42" s="402"/>
    </row>
    <row r="43" spans="1:5" ht="15" customHeight="1">
      <c r="A43" s="550" t="s">
        <v>359</v>
      </c>
      <c r="B43" s="551" t="s">
        <v>384</v>
      </c>
      <c r="C43" s="267">
        <f>SUM(C38:C42)</f>
        <v>323147403</v>
      </c>
      <c r="D43" s="267">
        <f>SUM(D38:D42)</f>
        <v>208291695</v>
      </c>
      <c r="E43" s="267">
        <f>SUM(E38:E42)</f>
        <v>114855708</v>
      </c>
    </row>
    <row r="44" spans="1:5" ht="7.5" customHeight="1">
      <c r="A44" s="529"/>
      <c r="B44" s="549"/>
      <c r="C44" s="430"/>
      <c r="D44" s="430"/>
      <c r="E44" s="430"/>
    </row>
    <row r="45" spans="1:5" ht="15" customHeight="1">
      <c r="A45" s="550" t="s">
        <v>360</v>
      </c>
      <c r="B45" s="551" t="s">
        <v>385</v>
      </c>
      <c r="C45" s="253"/>
      <c r="D45" s="253"/>
      <c r="E45" s="253"/>
    </row>
    <row r="46" spans="1:5" ht="15" customHeight="1">
      <c r="A46" s="529" t="s">
        <v>354</v>
      </c>
      <c r="B46" s="549" t="s">
        <v>386</v>
      </c>
      <c r="C46" s="403">
        <f>+D46+E46</f>
        <v>27125840</v>
      </c>
      <c r="D46" s="402">
        <v>27125840</v>
      </c>
      <c r="E46" s="402"/>
    </row>
    <row r="47" spans="1:5" ht="15" customHeight="1">
      <c r="A47" s="529" t="s">
        <v>355</v>
      </c>
      <c r="B47" s="549" t="s">
        <v>387</v>
      </c>
      <c r="C47" s="403">
        <f>+D47+E47</f>
        <v>103552965</v>
      </c>
      <c r="D47" s="402">
        <v>0</v>
      </c>
      <c r="E47" s="402">
        <v>103552965</v>
      </c>
    </row>
    <row r="48" spans="1:5" ht="15" customHeight="1">
      <c r="A48" s="529" t="s">
        <v>344</v>
      </c>
      <c r="B48" s="560" t="s">
        <v>636</v>
      </c>
      <c r="C48" s="403">
        <f>+D48+E48</f>
        <v>9168587</v>
      </c>
      <c r="D48" s="402">
        <v>9168587</v>
      </c>
      <c r="E48" s="402"/>
    </row>
    <row r="49" spans="1:5" ht="15" customHeight="1">
      <c r="A49" s="529" t="s">
        <v>357</v>
      </c>
      <c r="B49" s="549" t="s">
        <v>388</v>
      </c>
      <c r="C49" s="403">
        <f>+D49+E49</f>
        <v>0</v>
      </c>
      <c r="D49" s="402">
        <v>0</v>
      </c>
      <c r="E49" s="402"/>
    </row>
    <row r="50" spans="1:5" ht="15" customHeight="1">
      <c r="A50" s="529" t="s">
        <v>358</v>
      </c>
      <c r="B50" s="549" t="s">
        <v>389</v>
      </c>
      <c r="C50" s="403">
        <f>+D50+E50</f>
        <v>2466127</v>
      </c>
      <c r="D50" s="402">
        <v>2466127</v>
      </c>
      <c r="E50" s="402"/>
    </row>
    <row r="51" spans="1:5" ht="15" customHeight="1">
      <c r="A51" s="550" t="s">
        <v>359</v>
      </c>
      <c r="B51" s="551" t="s">
        <v>390</v>
      </c>
      <c r="C51" s="267">
        <f>SUM(C46:C50)</f>
        <v>142313519</v>
      </c>
      <c r="D51" s="267">
        <f>SUM(D46:D50)</f>
        <v>38760554</v>
      </c>
      <c r="E51" s="267">
        <f>SUM(E46:E50)</f>
        <v>103552965</v>
      </c>
    </row>
    <row r="52" spans="1:5" ht="7.5" customHeight="1">
      <c r="A52" s="550"/>
      <c r="B52" s="551"/>
      <c r="C52" s="224"/>
      <c r="D52" s="224"/>
      <c r="E52" s="224"/>
    </row>
    <row r="53" spans="1:5" ht="15" customHeight="1">
      <c r="A53" s="550" t="s">
        <v>361</v>
      </c>
      <c r="B53" s="551" t="s">
        <v>391</v>
      </c>
      <c r="C53" s="267">
        <f>C35+C43-C51</f>
        <v>506617159</v>
      </c>
      <c r="D53" s="267">
        <f>D35+D43-D51</f>
        <v>495314416</v>
      </c>
      <c r="E53" s="267">
        <f>E35+E43-E51</f>
        <v>11302743</v>
      </c>
    </row>
    <row r="54" spans="1:5" ht="7.5" customHeight="1">
      <c r="A54" s="550"/>
      <c r="B54" s="551"/>
      <c r="C54" s="431"/>
      <c r="D54" s="431"/>
      <c r="E54" s="431"/>
    </row>
    <row r="55" spans="1:5" ht="15" customHeight="1">
      <c r="A55" s="550" t="s">
        <v>362</v>
      </c>
      <c r="B55" s="551" t="s">
        <v>392</v>
      </c>
      <c r="C55" s="253"/>
      <c r="D55" s="253"/>
      <c r="E55" s="253"/>
    </row>
    <row r="56" spans="1:5" ht="15" customHeight="1">
      <c r="A56" s="529" t="s">
        <v>363</v>
      </c>
      <c r="B56" s="549" t="s">
        <v>393</v>
      </c>
      <c r="C56" s="402">
        <f>+D56+E56</f>
        <v>259646712</v>
      </c>
      <c r="D56" s="402">
        <v>259646712</v>
      </c>
      <c r="E56" s="561"/>
    </row>
    <row r="57" spans="1:5" ht="15" customHeight="1">
      <c r="A57" s="562" t="s">
        <v>684</v>
      </c>
      <c r="B57" s="549" t="s">
        <v>394</v>
      </c>
      <c r="C57" s="402">
        <f t="shared" ref="C57:C66" si="1">+D57+E57</f>
        <v>0</v>
      </c>
      <c r="D57" s="402">
        <v>0</v>
      </c>
      <c r="E57" s="561"/>
    </row>
    <row r="58" spans="1:5" ht="15" customHeight="1">
      <c r="A58" s="529" t="s">
        <v>364</v>
      </c>
      <c r="B58" s="549" t="s">
        <v>395</v>
      </c>
      <c r="C58" s="402">
        <f t="shared" si="1"/>
        <v>39409598</v>
      </c>
      <c r="D58" s="402">
        <v>39409598</v>
      </c>
      <c r="E58" s="561"/>
    </row>
    <row r="59" spans="1:5" ht="15" customHeight="1">
      <c r="A59" s="529" t="s">
        <v>332</v>
      </c>
      <c r="B59" s="549" t="s">
        <v>396</v>
      </c>
      <c r="C59" s="402">
        <f t="shared" si="1"/>
        <v>4687544</v>
      </c>
      <c r="D59" s="402">
        <v>4687544</v>
      </c>
      <c r="E59" s="561"/>
    </row>
    <row r="60" spans="1:5" ht="15" customHeight="1">
      <c r="A60" s="529" t="s">
        <v>365</v>
      </c>
      <c r="B60" s="549" t="s">
        <v>397</v>
      </c>
      <c r="C60" s="402">
        <f t="shared" si="1"/>
        <v>9991741</v>
      </c>
      <c r="D60" s="402">
        <v>9991741</v>
      </c>
      <c r="E60" s="561"/>
    </row>
    <row r="61" spans="1:5" ht="15" customHeight="1">
      <c r="A61" s="529" t="s">
        <v>366</v>
      </c>
      <c r="B61" s="549" t="s">
        <v>398</v>
      </c>
      <c r="C61" s="402">
        <f t="shared" si="1"/>
        <v>8595488</v>
      </c>
      <c r="D61" s="402">
        <v>8595488</v>
      </c>
      <c r="E61" s="561"/>
    </row>
    <row r="62" spans="1:5" ht="15" customHeight="1">
      <c r="A62" s="529" t="s">
        <v>367</v>
      </c>
      <c r="B62" s="549" t="s">
        <v>399</v>
      </c>
      <c r="C62" s="402">
        <f t="shared" si="1"/>
        <v>29495582</v>
      </c>
      <c r="D62" s="402">
        <v>29495582</v>
      </c>
      <c r="E62" s="561"/>
    </row>
    <row r="63" spans="1:5" ht="15" customHeight="1">
      <c r="A63" s="529" t="s">
        <v>368</v>
      </c>
      <c r="B63" s="560" t="s">
        <v>764</v>
      </c>
      <c r="C63" s="402">
        <f t="shared" si="1"/>
        <v>12164535</v>
      </c>
      <c r="D63" s="402">
        <v>12164535</v>
      </c>
      <c r="E63" s="561"/>
    </row>
    <row r="64" spans="1:5" ht="15" customHeight="1">
      <c r="A64" s="529" t="s">
        <v>369</v>
      </c>
      <c r="B64" s="560" t="s">
        <v>765</v>
      </c>
      <c r="C64" s="402">
        <f t="shared" si="1"/>
        <v>6959456</v>
      </c>
      <c r="D64" s="402">
        <v>6959456</v>
      </c>
      <c r="E64" s="561"/>
    </row>
    <row r="65" spans="1:7" ht="15" customHeight="1">
      <c r="A65" s="529" t="s">
        <v>766</v>
      </c>
      <c r="B65" s="560" t="s">
        <v>767</v>
      </c>
      <c r="C65" s="402">
        <f t="shared" si="1"/>
        <v>16500</v>
      </c>
      <c r="D65" s="402">
        <v>16500</v>
      </c>
      <c r="E65" s="561"/>
    </row>
    <row r="66" spans="1:7" ht="15" customHeight="1">
      <c r="A66" s="529" t="s">
        <v>768</v>
      </c>
      <c r="B66" s="560" t="s">
        <v>769</v>
      </c>
      <c r="C66" s="402">
        <f t="shared" si="1"/>
        <v>12129588</v>
      </c>
      <c r="D66" s="402">
        <v>12129588</v>
      </c>
      <c r="E66" s="561"/>
    </row>
    <row r="67" spans="1:7" ht="15" customHeight="1">
      <c r="A67" s="536" t="s">
        <v>770</v>
      </c>
      <c r="B67" s="537" t="s">
        <v>400</v>
      </c>
      <c r="C67" s="267">
        <f>SUM(C56:C66)-C57</f>
        <v>383096744</v>
      </c>
      <c r="D67" s="267">
        <f>SUM(D56:D66)-D57</f>
        <v>383096744</v>
      </c>
      <c r="E67" s="561"/>
      <c r="G67" s="563"/>
    </row>
    <row r="68" spans="1:7" ht="7.5" customHeight="1">
      <c r="A68" s="538" t="s">
        <v>13</v>
      </c>
      <c r="B68" s="539" t="s">
        <v>13</v>
      </c>
      <c r="C68" s="430"/>
      <c r="D68" s="430"/>
      <c r="E68" s="430"/>
    </row>
    <row r="69" spans="1:7" ht="15" customHeight="1">
      <c r="A69" s="536" t="s">
        <v>512</v>
      </c>
      <c r="B69" s="537" t="s">
        <v>401</v>
      </c>
      <c r="C69" s="267">
        <f>C53-C67</f>
        <v>123520415</v>
      </c>
      <c r="D69" s="267">
        <f>D53-D67</f>
        <v>112217672</v>
      </c>
      <c r="E69" s="267">
        <f>+E53-(C67-D67)</f>
        <v>11302743</v>
      </c>
      <c r="G69" s="563"/>
    </row>
    <row r="70" spans="1:7" ht="15" customHeight="1">
      <c r="A70" s="538" t="s">
        <v>371</v>
      </c>
      <c r="B70" s="539" t="s">
        <v>402</v>
      </c>
      <c r="C70" s="403">
        <f>+D70</f>
        <v>23491557</v>
      </c>
      <c r="D70" s="402">
        <v>23491557</v>
      </c>
      <c r="E70" s="561"/>
    </row>
    <row r="71" spans="1:7" ht="7.5" customHeight="1">
      <c r="A71" s="538"/>
      <c r="B71" s="539"/>
      <c r="C71" s="224"/>
      <c r="D71" s="224"/>
      <c r="E71" s="224"/>
    </row>
    <row r="72" spans="1:7" ht="15" customHeight="1">
      <c r="A72" s="536" t="s">
        <v>370</v>
      </c>
      <c r="B72" s="537" t="s">
        <v>403</v>
      </c>
      <c r="C72" s="267">
        <f>C69-C70</f>
        <v>100028858</v>
      </c>
      <c r="D72" s="267">
        <f>D69-D70</f>
        <v>88726115</v>
      </c>
      <c r="E72" s="267">
        <f>E69-E70</f>
        <v>11302743</v>
      </c>
      <c r="G72" s="563"/>
    </row>
    <row r="73" spans="1:7" ht="15" customHeight="1">
      <c r="A73" s="538" t="s">
        <v>373</v>
      </c>
      <c r="B73" s="539" t="s">
        <v>404</v>
      </c>
      <c r="C73" s="403">
        <f>+D73+E73</f>
        <v>0</v>
      </c>
      <c r="D73" s="402">
        <v>0</v>
      </c>
      <c r="E73" s="402"/>
    </row>
    <row r="74" spans="1:7" ht="15" customHeight="1">
      <c r="A74" s="538" t="s">
        <v>374</v>
      </c>
      <c r="B74" s="539" t="s">
        <v>405</v>
      </c>
      <c r="C74" s="403">
        <f>+D74+E74</f>
        <v>0</v>
      </c>
      <c r="D74" s="402">
        <v>0</v>
      </c>
      <c r="E74" s="402"/>
    </row>
    <row r="75" spans="1:7" ht="7.5" customHeight="1">
      <c r="A75" s="536"/>
      <c r="B75" s="537"/>
      <c r="C75" s="430"/>
      <c r="D75" s="430"/>
      <c r="E75" s="430"/>
    </row>
    <row r="76" spans="1:7" ht="15" customHeight="1">
      <c r="A76" s="536" t="s">
        <v>372</v>
      </c>
      <c r="B76" s="537" t="s">
        <v>406</v>
      </c>
      <c r="C76" s="267">
        <f>C72+C73+C74</f>
        <v>100028858</v>
      </c>
      <c r="D76" s="267">
        <f>D72+D73+D74</f>
        <v>88726115</v>
      </c>
      <c r="E76" s="267">
        <f>E72+E73+E74</f>
        <v>11302743</v>
      </c>
      <c r="G76" s="563"/>
    </row>
    <row r="77" spans="1:7" ht="15" customHeight="1">
      <c r="A77" s="106"/>
    </row>
    <row r="78" spans="1:7" ht="15" customHeight="1">
      <c r="A78" s="106"/>
      <c r="B78" s="10" t="s">
        <v>0</v>
      </c>
    </row>
    <row r="79" spans="1:7" ht="15" customHeight="1">
      <c r="A79" s="106"/>
      <c r="B79" s="10"/>
    </row>
    <row r="80" spans="1:7" ht="15" customHeight="1">
      <c r="A80" s="106"/>
      <c r="B80" s="10" t="s">
        <v>1</v>
      </c>
    </row>
    <row r="81" spans="1:1" ht="15" customHeight="1">
      <c r="A81" s="106"/>
    </row>
    <row r="82" spans="1:1" ht="15" customHeight="1">
      <c r="A82" s="106"/>
    </row>
    <row r="83" spans="1:1" ht="15" customHeight="1">
      <c r="A83" s="106"/>
    </row>
    <row r="84" spans="1:1" ht="15" customHeight="1">
      <c r="A84" s="106"/>
    </row>
    <row r="85" spans="1:1" ht="15" customHeight="1">
      <c r="A85" s="106"/>
    </row>
    <row r="86" spans="1:1" ht="15" customHeight="1">
      <c r="A86" s="564"/>
    </row>
    <row r="87" spans="1:1" ht="15" customHeight="1">
      <c r="A87" s="564"/>
    </row>
    <row r="89" spans="1:1" ht="15" customHeight="1">
      <c r="A89" s="565"/>
    </row>
    <row r="90" spans="1:1" ht="15" customHeight="1">
      <c r="A90" s="565"/>
    </row>
    <row r="91" spans="1:1" ht="15" customHeight="1">
      <c r="A91" s="565"/>
    </row>
    <row r="93" spans="1:1" ht="15" customHeight="1">
      <c r="A93" s="566"/>
    </row>
    <row r="94" spans="1:1" ht="15" customHeight="1">
      <c r="A94" s="567"/>
    </row>
  </sheetData>
  <sheetProtection password="CACA" sheet="1" objects="1" scenarios="1"/>
  <phoneticPr fontId="17" type="noConversion"/>
  <conditionalFormatting sqref="G16">
    <cfRule type="cellIs" dxfId="277" priority="42" operator="notEqual">
      <formula>$G$16</formula>
    </cfRule>
  </conditionalFormatting>
  <conditionalFormatting sqref="C16">
    <cfRule type="cellIs" dxfId="276" priority="2" operator="notEqual">
      <formula>$G$16</formula>
    </cfRule>
  </conditionalFormatting>
  <conditionalFormatting sqref="C28">
    <cfRule type="cellIs" dxfId="275" priority="1" operator="notEqual">
      <formula>$G$28</formula>
    </cfRule>
  </conditionalFormatting>
  <dataValidations xWindow="799" yWindow="615" count="4">
    <dataValidation type="whole" operator="notEqual" allowBlank="1" showErrorMessage="1" error="Если увас есть желание не видеть больше_x000a_это сообщение, вводите целые числа!" sqref="C73:F74 F18 F45 F56:F66 C56:D66 C31:F34 C38:F42 F30 C24:F26 F70 C46:F50 C6:E15 F5:F15 C19:F22 C70:D70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 xr:uid="{00000000-0002-0000-0100-000001000000}"/>
    <dataValidation allowBlank="1" showInputMessage="1" showErrorMessage="1" prompt="Значение должно равняться итого процентных доходов (см.следующий лист)" sqref="C16:F16" xr:uid="{00000000-0002-0000-0100-000002000000}"/>
    <dataValidation type="whole" operator="greaterThanOrEqual" allowBlank="1" showInputMessage="1" showErrorMessage="1" sqref="E70 E56:E66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8" orientation="portrait" r:id="rId1"/>
  <headerFooter alignWithMargins="0"/>
  <ignoredErrors>
    <ignoredError sqref="C6:C22 C84:C90" unlockedFormula="1"/>
    <ignoredError sqref="C23:C35 C38:C55 C67:C69 C71:C83" formula="1" unlockedFormula="1"/>
    <ignoredError sqref="C36:C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="130" zoomScaleSheetLayoutView="130" workbookViewId="0">
      <pane xSplit="2" ySplit="4" topLeftCell="C51" activePane="bottomRight" state="frozen"/>
      <selection activeCell="C72" sqref="C72"/>
      <selection pane="topRight" activeCell="C72" sqref="C72"/>
      <selection pane="bottomLeft" activeCell="C72" sqref="C72"/>
      <selection pane="bottomRight" activeCell="C70" sqref="C70"/>
    </sheetView>
  </sheetViews>
  <sheetFormatPr defaultRowHeight="12.75"/>
  <cols>
    <col min="1" max="1" width="7.140625" style="56" customWidth="1"/>
    <col min="2" max="2" width="83.28515625" style="1" bestFit="1" customWidth="1"/>
    <col min="3" max="3" width="24" style="1" customWidth="1"/>
    <col min="4" max="10" width="6.42578125" style="1" customWidth="1"/>
    <col min="11" max="16384" width="9.140625" style="1"/>
  </cols>
  <sheetData>
    <row r="1" spans="1:20" s="21" customFormat="1" ht="21" customHeight="1">
      <c r="A1" s="9"/>
      <c r="B1" s="255" t="s">
        <v>14</v>
      </c>
      <c r="C1" s="69" t="s">
        <v>637</v>
      </c>
      <c r="D1" s="33"/>
      <c r="E1" s="33"/>
      <c r="F1" s="33"/>
      <c r="G1" s="33"/>
      <c r="H1" s="33"/>
    </row>
    <row r="2" spans="1:20" ht="9" customHeight="1">
      <c r="A2" s="40"/>
      <c r="B2" s="7"/>
      <c r="C2" s="69"/>
      <c r="D2" s="3"/>
      <c r="E2" s="3"/>
      <c r="F2" s="3"/>
      <c r="G2" s="3"/>
      <c r="H2" s="3"/>
    </row>
    <row r="3" spans="1:20" ht="15">
      <c r="A3" s="51"/>
      <c r="B3" s="207" t="str">
        <f>+'Asset quality'!B3</f>
        <v>АКБ "Микрокредитбанк"</v>
      </c>
      <c r="C3" s="208">
        <f>+'Asset quality'!P3</f>
        <v>44196</v>
      </c>
      <c r="D3" s="3"/>
      <c r="E3" s="3"/>
      <c r="F3" s="3"/>
      <c r="G3" s="3"/>
      <c r="H3" s="3"/>
    </row>
    <row r="4" spans="1:20" ht="24" customHeight="1">
      <c r="A4" s="253" t="s">
        <v>83</v>
      </c>
      <c r="B4" s="253" t="s">
        <v>15</v>
      </c>
      <c r="C4" s="253" t="s">
        <v>3</v>
      </c>
      <c r="D4" s="3"/>
      <c r="E4" s="3"/>
      <c r="F4" s="3"/>
      <c r="G4" s="3"/>
      <c r="H4" s="3"/>
    </row>
    <row r="5" spans="1:20">
      <c r="A5" s="52" t="s">
        <v>495</v>
      </c>
      <c r="B5" s="244" t="s">
        <v>519</v>
      </c>
      <c r="C5" s="253"/>
      <c r="D5" s="3"/>
      <c r="E5" s="3"/>
      <c r="F5" s="3"/>
      <c r="G5" s="3"/>
      <c r="H5" s="3"/>
    </row>
    <row r="6" spans="1:20">
      <c r="A6" s="53" t="s">
        <v>496</v>
      </c>
      <c r="B6" s="245" t="s">
        <v>520</v>
      </c>
      <c r="C6" s="643">
        <v>0</v>
      </c>
      <c r="D6" s="3"/>
      <c r="E6" s="3"/>
      <c r="F6" s="3"/>
      <c r="G6" s="3"/>
      <c r="H6" s="3"/>
    </row>
    <row r="7" spans="1:20">
      <c r="A7" s="53" t="s">
        <v>497</v>
      </c>
      <c r="B7" s="245" t="s">
        <v>521</v>
      </c>
      <c r="C7" s="643">
        <v>8033</v>
      </c>
      <c r="D7" s="3"/>
      <c r="E7" s="3"/>
      <c r="F7" s="3"/>
      <c r="G7" s="3"/>
      <c r="H7" s="3"/>
    </row>
    <row r="8" spans="1:20">
      <c r="A8" s="53" t="s">
        <v>498</v>
      </c>
      <c r="B8" s="245" t="s">
        <v>522</v>
      </c>
      <c r="C8" s="643">
        <v>2091</v>
      </c>
      <c r="D8" s="3"/>
      <c r="E8" s="3"/>
      <c r="F8" s="3"/>
      <c r="G8" s="3"/>
      <c r="H8" s="3"/>
    </row>
    <row r="9" spans="1:20">
      <c r="A9" s="53" t="s">
        <v>499</v>
      </c>
      <c r="B9" s="245" t="s">
        <v>523</v>
      </c>
      <c r="C9" s="643">
        <v>334380571</v>
      </c>
      <c r="D9" s="3"/>
      <c r="E9" s="3"/>
      <c r="F9" s="3"/>
      <c r="G9" s="3"/>
      <c r="H9" s="3"/>
    </row>
    <row r="10" spans="1:20">
      <c r="A10" s="53" t="s">
        <v>500</v>
      </c>
      <c r="B10" s="245" t="s">
        <v>524</v>
      </c>
      <c r="C10" s="643">
        <v>8873283</v>
      </c>
      <c r="D10" s="3"/>
      <c r="E10" s="3"/>
      <c r="F10" s="3"/>
      <c r="G10" s="3"/>
      <c r="H10" s="3"/>
    </row>
    <row r="11" spans="1:20">
      <c r="A11" s="53" t="s">
        <v>501</v>
      </c>
      <c r="B11" s="245" t="s">
        <v>525</v>
      </c>
      <c r="C11" s="643">
        <v>30511822</v>
      </c>
      <c r="D11" s="3"/>
      <c r="E11" s="3"/>
      <c r="F11" s="3"/>
      <c r="G11" s="3"/>
      <c r="H11" s="3"/>
    </row>
    <row r="12" spans="1:20">
      <c r="A12" s="53" t="s">
        <v>502</v>
      </c>
      <c r="B12" s="245" t="s">
        <v>526</v>
      </c>
      <c r="C12" s="643">
        <v>550675830</v>
      </c>
      <c r="D12" s="3"/>
      <c r="E12" s="3"/>
      <c r="F12" s="3"/>
      <c r="G12" s="3"/>
      <c r="H12" s="3"/>
    </row>
    <row r="13" spans="1:20">
      <c r="A13" s="53" t="s">
        <v>503</v>
      </c>
      <c r="B13" s="245" t="s">
        <v>527</v>
      </c>
      <c r="C13" s="643">
        <v>45768982</v>
      </c>
      <c r="D13" s="3"/>
      <c r="E13" s="3"/>
      <c r="F13" s="3"/>
      <c r="G13" s="3"/>
      <c r="H13" s="3"/>
    </row>
    <row r="14" spans="1:20">
      <c r="A14" s="52" t="s">
        <v>504</v>
      </c>
      <c r="B14" s="244" t="s">
        <v>528</v>
      </c>
      <c r="C14" s="8">
        <f>SUM(C6:C13)</f>
        <v>970220612</v>
      </c>
      <c r="D14" s="3"/>
      <c r="E14" s="3"/>
      <c r="F14" s="3"/>
      <c r="G14" s="3"/>
      <c r="H14" s="3"/>
    </row>
    <row r="15" spans="1:20" s="2" customFormat="1" ht="7.5" customHeight="1">
      <c r="A15" s="42"/>
      <c r="B15" s="89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52" t="s">
        <v>505</v>
      </c>
      <c r="B16" s="244" t="s">
        <v>529</v>
      </c>
      <c r="C16" s="253"/>
      <c r="D16" s="3"/>
      <c r="E16" s="3"/>
      <c r="F16" s="3"/>
      <c r="G16" s="3"/>
      <c r="H16" s="3"/>
    </row>
    <row r="17" spans="1:20">
      <c r="A17" s="54" t="s">
        <v>496</v>
      </c>
      <c r="B17" s="246" t="s">
        <v>530</v>
      </c>
      <c r="C17" s="12">
        <v>997178</v>
      </c>
      <c r="D17" s="3"/>
      <c r="E17" s="3"/>
      <c r="F17" s="3"/>
      <c r="G17" s="3"/>
      <c r="H17" s="3"/>
    </row>
    <row r="18" spans="1:20">
      <c r="A18" s="54" t="s">
        <v>497</v>
      </c>
      <c r="B18" s="246" t="s">
        <v>226</v>
      </c>
      <c r="C18" s="12">
        <v>44869998</v>
      </c>
      <c r="D18" s="3"/>
      <c r="E18" s="3"/>
      <c r="F18" s="3"/>
      <c r="G18" s="3"/>
      <c r="H18" s="3"/>
    </row>
    <row r="19" spans="1:20">
      <c r="A19" s="52"/>
      <c r="B19" s="244" t="s">
        <v>531</v>
      </c>
      <c r="C19" s="8">
        <f>SUM(C17:C18)</f>
        <v>45867176</v>
      </c>
      <c r="D19" s="3"/>
      <c r="E19" s="3"/>
      <c r="F19" s="3"/>
      <c r="G19" s="3"/>
      <c r="H19" s="3"/>
    </row>
    <row r="20" spans="1:20" s="2" customFormat="1" ht="7.5" customHeight="1">
      <c r="A20" s="42"/>
      <c r="B20" s="89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52" t="s">
        <v>506</v>
      </c>
      <c r="B21" s="244" t="s">
        <v>532</v>
      </c>
      <c r="C21" s="253"/>
      <c r="D21" s="3"/>
      <c r="E21" s="3"/>
      <c r="F21" s="3"/>
      <c r="G21" s="3"/>
      <c r="H21" s="3"/>
    </row>
    <row r="22" spans="1:20">
      <c r="A22" s="53" t="s">
        <v>496</v>
      </c>
      <c r="B22" s="246" t="s">
        <v>533</v>
      </c>
      <c r="C22" s="12">
        <v>22827406</v>
      </c>
      <c r="D22" s="3"/>
      <c r="E22" s="3"/>
      <c r="F22" s="3"/>
      <c r="G22" s="3"/>
      <c r="H22" s="3"/>
    </row>
    <row r="23" spans="1:20">
      <c r="A23" s="53" t="s">
        <v>497</v>
      </c>
      <c r="B23" s="246" t="s">
        <v>534</v>
      </c>
      <c r="C23" s="12">
        <v>0</v>
      </c>
      <c r="D23" s="3"/>
      <c r="E23" s="3"/>
      <c r="F23" s="3"/>
      <c r="G23" s="3"/>
      <c r="H23" s="3"/>
    </row>
    <row r="24" spans="1:20">
      <c r="A24" s="53" t="s">
        <v>498</v>
      </c>
      <c r="B24" s="246" t="s">
        <v>535</v>
      </c>
      <c r="C24" s="12">
        <v>0</v>
      </c>
      <c r="D24" s="3"/>
      <c r="E24" s="3"/>
      <c r="F24" s="3"/>
      <c r="G24" s="3"/>
      <c r="H24" s="3"/>
    </row>
    <row r="25" spans="1:20">
      <c r="A25" s="53" t="s">
        <v>499</v>
      </c>
      <c r="B25" s="246" t="s">
        <v>536</v>
      </c>
      <c r="C25" s="12">
        <v>0</v>
      </c>
      <c r="D25" s="3"/>
      <c r="E25" s="3"/>
      <c r="F25" s="3"/>
      <c r="G25" s="3"/>
      <c r="H25" s="3"/>
    </row>
    <row r="26" spans="1:20">
      <c r="A26" s="53" t="s">
        <v>500</v>
      </c>
      <c r="B26" s="246" t="s">
        <v>537</v>
      </c>
      <c r="C26" s="12">
        <v>0</v>
      </c>
      <c r="D26" s="3"/>
      <c r="E26" s="3"/>
      <c r="F26" s="3"/>
      <c r="G26" s="3"/>
      <c r="H26" s="3"/>
    </row>
    <row r="27" spans="1:20">
      <c r="A27" s="53" t="s">
        <v>501</v>
      </c>
      <c r="B27" s="246" t="s">
        <v>86</v>
      </c>
      <c r="C27" s="12">
        <v>0</v>
      </c>
      <c r="D27" s="3"/>
      <c r="E27" s="3"/>
      <c r="F27" s="3"/>
      <c r="G27" s="3"/>
      <c r="H27" s="3"/>
    </row>
    <row r="28" spans="1:20">
      <c r="A28" s="53" t="s">
        <v>502</v>
      </c>
      <c r="B28" s="244" t="s">
        <v>538</v>
      </c>
      <c r="C28" s="8">
        <f>SUM(C22:C27)</f>
        <v>22827406</v>
      </c>
      <c r="D28" s="3"/>
      <c r="E28" s="3"/>
      <c r="F28" s="3"/>
      <c r="G28" s="3"/>
      <c r="H28" s="3"/>
    </row>
    <row r="29" spans="1:20" s="2" customFormat="1" ht="7.5" customHeight="1">
      <c r="A29" s="42"/>
      <c r="B29" s="89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52" t="s">
        <v>507</v>
      </c>
      <c r="B30" s="244" t="s">
        <v>539</v>
      </c>
      <c r="C30" s="253"/>
      <c r="D30" s="3"/>
      <c r="E30" s="3"/>
      <c r="F30" s="3"/>
      <c r="G30" s="3"/>
      <c r="H30" s="3"/>
    </row>
    <row r="31" spans="1:20">
      <c r="A31" s="53" t="s">
        <v>496</v>
      </c>
      <c r="B31" s="245" t="s">
        <v>540</v>
      </c>
      <c r="C31" s="12">
        <v>0</v>
      </c>
      <c r="D31" s="3"/>
      <c r="E31" s="3"/>
      <c r="F31" s="3"/>
      <c r="G31" s="3"/>
      <c r="H31" s="3"/>
    </row>
    <row r="32" spans="1:20">
      <c r="A32" s="53" t="s">
        <v>497</v>
      </c>
      <c r="B32" s="245" t="s">
        <v>534</v>
      </c>
      <c r="C32" s="12">
        <v>0</v>
      </c>
      <c r="D32" s="3"/>
      <c r="E32" s="3"/>
      <c r="F32" s="3"/>
      <c r="G32" s="3"/>
      <c r="H32" s="3"/>
    </row>
    <row r="33" spans="1:20">
      <c r="A33" s="53" t="s">
        <v>498</v>
      </c>
      <c r="B33" s="245" t="s">
        <v>541</v>
      </c>
      <c r="C33" s="12">
        <v>0</v>
      </c>
      <c r="D33" s="3"/>
      <c r="E33" s="3"/>
      <c r="F33" s="3"/>
      <c r="G33" s="3"/>
      <c r="H33" s="3"/>
    </row>
    <row r="34" spans="1:20">
      <c r="A34" s="53" t="s">
        <v>499</v>
      </c>
      <c r="B34" s="245" t="s">
        <v>536</v>
      </c>
      <c r="C34" s="12">
        <v>0</v>
      </c>
      <c r="D34" s="3"/>
      <c r="E34" s="3"/>
      <c r="F34" s="3"/>
      <c r="G34" s="3"/>
      <c r="H34" s="3"/>
    </row>
    <row r="35" spans="1:20">
      <c r="A35" s="53" t="s">
        <v>500</v>
      </c>
      <c r="B35" s="245" t="s">
        <v>86</v>
      </c>
      <c r="C35" s="12">
        <v>439759</v>
      </c>
      <c r="D35" s="3"/>
      <c r="E35" s="3"/>
      <c r="F35" s="3"/>
      <c r="G35" s="3"/>
      <c r="H35" s="3"/>
    </row>
    <row r="36" spans="1:20">
      <c r="A36" s="53" t="s">
        <v>501</v>
      </c>
      <c r="B36" s="244" t="s">
        <v>542</v>
      </c>
      <c r="C36" s="8">
        <f>SUM(C31:C35)</f>
        <v>439759</v>
      </c>
      <c r="D36" s="3"/>
      <c r="E36" s="3"/>
      <c r="F36" s="3"/>
      <c r="G36" s="3"/>
      <c r="H36" s="3"/>
    </row>
    <row r="37" spans="1:20" s="2" customFormat="1" ht="7.5" customHeight="1">
      <c r="A37" s="42"/>
      <c r="B37" s="89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52" t="s">
        <v>508</v>
      </c>
      <c r="B38" s="244" t="s">
        <v>543</v>
      </c>
      <c r="C38" s="253"/>
      <c r="D38" s="3"/>
      <c r="E38" s="3"/>
      <c r="F38" s="3"/>
      <c r="G38" s="3"/>
      <c r="H38" s="3"/>
    </row>
    <row r="39" spans="1:20">
      <c r="A39" s="53" t="s">
        <v>496</v>
      </c>
      <c r="B39" s="247" t="s">
        <v>544</v>
      </c>
      <c r="C39" s="12">
        <v>0</v>
      </c>
      <c r="D39" s="3"/>
      <c r="E39" s="3"/>
      <c r="F39" s="3"/>
      <c r="G39" s="3"/>
      <c r="H39" s="3"/>
    </row>
    <row r="40" spans="1:20">
      <c r="A40" s="53" t="s">
        <v>497</v>
      </c>
      <c r="B40" s="247" t="s">
        <v>327</v>
      </c>
      <c r="C40" s="12">
        <v>361508054</v>
      </c>
      <c r="D40" s="3"/>
      <c r="E40" s="3"/>
      <c r="F40" s="3"/>
      <c r="G40" s="3"/>
      <c r="H40" s="3"/>
    </row>
    <row r="41" spans="1:20" s="2" customFormat="1" ht="7.5" customHeight="1">
      <c r="A41" s="42"/>
      <c r="B41" s="89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52" t="s">
        <v>361</v>
      </c>
      <c r="B42" s="244" t="s">
        <v>545</v>
      </c>
      <c r="C42" s="8">
        <f>C14+C19+C28+C36+C39+C40</f>
        <v>1400863007</v>
      </c>
      <c r="D42" s="3"/>
      <c r="E42" s="3"/>
      <c r="F42" s="3"/>
      <c r="G42" s="3"/>
      <c r="H42" s="3"/>
    </row>
    <row r="43" spans="1:20" s="2" customFormat="1" ht="7.5" customHeight="1">
      <c r="A43" s="42"/>
      <c r="B43" s="89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52" t="s">
        <v>362</v>
      </c>
      <c r="B44" s="244" t="s">
        <v>546</v>
      </c>
      <c r="C44" s="253"/>
      <c r="D44" s="3"/>
      <c r="E44" s="3"/>
      <c r="F44" s="3"/>
      <c r="G44" s="3"/>
      <c r="H44" s="3"/>
    </row>
    <row r="45" spans="1:20">
      <c r="A45" s="52" t="s">
        <v>509</v>
      </c>
      <c r="B45" s="244" t="s">
        <v>229</v>
      </c>
      <c r="C45" s="12"/>
      <c r="D45" s="3"/>
      <c r="E45" s="3"/>
      <c r="F45" s="3"/>
      <c r="G45" s="3"/>
      <c r="H45" s="3"/>
    </row>
    <row r="46" spans="1:20">
      <c r="A46" s="53" t="s">
        <v>496</v>
      </c>
      <c r="B46" s="246" t="s">
        <v>163</v>
      </c>
      <c r="C46" s="12">
        <v>40000</v>
      </c>
      <c r="D46" s="3"/>
      <c r="E46" s="3"/>
      <c r="F46" s="3"/>
      <c r="G46" s="3"/>
      <c r="H46" s="3"/>
    </row>
    <row r="47" spans="1:20">
      <c r="A47" s="53" t="s">
        <v>497</v>
      </c>
      <c r="B47" s="246" t="s">
        <v>164</v>
      </c>
      <c r="C47" s="12">
        <v>100779</v>
      </c>
      <c r="D47" s="3"/>
      <c r="E47" s="3"/>
      <c r="F47" s="3"/>
      <c r="G47" s="3"/>
      <c r="H47" s="3"/>
    </row>
    <row r="48" spans="1:20">
      <c r="A48" s="53" t="s">
        <v>498</v>
      </c>
      <c r="B48" s="246" t="s">
        <v>165</v>
      </c>
      <c r="C48" s="12">
        <v>2647651</v>
      </c>
      <c r="D48" s="3"/>
      <c r="E48" s="3"/>
      <c r="F48" s="3"/>
      <c r="G48" s="3"/>
      <c r="H48" s="3"/>
    </row>
    <row r="49" spans="1:20">
      <c r="A49" s="53" t="s">
        <v>499</v>
      </c>
      <c r="B49" s="245" t="s">
        <v>166</v>
      </c>
      <c r="C49" s="12">
        <v>0</v>
      </c>
      <c r="D49" s="3"/>
      <c r="E49" s="3"/>
      <c r="F49" s="3"/>
      <c r="G49" s="3"/>
      <c r="H49" s="3"/>
    </row>
    <row r="50" spans="1:20">
      <c r="A50" s="53" t="s">
        <v>500</v>
      </c>
      <c r="B50" s="245" t="s">
        <v>547</v>
      </c>
      <c r="C50" s="12">
        <v>0</v>
      </c>
      <c r="D50" s="3"/>
      <c r="E50" s="3"/>
      <c r="F50" s="3"/>
      <c r="G50" s="3"/>
      <c r="H50" s="3"/>
    </row>
    <row r="51" spans="1:20">
      <c r="A51" s="53" t="s">
        <v>501</v>
      </c>
      <c r="B51" s="245" t="s">
        <v>548</v>
      </c>
      <c r="C51" s="12">
        <v>3095813</v>
      </c>
      <c r="D51" s="3"/>
      <c r="E51" s="3"/>
      <c r="F51" s="3"/>
      <c r="G51" s="3"/>
      <c r="H51" s="3"/>
    </row>
    <row r="52" spans="1:20">
      <c r="A52" s="53" t="s">
        <v>502</v>
      </c>
      <c r="B52" s="245" t="s">
        <v>549</v>
      </c>
      <c r="C52" s="8">
        <f>SUM(C46:C51)</f>
        <v>5884243</v>
      </c>
      <c r="D52" s="3"/>
      <c r="E52" s="3"/>
      <c r="F52" s="3"/>
      <c r="G52" s="3"/>
      <c r="H52" s="3"/>
    </row>
    <row r="53" spans="1:20" s="2" customFormat="1" ht="7.5" customHeight="1">
      <c r="A53" s="42"/>
      <c r="B53" s="89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52" t="s">
        <v>510</v>
      </c>
      <c r="B54" s="244" t="s">
        <v>232</v>
      </c>
      <c r="C54" s="253"/>
      <c r="D54" s="3"/>
      <c r="E54" s="3"/>
      <c r="F54" s="3"/>
      <c r="G54" s="3"/>
      <c r="H54" s="3"/>
    </row>
    <row r="55" spans="1:20">
      <c r="A55" s="53" t="s">
        <v>496</v>
      </c>
      <c r="B55" s="246" t="s">
        <v>163</v>
      </c>
      <c r="C55" s="12">
        <v>72512486</v>
      </c>
      <c r="D55" s="3"/>
      <c r="E55" s="3"/>
      <c r="F55" s="3"/>
      <c r="G55" s="3"/>
      <c r="H55" s="3"/>
    </row>
    <row r="56" spans="1:20">
      <c r="A56" s="53" t="s">
        <v>497</v>
      </c>
      <c r="B56" s="246" t="s">
        <v>164</v>
      </c>
      <c r="C56" s="12">
        <v>65450966</v>
      </c>
      <c r="D56" s="3"/>
      <c r="E56" s="3"/>
      <c r="F56" s="3"/>
      <c r="G56" s="3"/>
      <c r="H56" s="3"/>
    </row>
    <row r="57" spans="1:20">
      <c r="A57" s="53" t="s">
        <v>498</v>
      </c>
      <c r="B57" s="246" t="s">
        <v>165</v>
      </c>
      <c r="C57" s="12">
        <v>24628624</v>
      </c>
      <c r="D57" s="3"/>
      <c r="E57" s="3"/>
      <c r="F57" s="3"/>
      <c r="G57" s="3"/>
      <c r="H57" s="3"/>
    </row>
    <row r="58" spans="1:20">
      <c r="A58" s="53" t="s">
        <v>499</v>
      </c>
      <c r="B58" s="245" t="s">
        <v>166</v>
      </c>
      <c r="C58" s="12">
        <v>843449</v>
      </c>
      <c r="D58" s="3"/>
      <c r="E58" s="3"/>
      <c r="F58" s="3"/>
      <c r="G58" s="3"/>
      <c r="H58" s="3"/>
    </row>
    <row r="59" spans="1:20">
      <c r="A59" s="53" t="s">
        <v>500</v>
      </c>
      <c r="B59" s="246" t="s">
        <v>547</v>
      </c>
      <c r="C59" s="12">
        <v>8295322</v>
      </c>
      <c r="D59" s="3"/>
      <c r="E59" s="3"/>
      <c r="F59" s="3"/>
      <c r="G59" s="3"/>
      <c r="H59" s="3"/>
    </row>
    <row r="60" spans="1:20">
      <c r="A60" s="53" t="s">
        <v>501</v>
      </c>
      <c r="B60" s="246" t="s">
        <v>548</v>
      </c>
      <c r="C60" s="12">
        <v>18673777</v>
      </c>
      <c r="D60" s="3"/>
      <c r="E60" s="3"/>
      <c r="F60" s="3"/>
      <c r="G60" s="3"/>
      <c r="H60" s="3"/>
    </row>
    <row r="61" spans="1:20" ht="13.5" customHeight="1">
      <c r="A61" s="53" t="s">
        <v>502</v>
      </c>
      <c r="B61" s="246" t="s">
        <v>550</v>
      </c>
      <c r="C61" s="8">
        <f>SUM(C55:C60)</f>
        <v>190404624</v>
      </c>
      <c r="D61" s="3"/>
      <c r="E61" s="3"/>
      <c r="F61" s="3"/>
      <c r="G61" s="3"/>
      <c r="H61" s="3"/>
    </row>
    <row r="62" spans="1:20" s="2" customFormat="1" ht="7.5" customHeight="1">
      <c r="A62" s="42"/>
      <c r="B62" s="89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52" t="s">
        <v>511</v>
      </c>
      <c r="B63" s="244" t="s">
        <v>551</v>
      </c>
      <c r="C63" s="8">
        <f>C52+C61</f>
        <v>196288867</v>
      </c>
      <c r="D63" s="3"/>
      <c r="E63" s="3"/>
      <c r="F63" s="3"/>
      <c r="G63" s="3"/>
      <c r="H63" s="3"/>
    </row>
    <row r="64" spans="1:20" s="2" customFormat="1" ht="7.5" customHeight="1">
      <c r="A64" s="42"/>
      <c r="B64" s="89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52" t="s">
        <v>512</v>
      </c>
      <c r="B65" s="244" t="s">
        <v>552</v>
      </c>
      <c r="C65" s="253"/>
      <c r="D65" s="3"/>
      <c r="E65" s="3"/>
      <c r="F65" s="3"/>
      <c r="G65" s="3"/>
      <c r="H65" s="3"/>
    </row>
    <row r="66" spans="1:20">
      <c r="A66" s="54" t="s">
        <v>513</v>
      </c>
      <c r="B66" s="246" t="s">
        <v>553</v>
      </c>
      <c r="C66" s="12">
        <v>0</v>
      </c>
      <c r="D66" s="3"/>
      <c r="E66" s="3"/>
      <c r="F66" s="3"/>
      <c r="G66" s="3"/>
      <c r="H66" s="3"/>
    </row>
    <row r="67" spans="1:20">
      <c r="A67" s="54" t="s">
        <v>514</v>
      </c>
      <c r="B67" s="247" t="s">
        <v>313</v>
      </c>
      <c r="C67" s="12">
        <v>199829463</v>
      </c>
      <c r="D67" s="3"/>
      <c r="E67" s="3"/>
      <c r="F67" s="3"/>
      <c r="G67" s="3"/>
      <c r="H67" s="3"/>
    </row>
    <row r="68" spans="1:20">
      <c r="A68" s="55" t="s">
        <v>515</v>
      </c>
      <c r="B68" s="247" t="s">
        <v>314</v>
      </c>
      <c r="C68" s="12">
        <v>2222268</v>
      </c>
      <c r="D68" s="3"/>
      <c r="E68" s="3"/>
      <c r="F68" s="3"/>
      <c r="G68" s="3"/>
      <c r="H68" s="3"/>
    </row>
    <row r="69" spans="1:20">
      <c r="A69" s="54" t="s">
        <v>516</v>
      </c>
      <c r="B69" s="247" t="s">
        <v>315</v>
      </c>
      <c r="C69" s="12">
        <v>475663713</v>
      </c>
      <c r="D69" s="3"/>
      <c r="E69" s="3"/>
      <c r="F69" s="3"/>
      <c r="G69" s="3"/>
      <c r="H69" s="3"/>
    </row>
    <row r="70" spans="1:20">
      <c r="A70" s="52" t="s">
        <v>517</v>
      </c>
      <c r="B70" s="248" t="s">
        <v>554</v>
      </c>
      <c r="C70" s="8">
        <f>SUM(C66:C69)</f>
        <v>677715444</v>
      </c>
      <c r="D70" s="3"/>
      <c r="E70" s="3"/>
      <c r="F70" s="3"/>
      <c r="G70" s="3"/>
      <c r="H70" s="3"/>
    </row>
    <row r="71" spans="1:20" s="2" customFormat="1" ht="7.5" customHeight="1">
      <c r="A71" s="42"/>
      <c r="B71" s="89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52" t="s">
        <v>518</v>
      </c>
      <c r="B72" s="244" t="s">
        <v>555</v>
      </c>
      <c r="C72" s="8">
        <f>C63+C70</f>
        <v>874004311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57"/>
      <c r="B74" s="5" t="s">
        <v>0</v>
      </c>
      <c r="D74" s="3"/>
      <c r="E74" s="3"/>
      <c r="F74" s="3"/>
      <c r="G74" s="3"/>
      <c r="H74" s="3"/>
    </row>
    <row r="75" spans="1:20">
      <c r="A75" s="57"/>
      <c r="B75" s="5"/>
      <c r="D75" s="3"/>
      <c r="E75" s="3"/>
      <c r="F75" s="3"/>
      <c r="G75" s="3"/>
      <c r="H75" s="3"/>
    </row>
    <row r="76" spans="1:20">
      <c r="A76" s="57"/>
      <c r="B76" s="5" t="s">
        <v>1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58"/>
      <c r="D78" s="3"/>
      <c r="E78" s="3"/>
      <c r="F78" s="3"/>
      <c r="G78" s="3"/>
      <c r="H78" s="3"/>
    </row>
    <row r="79" spans="1:20">
      <c r="A79" s="59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D90" s="3"/>
      <c r="E90" s="3"/>
      <c r="F90" s="3"/>
      <c r="G90" s="3"/>
      <c r="H90" s="3"/>
    </row>
    <row r="91" spans="4:8">
      <c r="D91" s="3"/>
      <c r="E91" s="3"/>
      <c r="F91" s="3"/>
      <c r="G91" s="3"/>
      <c r="H91" s="3"/>
    </row>
    <row r="92" spans="4:8">
      <c r="D92" s="3"/>
      <c r="E92" s="3"/>
      <c r="F92" s="3"/>
      <c r="G92" s="3"/>
      <c r="H92" s="3"/>
    </row>
    <row r="93" spans="4:8">
      <c r="D93" s="3"/>
      <c r="E93" s="3"/>
      <c r="F93" s="3"/>
      <c r="G93" s="3"/>
      <c r="H93" s="3"/>
    </row>
    <row r="94" spans="4:8">
      <c r="D94" s="3"/>
      <c r="E94" s="3"/>
      <c r="F94" s="3"/>
      <c r="G94" s="3"/>
      <c r="H94" s="3"/>
    </row>
    <row r="95" spans="4:8">
      <c r="D95" s="3"/>
      <c r="E95" s="3"/>
      <c r="F95" s="3"/>
      <c r="G95" s="3"/>
      <c r="H95" s="3"/>
    </row>
    <row r="96" spans="4:8">
      <c r="D96" s="3"/>
      <c r="E96" s="3"/>
      <c r="F96" s="3"/>
      <c r="G96" s="3"/>
      <c r="H96" s="3"/>
    </row>
    <row r="97" spans="4:8">
      <c r="D97" s="3"/>
      <c r="E97" s="3"/>
      <c r="F97" s="3"/>
      <c r="G97" s="3"/>
      <c r="H97" s="3"/>
    </row>
    <row r="98" spans="4:8">
      <c r="D98" s="3"/>
      <c r="E98" s="3"/>
      <c r="F98" s="3"/>
      <c r="G98" s="3"/>
      <c r="H98" s="3"/>
    </row>
  </sheetData>
  <sheetProtection password="CACA" sheet="1" objects="1" scenarios="1"/>
  <phoneticPr fontId="17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I28"/>
  <sheetViews>
    <sheetView zoomScaleSheetLayoutView="100" workbookViewId="0">
      <selection activeCell="C8" sqref="C8"/>
    </sheetView>
  </sheetViews>
  <sheetFormatPr defaultRowHeight="12.75"/>
  <cols>
    <col min="1" max="1" width="5.85546875" style="628" customWidth="1"/>
    <col min="2" max="2" width="89.42578125" style="105" customWidth="1"/>
    <col min="3" max="3" width="27.42578125" style="105" customWidth="1"/>
    <col min="4" max="4" width="12.85546875" style="105" bestFit="1" customWidth="1"/>
    <col min="5" max="8" width="9.140625" style="105"/>
    <col min="9" max="9" width="10.28515625" style="105" bestFit="1" customWidth="1"/>
    <col min="10" max="16384" width="9.140625" style="105"/>
  </cols>
  <sheetData>
    <row r="1" spans="1:9" ht="15.75">
      <c r="A1" s="614"/>
      <c r="B1" s="614" t="s">
        <v>89</v>
      </c>
      <c r="C1" s="410" t="s">
        <v>691</v>
      </c>
    </row>
    <row r="2" spans="1:9" ht="15.75">
      <c r="A2" s="614"/>
      <c r="B2" s="614"/>
      <c r="C2" s="410"/>
    </row>
    <row r="3" spans="1:9" ht="15.75">
      <c r="A3" s="615"/>
      <c r="B3" s="616" t="str">
        <f>+'Asset quality'!B3</f>
        <v>АКБ "Микрокредитбанк"</v>
      </c>
      <c r="C3" s="617">
        <f>+'Asset quality'!P3</f>
        <v>44196</v>
      </c>
    </row>
    <row r="4" spans="1:9" s="104" customFormat="1" ht="33.75" customHeight="1">
      <c r="A4" s="253" t="s">
        <v>83</v>
      </c>
      <c r="B4" s="253" t="s">
        <v>15</v>
      </c>
      <c r="C4" s="253" t="s">
        <v>3</v>
      </c>
    </row>
    <row r="5" spans="1:9" ht="18.75" customHeight="1">
      <c r="A5" s="618" t="s">
        <v>329</v>
      </c>
      <c r="B5" s="619" t="s">
        <v>558</v>
      </c>
      <c r="C5" s="61">
        <v>1625105476</v>
      </c>
    </row>
    <row r="6" spans="1:9" ht="18.75" customHeight="1">
      <c r="A6" s="620" t="s">
        <v>341</v>
      </c>
      <c r="B6" s="621" t="s">
        <v>559</v>
      </c>
      <c r="C6" s="61">
        <v>0</v>
      </c>
    </row>
    <row r="7" spans="1:9" ht="18.75" customHeight="1">
      <c r="A7" s="579" t="s">
        <v>556</v>
      </c>
      <c r="B7" s="622" t="s">
        <v>560</v>
      </c>
      <c r="C7" s="224">
        <f>SUM(C5:C6)</f>
        <v>1625105476</v>
      </c>
      <c r="I7" s="623"/>
    </row>
    <row r="8" spans="1:9" ht="18.75" customHeight="1">
      <c r="A8" s="579" t="s">
        <v>353</v>
      </c>
      <c r="B8" s="622" t="s">
        <v>561</v>
      </c>
      <c r="C8" s="224">
        <f>+'Income '!C76</f>
        <v>100028858</v>
      </c>
      <c r="D8" s="611">
        <f>+[8]Balance!$C$76</f>
        <v>100028858</v>
      </c>
    </row>
    <row r="9" spans="1:9" ht="18.75" customHeight="1">
      <c r="A9" s="579" t="s">
        <v>360</v>
      </c>
      <c r="B9" s="621" t="s">
        <v>562</v>
      </c>
      <c r="C9" s="62">
        <v>0</v>
      </c>
      <c r="D9" s="650"/>
      <c r="I9" s="623"/>
    </row>
    <row r="10" spans="1:9" ht="18.75" customHeight="1">
      <c r="A10" s="579" t="s">
        <v>557</v>
      </c>
      <c r="B10" s="622" t="s">
        <v>563</v>
      </c>
      <c r="C10" s="62">
        <v>0</v>
      </c>
      <c r="D10" s="650"/>
      <c r="I10" s="611"/>
    </row>
    <row r="11" spans="1:9" ht="18.75" customHeight="1">
      <c r="A11" s="579" t="s">
        <v>362</v>
      </c>
      <c r="B11" s="622" t="s">
        <v>564</v>
      </c>
      <c r="C11" s="63">
        <v>0</v>
      </c>
      <c r="D11" s="650"/>
      <c r="I11" s="623"/>
    </row>
    <row r="12" spans="1:9" ht="18.75" customHeight="1">
      <c r="A12" s="579" t="s">
        <v>512</v>
      </c>
      <c r="B12" s="622" t="s">
        <v>565</v>
      </c>
      <c r="C12" s="62">
        <v>0</v>
      </c>
      <c r="D12" s="650"/>
      <c r="I12" s="623"/>
    </row>
    <row r="13" spans="1:9" ht="18.75" customHeight="1">
      <c r="A13" s="579" t="s">
        <v>370</v>
      </c>
      <c r="B13" s="622" t="s">
        <v>566</v>
      </c>
      <c r="C13" s="62">
        <v>13155198</v>
      </c>
      <c r="D13" s="650"/>
      <c r="I13" s="623"/>
    </row>
    <row r="14" spans="1:9" ht="18.75" customHeight="1">
      <c r="A14" s="579" t="s">
        <v>372</v>
      </c>
      <c r="B14" s="622" t="s">
        <v>567</v>
      </c>
      <c r="C14" s="224">
        <f>C7+SUM(C8:C10)-SUM(C11:C12)+C13</f>
        <v>1738289532</v>
      </c>
      <c r="D14" s="611">
        <f>+[8]Balance!$C$77</f>
        <v>1738289532</v>
      </c>
      <c r="I14" s="624"/>
    </row>
    <row r="15" spans="1:9">
      <c r="A15" s="578"/>
      <c r="B15" s="106"/>
      <c r="C15" s="106"/>
      <c r="I15" s="623"/>
    </row>
    <row r="16" spans="1:9" ht="12.75" customHeight="1">
      <c r="A16" s="625"/>
      <c r="B16" s="10" t="s">
        <v>0</v>
      </c>
    </row>
    <row r="17" spans="1:2" ht="12.75" customHeight="1">
      <c r="A17" s="625"/>
      <c r="B17" s="10"/>
    </row>
    <row r="18" spans="1:2">
      <c r="A18" s="625"/>
      <c r="B18" s="10" t="s">
        <v>1</v>
      </c>
    </row>
    <row r="20" spans="1:2" ht="12.75" customHeight="1">
      <c r="A20" s="626"/>
    </row>
    <row r="21" spans="1:2">
      <c r="A21" s="627"/>
    </row>
    <row r="27" spans="1:2" ht="12.75" customHeight="1"/>
    <row r="28" spans="1:2" ht="12.75" customHeight="1"/>
  </sheetData>
  <sheetProtection password="CACA" sheet="1" objects="1" scenarios="1"/>
  <phoneticPr fontId="17" type="noConversion"/>
  <conditionalFormatting sqref="C8">
    <cfRule type="cellIs" dxfId="274" priority="6" stopIfTrue="1" operator="notEqual">
      <formula>NETINC</formula>
    </cfRule>
  </conditionalFormatting>
  <conditionalFormatting sqref="C14">
    <cfRule type="cellIs" dxfId="273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H102"/>
  <sheetViews>
    <sheetView topLeftCell="A4" zoomScale="70" zoomScaleNormal="70" zoomScaleSheetLayoutView="55" workbookViewId="0">
      <pane xSplit="3" ySplit="3" topLeftCell="D59" activePane="bottomRight" state="frozen"/>
      <selection activeCell="C72" sqref="C72"/>
      <selection pane="topRight" activeCell="C72" sqref="C72"/>
      <selection pane="bottomLeft" activeCell="C72" sqref="C72"/>
      <selection pane="bottomRight" activeCell="Q106" sqref="Q106"/>
    </sheetView>
  </sheetViews>
  <sheetFormatPr defaultRowHeight="12.75"/>
  <cols>
    <col min="1" max="1" width="7" style="105" customWidth="1"/>
    <col min="2" max="2" width="57.5703125" style="105" customWidth="1"/>
    <col min="3" max="3" width="18.42578125" style="105" customWidth="1"/>
    <col min="4" max="4" width="15" style="105" customWidth="1"/>
    <col min="5" max="5" width="13.28515625" style="105" customWidth="1"/>
    <col min="6" max="6" width="15" style="105" customWidth="1"/>
    <col min="7" max="7" width="14.28515625" style="105" customWidth="1"/>
    <col min="8" max="8" width="15.42578125" style="105" customWidth="1"/>
    <col min="9" max="9" width="14.42578125" style="105" customWidth="1"/>
    <col min="10" max="10" width="13.7109375" style="105" customWidth="1"/>
    <col min="11" max="12" width="17" style="105" customWidth="1"/>
    <col min="13" max="13" width="15" style="105" customWidth="1"/>
    <col min="14" max="14" width="13.7109375" style="105" customWidth="1"/>
    <col min="15" max="17" width="16" style="105" customWidth="1"/>
    <col min="18" max="18" width="15.140625" style="105" customWidth="1"/>
    <col min="19" max="21" width="13.7109375" style="105" customWidth="1"/>
    <col min="22" max="23" width="15.28515625" style="105" customWidth="1"/>
    <col min="24" max="25" width="13.7109375" style="105" customWidth="1"/>
    <col min="26" max="16384" width="9.140625" style="105"/>
  </cols>
  <sheetData>
    <row r="1" spans="1:34" s="583" customFormat="1" ht="31.5" customHeight="1">
      <c r="A1" s="580" t="s">
        <v>754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  <c r="T1" s="580"/>
      <c r="U1" s="580"/>
      <c r="V1" s="580"/>
      <c r="W1" s="581" t="s">
        <v>638</v>
      </c>
      <c r="X1" s="582"/>
      <c r="Y1" s="581"/>
    </row>
    <row r="2" spans="1:34" ht="18">
      <c r="A2" s="582"/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2"/>
      <c r="X2" s="584"/>
      <c r="Y2" s="584"/>
    </row>
    <row r="3" spans="1:34" s="106" customFormat="1" ht="15.75">
      <c r="A3" s="518"/>
      <c r="B3" s="585" t="str">
        <f>+'Asset quality'!B3</f>
        <v>АКБ "Микрокредитбанк"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684">
        <f>+'Asset quality'!P3</f>
        <v>44196</v>
      </c>
      <c r="U3" s="684"/>
      <c r="V3" s="586"/>
      <c r="W3" s="586"/>
      <c r="X3" s="587" t="s">
        <v>408</v>
      </c>
      <c r="Y3" s="71"/>
    </row>
    <row r="4" spans="1:34" s="588" customFormat="1" ht="32.25" customHeight="1">
      <c r="A4" s="675" t="s">
        <v>83</v>
      </c>
      <c r="B4" s="675" t="s">
        <v>91</v>
      </c>
      <c r="C4" s="678" t="s">
        <v>92</v>
      </c>
      <c r="D4" s="683" t="s">
        <v>306</v>
      </c>
      <c r="E4" s="683"/>
      <c r="F4" s="683" t="s">
        <v>307</v>
      </c>
      <c r="G4" s="683"/>
      <c r="H4" s="682" t="s">
        <v>90</v>
      </c>
      <c r="I4" s="682"/>
      <c r="J4" s="682" t="s">
        <v>90</v>
      </c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</row>
    <row r="5" spans="1:34" s="588" customFormat="1" ht="18" customHeight="1">
      <c r="A5" s="676"/>
      <c r="B5" s="676"/>
      <c r="C5" s="679"/>
      <c r="D5" s="683" t="s">
        <v>620</v>
      </c>
      <c r="E5" s="683" t="s">
        <v>720</v>
      </c>
      <c r="F5" s="683" t="s">
        <v>620</v>
      </c>
      <c r="G5" s="683" t="s">
        <v>720</v>
      </c>
      <c r="H5" s="681" t="s">
        <v>733</v>
      </c>
      <c r="I5" s="681" t="s">
        <v>748</v>
      </c>
      <c r="J5" s="681" t="s">
        <v>93</v>
      </c>
      <c r="K5" s="681" t="s">
        <v>94</v>
      </c>
      <c r="L5" s="589" t="s">
        <v>90</v>
      </c>
      <c r="M5" s="681" t="s">
        <v>95</v>
      </c>
      <c r="N5" s="681" t="s">
        <v>96</v>
      </c>
      <c r="O5" s="681" t="s">
        <v>97</v>
      </c>
      <c r="P5" s="682" t="s">
        <v>90</v>
      </c>
      <c r="Q5" s="682"/>
      <c r="R5" s="681" t="s">
        <v>98</v>
      </c>
      <c r="S5" s="681" t="s">
        <v>99</v>
      </c>
      <c r="T5" s="681" t="s">
        <v>100</v>
      </c>
      <c r="U5" s="681" t="s">
        <v>101</v>
      </c>
      <c r="V5" s="681" t="s">
        <v>102</v>
      </c>
      <c r="W5" s="681" t="s">
        <v>103</v>
      </c>
      <c r="X5" s="681" t="s">
        <v>104</v>
      </c>
      <c r="Y5" s="681" t="s">
        <v>105</v>
      </c>
    </row>
    <row r="6" spans="1:34" s="588" customFormat="1" ht="102" customHeight="1">
      <c r="A6" s="677"/>
      <c r="B6" s="677"/>
      <c r="C6" s="680"/>
      <c r="D6" s="683"/>
      <c r="E6" s="683"/>
      <c r="F6" s="683"/>
      <c r="G6" s="683"/>
      <c r="H6" s="681"/>
      <c r="I6" s="681"/>
      <c r="J6" s="681"/>
      <c r="K6" s="681"/>
      <c r="L6" s="310" t="s">
        <v>54</v>
      </c>
      <c r="M6" s="681"/>
      <c r="N6" s="681"/>
      <c r="O6" s="681"/>
      <c r="P6" s="310" t="s">
        <v>639</v>
      </c>
      <c r="Q6" s="310" t="s">
        <v>640</v>
      </c>
      <c r="R6" s="681"/>
      <c r="S6" s="681"/>
      <c r="T6" s="681"/>
      <c r="U6" s="681"/>
      <c r="V6" s="681"/>
      <c r="W6" s="681"/>
      <c r="X6" s="681"/>
      <c r="Y6" s="681"/>
      <c r="AA6" s="590"/>
      <c r="AB6" s="591"/>
    </row>
    <row r="7" spans="1:34" s="597" customFormat="1" ht="15">
      <c r="A7" s="592" t="s">
        <v>106</v>
      </c>
      <c r="B7" s="593" t="s">
        <v>107</v>
      </c>
      <c r="C7" s="593" t="s">
        <v>58</v>
      </c>
      <c r="D7" s="594" t="s">
        <v>706</v>
      </c>
      <c r="E7" s="594" t="s">
        <v>707</v>
      </c>
      <c r="F7" s="594" t="s">
        <v>708</v>
      </c>
      <c r="G7" s="594" t="s">
        <v>709</v>
      </c>
      <c r="H7" s="595" t="s">
        <v>59</v>
      </c>
      <c r="I7" s="595" t="s">
        <v>60</v>
      </c>
      <c r="J7" s="595" t="s">
        <v>84</v>
      </c>
      <c r="K7" s="595" t="s">
        <v>85</v>
      </c>
      <c r="L7" s="593" t="s">
        <v>646</v>
      </c>
      <c r="M7" s="595" t="s">
        <v>87</v>
      </c>
      <c r="N7" s="595" t="s">
        <v>108</v>
      </c>
      <c r="O7" s="595" t="s">
        <v>109</v>
      </c>
      <c r="P7" s="593" t="s">
        <v>648</v>
      </c>
      <c r="Q7" s="593" t="s">
        <v>675</v>
      </c>
      <c r="R7" s="595" t="s">
        <v>110</v>
      </c>
      <c r="S7" s="595" t="s">
        <v>111</v>
      </c>
      <c r="T7" s="595" t="s">
        <v>112</v>
      </c>
      <c r="U7" s="595" t="s">
        <v>113</v>
      </c>
      <c r="V7" s="595" t="s">
        <v>114</v>
      </c>
      <c r="W7" s="595" t="s">
        <v>115</v>
      </c>
      <c r="X7" s="595" t="s">
        <v>116</v>
      </c>
      <c r="Y7" s="596" t="s">
        <v>117</v>
      </c>
    </row>
    <row r="8" spans="1:34" s="588" customFormat="1" ht="15.75" customHeight="1">
      <c r="A8" s="598"/>
      <c r="B8" s="599" t="s">
        <v>118</v>
      </c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AA8" s="591"/>
    </row>
    <row r="9" spans="1:34" s="588" customFormat="1" ht="15.75" customHeight="1">
      <c r="A9" s="600">
        <v>10</v>
      </c>
      <c r="B9" s="306" t="s">
        <v>119</v>
      </c>
      <c r="C9" s="306">
        <f t="shared" ref="C9:C15" si="0">SUM(J9:Y9)-L9-P9-Q9</f>
        <v>211918805</v>
      </c>
      <c r="D9" s="307">
        <v>211918805</v>
      </c>
      <c r="E9" s="345">
        <v>0.12276753618193523</v>
      </c>
      <c r="F9" s="116"/>
      <c r="G9" s="345"/>
      <c r="H9" s="116">
        <v>211918805</v>
      </c>
      <c r="I9" s="116"/>
      <c r="J9" s="116">
        <v>0</v>
      </c>
      <c r="K9" s="116">
        <v>0</v>
      </c>
      <c r="L9" s="116">
        <v>0</v>
      </c>
      <c r="M9" s="116">
        <v>55167</v>
      </c>
      <c r="N9" s="116">
        <v>0</v>
      </c>
      <c r="O9" s="306">
        <f t="shared" ref="O9:O14" si="1">+P9+Q9</f>
        <v>46537</v>
      </c>
      <c r="P9" s="116">
        <v>0</v>
      </c>
      <c r="Q9" s="116">
        <v>46537</v>
      </c>
      <c r="R9" s="116">
        <v>0</v>
      </c>
      <c r="S9" s="116">
        <v>0</v>
      </c>
      <c r="T9" s="116">
        <v>0</v>
      </c>
      <c r="U9" s="116">
        <v>0</v>
      </c>
      <c r="V9" s="116">
        <v>24421212</v>
      </c>
      <c r="W9" s="116">
        <v>187395889</v>
      </c>
      <c r="X9" s="116">
        <v>0</v>
      </c>
      <c r="Y9" s="116">
        <v>0</v>
      </c>
      <c r="AB9" s="601"/>
      <c r="AH9" s="602"/>
    </row>
    <row r="10" spans="1:34" s="588" customFormat="1" ht="15.75" customHeight="1">
      <c r="A10" s="600">
        <f t="shared" ref="A10:A74" si="2">A9+10</f>
        <v>20</v>
      </c>
      <c r="B10" s="306" t="s">
        <v>120</v>
      </c>
      <c r="C10" s="306">
        <f t="shared" si="0"/>
        <v>799470</v>
      </c>
      <c r="D10" s="307">
        <v>799470</v>
      </c>
      <c r="E10" s="346">
        <v>0.18317146918475441</v>
      </c>
      <c r="F10" s="307"/>
      <c r="G10" s="346"/>
      <c r="H10" s="307">
        <v>799470</v>
      </c>
      <c r="I10" s="307">
        <v>0</v>
      </c>
      <c r="J10" s="307">
        <v>0</v>
      </c>
      <c r="K10" s="307">
        <v>0</v>
      </c>
      <c r="L10" s="307">
        <v>0</v>
      </c>
      <c r="M10" s="307">
        <v>0</v>
      </c>
      <c r="N10" s="307">
        <v>0</v>
      </c>
      <c r="O10" s="306">
        <f t="shared" si="1"/>
        <v>799470</v>
      </c>
      <c r="P10" s="307">
        <v>0</v>
      </c>
      <c r="Q10" s="307">
        <v>799470</v>
      </c>
      <c r="R10" s="307">
        <v>0</v>
      </c>
      <c r="S10" s="307">
        <v>0</v>
      </c>
      <c r="T10" s="307">
        <v>0</v>
      </c>
      <c r="U10" s="307">
        <v>0</v>
      </c>
      <c r="V10" s="307">
        <v>0</v>
      </c>
      <c r="W10" s="307">
        <v>0</v>
      </c>
      <c r="X10" s="307">
        <v>0</v>
      </c>
      <c r="Y10" s="307">
        <v>0</v>
      </c>
      <c r="AB10" s="601"/>
    </row>
    <row r="11" spans="1:34" s="605" customFormat="1" ht="15.75" customHeight="1">
      <c r="A11" s="603">
        <f t="shared" si="2"/>
        <v>30</v>
      </c>
      <c r="B11" s="604" t="s">
        <v>121</v>
      </c>
      <c r="C11" s="306">
        <f t="shared" si="0"/>
        <v>116384043</v>
      </c>
      <c r="D11" s="307">
        <v>62870858</v>
      </c>
      <c r="E11" s="346">
        <v>0.19490422178070313</v>
      </c>
      <c r="F11" s="307">
        <v>53513185</v>
      </c>
      <c r="G11" s="346">
        <v>0.11969436316776472</v>
      </c>
      <c r="H11" s="307">
        <v>116384043</v>
      </c>
      <c r="I11" s="577">
        <v>0</v>
      </c>
      <c r="J11" s="307">
        <v>0</v>
      </c>
      <c r="K11" s="577">
        <v>0</v>
      </c>
      <c r="L11" s="307">
        <v>0</v>
      </c>
      <c r="M11" s="307">
        <v>3800684</v>
      </c>
      <c r="N11" s="307">
        <v>0</v>
      </c>
      <c r="O11" s="306">
        <f t="shared" si="1"/>
        <v>76278245</v>
      </c>
      <c r="P11" s="307">
        <v>0</v>
      </c>
      <c r="Q11" s="307">
        <v>76278245</v>
      </c>
      <c r="R11" s="307">
        <v>0</v>
      </c>
      <c r="S11" s="307">
        <v>0</v>
      </c>
      <c r="T11" s="307">
        <v>0</v>
      </c>
      <c r="U11" s="307">
        <v>0</v>
      </c>
      <c r="V11" s="307">
        <v>8852168</v>
      </c>
      <c r="W11" s="307">
        <v>27452946</v>
      </c>
      <c r="X11" s="307">
        <v>0</v>
      </c>
      <c r="Y11" s="307">
        <v>0</v>
      </c>
      <c r="AB11" s="601"/>
    </row>
    <row r="12" spans="1:34" s="605" customFormat="1" ht="15.75" customHeight="1">
      <c r="A12" s="603">
        <f t="shared" si="2"/>
        <v>40</v>
      </c>
      <c r="B12" s="604" t="s">
        <v>122</v>
      </c>
      <c r="C12" s="306">
        <f t="shared" si="0"/>
        <v>1908584088</v>
      </c>
      <c r="D12" s="307">
        <v>663743584</v>
      </c>
      <c r="E12" s="346">
        <v>0.15119776733810472</v>
      </c>
      <c r="F12" s="307">
        <v>1244840504</v>
      </c>
      <c r="G12" s="346">
        <v>9.7011272438121368E-2</v>
      </c>
      <c r="H12" s="307">
        <v>1901887166</v>
      </c>
      <c r="I12" s="307">
        <v>6696922</v>
      </c>
      <c r="J12" s="307">
        <v>126667</v>
      </c>
      <c r="K12" s="307">
        <v>0</v>
      </c>
      <c r="L12" s="307">
        <v>0</v>
      </c>
      <c r="M12" s="307">
        <v>145201308</v>
      </c>
      <c r="N12" s="307">
        <v>0</v>
      </c>
      <c r="O12" s="306">
        <f t="shared" si="1"/>
        <v>1278159383</v>
      </c>
      <c r="P12" s="307">
        <v>0</v>
      </c>
      <c r="Q12" s="307">
        <v>1278159383</v>
      </c>
      <c r="R12" s="307">
        <v>13401538</v>
      </c>
      <c r="S12" s="307">
        <v>0</v>
      </c>
      <c r="T12" s="307">
        <v>0</v>
      </c>
      <c r="U12" s="307">
        <v>0</v>
      </c>
      <c r="V12" s="307">
        <v>142412896</v>
      </c>
      <c r="W12" s="307">
        <v>328990798</v>
      </c>
      <c r="X12" s="307">
        <v>0</v>
      </c>
      <c r="Y12" s="307">
        <v>291498</v>
      </c>
      <c r="AB12" s="601"/>
    </row>
    <row r="13" spans="1:34" s="605" customFormat="1" ht="15.75" customHeight="1">
      <c r="A13" s="603">
        <f t="shared" si="2"/>
        <v>50</v>
      </c>
      <c r="B13" s="606" t="s">
        <v>123</v>
      </c>
      <c r="C13" s="306">
        <f t="shared" si="0"/>
        <v>0</v>
      </c>
      <c r="D13" s="307"/>
      <c r="E13" s="346"/>
      <c r="F13" s="307"/>
      <c r="G13" s="346"/>
      <c r="H13" s="307"/>
      <c r="I13" s="307"/>
      <c r="J13" s="307"/>
      <c r="K13" s="307"/>
      <c r="L13" s="307"/>
      <c r="M13" s="307"/>
      <c r="N13" s="307"/>
      <c r="O13" s="306">
        <f t="shared" si="1"/>
        <v>0</v>
      </c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AB13" s="601"/>
    </row>
    <row r="14" spans="1:34" s="605" customFormat="1" ht="15.75" customHeight="1">
      <c r="A14" s="603">
        <f>A13+10</f>
        <v>60</v>
      </c>
      <c r="B14" s="604" t="s">
        <v>124</v>
      </c>
      <c r="C14" s="306">
        <f t="shared" si="0"/>
        <v>0</v>
      </c>
      <c r="D14" s="307"/>
      <c r="E14" s="346"/>
      <c r="F14" s="307"/>
      <c r="G14" s="346"/>
      <c r="H14" s="307"/>
      <c r="I14" s="307"/>
      <c r="J14" s="307"/>
      <c r="K14" s="307"/>
      <c r="L14" s="307"/>
      <c r="M14" s="307"/>
      <c r="N14" s="307"/>
      <c r="O14" s="306">
        <f t="shared" si="1"/>
        <v>0</v>
      </c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AB14" s="601"/>
    </row>
    <row r="15" spans="1:34" s="605" customFormat="1" ht="15.75" customHeight="1">
      <c r="A15" s="589">
        <f>A14+10</f>
        <v>70</v>
      </c>
      <c r="B15" s="607" t="s">
        <v>125</v>
      </c>
      <c r="C15" s="308">
        <f t="shared" si="0"/>
        <v>2237686406</v>
      </c>
      <c r="D15" s="308">
        <f>SUM(D9:D14)</f>
        <v>939332717</v>
      </c>
      <c r="E15" s="348">
        <f>IFERROR(((D9*E9)/D15)+((D10*E10)/D15)+((D11*E11)/D15)+((D12*E12)/D15)+((D13*E13)/D15)+((D14*E14)/D15),0)</f>
        <v>0.14773629277506151</v>
      </c>
      <c r="F15" s="308">
        <f>SUM(F9:F14)</f>
        <v>1298353689</v>
      </c>
      <c r="G15" s="348">
        <f>IFERROR(((F9*G9)/F15)+((F10*G10)/F15)+((F11*G11)/F15)+((F12*G12)/F15)+((F13*G13)/F15)+((F14*G14)/F15),0)</f>
        <v>9.7946182887308844E-2</v>
      </c>
      <c r="H15" s="308">
        <f t="shared" ref="H15:Y15" si="3">SUM(H9:H14)</f>
        <v>2230989484</v>
      </c>
      <c r="I15" s="308">
        <f t="shared" si="3"/>
        <v>6696922</v>
      </c>
      <c r="J15" s="308">
        <f t="shared" si="3"/>
        <v>126667</v>
      </c>
      <c r="K15" s="308">
        <f t="shared" si="3"/>
        <v>0</v>
      </c>
      <c r="L15" s="308">
        <f t="shared" si="3"/>
        <v>0</v>
      </c>
      <c r="M15" s="308">
        <f t="shared" si="3"/>
        <v>149057159</v>
      </c>
      <c r="N15" s="308">
        <f t="shared" si="3"/>
        <v>0</v>
      </c>
      <c r="O15" s="308">
        <f t="shared" si="3"/>
        <v>1355283635</v>
      </c>
      <c r="P15" s="308">
        <f t="shared" si="3"/>
        <v>0</v>
      </c>
      <c r="Q15" s="308">
        <f t="shared" si="3"/>
        <v>1355283635</v>
      </c>
      <c r="R15" s="308">
        <f t="shared" si="3"/>
        <v>13401538</v>
      </c>
      <c r="S15" s="308">
        <f t="shared" si="3"/>
        <v>0</v>
      </c>
      <c r="T15" s="308">
        <f t="shared" si="3"/>
        <v>0</v>
      </c>
      <c r="U15" s="308">
        <f t="shared" si="3"/>
        <v>0</v>
      </c>
      <c r="V15" s="308">
        <f t="shared" si="3"/>
        <v>175686276</v>
      </c>
      <c r="W15" s="308">
        <f t="shared" si="3"/>
        <v>543839633</v>
      </c>
      <c r="X15" s="308">
        <f t="shared" si="3"/>
        <v>0</v>
      </c>
      <c r="Y15" s="308">
        <f t="shared" si="3"/>
        <v>291498</v>
      </c>
      <c r="AA15" s="608"/>
      <c r="AB15" s="601"/>
    </row>
    <row r="16" spans="1:34" s="605" customFormat="1" ht="15.75" customHeight="1">
      <c r="A16" s="589"/>
      <c r="B16" s="607" t="s">
        <v>126</v>
      </c>
      <c r="C16" s="308"/>
      <c r="D16" s="308"/>
      <c r="E16" s="348"/>
      <c r="F16" s="308"/>
      <c r="G16" s="34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AA16" s="608"/>
      <c r="AB16" s="601"/>
    </row>
    <row r="17" spans="1:28" s="605" customFormat="1" ht="15.75" customHeight="1">
      <c r="A17" s="600">
        <f>A15+10</f>
        <v>80</v>
      </c>
      <c r="B17" s="306" t="s">
        <v>119</v>
      </c>
      <c r="C17" s="306">
        <f t="shared" ref="C17:C24" si="4">SUM(J17:Y17)-L17-P17-Q17</f>
        <v>1039851491</v>
      </c>
      <c r="D17" s="307">
        <v>1039851491</v>
      </c>
      <c r="E17" s="346">
        <v>0.11880396164650892</v>
      </c>
      <c r="F17" s="307"/>
      <c r="G17" s="346"/>
      <c r="H17" s="307">
        <v>1039851491</v>
      </c>
      <c r="I17" s="307"/>
      <c r="J17" s="307">
        <v>0</v>
      </c>
      <c r="K17" s="307">
        <v>0</v>
      </c>
      <c r="L17" s="307">
        <v>0</v>
      </c>
      <c r="M17" s="307">
        <v>941199</v>
      </c>
      <c r="N17" s="307">
        <v>0</v>
      </c>
      <c r="O17" s="306">
        <f t="shared" ref="O17:O23" si="5">+P17+Q17</f>
        <v>251128</v>
      </c>
      <c r="P17" s="307">
        <v>0</v>
      </c>
      <c r="Q17" s="307">
        <v>251128</v>
      </c>
      <c r="R17" s="307">
        <v>0</v>
      </c>
      <c r="S17" s="307">
        <v>0</v>
      </c>
      <c r="T17" s="307">
        <v>0</v>
      </c>
      <c r="U17" s="307">
        <v>0</v>
      </c>
      <c r="V17" s="307">
        <v>115285355</v>
      </c>
      <c r="W17" s="307">
        <v>923341148</v>
      </c>
      <c r="X17" s="307">
        <v>0</v>
      </c>
      <c r="Y17" s="307">
        <v>32661</v>
      </c>
      <c r="AB17" s="601"/>
    </row>
    <row r="18" spans="1:28" s="605" customFormat="1" ht="15.75" customHeight="1">
      <c r="A18" s="600">
        <f t="shared" si="2"/>
        <v>90</v>
      </c>
      <c r="B18" s="306" t="s">
        <v>120</v>
      </c>
      <c r="C18" s="306">
        <f t="shared" si="4"/>
        <v>65047852</v>
      </c>
      <c r="D18" s="307">
        <v>65047852</v>
      </c>
      <c r="E18" s="345">
        <v>6.1996959437094781E-2</v>
      </c>
      <c r="F18" s="116"/>
      <c r="G18" s="345"/>
      <c r="H18" s="307">
        <v>65047852</v>
      </c>
      <c r="I18" s="307"/>
      <c r="J18" s="307">
        <v>0</v>
      </c>
      <c r="K18" s="307">
        <v>0</v>
      </c>
      <c r="L18" s="307">
        <v>0</v>
      </c>
      <c r="M18" s="307">
        <v>72171</v>
      </c>
      <c r="N18" s="307">
        <v>0</v>
      </c>
      <c r="O18" s="306">
        <f t="shared" si="5"/>
        <v>556000</v>
      </c>
      <c r="P18" s="307">
        <v>0</v>
      </c>
      <c r="Q18" s="307">
        <v>556000</v>
      </c>
      <c r="R18" s="307">
        <v>0</v>
      </c>
      <c r="S18" s="307">
        <v>0</v>
      </c>
      <c r="T18" s="307">
        <v>0</v>
      </c>
      <c r="U18" s="307">
        <v>0</v>
      </c>
      <c r="V18" s="307">
        <v>64419681</v>
      </c>
      <c r="W18" s="307">
        <v>0</v>
      </c>
      <c r="X18" s="307">
        <v>0</v>
      </c>
      <c r="Y18" s="307">
        <v>0</v>
      </c>
      <c r="AB18" s="601"/>
    </row>
    <row r="19" spans="1:28" s="588" customFormat="1" ht="15.75" customHeight="1">
      <c r="A19" s="603">
        <f t="shared" si="2"/>
        <v>100</v>
      </c>
      <c r="B19" s="604" t="s">
        <v>121</v>
      </c>
      <c r="C19" s="306">
        <f t="shared" si="4"/>
        <v>38351368</v>
      </c>
      <c r="D19" s="307">
        <v>35488486</v>
      </c>
      <c r="E19" s="346">
        <v>0.20300850511560181</v>
      </c>
      <c r="F19" s="307">
        <v>2862882</v>
      </c>
      <c r="G19" s="346">
        <v>7.0000000000000007E-2</v>
      </c>
      <c r="H19" s="307">
        <v>38351368</v>
      </c>
      <c r="I19" s="577"/>
      <c r="J19" s="307">
        <v>0</v>
      </c>
      <c r="K19" s="577">
        <v>0</v>
      </c>
      <c r="L19" s="307">
        <v>0</v>
      </c>
      <c r="M19" s="307">
        <v>210082</v>
      </c>
      <c r="N19" s="307">
        <v>0</v>
      </c>
      <c r="O19" s="306">
        <f t="shared" si="5"/>
        <v>37885958</v>
      </c>
      <c r="P19" s="307">
        <v>0</v>
      </c>
      <c r="Q19" s="307">
        <v>37885958</v>
      </c>
      <c r="R19" s="307">
        <v>0</v>
      </c>
      <c r="S19" s="307">
        <v>0</v>
      </c>
      <c r="T19" s="307">
        <v>0</v>
      </c>
      <c r="U19" s="307">
        <v>0</v>
      </c>
      <c r="V19" s="307">
        <v>255328</v>
      </c>
      <c r="W19" s="307">
        <v>0</v>
      </c>
      <c r="X19" s="307">
        <v>0</v>
      </c>
      <c r="Y19" s="307">
        <v>0</v>
      </c>
      <c r="AB19" s="601"/>
    </row>
    <row r="20" spans="1:28" s="588" customFormat="1" ht="15.75" customHeight="1">
      <c r="A20" s="603">
        <f t="shared" si="2"/>
        <v>110</v>
      </c>
      <c r="B20" s="604" t="s">
        <v>122</v>
      </c>
      <c r="C20" s="306">
        <f t="shared" si="4"/>
        <v>870395796</v>
      </c>
      <c r="D20" s="307">
        <v>547710613</v>
      </c>
      <c r="E20" s="346">
        <v>0.18156176061721946</v>
      </c>
      <c r="F20" s="307">
        <v>322685183</v>
      </c>
      <c r="G20" s="346">
        <v>7.8188891040763153E-2</v>
      </c>
      <c r="H20" s="307">
        <v>808522910</v>
      </c>
      <c r="I20" s="307">
        <v>61872886</v>
      </c>
      <c r="J20" s="307">
        <v>0</v>
      </c>
      <c r="K20" s="307">
        <v>0</v>
      </c>
      <c r="L20" s="307">
        <v>0</v>
      </c>
      <c r="M20" s="307">
        <v>69718048</v>
      </c>
      <c r="N20" s="307">
        <v>0</v>
      </c>
      <c r="O20" s="306">
        <f t="shared" si="5"/>
        <v>710462133</v>
      </c>
      <c r="P20" s="307">
        <v>0</v>
      </c>
      <c r="Q20" s="307">
        <v>710462133</v>
      </c>
      <c r="R20" s="307">
        <v>3515348</v>
      </c>
      <c r="S20" s="307">
        <v>0</v>
      </c>
      <c r="T20" s="307">
        <v>0</v>
      </c>
      <c r="U20" s="307">
        <v>0</v>
      </c>
      <c r="V20" s="307">
        <v>15382151</v>
      </c>
      <c r="W20" s="307">
        <v>71318116</v>
      </c>
      <c r="X20" s="307">
        <v>0</v>
      </c>
      <c r="Y20" s="307">
        <v>0</v>
      </c>
      <c r="AB20" s="601"/>
    </row>
    <row r="21" spans="1:28" s="588" customFormat="1" ht="15.75" customHeight="1">
      <c r="A21" s="603">
        <f>A20+10</f>
        <v>120</v>
      </c>
      <c r="B21" s="604" t="s">
        <v>127</v>
      </c>
      <c r="C21" s="306">
        <f t="shared" si="4"/>
        <v>153457167</v>
      </c>
      <c r="D21" s="307">
        <v>126122456</v>
      </c>
      <c r="E21" s="346">
        <v>0.18882058945486599</v>
      </c>
      <c r="F21" s="307">
        <v>27334711</v>
      </c>
      <c r="G21" s="346">
        <v>6.2484242050630474E-2</v>
      </c>
      <c r="H21" s="307">
        <v>150414802</v>
      </c>
      <c r="I21" s="307">
        <v>3042365</v>
      </c>
      <c r="J21" s="307">
        <v>131000</v>
      </c>
      <c r="K21" s="307">
        <v>0</v>
      </c>
      <c r="L21" s="307">
        <v>0</v>
      </c>
      <c r="M21" s="307">
        <v>21241525</v>
      </c>
      <c r="N21" s="307">
        <v>0</v>
      </c>
      <c r="O21" s="306">
        <f t="shared" si="5"/>
        <v>128231217</v>
      </c>
      <c r="P21" s="307">
        <v>200000</v>
      </c>
      <c r="Q21" s="307">
        <v>128031217</v>
      </c>
      <c r="R21" s="307">
        <v>26285</v>
      </c>
      <c r="S21" s="307">
        <v>0</v>
      </c>
      <c r="T21" s="307">
        <v>0</v>
      </c>
      <c r="U21" s="307">
        <v>0</v>
      </c>
      <c r="V21" s="307">
        <v>2550294</v>
      </c>
      <c r="W21" s="307">
        <v>1214521</v>
      </c>
      <c r="X21" s="307">
        <v>62325</v>
      </c>
      <c r="Y21" s="307">
        <v>0</v>
      </c>
      <c r="AB21" s="601"/>
    </row>
    <row r="22" spans="1:28" s="588" customFormat="1" ht="15.75" customHeight="1">
      <c r="A22" s="603">
        <f t="shared" si="2"/>
        <v>130</v>
      </c>
      <c r="B22" s="606" t="s">
        <v>123</v>
      </c>
      <c r="C22" s="306">
        <f t="shared" si="4"/>
        <v>0</v>
      </c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6">
        <f t="shared" si="5"/>
        <v>0</v>
      </c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AB22" s="601"/>
    </row>
    <row r="23" spans="1:28" s="588" customFormat="1" ht="15.75" customHeight="1">
      <c r="A23" s="603">
        <f>A22+10</f>
        <v>140</v>
      </c>
      <c r="B23" s="604" t="s">
        <v>124</v>
      </c>
      <c r="C23" s="306">
        <f t="shared" si="4"/>
        <v>0</v>
      </c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6">
        <f t="shared" si="5"/>
        <v>0</v>
      </c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AB23" s="601"/>
    </row>
    <row r="24" spans="1:28" s="588" customFormat="1" ht="15.75" customHeight="1">
      <c r="A24" s="589">
        <f>A23+10</f>
        <v>150</v>
      </c>
      <c r="B24" s="607" t="s">
        <v>128</v>
      </c>
      <c r="C24" s="308">
        <f t="shared" si="4"/>
        <v>2167103674</v>
      </c>
      <c r="D24" s="308">
        <f>SUM(D17:D23)</f>
        <v>1814220898</v>
      </c>
      <c r="E24" s="348">
        <f>IFERROR(((D17*E17)/D24)+((D18*E18)/D24)+((D19*E19)/D24)+((D20*E20)/D24)+((D21*E21)/D24)+((D22*E22)/D24)+((D23*E23)/D24),0)</f>
        <v>0.1422282866233697</v>
      </c>
      <c r="F24" s="308">
        <f>SUM(F17:F23)</f>
        <v>352882776</v>
      </c>
      <c r="G24" s="348">
        <f>IFERROR(((F17*G17)/F24)+((F18*G18)/F24)+((F19*G19)/F24)+((F20*G20)/F24)+((F21*G21)/F24)+((F22*G22)/F24)+((F23*G23)/F24),0)</f>
        <v>7.6905955456901501E-2</v>
      </c>
      <c r="H24" s="308">
        <f t="shared" ref="H24:Y24" si="6">SUM(H17:H23)</f>
        <v>2102188423</v>
      </c>
      <c r="I24" s="308">
        <f t="shared" si="6"/>
        <v>64915251</v>
      </c>
      <c r="J24" s="308">
        <f t="shared" si="6"/>
        <v>131000</v>
      </c>
      <c r="K24" s="308">
        <f t="shared" si="6"/>
        <v>0</v>
      </c>
      <c r="L24" s="308">
        <f t="shared" si="6"/>
        <v>0</v>
      </c>
      <c r="M24" s="308">
        <f t="shared" si="6"/>
        <v>92183025</v>
      </c>
      <c r="N24" s="308">
        <f t="shared" si="6"/>
        <v>0</v>
      </c>
      <c r="O24" s="308">
        <f t="shared" si="6"/>
        <v>877386436</v>
      </c>
      <c r="P24" s="308">
        <f t="shared" si="6"/>
        <v>200000</v>
      </c>
      <c r="Q24" s="308">
        <f t="shared" si="6"/>
        <v>877186436</v>
      </c>
      <c r="R24" s="308">
        <f t="shared" si="6"/>
        <v>3541633</v>
      </c>
      <c r="S24" s="308">
        <f t="shared" si="6"/>
        <v>0</v>
      </c>
      <c r="T24" s="308">
        <f t="shared" si="6"/>
        <v>0</v>
      </c>
      <c r="U24" s="308">
        <f t="shared" si="6"/>
        <v>0</v>
      </c>
      <c r="V24" s="308">
        <f t="shared" si="6"/>
        <v>197892809</v>
      </c>
      <c r="W24" s="308">
        <f t="shared" si="6"/>
        <v>995873785</v>
      </c>
      <c r="X24" s="308">
        <f t="shared" si="6"/>
        <v>62325</v>
      </c>
      <c r="Y24" s="308">
        <f t="shared" si="6"/>
        <v>32661</v>
      </c>
      <c r="AB24" s="601"/>
    </row>
    <row r="25" spans="1:28" s="588" customFormat="1" ht="15.75" customHeight="1">
      <c r="A25" s="589"/>
      <c r="B25" s="607" t="s">
        <v>129</v>
      </c>
      <c r="C25" s="308"/>
      <c r="D25" s="308"/>
      <c r="E25" s="348"/>
      <c r="F25" s="308"/>
      <c r="G25" s="34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AA25" s="591"/>
      <c r="AB25" s="601"/>
    </row>
    <row r="26" spans="1:28" s="588" customFormat="1" ht="15.75" customHeight="1">
      <c r="A26" s="600">
        <f>A24+10</f>
        <v>160</v>
      </c>
      <c r="B26" s="306" t="s">
        <v>119</v>
      </c>
      <c r="C26" s="306">
        <f t="shared" ref="C26:C32" si="7">SUM(J26:Y26)-L26-P26-Q26</f>
        <v>169202559</v>
      </c>
      <c r="D26" s="307">
        <v>169202559</v>
      </c>
      <c r="E26" s="345">
        <v>0.27309121696030048</v>
      </c>
      <c r="F26" s="116"/>
      <c r="G26" s="345"/>
      <c r="H26" s="307">
        <v>169202559</v>
      </c>
      <c r="I26" s="307"/>
      <c r="J26" s="307">
        <v>0</v>
      </c>
      <c r="K26" s="307">
        <v>0</v>
      </c>
      <c r="L26" s="307">
        <v>0</v>
      </c>
      <c r="M26" s="307">
        <v>163337476</v>
      </c>
      <c r="N26" s="307">
        <v>0</v>
      </c>
      <c r="O26" s="306">
        <f t="shared" ref="O26:O31" si="8">+P26+Q26</f>
        <v>0</v>
      </c>
      <c r="P26" s="307">
        <v>0</v>
      </c>
      <c r="Q26" s="307">
        <v>0</v>
      </c>
      <c r="R26" s="307">
        <v>0</v>
      </c>
      <c r="S26" s="307">
        <v>0</v>
      </c>
      <c r="T26" s="307">
        <v>0</v>
      </c>
      <c r="U26" s="307">
        <v>0</v>
      </c>
      <c r="V26" s="307">
        <v>4692</v>
      </c>
      <c r="W26" s="307">
        <v>5860391</v>
      </c>
      <c r="X26" s="307">
        <v>0</v>
      </c>
      <c r="Y26" s="307">
        <v>0</v>
      </c>
      <c r="AB26" s="601"/>
    </row>
    <row r="27" spans="1:28" s="588" customFormat="1" ht="15.75" customHeight="1">
      <c r="A27" s="600">
        <f t="shared" si="2"/>
        <v>170</v>
      </c>
      <c r="B27" s="306" t="s">
        <v>120</v>
      </c>
      <c r="C27" s="306">
        <f t="shared" si="7"/>
        <v>703537</v>
      </c>
      <c r="D27" s="307">
        <v>703537</v>
      </c>
      <c r="E27" s="346">
        <v>0.24318862286098653</v>
      </c>
      <c r="F27" s="307"/>
      <c r="G27" s="346"/>
      <c r="H27" s="307">
        <v>703537</v>
      </c>
      <c r="I27" s="307"/>
      <c r="J27" s="307">
        <v>0</v>
      </c>
      <c r="K27" s="577">
        <v>0</v>
      </c>
      <c r="L27" s="307">
        <v>0</v>
      </c>
      <c r="M27" s="307">
        <v>477801</v>
      </c>
      <c r="N27" s="307">
        <v>0</v>
      </c>
      <c r="O27" s="306">
        <f t="shared" si="8"/>
        <v>225736</v>
      </c>
      <c r="P27" s="307">
        <v>0</v>
      </c>
      <c r="Q27" s="307">
        <v>225736</v>
      </c>
      <c r="R27" s="307">
        <v>0</v>
      </c>
      <c r="S27" s="307">
        <v>0</v>
      </c>
      <c r="T27" s="307">
        <v>0</v>
      </c>
      <c r="U27" s="307">
        <v>0</v>
      </c>
      <c r="V27" s="307">
        <v>0</v>
      </c>
      <c r="W27" s="307">
        <v>0</v>
      </c>
      <c r="X27" s="307">
        <v>0</v>
      </c>
      <c r="Y27" s="307">
        <v>0</v>
      </c>
      <c r="AB27" s="601"/>
    </row>
    <row r="28" spans="1:28" s="588" customFormat="1" ht="15.75" customHeight="1">
      <c r="A28" s="603">
        <f t="shared" si="2"/>
        <v>180</v>
      </c>
      <c r="B28" s="604" t="s">
        <v>121</v>
      </c>
      <c r="C28" s="306">
        <f t="shared" si="7"/>
        <v>57926044</v>
      </c>
      <c r="D28" s="307">
        <v>5541444</v>
      </c>
      <c r="E28" s="346">
        <v>0.25014936190780457</v>
      </c>
      <c r="F28" s="307">
        <v>52384600</v>
      </c>
      <c r="G28" s="346">
        <v>0.09</v>
      </c>
      <c r="H28" s="307">
        <v>57926044</v>
      </c>
      <c r="I28" s="577"/>
      <c r="J28" s="307">
        <v>0</v>
      </c>
      <c r="K28" s="307">
        <v>0</v>
      </c>
      <c r="L28" s="307">
        <v>0</v>
      </c>
      <c r="M28" s="307">
        <v>957280</v>
      </c>
      <c r="N28" s="307">
        <v>0</v>
      </c>
      <c r="O28" s="306">
        <f t="shared" si="8"/>
        <v>56953831</v>
      </c>
      <c r="P28" s="307">
        <v>0</v>
      </c>
      <c r="Q28" s="307">
        <v>56953831</v>
      </c>
      <c r="R28" s="307">
        <v>0</v>
      </c>
      <c r="S28" s="307">
        <v>0</v>
      </c>
      <c r="T28" s="307">
        <v>0</v>
      </c>
      <c r="U28" s="307">
        <v>0</v>
      </c>
      <c r="V28" s="307">
        <v>14933</v>
      </c>
      <c r="W28" s="307">
        <v>0</v>
      </c>
      <c r="X28" s="307">
        <v>0</v>
      </c>
      <c r="Y28" s="307">
        <v>0</v>
      </c>
      <c r="AB28" s="601"/>
    </row>
    <row r="29" spans="1:28" s="588" customFormat="1" ht="15.75" customHeight="1">
      <c r="A29" s="603">
        <f t="shared" si="2"/>
        <v>190</v>
      </c>
      <c r="B29" s="604" t="s">
        <v>122</v>
      </c>
      <c r="C29" s="306">
        <f t="shared" si="7"/>
        <v>307907993</v>
      </c>
      <c r="D29" s="307">
        <v>163638859</v>
      </c>
      <c r="E29" s="346">
        <v>0.23503219576856788</v>
      </c>
      <c r="F29" s="307">
        <v>144269134</v>
      </c>
      <c r="G29" s="346">
        <v>0.11349140854336648</v>
      </c>
      <c r="H29" s="307">
        <v>307612768</v>
      </c>
      <c r="I29" s="307">
        <v>295225</v>
      </c>
      <c r="J29" s="307">
        <v>1296105</v>
      </c>
      <c r="K29" s="577">
        <v>0</v>
      </c>
      <c r="L29" s="307">
        <v>0</v>
      </c>
      <c r="M29" s="307">
        <v>114210528</v>
      </c>
      <c r="N29" s="307">
        <v>0</v>
      </c>
      <c r="O29" s="306">
        <f t="shared" si="8"/>
        <v>184454517</v>
      </c>
      <c r="P29" s="307">
        <v>0</v>
      </c>
      <c r="Q29" s="307">
        <v>184454517</v>
      </c>
      <c r="R29" s="307">
        <v>0</v>
      </c>
      <c r="S29" s="307">
        <v>0</v>
      </c>
      <c r="T29" s="307">
        <v>0</v>
      </c>
      <c r="U29" s="307">
        <v>0</v>
      </c>
      <c r="V29" s="307">
        <v>2498073</v>
      </c>
      <c r="W29" s="307">
        <v>5448770</v>
      </c>
      <c r="X29" s="307">
        <v>0</v>
      </c>
      <c r="Y29" s="307">
        <v>0</v>
      </c>
      <c r="AB29" s="601"/>
    </row>
    <row r="30" spans="1:28" s="588" customFormat="1" ht="15.75" customHeight="1">
      <c r="A30" s="603">
        <f t="shared" si="2"/>
        <v>200</v>
      </c>
      <c r="B30" s="606" t="s">
        <v>123</v>
      </c>
      <c r="C30" s="306">
        <f t="shared" si="7"/>
        <v>0</v>
      </c>
      <c r="D30" s="307"/>
      <c r="E30" s="307"/>
      <c r="F30" s="307"/>
      <c r="G30" s="307"/>
      <c r="H30" s="307"/>
      <c r="I30" s="307"/>
      <c r="J30" s="307">
        <v>0</v>
      </c>
      <c r="K30" s="307">
        <v>0</v>
      </c>
      <c r="L30" s="307">
        <v>0</v>
      </c>
      <c r="M30" s="307">
        <v>0</v>
      </c>
      <c r="N30" s="307">
        <v>0</v>
      </c>
      <c r="O30" s="306">
        <f t="shared" si="8"/>
        <v>0</v>
      </c>
      <c r="P30" s="307">
        <v>0</v>
      </c>
      <c r="Q30" s="307">
        <v>0</v>
      </c>
      <c r="R30" s="307">
        <v>0</v>
      </c>
      <c r="S30" s="307">
        <v>0</v>
      </c>
      <c r="T30" s="307">
        <v>0</v>
      </c>
      <c r="U30" s="307">
        <v>0</v>
      </c>
      <c r="V30" s="307">
        <v>0</v>
      </c>
      <c r="W30" s="307">
        <v>0</v>
      </c>
      <c r="X30" s="307">
        <v>0</v>
      </c>
      <c r="Y30" s="307">
        <v>0</v>
      </c>
      <c r="AB30" s="601"/>
    </row>
    <row r="31" spans="1:28" s="588" customFormat="1" ht="15.75" customHeight="1">
      <c r="A31" s="603">
        <f>A30+10</f>
        <v>210</v>
      </c>
      <c r="B31" s="604" t="s">
        <v>124</v>
      </c>
      <c r="C31" s="306">
        <f t="shared" si="7"/>
        <v>0</v>
      </c>
      <c r="D31" s="307"/>
      <c r="E31" s="307"/>
      <c r="F31" s="307"/>
      <c r="G31" s="307"/>
      <c r="H31" s="307"/>
      <c r="I31" s="307"/>
      <c r="J31" s="307">
        <v>0</v>
      </c>
      <c r="K31" s="577">
        <v>0</v>
      </c>
      <c r="L31" s="307">
        <v>0</v>
      </c>
      <c r="M31" s="307">
        <v>0</v>
      </c>
      <c r="N31" s="307">
        <v>0</v>
      </c>
      <c r="O31" s="306">
        <f t="shared" si="8"/>
        <v>0</v>
      </c>
      <c r="P31" s="307">
        <v>0</v>
      </c>
      <c r="Q31" s="307">
        <v>0</v>
      </c>
      <c r="R31" s="307">
        <v>0</v>
      </c>
      <c r="S31" s="307">
        <v>0</v>
      </c>
      <c r="T31" s="307">
        <v>0</v>
      </c>
      <c r="U31" s="307">
        <v>0</v>
      </c>
      <c r="V31" s="307">
        <v>0</v>
      </c>
      <c r="W31" s="307">
        <v>0</v>
      </c>
      <c r="X31" s="307">
        <v>0</v>
      </c>
      <c r="Y31" s="307">
        <v>0</v>
      </c>
      <c r="AB31" s="601"/>
    </row>
    <row r="32" spans="1:28" s="588" customFormat="1" ht="15.75" customHeight="1">
      <c r="A32" s="589">
        <f>A31+10</f>
        <v>220</v>
      </c>
      <c r="B32" s="607" t="s">
        <v>130</v>
      </c>
      <c r="C32" s="308">
        <f t="shared" si="7"/>
        <v>535740133</v>
      </c>
      <c r="D32" s="308">
        <f>SUM(D26:D31)</f>
        <v>339086399</v>
      </c>
      <c r="E32" s="348">
        <f>IFERROR(((D26*E26)/D32)+((D27*E27)/D32)+((D28*E28)/D32)+((D29*E29)/D32)+((D30*E30)/D32)+((D31*E31)/D32),0)</f>
        <v>0.25428744480178844</v>
      </c>
      <c r="F32" s="308">
        <f>SUM(F26:F31)</f>
        <v>196653734</v>
      </c>
      <c r="G32" s="348">
        <f>IFERROR(((F26*G26)/F32)+((F27*G27)/F32)+((F28*G28)/F32)+((F29*G29)/F32)+((F30*G30)/F32)+((F31*G31)/F32),0)</f>
        <v>0.1072337697233437</v>
      </c>
      <c r="H32" s="308">
        <f t="shared" ref="H32:Y32" si="9">SUM(H26:H31)</f>
        <v>535444908</v>
      </c>
      <c r="I32" s="308">
        <f t="shared" si="9"/>
        <v>295225</v>
      </c>
      <c r="J32" s="308">
        <f t="shared" si="9"/>
        <v>1296105</v>
      </c>
      <c r="K32" s="308">
        <f t="shared" si="9"/>
        <v>0</v>
      </c>
      <c r="L32" s="308">
        <f t="shared" si="9"/>
        <v>0</v>
      </c>
      <c r="M32" s="308">
        <f t="shared" si="9"/>
        <v>278983085</v>
      </c>
      <c r="N32" s="308">
        <f t="shared" si="9"/>
        <v>0</v>
      </c>
      <c r="O32" s="308">
        <f t="shared" si="9"/>
        <v>241634084</v>
      </c>
      <c r="P32" s="308">
        <f t="shared" si="9"/>
        <v>0</v>
      </c>
      <c r="Q32" s="308">
        <f t="shared" si="9"/>
        <v>241634084</v>
      </c>
      <c r="R32" s="308">
        <f t="shared" si="9"/>
        <v>0</v>
      </c>
      <c r="S32" s="308">
        <f t="shared" si="9"/>
        <v>0</v>
      </c>
      <c r="T32" s="308">
        <f t="shared" si="9"/>
        <v>0</v>
      </c>
      <c r="U32" s="308">
        <f t="shared" si="9"/>
        <v>0</v>
      </c>
      <c r="V32" s="308">
        <f t="shared" si="9"/>
        <v>2517698</v>
      </c>
      <c r="W32" s="308">
        <f t="shared" si="9"/>
        <v>11309161</v>
      </c>
      <c r="X32" s="308">
        <f t="shared" si="9"/>
        <v>0</v>
      </c>
      <c r="Y32" s="308">
        <f t="shared" si="9"/>
        <v>0</v>
      </c>
      <c r="AB32" s="601"/>
    </row>
    <row r="33" spans="1:28" s="588" customFormat="1" ht="15.75" customHeight="1">
      <c r="A33" s="589"/>
      <c r="B33" s="607" t="s">
        <v>131</v>
      </c>
      <c r="C33" s="308"/>
      <c r="D33" s="308"/>
      <c r="E33" s="348"/>
      <c r="F33" s="308"/>
      <c r="G33" s="34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AB33" s="601"/>
    </row>
    <row r="34" spans="1:28" s="588" customFormat="1" ht="15.75" customHeight="1">
      <c r="A34" s="600">
        <f>A32+10</f>
        <v>230</v>
      </c>
      <c r="B34" s="306" t="s">
        <v>119</v>
      </c>
      <c r="C34" s="306">
        <f t="shared" ref="C34:C40" si="10">SUM(J34:Y34)-L34-P34-Q34</f>
        <v>146864</v>
      </c>
      <c r="D34" s="307">
        <v>146864</v>
      </c>
      <c r="E34" s="346">
        <v>0.15000000000000002</v>
      </c>
      <c r="F34" s="307"/>
      <c r="G34" s="346"/>
      <c r="H34" s="307">
        <v>146864</v>
      </c>
      <c r="I34" s="307"/>
      <c r="J34" s="307">
        <v>0</v>
      </c>
      <c r="K34" s="307">
        <v>0</v>
      </c>
      <c r="L34" s="307">
        <v>0</v>
      </c>
      <c r="M34" s="307">
        <v>0</v>
      </c>
      <c r="N34" s="307">
        <v>0</v>
      </c>
      <c r="O34" s="306">
        <f t="shared" ref="O34:O39" si="11">+P34+Q34</f>
        <v>0</v>
      </c>
      <c r="P34" s="307">
        <v>0</v>
      </c>
      <c r="Q34" s="307">
        <v>0</v>
      </c>
      <c r="R34" s="307">
        <v>0</v>
      </c>
      <c r="S34" s="307">
        <v>0</v>
      </c>
      <c r="T34" s="307">
        <v>0</v>
      </c>
      <c r="U34" s="307">
        <v>0</v>
      </c>
      <c r="V34" s="307">
        <v>0</v>
      </c>
      <c r="W34" s="307">
        <v>146864</v>
      </c>
      <c r="X34" s="307">
        <v>0</v>
      </c>
      <c r="Y34" s="307">
        <v>0</v>
      </c>
      <c r="AB34" s="601"/>
    </row>
    <row r="35" spans="1:28" s="588" customFormat="1" ht="15.75" customHeight="1">
      <c r="A35" s="600">
        <f t="shared" si="2"/>
        <v>240</v>
      </c>
      <c r="B35" s="306" t="s">
        <v>120</v>
      </c>
      <c r="C35" s="306">
        <f t="shared" si="10"/>
        <v>455247</v>
      </c>
      <c r="D35" s="307">
        <v>455247</v>
      </c>
      <c r="E35" s="345">
        <v>0.28000000000000003</v>
      </c>
      <c r="F35" s="116"/>
      <c r="G35" s="345"/>
      <c r="H35" s="307">
        <v>455247</v>
      </c>
      <c r="I35" s="307"/>
      <c r="J35" s="307">
        <v>0</v>
      </c>
      <c r="K35" s="577">
        <v>0</v>
      </c>
      <c r="L35" s="307">
        <v>0</v>
      </c>
      <c r="M35" s="307">
        <v>0</v>
      </c>
      <c r="N35" s="307">
        <v>0</v>
      </c>
      <c r="O35" s="306">
        <f t="shared" si="11"/>
        <v>40432</v>
      </c>
      <c r="P35" s="307">
        <v>0</v>
      </c>
      <c r="Q35" s="307">
        <v>40432</v>
      </c>
      <c r="R35" s="307">
        <v>0</v>
      </c>
      <c r="S35" s="307">
        <v>0</v>
      </c>
      <c r="T35" s="307">
        <v>0</v>
      </c>
      <c r="U35" s="307">
        <v>0</v>
      </c>
      <c r="V35" s="307">
        <v>414815</v>
      </c>
      <c r="W35" s="307">
        <v>0</v>
      </c>
      <c r="X35" s="307">
        <v>0</v>
      </c>
      <c r="Y35" s="307">
        <v>0</v>
      </c>
      <c r="AB35" s="601"/>
    </row>
    <row r="36" spans="1:28" s="588" customFormat="1" ht="15.75" customHeight="1">
      <c r="A36" s="603">
        <f t="shared" si="2"/>
        <v>250</v>
      </c>
      <c r="B36" s="604" t="s">
        <v>121</v>
      </c>
      <c r="C36" s="306">
        <f t="shared" si="10"/>
        <v>4108321</v>
      </c>
      <c r="D36" s="307">
        <v>4108321</v>
      </c>
      <c r="E36" s="346">
        <v>0.21080973877399806</v>
      </c>
      <c r="F36" s="307"/>
      <c r="G36" s="346"/>
      <c r="H36" s="307">
        <v>4108321</v>
      </c>
      <c r="I36" s="577"/>
      <c r="J36" s="307">
        <v>0</v>
      </c>
      <c r="K36" s="307">
        <v>0</v>
      </c>
      <c r="L36" s="307">
        <v>0</v>
      </c>
      <c r="M36" s="307">
        <v>0</v>
      </c>
      <c r="N36" s="307">
        <v>0</v>
      </c>
      <c r="O36" s="306">
        <f t="shared" si="11"/>
        <v>4108321</v>
      </c>
      <c r="P36" s="307">
        <v>0</v>
      </c>
      <c r="Q36" s="307">
        <v>4108321</v>
      </c>
      <c r="R36" s="307">
        <v>0</v>
      </c>
      <c r="S36" s="307">
        <v>0</v>
      </c>
      <c r="T36" s="307">
        <v>0</v>
      </c>
      <c r="U36" s="307">
        <v>0</v>
      </c>
      <c r="V36" s="307">
        <v>0</v>
      </c>
      <c r="W36" s="307">
        <v>0</v>
      </c>
      <c r="X36" s="307">
        <v>0</v>
      </c>
      <c r="Y36" s="307">
        <v>0</v>
      </c>
      <c r="AB36" s="601"/>
    </row>
    <row r="37" spans="1:28" s="588" customFormat="1" ht="15.75" customHeight="1">
      <c r="A37" s="603">
        <f t="shared" si="2"/>
        <v>260</v>
      </c>
      <c r="B37" s="604" t="s">
        <v>122</v>
      </c>
      <c r="C37" s="306">
        <f t="shared" si="10"/>
        <v>369639589</v>
      </c>
      <c r="D37" s="307">
        <v>350014939</v>
      </c>
      <c r="E37" s="346">
        <v>0.14704973417666856</v>
      </c>
      <c r="F37" s="307">
        <v>19624650</v>
      </c>
      <c r="G37" s="346">
        <v>0.08</v>
      </c>
      <c r="H37" s="307">
        <v>357280620</v>
      </c>
      <c r="I37" s="307">
        <v>12358969</v>
      </c>
      <c r="J37" s="307">
        <v>0</v>
      </c>
      <c r="K37" s="577">
        <v>0</v>
      </c>
      <c r="L37" s="307">
        <v>0</v>
      </c>
      <c r="M37" s="307">
        <v>5581390</v>
      </c>
      <c r="N37" s="307">
        <v>0</v>
      </c>
      <c r="O37" s="306">
        <f t="shared" si="11"/>
        <v>352547603</v>
      </c>
      <c r="P37" s="307">
        <v>0</v>
      </c>
      <c r="Q37" s="307">
        <v>352547603</v>
      </c>
      <c r="R37" s="307">
        <v>1242236</v>
      </c>
      <c r="S37" s="307">
        <v>0</v>
      </c>
      <c r="T37" s="307">
        <v>0</v>
      </c>
      <c r="U37" s="307">
        <v>0</v>
      </c>
      <c r="V37" s="307">
        <v>6677214</v>
      </c>
      <c r="W37" s="307">
        <v>3591146</v>
      </c>
      <c r="X37" s="307">
        <v>0</v>
      </c>
      <c r="Y37" s="307">
        <v>0</v>
      </c>
      <c r="AB37" s="601"/>
    </row>
    <row r="38" spans="1:28" s="588" customFormat="1" ht="15.75" customHeight="1">
      <c r="A38" s="603">
        <f t="shared" si="2"/>
        <v>270</v>
      </c>
      <c r="B38" s="606" t="s">
        <v>123</v>
      </c>
      <c r="C38" s="306">
        <f t="shared" si="10"/>
        <v>0</v>
      </c>
      <c r="D38" s="307"/>
      <c r="E38" s="346"/>
      <c r="F38" s="307"/>
      <c r="G38" s="346"/>
      <c r="H38" s="307"/>
      <c r="I38" s="307"/>
      <c r="J38" s="307"/>
      <c r="K38" s="307"/>
      <c r="L38" s="307"/>
      <c r="M38" s="307"/>
      <c r="N38" s="307"/>
      <c r="O38" s="306">
        <f t="shared" si="11"/>
        <v>0</v>
      </c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AB38" s="601"/>
    </row>
    <row r="39" spans="1:28" s="588" customFormat="1" ht="15.75" customHeight="1">
      <c r="A39" s="603">
        <f>A38+10</f>
        <v>280</v>
      </c>
      <c r="B39" s="604" t="s">
        <v>124</v>
      </c>
      <c r="C39" s="306">
        <f t="shared" si="10"/>
        <v>0</v>
      </c>
      <c r="D39" s="307"/>
      <c r="E39" s="346"/>
      <c r="F39" s="307"/>
      <c r="G39" s="346"/>
      <c r="H39" s="307"/>
      <c r="I39" s="307"/>
      <c r="J39" s="307"/>
      <c r="K39" s="577"/>
      <c r="L39" s="307"/>
      <c r="M39" s="307"/>
      <c r="N39" s="307"/>
      <c r="O39" s="306">
        <f t="shared" si="11"/>
        <v>0</v>
      </c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AB39" s="601"/>
    </row>
    <row r="40" spans="1:28" s="588" customFormat="1" ht="15.75" customHeight="1">
      <c r="A40" s="589">
        <f>A39+10</f>
        <v>290</v>
      </c>
      <c r="B40" s="607" t="s">
        <v>132</v>
      </c>
      <c r="C40" s="308">
        <f t="shared" si="10"/>
        <v>374350021</v>
      </c>
      <c r="D40" s="308">
        <f>SUM(D34:D39)</f>
        <v>354725371</v>
      </c>
      <c r="E40" s="348">
        <f>IFERROR(((D34*E34)/D40)+((D35*E35)/D40)+((D36*E36)/D40)+((D37*E37)/D40)+((D38*E38)/D40)+((D39*E39)/D40),0)</f>
        <v>0.14796003011192169</v>
      </c>
      <c r="F40" s="308">
        <f>SUM(F34:F39)</f>
        <v>19624650</v>
      </c>
      <c r="G40" s="348">
        <f>IFERROR(((F34*G34)/F40)+((F35*G35)/F40)+((F36*G36)/F40)+((F37*G37)/F40)+((F38*G38)/F40)+((F39*G39)/F40),0)</f>
        <v>0.08</v>
      </c>
      <c r="H40" s="308">
        <f t="shared" ref="H40:Y40" si="12">SUM(H34:H39)</f>
        <v>361991052</v>
      </c>
      <c r="I40" s="308">
        <f t="shared" si="12"/>
        <v>12358969</v>
      </c>
      <c r="J40" s="308">
        <f t="shared" si="12"/>
        <v>0</v>
      </c>
      <c r="K40" s="308">
        <f t="shared" si="12"/>
        <v>0</v>
      </c>
      <c r="L40" s="308">
        <f t="shared" si="12"/>
        <v>0</v>
      </c>
      <c r="M40" s="308">
        <f t="shared" si="12"/>
        <v>5581390</v>
      </c>
      <c r="N40" s="308">
        <f t="shared" si="12"/>
        <v>0</v>
      </c>
      <c r="O40" s="308">
        <f t="shared" si="12"/>
        <v>356696356</v>
      </c>
      <c r="P40" s="308">
        <f t="shared" si="12"/>
        <v>0</v>
      </c>
      <c r="Q40" s="308">
        <f t="shared" si="12"/>
        <v>356696356</v>
      </c>
      <c r="R40" s="308">
        <f t="shared" si="12"/>
        <v>1242236</v>
      </c>
      <c r="S40" s="308">
        <f t="shared" si="12"/>
        <v>0</v>
      </c>
      <c r="T40" s="308">
        <f t="shared" si="12"/>
        <v>0</v>
      </c>
      <c r="U40" s="308">
        <f t="shared" si="12"/>
        <v>0</v>
      </c>
      <c r="V40" s="308">
        <f t="shared" si="12"/>
        <v>7092029</v>
      </c>
      <c r="W40" s="308">
        <f t="shared" si="12"/>
        <v>3738010</v>
      </c>
      <c r="X40" s="308">
        <f t="shared" si="12"/>
        <v>0</v>
      </c>
      <c r="Y40" s="308">
        <f t="shared" si="12"/>
        <v>0</v>
      </c>
      <c r="AB40" s="601"/>
    </row>
    <row r="41" spans="1:28" s="588" customFormat="1" ht="15.75" customHeight="1">
      <c r="A41" s="589"/>
      <c r="B41" s="607" t="s">
        <v>133</v>
      </c>
      <c r="C41" s="308"/>
      <c r="D41" s="308"/>
      <c r="E41" s="348"/>
      <c r="F41" s="308"/>
      <c r="G41" s="34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AB41" s="601"/>
    </row>
    <row r="42" spans="1:28" s="588" customFormat="1" ht="15.75" customHeight="1">
      <c r="A42" s="600">
        <f>A40+10</f>
        <v>300</v>
      </c>
      <c r="B42" s="306" t="s">
        <v>119</v>
      </c>
      <c r="C42" s="306">
        <f t="shared" ref="C42:C47" si="13">SUM(J42:Y42)-L42-P42-Q42</f>
        <v>0</v>
      </c>
      <c r="D42" s="307"/>
      <c r="E42" s="346"/>
      <c r="F42" s="307"/>
      <c r="G42" s="346"/>
      <c r="H42" s="307"/>
      <c r="I42" s="307"/>
      <c r="J42" s="307"/>
      <c r="K42" s="307"/>
      <c r="L42" s="307"/>
      <c r="M42" s="307"/>
      <c r="N42" s="307"/>
      <c r="O42" s="306">
        <f t="shared" ref="O42:O47" si="14">+P42+Q42</f>
        <v>0</v>
      </c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AB42" s="601"/>
    </row>
    <row r="43" spans="1:28" s="588" customFormat="1" ht="15.75" customHeight="1">
      <c r="A43" s="600">
        <f t="shared" si="2"/>
        <v>310</v>
      </c>
      <c r="B43" s="306" t="s">
        <v>120</v>
      </c>
      <c r="C43" s="306">
        <f t="shared" si="13"/>
        <v>128440135</v>
      </c>
      <c r="D43" s="307">
        <v>23670935</v>
      </c>
      <c r="E43" s="345">
        <v>0.18339082068928073</v>
      </c>
      <c r="F43" s="116">
        <v>104769200</v>
      </c>
      <c r="G43" s="345">
        <v>0.06</v>
      </c>
      <c r="H43" s="307">
        <v>128440135</v>
      </c>
      <c r="I43" s="307"/>
      <c r="J43" s="307">
        <v>0</v>
      </c>
      <c r="K43" s="577">
        <v>0</v>
      </c>
      <c r="L43" s="307">
        <v>0</v>
      </c>
      <c r="M43" s="307">
        <v>80000</v>
      </c>
      <c r="N43" s="307">
        <v>0</v>
      </c>
      <c r="O43" s="306">
        <f t="shared" si="14"/>
        <v>11135379</v>
      </c>
      <c r="P43" s="307">
        <v>0</v>
      </c>
      <c r="Q43" s="307">
        <v>11135379</v>
      </c>
      <c r="R43" s="307">
        <v>9900000</v>
      </c>
      <c r="S43" s="307">
        <v>0</v>
      </c>
      <c r="T43" s="307">
        <v>0</v>
      </c>
      <c r="U43" s="307">
        <v>0</v>
      </c>
      <c r="V43" s="307">
        <v>2555556</v>
      </c>
      <c r="W43" s="307">
        <v>0</v>
      </c>
      <c r="X43" s="307">
        <v>0</v>
      </c>
      <c r="Y43" s="307">
        <v>104769200</v>
      </c>
      <c r="AB43" s="601"/>
    </row>
    <row r="44" spans="1:28" s="588" customFormat="1" ht="15.75" customHeight="1">
      <c r="A44" s="603">
        <f t="shared" si="2"/>
        <v>320</v>
      </c>
      <c r="B44" s="604" t="s">
        <v>121</v>
      </c>
      <c r="C44" s="306">
        <f t="shared" si="13"/>
        <v>10641640</v>
      </c>
      <c r="D44" s="307">
        <v>10641640</v>
      </c>
      <c r="E44" s="346">
        <v>0.24302068893238288</v>
      </c>
      <c r="F44" s="307"/>
      <c r="G44" s="346"/>
      <c r="H44" s="307">
        <v>10641640</v>
      </c>
      <c r="I44" s="577"/>
      <c r="J44" s="307">
        <v>0</v>
      </c>
      <c r="K44" s="307">
        <v>0</v>
      </c>
      <c r="L44" s="307">
        <v>0</v>
      </c>
      <c r="M44" s="307">
        <v>0</v>
      </c>
      <c r="N44" s="307">
        <v>0</v>
      </c>
      <c r="O44" s="306">
        <f t="shared" si="14"/>
        <v>9916640</v>
      </c>
      <c r="P44" s="307">
        <v>0</v>
      </c>
      <c r="Q44" s="307">
        <v>9916640</v>
      </c>
      <c r="R44" s="307">
        <v>0</v>
      </c>
      <c r="S44" s="307">
        <v>0</v>
      </c>
      <c r="T44" s="307">
        <v>0</v>
      </c>
      <c r="U44" s="307">
        <v>0</v>
      </c>
      <c r="V44" s="307">
        <v>25000</v>
      </c>
      <c r="W44" s="307">
        <v>700000</v>
      </c>
      <c r="X44" s="307">
        <v>0</v>
      </c>
      <c r="Y44" s="307">
        <v>0</v>
      </c>
      <c r="AB44" s="601"/>
    </row>
    <row r="45" spans="1:28" s="588" customFormat="1" ht="15.75" customHeight="1">
      <c r="A45" s="603">
        <f t="shared" si="2"/>
        <v>330</v>
      </c>
      <c r="B45" s="604" t="s">
        <v>122</v>
      </c>
      <c r="C45" s="306">
        <f t="shared" si="13"/>
        <v>618678436</v>
      </c>
      <c r="D45" s="307">
        <v>442797117</v>
      </c>
      <c r="E45" s="346">
        <v>0.23188887519268667</v>
      </c>
      <c r="F45" s="307">
        <v>175881319</v>
      </c>
      <c r="G45" s="346">
        <v>9.8798456549659908E-2</v>
      </c>
      <c r="H45" s="307">
        <v>604913652</v>
      </c>
      <c r="I45" s="307">
        <v>13764784</v>
      </c>
      <c r="J45" s="307">
        <v>231104</v>
      </c>
      <c r="K45" s="577">
        <v>0</v>
      </c>
      <c r="L45" s="307">
        <v>0</v>
      </c>
      <c r="M45" s="307">
        <v>51270584</v>
      </c>
      <c r="N45" s="307">
        <v>0</v>
      </c>
      <c r="O45" s="306">
        <f t="shared" si="14"/>
        <v>371697064</v>
      </c>
      <c r="P45" s="307">
        <v>0</v>
      </c>
      <c r="Q45" s="307">
        <v>371697064</v>
      </c>
      <c r="R45" s="307">
        <v>9548568</v>
      </c>
      <c r="S45" s="307">
        <v>0</v>
      </c>
      <c r="T45" s="307">
        <v>0</v>
      </c>
      <c r="U45" s="307">
        <v>0</v>
      </c>
      <c r="V45" s="307">
        <v>18231554</v>
      </c>
      <c r="W45" s="307">
        <v>158110880</v>
      </c>
      <c r="X45" s="307">
        <v>9365533</v>
      </c>
      <c r="Y45" s="307">
        <v>223149</v>
      </c>
      <c r="AB45" s="601"/>
    </row>
    <row r="46" spans="1:28" s="588" customFormat="1" ht="15.75" customHeight="1">
      <c r="A46" s="603">
        <f t="shared" si="2"/>
        <v>340</v>
      </c>
      <c r="B46" s="606" t="s">
        <v>123</v>
      </c>
      <c r="C46" s="306">
        <f t="shared" si="13"/>
        <v>0</v>
      </c>
      <c r="D46" s="307"/>
      <c r="E46" s="346"/>
      <c r="F46" s="307"/>
      <c r="G46" s="346"/>
      <c r="H46" s="307"/>
      <c r="I46" s="307"/>
      <c r="J46" s="307">
        <v>0</v>
      </c>
      <c r="K46" s="307">
        <v>0</v>
      </c>
      <c r="L46" s="307">
        <v>0</v>
      </c>
      <c r="M46" s="307">
        <v>0</v>
      </c>
      <c r="N46" s="307">
        <v>0</v>
      </c>
      <c r="O46" s="306">
        <f t="shared" si="14"/>
        <v>0</v>
      </c>
      <c r="P46" s="307">
        <v>0</v>
      </c>
      <c r="Q46" s="307">
        <v>0</v>
      </c>
      <c r="R46" s="307">
        <v>0</v>
      </c>
      <c r="S46" s="307">
        <v>0</v>
      </c>
      <c r="T46" s="307">
        <v>0</v>
      </c>
      <c r="U46" s="307">
        <v>0</v>
      </c>
      <c r="V46" s="307">
        <v>0</v>
      </c>
      <c r="W46" s="307">
        <v>0</v>
      </c>
      <c r="X46" s="307">
        <v>0</v>
      </c>
      <c r="Y46" s="307">
        <v>0</v>
      </c>
      <c r="AB46" s="601"/>
    </row>
    <row r="47" spans="1:28" s="588" customFormat="1" ht="15.75" customHeight="1">
      <c r="A47" s="603">
        <f>A46+10</f>
        <v>350</v>
      </c>
      <c r="B47" s="604" t="s">
        <v>124</v>
      </c>
      <c r="C47" s="306">
        <f t="shared" si="13"/>
        <v>0</v>
      </c>
      <c r="D47" s="307"/>
      <c r="E47" s="346"/>
      <c r="F47" s="307"/>
      <c r="G47" s="346"/>
      <c r="H47" s="307"/>
      <c r="I47" s="307"/>
      <c r="J47" s="307">
        <v>0</v>
      </c>
      <c r="K47" s="577">
        <v>0</v>
      </c>
      <c r="L47" s="307">
        <v>0</v>
      </c>
      <c r="M47" s="307">
        <v>0</v>
      </c>
      <c r="N47" s="307">
        <v>0</v>
      </c>
      <c r="O47" s="306">
        <f t="shared" si="14"/>
        <v>0</v>
      </c>
      <c r="P47" s="307">
        <v>0</v>
      </c>
      <c r="Q47" s="307">
        <v>0</v>
      </c>
      <c r="R47" s="307">
        <v>0</v>
      </c>
      <c r="S47" s="307">
        <v>0</v>
      </c>
      <c r="T47" s="307">
        <v>0</v>
      </c>
      <c r="U47" s="307">
        <v>0</v>
      </c>
      <c r="V47" s="307">
        <v>0</v>
      </c>
      <c r="W47" s="307">
        <v>0</v>
      </c>
      <c r="X47" s="307">
        <v>0</v>
      </c>
      <c r="Y47" s="307">
        <v>0</v>
      </c>
      <c r="AB47" s="601"/>
    </row>
    <row r="48" spans="1:28" s="588" customFormat="1" ht="15.75" customHeight="1">
      <c r="A48" s="589">
        <f>A47+10</f>
        <v>360</v>
      </c>
      <c r="B48" s="607" t="s">
        <v>134</v>
      </c>
      <c r="C48" s="308">
        <f>SUM(J48:Y48)-L48-P48-Q48</f>
        <v>757760211</v>
      </c>
      <c r="D48" s="308">
        <f>SUM(D42:D47)</f>
        <v>477109692</v>
      </c>
      <c r="E48" s="348">
        <f>IFERROR(((D42*E42)/D48)+((D43*E43)/D48)+((D44*E44)/D48)+((D45*E45)/D48)+((D46*E46)/D48)+((D47*E47)/D48),0)</f>
        <v>0.22973102017805477</v>
      </c>
      <c r="F48" s="308">
        <f>SUM(F42:F47)</f>
        <v>280650519</v>
      </c>
      <c r="G48" s="348">
        <f>IFERROR(((F42*G42)/F48)+((F43*G43)/F48)+((F44*G44)/F48)+((F45*G45)/F48)+((F46*G46)/F48)+((F47*G47)/F48),0)</f>
        <v>8.4314666288282811E-2</v>
      </c>
      <c r="H48" s="308">
        <f t="shared" ref="H48:Y48" si="15">SUM(H42:H47)</f>
        <v>743995427</v>
      </c>
      <c r="I48" s="308">
        <f t="shared" si="15"/>
        <v>13764784</v>
      </c>
      <c r="J48" s="308">
        <f t="shared" si="15"/>
        <v>231104</v>
      </c>
      <c r="K48" s="308">
        <f t="shared" si="15"/>
        <v>0</v>
      </c>
      <c r="L48" s="308">
        <f t="shared" si="15"/>
        <v>0</v>
      </c>
      <c r="M48" s="308">
        <f t="shared" si="15"/>
        <v>51350584</v>
      </c>
      <c r="N48" s="308">
        <f t="shared" si="15"/>
        <v>0</v>
      </c>
      <c r="O48" s="308">
        <f t="shared" si="15"/>
        <v>392749083</v>
      </c>
      <c r="P48" s="308">
        <f t="shared" si="15"/>
        <v>0</v>
      </c>
      <c r="Q48" s="308">
        <f t="shared" si="15"/>
        <v>392749083</v>
      </c>
      <c r="R48" s="308">
        <f t="shared" si="15"/>
        <v>19448568</v>
      </c>
      <c r="S48" s="308">
        <f t="shared" si="15"/>
        <v>0</v>
      </c>
      <c r="T48" s="308">
        <f t="shared" si="15"/>
        <v>0</v>
      </c>
      <c r="U48" s="308">
        <f t="shared" si="15"/>
        <v>0</v>
      </c>
      <c r="V48" s="308">
        <f t="shared" si="15"/>
        <v>20812110</v>
      </c>
      <c r="W48" s="308">
        <f t="shared" si="15"/>
        <v>158810880</v>
      </c>
      <c r="X48" s="308">
        <f t="shared" si="15"/>
        <v>9365533</v>
      </c>
      <c r="Y48" s="308">
        <f t="shared" si="15"/>
        <v>104992349</v>
      </c>
      <c r="AB48" s="601"/>
    </row>
    <row r="49" spans="1:28" s="588" customFormat="1" ht="15.75" customHeight="1">
      <c r="A49" s="589"/>
      <c r="B49" s="607" t="s">
        <v>135</v>
      </c>
      <c r="C49" s="308"/>
      <c r="D49" s="308"/>
      <c r="E49" s="348"/>
      <c r="F49" s="308"/>
      <c r="G49" s="348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AB49" s="601"/>
    </row>
    <row r="50" spans="1:28" s="588" customFormat="1" ht="15.75" customHeight="1">
      <c r="A50" s="600">
        <f>A48+10</f>
        <v>370</v>
      </c>
      <c r="B50" s="306" t="s">
        <v>119</v>
      </c>
      <c r="C50" s="306">
        <f t="shared" ref="C50:C56" si="16">SUM(J50:Y50)-L50-P50-Q50</f>
        <v>14476741</v>
      </c>
      <c r="D50" s="307">
        <v>14476741</v>
      </c>
      <c r="E50" s="346">
        <v>0.12276301816057633</v>
      </c>
      <c r="F50" s="307"/>
      <c r="G50" s="346"/>
      <c r="H50" s="307">
        <v>14476741</v>
      </c>
      <c r="I50" s="307"/>
      <c r="J50" s="307">
        <v>0</v>
      </c>
      <c r="K50" s="307">
        <v>0</v>
      </c>
      <c r="L50" s="307">
        <v>0</v>
      </c>
      <c r="M50" s="307">
        <v>0</v>
      </c>
      <c r="N50" s="307">
        <v>0</v>
      </c>
      <c r="O50" s="306">
        <f t="shared" ref="O50:O55" si="17">+P50+Q50</f>
        <v>6393</v>
      </c>
      <c r="P50" s="307">
        <v>0</v>
      </c>
      <c r="Q50" s="307">
        <v>6393</v>
      </c>
      <c r="R50" s="307">
        <v>0</v>
      </c>
      <c r="S50" s="307">
        <v>0</v>
      </c>
      <c r="T50" s="307">
        <v>0</v>
      </c>
      <c r="U50" s="307">
        <v>0</v>
      </c>
      <c r="V50" s="307">
        <v>1750236</v>
      </c>
      <c r="W50" s="307">
        <v>12720112</v>
      </c>
      <c r="X50" s="307">
        <v>0</v>
      </c>
      <c r="Y50" s="307">
        <v>0</v>
      </c>
      <c r="AB50" s="601"/>
    </row>
    <row r="51" spans="1:28" s="588" customFormat="1" ht="15.75" customHeight="1">
      <c r="A51" s="600">
        <f t="shared" si="2"/>
        <v>380</v>
      </c>
      <c r="B51" s="306" t="s">
        <v>120</v>
      </c>
      <c r="C51" s="306">
        <f t="shared" si="16"/>
        <v>199400</v>
      </c>
      <c r="D51" s="307">
        <v>199400</v>
      </c>
      <c r="E51" s="346">
        <v>0.23999999999999996</v>
      </c>
      <c r="F51" s="307"/>
      <c r="G51" s="346"/>
      <c r="H51" s="307">
        <v>199400</v>
      </c>
      <c r="I51" s="307"/>
      <c r="J51" s="307">
        <v>0</v>
      </c>
      <c r="K51" s="577">
        <v>0</v>
      </c>
      <c r="L51" s="307">
        <v>0</v>
      </c>
      <c r="M51" s="307">
        <v>0</v>
      </c>
      <c r="N51" s="307">
        <v>0</v>
      </c>
      <c r="O51" s="306">
        <f t="shared" si="17"/>
        <v>199400</v>
      </c>
      <c r="P51" s="307">
        <v>0</v>
      </c>
      <c r="Q51" s="307">
        <v>199400</v>
      </c>
      <c r="R51" s="307">
        <v>0</v>
      </c>
      <c r="S51" s="307">
        <v>0</v>
      </c>
      <c r="T51" s="307">
        <v>0</v>
      </c>
      <c r="U51" s="307">
        <v>0</v>
      </c>
      <c r="V51" s="307">
        <v>0</v>
      </c>
      <c r="W51" s="307">
        <v>0</v>
      </c>
      <c r="X51" s="307">
        <v>0</v>
      </c>
      <c r="Y51" s="307">
        <v>0</v>
      </c>
      <c r="AB51" s="601"/>
    </row>
    <row r="52" spans="1:28" s="588" customFormat="1" ht="15.75" customHeight="1">
      <c r="A52" s="603">
        <f t="shared" si="2"/>
        <v>390</v>
      </c>
      <c r="B52" s="604" t="s">
        <v>121</v>
      </c>
      <c r="C52" s="306">
        <f t="shared" si="16"/>
        <v>6406503</v>
      </c>
      <c r="D52" s="307">
        <v>6406503</v>
      </c>
      <c r="E52" s="346">
        <v>0.22987278651078918</v>
      </c>
      <c r="F52" s="307"/>
      <c r="G52" s="346"/>
      <c r="H52" s="307">
        <v>6406503</v>
      </c>
      <c r="I52" s="577"/>
      <c r="J52" s="307">
        <v>0</v>
      </c>
      <c r="K52" s="307">
        <v>0</v>
      </c>
      <c r="L52" s="307">
        <v>0</v>
      </c>
      <c r="M52" s="307">
        <v>234500</v>
      </c>
      <c r="N52" s="307">
        <v>0</v>
      </c>
      <c r="O52" s="306">
        <f t="shared" si="17"/>
        <v>5286299</v>
      </c>
      <c r="P52" s="307">
        <v>0</v>
      </c>
      <c r="Q52" s="307">
        <v>5286299</v>
      </c>
      <c r="R52" s="307">
        <v>0</v>
      </c>
      <c r="S52" s="307">
        <v>0</v>
      </c>
      <c r="T52" s="307">
        <v>0</v>
      </c>
      <c r="U52" s="307">
        <v>0</v>
      </c>
      <c r="V52" s="307">
        <v>695709</v>
      </c>
      <c r="W52" s="307">
        <v>189995</v>
      </c>
      <c r="X52" s="307">
        <v>0</v>
      </c>
      <c r="Y52" s="307">
        <v>0</v>
      </c>
      <c r="AB52" s="601"/>
    </row>
    <row r="53" spans="1:28" s="588" customFormat="1" ht="15.75" customHeight="1">
      <c r="A53" s="603">
        <f t="shared" si="2"/>
        <v>400</v>
      </c>
      <c r="B53" s="604" t="s">
        <v>122</v>
      </c>
      <c r="C53" s="306">
        <f t="shared" si="16"/>
        <v>1350798408</v>
      </c>
      <c r="D53" s="307">
        <v>583444156</v>
      </c>
      <c r="E53" s="346">
        <v>0.17656446691030891</v>
      </c>
      <c r="F53" s="307">
        <v>767354252</v>
      </c>
      <c r="G53" s="346">
        <v>9.8074263440567605E-2</v>
      </c>
      <c r="H53" s="307">
        <v>1350798408</v>
      </c>
      <c r="I53" s="307"/>
      <c r="J53" s="307">
        <v>0</v>
      </c>
      <c r="K53" s="577">
        <v>0</v>
      </c>
      <c r="L53" s="307">
        <v>0</v>
      </c>
      <c r="M53" s="307">
        <v>80183611</v>
      </c>
      <c r="N53" s="307">
        <v>0</v>
      </c>
      <c r="O53" s="306">
        <f t="shared" si="17"/>
        <v>758544347</v>
      </c>
      <c r="P53" s="307">
        <v>366667</v>
      </c>
      <c r="Q53" s="307">
        <v>758177680</v>
      </c>
      <c r="R53" s="307">
        <v>5238460</v>
      </c>
      <c r="S53" s="307">
        <v>0</v>
      </c>
      <c r="T53" s="307">
        <v>0</v>
      </c>
      <c r="U53" s="307">
        <v>0</v>
      </c>
      <c r="V53" s="307">
        <v>44542535</v>
      </c>
      <c r="W53" s="307">
        <v>462289455</v>
      </c>
      <c r="X53" s="307">
        <v>0</v>
      </c>
      <c r="Y53" s="307">
        <v>0</v>
      </c>
      <c r="AB53" s="601"/>
    </row>
    <row r="54" spans="1:28" s="588" customFormat="1" ht="15.75" customHeight="1">
      <c r="A54" s="603">
        <f t="shared" si="2"/>
        <v>410</v>
      </c>
      <c r="B54" s="606" t="s">
        <v>123</v>
      </c>
      <c r="C54" s="306">
        <f t="shared" si="16"/>
        <v>0</v>
      </c>
      <c r="D54" s="307"/>
      <c r="E54" s="346"/>
      <c r="F54" s="307"/>
      <c r="G54" s="346"/>
      <c r="H54" s="307">
        <v>0</v>
      </c>
      <c r="I54" s="307"/>
      <c r="J54" s="307">
        <v>0</v>
      </c>
      <c r="K54" s="307">
        <v>0</v>
      </c>
      <c r="L54" s="307">
        <v>0</v>
      </c>
      <c r="M54" s="307">
        <v>0</v>
      </c>
      <c r="N54" s="307">
        <v>0</v>
      </c>
      <c r="O54" s="306">
        <f t="shared" si="17"/>
        <v>0</v>
      </c>
      <c r="P54" s="307">
        <v>0</v>
      </c>
      <c r="Q54" s="307">
        <v>0</v>
      </c>
      <c r="R54" s="307">
        <v>0</v>
      </c>
      <c r="S54" s="307">
        <v>0</v>
      </c>
      <c r="T54" s="307">
        <v>0</v>
      </c>
      <c r="U54" s="307">
        <v>0</v>
      </c>
      <c r="V54" s="307">
        <v>0</v>
      </c>
      <c r="W54" s="307">
        <v>0</v>
      </c>
      <c r="X54" s="307">
        <v>0</v>
      </c>
      <c r="Y54" s="307">
        <v>0</v>
      </c>
      <c r="AB54" s="601"/>
    </row>
    <row r="55" spans="1:28" s="588" customFormat="1" ht="15.75" customHeight="1">
      <c r="A55" s="603">
        <f>A54+10</f>
        <v>420</v>
      </c>
      <c r="B55" s="604" t="s">
        <v>124</v>
      </c>
      <c r="C55" s="306">
        <f t="shared" si="16"/>
        <v>174977</v>
      </c>
      <c r="D55" s="307">
        <v>174977</v>
      </c>
      <c r="E55" s="346">
        <v>0.28000000000000003</v>
      </c>
      <c r="F55" s="307"/>
      <c r="G55" s="346"/>
      <c r="H55" s="307">
        <v>174977</v>
      </c>
      <c r="I55" s="307"/>
      <c r="J55" s="307">
        <v>0</v>
      </c>
      <c r="K55" s="577">
        <v>0</v>
      </c>
      <c r="L55" s="307">
        <v>0</v>
      </c>
      <c r="M55" s="307">
        <v>0</v>
      </c>
      <c r="N55" s="307">
        <v>0</v>
      </c>
      <c r="O55" s="306">
        <f t="shared" si="17"/>
        <v>174977</v>
      </c>
      <c r="P55" s="307">
        <v>0</v>
      </c>
      <c r="Q55" s="307">
        <v>174977</v>
      </c>
      <c r="R55" s="307">
        <v>0</v>
      </c>
      <c r="S55" s="307">
        <v>0</v>
      </c>
      <c r="T55" s="307">
        <v>0</v>
      </c>
      <c r="U55" s="307">
        <v>0</v>
      </c>
      <c r="V55" s="307">
        <v>0</v>
      </c>
      <c r="W55" s="307">
        <v>0</v>
      </c>
      <c r="X55" s="307">
        <v>0</v>
      </c>
      <c r="Y55" s="307">
        <v>0</v>
      </c>
      <c r="AB55" s="601"/>
    </row>
    <row r="56" spans="1:28" s="588" customFormat="1" ht="15.75" customHeight="1">
      <c r="A56" s="589">
        <f>A55+10</f>
        <v>430</v>
      </c>
      <c r="B56" s="607" t="s">
        <v>136</v>
      </c>
      <c r="C56" s="308">
        <f t="shared" si="16"/>
        <v>1372056029</v>
      </c>
      <c r="D56" s="308">
        <f>SUM(D50:D55)</f>
        <v>604701777</v>
      </c>
      <c r="E56" s="348">
        <f>IFERROR(((D50*E50)/D56)+((D51*E51)/D56)+((D52*E52)/D56)+((D53*E53)/D56)+((D54*E54)/D56)+((D55*E55)/D56),0)</f>
        <v>0.1758920662982669</v>
      </c>
      <c r="F56" s="308">
        <f>SUM(F50:F55)</f>
        <v>767354252</v>
      </c>
      <c r="G56" s="348">
        <f>IFERROR(((F50*G50)/F56)+((F51*G51)/F56)+((F52*G52)/F56)+((F53*G53)/F56)+((F54*G54)/F56)+((F55*G55)/F56),0)</f>
        <v>9.8074263440567605E-2</v>
      </c>
      <c r="H56" s="308">
        <f t="shared" ref="H56:Y56" si="18">SUM(H50:H55)</f>
        <v>1372056029</v>
      </c>
      <c r="I56" s="308">
        <f t="shared" si="18"/>
        <v>0</v>
      </c>
      <c r="J56" s="308">
        <f t="shared" si="18"/>
        <v>0</v>
      </c>
      <c r="K56" s="308">
        <f t="shared" si="18"/>
        <v>0</v>
      </c>
      <c r="L56" s="308">
        <f t="shared" si="18"/>
        <v>0</v>
      </c>
      <c r="M56" s="308">
        <f t="shared" si="18"/>
        <v>80418111</v>
      </c>
      <c r="N56" s="308">
        <f t="shared" si="18"/>
        <v>0</v>
      </c>
      <c r="O56" s="308">
        <f t="shared" si="18"/>
        <v>764211416</v>
      </c>
      <c r="P56" s="308">
        <f t="shared" si="18"/>
        <v>366667</v>
      </c>
      <c r="Q56" s="308">
        <f t="shared" si="18"/>
        <v>763844749</v>
      </c>
      <c r="R56" s="308">
        <f t="shared" si="18"/>
        <v>5238460</v>
      </c>
      <c r="S56" s="308">
        <f t="shared" si="18"/>
        <v>0</v>
      </c>
      <c r="T56" s="308">
        <f t="shared" si="18"/>
        <v>0</v>
      </c>
      <c r="U56" s="308">
        <f t="shared" si="18"/>
        <v>0</v>
      </c>
      <c r="V56" s="308">
        <f t="shared" si="18"/>
        <v>46988480</v>
      </c>
      <c r="W56" s="308">
        <f t="shared" si="18"/>
        <v>475199562</v>
      </c>
      <c r="X56" s="308">
        <f t="shared" si="18"/>
        <v>0</v>
      </c>
      <c r="Y56" s="308">
        <f t="shared" si="18"/>
        <v>0</v>
      </c>
      <c r="AB56" s="601"/>
    </row>
    <row r="57" spans="1:28" s="588" customFormat="1" ht="15.75" customHeight="1">
      <c r="A57" s="589"/>
      <c r="B57" s="607" t="s">
        <v>137</v>
      </c>
      <c r="C57" s="308"/>
      <c r="D57" s="308"/>
      <c r="E57" s="348"/>
      <c r="F57" s="308"/>
      <c r="G57" s="348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AB57" s="601"/>
    </row>
    <row r="58" spans="1:28" s="588" customFormat="1" ht="15.75" customHeight="1">
      <c r="A58" s="600">
        <f>A56+10</f>
        <v>440</v>
      </c>
      <c r="B58" s="306" t="s">
        <v>119</v>
      </c>
      <c r="C58" s="306">
        <f t="shared" ref="C58:C64" si="19">SUM(J58:Y58)-L58-P58-Q58</f>
        <v>0</v>
      </c>
      <c r="D58" s="307"/>
      <c r="E58" s="346"/>
      <c r="F58" s="307"/>
      <c r="G58" s="346"/>
      <c r="H58" s="307"/>
      <c r="I58" s="307"/>
      <c r="J58" s="307"/>
      <c r="K58" s="307"/>
      <c r="L58" s="307"/>
      <c r="M58" s="307"/>
      <c r="N58" s="307"/>
      <c r="O58" s="306">
        <f t="shared" ref="O58:O64" si="20">+P58+Q58</f>
        <v>0</v>
      </c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AB58" s="601"/>
    </row>
    <row r="59" spans="1:28" s="588" customFormat="1" ht="15.75" customHeight="1">
      <c r="A59" s="600">
        <f t="shared" si="2"/>
        <v>450</v>
      </c>
      <c r="B59" s="306" t="s">
        <v>120</v>
      </c>
      <c r="C59" s="306">
        <f t="shared" si="19"/>
        <v>9685529</v>
      </c>
      <c r="D59" s="307">
        <v>9685529</v>
      </c>
      <c r="E59" s="345">
        <v>0.13428130119760709</v>
      </c>
      <c r="F59" s="116"/>
      <c r="G59" s="345"/>
      <c r="H59" s="307">
        <v>4647326</v>
      </c>
      <c r="I59" s="307">
        <v>5038203</v>
      </c>
      <c r="J59" s="307">
        <v>0</v>
      </c>
      <c r="K59" s="577">
        <v>0</v>
      </c>
      <c r="L59" s="307">
        <v>0</v>
      </c>
      <c r="M59" s="307">
        <v>0</v>
      </c>
      <c r="N59" s="307">
        <v>0</v>
      </c>
      <c r="O59" s="306">
        <f t="shared" si="20"/>
        <v>0</v>
      </c>
      <c r="P59" s="307">
        <v>0</v>
      </c>
      <c r="Q59" s="307">
        <v>0</v>
      </c>
      <c r="R59" s="307">
        <v>0</v>
      </c>
      <c r="S59" s="307">
        <v>0</v>
      </c>
      <c r="T59" s="307">
        <v>0</v>
      </c>
      <c r="U59" s="307">
        <v>0</v>
      </c>
      <c r="V59" s="307">
        <v>2179410</v>
      </c>
      <c r="W59" s="307">
        <v>7506119</v>
      </c>
      <c r="X59" s="307">
        <v>0</v>
      </c>
      <c r="Y59" s="307">
        <v>0</v>
      </c>
      <c r="AB59" s="601"/>
    </row>
    <row r="60" spans="1:28" s="588" customFormat="1" ht="15.75" customHeight="1">
      <c r="A60" s="603">
        <f t="shared" si="2"/>
        <v>460</v>
      </c>
      <c r="B60" s="604" t="s">
        <v>121</v>
      </c>
      <c r="C60" s="306">
        <f t="shared" si="19"/>
        <v>0</v>
      </c>
      <c r="D60" s="307"/>
      <c r="E60" s="346"/>
      <c r="F60" s="307"/>
      <c r="G60" s="346"/>
      <c r="H60" s="307"/>
      <c r="I60" s="577"/>
      <c r="J60" s="307">
        <v>0</v>
      </c>
      <c r="K60" s="307">
        <v>0</v>
      </c>
      <c r="L60" s="307">
        <v>0</v>
      </c>
      <c r="M60" s="307">
        <v>0</v>
      </c>
      <c r="N60" s="307">
        <v>0</v>
      </c>
      <c r="O60" s="306">
        <f t="shared" si="20"/>
        <v>0</v>
      </c>
      <c r="P60" s="307">
        <v>0</v>
      </c>
      <c r="Q60" s="307">
        <v>0</v>
      </c>
      <c r="R60" s="307">
        <v>0</v>
      </c>
      <c r="S60" s="307">
        <v>0</v>
      </c>
      <c r="T60" s="307">
        <v>0</v>
      </c>
      <c r="U60" s="307">
        <v>0</v>
      </c>
      <c r="V60" s="307">
        <v>0</v>
      </c>
      <c r="W60" s="307">
        <v>0</v>
      </c>
      <c r="X60" s="307">
        <v>0</v>
      </c>
      <c r="Y60" s="307">
        <v>0</v>
      </c>
      <c r="AB60" s="601"/>
    </row>
    <row r="61" spans="1:28" s="588" customFormat="1" ht="15.75" customHeight="1">
      <c r="A61" s="603">
        <f t="shared" si="2"/>
        <v>470</v>
      </c>
      <c r="B61" s="604" t="s">
        <v>122</v>
      </c>
      <c r="C61" s="306">
        <f t="shared" si="19"/>
        <v>56850431</v>
      </c>
      <c r="D61" s="307">
        <v>56850431</v>
      </c>
      <c r="E61" s="346">
        <v>0.14139662187497762</v>
      </c>
      <c r="F61" s="307"/>
      <c r="G61" s="346"/>
      <c r="H61" s="307">
        <v>9832051</v>
      </c>
      <c r="I61" s="307">
        <v>47018380</v>
      </c>
      <c r="J61" s="307">
        <v>0</v>
      </c>
      <c r="K61" s="577">
        <v>0</v>
      </c>
      <c r="L61" s="307">
        <v>0</v>
      </c>
      <c r="M61" s="307">
        <v>0</v>
      </c>
      <c r="N61" s="307">
        <v>0</v>
      </c>
      <c r="O61" s="306">
        <f t="shared" si="20"/>
        <v>0</v>
      </c>
      <c r="P61" s="307">
        <v>0</v>
      </c>
      <c r="Q61" s="307">
        <v>0</v>
      </c>
      <c r="R61" s="307">
        <v>0</v>
      </c>
      <c r="S61" s="307">
        <v>0</v>
      </c>
      <c r="T61" s="307">
        <v>0</v>
      </c>
      <c r="U61" s="307">
        <v>0</v>
      </c>
      <c r="V61" s="307">
        <v>21014548</v>
      </c>
      <c r="W61" s="307">
        <v>35835883</v>
      </c>
      <c r="X61" s="307">
        <v>0</v>
      </c>
      <c r="Y61" s="307">
        <v>0</v>
      </c>
      <c r="AB61" s="601"/>
    </row>
    <row r="62" spans="1:28" s="588" customFormat="1" ht="15.75" customHeight="1">
      <c r="A62" s="603">
        <f t="shared" si="2"/>
        <v>480</v>
      </c>
      <c r="B62" s="606" t="s">
        <v>123</v>
      </c>
      <c r="C62" s="306">
        <f t="shared" si="19"/>
        <v>0</v>
      </c>
      <c r="D62" s="307"/>
      <c r="E62" s="346"/>
      <c r="F62" s="307"/>
      <c r="G62" s="346"/>
      <c r="H62" s="307"/>
      <c r="I62" s="307"/>
      <c r="J62" s="307">
        <v>0</v>
      </c>
      <c r="K62" s="307">
        <v>0</v>
      </c>
      <c r="L62" s="307">
        <v>0</v>
      </c>
      <c r="M62" s="307">
        <v>0</v>
      </c>
      <c r="N62" s="307">
        <v>0</v>
      </c>
      <c r="O62" s="306">
        <f t="shared" si="20"/>
        <v>0</v>
      </c>
      <c r="P62" s="307">
        <v>0</v>
      </c>
      <c r="Q62" s="307">
        <v>0</v>
      </c>
      <c r="R62" s="307">
        <v>0</v>
      </c>
      <c r="S62" s="307">
        <v>0</v>
      </c>
      <c r="T62" s="307">
        <v>0</v>
      </c>
      <c r="U62" s="307">
        <v>0</v>
      </c>
      <c r="V62" s="307">
        <v>0</v>
      </c>
      <c r="W62" s="307">
        <v>0</v>
      </c>
      <c r="X62" s="307">
        <v>0</v>
      </c>
      <c r="Y62" s="307">
        <v>0</v>
      </c>
      <c r="AB62" s="601"/>
    </row>
    <row r="63" spans="1:28" s="588" customFormat="1" ht="15.75" customHeight="1">
      <c r="A63" s="603">
        <v>485</v>
      </c>
      <c r="B63" s="606" t="s">
        <v>143</v>
      </c>
      <c r="C63" s="306">
        <f>SUM(J63:Y63)-L63-P63-Q63</f>
        <v>41090705</v>
      </c>
      <c r="D63" s="307">
        <v>41090705</v>
      </c>
      <c r="E63" s="346">
        <v>0.14155539601880657</v>
      </c>
      <c r="F63" s="307"/>
      <c r="G63" s="346"/>
      <c r="H63" s="307">
        <v>4133349</v>
      </c>
      <c r="I63" s="307">
        <v>36957356</v>
      </c>
      <c r="J63" s="307">
        <v>0</v>
      </c>
      <c r="K63" s="307">
        <v>0</v>
      </c>
      <c r="L63" s="307">
        <v>0</v>
      </c>
      <c r="M63" s="307">
        <v>393662</v>
      </c>
      <c r="N63" s="307">
        <v>0</v>
      </c>
      <c r="O63" s="306">
        <f t="shared" si="20"/>
        <v>0</v>
      </c>
      <c r="P63" s="307">
        <v>0</v>
      </c>
      <c r="Q63" s="307">
        <v>0</v>
      </c>
      <c r="R63" s="307">
        <v>0</v>
      </c>
      <c r="S63" s="307">
        <v>0</v>
      </c>
      <c r="T63" s="307">
        <v>0</v>
      </c>
      <c r="U63" s="307">
        <v>0</v>
      </c>
      <c r="V63" s="307">
        <v>11952470</v>
      </c>
      <c r="W63" s="307">
        <v>28744573</v>
      </c>
      <c r="X63" s="307">
        <v>0</v>
      </c>
      <c r="Y63" s="307">
        <v>0</v>
      </c>
      <c r="AB63" s="601"/>
    </row>
    <row r="64" spans="1:28" s="588" customFormat="1" ht="15.75" customHeight="1">
      <c r="A64" s="603">
        <f>A62+10</f>
        <v>490</v>
      </c>
      <c r="B64" s="604" t="s">
        <v>124</v>
      </c>
      <c r="C64" s="306">
        <f t="shared" si="19"/>
        <v>0</v>
      </c>
      <c r="D64" s="307"/>
      <c r="E64" s="346"/>
      <c r="F64" s="307"/>
      <c r="G64" s="346"/>
      <c r="H64" s="307"/>
      <c r="I64" s="307"/>
      <c r="J64" s="307"/>
      <c r="K64" s="577"/>
      <c r="L64" s="307"/>
      <c r="M64" s="307"/>
      <c r="N64" s="307"/>
      <c r="O64" s="306">
        <f t="shared" si="20"/>
        <v>0</v>
      </c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AB64" s="601"/>
    </row>
    <row r="65" spans="1:28" s="588" customFormat="1" ht="15.75" customHeight="1">
      <c r="A65" s="589">
        <f>A64+10</f>
        <v>500</v>
      </c>
      <c r="B65" s="607" t="s">
        <v>138</v>
      </c>
      <c r="C65" s="308">
        <f t="shared" ref="C65:C78" si="21">SUM(J65:Y65)-L65-P65-Q65</f>
        <v>107626665</v>
      </c>
      <c r="D65" s="308">
        <f>SUM(D58:D64)</f>
        <v>107626665</v>
      </c>
      <c r="E65" s="348">
        <f>IFERROR(((D58*E58)/D65)+((D59*E59)/D65)+((D60*E60)/D65)+((D61*E61)/D65)+((D62*E62)/D65)+((D63*E63)/D65)+((D64*E64)/D65),0)</f>
        <v>0.14081691885008812</v>
      </c>
      <c r="F65" s="308">
        <f>SUM(F58:F64)</f>
        <v>0</v>
      </c>
      <c r="G65" s="348">
        <f>IFERROR(((F58*G58)/F65)+((F59*G59)/F65)+((F60*G60)/F65)+((F61*G61)/F65)+((F62*G62)/F65)+((F63*G63)/F65)+((F64*G64)/F65),0)</f>
        <v>0</v>
      </c>
      <c r="H65" s="308">
        <f t="shared" ref="H65:Y65" si="22">SUM(H58:H64)</f>
        <v>18612726</v>
      </c>
      <c r="I65" s="308">
        <f t="shared" si="22"/>
        <v>89013939</v>
      </c>
      <c r="J65" s="308">
        <f t="shared" si="22"/>
        <v>0</v>
      </c>
      <c r="K65" s="308">
        <f t="shared" si="22"/>
        <v>0</v>
      </c>
      <c r="L65" s="308">
        <f t="shared" si="22"/>
        <v>0</v>
      </c>
      <c r="M65" s="308">
        <f t="shared" si="22"/>
        <v>393662</v>
      </c>
      <c r="N65" s="308">
        <f t="shared" si="22"/>
        <v>0</v>
      </c>
      <c r="O65" s="308">
        <f t="shared" si="22"/>
        <v>0</v>
      </c>
      <c r="P65" s="308">
        <f t="shared" si="22"/>
        <v>0</v>
      </c>
      <c r="Q65" s="308">
        <f t="shared" si="22"/>
        <v>0</v>
      </c>
      <c r="R65" s="308">
        <f t="shared" si="22"/>
        <v>0</v>
      </c>
      <c r="S65" s="308">
        <f t="shared" si="22"/>
        <v>0</v>
      </c>
      <c r="T65" s="308">
        <f t="shared" si="22"/>
        <v>0</v>
      </c>
      <c r="U65" s="308">
        <f t="shared" si="22"/>
        <v>0</v>
      </c>
      <c r="V65" s="308">
        <f t="shared" si="22"/>
        <v>35146428</v>
      </c>
      <c r="W65" s="308">
        <f t="shared" si="22"/>
        <v>72086575</v>
      </c>
      <c r="X65" s="308">
        <f t="shared" si="22"/>
        <v>0</v>
      </c>
      <c r="Y65" s="308">
        <f t="shared" si="22"/>
        <v>0</v>
      </c>
      <c r="AB65" s="601"/>
    </row>
    <row r="66" spans="1:28" s="588" customFormat="1" ht="15.75" customHeight="1">
      <c r="A66" s="589"/>
      <c r="B66" s="607" t="s">
        <v>139</v>
      </c>
      <c r="C66" s="308"/>
      <c r="D66" s="309"/>
      <c r="E66" s="347"/>
      <c r="F66" s="309"/>
      <c r="G66" s="347"/>
      <c r="H66" s="309"/>
      <c r="I66" s="309"/>
      <c r="J66" s="309"/>
      <c r="K66" s="309"/>
      <c r="L66" s="309"/>
      <c r="M66" s="309"/>
      <c r="N66" s="309"/>
      <c r="O66" s="308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AB66" s="601"/>
    </row>
    <row r="67" spans="1:28" s="588" customFormat="1" ht="15.75" customHeight="1">
      <c r="A67" s="600">
        <f>A65+10</f>
        <v>510</v>
      </c>
      <c r="B67" s="306" t="s">
        <v>119</v>
      </c>
      <c r="C67" s="306">
        <f t="shared" si="21"/>
        <v>960214287</v>
      </c>
      <c r="D67" s="307">
        <v>960214287</v>
      </c>
      <c r="E67" s="345">
        <v>0.23442810523168703</v>
      </c>
      <c r="F67" s="116"/>
      <c r="G67" s="345"/>
      <c r="H67" s="307">
        <v>948968119</v>
      </c>
      <c r="I67" s="307">
        <v>11246168</v>
      </c>
      <c r="J67" s="307">
        <v>76582</v>
      </c>
      <c r="K67" s="307">
        <v>0</v>
      </c>
      <c r="L67" s="307">
        <v>0</v>
      </c>
      <c r="M67" s="307">
        <v>7463813</v>
      </c>
      <c r="N67" s="307">
        <v>0</v>
      </c>
      <c r="O67" s="306">
        <f t="shared" ref="O67:O77" si="23">+P67+Q67</f>
        <v>311029008</v>
      </c>
      <c r="P67" s="307">
        <v>310051101</v>
      </c>
      <c r="Q67" s="307">
        <v>977907</v>
      </c>
      <c r="R67" s="307">
        <v>0</v>
      </c>
      <c r="S67" s="307">
        <v>0</v>
      </c>
      <c r="T67" s="307">
        <v>0</v>
      </c>
      <c r="U67" s="307">
        <v>0</v>
      </c>
      <c r="V67" s="307">
        <v>612960101</v>
      </c>
      <c r="W67" s="307">
        <v>13847013</v>
      </c>
      <c r="X67" s="307">
        <v>14824213</v>
      </c>
      <c r="Y67" s="307">
        <v>13557</v>
      </c>
      <c r="AB67" s="601"/>
    </row>
    <row r="68" spans="1:28" s="588" customFormat="1" ht="15.75" customHeight="1">
      <c r="A68" s="600">
        <f t="shared" si="2"/>
        <v>520</v>
      </c>
      <c r="B68" s="306" t="s">
        <v>120</v>
      </c>
      <c r="C68" s="306">
        <f t="shared" si="21"/>
        <v>2502557</v>
      </c>
      <c r="D68" s="307">
        <v>2502557</v>
      </c>
      <c r="E68" s="346">
        <v>0.10006131006151051</v>
      </c>
      <c r="F68" s="307"/>
      <c r="G68" s="346"/>
      <c r="H68" s="307">
        <v>2502557</v>
      </c>
      <c r="I68" s="307"/>
      <c r="J68" s="307">
        <v>0</v>
      </c>
      <c r="K68" s="577">
        <v>0</v>
      </c>
      <c r="L68" s="307">
        <v>0</v>
      </c>
      <c r="M68" s="307">
        <v>0</v>
      </c>
      <c r="N68" s="307">
        <v>0</v>
      </c>
      <c r="O68" s="306">
        <f t="shared" si="23"/>
        <v>0</v>
      </c>
      <c r="P68" s="307">
        <v>0</v>
      </c>
      <c r="Q68" s="307">
        <v>0</v>
      </c>
      <c r="R68" s="307">
        <v>0</v>
      </c>
      <c r="S68" s="307">
        <v>0</v>
      </c>
      <c r="T68" s="307">
        <v>0</v>
      </c>
      <c r="U68" s="307">
        <v>0</v>
      </c>
      <c r="V68" s="307">
        <v>0</v>
      </c>
      <c r="W68" s="307">
        <v>2557</v>
      </c>
      <c r="X68" s="307">
        <v>0</v>
      </c>
      <c r="Y68" s="307">
        <v>2500000</v>
      </c>
      <c r="AB68" s="601"/>
    </row>
    <row r="69" spans="1:28" s="588" customFormat="1" ht="15.75" customHeight="1">
      <c r="A69" s="603">
        <f t="shared" si="2"/>
        <v>530</v>
      </c>
      <c r="B69" s="604" t="s">
        <v>121</v>
      </c>
      <c r="C69" s="306">
        <f t="shared" si="21"/>
        <v>0</v>
      </c>
      <c r="D69" s="307"/>
      <c r="E69" s="346"/>
      <c r="F69" s="307"/>
      <c r="G69" s="346"/>
      <c r="H69" s="307"/>
      <c r="I69" s="577"/>
      <c r="J69" s="307">
        <v>0</v>
      </c>
      <c r="K69" s="307">
        <v>0</v>
      </c>
      <c r="L69" s="307">
        <v>0</v>
      </c>
      <c r="M69" s="307">
        <v>0</v>
      </c>
      <c r="N69" s="307">
        <v>0</v>
      </c>
      <c r="O69" s="306">
        <f t="shared" si="23"/>
        <v>0</v>
      </c>
      <c r="P69" s="307">
        <v>0</v>
      </c>
      <c r="Q69" s="307">
        <v>0</v>
      </c>
      <c r="R69" s="307">
        <v>0</v>
      </c>
      <c r="S69" s="307">
        <v>0</v>
      </c>
      <c r="T69" s="307">
        <v>0</v>
      </c>
      <c r="U69" s="307">
        <v>0</v>
      </c>
      <c r="V69" s="307">
        <v>0</v>
      </c>
      <c r="W69" s="307">
        <v>0</v>
      </c>
      <c r="X69" s="307">
        <v>0</v>
      </c>
      <c r="Y69" s="307">
        <v>0</v>
      </c>
      <c r="AB69" s="601"/>
    </row>
    <row r="70" spans="1:28" s="588" customFormat="1" ht="15.75" customHeight="1">
      <c r="A70" s="603">
        <f t="shared" si="2"/>
        <v>540</v>
      </c>
      <c r="B70" s="604" t="s">
        <v>122</v>
      </c>
      <c r="C70" s="306">
        <f t="shared" si="21"/>
        <v>24122487</v>
      </c>
      <c r="D70" s="307">
        <v>18348531</v>
      </c>
      <c r="E70" s="346">
        <v>7.1578241467771864E-2</v>
      </c>
      <c r="F70" s="307">
        <v>5773956</v>
      </c>
      <c r="G70" s="346">
        <v>9.0000000000000011E-2</v>
      </c>
      <c r="H70" s="307">
        <v>16621985</v>
      </c>
      <c r="I70" s="307">
        <v>7500502</v>
      </c>
      <c r="J70" s="307">
        <v>1759</v>
      </c>
      <c r="K70" s="307">
        <v>0</v>
      </c>
      <c r="L70" s="307">
        <v>0</v>
      </c>
      <c r="M70" s="307">
        <v>698032</v>
      </c>
      <c r="N70" s="307">
        <v>0</v>
      </c>
      <c r="O70" s="306">
        <f t="shared" si="23"/>
        <v>7505075</v>
      </c>
      <c r="P70" s="307">
        <v>0</v>
      </c>
      <c r="Q70" s="307">
        <v>7505075</v>
      </c>
      <c r="R70" s="307">
        <v>0</v>
      </c>
      <c r="S70" s="307">
        <v>0</v>
      </c>
      <c r="T70" s="307">
        <v>0</v>
      </c>
      <c r="U70" s="307">
        <v>0</v>
      </c>
      <c r="V70" s="307">
        <v>18442</v>
      </c>
      <c r="W70" s="307">
        <v>109825</v>
      </c>
      <c r="X70" s="307">
        <v>0</v>
      </c>
      <c r="Y70" s="307">
        <v>15789354</v>
      </c>
      <c r="AB70" s="601"/>
    </row>
    <row r="71" spans="1:28" s="588" customFormat="1" ht="15.75" customHeight="1">
      <c r="A71" s="603">
        <f t="shared" si="2"/>
        <v>550</v>
      </c>
      <c r="B71" s="604" t="s">
        <v>140</v>
      </c>
      <c r="C71" s="306">
        <f t="shared" si="21"/>
        <v>0</v>
      </c>
      <c r="D71" s="307"/>
      <c r="E71" s="346"/>
      <c r="F71" s="307"/>
      <c r="G71" s="346"/>
      <c r="H71" s="307"/>
      <c r="I71" s="307"/>
      <c r="J71" s="307">
        <v>0</v>
      </c>
      <c r="K71" s="307">
        <v>0</v>
      </c>
      <c r="L71" s="307">
        <v>0</v>
      </c>
      <c r="M71" s="307">
        <v>0</v>
      </c>
      <c r="N71" s="307">
        <v>0</v>
      </c>
      <c r="O71" s="306">
        <f t="shared" si="23"/>
        <v>0</v>
      </c>
      <c r="P71" s="307">
        <v>0</v>
      </c>
      <c r="Q71" s="307">
        <v>0</v>
      </c>
      <c r="R71" s="307">
        <v>0</v>
      </c>
      <c r="S71" s="307">
        <v>0</v>
      </c>
      <c r="T71" s="307">
        <v>0</v>
      </c>
      <c r="U71" s="307">
        <v>0</v>
      </c>
      <c r="V71" s="307">
        <v>0</v>
      </c>
      <c r="W71" s="307">
        <v>0</v>
      </c>
      <c r="X71" s="307">
        <v>0</v>
      </c>
      <c r="Y71" s="307">
        <v>0</v>
      </c>
      <c r="AB71" s="601"/>
    </row>
    <row r="72" spans="1:28" s="588" customFormat="1" ht="15.75" customHeight="1">
      <c r="A72" s="603">
        <f t="shared" si="2"/>
        <v>560</v>
      </c>
      <c r="B72" s="604" t="s">
        <v>141</v>
      </c>
      <c r="C72" s="306">
        <f t="shared" si="21"/>
        <v>0</v>
      </c>
      <c r="D72" s="307"/>
      <c r="E72" s="346"/>
      <c r="F72" s="307"/>
      <c r="G72" s="346"/>
      <c r="H72" s="307"/>
      <c r="I72" s="307"/>
      <c r="J72" s="307">
        <v>0</v>
      </c>
      <c r="K72" s="307">
        <v>0</v>
      </c>
      <c r="L72" s="307">
        <v>0</v>
      </c>
      <c r="M72" s="307">
        <v>0</v>
      </c>
      <c r="N72" s="307">
        <v>0</v>
      </c>
      <c r="O72" s="306">
        <f t="shared" si="23"/>
        <v>0</v>
      </c>
      <c r="P72" s="307">
        <v>0</v>
      </c>
      <c r="Q72" s="307">
        <v>0</v>
      </c>
      <c r="R72" s="307">
        <v>0</v>
      </c>
      <c r="S72" s="307">
        <v>0</v>
      </c>
      <c r="T72" s="307">
        <v>0</v>
      </c>
      <c r="U72" s="307">
        <v>0</v>
      </c>
      <c r="V72" s="307">
        <v>0</v>
      </c>
      <c r="W72" s="307">
        <v>0</v>
      </c>
      <c r="X72" s="307">
        <v>0</v>
      </c>
      <c r="Y72" s="307">
        <v>0</v>
      </c>
      <c r="AB72" s="601"/>
    </row>
    <row r="73" spans="1:28" s="588" customFormat="1" ht="15.75" customHeight="1">
      <c r="A73" s="603">
        <f t="shared" si="2"/>
        <v>570</v>
      </c>
      <c r="B73" s="604" t="s">
        <v>123</v>
      </c>
      <c r="C73" s="306">
        <f t="shared" si="21"/>
        <v>0</v>
      </c>
      <c r="D73" s="307"/>
      <c r="E73" s="345"/>
      <c r="F73" s="116"/>
      <c r="G73" s="345"/>
      <c r="H73" s="307"/>
      <c r="I73" s="307"/>
      <c r="J73" s="307">
        <v>0</v>
      </c>
      <c r="K73" s="577">
        <v>0</v>
      </c>
      <c r="L73" s="307">
        <v>0</v>
      </c>
      <c r="M73" s="307">
        <v>0</v>
      </c>
      <c r="N73" s="307">
        <v>0</v>
      </c>
      <c r="O73" s="306">
        <f t="shared" si="23"/>
        <v>0</v>
      </c>
      <c r="P73" s="307">
        <v>0</v>
      </c>
      <c r="Q73" s="307">
        <v>0</v>
      </c>
      <c r="R73" s="307">
        <v>0</v>
      </c>
      <c r="S73" s="307">
        <v>0</v>
      </c>
      <c r="T73" s="307">
        <v>0</v>
      </c>
      <c r="U73" s="307">
        <v>0</v>
      </c>
      <c r="V73" s="307">
        <v>0</v>
      </c>
      <c r="W73" s="307">
        <v>0</v>
      </c>
      <c r="X73" s="307">
        <v>0</v>
      </c>
      <c r="Y73" s="307">
        <v>0</v>
      </c>
      <c r="AB73" s="601"/>
    </row>
    <row r="74" spans="1:28" s="588" customFormat="1" ht="15.75" customHeight="1">
      <c r="A74" s="603">
        <f t="shared" si="2"/>
        <v>580</v>
      </c>
      <c r="B74" s="604" t="s">
        <v>142</v>
      </c>
      <c r="C74" s="306">
        <f t="shared" si="21"/>
        <v>0</v>
      </c>
      <c r="D74" s="307"/>
      <c r="E74" s="346"/>
      <c r="F74" s="307"/>
      <c r="G74" s="346"/>
      <c r="H74" s="307"/>
      <c r="I74" s="577"/>
      <c r="J74" s="307">
        <v>0</v>
      </c>
      <c r="K74" s="307">
        <v>0</v>
      </c>
      <c r="L74" s="307">
        <v>0</v>
      </c>
      <c r="M74" s="307">
        <v>0</v>
      </c>
      <c r="N74" s="307">
        <v>0</v>
      </c>
      <c r="O74" s="306">
        <f t="shared" si="23"/>
        <v>0</v>
      </c>
      <c r="P74" s="307">
        <v>0</v>
      </c>
      <c r="Q74" s="307">
        <v>0</v>
      </c>
      <c r="R74" s="307">
        <v>0</v>
      </c>
      <c r="S74" s="307">
        <v>0</v>
      </c>
      <c r="T74" s="307">
        <v>0</v>
      </c>
      <c r="U74" s="307">
        <v>0</v>
      </c>
      <c r="V74" s="307">
        <v>0</v>
      </c>
      <c r="W74" s="307">
        <v>0</v>
      </c>
      <c r="X74" s="307">
        <v>0</v>
      </c>
      <c r="Y74" s="307">
        <v>0</v>
      </c>
      <c r="AB74" s="601"/>
    </row>
    <row r="75" spans="1:28" s="588" customFormat="1" ht="15.75" customHeight="1">
      <c r="A75" s="603">
        <f t="shared" ref="A75:A92" si="24">A74+10</f>
        <v>590</v>
      </c>
      <c r="B75" s="604" t="s">
        <v>143</v>
      </c>
      <c r="C75" s="306">
        <f t="shared" si="21"/>
        <v>636086</v>
      </c>
      <c r="D75" s="307">
        <v>636086</v>
      </c>
      <c r="E75" s="346">
        <v>0.16355296595102098</v>
      </c>
      <c r="F75" s="307"/>
      <c r="G75" s="346"/>
      <c r="H75" s="307">
        <v>460068</v>
      </c>
      <c r="I75" s="307">
        <v>176018</v>
      </c>
      <c r="J75" s="307">
        <v>0</v>
      </c>
      <c r="K75" s="577">
        <v>0</v>
      </c>
      <c r="L75" s="307">
        <v>0</v>
      </c>
      <c r="M75" s="307">
        <v>6341</v>
      </c>
      <c r="N75" s="307">
        <v>0</v>
      </c>
      <c r="O75" s="306">
        <f t="shared" si="23"/>
        <v>621544</v>
      </c>
      <c r="P75" s="307">
        <v>0</v>
      </c>
      <c r="Q75" s="307">
        <v>621544</v>
      </c>
      <c r="R75" s="307">
        <v>0</v>
      </c>
      <c r="S75" s="307">
        <v>0</v>
      </c>
      <c r="T75" s="307">
        <v>0</v>
      </c>
      <c r="U75" s="307">
        <v>0</v>
      </c>
      <c r="V75" s="307">
        <v>8201</v>
      </c>
      <c r="W75" s="307">
        <v>0</v>
      </c>
      <c r="X75" s="307">
        <v>0</v>
      </c>
      <c r="Y75" s="307">
        <v>0</v>
      </c>
      <c r="AB75" s="601"/>
    </row>
    <row r="76" spans="1:28" s="588" customFormat="1" ht="15.75" customHeight="1">
      <c r="A76" s="603">
        <f t="shared" si="24"/>
        <v>600</v>
      </c>
      <c r="B76" s="604" t="s">
        <v>144</v>
      </c>
      <c r="C76" s="306">
        <f t="shared" si="21"/>
        <v>0</v>
      </c>
      <c r="D76" s="307"/>
      <c r="E76" s="346"/>
      <c r="F76" s="307"/>
      <c r="G76" s="346"/>
      <c r="H76" s="307"/>
      <c r="I76" s="307"/>
      <c r="J76" s="307"/>
      <c r="K76" s="307"/>
      <c r="L76" s="307"/>
      <c r="M76" s="307"/>
      <c r="N76" s="307"/>
      <c r="O76" s="306">
        <f t="shared" si="23"/>
        <v>0</v>
      </c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AB76" s="601"/>
    </row>
    <row r="77" spans="1:28" s="588" customFormat="1" ht="15.75" customHeight="1">
      <c r="A77" s="603">
        <f>A76+10</f>
        <v>610</v>
      </c>
      <c r="B77" s="604" t="s">
        <v>124</v>
      </c>
      <c r="C77" s="306">
        <f t="shared" si="21"/>
        <v>0</v>
      </c>
      <c r="D77" s="307"/>
      <c r="E77" s="346"/>
      <c r="F77" s="307"/>
      <c r="G77" s="346"/>
      <c r="H77" s="307"/>
      <c r="I77" s="307"/>
      <c r="J77" s="307"/>
      <c r="K77" s="577"/>
      <c r="L77" s="307"/>
      <c r="M77" s="307"/>
      <c r="N77" s="307"/>
      <c r="O77" s="306">
        <f t="shared" si="23"/>
        <v>0</v>
      </c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AB77" s="601"/>
    </row>
    <row r="78" spans="1:28" s="588" customFormat="1" ht="15.75" customHeight="1">
      <c r="A78" s="589">
        <f>A77+10</f>
        <v>620</v>
      </c>
      <c r="B78" s="607" t="s">
        <v>145</v>
      </c>
      <c r="C78" s="308">
        <f t="shared" si="21"/>
        <v>987475417</v>
      </c>
      <c r="D78" s="308">
        <f>SUM(D67:D77)</f>
        <v>981701461</v>
      </c>
      <c r="E78" s="348">
        <f>IFERROR(((D67*E67)/D78)+((D68*E68)/D78)+((D69*E69)/D78)+((D70*E70)/D78)+((D71*E71)/D78)+((D72*E72)/D78)+((D73*E73)/D78)+((D74*E74)/D78)+((D75*E75)/D78)+((D76*E76)/D78)+((D77*E77)/D78),0)</f>
        <v>0.23099590190395544</v>
      </c>
      <c r="F78" s="308">
        <f>SUM(F67:F77)</f>
        <v>5773956</v>
      </c>
      <c r="G78" s="348">
        <f>IFERROR(((F67*G67)/F78)+((F68*G68)/F78)+((F69*G69)/F78)+((F70*G70)/F78)+((F71*G71)/F78)+((F72*G72)/F78)+((F73*G73)/F78)+((F74*G74)/F78)+((F75*G75)/F78)+((F76*G76)/F78)+((F77*G77)/F78),0)</f>
        <v>9.0000000000000011E-2</v>
      </c>
      <c r="H78" s="308">
        <f t="shared" ref="H78:Y78" si="25">SUM(H67:H77)</f>
        <v>968552729</v>
      </c>
      <c r="I78" s="308">
        <f t="shared" si="25"/>
        <v>18922688</v>
      </c>
      <c r="J78" s="308">
        <f t="shared" si="25"/>
        <v>78341</v>
      </c>
      <c r="K78" s="308">
        <f t="shared" si="25"/>
        <v>0</v>
      </c>
      <c r="L78" s="308">
        <f t="shared" si="25"/>
        <v>0</v>
      </c>
      <c r="M78" s="308">
        <f t="shared" si="25"/>
        <v>8168186</v>
      </c>
      <c r="N78" s="308">
        <f t="shared" si="25"/>
        <v>0</v>
      </c>
      <c r="O78" s="308">
        <f t="shared" si="25"/>
        <v>319155627</v>
      </c>
      <c r="P78" s="308">
        <f t="shared" si="25"/>
        <v>310051101</v>
      </c>
      <c r="Q78" s="308">
        <f t="shared" si="25"/>
        <v>9104526</v>
      </c>
      <c r="R78" s="308">
        <f t="shared" si="25"/>
        <v>0</v>
      </c>
      <c r="S78" s="308">
        <f t="shared" si="25"/>
        <v>0</v>
      </c>
      <c r="T78" s="308">
        <f t="shared" si="25"/>
        <v>0</v>
      </c>
      <c r="U78" s="308">
        <f t="shared" si="25"/>
        <v>0</v>
      </c>
      <c r="V78" s="308">
        <f t="shared" si="25"/>
        <v>612986744</v>
      </c>
      <c r="W78" s="308">
        <f t="shared" si="25"/>
        <v>13959395</v>
      </c>
      <c r="X78" s="308">
        <f t="shared" si="25"/>
        <v>14824213</v>
      </c>
      <c r="Y78" s="308">
        <f t="shared" si="25"/>
        <v>18302911</v>
      </c>
      <c r="AB78" s="601"/>
    </row>
    <row r="79" spans="1:28" s="588" customFormat="1" ht="15.75" customHeight="1">
      <c r="A79" s="589"/>
      <c r="B79" s="607" t="s">
        <v>146</v>
      </c>
      <c r="C79" s="308"/>
      <c r="D79" s="308"/>
      <c r="E79" s="348"/>
      <c r="F79" s="308"/>
      <c r="G79" s="34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AB79" s="601"/>
    </row>
    <row r="80" spans="1:28" s="588" customFormat="1" ht="15.75" customHeight="1">
      <c r="A80" s="600">
        <f>A78+10</f>
        <v>630</v>
      </c>
      <c r="B80" s="306" t="s">
        <v>119</v>
      </c>
      <c r="C80" s="306">
        <f t="shared" ref="C80:C92" si="26">SUM(J80:Y80)-L80-P80-Q80</f>
        <v>2395810747</v>
      </c>
      <c r="D80" s="306">
        <f>D9+D17+D26+D34+D42+D50+D58+D67</f>
        <v>2395810747</v>
      </c>
      <c r="E80" s="349">
        <f>IFERROR(((D9*E9)/D80)+((D17*E17)/D80)+((D26*E26)/D80)+((D34*E34)/D80)+((D42*E42)/D80)+((D50*E50)/D80)+((D58*E58)/D80)+((D67*E67)/D80),0)</f>
        <v>0.17641769636051324</v>
      </c>
      <c r="F80" s="306">
        <f>F9+F17+F26+F34+F42+F50+F58+F67</f>
        <v>0</v>
      </c>
      <c r="G80" s="349">
        <f>IFERROR(((F9*G9)/F80)+((F17*G17)/F80)+((F26*G26)/F80)+((F34*G34)/F80)+((F42*G42)/F80)+((F50*G50)/F80)+((F58*G58)/F80)+((F67*G67)/F80),0)</f>
        <v>0</v>
      </c>
      <c r="H80" s="306">
        <f t="shared" ref="H80:Y83" si="27">H9+H17+H26+H34+H42+H50+H58+H67</f>
        <v>2384564579</v>
      </c>
      <c r="I80" s="306">
        <f t="shared" si="27"/>
        <v>11246168</v>
      </c>
      <c r="J80" s="306">
        <f t="shared" si="27"/>
        <v>76582</v>
      </c>
      <c r="K80" s="306">
        <f t="shared" si="27"/>
        <v>0</v>
      </c>
      <c r="L80" s="306">
        <f t="shared" si="27"/>
        <v>0</v>
      </c>
      <c r="M80" s="306">
        <f t="shared" si="27"/>
        <v>171797655</v>
      </c>
      <c r="N80" s="306">
        <f t="shared" si="27"/>
        <v>0</v>
      </c>
      <c r="O80" s="306">
        <f t="shared" si="27"/>
        <v>311333066</v>
      </c>
      <c r="P80" s="306">
        <f t="shared" si="27"/>
        <v>310051101</v>
      </c>
      <c r="Q80" s="306">
        <f t="shared" si="27"/>
        <v>1281965</v>
      </c>
      <c r="R80" s="306">
        <f t="shared" si="27"/>
        <v>0</v>
      </c>
      <c r="S80" s="306">
        <f t="shared" si="27"/>
        <v>0</v>
      </c>
      <c r="T80" s="306">
        <f t="shared" si="27"/>
        <v>0</v>
      </c>
      <c r="U80" s="306">
        <f t="shared" si="27"/>
        <v>0</v>
      </c>
      <c r="V80" s="306">
        <f t="shared" si="27"/>
        <v>754421596</v>
      </c>
      <c r="W80" s="306">
        <f t="shared" si="27"/>
        <v>1143311417</v>
      </c>
      <c r="X80" s="306">
        <f t="shared" si="27"/>
        <v>14824213</v>
      </c>
      <c r="Y80" s="306">
        <f t="shared" si="27"/>
        <v>46218</v>
      </c>
      <c r="AB80" s="601"/>
    </row>
    <row r="81" spans="1:28" s="588" customFormat="1" ht="15.75" customHeight="1">
      <c r="A81" s="600">
        <f t="shared" si="24"/>
        <v>640</v>
      </c>
      <c r="B81" s="306" t="s">
        <v>120</v>
      </c>
      <c r="C81" s="306">
        <f t="shared" si="26"/>
        <v>207833727</v>
      </c>
      <c r="D81" s="306">
        <f>D10+D18+D27+D35+D43+D51+D59+D68</f>
        <v>103064527</v>
      </c>
      <c r="E81" s="349">
        <f>IFERROR(((D10*E10)/D81)+((D18*E18)/D81)+((D27*E27)/D81)+((D35*E35)/D81)+((D43*E43)/D81)+((D51*E51)/D81)+((D59*E59)/D81)+((D68*E68)/D81),0)</f>
        <v>0.10107894111335135</v>
      </c>
      <c r="F81" s="306">
        <f>F10+F18+F27+F35+F43+F51+F59+F68</f>
        <v>104769200</v>
      </c>
      <c r="G81" s="349">
        <f>IFERROR(((F10*G10)/F81)+((F18*G18)/F81)+((F27*G27)/F81)+((F35*G35)/F81)+((F43*G43)/F81)+((F51*G51)/F81)+((F59*G59)/F81)+((F68*G68)/F81),0)</f>
        <v>0.06</v>
      </c>
      <c r="H81" s="306">
        <f t="shared" si="27"/>
        <v>202795524</v>
      </c>
      <c r="I81" s="306">
        <f t="shared" si="27"/>
        <v>5038203</v>
      </c>
      <c r="J81" s="306">
        <f t="shared" si="27"/>
        <v>0</v>
      </c>
      <c r="K81" s="306">
        <f t="shared" si="27"/>
        <v>0</v>
      </c>
      <c r="L81" s="306">
        <f t="shared" si="27"/>
        <v>0</v>
      </c>
      <c r="M81" s="306">
        <f t="shared" si="27"/>
        <v>629972</v>
      </c>
      <c r="N81" s="306">
        <f t="shared" si="27"/>
        <v>0</v>
      </c>
      <c r="O81" s="306">
        <f t="shared" si="27"/>
        <v>12956417</v>
      </c>
      <c r="P81" s="306">
        <f t="shared" si="27"/>
        <v>0</v>
      </c>
      <c r="Q81" s="306">
        <f t="shared" si="27"/>
        <v>12956417</v>
      </c>
      <c r="R81" s="306">
        <f t="shared" si="27"/>
        <v>9900000</v>
      </c>
      <c r="S81" s="306">
        <f t="shared" si="27"/>
        <v>0</v>
      </c>
      <c r="T81" s="306">
        <f t="shared" si="27"/>
        <v>0</v>
      </c>
      <c r="U81" s="306">
        <f t="shared" si="27"/>
        <v>0</v>
      </c>
      <c r="V81" s="306">
        <f t="shared" si="27"/>
        <v>69569462</v>
      </c>
      <c r="W81" s="306">
        <f t="shared" si="27"/>
        <v>7508676</v>
      </c>
      <c r="X81" s="306">
        <f t="shared" si="27"/>
        <v>0</v>
      </c>
      <c r="Y81" s="306">
        <f t="shared" si="27"/>
        <v>107269200</v>
      </c>
      <c r="AB81" s="601"/>
    </row>
    <row r="82" spans="1:28" s="588" customFormat="1" ht="15.75" customHeight="1">
      <c r="A82" s="603">
        <f t="shared" si="24"/>
        <v>650</v>
      </c>
      <c r="B82" s="604" t="s">
        <v>121</v>
      </c>
      <c r="C82" s="306">
        <f t="shared" si="26"/>
        <v>233817919</v>
      </c>
      <c r="D82" s="306">
        <f>D11+D19+D28+D36+D44+D52+D60+D69</f>
        <v>125057252</v>
      </c>
      <c r="E82" s="349">
        <f>IFERROR(((D11*E11)/D82)+((D19*E19)/D82)+((D28*E28)/D82)+((D36*E36)/D82)+((D44*E44)/D82)+((D52*E52)/D82)+((D60*E60)/D82)+((D69*E69)/D82),0)</f>
        <v>0.20606035930550234</v>
      </c>
      <c r="F82" s="306">
        <f>F11+F19+F28+F36+F44+F52+F60+F69</f>
        <v>108760667</v>
      </c>
      <c r="G82" s="349">
        <f>IFERROR(((F11*G11)/F82)+((F19*G19)/F82)+((F28*G28)/F82)+((F36*G36)/F82)+((F44*G44)/F82)+((F52*G52)/F82)+((F60*G60)/F82)+((F69*G69)/F82),0)</f>
        <v>0.10408397311183996</v>
      </c>
      <c r="H82" s="306">
        <f t="shared" si="27"/>
        <v>233817919</v>
      </c>
      <c r="I82" s="306">
        <f t="shared" si="27"/>
        <v>0</v>
      </c>
      <c r="J82" s="306">
        <f t="shared" si="27"/>
        <v>0</v>
      </c>
      <c r="K82" s="306">
        <f t="shared" si="27"/>
        <v>0</v>
      </c>
      <c r="L82" s="306">
        <f t="shared" si="27"/>
        <v>0</v>
      </c>
      <c r="M82" s="306">
        <f t="shared" si="27"/>
        <v>5202546</v>
      </c>
      <c r="N82" s="306">
        <f t="shared" si="27"/>
        <v>0</v>
      </c>
      <c r="O82" s="306">
        <f t="shared" si="27"/>
        <v>190429294</v>
      </c>
      <c r="P82" s="306">
        <f t="shared" si="27"/>
        <v>0</v>
      </c>
      <c r="Q82" s="306">
        <f t="shared" si="27"/>
        <v>190429294</v>
      </c>
      <c r="R82" s="306">
        <f t="shared" si="27"/>
        <v>0</v>
      </c>
      <c r="S82" s="306">
        <f t="shared" si="27"/>
        <v>0</v>
      </c>
      <c r="T82" s="306">
        <f t="shared" si="27"/>
        <v>0</v>
      </c>
      <c r="U82" s="306">
        <f t="shared" si="27"/>
        <v>0</v>
      </c>
      <c r="V82" s="306">
        <f t="shared" si="27"/>
        <v>9843138</v>
      </c>
      <c r="W82" s="306">
        <f t="shared" si="27"/>
        <v>28342941</v>
      </c>
      <c r="X82" s="306">
        <f t="shared" si="27"/>
        <v>0</v>
      </c>
      <c r="Y82" s="306">
        <f t="shared" si="27"/>
        <v>0</v>
      </c>
      <c r="AB82" s="601"/>
    </row>
    <row r="83" spans="1:28" s="588" customFormat="1" ht="15.75" customHeight="1">
      <c r="A83" s="603">
        <f t="shared" si="24"/>
        <v>660</v>
      </c>
      <c r="B83" s="604" t="s">
        <v>122</v>
      </c>
      <c r="C83" s="306">
        <f t="shared" si="26"/>
        <v>5506977228</v>
      </c>
      <c r="D83" s="306">
        <f>D12+D20+D29+D37+D45+D53+D61+D70</f>
        <v>2826548230</v>
      </c>
      <c r="E83" s="349">
        <f>IFERROR(((D12*E12)/D83)+((D20*E20)/D83)+((D29*E29)/D83)+((D37*E37)/D83)+((D45*E45)/D83)+((D53*E53)/D83)+((D61*E61)/D83)+((D70*E70)/D83),0)</f>
        <v>0.17858421666707497</v>
      </c>
      <c r="F83" s="306">
        <f>F12+F20+F29+F37+F45+F53+F61+F70</f>
        <v>2680428998</v>
      </c>
      <c r="G83" s="349">
        <f>IFERROR(((F12*G12)/F83)+((F20*G20)/F83)+((F29*G29)/F83)+((F37*G37)/F83)+((F45*G45)/F83)+((F53*G53)/F83)+((F61*G61)/F83)+((F70*G70)/F83),0)</f>
        <v>9.5914273149721313E-2</v>
      </c>
      <c r="H83" s="306">
        <f t="shared" si="27"/>
        <v>5357469560</v>
      </c>
      <c r="I83" s="306">
        <f t="shared" si="27"/>
        <v>149507668</v>
      </c>
      <c r="J83" s="306">
        <f t="shared" si="27"/>
        <v>1655635</v>
      </c>
      <c r="K83" s="306">
        <f t="shared" si="27"/>
        <v>0</v>
      </c>
      <c r="L83" s="306">
        <f t="shared" si="27"/>
        <v>0</v>
      </c>
      <c r="M83" s="306">
        <f t="shared" si="27"/>
        <v>466863501</v>
      </c>
      <c r="N83" s="306">
        <f t="shared" si="27"/>
        <v>0</v>
      </c>
      <c r="O83" s="306">
        <f t="shared" si="27"/>
        <v>3663370122</v>
      </c>
      <c r="P83" s="306">
        <f t="shared" si="27"/>
        <v>366667</v>
      </c>
      <c r="Q83" s="306">
        <f t="shared" si="27"/>
        <v>3663003455</v>
      </c>
      <c r="R83" s="306">
        <f t="shared" si="27"/>
        <v>32946150</v>
      </c>
      <c r="S83" s="306">
        <f t="shared" si="27"/>
        <v>0</v>
      </c>
      <c r="T83" s="306">
        <f t="shared" si="27"/>
        <v>0</v>
      </c>
      <c r="U83" s="306">
        <f t="shared" si="27"/>
        <v>0</v>
      </c>
      <c r="V83" s="306">
        <f t="shared" si="27"/>
        <v>250777413</v>
      </c>
      <c r="W83" s="306">
        <f t="shared" si="27"/>
        <v>1065694873</v>
      </c>
      <c r="X83" s="306">
        <f t="shared" si="27"/>
        <v>9365533</v>
      </c>
      <c r="Y83" s="306">
        <f t="shared" si="27"/>
        <v>16304001</v>
      </c>
      <c r="AB83" s="601"/>
    </row>
    <row r="84" spans="1:28" s="588" customFormat="1" ht="15.75" customHeight="1">
      <c r="A84" s="603">
        <f t="shared" si="24"/>
        <v>670</v>
      </c>
      <c r="B84" s="604" t="s">
        <v>127</v>
      </c>
      <c r="C84" s="306">
        <f t="shared" si="26"/>
        <v>153457167</v>
      </c>
      <c r="D84" s="306">
        <f>D21</f>
        <v>126122456</v>
      </c>
      <c r="E84" s="349">
        <f>IFERROR(E21,0)</f>
        <v>0.18882058945486599</v>
      </c>
      <c r="F84" s="306">
        <f>F21</f>
        <v>27334711</v>
      </c>
      <c r="G84" s="349">
        <f>IFERROR(G21,0)</f>
        <v>6.2484242050630474E-2</v>
      </c>
      <c r="H84" s="306">
        <f>H21</f>
        <v>150414802</v>
      </c>
      <c r="I84" s="306">
        <f>I21</f>
        <v>3042365</v>
      </c>
      <c r="J84" s="306">
        <f>J21</f>
        <v>131000</v>
      </c>
      <c r="K84" s="306">
        <f t="shared" ref="K84:X84" si="28">K21</f>
        <v>0</v>
      </c>
      <c r="L84" s="306">
        <f>L21</f>
        <v>0</v>
      </c>
      <c r="M84" s="306">
        <f t="shared" si="28"/>
        <v>21241525</v>
      </c>
      <c r="N84" s="306">
        <f t="shared" si="28"/>
        <v>0</v>
      </c>
      <c r="O84" s="306">
        <f t="shared" si="28"/>
        <v>128231217</v>
      </c>
      <c r="P84" s="306">
        <f t="shared" si="28"/>
        <v>200000</v>
      </c>
      <c r="Q84" s="306">
        <f t="shared" si="28"/>
        <v>128031217</v>
      </c>
      <c r="R84" s="306">
        <f t="shared" si="28"/>
        <v>26285</v>
      </c>
      <c r="S84" s="306">
        <f t="shared" si="28"/>
        <v>0</v>
      </c>
      <c r="T84" s="306">
        <f t="shared" si="28"/>
        <v>0</v>
      </c>
      <c r="U84" s="306">
        <f t="shared" si="28"/>
        <v>0</v>
      </c>
      <c r="V84" s="306">
        <f t="shared" si="28"/>
        <v>2550294</v>
      </c>
      <c r="W84" s="306">
        <f t="shared" si="28"/>
        <v>1214521</v>
      </c>
      <c r="X84" s="306">
        <f t="shared" si="28"/>
        <v>62325</v>
      </c>
      <c r="Y84" s="306">
        <f>Y21</f>
        <v>0</v>
      </c>
      <c r="AB84" s="601"/>
    </row>
    <row r="85" spans="1:28" s="588" customFormat="1" ht="15.75" customHeight="1">
      <c r="A85" s="603">
        <f t="shared" si="24"/>
        <v>680</v>
      </c>
      <c r="B85" s="604" t="s">
        <v>141</v>
      </c>
      <c r="C85" s="306">
        <f t="shared" si="26"/>
        <v>0</v>
      </c>
      <c r="D85" s="306">
        <f t="shared" ref="D85:J85" si="29">D72</f>
        <v>0</v>
      </c>
      <c r="E85" s="349">
        <f t="shared" si="29"/>
        <v>0</v>
      </c>
      <c r="F85" s="306">
        <f t="shared" si="29"/>
        <v>0</v>
      </c>
      <c r="G85" s="349">
        <f t="shared" si="29"/>
        <v>0</v>
      </c>
      <c r="H85" s="306">
        <f t="shared" si="29"/>
        <v>0</v>
      </c>
      <c r="I85" s="306">
        <f t="shared" si="29"/>
        <v>0</v>
      </c>
      <c r="J85" s="306">
        <f t="shared" si="29"/>
        <v>0</v>
      </c>
      <c r="K85" s="306">
        <f t="shared" ref="K85:X85" si="30">K72</f>
        <v>0</v>
      </c>
      <c r="L85" s="306">
        <f>L72</f>
        <v>0</v>
      </c>
      <c r="M85" s="306">
        <f t="shared" si="30"/>
        <v>0</v>
      </c>
      <c r="N85" s="306">
        <f t="shared" si="30"/>
        <v>0</v>
      </c>
      <c r="O85" s="306">
        <f t="shared" si="30"/>
        <v>0</v>
      </c>
      <c r="P85" s="306">
        <f t="shared" si="30"/>
        <v>0</v>
      </c>
      <c r="Q85" s="306">
        <f t="shared" si="30"/>
        <v>0</v>
      </c>
      <c r="R85" s="306">
        <f t="shared" si="30"/>
        <v>0</v>
      </c>
      <c r="S85" s="306">
        <f t="shared" si="30"/>
        <v>0</v>
      </c>
      <c r="T85" s="306">
        <f t="shared" si="30"/>
        <v>0</v>
      </c>
      <c r="U85" s="306">
        <f t="shared" si="30"/>
        <v>0</v>
      </c>
      <c r="V85" s="306">
        <f t="shared" si="30"/>
        <v>0</v>
      </c>
      <c r="W85" s="306">
        <f t="shared" si="30"/>
        <v>0</v>
      </c>
      <c r="X85" s="306">
        <f t="shared" si="30"/>
        <v>0</v>
      </c>
      <c r="Y85" s="306">
        <f>Y72</f>
        <v>0</v>
      </c>
      <c r="AB85" s="601"/>
    </row>
    <row r="86" spans="1:28" s="588" customFormat="1" ht="15.75" customHeight="1">
      <c r="A86" s="603">
        <f t="shared" si="24"/>
        <v>690</v>
      </c>
      <c r="B86" s="604" t="s">
        <v>140</v>
      </c>
      <c r="C86" s="306">
        <f t="shared" si="26"/>
        <v>0</v>
      </c>
      <c r="D86" s="306">
        <f t="shared" ref="D86:J86" si="31">D71</f>
        <v>0</v>
      </c>
      <c r="E86" s="349">
        <f t="shared" si="31"/>
        <v>0</v>
      </c>
      <c r="F86" s="306">
        <f t="shared" si="31"/>
        <v>0</v>
      </c>
      <c r="G86" s="349">
        <f t="shared" si="31"/>
        <v>0</v>
      </c>
      <c r="H86" s="306">
        <f t="shared" si="31"/>
        <v>0</v>
      </c>
      <c r="I86" s="306">
        <f t="shared" si="31"/>
        <v>0</v>
      </c>
      <c r="J86" s="306">
        <f t="shared" si="31"/>
        <v>0</v>
      </c>
      <c r="K86" s="306">
        <f t="shared" ref="K86:Y86" si="32">K71</f>
        <v>0</v>
      </c>
      <c r="L86" s="306">
        <f>L71</f>
        <v>0</v>
      </c>
      <c r="M86" s="306">
        <f t="shared" si="32"/>
        <v>0</v>
      </c>
      <c r="N86" s="306">
        <f t="shared" si="32"/>
        <v>0</v>
      </c>
      <c r="O86" s="306">
        <f t="shared" si="32"/>
        <v>0</v>
      </c>
      <c r="P86" s="306">
        <f t="shared" si="32"/>
        <v>0</v>
      </c>
      <c r="Q86" s="306">
        <f t="shared" si="32"/>
        <v>0</v>
      </c>
      <c r="R86" s="306">
        <f t="shared" si="32"/>
        <v>0</v>
      </c>
      <c r="S86" s="306">
        <f t="shared" si="32"/>
        <v>0</v>
      </c>
      <c r="T86" s="306">
        <f t="shared" si="32"/>
        <v>0</v>
      </c>
      <c r="U86" s="306">
        <f t="shared" si="32"/>
        <v>0</v>
      </c>
      <c r="V86" s="306">
        <f t="shared" si="32"/>
        <v>0</v>
      </c>
      <c r="W86" s="306">
        <f t="shared" si="32"/>
        <v>0</v>
      </c>
      <c r="X86" s="306">
        <f t="shared" si="32"/>
        <v>0</v>
      </c>
      <c r="Y86" s="306">
        <f t="shared" si="32"/>
        <v>0</v>
      </c>
      <c r="AB86" s="601"/>
    </row>
    <row r="87" spans="1:28" s="588" customFormat="1" ht="15.75" customHeight="1">
      <c r="A87" s="603">
        <f t="shared" si="24"/>
        <v>700</v>
      </c>
      <c r="B87" s="604" t="s">
        <v>123</v>
      </c>
      <c r="C87" s="306">
        <f t="shared" si="26"/>
        <v>0</v>
      </c>
      <c r="D87" s="306">
        <f>D13+D22+D30+D38+D46+D54+D62+D73</f>
        <v>0</v>
      </c>
      <c r="E87" s="349">
        <f>IFERROR(((D13*E13)/D87)+((D22*E22)/D87)+((D30*E30)/D87)+((D38*E38)/D87)+((D46*E46)/D87)+((D54*E54)/D87)+((D62*E62)/D87)+((D73*E73)/D87),0)</f>
        <v>0</v>
      </c>
      <c r="F87" s="306">
        <f>F13+F22+F30+F38+F46+F54+F62+F73</f>
        <v>0</v>
      </c>
      <c r="G87" s="349">
        <f>IFERROR(((F13*G13)/F87)+((F22*G22)/F87)+((F30*G30)/F87)+((F38*G38)/F87)+((F46*G46)/F87)+((F54*G54)/F87)+((F62*G62)/F87)+((F73*G73)/F87),0)</f>
        <v>0</v>
      </c>
      <c r="H87" s="306">
        <f t="shared" ref="H87:Y87" si="33">H13+H22+H30+H38+H46+H54+H62+H73</f>
        <v>0</v>
      </c>
      <c r="I87" s="306">
        <f t="shared" si="33"/>
        <v>0</v>
      </c>
      <c r="J87" s="306">
        <f t="shared" si="33"/>
        <v>0</v>
      </c>
      <c r="K87" s="306">
        <f t="shared" si="33"/>
        <v>0</v>
      </c>
      <c r="L87" s="306">
        <f t="shared" si="33"/>
        <v>0</v>
      </c>
      <c r="M87" s="306">
        <f t="shared" si="33"/>
        <v>0</v>
      </c>
      <c r="N87" s="306">
        <f t="shared" si="33"/>
        <v>0</v>
      </c>
      <c r="O87" s="306">
        <f t="shared" si="33"/>
        <v>0</v>
      </c>
      <c r="P87" s="306">
        <f t="shared" si="33"/>
        <v>0</v>
      </c>
      <c r="Q87" s="306">
        <f t="shared" si="33"/>
        <v>0</v>
      </c>
      <c r="R87" s="306">
        <f t="shared" si="33"/>
        <v>0</v>
      </c>
      <c r="S87" s="306">
        <f t="shared" si="33"/>
        <v>0</v>
      </c>
      <c r="T87" s="306">
        <f t="shared" si="33"/>
        <v>0</v>
      </c>
      <c r="U87" s="306">
        <f t="shared" si="33"/>
        <v>0</v>
      </c>
      <c r="V87" s="306">
        <f t="shared" si="33"/>
        <v>0</v>
      </c>
      <c r="W87" s="306">
        <f t="shared" si="33"/>
        <v>0</v>
      </c>
      <c r="X87" s="306">
        <f t="shared" si="33"/>
        <v>0</v>
      </c>
      <c r="Y87" s="306">
        <f t="shared" si="33"/>
        <v>0</v>
      </c>
      <c r="AB87" s="601"/>
    </row>
    <row r="88" spans="1:28" s="588" customFormat="1" ht="15.75" customHeight="1">
      <c r="A88" s="603">
        <f t="shared" si="24"/>
        <v>710</v>
      </c>
      <c r="B88" s="604" t="s">
        <v>142</v>
      </c>
      <c r="C88" s="306">
        <f t="shared" si="26"/>
        <v>0</v>
      </c>
      <c r="D88" s="306">
        <f t="shared" ref="D88:I90" si="34">D74</f>
        <v>0</v>
      </c>
      <c r="E88" s="349">
        <f t="shared" si="34"/>
        <v>0</v>
      </c>
      <c r="F88" s="306">
        <f t="shared" si="34"/>
        <v>0</v>
      </c>
      <c r="G88" s="349">
        <f t="shared" si="34"/>
        <v>0</v>
      </c>
      <c r="H88" s="306">
        <f t="shared" si="34"/>
        <v>0</v>
      </c>
      <c r="I88" s="306">
        <f t="shared" si="34"/>
        <v>0</v>
      </c>
      <c r="J88" s="306">
        <f>J74</f>
        <v>0</v>
      </c>
      <c r="K88" s="306">
        <f t="shared" ref="K88:Y90" si="35">K74</f>
        <v>0</v>
      </c>
      <c r="L88" s="306">
        <f>L74</f>
        <v>0</v>
      </c>
      <c r="M88" s="306">
        <f t="shared" si="35"/>
        <v>0</v>
      </c>
      <c r="N88" s="306">
        <f t="shared" si="35"/>
        <v>0</v>
      </c>
      <c r="O88" s="306">
        <f t="shared" si="35"/>
        <v>0</v>
      </c>
      <c r="P88" s="306">
        <f t="shared" si="35"/>
        <v>0</v>
      </c>
      <c r="Q88" s="306">
        <f t="shared" si="35"/>
        <v>0</v>
      </c>
      <c r="R88" s="306">
        <f t="shared" si="35"/>
        <v>0</v>
      </c>
      <c r="S88" s="306">
        <f t="shared" si="35"/>
        <v>0</v>
      </c>
      <c r="T88" s="306">
        <f t="shared" si="35"/>
        <v>0</v>
      </c>
      <c r="U88" s="306">
        <f t="shared" si="35"/>
        <v>0</v>
      </c>
      <c r="V88" s="306">
        <f t="shared" si="35"/>
        <v>0</v>
      </c>
      <c r="W88" s="306">
        <f t="shared" si="35"/>
        <v>0</v>
      </c>
      <c r="X88" s="306">
        <f t="shared" si="35"/>
        <v>0</v>
      </c>
      <c r="Y88" s="306">
        <f t="shared" si="35"/>
        <v>0</v>
      </c>
      <c r="AB88" s="601"/>
    </row>
    <row r="89" spans="1:28" s="588" customFormat="1" ht="15.75" customHeight="1">
      <c r="A89" s="603">
        <f t="shared" si="24"/>
        <v>720</v>
      </c>
      <c r="B89" s="604" t="s">
        <v>143</v>
      </c>
      <c r="C89" s="306">
        <f>SUM(J89:Y89)-L89-P89-Q89</f>
        <v>41726791</v>
      </c>
      <c r="D89" s="306">
        <f>+D63+D75</f>
        <v>41726791</v>
      </c>
      <c r="E89" s="349">
        <f>IFERROR(((D75*E75)/D78)+((D63*E63)/D65),0)</f>
        <v>5.4150303076841599E-2</v>
      </c>
      <c r="F89" s="306">
        <f>+F63+F75</f>
        <v>0</v>
      </c>
      <c r="G89" s="349">
        <f>IFERROR(((F75*G75)/F78)+((F63*G63)/F65),0)</f>
        <v>0</v>
      </c>
      <c r="H89" s="306">
        <f t="shared" ref="H89:Y89" si="36">+H63+H75</f>
        <v>4593417</v>
      </c>
      <c r="I89" s="306">
        <f t="shared" si="36"/>
        <v>37133374</v>
      </c>
      <c r="J89" s="306">
        <f t="shared" si="36"/>
        <v>0</v>
      </c>
      <c r="K89" s="306">
        <f t="shared" si="36"/>
        <v>0</v>
      </c>
      <c r="L89" s="306">
        <f t="shared" si="36"/>
        <v>0</v>
      </c>
      <c r="M89" s="306">
        <f t="shared" si="36"/>
        <v>400003</v>
      </c>
      <c r="N89" s="306">
        <f t="shared" si="36"/>
        <v>0</v>
      </c>
      <c r="O89" s="306">
        <f t="shared" si="36"/>
        <v>621544</v>
      </c>
      <c r="P89" s="306">
        <f t="shared" si="36"/>
        <v>0</v>
      </c>
      <c r="Q89" s="306">
        <f t="shared" si="36"/>
        <v>621544</v>
      </c>
      <c r="R89" s="306">
        <f t="shared" si="36"/>
        <v>0</v>
      </c>
      <c r="S89" s="306">
        <f t="shared" si="36"/>
        <v>0</v>
      </c>
      <c r="T89" s="306">
        <f t="shared" si="36"/>
        <v>0</v>
      </c>
      <c r="U89" s="306">
        <f t="shared" si="36"/>
        <v>0</v>
      </c>
      <c r="V89" s="306">
        <f t="shared" si="36"/>
        <v>11960671</v>
      </c>
      <c r="W89" s="306">
        <f t="shared" si="36"/>
        <v>28744573</v>
      </c>
      <c r="X89" s="306">
        <f t="shared" si="36"/>
        <v>0</v>
      </c>
      <c r="Y89" s="306">
        <f t="shared" si="36"/>
        <v>0</v>
      </c>
      <c r="AB89" s="601"/>
    </row>
    <row r="90" spans="1:28" s="588" customFormat="1" ht="15.75" customHeight="1">
      <c r="A90" s="603">
        <f t="shared" si="24"/>
        <v>730</v>
      </c>
      <c r="B90" s="604" t="s">
        <v>144</v>
      </c>
      <c r="C90" s="306">
        <f t="shared" si="26"/>
        <v>0</v>
      </c>
      <c r="D90" s="306">
        <f>D76</f>
        <v>0</v>
      </c>
      <c r="E90" s="349">
        <f t="shared" si="34"/>
        <v>0</v>
      </c>
      <c r="F90" s="306">
        <f>F76</f>
        <v>0</v>
      </c>
      <c r="G90" s="349">
        <f t="shared" si="34"/>
        <v>0</v>
      </c>
      <c r="H90" s="306">
        <f t="shared" si="34"/>
        <v>0</v>
      </c>
      <c r="I90" s="306">
        <f t="shared" si="34"/>
        <v>0</v>
      </c>
      <c r="J90" s="306">
        <f>J76</f>
        <v>0</v>
      </c>
      <c r="K90" s="306">
        <f t="shared" si="35"/>
        <v>0</v>
      </c>
      <c r="L90" s="306">
        <f>L76</f>
        <v>0</v>
      </c>
      <c r="M90" s="306">
        <f t="shared" si="35"/>
        <v>0</v>
      </c>
      <c r="N90" s="306">
        <f t="shared" si="35"/>
        <v>0</v>
      </c>
      <c r="O90" s="306">
        <f t="shared" si="35"/>
        <v>0</v>
      </c>
      <c r="P90" s="306">
        <f t="shared" si="35"/>
        <v>0</v>
      </c>
      <c r="Q90" s="306">
        <f t="shared" si="35"/>
        <v>0</v>
      </c>
      <c r="R90" s="306">
        <f t="shared" si="35"/>
        <v>0</v>
      </c>
      <c r="S90" s="306">
        <f t="shared" si="35"/>
        <v>0</v>
      </c>
      <c r="T90" s="306">
        <f t="shared" si="35"/>
        <v>0</v>
      </c>
      <c r="U90" s="306">
        <f t="shared" si="35"/>
        <v>0</v>
      </c>
      <c r="V90" s="306">
        <f t="shared" si="35"/>
        <v>0</v>
      </c>
      <c r="W90" s="306">
        <f t="shared" si="35"/>
        <v>0</v>
      </c>
      <c r="X90" s="306">
        <f t="shared" si="35"/>
        <v>0</v>
      </c>
      <c r="Y90" s="306">
        <f t="shared" si="35"/>
        <v>0</v>
      </c>
      <c r="AB90" s="601"/>
    </row>
    <row r="91" spans="1:28" s="588" customFormat="1" ht="15.75" customHeight="1">
      <c r="A91" s="603">
        <f>A90+10</f>
        <v>740</v>
      </c>
      <c r="B91" s="604" t="s">
        <v>124</v>
      </c>
      <c r="C91" s="306">
        <f t="shared" si="26"/>
        <v>174977</v>
      </c>
      <c r="D91" s="306">
        <f>D14+D23+D31+D39+D47+D55+D64+D77</f>
        <v>174977</v>
      </c>
      <c r="E91" s="349">
        <f>IFERROR(((D14*E14)/D91)+((D23*E23)/D91)+((D31*E31)/D91)+((D39*E39)/D91)+((D47*E47)/D91)+((D55*E55)/D91)+((D64*E64)/D91)+((D77*E77)/D91),0)</f>
        <v>0.28000000000000003</v>
      </c>
      <c r="F91" s="306">
        <f>F14+F23+F31+F39+F47+F55+F64+F77</f>
        <v>0</v>
      </c>
      <c r="G91" s="349">
        <f>IFERROR(((F14*G14)/F91)+((F23*G23)/F91)+((F31*G31)/F91)+((F39*G39)/F91)+((F47*G47)/F91)+((F55*G55)/F91)+((F64*G64)/F91)+((F77*G77)/F91),0)</f>
        <v>0</v>
      </c>
      <c r="H91" s="306">
        <f t="shared" ref="H91:Y91" si="37">H14+H23+H31+H39+H47+H55+H64+H77</f>
        <v>174977</v>
      </c>
      <c r="I91" s="306">
        <f t="shared" si="37"/>
        <v>0</v>
      </c>
      <c r="J91" s="306">
        <f t="shared" si="37"/>
        <v>0</v>
      </c>
      <c r="K91" s="306">
        <f t="shared" si="37"/>
        <v>0</v>
      </c>
      <c r="L91" s="306">
        <f t="shared" si="37"/>
        <v>0</v>
      </c>
      <c r="M91" s="306">
        <f t="shared" si="37"/>
        <v>0</v>
      </c>
      <c r="N91" s="306">
        <f t="shared" si="37"/>
        <v>0</v>
      </c>
      <c r="O91" s="306">
        <f t="shared" si="37"/>
        <v>174977</v>
      </c>
      <c r="P91" s="306">
        <f t="shared" si="37"/>
        <v>0</v>
      </c>
      <c r="Q91" s="306">
        <f t="shared" si="37"/>
        <v>174977</v>
      </c>
      <c r="R91" s="306">
        <f t="shared" si="37"/>
        <v>0</v>
      </c>
      <c r="S91" s="306">
        <f t="shared" si="37"/>
        <v>0</v>
      </c>
      <c r="T91" s="306">
        <f t="shared" si="37"/>
        <v>0</v>
      </c>
      <c r="U91" s="306">
        <f t="shared" si="37"/>
        <v>0</v>
      </c>
      <c r="V91" s="306">
        <f t="shared" si="37"/>
        <v>0</v>
      </c>
      <c r="W91" s="306">
        <f t="shared" si="37"/>
        <v>0</v>
      </c>
      <c r="X91" s="306">
        <f t="shared" si="37"/>
        <v>0</v>
      </c>
      <c r="Y91" s="306">
        <f t="shared" si="37"/>
        <v>0</v>
      </c>
      <c r="AB91" s="601"/>
    </row>
    <row r="92" spans="1:28" s="588" customFormat="1" ht="15.75" customHeight="1">
      <c r="A92" s="589">
        <f t="shared" si="24"/>
        <v>750</v>
      </c>
      <c r="B92" s="607" t="s">
        <v>147</v>
      </c>
      <c r="C92" s="308">
        <f t="shared" si="26"/>
        <v>8539798556</v>
      </c>
      <c r="D92" s="308">
        <f>SUM(D80:D91)</f>
        <v>5618504980</v>
      </c>
      <c r="E92" s="348">
        <f>IFERROR(((D80*E80)/D92)+((D81*E81)/D92)+((D82*E82)/D92)+((D83*E83)/D92)+((D84*E84)/D92)+((D85*E85)/D92)+((D86*E86)/D92)+((D87*E87)/D92)+((D88*E88)/D92)+((D89*E89)/D92)+((D90*E90)/D92)+((D91*E91)/D92),0)</f>
        <v>0.17615902128979408</v>
      </c>
      <c r="F92" s="308">
        <f>SUM(F80:F91)</f>
        <v>2921293576</v>
      </c>
      <c r="G92" s="348">
        <f>IFERROR(((F80*G80)/F92)+((F81*G81)/F92)+((F82*G82)/F92)+((F83*G83)/F92)+((F84*G84)/F92)+((F85*G85)/F92)+((F86*G86)/F92)+((F87*G87)/F92)+((F88*G88)/F92)+((F89*G89)/F92)+((F90*G90)/F92)+((F91*G91)/F92),0)</f>
        <v>9.4617598306993164E-2</v>
      </c>
      <c r="H92" s="308">
        <f t="shared" ref="H92:Y92" si="38">SUM(H80:H91)</f>
        <v>8333830778</v>
      </c>
      <c r="I92" s="308">
        <f t="shared" si="38"/>
        <v>205967778</v>
      </c>
      <c r="J92" s="308">
        <f t="shared" si="38"/>
        <v>1863217</v>
      </c>
      <c r="K92" s="308">
        <f t="shared" si="38"/>
        <v>0</v>
      </c>
      <c r="L92" s="308">
        <f t="shared" si="38"/>
        <v>0</v>
      </c>
      <c r="M92" s="308">
        <f t="shared" si="38"/>
        <v>666135202</v>
      </c>
      <c r="N92" s="308">
        <f t="shared" si="38"/>
        <v>0</v>
      </c>
      <c r="O92" s="308">
        <f t="shared" si="38"/>
        <v>4307116637</v>
      </c>
      <c r="P92" s="308">
        <f t="shared" si="38"/>
        <v>310617768</v>
      </c>
      <c r="Q92" s="308">
        <f t="shared" si="38"/>
        <v>3996498869</v>
      </c>
      <c r="R92" s="308">
        <f t="shared" si="38"/>
        <v>42872435</v>
      </c>
      <c r="S92" s="308">
        <f t="shared" si="38"/>
        <v>0</v>
      </c>
      <c r="T92" s="308">
        <f t="shared" si="38"/>
        <v>0</v>
      </c>
      <c r="U92" s="308">
        <f t="shared" si="38"/>
        <v>0</v>
      </c>
      <c r="V92" s="308">
        <f t="shared" si="38"/>
        <v>1099122574</v>
      </c>
      <c r="W92" s="308">
        <f t="shared" si="38"/>
        <v>2274817001</v>
      </c>
      <c r="X92" s="308">
        <f t="shared" si="38"/>
        <v>24252071</v>
      </c>
      <c r="Y92" s="308">
        <f t="shared" si="38"/>
        <v>123619419</v>
      </c>
      <c r="AB92" s="601"/>
    </row>
    <row r="93" spans="1:28">
      <c r="A93" s="609"/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</row>
    <row r="94" spans="1:28">
      <c r="A94" s="609"/>
      <c r="B94" s="609"/>
      <c r="C94" s="609"/>
      <c r="D94" s="609"/>
      <c r="E94" s="609"/>
      <c r="F94" s="609"/>
      <c r="G94" s="609"/>
      <c r="H94" s="609"/>
      <c r="I94" s="609"/>
      <c r="J94" s="609"/>
      <c r="K94" s="609"/>
      <c r="L94" s="609"/>
      <c r="M94" s="609"/>
      <c r="N94" s="609"/>
      <c r="O94" s="609"/>
      <c r="P94" s="609"/>
      <c r="Q94" s="609"/>
      <c r="R94" s="609"/>
      <c r="S94" s="609"/>
      <c r="T94" s="609"/>
      <c r="U94" s="609"/>
      <c r="V94" s="609"/>
      <c r="W94" s="609"/>
      <c r="X94" s="609"/>
      <c r="Y94" s="609"/>
    </row>
    <row r="95" spans="1:28">
      <c r="B95" s="10" t="s">
        <v>0</v>
      </c>
      <c r="H95" s="610"/>
      <c r="I95" s="610"/>
      <c r="J95" s="609"/>
      <c r="K95" s="609"/>
      <c r="L95" s="609"/>
      <c r="M95" s="609"/>
      <c r="N95" s="609"/>
      <c r="O95" s="609"/>
      <c r="P95" s="609"/>
      <c r="Q95" s="609"/>
      <c r="R95" s="609"/>
      <c r="S95" s="609"/>
      <c r="T95" s="609"/>
      <c r="U95" s="609"/>
      <c r="V95" s="609"/>
      <c r="W95" s="609"/>
      <c r="X95" s="609"/>
      <c r="Y95" s="609"/>
    </row>
    <row r="96" spans="1:28">
      <c r="B96" s="10"/>
      <c r="C96" s="610"/>
      <c r="D96" s="610"/>
      <c r="E96" s="610"/>
      <c r="F96" s="610"/>
      <c r="G96" s="610"/>
      <c r="H96" s="610"/>
      <c r="I96" s="610"/>
      <c r="J96" s="609"/>
      <c r="K96" s="609"/>
      <c r="L96" s="609"/>
      <c r="M96" s="609"/>
      <c r="N96" s="609"/>
      <c r="O96" s="609"/>
      <c r="P96" s="609"/>
      <c r="Q96" s="609"/>
      <c r="R96" s="609"/>
      <c r="S96" s="609"/>
      <c r="T96" s="609"/>
      <c r="U96" s="609"/>
      <c r="V96" s="609"/>
      <c r="W96" s="609"/>
      <c r="X96" s="609"/>
      <c r="Y96" s="609"/>
    </row>
    <row r="97" spans="2:9">
      <c r="B97" s="10" t="s">
        <v>1</v>
      </c>
      <c r="C97" s="611"/>
      <c r="D97" s="612"/>
      <c r="E97" s="612"/>
      <c r="F97" s="612"/>
      <c r="G97" s="612"/>
      <c r="H97" s="612"/>
      <c r="I97" s="612"/>
    </row>
    <row r="98" spans="2:9">
      <c r="C98" s="611"/>
      <c r="D98" s="612"/>
      <c r="E98" s="612"/>
      <c r="F98" s="612"/>
      <c r="G98" s="612"/>
      <c r="H98" s="612"/>
      <c r="I98" s="612"/>
    </row>
    <row r="99" spans="2:9">
      <c r="C99" s="611">
        <f>+[8]Balance!$C$24</f>
        <v>8539798556</v>
      </c>
      <c r="D99" s="611"/>
      <c r="E99" s="611"/>
      <c r="F99" s="611"/>
      <c r="G99" s="611"/>
      <c r="H99" s="612"/>
      <c r="I99" s="612"/>
    </row>
    <row r="100" spans="2:9">
      <c r="C100" s="611">
        <f>+C92-C99</f>
        <v>0</v>
      </c>
      <c r="D100" s="612"/>
      <c r="E100" s="612"/>
      <c r="F100" s="612"/>
      <c r="G100" s="612"/>
      <c r="H100" s="612"/>
      <c r="I100" s="612"/>
    </row>
    <row r="101" spans="2:9">
      <c r="C101" s="611"/>
    </row>
    <row r="102" spans="2:9">
      <c r="C102" s="613"/>
    </row>
  </sheetData>
  <sheetProtection password="CACA" sheet="1" objects="1" scenarios="1"/>
  <mergeCells count="28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</mergeCells>
  <phoneticPr fontId="28" type="noConversion"/>
  <conditionalFormatting sqref="C92">
    <cfRule type="cellIs" dxfId="272" priority="333" stopIfTrue="1" operator="notEqual">
      <formula>H92+I92</formula>
    </cfRule>
    <cfRule type="cellIs" dxfId="271" priority="334" stopIfTrue="1" operator="notEqual">
      <formula>$C$99</formula>
    </cfRule>
  </conditionalFormatting>
  <conditionalFormatting sqref="C50:C55 C42:C47 C34:C39 C26:C31 C17:C23 C9:C14 C80:C91 C67:C77 C58:C64">
    <cfRule type="cellIs" dxfId="270" priority="163" operator="notEqual">
      <formula>D9+F9</formula>
    </cfRule>
    <cfRule type="cellIs" dxfId="269" priority="166" stopIfTrue="1" operator="notEqual">
      <formula>H9+$I9</formula>
    </cfRule>
  </conditionalFormatting>
  <conditionalFormatting sqref="C10:C14">
    <cfRule type="cellIs" dxfId="268" priority="164" operator="notEqual">
      <formula>H10+$I10</formula>
    </cfRule>
  </conditionalFormatting>
  <conditionalFormatting sqref="C9">
    <cfRule type="cellIs" dxfId="267" priority="18" operator="notEqual">
      <formula>D9+F9</formula>
    </cfRule>
    <cfRule type="cellIs" dxfId="266" priority="19" stopIfTrue="1" operator="notEqual">
      <formula>H9+$I9</formula>
    </cfRule>
  </conditionalFormatting>
  <conditionalFormatting sqref="C92">
    <cfRule type="cellIs" dxfId="265" priority="16" stopIfTrue="1" operator="notEqual">
      <formula>H92+I92</formula>
    </cfRule>
    <cfRule type="cellIs" dxfId="264" priority="17" stopIfTrue="1" operator="notEqual">
      <formula>C99</formula>
    </cfRule>
  </conditionalFormatting>
  <conditionalFormatting sqref="C50:C55 C42:C47 C34:C39 C26:C31 C17:C23 C9:C14 C80:C91 C67:C77 C58:C64">
    <cfRule type="cellIs" dxfId="263" priority="14" operator="notEqual">
      <formula>D9+F9</formula>
    </cfRule>
    <cfRule type="cellIs" dxfId="262" priority="15" stopIfTrue="1" operator="notEqual">
      <formula>H9+$I9</formula>
    </cfRule>
  </conditionalFormatting>
  <conditionalFormatting sqref="C10:C14">
    <cfRule type="cellIs" dxfId="261" priority="13" operator="notEqual">
      <formula>H10+$I10</formula>
    </cfRule>
  </conditionalFormatting>
  <conditionalFormatting sqref="D22:N23">
    <cfRule type="cellIs" dxfId="260" priority="11" operator="notEqual">
      <formula>E22+G22</formula>
    </cfRule>
    <cfRule type="cellIs" dxfId="259" priority="12" stopIfTrue="1" operator="notEqual">
      <formula>I22+$I22</formula>
    </cfRule>
  </conditionalFormatting>
  <conditionalFormatting sqref="D22:N23">
    <cfRule type="cellIs" dxfId="258" priority="9" operator="notEqual">
      <formula>E22+G22</formula>
    </cfRule>
    <cfRule type="cellIs" dxfId="257" priority="10" stopIfTrue="1" operator="notEqual">
      <formula>I22+$I22</formula>
    </cfRule>
  </conditionalFormatting>
  <conditionalFormatting sqref="P22:Y23">
    <cfRule type="cellIs" dxfId="256" priority="7" operator="notEqual">
      <formula>Q22+S22</formula>
    </cfRule>
    <cfRule type="cellIs" dxfId="255" priority="8" stopIfTrue="1" operator="notEqual">
      <formula>U22+$I22</formula>
    </cfRule>
  </conditionalFormatting>
  <conditionalFormatting sqref="P22:Y23">
    <cfRule type="cellIs" dxfId="254" priority="5" operator="notEqual">
      <formula>Q22+S22</formula>
    </cfRule>
    <cfRule type="cellIs" dxfId="253" priority="6" stopIfTrue="1" operator="notEqual">
      <formula>U22+$I22</formula>
    </cfRule>
  </conditionalFormatting>
  <conditionalFormatting sqref="D30:I31">
    <cfRule type="cellIs" dxfId="252" priority="3" operator="notEqual">
      <formula>E30+G30</formula>
    </cfRule>
    <cfRule type="cellIs" dxfId="251" priority="4" stopIfTrue="1" operator="notEqual">
      <formula>I30+$I30</formula>
    </cfRule>
  </conditionalFormatting>
  <conditionalFormatting sqref="D30:I31">
    <cfRule type="cellIs" dxfId="250" priority="1" operator="notEqual">
      <formula>E30+G30</formula>
    </cfRule>
    <cfRule type="cellIs" dxfId="249" priority="2" stopIfTrue="1" operator="notEqual">
      <formula>I30+$I30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5" orientation="landscape" r:id="rId1"/>
  <headerFooter alignWithMargins="0"/>
  <ignoredErrors>
    <ignoredError sqref="E93:H9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Z39"/>
  <sheetViews>
    <sheetView zoomScale="70" zoomScaleNormal="70" zoomScaleSheetLayoutView="55" workbookViewId="0">
      <pane xSplit="2" ySplit="7" topLeftCell="C8" activePane="bottomRight" state="frozen"/>
      <selection activeCell="C72" sqref="C72"/>
      <selection pane="topRight" activeCell="C72" sqref="C72"/>
      <selection pane="bottomLeft" activeCell="C72" sqref="C72"/>
      <selection pane="bottomRight" activeCell="L44" sqref="L44"/>
    </sheetView>
  </sheetViews>
  <sheetFormatPr defaultRowHeight="15"/>
  <cols>
    <col min="1" max="1" width="5" style="25" customWidth="1"/>
    <col min="2" max="2" width="48.140625" style="25" customWidth="1"/>
    <col min="3" max="3" width="19.140625" style="25" customWidth="1"/>
    <col min="4" max="4" width="7.140625" style="25" customWidth="1"/>
    <col min="5" max="5" width="19.5703125" style="25" customWidth="1"/>
    <col min="6" max="6" width="8.5703125" style="25" customWidth="1"/>
    <col min="7" max="7" width="21.85546875" style="25" customWidth="1"/>
    <col min="8" max="8" width="7.140625" style="25" customWidth="1"/>
    <col min="9" max="10" width="15.42578125" style="25" customWidth="1"/>
    <col min="11" max="11" width="8.7109375" style="25" customWidth="1"/>
    <col min="12" max="25" width="13.140625" style="25" customWidth="1"/>
    <col min="26" max="26" width="14.28515625" style="293" bestFit="1" customWidth="1"/>
    <col min="27" max="16384" width="9.140625" style="25"/>
  </cols>
  <sheetData>
    <row r="1" spans="1:26" s="328" customFormat="1" ht="36.75" customHeight="1">
      <c r="A1" s="323" t="s">
        <v>755</v>
      </c>
      <c r="B1" s="324"/>
      <c r="C1" s="324"/>
      <c r="D1" s="324"/>
      <c r="E1" s="324"/>
      <c r="F1" s="324"/>
      <c r="G1" s="324"/>
      <c r="H1" s="324"/>
      <c r="I1" s="323"/>
      <c r="J1" s="323"/>
      <c r="K1" s="323"/>
      <c r="L1" s="323"/>
      <c r="M1" s="323"/>
      <c r="N1" s="323"/>
      <c r="O1" s="323"/>
      <c r="P1" s="323"/>
      <c r="Q1" s="323"/>
      <c r="R1" s="324"/>
      <c r="S1" s="324"/>
      <c r="T1" s="324"/>
      <c r="U1" s="324"/>
      <c r="V1" s="325"/>
      <c r="W1" s="326"/>
      <c r="X1" s="315" t="s">
        <v>645</v>
      </c>
      <c r="Y1" s="324"/>
      <c r="Z1" s="327"/>
    </row>
    <row r="2" spans="1:26" s="111" customFormat="1" ht="18">
      <c r="A2" s="321"/>
      <c r="B2" s="112"/>
      <c r="C2" s="112"/>
      <c r="D2" s="112"/>
      <c r="E2" s="112"/>
      <c r="F2" s="112"/>
      <c r="G2" s="112"/>
      <c r="H2" s="112"/>
      <c r="I2" s="11"/>
      <c r="J2" s="11"/>
      <c r="K2" s="11"/>
      <c r="L2" s="112"/>
      <c r="M2" s="112"/>
      <c r="N2" s="112"/>
      <c r="O2" s="112"/>
      <c r="P2" s="112"/>
      <c r="Q2" s="112"/>
      <c r="R2" s="112"/>
      <c r="S2" s="112"/>
      <c r="T2" s="322"/>
      <c r="U2" s="112"/>
      <c r="V2" s="112"/>
      <c r="W2" s="112"/>
      <c r="X2" s="112"/>
    </row>
    <row r="3" spans="1:26" ht="18">
      <c r="A3" s="318"/>
      <c r="B3" s="514" t="str">
        <f>+'Asset quality'!B3</f>
        <v>АКБ "Микрокредитбанк"</v>
      </c>
      <c r="C3" s="31"/>
      <c r="D3" s="319"/>
      <c r="E3" s="319"/>
      <c r="F3" s="319"/>
      <c r="G3" s="319"/>
      <c r="H3" s="319"/>
      <c r="I3" s="319"/>
      <c r="J3" s="320"/>
      <c r="K3" s="320"/>
      <c r="L3" s="320"/>
      <c r="M3" s="319"/>
      <c r="N3" s="319"/>
      <c r="O3" s="319"/>
      <c r="P3" s="319"/>
      <c r="Q3" s="319"/>
      <c r="R3" s="319"/>
      <c r="S3" s="319"/>
      <c r="T3" s="688">
        <f>+'Asset quality'!P3</f>
        <v>44196</v>
      </c>
      <c r="U3" s="688"/>
      <c r="V3" s="31"/>
      <c r="W3" s="31"/>
      <c r="X3" s="516" t="s">
        <v>408</v>
      </c>
      <c r="Z3" s="25"/>
    </row>
    <row r="4" spans="1:26" ht="30" customHeight="1">
      <c r="A4" s="693" t="s">
        <v>83</v>
      </c>
      <c r="B4" s="693" t="s">
        <v>57</v>
      </c>
      <c r="C4" s="693" t="s">
        <v>148</v>
      </c>
      <c r="D4" s="693" t="s">
        <v>149</v>
      </c>
      <c r="E4" s="693" t="s">
        <v>150</v>
      </c>
      <c r="F4" s="693" t="s">
        <v>149</v>
      </c>
      <c r="G4" s="693" t="s">
        <v>159</v>
      </c>
      <c r="H4" s="693" t="s">
        <v>149</v>
      </c>
      <c r="I4" s="689" t="s">
        <v>151</v>
      </c>
      <c r="J4" s="690"/>
      <c r="K4" s="693" t="s">
        <v>149</v>
      </c>
      <c r="L4" s="685" t="s">
        <v>676</v>
      </c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6"/>
    </row>
    <row r="5" spans="1:26" ht="25.5" customHeight="1">
      <c r="A5" s="694"/>
      <c r="B5" s="694"/>
      <c r="C5" s="694"/>
      <c r="D5" s="694"/>
      <c r="E5" s="694"/>
      <c r="F5" s="694"/>
      <c r="G5" s="694"/>
      <c r="H5" s="694"/>
      <c r="I5" s="691"/>
      <c r="J5" s="692"/>
      <c r="K5" s="694"/>
      <c r="L5" s="685" t="s">
        <v>153</v>
      </c>
      <c r="M5" s="686"/>
      <c r="N5" s="685" t="s">
        <v>154</v>
      </c>
      <c r="O5" s="686"/>
      <c r="P5" s="685" t="s">
        <v>155</v>
      </c>
      <c r="Q5" s="686"/>
      <c r="R5" s="685" t="s">
        <v>156</v>
      </c>
      <c r="S5" s="686"/>
      <c r="T5" s="685" t="s">
        <v>157</v>
      </c>
      <c r="U5" s="686"/>
      <c r="V5" s="685" t="s">
        <v>735</v>
      </c>
      <c r="W5" s="686"/>
      <c r="X5" s="685" t="s">
        <v>158</v>
      </c>
      <c r="Y5" s="686"/>
    </row>
    <row r="6" spans="1:26" ht="31.5">
      <c r="A6" s="695"/>
      <c r="B6" s="695"/>
      <c r="C6" s="695"/>
      <c r="D6" s="695"/>
      <c r="E6" s="695"/>
      <c r="F6" s="695"/>
      <c r="G6" s="695"/>
      <c r="H6" s="695"/>
      <c r="I6" s="249" t="s">
        <v>568</v>
      </c>
      <c r="J6" s="249" t="s">
        <v>569</v>
      </c>
      <c r="K6" s="695"/>
      <c r="L6" s="249" t="s">
        <v>568</v>
      </c>
      <c r="M6" s="249" t="s">
        <v>569</v>
      </c>
      <c r="N6" s="249" t="s">
        <v>568</v>
      </c>
      <c r="O6" s="249" t="s">
        <v>569</v>
      </c>
      <c r="P6" s="249" t="s">
        <v>568</v>
      </c>
      <c r="Q6" s="249" t="s">
        <v>569</v>
      </c>
      <c r="R6" s="249" t="s">
        <v>568</v>
      </c>
      <c r="S6" s="249" t="s">
        <v>569</v>
      </c>
      <c r="T6" s="249" t="s">
        <v>568</v>
      </c>
      <c r="U6" s="249" t="s">
        <v>569</v>
      </c>
      <c r="V6" s="249" t="s">
        <v>568</v>
      </c>
      <c r="W6" s="249" t="s">
        <v>569</v>
      </c>
      <c r="X6" s="249" t="s">
        <v>568</v>
      </c>
      <c r="Y6" s="249" t="s">
        <v>569</v>
      </c>
    </row>
    <row r="7" spans="1:26" ht="15.75">
      <c r="A7" s="249"/>
      <c r="B7" s="249" t="s">
        <v>107</v>
      </c>
      <c r="C7" s="249" t="s">
        <v>58</v>
      </c>
      <c r="D7" s="249" t="s">
        <v>59</v>
      </c>
      <c r="E7" s="249" t="s">
        <v>60</v>
      </c>
      <c r="F7" s="249" t="s">
        <v>84</v>
      </c>
      <c r="G7" s="249" t="s">
        <v>85</v>
      </c>
      <c r="H7" s="249" t="s">
        <v>87</v>
      </c>
      <c r="I7" s="249" t="s">
        <v>108</v>
      </c>
      <c r="J7" s="249" t="s">
        <v>647</v>
      </c>
      <c r="K7" s="249" t="s">
        <v>109</v>
      </c>
      <c r="L7" s="249" t="s">
        <v>110</v>
      </c>
      <c r="M7" s="249" t="s">
        <v>641</v>
      </c>
      <c r="N7" s="249" t="s">
        <v>111</v>
      </c>
      <c r="O7" s="249" t="s">
        <v>649</v>
      </c>
      <c r="P7" s="249" t="s">
        <v>112</v>
      </c>
      <c r="Q7" s="249" t="s">
        <v>650</v>
      </c>
      <c r="R7" s="249" t="s">
        <v>113</v>
      </c>
      <c r="S7" s="249" t="s">
        <v>651</v>
      </c>
      <c r="T7" s="249" t="s">
        <v>114</v>
      </c>
      <c r="U7" s="249" t="s">
        <v>652</v>
      </c>
      <c r="V7" s="249" t="s">
        <v>115</v>
      </c>
      <c r="W7" s="249" t="s">
        <v>653</v>
      </c>
      <c r="X7" s="249" t="s">
        <v>116</v>
      </c>
      <c r="Y7" s="249" t="s">
        <v>654</v>
      </c>
    </row>
    <row r="8" spans="1:26" s="113" customFormat="1" ht="27.75" customHeight="1">
      <c r="A8" s="249"/>
      <c r="B8" s="249" t="s">
        <v>160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94"/>
    </row>
    <row r="9" spans="1:26" s="113" customFormat="1" ht="26.25" customHeight="1">
      <c r="A9" s="114">
        <v>1</v>
      </c>
      <c r="B9" s="115" t="s">
        <v>161</v>
      </c>
      <c r="C9" s="119">
        <f>+'Loans Receivable'!C86</f>
        <v>0</v>
      </c>
      <c r="D9" s="229">
        <f t="shared" ref="D9:D20" si="0">IF(C$22=0,"",C9/C$22)</f>
        <v>0</v>
      </c>
      <c r="E9" s="116">
        <v>0</v>
      </c>
      <c r="F9" s="229" t="str">
        <f t="shared" ref="F9:F20" si="1">IF(E$22=0,"",E9/E$22)</f>
        <v/>
      </c>
      <c r="G9" s="116">
        <v>0</v>
      </c>
      <c r="H9" s="229">
        <f t="shared" ref="H9:H20" si="2">IF($G$22=0,"",G9/$G$22)</f>
        <v>0</v>
      </c>
      <c r="I9" s="119">
        <f t="shared" ref="I9:J20" si="3">+L9+N9+P9+R9+T9+V9+X9</f>
        <v>0</v>
      </c>
      <c r="J9" s="119">
        <f>+M9+O9+T9+S9+U9+W9+Y9</f>
        <v>0</v>
      </c>
      <c r="K9" s="229">
        <f t="shared" ref="K9:K20" si="4">IF($Z$22=0,"",Z9/$Z$22)</f>
        <v>0</v>
      </c>
      <c r="L9" s="116">
        <v>0</v>
      </c>
      <c r="M9" s="116">
        <v>0</v>
      </c>
      <c r="N9" s="116">
        <v>0</v>
      </c>
      <c r="O9" s="116">
        <v>0</v>
      </c>
      <c r="P9" s="116">
        <v>0</v>
      </c>
      <c r="Q9" s="116">
        <v>0</v>
      </c>
      <c r="R9" s="116">
        <v>0</v>
      </c>
      <c r="S9" s="116">
        <v>0</v>
      </c>
      <c r="T9" s="116">
        <v>0</v>
      </c>
      <c r="U9" s="116">
        <v>0</v>
      </c>
      <c r="V9" s="116">
        <v>0</v>
      </c>
      <c r="W9" s="116">
        <v>0</v>
      </c>
      <c r="X9" s="116">
        <v>0</v>
      </c>
      <c r="Y9" s="116">
        <v>0</v>
      </c>
      <c r="Z9" s="295">
        <f>+I9+J9</f>
        <v>0</v>
      </c>
    </row>
    <row r="10" spans="1:26" s="113" customFormat="1" ht="26.25" customHeight="1">
      <c r="A10" s="114">
        <v>2</v>
      </c>
      <c r="B10" s="115" t="s">
        <v>162</v>
      </c>
      <c r="C10" s="119">
        <f>+'Loans Receivable'!C85</f>
        <v>0</v>
      </c>
      <c r="D10" s="229">
        <f t="shared" si="0"/>
        <v>0</v>
      </c>
      <c r="E10" s="116">
        <v>0</v>
      </c>
      <c r="F10" s="229" t="str">
        <f t="shared" si="1"/>
        <v/>
      </c>
      <c r="G10" s="116">
        <v>0</v>
      </c>
      <c r="H10" s="229">
        <f t="shared" si="2"/>
        <v>0</v>
      </c>
      <c r="I10" s="119">
        <f t="shared" si="3"/>
        <v>0</v>
      </c>
      <c r="J10" s="119">
        <f t="shared" si="3"/>
        <v>0</v>
      </c>
      <c r="K10" s="229">
        <f t="shared" si="4"/>
        <v>0</v>
      </c>
      <c r="L10" s="116">
        <v>0</v>
      </c>
      <c r="M10" s="116">
        <v>0</v>
      </c>
      <c r="N10" s="116">
        <v>0</v>
      </c>
      <c r="O10" s="116">
        <v>0</v>
      </c>
      <c r="P10" s="116">
        <v>0</v>
      </c>
      <c r="Q10" s="116">
        <v>0</v>
      </c>
      <c r="R10" s="116">
        <v>0</v>
      </c>
      <c r="S10" s="116">
        <v>0</v>
      </c>
      <c r="T10" s="116">
        <v>0</v>
      </c>
      <c r="U10" s="116">
        <v>0</v>
      </c>
      <c r="V10" s="116">
        <v>0</v>
      </c>
      <c r="W10" s="116">
        <v>0</v>
      </c>
      <c r="X10" s="116">
        <v>0</v>
      </c>
      <c r="Y10" s="116">
        <v>0</v>
      </c>
      <c r="Z10" s="295">
        <f t="shared" ref="Z10:Z34" si="5">+I10+J10</f>
        <v>0</v>
      </c>
    </row>
    <row r="11" spans="1:26" s="113" customFormat="1" ht="26.25" customHeight="1">
      <c r="A11" s="114">
        <v>3</v>
      </c>
      <c r="B11" s="115" t="s">
        <v>163</v>
      </c>
      <c r="C11" s="119">
        <f>+'Loans Receivable'!C87</f>
        <v>0</v>
      </c>
      <c r="D11" s="229">
        <f t="shared" si="0"/>
        <v>0</v>
      </c>
      <c r="E11" s="116">
        <v>0</v>
      </c>
      <c r="F11" s="229" t="str">
        <f t="shared" si="1"/>
        <v/>
      </c>
      <c r="G11" s="116">
        <v>0</v>
      </c>
      <c r="H11" s="229">
        <f t="shared" si="2"/>
        <v>0</v>
      </c>
      <c r="I11" s="119">
        <f t="shared" si="3"/>
        <v>5751</v>
      </c>
      <c r="J11" s="119">
        <f t="shared" si="3"/>
        <v>1078</v>
      </c>
      <c r="K11" s="229">
        <f t="shared" si="4"/>
        <v>4.1384954501911892E-5</v>
      </c>
      <c r="L11" s="116">
        <v>1989</v>
      </c>
      <c r="M11" s="116">
        <v>566</v>
      </c>
      <c r="N11" s="116">
        <v>1989</v>
      </c>
      <c r="O11" s="116">
        <v>512</v>
      </c>
      <c r="P11" s="116">
        <v>1773</v>
      </c>
      <c r="Q11" s="116">
        <v>0</v>
      </c>
      <c r="R11" s="116">
        <v>0</v>
      </c>
      <c r="S11" s="116">
        <v>0</v>
      </c>
      <c r="T11" s="116">
        <v>0</v>
      </c>
      <c r="U11" s="116">
        <v>0</v>
      </c>
      <c r="V11" s="116">
        <v>0</v>
      </c>
      <c r="W11" s="116">
        <v>0</v>
      </c>
      <c r="X11" s="116">
        <v>0</v>
      </c>
      <c r="Y11" s="116">
        <v>0</v>
      </c>
      <c r="Z11" s="295">
        <f t="shared" si="5"/>
        <v>6829</v>
      </c>
    </row>
    <row r="12" spans="1:26" s="113" customFormat="1" ht="26.25" customHeight="1">
      <c r="A12" s="114">
        <v>4</v>
      </c>
      <c r="B12" s="115" t="s">
        <v>164</v>
      </c>
      <c r="C12" s="119">
        <f>+'Loans Receivable'!C80</f>
        <v>2395810747</v>
      </c>
      <c r="D12" s="229">
        <f t="shared" si="0"/>
        <v>0.28054651772982642</v>
      </c>
      <c r="E12" s="116">
        <v>0</v>
      </c>
      <c r="F12" s="229" t="str">
        <f t="shared" si="1"/>
        <v/>
      </c>
      <c r="G12" s="116">
        <v>848725</v>
      </c>
      <c r="H12" s="229">
        <f t="shared" si="2"/>
        <v>0.11999922519572997</v>
      </c>
      <c r="I12" s="119">
        <f t="shared" si="3"/>
        <v>17658686</v>
      </c>
      <c r="J12" s="119">
        <f t="shared" si="3"/>
        <v>19250098</v>
      </c>
      <c r="K12" s="229">
        <f t="shared" si="4"/>
        <v>0.2236737950740802</v>
      </c>
      <c r="L12" s="116">
        <v>8250480</v>
      </c>
      <c r="M12" s="116">
        <v>7195079</v>
      </c>
      <c r="N12" s="116">
        <v>5125149</v>
      </c>
      <c r="O12" s="116">
        <v>5018387</v>
      </c>
      <c r="P12" s="116">
        <v>2971331</v>
      </c>
      <c r="Q12" s="116">
        <v>3134135</v>
      </c>
      <c r="R12" s="116">
        <v>1172271</v>
      </c>
      <c r="S12" s="116">
        <v>3620387</v>
      </c>
      <c r="T12" s="116">
        <v>130480</v>
      </c>
      <c r="U12" s="116">
        <v>168414</v>
      </c>
      <c r="V12" s="116">
        <v>8975</v>
      </c>
      <c r="W12" s="116">
        <v>105425</v>
      </c>
      <c r="X12" s="116">
        <v>0</v>
      </c>
      <c r="Y12" s="116">
        <v>8271</v>
      </c>
      <c r="Z12" s="295">
        <f t="shared" si="5"/>
        <v>36908784</v>
      </c>
    </row>
    <row r="13" spans="1:26" s="113" customFormat="1" ht="26.25" customHeight="1">
      <c r="A13" s="114">
        <v>5</v>
      </c>
      <c r="B13" s="115" t="s">
        <v>165</v>
      </c>
      <c r="C13" s="119">
        <f>+'Loans Receivable'!C81</f>
        <v>207833727</v>
      </c>
      <c r="D13" s="229">
        <f t="shared" si="0"/>
        <v>2.433707606064988E-2</v>
      </c>
      <c r="E13" s="116">
        <v>0</v>
      </c>
      <c r="F13" s="229" t="str">
        <f t="shared" si="1"/>
        <v/>
      </c>
      <c r="G13" s="116">
        <v>0</v>
      </c>
      <c r="H13" s="229">
        <f t="shared" si="2"/>
        <v>0</v>
      </c>
      <c r="I13" s="119">
        <f t="shared" si="3"/>
        <v>529357</v>
      </c>
      <c r="J13" s="119">
        <f t="shared" si="3"/>
        <v>52478</v>
      </c>
      <c r="K13" s="229">
        <f t="shared" si="4"/>
        <v>3.5260235763098411E-3</v>
      </c>
      <c r="L13" s="116">
        <v>108412</v>
      </c>
      <c r="M13" s="116">
        <v>34389</v>
      </c>
      <c r="N13" s="116">
        <v>74218</v>
      </c>
      <c r="O13" s="116">
        <v>1183</v>
      </c>
      <c r="P13" s="116">
        <v>56777</v>
      </c>
      <c r="Q13" s="116">
        <v>1223</v>
      </c>
      <c r="R13" s="116">
        <v>74758</v>
      </c>
      <c r="S13" s="116">
        <v>8045</v>
      </c>
      <c r="T13" s="116">
        <v>135242</v>
      </c>
      <c r="U13" s="116">
        <v>4417</v>
      </c>
      <c r="V13" s="116">
        <v>79950</v>
      </c>
      <c r="W13" s="116">
        <v>3221</v>
      </c>
      <c r="X13" s="116">
        <v>0</v>
      </c>
      <c r="Y13" s="116">
        <v>0</v>
      </c>
      <c r="Z13" s="295">
        <f t="shared" si="5"/>
        <v>581835</v>
      </c>
    </row>
    <row r="14" spans="1:26" s="113" customFormat="1" ht="26.25" customHeight="1">
      <c r="A14" s="114">
        <v>6</v>
      </c>
      <c r="B14" s="117" t="s">
        <v>166</v>
      </c>
      <c r="C14" s="119">
        <f>+'Loans Receivable'!C82</f>
        <v>233817919</v>
      </c>
      <c r="D14" s="229">
        <f t="shared" si="0"/>
        <v>2.7379793266402195E-2</v>
      </c>
      <c r="E14" s="116">
        <v>0</v>
      </c>
      <c r="F14" s="229" t="str">
        <f t="shared" si="1"/>
        <v/>
      </c>
      <c r="G14" s="116">
        <v>0</v>
      </c>
      <c r="H14" s="229">
        <f t="shared" si="2"/>
        <v>0</v>
      </c>
      <c r="I14" s="119">
        <f t="shared" si="3"/>
        <v>226577</v>
      </c>
      <c r="J14" s="119">
        <f t="shared" si="3"/>
        <v>1629798</v>
      </c>
      <c r="K14" s="229">
        <f t="shared" si="4"/>
        <v>1.124996264657881E-2</v>
      </c>
      <c r="L14" s="116">
        <v>103212</v>
      </c>
      <c r="M14" s="116">
        <v>528880</v>
      </c>
      <c r="N14" s="116">
        <v>123365</v>
      </c>
      <c r="O14" s="116">
        <v>476468</v>
      </c>
      <c r="P14" s="116">
        <v>0</v>
      </c>
      <c r="Q14" s="116">
        <v>457688</v>
      </c>
      <c r="R14" s="116">
        <v>0</v>
      </c>
      <c r="S14" s="116">
        <v>166762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295">
        <f t="shared" si="5"/>
        <v>1856375</v>
      </c>
    </row>
    <row r="15" spans="1:26" s="113" customFormat="1" ht="26.25" customHeight="1">
      <c r="A15" s="114">
        <v>7</v>
      </c>
      <c r="B15" s="117" t="s">
        <v>167</v>
      </c>
      <c r="C15" s="119">
        <f>+'Loans Receivable'!C83</f>
        <v>5506977228</v>
      </c>
      <c r="D15" s="229">
        <f t="shared" si="0"/>
        <v>0.64486031981759551</v>
      </c>
      <c r="E15" s="116">
        <v>0</v>
      </c>
      <c r="F15" s="229" t="str">
        <f t="shared" si="1"/>
        <v/>
      </c>
      <c r="G15" s="116">
        <v>3209962</v>
      </c>
      <c r="H15" s="229">
        <f t="shared" si="2"/>
        <v>0.45384895332143604</v>
      </c>
      <c r="I15" s="119">
        <f t="shared" si="3"/>
        <v>64207482</v>
      </c>
      <c r="J15" s="119">
        <f t="shared" si="3"/>
        <v>46997390</v>
      </c>
      <c r="K15" s="229">
        <f t="shared" si="4"/>
        <v>0.67392130152451835</v>
      </c>
      <c r="L15" s="116">
        <v>16359917</v>
      </c>
      <c r="M15" s="116">
        <v>19010115</v>
      </c>
      <c r="N15" s="116">
        <v>22782498</v>
      </c>
      <c r="O15" s="116">
        <v>13854234</v>
      </c>
      <c r="P15" s="116">
        <v>16751608</v>
      </c>
      <c r="Q15" s="116">
        <v>7357666</v>
      </c>
      <c r="R15" s="116">
        <v>5355996</v>
      </c>
      <c r="S15" s="116">
        <v>5334510</v>
      </c>
      <c r="T15" s="116">
        <v>2362103</v>
      </c>
      <c r="U15" s="116">
        <v>1247993</v>
      </c>
      <c r="V15" s="116">
        <v>593006</v>
      </c>
      <c r="W15" s="116">
        <v>192872</v>
      </c>
      <c r="X15" s="116">
        <v>2354</v>
      </c>
      <c r="Y15" s="116">
        <v>0</v>
      </c>
      <c r="Z15" s="295">
        <f t="shared" si="5"/>
        <v>111204872</v>
      </c>
    </row>
    <row r="16" spans="1:26" s="113" customFormat="1" ht="26.25" customHeight="1">
      <c r="A16" s="114">
        <v>8</v>
      </c>
      <c r="B16" s="117" t="s">
        <v>168</v>
      </c>
      <c r="C16" s="119">
        <f>+'Loans Receivable'!C84</f>
        <v>153457167</v>
      </c>
      <c r="D16" s="229">
        <f t="shared" si="0"/>
        <v>1.7969647175363652E-2</v>
      </c>
      <c r="E16" s="116">
        <v>0</v>
      </c>
      <c r="F16" s="229" t="str">
        <f t="shared" si="1"/>
        <v/>
      </c>
      <c r="G16" s="116">
        <v>2815255</v>
      </c>
      <c r="H16" s="229">
        <f t="shared" si="2"/>
        <v>0.39804226189685094</v>
      </c>
      <c r="I16" s="119">
        <f t="shared" si="3"/>
        <v>1986760</v>
      </c>
      <c r="J16" s="119">
        <f t="shared" si="3"/>
        <v>2460150</v>
      </c>
      <c r="K16" s="229">
        <f t="shared" si="4"/>
        <v>2.6949065459671549E-2</v>
      </c>
      <c r="L16" s="116">
        <v>806880</v>
      </c>
      <c r="M16" s="116">
        <v>1305542</v>
      </c>
      <c r="N16" s="116">
        <v>547279</v>
      </c>
      <c r="O16" s="116">
        <v>795238</v>
      </c>
      <c r="P16" s="116">
        <v>472202</v>
      </c>
      <c r="Q16" s="116">
        <v>303177</v>
      </c>
      <c r="R16" s="116">
        <v>34592</v>
      </c>
      <c r="S16" s="116">
        <v>11855</v>
      </c>
      <c r="T16" s="116">
        <v>58065</v>
      </c>
      <c r="U16" s="116">
        <v>34913</v>
      </c>
      <c r="V16" s="116">
        <v>67742</v>
      </c>
      <c r="W16" s="116">
        <v>9425</v>
      </c>
      <c r="X16" s="116">
        <v>0</v>
      </c>
      <c r="Y16" s="116">
        <v>0</v>
      </c>
      <c r="Z16" s="295">
        <f t="shared" si="5"/>
        <v>4446910</v>
      </c>
    </row>
    <row r="17" spans="1:26" s="113" customFormat="1" ht="26.25" customHeight="1">
      <c r="A17" s="114">
        <v>9</v>
      </c>
      <c r="B17" s="118" t="s">
        <v>169</v>
      </c>
      <c r="C17" s="119">
        <f>+'Loans Receivable'!C88</f>
        <v>0</v>
      </c>
      <c r="D17" s="229">
        <f t="shared" si="0"/>
        <v>0</v>
      </c>
      <c r="E17" s="116">
        <v>0</v>
      </c>
      <c r="F17" s="229" t="str">
        <f t="shared" si="1"/>
        <v/>
      </c>
      <c r="G17" s="116">
        <v>0</v>
      </c>
      <c r="H17" s="229">
        <f t="shared" si="2"/>
        <v>0</v>
      </c>
      <c r="I17" s="119">
        <f t="shared" si="3"/>
        <v>0</v>
      </c>
      <c r="J17" s="119">
        <f t="shared" si="3"/>
        <v>0</v>
      </c>
      <c r="K17" s="229">
        <f t="shared" si="4"/>
        <v>0</v>
      </c>
      <c r="L17" s="116">
        <v>0</v>
      </c>
      <c r="M17" s="116">
        <v>0</v>
      </c>
      <c r="N17" s="116">
        <v>0</v>
      </c>
      <c r="O17" s="116">
        <v>0</v>
      </c>
      <c r="P17" s="116">
        <v>0</v>
      </c>
      <c r="Q17" s="116">
        <v>0</v>
      </c>
      <c r="R17" s="116">
        <v>0</v>
      </c>
      <c r="S17" s="116">
        <v>0</v>
      </c>
      <c r="T17" s="116">
        <v>0</v>
      </c>
      <c r="U17" s="116">
        <v>0</v>
      </c>
      <c r="V17" s="116">
        <v>0</v>
      </c>
      <c r="W17" s="116">
        <v>0</v>
      </c>
      <c r="X17" s="116">
        <v>0</v>
      </c>
      <c r="Y17" s="116">
        <v>0</v>
      </c>
      <c r="Z17" s="295">
        <f t="shared" si="5"/>
        <v>0</v>
      </c>
    </row>
    <row r="18" spans="1:26" s="113" customFormat="1" ht="38.25" customHeight="1">
      <c r="A18" s="114">
        <v>10</v>
      </c>
      <c r="B18" s="118" t="s">
        <v>170</v>
      </c>
      <c r="C18" s="119">
        <f>+'Loans Receivable'!C89</f>
        <v>41726791</v>
      </c>
      <c r="D18" s="229">
        <f t="shared" si="0"/>
        <v>4.8861563567776508E-3</v>
      </c>
      <c r="E18" s="116"/>
      <c r="F18" s="229" t="str">
        <f t="shared" si="1"/>
        <v/>
      </c>
      <c r="G18" s="116">
        <v>0</v>
      </c>
      <c r="H18" s="229">
        <f t="shared" si="2"/>
        <v>0</v>
      </c>
      <c r="I18" s="119">
        <f t="shared" si="3"/>
        <v>1243160</v>
      </c>
      <c r="J18" s="119">
        <f t="shared" si="3"/>
        <v>134026</v>
      </c>
      <c r="K18" s="229">
        <f t="shared" si="4"/>
        <v>8.3459920853228928E-3</v>
      </c>
      <c r="L18" s="116">
        <v>249862</v>
      </c>
      <c r="M18" s="116">
        <v>38052</v>
      </c>
      <c r="N18" s="116">
        <v>220533</v>
      </c>
      <c r="O18" s="116">
        <v>63579</v>
      </c>
      <c r="P18" s="116">
        <v>166501</v>
      </c>
      <c r="Q18" s="116">
        <v>30850</v>
      </c>
      <c r="R18" s="116">
        <v>118914</v>
      </c>
      <c r="S18" s="116">
        <v>1545</v>
      </c>
      <c r="T18" s="116">
        <v>183900</v>
      </c>
      <c r="U18" s="116">
        <v>0</v>
      </c>
      <c r="V18" s="116">
        <v>284241</v>
      </c>
      <c r="W18" s="116">
        <v>0</v>
      </c>
      <c r="X18" s="116">
        <v>19209</v>
      </c>
      <c r="Y18" s="116">
        <v>0</v>
      </c>
      <c r="Z18" s="295">
        <f t="shared" si="5"/>
        <v>1377186</v>
      </c>
    </row>
    <row r="19" spans="1:26" s="113" customFormat="1" ht="26.25" customHeight="1">
      <c r="A19" s="114">
        <v>11</v>
      </c>
      <c r="B19" s="118" t="s">
        <v>171</v>
      </c>
      <c r="C19" s="119">
        <f>+'Loans Receivable'!C90</f>
        <v>0</v>
      </c>
      <c r="D19" s="229">
        <f t="shared" si="0"/>
        <v>0</v>
      </c>
      <c r="E19" s="116">
        <v>0</v>
      </c>
      <c r="F19" s="229" t="str">
        <f t="shared" si="1"/>
        <v/>
      </c>
      <c r="G19" s="116">
        <v>0</v>
      </c>
      <c r="H19" s="229">
        <f t="shared" si="2"/>
        <v>0</v>
      </c>
      <c r="I19" s="119">
        <f t="shared" si="3"/>
        <v>0</v>
      </c>
      <c r="J19" s="119">
        <f t="shared" si="3"/>
        <v>0</v>
      </c>
      <c r="K19" s="229">
        <f t="shared" si="4"/>
        <v>0</v>
      </c>
      <c r="L19" s="116">
        <v>0</v>
      </c>
      <c r="M19" s="116">
        <v>0</v>
      </c>
      <c r="N19" s="116">
        <v>0</v>
      </c>
      <c r="O19" s="116">
        <v>0</v>
      </c>
      <c r="P19" s="116">
        <v>0</v>
      </c>
      <c r="Q19" s="116">
        <v>0</v>
      </c>
      <c r="R19" s="116">
        <v>0</v>
      </c>
      <c r="S19" s="116">
        <v>0</v>
      </c>
      <c r="T19" s="116">
        <v>0</v>
      </c>
      <c r="U19" s="116">
        <v>0</v>
      </c>
      <c r="V19" s="116">
        <v>0</v>
      </c>
      <c r="W19" s="116">
        <v>0</v>
      </c>
      <c r="X19" s="116">
        <v>0</v>
      </c>
      <c r="Y19" s="116">
        <v>0</v>
      </c>
      <c r="Z19" s="295">
        <f t="shared" si="5"/>
        <v>0</v>
      </c>
    </row>
    <row r="20" spans="1:26" s="113" customFormat="1" ht="26.25" customHeight="1">
      <c r="A20" s="114">
        <v>12</v>
      </c>
      <c r="B20" s="118" t="s">
        <v>172</v>
      </c>
      <c r="C20" s="119">
        <f>+'Loans Receivable'!C91</f>
        <v>174977</v>
      </c>
      <c r="D20" s="229">
        <f t="shared" si="0"/>
        <v>2.0489593384736509E-5</v>
      </c>
      <c r="E20" s="116">
        <v>0</v>
      </c>
      <c r="F20" s="229" t="str">
        <f t="shared" si="1"/>
        <v/>
      </c>
      <c r="G20" s="116">
        <v>198812</v>
      </c>
      <c r="H20" s="229">
        <f t="shared" si="2"/>
        <v>2.8109559585983056E-2</v>
      </c>
      <c r="I20" s="119">
        <f t="shared" si="3"/>
        <v>5976709</v>
      </c>
      <c r="J20" s="119">
        <f t="shared" si="3"/>
        <v>2652159</v>
      </c>
      <c r="K20" s="229">
        <f t="shared" si="4"/>
        <v>5.2292474679016467E-2</v>
      </c>
      <c r="L20" s="116">
        <v>2903961</v>
      </c>
      <c r="M20" s="116">
        <v>1208828</v>
      </c>
      <c r="N20" s="116">
        <v>1679873</v>
      </c>
      <c r="O20" s="116">
        <v>857537</v>
      </c>
      <c r="P20" s="116">
        <v>848353</v>
      </c>
      <c r="Q20" s="116">
        <v>483721</v>
      </c>
      <c r="R20" s="116">
        <v>434038</v>
      </c>
      <c r="S20" s="116">
        <v>78463</v>
      </c>
      <c r="T20" s="116">
        <v>88854</v>
      </c>
      <c r="U20" s="116">
        <v>15337</v>
      </c>
      <c r="V20" s="116">
        <v>17912</v>
      </c>
      <c r="W20" s="116">
        <v>8273</v>
      </c>
      <c r="X20" s="116">
        <v>3718</v>
      </c>
      <c r="Y20" s="116">
        <v>0</v>
      </c>
      <c r="Z20" s="295">
        <f t="shared" si="5"/>
        <v>8628868</v>
      </c>
    </row>
    <row r="21" spans="1:26" s="113" customFormat="1" ht="18.75" customHeight="1">
      <c r="A21" s="114"/>
      <c r="B21" s="115"/>
      <c r="C21" s="119"/>
      <c r="D21" s="229"/>
      <c r="E21" s="230"/>
      <c r="F21" s="229"/>
      <c r="G21" s="230"/>
      <c r="H21" s="229"/>
      <c r="I21" s="119"/>
      <c r="J21" s="231"/>
      <c r="K21" s="229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295">
        <f t="shared" si="5"/>
        <v>0</v>
      </c>
    </row>
    <row r="22" spans="1:26" s="113" customFormat="1" ht="27.75" customHeight="1">
      <c r="A22" s="249">
        <v>13</v>
      </c>
      <c r="B22" s="249" t="s">
        <v>173</v>
      </c>
      <c r="C22" s="250">
        <f>SUM(C9:C20)</f>
        <v>8539798556</v>
      </c>
      <c r="D22" s="251">
        <f>IF(C$22=0,"",C22/C$22)</f>
        <v>1</v>
      </c>
      <c r="E22" s="250">
        <f>SUM(E9:E20)</f>
        <v>0</v>
      </c>
      <c r="F22" s="251" t="str">
        <f>IF(E$22=0,"",E22/E$22)</f>
        <v/>
      </c>
      <c r="G22" s="250">
        <f>SUM(G9:G20)</f>
        <v>7072754</v>
      </c>
      <c r="H22" s="251">
        <f>IF($G$22=0,"",G22/$G$22)</f>
        <v>1</v>
      </c>
      <c r="I22" s="250">
        <f>SUM(I9:I20)</f>
        <v>91834482</v>
      </c>
      <c r="J22" s="250">
        <f>SUM(J9:J20)</f>
        <v>73177177</v>
      </c>
      <c r="K22" s="251">
        <f>IF($Z$22=0,"",Z22/$Z$22)</f>
        <v>1</v>
      </c>
      <c r="L22" s="250">
        <f t="shared" ref="L22:Y22" si="6">SUM(L9:L20)</f>
        <v>28784713</v>
      </c>
      <c r="M22" s="250">
        <f t="shared" si="6"/>
        <v>29321451</v>
      </c>
      <c r="N22" s="250">
        <f t="shared" si="6"/>
        <v>30554904</v>
      </c>
      <c r="O22" s="250">
        <f t="shared" si="6"/>
        <v>21067138</v>
      </c>
      <c r="P22" s="250">
        <f t="shared" si="6"/>
        <v>21268545</v>
      </c>
      <c r="Q22" s="250">
        <f t="shared" si="6"/>
        <v>11768460</v>
      </c>
      <c r="R22" s="250">
        <f t="shared" si="6"/>
        <v>7190569</v>
      </c>
      <c r="S22" s="250">
        <f t="shared" si="6"/>
        <v>9221567</v>
      </c>
      <c r="T22" s="250">
        <f t="shared" si="6"/>
        <v>2958644</v>
      </c>
      <c r="U22" s="250">
        <f t="shared" si="6"/>
        <v>1471074</v>
      </c>
      <c r="V22" s="250">
        <f t="shared" si="6"/>
        <v>1051826</v>
      </c>
      <c r="W22" s="250">
        <f t="shared" si="6"/>
        <v>319216</v>
      </c>
      <c r="X22" s="250">
        <f t="shared" si="6"/>
        <v>25281</v>
      </c>
      <c r="Y22" s="250">
        <f t="shared" si="6"/>
        <v>8271</v>
      </c>
      <c r="Z22" s="295">
        <f t="shared" si="5"/>
        <v>165011659</v>
      </c>
    </row>
    <row r="23" spans="1:26" s="113" customFormat="1" ht="18.75" customHeight="1">
      <c r="A23" s="114"/>
      <c r="B23" s="115"/>
      <c r="C23" s="119"/>
      <c r="D23" s="232"/>
      <c r="E23" s="230"/>
      <c r="F23" s="231"/>
      <c r="G23" s="230"/>
      <c r="H23" s="232"/>
      <c r="I23" s="119"/>
      <c r="J23" s="231"/>
      <c r="K23" s="232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295">
        <f t="shared" si="5"/>
        <v>0</v>
      </c>
    </row>
    <row r="24" spans="1:26" s="113" customFormat="1" ht="27.75" customHeight="1">
      <c r="A24" s="249"/>
      <c r="B24" s="249" t="s">
        <v>174</v>
      </c>
      <c r="C24" s="249"/>
      <c r="D24" s="249"/>
      <c r="E24" s="249"/>
      <c r="F24" s="249" t="str">
        <f>IF(E$22=0,"",E24/E$22)</f>
        <v/>
      </c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94">
        <f t="shared" si="5"/>
        <v>0</v>
      </c>
    </row>
    <row r="25" spans="1:26" s="113" customFormat="1" ht="26.25" customHeight="1">
      <c r="A25" s="114">
        <v>14</v>
      </c>
      <c r="B25" s="120" t="s">
        <v>118</v>
      </c>
      <c r="C25" s="119">
        <f>+'Loans Receivable'!C15</f>
        <v>2237686406</v>
      </c>
      <c r="D25" s="229">
        <f t="shared" ref="D25:D32" si="7">IF(C$34=0,"",C25/C$34)</f>
        <v>0.26203035016883602</v>
      </c>
      <c r="E25" s="116">
        <v>0</v>
      </c>
      <c r="F25" s="229" t="str">
        <f t="shared" ref="F25:F32" si="8">IF($E$34=0,"",E25/$E$34)</f>
        <v/>
      </c>
      <c r="G25" s="116">
        <v>1053977</v>
      </c>
      <c r="H25" s="229">
        <f t="shared" ref="H25:H32" si="9">IF($G$34=0,"",G25/$G$34)</f>
        <v>0.14901932118662689</v>
      </c>
      <c r="I25" s="119">
        <f t="shared" ref="I25:J32" si="10">+L25+N25+P25+R25+T25+V25+X25</f>
        <v>9870898</v>
      </c>
      <c r="J25" s="119">
        <f t="shared" si="10"/>
        <v>11856464</v>
      </c>
      <c r="K25" s="229">
        <f t="shared" ref="K25:K32" si="11">IF($Z$34=0,"",Z25/$Z$34)</f>
        <v>0.1316716778176262</v>
      </c>
      <c r="L25" s="116">
        <v>3979407</v>
      </c>
      <c r="M25" s="116">
        <v>4581182</v>
      </c>
      <c r="N25" s="116">
        <v>2480363</v>
      </c>
      <c r="O25" s="116">
        <v>4247484</v>
      </c>
      <c r="P25" s="116">
        <v>1396318</v>
      </c>
      <c r="Q25" s="116">
        <v>2247797</v>
      </c>
      <c r="R25" s="116">
        <v>1039185</v>
      </c>
      <c r="S25" s="116">
        <v>217711</v>
      </c>
      <c r="T25" s="116">
        <v>611917</v>
      </c>
      <c r="U25" s="116">
        <v>430458</v>
      </c>
      <c r="V25" s="116">
        <v>359990</v>
      </c>
      <c r="W25" s="116">
        <v>131832</v>
      </c>
      <c r="X25" s="116">
        <v>3718</v>
      </c>
      <c r="Y25" s="116">
        <v>0</v>
      </c>
      <c r="Z25" s="295">
        <f t="shared" si="5"/>
        <v>21727362</v>
      </c>
    </row>
    <row r="26" spans="1:26" s="113" customFormat="1" ht="26.25" customHeight="1">
      <c r="A26" s="114">
        <v>15</v>
      </c>
      <c r="B26" s="120" t="s">
        <v>126</v>
      </c>
      <c r="C26" s="119">
        <f>+'Loans Receivable'!C24</f>
        <v>2167103674</v>
      </c>
      <c r="D26" s="229">
        <f t="shared" si="7"/>
        <v>0.25376519829936839</v>
      </c>
      <c r="E26" s="116">
        <v>0</v>
      </c>
      <c r="F26" s="229" t="str">
        <f t="shared" si="8"/>
        <v/>
      </c>
      <c r="G26" s="116">
        <v>3161247</v>
      </c>
      <c r="H26" s="229">
        <f t="shared" si="9"/>
        <v>0.44696125441376866</v>
      </c>
      <c r="I26" s="119">
        <f t="shared" si="10"/>
        <v>27967422</v>
      </c>
      <c r="J26" s="119">
        <f t="shared" si="10"/>
        <v>17378250</v>
      </c>
      <c r="K26" s="229">
        <f t="shared" si="11"/>
        <v>0.27480283681045836</v>
      </c>
      <c r="L26" s="116">
        <v>2919044</v>
      </c>
      <c r="M26" s="116">
        <v>7588627</v>
      </c>
      <c r="N26" s="116">
        <v>11990024</v>
      </c>
      <c r="O26" s="116">
        <v>3835362</v>
      </c>
      <c r="P26" s="116">
        <v>11016967</v>
      </c>
      <c r="Q26" s="116">
        <v>1932022</v>
      </c>
      <c r="R26" s="116">
        <v>1091666</v>
      </c>
      <c r="S26" s="116">
        <v>3937979</v>
      </c>
      <c r="T26" s="116">
        <v>830237</v>
      </c>
      <c r="U26" s="116">
        <v>73033</v>
      </c>
      <c r="V26" s="116">
        <v>119484</v>
      </c>
      <c r="W26" s="116">
        <v>11227</v>
      </c>
      <c r="X26" s="116">
        <v>0</v>
      </c>
      <c r="Y26" s="116">
        <v>0</v>
      </c>
      <c r="Z26" s="295">
        <f t="shared" si="5"/>
        <v>45345672</v>
      </c>
    </row>
    <row r="27" spans="1:26" s="113" customFormat="1" ht="26.25" customHeight="1">
      <c r="A27" s="114">
        <v>16</v>
      </c>
      <c r="B27" s="120" t="s">
        <v>129</v>
      </c>
      <c r="C27" s="119">
        <f>+'Loans Receivable'!C32</f>
        <v>535740133</v>
      </c>
      <c r="D27" s="229">
        <f t="shared" si="7"/>
        <v>6.2734516451045899E-2</v>
      </c>
      <c r="E27" s="116">
        <v>0</v>
      </c>
      <c r="F27" s="229" t="str">
        <f t="shared" si="8"/>
        <v/>
      </c>
      <c r="G27" s="116">
        <v>185225</v>
      </c>
      <c r="H27" s="229">
        <f t="shared" si="9"/>
        <v>2.6188525714311569E-2</v>
      </c>
      <c r="I27" s="119">
        <f t="shared" si="10"/>
        <v>2514458</v>
      </c>
      <c r="J27" s="119">
        <f t="shared" si="10"/>
        <v>1447277</v>
      </c>
      <c r="K27" s="229">
        <f t="shared" si="11"/>
        <v>2.4008818673836859E-2</v>
      </c>
      <c r="L27" s="116">
        <v>736688</v>
      </c>
      <c r="M27" s="116">
        <v>704612</v>
      </c>
      <c r="N27" s="116">
        <v>543592</v>
      </c>
      <c r="O27" s="116">
        <v>522090</v>
      </c>
      <c r="P27" s="116">
        <v>400291</v>
      </c>
      <c r="Q27" s="116">
        <v>174123</v>
      </c>
      <c r="R27" s="116">
        <v>348218</v>
      </c>
      <c r="S27" s="116">
        <v>24859</v>
      </c>
      <c r="T27" s="116">
        <v>485669</v>
      </c>
      <c r="U27" s="116">
        <v>21593</v>
      </c>
      <c r="V27" s="116">
        <v>0</v>
      </c>
      <c r="W27" s="116">
        <v>0</v>
      </c>
      <c r="X27" s="116">
        <v>0</v>
      </c>
      <c r="Y27" s="116">
        <v>0</v>
      </c>
      <c r="Z27" s="295">
        <f t="shared" si="5"/>
        <v>3961735</v>
      </c>
    </row>
    <row r="28" spans="1:26" s="113" customFormat="1" ht="26.25" customHeight="1">
      <c r="A28" s="114">
        <v>17</v>
      </c>
      <c r="B28" s="120" t="s">
        <v>131</v>
      </c>
      <c r="C28" s="119">
        <f>+'Loans Receivable'!C40</f>
        <v>374350021</v>
      </c>
      <c r="D28" s="229">
        <f t="shared" si="7"/>
        <v>4.3835931087271893E-2</v>
      </c>
      <c r="E28" s="116">
        <v>0</v>
      </c>
      <c r="F28" s="229" t="str">
        <f t="shared" si="8"/>
        <v/>
      </c>
      <c r="G28" s="116">
        <v>0</v>
      </c>
      <c r="H28" s="229">
        <f t="shared" si="9"/>
        <v>0</v>
      </c>
      <c r="I28" s="119">
        <f t="shared" si="10"/>
        <v>5747912</v>
      </c>
      <c r="J28" s="119">
        <f t="shared" si="10"/>
        <v>6034074</v>
      </c>
      <c r="K28" s="229">
        <f t="shared" si="11"/>
        <v>7.1400930524551598E-2</v>
      </c>
      <c r="L28" s="116">
        <v>2294193</v>
      </c>
      <c r="M28" s="116">
        <v>2516824</v>
      </c>
      <c r="N28" s="116">
        <v>1487154</v>
      </c>
      <c r="O28" s="116">
        <v>1586669</v>
      </c>
      <c r="P28" s="116">
        <v>1005957</v>
      </c>
      <c r="Q28" s="116">
        <v>1271010</v>
      </c>
      <c r="R28" s="116">
        <v>936838</v>
      </c>
      <c r="S28" s="116">
        <v>52988</v>
      </c>
      <c r="T28" s="116">
        <v>23770</v>
      </c>
      <c r="U28" s="116">
        <v>584991</v>
      </c>
      <c r="V28" s="116">
        <v>0</v>
      </c>
      <c r="W28" s="116">
        <v>21592</v>
      </c>
      <c r="X28" s="116">
        <v>0</v>
      </c>
      <c r="Y28" s="116">
        <v>0</v>
      </c>
      <c r="Z28" s="295">
        <f t="shared" si="5"/>
        <v>11781986</v>
      </c>
    </row>
    <row r="29" spans="1:26" s="113" customFormat="1" ht="26.25" customHeight="1">
      <c r="A29" s="114">
        <v>18</v>
      </c>
      <c r="B29" s="121" t="s">
        <v>133</v>
      </c>
      <c r="C29" s="119">
        <f>+'Loans Receivable'!C48</f>
        <v>757760211</v>
      </c>
      <c r="D29" s="229">
        <f t="shared" si="7"/>
        <v>8.8732796919150189E-2</v>
      </c>
      <c r="E29" s="116">
        <v>0</v>
      </c>
      <c r="F29" s="229" t="str">
        <f t="shared" si="8"/>
        <v/>
      </c>
      <c r="G29" s="116">
        <v>654374</v>
      </c>
      <c r="H29" s="229">
        <f t="shared" si="9"/>
        <v>9.2520395874082423E-2</v>
      </c>
      <c r="I29" s="119">
        <f t="shared" si="10"/>
        <v>16889227</v>
      </c>
      <c r="J29" s="119">
        <f t="shared" si="10"/>
        <v>8884322</v>
      </c>
      <c r="K29" s="229">
        <f t="shared" si="11"/>
        <v>0.15619229063080931</v>
      </c>
      <c r="L29" s="116">
        <v>6252572</v>
      </c>
      <c r="M29" s="116">
        <v>3389961</v>
      </c>
      <c r="N29" s="116">
        <v>5812791</v>
      </c>
      <c r="O29" s="116">
        <v>3393686</v>
      </c>
      <c r="P29" s="116">
        <v>2783827</v>
      </c>
      <c r="Q29" s="116">
        <v>1732023</v>
      </c>
      <c r="R29" s="116">
        <v>1451689</v>
      </c>
      <c r="S29" s="116">
        <v>283534</v>
      </c>
      <c r="T29" s="116">
        <v>321717</v>
      </c>
      <c r="U29" s="116">
        <v>47716</v>
      </c>
      <c r="V29" s="116">
        <v>266631</v>
      </c>
      <c r="W29" s="116">
        <v>37402</v>
      </c>
      <c r="X29" s="116">
        <v>0</v>
      </c>
      <c r="Y29" s="116">
        <v>0</v>
      </c>
      <c r="Z29" s="295">
        <f t="shared" si="5"/>
        <v>25773549</v>
      </c>
    </row>
    <row r="30" spans="1:26" s="113" customFormat="1" ht="38.25" customHeight="1">
      <c r="A30" s="114">
        <v>19</v>
      </c>
      <c r="B30" s="121" t="s">
        <v>135</v>
      </c>
      <c r="C30" s="119">
        <f>+'Loans Receivable'!C56</f>
        <v>1372056029</v>
      </c>
      <c r="D30" s="229">
        <f t="shared" si="7"/>
        <v>0.16066608831610008</v>
      </c>
      <c r="E30" s="116">
        <v>0</v>
      </c>
      <c r="F30" s="229" t="str">
        <f t="shared" si="8"/>
        <v/>
      </c>
      <c r="G30" s="116">
        <v>0</v>
      </c>
      <c r="H30" s="229">
        <f t="shared" si="9"/>
        <v>0</v>
      </c>
      <c r="I30" s="119">
        <f t="shared" si="10"/>
        <v>2500</v>
      </c>
      <c r="J30" s="119">
        <f t="shared" si="10"/>
        <v>454150</v>
      </c>
      <c r="K30" s="229">
        <f t="shared" si="11"/>
        <v>2.76738021281272E-3</v>
      </c>
      <c r="L30" s="116">
        <v>2500</v>
      </c>
      <c r="M30" s="116">
        <v>6175</v>
      </c>
      <c r="N30" s="116">
        <v>0</v>
      </c>
      <c r="O30" s="116">
        <v>2553</v>
      </c>
      <c r="P30" s="116">
        <v>0</v>
      </c>
      <c r="Q30" s="116">
        <v>6896</v>
      </c>
      <c r="R30" s="116">
        <v>0</v>
      </c>
      <c r="S30" s="116">
        <v>438526</v>
      </c>
      <c r="T30" s="116">
        <v>0</v>
      </c>
      <c r="U30" s="116">
        <v>0</v>
      </c>
      <c r="V30" s="116">
        <v>0</v>
      </c>
      <c r="W30" s="116">
        <v>0</v>
      </c>
      <c r="X30" s="116">
        <v>0</v>
      </c>
      <c r="Y30" s="116">
        <v>0</v>
      </c>
      <c r="Z30" s="295">
        <f t="shared" si="5"/>
        <v>456650</v>
      </c>
    </row>
    <row r="31" spans="1:26" s="113" customFormat="1" ht="26.25" customHeight="1">
      <c r="A31" s="114">
        <v>20</v>
      </c>
      <c r="B31" s="120" t="s">
        <v>137</v>
      </c>
      <c r="C31" s="119">
        <f>+'Loans Receivable'!C65</f>
        <v>107626665</v>
      </c>
      <c r="D31" s="229">
        <f t="shared" si="7"/>
        <v>1.2602951263338911E-2</v>
      </c>
      <c r="E31" s="116">
        <v>0</v>
      </c>
      <c r="F31" s="229" t="str">
        <f t="shared" si="8"/>
        <v/>
      </c>
      <c r="G31" s="116">
        <v>0</v>
      </c>
      <c r="H31" s="229">
        <f t="shared" si="9"/>
        <v>0</v>
      </c>
      <c r="I31" s="119">
        <f t="shared" si="10"/>
        <v>59969</v>
      </c>
      <c r="J31" s="119">
        <f t="shared" si="10"/>
        <v>9308</v>
      </c>
      <c r="K31" s="229">
        <f t="shared" si="11"/>
        <v>4.1983094055190366E-4</v>
      </c>
      <c r="L31" s="116">
        <v>26578</v>
      </c>
      <c r="M31" s="116">
        <v>2110</v>
      </c>
      <c r="N31" s="116">
        <v>11169</v>
      </c>
      <c r="O31" s="116">
        <v>3430</v>
      </c>
      <c r="P31" s="116">
        <v>8889</v>
      </c>
      <c r="Q31" s="116">
        <v>3705</v>
      </c>
      <c r="R31" s="116">
        <v>13333</v>
      </c>
      <c r="S31" s="116">
        <v>63</v>
      </c>
      <c r="T31" s="116">
        <v>0</v>
      </c>
      <c r="U31" s="116">
        <v>0</v>
      </c>
      <c r="V31" s="116">
        <v>0</v>
      </c>
      <c r="W31" s="116">
        <v>0</v>
      </c>
      <c r="X31" s="116">
        <v>0</v>
      </c>
      <c r="Y31" s="116">
        <v>0</v>
      </c>
      <c r="Z31" s="295">
        <f t="shared" si="5"/>
        <v>69277</v>
      </c>
    </row>
    <row r="32" spans="1:26" s="113" customFormat="1" ht="26.25" customHeight="1">
      <c r="A32" s="114">
        <v>21</v>
      </c>
      <c r="B32" s="120" t="s">
        <v>175</v>
      </c>
      <c r="C32" s="119">
        <f>+'Loans Receivable'!C78</f>
        <v>987475417</v>
      </c>
      <c r="D32" s="229">
        <f t="shared" si="7"/>
        <v>0.11563216749488862</v>
      </c>
      <c r="E32" s="116">
        <v>0</v>
      </c>
      <c r="F32" s="229" t="str">
        <f t="shared" si="8"/>
        <v/>
      </c>
      <c r="G32" s="116">
        <v>2017931</v>
      </c>
      <c r="H32" s="229">
        <f t="shared" si="9"/>
        <v>0.28531050281121045</v>
      </c>
      <c r="I32" s="119">
        <f t="shared" si="10"/>
        <v>28782096</v>
      </c>
      <c r="J32" s="119">
        <f t="shared" si="10"/>
        <v>27113332</v>
      </c>
      <c r="K32" s="229">
        <f t="shared" si="11"/>
        <v>0.33873623438935307</v>
      </c>
      <c r="L32" s="116">
        <v>12573731</v>
      </c>
      <c r="M32" s="116">
        <v>10531960</v>
      </c>
      <c r="N32" s="116">
        <v>8229811</v>
      </c>
      <c r="O32" s="116">
        <v>7475864</v>
      </c>
      <c r="P32" s="116">
        <v>4656296</v>
      </c>
      <c r="Q32" s="116">
        <v>4400884</v>
      </c>
      <c r="R32" s="116">
        <v>2309640</v>
      </c>
      <c r="S32" s="116">
        <v>4265907</v>
      </c>
      <c r="T32" s="116">
        <v>685334</v>
      </c>
      <c r="U32" s="116">
        <v>313283</v>
      </c>
      <c r="V32" s="116">
        <v>305721</v>
      </c>
      <c r="W32" s="116">
        <v>117163</v>
      </c>
      <c r="X32" s="116">
        <v>21563</v>
      </c>
      <c r="Y32" s="116">
        <v>8271</v>
      </c>
      <c r="Z32" s="295">
        <f t="shared" si="5"/>
        <v>55895428</v>
      </c>
    </row>
    <row r="33" spans="1:26" s="113" customFormat="1" ht="18.75" customHeight="1">
      <c r="A33" s="114"/>
      <c r="B33" s="115"/>
      <c r="C33" s="119"/>
      <c r="D33" s="229"/>
      <c r="E33" s="230"/>
      <c r="F33" s="229"/>
      <c r="G33" s="230"/>
      <c r="H33" s="229"/>
      <c r="I33" s="119"/>
      <c r="J33" s="231"/>
      <c r="K33" s="229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295">
        <f t="shared" si="5"/>
        <v>0</v>
      </c>
    </row>
    <row r="34" spans="1:26" s="113" customFormat="1" ht="27.75" customHeight="1">
      <c r="A34" s="249">
        <v>22</v>
      </c>
      <c r="B34" s="249" t="s">
        <v>173</v>
      </c>
      <c r="C34" s="250">
        <f>SUM(C25:C32)</f>
        <v>8539798556</v>
      </c>
      <c r="D34" s="251">
        <f>IF(C$34=0,"",C34/C$34)</f>
        <v>1</v>
      </c>
      <c r="E34" s="250">
        <f>SUM(E25:E32)</f>
        <v>0</v>
      </c>
      <c r="F34" s="251" t="str">
        <f>IF($E$34=0,"",E34/$E$34)</f>
        <v/>
      </c>
      <c r="G34" s="250">
        <f>SUM(G25:G32)</f>
        <v>7072754</v>
      </c>
      <c r="H34" s="251">
        <f>IF($G$34=0,"",G34/$G$34)</f>
        <v>1</v>
      </c>
      <c r="I34" s="250">
        <f t="shared" ref="I34:Y34" si="12">SUM(I25:I32)</f>
        <v>91834482</v>
      </c>
      <c r="J34" s="250">
        <f t="shared" si="12"/>
        <v>73177177</v>
      </c>
      <c r="K34" s="251">
        <f>IF($Z$34=0,"",Z34/$Z$34)</f>
        <v>1</v>
      </c>
      <c r="L34" s="250">
        <f t="shared" si="12"/>
        <v>28784713</v>
      </c>
      <c r="M34" s="250">
        <f t="shared" si="12"/>
        <v>29321451</v>
      </c>
      <c r="N34" s="250">
        <f t="shared" si="12"/>
        <v>30554904</v>
      </c>
      <c r="O34" s="250">
        <f t="shared" si="12"/>
        <v>21067138</v>
      </c>
      <c r="P34" s="250">
        <f t="shared" si="12"/>
        <v>21268545</v>
      </c>
      <c r="Q34" s="250">
        <f t="shared" si="12"/>
        <v>11768460</v>
      </c>
      <c r="R34" s="250">
        <f t="shared" si="12"/>
        <v>7190569</v>
      </c>
      <c r="S34" s="250">
        <f t="shared" si="12"/>
        <v>9221567</v>
      </c>
      <c r="T34" s="250">
        <f t="shared" si="12"/>
        <v>2958644</v>
      </c>
      <c r="U34" s="250">
        <f t="shared" si="12"/>
        <v>1471074</v>
      </c>
      <c r="V34" s="250">
        <f t="shared" si="12"/>
        <v>1051826</v>
      </c>
      <c r="W34" s="250">
        <f t="shared" si="12"/>
        <v>319216</v>
      </c>
      <c r="X34" s="250">
        <f t="shared" si="12"/>
        <v>25281</v>
      </c>
      <c r="Y34" s="250">
        <f t="shared" si="12"/>
        <v>8271</v>
      </c>
      <c r="Z34" s="295">
        <f t="shared" si="5"/>
        <v>165011659</v>
      </c>
    </row>
    <row r="35" spans="1:26" ht="15.75">
      <c r="A35" s="122"/>
    </row>
    <row r="36" spans="1:26" ht="15.75">
      <c r="A36" s="122"/>
    </row>
    <row r="37" spans="1:26" ht="15.75">
      <c r="A37" s="122"/>
      <c r="B37" s="123" t="s">
        <v>0</v>
      </c>
    </row>
    <row r="38" spans="1:26" ht="15.75">
      <c r="A38" s="122"/>
      <c r="B38" s="123"/>
    </row>
    <row r="39" spans="1:26" ht="15.75">
      <c r="A39" s="122"/>
      <c r="B39" s="123" t="s">
        <v>1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7" type="noConversion"/>
  <conditionalFormatting sqref="C34 E34 G34 I34:J34 L34:Y34">
    <cfRule type="cellIs" dxfId="248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H1048576"/>
  <sheetViews>
    <sheetView view="pageBreakPreview" topLeftCell="A3" zoomScale="70" zoomScaleNormal="70" zoomScaleSheetLayoutView="70" workbookViewId="0">
      <pane xSplit="3" ySplit="2" topLeftCell="D51" activePane="bottomRight" state="frozen"/>
      <selection activeCell="C72" sqref="C72"/>
      <selection pane="topRight" activeCell="C72" sqref="C72"/>
      <selection pane="bottomLeft" activeCell="C72" sqref="C72"/>
      <selection pane="bottomRight" activeCell="A83" sqref="A83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1" width="18" style="1" customWidth="1"/>
    <col min="22" max="22" width="14.7109375" style="1" customWidth="1"/>
    <col min="23" max="23" width="14.42578125" style="1" customWidth="1"/>
    <col min="24" max="24" width="12.42578125" style="1" customWidth="1"/>
    <col min="25" max="25" width="16.85546875" style="1" bestFit="1" customWidth="1"/>
    <col min="26" max="26" width="14.7109375" style="1" customWidth="1"/>
    <col min="27" max="27" width="11" style="522" bestFit="1" customWidth="1"/>
    <col min="28" max="34" width="9.42578125" style="293"/>
    <col min="35" max="16384" width="9.42578125" style="1"/>
  </cols>
  <sheetData>
    <row r="1" spans="1:34" ht="21" customHeight="1">
      <c r="A1" s="18" t="s">
        <v>756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22" t="s">
        <v>644</v>
      </c>
      <c r="X1" s="15"/>
      <c r="Y1" s="15"/>
      <c r="Z1" s="15"/>
    </row>
    <row r="2" spans="1:34" ht="15.75">
      <c r="A2" s="13"/>
      <c r="B2" s="213" t="str">
        <f>+'Asset quality'!B3</f>
        <v>АКБ "Микрокредитбанк"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211">
        <f>+'Asset quality'!P3</f>
        <v>44196</v>
      </c>
      <c r="V2" s="13"/>
      <c r="W2" s="212"/>
      <c r="X2" s="13"/>
      <c r="Y2" s="13"/>
      <c r="Z2" s="517" t="s">
        <v>408</v>
      </c>
    </row>
    <row r="3" spans="1:34" ht="137.25" customHeight="1">
      <c r="A3" s="19" t="s">
        <v>83</v>
      </c>
      <c r="B3" s="20" t="s">
        <v>176</v>
      </c>
      <c r="C3" s="37" t="s">
        <v>177</v>
      </c>
      <c r="D3" s="37" t="s">
        <v>570</v>
      </c>
      <c r="E3" s="37" t="s">
        <v>178</v>
      </c>
      <c r="F3" s="37" t="s">
        <v>570</v>
      </c>
      <c r="G3" s="37" t="s">
        <v>56</v>
      </c>
      <c r="H3" s="37" t="s">
        <v>570</v>
      </c>
      <c r="I3" s="37" t="s">
        <v>179</v>
      </c>
      <c r="J3" s="37" t="s">
        <v>570</v>
      </c>
      <c r="K3" s="37" t="s">
        <v>34</v>
      </c>
      <c r="L3" s="37" t="s">
        <v>570</v>
      </c>
      <c r="M3" s="37" t="s">
        <v>21</v>
      </c>
      <c r="N3" s="37" t="s">
        <v>570</v>
      </c>
      <c r="O3" s="37" t="s">
        <v>35</v>
      </c>
      <c r="P3" s="37" t="s">
        <v>570</v>
      </c>
      <c r="Q3" s="37" t="s">
        <v>180</v>
      </c>
      <c r="R3" s="37" t="s">
        <v>570</v>
      </c>
      <c r="S3" s="37" t="s">
        <v>36</v>
      </c>
      <c r="T3" s="37" t="s">
        <v>570</v>
      </c>
      <c r="U3" s="37" t="s">
        <v>181</v>
      </c>
      <c r="V3" s="37" t="s">
        <v>570</v>
      </c>
      <c r="W3" s="37" t="s">
        <v>22</v>
      </c>
      <c r="X3" s="37" t="s">
        <v>570</v>
      </c>
      <c r="Y3" s="37" t="s">
        <v>45</v>
      </c>
      <c r="Z3" s="37" t="s">
        <v>570</v>
      </c>
    </row>
    <row r="4" spans="1:34" s="67" customFormat="1" ht="25.5">
      <c r="A4" s="66" t="s">
        <v>107</v>
      </c>
      <c r="B4" s="66" t="s">
        <v>58</v>
      </c>
      <c r="C4" s="66" t="s">
        <v>59</v>
      </c>
      <c r="D4" s="66" t="s">
        <v>572</v>
      </c>
      <c r="E4" s="66" t="s">
        <v>60</v>
      </c>
      <c r="F4" s="66" t="s">
        <v>573</v>
      </c>
      <c r="G4" s="66" t="s">
        <v>84</v>
      </c>
      <c r="H4" s="66" t="s">
        <v>574</v>
      </c>
      <c r="I4" s="66" t="s">
        <v>85</v>
      </c>
      <c r="J4" s="66" t="s">
        <v>575</v>
      </c>
      <c r="K4" s="66" t="s">
        <v>87</v>
      </c>
      <c r="L4" s="66" t="s">
        <v>576</v>
      </c>
      <c r="M4" s="66" t="s">
        <v>108</v>
      </c>
      <c r="N4" s="66" t="s">
        <v>577</v>
      </c>
      <c r="O4" s="66" t="s">
        <v>109</v>
      </c>
      <c r="P4" s="66" t="s">
        <v>578</v>
      </c>
      <c r="Q4" s="66" t="s">
        <v>110</v>
      </c>
      <c r="R4" s="66" t="s">
        <v>579</v>
      </c>
      <c r="S4" s="66" t="s">
        <v>111</v>
      </c>
      <c r="T4" s="66" t="s">
        <v>580</v>
      </c>
      <c r="U4" s="66" t="s">
        <v>112</v>
      </c>
      <c r="V4" s="66" t="s">
        <v>581</v>
      </c>
      <c r="W4" s="66" t="s">
        <v>113</v>
      </c>
      <c r="X4" s="66" t="s">
        <v>582</v>
      </c>
      <c r="Y4" s="66" t="s">
        <v>44</v>
      </c>
      <c r="Z4" s="66" t="s">
        <v>583</v>
      </c>
      <c r="AA4" s="523"/>
      <c r="AB4" s="294"/>
      <c r="AC4" s="294"/>
      <c r="AD4" s="294"/>
      <c r="AE4" s="294"/>
      <c r="AF4" s="294"/>
      <c r="AG4" s="294"/>
      <c r="AH4" s="294"/>
    </row>
    <row r="5" spans="1:34" s="67" customFormat="1" ht="27.75" customHeight="1">
      <c r="A5" s="253"/>
      <c r="B5" s="253" t="s">
        <v>160</v>
      </c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523"/>
      <c r="AB5" s="294"/>
      <c r="AC5" s="294"/>
      <c r="AD5" s="294"/>
      <c r="AE5" s="294"/>
      <c r="AF5" s="294"/>
      <c r="AG5" s="294"/>
      <c r="AH5" s="294"/>
    </row>
    <row r="6" spans="1:34" s="21" customFormat="1" ht="23.25" customHeight="1">
      <c r="A6" s="20">
        <v>1</v>
      </c>
      <c r="B6" s="90" t="s">
        <v>161</v>
      </c>
      <c r="C6" s="344">
        <f t="shared" ref="C6:C29" si="0">E6+I6+M6+Q6+U6</f>
        <v>0</v>
      </c>
      <c r="D6" s="344">
        <f>F6+J6+N6+R6+V6</f>
        <v>0</v>
      </c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3">
        <f t="shared" ref="Y6:Y29" si="1">+W6+S6+O6+K6</f>
        <v>0</v>
      </c>
      <c r="Z6" s="343">
        <f t="shared" ref="Z6:Z29" si="2">+X6+T6+P6+L6</f>
        <v>0</v>
      </c>
      <c r="AA6" s="524">
        <f>+'Aging Analysis'!C9</f>
        <v>0</v>
      </c>
      <c r="AB6" s="294"/>
      <c r="AC6" s="294"/>
      <c r="AD6" s="294"/>
      <c r="AE6" s="294"/>
      <c r="AF6" s="294"/>
      <c r="AG6" s="294"/>
      <c r="AH6" s="294"/>
    </row>
    <row r="7" spans="1:34" s="21" customFormat="1" ht="14.25" customHeight="1">
      <c r="A7" s="20"/>
      <c r="B7" s="93" t="s">
        <v>571</v>
      </c>
      <c r="C7" s="95">
        <f t="shared" si="0"/>
        <v>0</v>
      </c>
      <c r="D7" s="344">
        <f t="shared" ref="D7:D29" si="3">F7+J7+N7+R7+V7</f>
        <v>0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65">
        <f t="shared" si="1"/>
        <v>0</v>
      </c>
      <c r="Z7" s="65">
        <f t="shared" si="2"/>
        <v>0</v>
      </c>
      <c r="AA7" s="651">
        <f>+AA6-C6</f>
        <v>0</v>
      </c>
      <c r="AB7" s="294"/>
      <c r="AC7" s="294"/>
      <c r="AD7" s="294"/>
      <c r="AE7" s="294"/>
      <c r="AF7" s="294"/>
      <c r="AG7" s="294"/>
      <c r="AH7" s="294"/>
    </row>
    <row r="8" spans="1:34" s="21" customFormat="1" ht="23.25" customHeight="1">
      <c r="A8" s="20">
        <v>2</v>
      </c>
      <c r="B8" s="90" t="s">
        <v>162</v>
      </c>
      <c r="C8" s="95">
        <f t="shared" si="0"/>
        <v>0</v>
      </c>
      <c r="D8" s="344">
        <f t="shared" si="3"/>
        <v>0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65">
        <f t="shared" si="1"/>
        <v>0</v>
      </c>
      <c r="Z8" s="65">
        <f t="shared" si="2"/>
        <v>0</v>
      </c>
      <c r="AA8" s="524">
        <f>+'Aging Analysis'!C10</f>
        <v>0</v>
      </c>
      <c r="AB8" s="294"/>
      <c r="AC8" s="294"/>
      <c r="AD8" s="294"/>
      <c r="AE8" s="294"/>
      <c r="AF8" s="294"/>
      <c r="AG8" s="294"/>
      <c r="AH8" s="294"/>
    </row>
    <row r="9" spans="1:34" s="21" customFormat="1" ht="14.25" customHeight="1">
      <c r="A9" s="64"/>
      <c r="B9" s="93" t="s">
        <v>571</v>
      </c>
      <c r="C9" s="95">
        <f t="shared" si="0"/>
        <v>0</v>
      </c>
      <c r="D9" s="344">
        <f t="shared" si="3"/>
        <v>0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65">
        <f t="shared" si="1"/>
        <v>0</v>
      </c>
      <c r="Z9" s="65">
        <f t="shared" si="2"/>
        <v>0</v>
      </c>
      <c r="AA9" s="651">
        <f>+AA8-C8</f>
        <v>0</v>
      </c>
      <c r="AB9" s="294"/>
      <c r="AC9" s="294"/>
      <c r="AD9" s="294"/>
      <c r="AE9" s="294"/>
      <c r="AF9" s="294"/>
      <c r="AG9" s="294"/>
      <c r="AH9" s="294"/>
    </row>
    <row r="10" spans="1:34" s="21" customFormat="1" ht="23.25" customHeight="1">
      <c r="A10" s="20">
        <v>3</v>
      </c>
      <c r="B10" s="90" t="s">
        <v>163</v>
      </c>
      <c r="C10" s="95">
        <f t="shared" si="0"/>
        <v>0</v>
      </c>
      <c r="D10" s="344">
        <f t="shared" si="3"/>
        <v>0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65">
        <f t="shared" si="1"/>
        <v>0</v>
      </c>
      <c r="Z10" s="65">
        <f t="shared" si="2"/>
        <v>0</v>
      </c>
      <c r="AA10" s="524">
        <f>+'Aging Analysis'!C11</f>
        <v>0</v>
      </c>
      <c r="AB10" s="294"/>
      <c r="AC10" s="294"/>
      <c r="AD10" s="294"/>
      <c r="AE10" s="294"/>
      <c r="AF10" s="294"/>
      <c r="AG10" s="294"/>
      <c r="AH10" s="294"/>
    </row>
    <row r="11" spans="1:34" s="21" customFormat="1" ht="14.25" customHeight="1">
      <c r="A11" s="64"/>
      <c r="B11" s="93" t="s">
        <v>571</v>
      </c>
      <c r="C11" s="95">
        <f t="shared" si="0"/>
        <v>0</v>
      </c>
      <c r="D11" s="344">
        <f t="shared" si="3"/>
        <v>0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65">
        <f t="shared" si="1"/>
        <v>0</v>
      </c>
      <c r="Z11" s="65">
        <f t="shared" si="2"/>
        <v>0</v>
      </c>
      <c r="AA11" s="651">
        <f>+AA10-C10</f>
        <v>0</v>
      </c>
      <c r="AB11" s="294"/>
      <c r="AC11" s="294"/>
      <c r="AD11" s="294"/>
      <c r="AE11" s="294"/>
      <c r="AF11" s="294"/>
      <c r="AG11" s="294"/>
      <c r="AH11" s="294"/>
    </row>
    <row r="12" spans="1:34" s="21" customFormat="1" ht="23.25" customHeight="1">
      <c r="A12" s="20">
        <v>4</v>
      </c>
      <c r="B12" s="90" t="s">
        <v>164</v>
      </c>
      <c r="C12" s="95">
        <f t="shared" si="0"/>
        <v>2395810747</v>
      </c>
      <c r="D12" s="344">
        <f t="shared" si="3"/>
        <v>0</v>
      </c>
      <c r="E12" s="96">
        <v>1988169241</v>
      </c>
      <c r="F12" s="96">
        <v>0</v>
      </c>
      <c r="G12" s="96">
        <v>0</v>
      </c>
      <c r="H12" s="96">
        <v>0</v>
      </c>
      <c r="I12" s="96">
        <v>377969015</v>
      </c>
      <c r="J12" s="96">
        <v>0</v>
      </c>
      <c r="K12" s="96">
        <v>37816072</v>
      </c>
      <c r="L12" s="96">
        <v>0</v>
      </c>
      <c r="M12" s="96">
        <v>22359606</v>
      </c>
      <c r="N12" s="96">
        <v>0</v>
      </c>
      <c r="O12" s="96">
        <v>5589901</v>
      </c>
      <c r="P12" s="96">
        <v>0</v>
      </c>
      <c r="Q12" s="96">
        <v>5061752</v>
      </c>
      <c r="R12" s="96">
        <v>0</v>
      </c>
      <c r="S12" s="96">
        <v>2530876</v>
      </c>
      <c r="T12" s="96">
        <v>0</v>
      </c>
      <c r="U12" s="96">
        <v>2251133</v>
      </c>
      <c r="V12" s="96">
        <v>0</v>
      </c>
      <c r="W12" s="96">
        <v>2251133</v>
      </c>
      <c r="X12" s="96">
        <v>0</v>
      </c>
      <c r="Y12" s="65">
        <f t="shared" si="1"/>
        <v>48187982</v>
      </c>
      <c r="Z12" s="65">
        <f t="shared" si="2"/>
        <v>0</v>
      </c>
      <c r="AA12" s="524">
        <f>+'Aging Analysis'!C12</f>
        <v>2395810747</v>
      </c>
      <c r="AB12" s="294"/>
      <c r="AC12" s="294"/>
      <c r="AD12" s="294"/>
      <c r="AE12" s="294"/>
      <c r="AF12" s="294"/>
      <c r="AG12" s="294"/>
      <c r="AH12" s="294"/>
    </row>
    <row r="13" spans="1:34" s="21" customFormat="1" ht="14.25" customHeight="1">
      <c r="A13" s="64"/>
      <c r="B13" s="93" t="s">
        <v>571</v>
      </c>
      <c r="C13" s="95">
        <f t="shared" si="0"/>
        <v>0</v>
      </c>
      <c r="D13" s="344">
        <f t="shared" si="3"/>
        <v>0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65">
        <f t="shared" si="1"/>
        <v>0</v>
      </c>
      <c r="Z13" s="65">
        <f t="shared" si="2"/>
        <v>0</v>
      </c>
      <c r="AA13" s="651">
        <f>+AA12-C12</f>
        <v>0</v>
      </c>
      <c r="AB13" s="294"/>
      <c r="AC13" s="294"/>
      <c r="AD13" s="294"/>
      <c r="AE13" s="294"/>
      <c r="AF13" s="294"/>
      <c r="AG13" s="294"/>
      <c r="AH13" s="294"/>
    </row>
    <row r="14" spans="1:34" s="21" customFormat="1" ht="23.25" customHeight="1">
      <c r="A14" s="20">
        <v>5</v>
      </c>
      <c r="B14" s="90" t="s">
        <v>165</v>
      </c>
      <c r="C14" s="95">
        <f t="shared" si="0"/>
        <v>207833727</v>
      </c>
      <c r="D14" s="344">
        <f t="shared" si="3"/>
        <v>0</v>
      </c>
      <c r="E14" s="96">
        <v>196933727</v>
      </c>
      <c r="F14" s="96">
        <v>0</v>
      </c>
      <c r="G14" s="96">
        <v>0</v>
      </c>
      <c r="H14" s="96">
        <v>0</v>
      </c>
      <c r="I14" s="96">
        <v>10900000</v>
      </c>
      <c r="J14" s="96">
        <v>0</v>
      </c>
      <c r="K14" s="96">
        <v>1090000</v>
      </c>
      <c r="L14" s="96">
        <v>0</v>
      </c>
      <c r="M14" s="96">
        <v>0</v>
      </c>
      <c r="N14" s="96">
        <v>0</v>
      </c>
      <c r="O14" s="96">
        <v>0</v>
      </c>
      <c r="P14" s="96">
        <v>0</v>
      </c>
      <c r="Q14" s="96">
        <v>0</v>
      </c>
      <c r="R14" s="96">
        <v>0</v>
      </c>
      <c r="S14" s="96">
        <v>0</v>
      </c>
      <c r="T14" s="96">
        <v>0</v>
      </c>
      <c r="U14" s="96">
        <v>0</v>
      </c>
      <c r="V14" s="96">
        <v>0</v>
      </c>
      <c r="W14" s="96">
        <v>0</v>
      </c>
      <c r="X14" s="96">
        <v>0</v>
      </c>
      <c r="Y14" s="65">
        <f t="shared" si="1"/>
        <v>1090000</v>
      </c>
      <c r="Z14" s="65">
        <f t="shared" si="2"/>
        <v>0</v>
      </c>
      <c r="AA14" s="524">
        <f>+'Aging Analysis'!C13</f>
        <v>207833727</v>
      </c>
      <c r="AB14" s="294"/>
      <c r="AC14" s="294"/>
      <c r="AD14" s="294"/>
      <c r="AE14" s="294"/>
      <c r="AF14" s="294"/>
      <c r="AG14" s="294"/>
      <c r="AH14" s="294"/>
    </row>
    <row r="15" spans="1:34" s="21" customFormat="1" ht="14.25" customHeight="1">
      <c r="A15" s="64"/>
      <c r="B15" s="93" t="s">
        <v>571</v>
      </c>
      <c r="C15" s="95">
        <f t="shared" si="0"/>
        <v>0</v>
      </c>
      <c r="D15" s="344">
        <f t="shared" si="3"/>
        <v>0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65">
        <f t="shared" si="1"/>
        <v>0</v>
      </c>
      <c r="Z15" s="65">
        <f t="shared" si="2"/>
        <v>0</v>
      </c>
      <c r="AA15" s="651">
        <f>+AA14-C14</f>
        <v>0</v>
      </c>
      <c r="AB15" s="294"/>
      <c r="AC15" s="294"/>
      <c r="AD15" s="294"/>
      <c r="AE15" s="294"/>
      <c r="AF15" s="294"/>
      <c r="AG15" s="294"/>
      <c r="AH15" s="294"/>
    </row>
    <row r="16" spans="1:34" s="21" customFormat="1" ht="23.25" customHeight="1">
      <c r="A16" s="20">
        <v>6</v>
      </c>
      <c r="B16" s="90" t="s">
        <v>166</v>
      </c>
      <c r="C16" s="95">
        <f t="shared" si="0"/>
        <v>233817919</v>
      </c>
      <c r="D16" s="344">
        <f t="shared" si="3"/>
        <v>108760666</v>
      </c>
      <c r="E16" s="96">
        <v>149637525</v>
      </c>
      <c r="F16" s="96">
        <v>29919367</v>
      </c>
      <c r="G16" s="96">
        <v>0</v>
      </c>
      <c r="H16" s="96">
        <v>0</v>
      </c>
      <c r="I16" s="96">
        <v>84062247</v>
      </c>
      <c r="J16" s="96">
        <v>78841299</v>
      </c>
      <c r="K16" s="96">
        <v>8406225</v>
      </c>
      <c r="L16" s="96">
        <v>7884130</v>
      </c>
      <c r="M16" s="96">
        <v>0</v>
      </c>
      <c r="N16" s="96">
        <v>0</v>
      </c>
      <c r="O16" s="96">
        <v>0</v>
      </c>
      <c r="P16" s="96">
        <v>0</v>
      </c>
      <c r="Q16" s="96">
        <v>118147</v>
      </c>
      <c r="R16" s="96">
        <v>0</v>
      </c>
      <c r="S16" s="96">
        <v>59074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65">
        <f t="shared" si="1"/>
        <v>8465299</v>
      </c>
      <c r="Z16" s="65">
        <f t="shared" si="2"/>
        <v>7884130</v>
      </c>
      <c r="AA16" s="524">
        <f>+'Aging Analysis'!C14</f>
        <v>233817919</v>
      </c>
      <c r="AB16" s="294"/>
      <c r="AC16" s="294"/>
      <c r="AD16" s="294"/>
      <c r="AE16" s="294"/>
      <c r="AF16" s="294"/>
      <c r="AG16" s="294"/>
      <c r="AH16" s="294"/>
    </row>
    <row r="17" spans="1:34" s="21" customFormat="1" ht="14.25" customHeight="1">
      <c r="A17" s="64"/>
      <c r="B17" s="93" t="s">
        <v>571</v>
      </c>
      <c r="C17" s="95">
        <f t="shared" si="0"/>
        <v>0</v>
      </c>
      <c r="D17" s="344">
        <f t="shared" si="3"/>
        <v>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65">
        <f t="shared" si="1"/>
        <v>0</v>
      </c>
      <c r="Z17" s="65">
        <f t="shared" si="2"/>
        <v>0</v>
      </c>
      <c r="AA17" s="651">
        <f>+AA16-C16</f>
        <v>0</v>
      </c>
      <c r="AB17" s="294"/>
      <c r="AC17" s="294"/>
      <c r="AD17" s="294"/>
      <c r="AE17" s="294"/>
      <c r="AF17" s="294"/>
      <c r="AG17" s="294"/>
      <c r="AH17" s="294"/>
    </row>
    <row r="18" spans="1:34" s="21" customFormat="1" ht="23.25" customHeight="1">
      <c r="A18" s="20">
        <v>7</v>
      </c>
      <c r="B18" s="90" t="s">
        <v>167</v>
      </c>
      <c r="C18" s="95">
        <f t="shared" si="0"/>
        <v>5506977228</v>
      </c>
      <c r="D18" s="344">
        <f t="shared" si="3"/>
        <v>2680428998</v>
      </c>
      <c r="E18" s="96">
        <v>4425383897</v>
      </c>
      <c r="F18" s="96">
        <v>2260308333</v>
      </c>
      <c r="G18" s="96">
        <v>0</v>
      </c>
      <c r="H18" s="96">
        <v>0</v>
      </c>
      <c r="I18" s="96">
        <v>1027438960</v>
      </c>
      <c r="J18" s="96">
        <v>420120665</v>
      </c>
      <c r="K18" s="96">
        <v>103169931</v>
      </c>
      <c r="L18" s="96">
        <v>41934742</v>
      </c>
      <c r="M18" s="96">
        <v>12110446</v>
      </c>
      <c r="N18" s="96">
        <v>0</v>
      </c>
      <c r="O18" s="96">
        <v>3027611</v>
      </c>
      <c r="P18" s="96">
        <v>0</v>
      </c>
      <c r="Q18" s="96">
        <v>30739125</v>
      </c>
      <c r="R18" s="96">
        <v>0</v>
      </c>
      <c r="S18" s="96">
        <v>15427063</v>
      </c>
      <c r="T18" s="96">
        <v>0</v>
      </c>
      <c r="U18" s="96">
        <v>11304800</v>
      </c>
      <c r="V18" s="96">
        <v>0</v>
      </c>
      <c r="W18" s="96">
        <v>11304800</v>
      </c>
      <c r="X18" s="96">
        <v>0</v>
      </c>
      <c r="Y18" s="65">
        <f t="shared" si="1"/>
        <v>132929405</v>
      </c>
      <c r="Z18" s="65">
        <f t="shared" si="2"/>
        <v>41934742</v>
      </c>
      <c r="AA18" s="524">
        <f>+'Aging Analysis'!C15</f>
        <v>5506977228</v>
      </c>
      <c r="AB18" s="294"/>
      <c r="AC18" s="294"/>
      <c r="AD18" s="294"/>
      <c r="AE18" s="294"/>
      <c r="AF18" s="294"/>
      <c r="AG18" s="294"/>
      <c r="AH18" s="294"/>
    </row>
    <row r="19" spans="1:34" s="21" customFormat="1" ht="14.25" customHeight="1">
      <c r="A19" s="64"/>
      <c r="B19" s="93" t="s">
        <v>571</v>
      </c>
      <c r="C19" s="95">
        <f t="shared" si="0"/>
        <v>0</v>
      </c>
      <c r="D19" s="344">
        <f t="shared" si="3"/>
        <v>0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65">
        <f t="shared" si="1"/>
        <v>0</v>
      </c>
      <c r="Z19" s="65">
        <f t="shared" si="2"/>
        <v>0</v>
      </c>
      <c r="AA19" s="651">
        <f>+AA18-C18</f>
        <v>0</v>
      </c>
      <c r="AB19" s="294"/>
      <c r="AC19" s="294"/>
      <c r="AD19" s="294"/>
      <c r="AE19" s="294"/>
      <c r="AF19" s="294"/>
      <c r="AG19" s="294"/>
      <c r="AH19" s="294"/>
    </row>
    <row r="20" spans="1:34" s="21" customFormat="1" ht="23.25" customHeight="1">
      <c r="A20" s="20">
        <v>8</v>
      </c>
      <c r="B20" s="90" t="s">
        <v>168</v>
      </c>
      <c r="C20" s="95">
        <f t="shared" si="0"/>
        <v>153457167</v>
      </c>
      <c r="D20" s="344">
        <f t="shared" si="3"/>
        <v>27334711</v>
      </c>
      <c r="E20" s="96">
        <v>110183801</v>
      </c>
      <c r="F20" s="96">
        <v>15021469</v>
      </c>
      <c r="G20" s="96">
        <v>0</v>
      </c>
      <c r="H20" s="96">
        <v>0</v>
      </c>
      <c r="I20" s="96">
        <v>40611434</v>
      </c>
      <c r="J20" s="96">
        <v>12313242</v>
      </c>
      <c r="K20" s="96">
        <v>4061143</v>
      </c>
      <c r="L20" s="96">
        <v>1231324</v>
      </c>
      <c r="M20" s="96">
        <v>3239</v>
      </c>
      <c r="N20" s="96">
        <v>0</v>
      </c>
      <c r="O20" s="96">
        <v>810</v>
      </c>
      <c r="P20" s="96">
        <v>0</v>
      </c>
      <c r="Q20" s="96">
        <v>0</v>
      </c>
      <c r="R20" s="96"/>
      <c r="S20" s="96">
        <v>0</v>
      </c>
      <c r="T20" s="96">
        <v>0</v>
      </c>
      <c r="U20" s="96">
        <v>2658693</v>
      </c>
      <c r="V20" s="96">
        <v>0</v>
      </c>
      <c r="W20" s="96">
        <v>2658693</v>
      </c>
      <c r="X20" s="96">
        <v>0</v>
      </c>
      <c r="Y20" s="65">
        <f t="shared" si="1"/>
        <v>6720646</v>
      </c>
      <c r="Z20" s="65">
        <f t="shared" si="2"/>
        <v>1231324</v>
      </c>
      <c r="AA20" s="524">
        <f>+'Aging Analysis'!C16</f>
        <v>153457167</v>
      </c>
      <c r="AB20" s="294"/>
      <c r="AC20" s="294"/>
      <c r="AD20" s="294"/>
      <c r="AE20" s="294"/>
      <c r="AF20" s="294"/>
      <c r="AG20" s="294"/>
      <c r="AH20" s="294"/>
    </row>
    <row r="21" spans="1:34" s="21" customFormat="1" ht="14.25" customHeight="1">
      <c r="A21" s="64"/>
      <c r="B21" s="93" t="s">
        <v>571</v>
      </c>
      <c r="C21" s="95">
        <f t="shared" si="0"/>
        <v>0</v>
      </c>
      <c r="D21" s="344">
        <f t="shared" si="3"/>
        <v>0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65">
        <f t="shared" si="1"/>
        <v>0</v>
      </c>
      <c r="Z21" s="65">
        <f t="shared" si="2"/>
        <v>0</v>
      </c>
      <c r="AA21" s="651">
        <f>+AA20-C20</f>
        <v>0</v>
      </c>
      <c r="AB21" s="294"/>
      <c r="AC21" s="294"/>
      <c r="AD21" s="294"/>
      <c r="AE21" s="294"/>
      <c r="AF21" s="294"/>
      <c r="AG21" s="294"/>
      <c r="AH21" s="294"/>
    </row>
    <row r="22" spans="1:34" s="21" customFormat="1" ht="23.25" customHeight="1">
      <c r="A22" s="20">
        <v>9</v>
      </c>
      <c r="B22" s="90" t="s">
        <v>169</v>
      </c>
      <c r="C22" s="95">
        <f t="shared" si="0"/>
        <v>0</v>
      </c>
      <c r="D22" s="344">
        <f t="shared" si="3"/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0</v>
      </c>
      <c r="K22" s="96">
        <v>0</v>
      </c>
      <c r="L22" s="96">
        <v>0</v>
      </c>
      <c r="M22" s="96">
        <v>0</v>
      </c>
      <c r="N22" s="96">
        <v>0</v>
      </c>
      <c r="O22" s="96">
        <v>0</v>
      </c>
      <c r="P22" s="96">
        <v>0</v>
      </c>
      <c r="Q22" s="96">
        <v>0</v>
      </c>
      <c r="R22" s="96">
        <v>0</v>
      </c>
      <c r="S22" s="96">
        <v>0</v>
      </c>
      <c r="T22" s="96">
        <v>0</v>
      </c>
      <c r="U22" s="96">
        <v>0</v>
      </c>
      <c r="V22" s="96">
        <v>0</v>
      </c>
      <c r="W22" s="96">
        <v>0</v>
      </c>
      <c r="X22" s="96">
        <v>0</v>
      </c>
      <c r="Y22" s="65">
        <f t="shared" si="1"/>
        <v>0</v>
      </c>
      <c r="Z22" s="65">
        <f t="shared" si="2"/>
        <v>0</v>
      </c>
      <c r="AA22" s="524">
        <f>+'Aging Analysis'!C17</f>
        <v>0</v>
      </c>
      <c r="AB22" s="294"/>
      <c r="AC22" s="294"/>
      <c r="AD22" s="294"/>
      <c r="AE22" s="294"/>
      <c r="AF22" s="294"/>
      <c r="AG22" s="294"/>
      <c r="AH22" s="294"/>
    </row>
    <row r="23" spans="1:34" s="21" customFormat="1" ht="14.25" customHeight="1">
      <c r="A23" s="64"/>
      <c r="B23" s="93" t="s">
        <v>571</v>
      </c>
      <c r="C23" s="95">
        <f t="shared" si="0"/>
        <v>0</v>
      </c>
      <c r="D23" s="344">
        <f t="shared" si="3"/>
        <v>0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65">
        <f t="shared" si="1"/>
        <v>0</v>
      </c>
      <c r="Z23" s="65">
        <f t="shared" si="2"/>
        <v>0</v>
      </c>
      <c r="AA23" s="651">
        <f>+AA22-C22</f>
        <v>0</v>
      </c>
      <c r="AB23" s="294"/>
      <c r="AC23" s="294"/>
      <c r="AD23" s="294"/>
      <c r="AE23" s="294"/>
      <c r="AF23" s="294"/>
      <c r="AG23" s="294"/>
      <c r="AH23" s="294"/>
    </row>
    <row r="24" spans="1:34" s="21" customFormat="1" ht="23.25" customHeight="1">
      <c r="A24" s="20">
        <v>10</v>
      </c>
      <c r="B24" s="90" t="s">
        <v>170</v>
      </c>
      <c r="C24" s="95">
        <f t="shared" si="0"/>
        <v>41726791</v>
      </c>
      <c r="D24" s="344">
        <f t="shared" si="3"/>
        <v>0</v>
      </c>
      <c r="E24" s="96">
        <v>41718590</v>
      </c>
      <c r="F24" s="96">
        <v>0</v>
      </c>
      <c r="G24" s="96">
        <v>0</v>
      </c>
      <c r="H24" s="96">
        <v>0</v>
      </c>
      <c r="I24" s="96">
        <v>8201</v>
      </c>
      <c r="J24" s="96">
        <v>0</v>
      </c>
      <c r="K24" s="96">
        <v>820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65">
        <f t="shared" si="1"/>
        <v>820</v>
      </c>
      <c r="Z24" s="65">
        <f t="shared" si="2"/>
        <v>0</v>
      </c>
      <c r="AA24" s="524">
        <f>+'Aging Analysis'!C18</f>
        <v>41726791</v>
      </c>
      <c r="AB24" s="294"/>
      <c r="AC24" s="294"/>
      <c r="AD24" s="294"/>
      <c r="AE24" s="294"/>
      <c r="AF24" s="294"/>
      <c r="AG24" s="294"/>
      <c r="AH24" s="294"/>
    </row>
    <row r="25" spans="1:34" s="21" customFormat="1" ht="14.25" customHeight="1">
      <c r="A25" s="64"/>
      <c r="B25" s="93" t="s">
        <v>571</v>
      </c>
      <c r="C25" s="95">
        <f t="shared" si="0"/>
        <v>0</v>
      </c>
      <c r="D25" s="344">
        <f t="shared" si="3"/>
        <v>0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65">
        <f t="shared" si="1"/>
        <v>0</v>
      </c>
      <c r="Z25" s="65">
        <f t="shared" si="2"/>
        <v>0</v>
      </c>
      <c r="AA25" s="651">
        <f>+AA24-C24</f>
        <v>0</v>
      </c>
      <c r="AB25" s="294"/>
      <c r="AC25" s="294"/>
      <c r="AD25" s="294"/>
      <c r="AE25" s="294"/>
      <c r="AF25" s="294"/>
      <c r="AG25" s="294"/>
      <c r="AH25" s="294"/>
    </row>
    <row r="26" spans="1:34" s="21" customFormat="1" ht="23.25" customHeight="1">
      <c r="A26" s="20">
        <v>11</v>
      </c>
      <c r="B26" s="90" t="s">
        <v>171</v>
      </c>
      <c r="C26" s="95">
        <f t="shared" si="0"/>
        <v>0</v>
      </c>
      <c r="D26" s="344">
        <f t="shared" si="3"/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65">
        <f t="shared" si="1"/>
        <v>0</v>
      </c>
      <c r="Z26" s="65">
        <f t="shared" si="2"/>
        <v>0</v>
      </c>
      <c r="AA26" s="524">
        <f>+'Aging Analysis'!C19</f>
        <v>0</v>
      </c>
      <c r="AB26" s="294"/>
      <c r="AC26" s="294"/>
      <c r="AD26" s="294"/>
      <c r="AE26" s="294"/>
      <c r="AF26" s="294"/>
      <c r="AG26" s="294"/>
      <c r="AH26" s="294"/>
    </row>
    <row r="27" spans="1:34" s="21" customFormat="1" ht="14.25" customHeight="1">
      <c r="A27" s="64"/>
      <c r="B27" s="93" t="s">
        <v>571</v>
      </c>
      <c r="C27" s="95">
        <f t="shared" si="0"/>
        <v>0</v>
      </c>
      <c r="D27" s="344">
        <f t="shared" si="3"/>
        <v>0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65">
        <f t="shared" si="1"/>
        <v>0</v>
      </c>
      <c r="Z27" s="65">
        <f t="shared" si="2"/>
        <v>0</v>
      </c>
      <c r="AA27" s="651">
        <f>+AA26-C26</f>
        <v>0</v>
      </c>
      <c r="AB27" s="294"/>
      <c r="AC27" s="294"/>
      <c r="AD27" s="294"/>
      <c r="AE27" s="294"/>
      <c r="AF27" s="294"/>
      <c r="AG27" s="294"/>
      <c r="AH27" s="294"/>
    </row>
    <row r="28" spans="1:34" s="21" customFormat="1" ht="23.25" customHeight="1">
      <c r="A28" s="20">
        <v>12</v>
      </c>
      <c r="B28" s="90" t="s">
        <v>172</v>
      </c>
      <c r="C28" s="95">
        <f t="shared" si="0"/>
        <v>174977</v>
      </c>
      <c r="D28" s="344">
        <f t="shared" si="3"/>
        <v>0</v>
      </c>
      <c r="E28" s="96">
        <v>174977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/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65">
        <f t="shared" si="1"/>
        <v>0</v>
      </c>
      <c r="Z28" s="65">
        <f t="shared" si="2"/>
        <v>0</v>
      </c>
      <c r="AA28" s="524">
        <f>+'Aging Analysis'!C20</f>
        <v>174977</v>
      </c>
      <c r="AB28" s="294"/>
      <c r="AC28" s="294"/>
      <c r="AD28" s="294"/>
      <c r="AE28" s="294"/>
      <c r="AF28" s="294"/>
      <c r="AG28" s="294"/>
      <c r="AH28" s="294"/>
    </row>
    <row r="29" spans="1:34" s="21" customFormat="1" ht="14.25" customHeight="1">
      <c r="A29" s="64"/>
      <c r="B29" s="93" t="s">
        <v>571</v>
      </c>
      <c r="C29" s="95">
        <f t="shared" si="0"/>
        <v>0</v>
      </c>
      <c r="D29" s="344">
        <f t="shared" si="3"/>
        <v>0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65">
        <f t="shared" si="1"/>
        <v>0</v>
      </c>
      <c r="Z29" s="65">
        <f t="shared" si="2"/>
        <v>0</v>
      </c>
      <c r="AA29" s="651">
        <f>+AA28-C28</f>
        <v>0</v>
      </c>
      <c r="AB29" s="294"/>
      <c r="AC29" s="294"/>
      <c r="AD29" s="294"/>
      <c r="AE29" s="294"/>
      <c r="AF29" s="294"/>
      <c r="AG29" s="294"/>
      <c r="AH29" s="294"/>
    </row>
    <row r="30" spans="1:34" s="113" customFormat="1" ht="28.5" customHeight="1">
      <c r="A30" s="249">
        <v>13</v>
      </c>
      <c r="B30" s="249" t="s">
        <v>173</v>
      </c>
      <c r="C30" s="253">
        <f t="shared" ref="C30:Z30" si="4">+C6+C8+C10+C12+C14+C16+C18+C20+C22+C24+C26+C28</f>
        <v>8539798556</v>
      </c>
      <c r="D30" s="253">
        <f t="shared" si="4"/>
        <v>2816524375</v>
      </c>
      <c r="E30" s="253">
        <f t="shared" si="4"/>
        <v>6912201758</v>
      </c>
      <c r="F30" s="253">
        <f t="shared" si="4"/>
        <v>2305249169</v>
      </c>
      <c r="G30" s="253">
        <f t="shared" si="4"/>
        <v>0</v>
      </c>
      <c r="H30" s="253">
        <f t="shared" si="4"/>
        <v>0</v>
      </c>
      <c r="I30" s="253">
        <f t="shared" si="4"/>
        <v>1540989857</v>
      </c>
      <c r="J30" s="253">
        <f t="shared" si="4"/>
        <v>511275206</v>
      </c>
      <c r="K30" s="253">
        <f t="shared" si="4"/>
        <v>154544191</v>
      </c>
      <c r="L30" s="253">
        <f t="shared" si="4"/>
        <v>51050196</v>
      </c>
      <c r="M30" s="253">
        <f t="shared" si="4"/>
        <v>34473291</v>
      </c>
      <c r="N30" s="253">
        <f t="shared" si="4"/>
        <v>0</v>
      </c>
      <c r="O30" s="253">
        <f t="shared" si="4"/>
        <v>8618322</v>
      </c>
      <c r="P30" s="253">
        <f t="shared" si="4"/>
        <v>0</v>
      </c>
      <c r="Q30" s="253">
        <f t="shared" si="4"/>
        <v>35919024</v>
      </c>
      <c r="R30" s="253">
        <f t="shared" si="4"/>
        <v>0</v>
      </c>
      <c r="S30" s="253">
        <f t="shared" si="4"/>
        <v>18017013</v>
      </c>
      <c r="T30" s="253">
        <f t="shared" si="4"/>
        <v>0</v>
      </c>
      <c r="U30" s="253">
        <f t="shared" si="4"/>
        <v>16214626</v>
      </c>
      <c r="V30" s="253">
        <f t="shared" si="4"/>
        <v>0</v>
      </c>
      <c r="W30" s="253">
        <f t="shared" si="4"/>
        <v>16214626</v>
      </c>
      <c r="X30" s="253">
        <f t="shared" si="4"/>
        <v>0</v>
      </c>
      <c r="Y30" s="253">
        <f t="shared" si="4"/>
        <v>197394152</v>
      </c>
      <c r="Z30" s="253">
        <f t="shared" si="4"/>
        <v>51050196</v>
      </c>
      <c r="AA30" s="523"/>
      <c r="AB30" s="294"/>
      <c r="AC30" s="294"/>
      <c r="AD30" s="294"/>
      <c r="AE30" s="294"/>
      <c r="AF30" s="294"/>
      <c r="AG30" s="294"/>
      <c r="AH30" s="294"/>
    </row>
    <row r="31" spans="1:34" s="21" customFormat="1" ht="13.5" customHeight="1">
      <c r="A31" s="94"/>
      <c r="B31" s="93" t="s">
        <v>571</v>
      </c>
      <c r="C31" s="92">
        <f t="shared" ref="C31:Z31" si="5">+C7+C9+C11+C13+C15+C17+C19+C21+C23+C25+C27+C29</f>
        <v>0</v>
      </c>
      <c r="D31" s="92">
        <f t="shared" si="5"/>
        <v>0</v>
      </c>
      <c r="E31" s="92">
        <f t="shared" si="5"/>
        <v>0</v>
      </c>
      <c r="F31" s="92">
        <f t="shared" si="5"/>
        <v>0</v>
      </c>
      <c r="G31" s="92">
        <f t="shared" si="5"/>
        <v>0</v>
      </c>
      <c r="H31" s="92">
        <f t="shared" si="5"/>
        <v>0</v>
      </c>
      <c r="I31" s="92">
        <f t="shared" si="5"/>
        <v>0</v>
      </c>
      <c r="J31" s="92">
        <f t="shared" si="5"/>
        <v>0</v>
      </c>
      <c r="K31" s="92">
        <f t="shared" si="5"/>
        <v>0</v>
      </c>
      <c r="L31" s="92">
        <f t="shared" si="5"/>
        <v>0</v>
      </c>
      <c r="M31" s="92">
        <f t="shared" si="5"/>
        <v>0</v>
      </c>
      <c r="N31" s="92">
        <f t="shared" si="5"/>
        <v>0</v>
      </c>
      <c r="O31" s="92">
        <f t="shared" si="5"/>
        <v>0</v>
      </c>
      <c r="P31" s="92">
        <f t="shared" si="5"/>
        <v>0</v>
      </c>
      <c r="Q31" s="92">
        <f t="shared" si="5"/>
        <v>0</v>
      </c>
      <c r="R31" s="92">
        <f t="shared" si="5"/>
        <v>0</v>
      </c>
      <c r="S31" s="92">
        <f t="shared" si="5"/>
        <v>0</v>
      </c>
      <c r="T31" s="92">
        <f t="shared" si="5"/>
        <v>0</v>
      </c>
      <c r="U31" s="92">
        <f t="shared" si="5"/>
        <v>0</v>
      </c>
      <c r="V31" s="92">
        <f t="shared" si="5"/>
        <v>0</v>
      </c>
      <c r="W31" s="92">
        <f t="shared" si="5"/>
        <v>0</v>
      </c>
      <c r="X31" s="92">
        <f t="shared" si="5"/>
        <v>0</v>
      </c>
      <c r="Y31" s="92">
        <f t="shared" si="5"/>
        <v>0</v>
      </c>
      <c r="Z31" s="92">
        <f t="shared" si="5"/>
        <v>0</v>
      </c>
      <c r="AA31" s="523"/>
      <c r="AB31" s="294"/>
      <c r="AC31" s="294"/>
      <c r="AD31" s="294"/>
      <c r="AE31" s="294"/>
      <c r="AF31" s="294"/>
      <c r="AG31" s="294"/>
      <c r="AH31" s="294"/>
    </row>
    <row r="32" spans="1:34" s="67" customFormat="1" ht="27.75" customHeight="1">
      <c r="A32" s="253"/>
      <c r="B32" s="253" t="s">
        <v>174</v>
      </c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523"/>
      <c r="AB32" s="294"/>
      <c r="AC32" s="294"/>
      <c r="AD32" s="294"/>
      <c r="AE32" s="294"/>
      <c r="AF32" s="294"/>
      <c r="AG32" s="294"/>
      <c r="AH32" s="294"/>
    </row>
    <row r="33" spans="1:34" s="67" customFormat="1" ht="7.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523"/>
      <c r="AB33" s="294"/>
      <c r="AC33" s="294"/>
      <c r="AD33" s="294"/>
      <c r="AE33" s="294"/>
      <c r="AF33" s="294"/>
      <c r="AG33" s="294"/>
      <c r="AH33" s="294"/>
    </row>
    <row r="34" spans="1:34" s="21" customFormat="1" ht="23.25" customHeight="1">
      <c r="A34" s="94">
        <v>14</v>
      </c>
      <c r="B34" s="220" t="s">
        <v>118</v>
      </c>
      <c r="C34" s="95">
        <f t="shared" ref="C34:D49" si="6">E34+I34+M34+Q34+U34</f>
        <v>2237686406</v>
      </c>
      <c r="D34" s="344">
        <f t="shared" si="6"/>
        <v>1298353689</v>
      </c>
      <c r="E34" s="96">
        <v>1824656663</v>
      </c>
      <c r="F34" s="96">
        <v>1066841849</v>
      </c>
      <c r="G34" s="96">
        <v>0</v>
      </c>
      <c r="H34" s="96">
        <v>0</v>
      </c>
      <c r="I34" s="96">
        <v>406373276</v>
      </c>
      <c r="J34" s="96">
        <v>231511840</v>
      </c>
      <c r="K34" s="96">
        <v>40570363</v>
      </c>
      <c r="L34" s="96">
        <v>23073859</v>
      </c>
      <c r="M34" s="96">
        <v>2854310</v>
      </c>
      <c r="N34" s="96">
        <v>0</v>
      </c>
      <c r="O34" s="96">
        <v>713578</v>
      </c>
      <c r="P34" s="96">
        <v>0</v>
      </c>
      <c r="Q34" s="96">
        <v>1850822</v>
      </c>
      <c r="R34" s="96">
        <v>0</v>
      </c>
      <c r="S34" s="96">
        <v>925411</v>
      </c>
      <c r="T34" s="96">
        <v>0</v>
      </c>
      <c r="U34" s="96">
        <v>1951335</v>
      </c>
      <c r="V34" s="96">
        <v>0</v>
      </c>
      <c r="W34" s="96">
        <v>1951335</v>
      </c>
      <c r="X34" s="96">
        <v>0</v>
      </c>
      <c r="Y34" s="343">
        <f>+W34+S34+O34+K34</f>
        <v>44160687</v>
      </c>
      <c r="Z34" s="343">
        <f>+X34+T34+P34+L34</f>
        <v>23073859</v>
      </c>
      <c r="AA34" s="524">
        <f>+'Aging Analysis'!C25</f>
        <v>2237686406</v>
      </c>
      <c r="AB34" s="294"/>
      <c r="AC34" s="294"/>
      <c r="AD34" s="294"/>
      <c r="AE34" s="294"/>
      <c r="AF34" s="294"/>
      <c r="AG34" s="294"/>
      <c r="AH34" s="294"/>
    </row>
    <row r="35" spans="1:34" s="21" customFormat="1" ht="14.25" customHeight="1">
      <c r="A35" s="64"/>
      <c r="B35" s="93" t="s">
        <v>571</v>
      </c>
      <c r="C35" s="95">
        <f t="shared" si="6"/>
        <v>0</v>
      </c>
      <c r="D35" s="344">
        <f t="shared" si="6"/>
        <v>0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65">
        <f t="shared" ref="Y35:Y49" si="7">+W35+S35+O35+K35</f>
        <v>0</v>
      </c>
      <c r="Z35" s="65">
        <f t="shared" ref="Z35:Z49" si="8">+X35+T35+P35+L35</f>
        <v>0</v>
      </c>
      <c r="AA35" s="651">
        <f>+AA34-C34</f>
        <v>0</v>
      </c>
      <c r="AB35" s="294"/>
      <c r="AC35" s="294"/>
      <c r="AD35" s="294"/>
      <c r="AE35" s="294"/>
      <c r="AF35" s="294"/>
      <c r="AG35" s="294"/>
      <c r="AH35" s="294"/>
    </row>
    <row r="36" spans="1:34" s="21" customFormat="1" ht="23.25" customHeight="1">
      <c r="A36" s="94">
        <v>15</v>
      </c>
      <c r="B36" s="90" t="s">
        <v>126</v>
      </c>
      <c r="C36" s="95">
        <f t="shared" si="6"/>
        <v>2167103674</v>
      </c>
      <c r="D36" s="344">
        <f t="shared" si="6"/>
        <v>352882775</v>
      </c>
      <c r="E36" s="96">
        <v>1618847517</v>
      </c>
      <c r="F36" s="96">
        <v>232810109</v>
      </c>
      <c r="G36" s="96">
        <v>0</v>
      </c>
      <c r="H36" s="96">
        <v>0</v>
      </c>
      <c r="I36" s="96">
        <v>502209375</v>
      </c>
      <c r="J36" s="96">
        <v>120072666</v>
      </c>
      <c r="K36" s="96">
        <v>50227687</v>
      </c>
      <c r="L36" s="96">
        <v>12007267</v>
      </c>
      <c r="M36" s="96">
        <v>16112426</v>
      </c>
      <c r="N36" s="96">
        <v>0</v>
      </c>
      <c r="O36" s="96">
        <v>4028106</v>
      </c>
      <c r="P36" s="96">
        <v>0</v>
      </c>
      <c r="Q36" s="96">
        <v>23574190</v>
      </c>
      <c r="R36" s="96">
        <v>0</v>
      </c>
      <c r="S36" s="96">
        <v>11787095</v>
      </c>
      <c r="T36" s="96">
        <v>0</v>
      </c>
      <c r="U36" s="96">
        <v>6360166</v>
      </c>
      <c r="V36" s="96">
        <v>0</v>
      </c>
      <c r="W36" s="96">
        <v>6360166</v>
      </c>
      <c r="X36" s="96">
        <v>0</v>
      </c>
      <c r="Y36" s="343">
        <f t="shared" si="7"/>
        <v>72403054</v>
      </c>
      <c r="Z36" s="343">
        <f t="shared" si="8"/>
        <v>12007267</v>
      </c>
      <c r="AA36" s="524">
        <f>+'Aging Analysis'!C26</f>
        <v>2167103674</v>
      </c>
      <c r="AB36" s="294"/>
      <c r="AC36" s="294"/>
      <c r="AD36" s="294"/>
      <c r="AE36" s="294"/>
      <c r="AF36" s="294"/>
      <c r="AG36" s="294"/>
      <c r="AH36" s="294"/>
    </row>
    <row r="37" spans="1:34" s="21" customFormat="1" ht="14.25" customHeight="1">
      <c r="A37" s="64"/>
      <c r="B37" s="93" t="s">
        <v>571</v>
      </c>
      <c r="C37" s="95">
        <f t="shared" si="6"/>
        <v>0</v>
      </c>
      <c r="D37" s="344">
        <f t="shared" si="6"/>
        <v>0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65">
        <f t="shared" si="7"/>
        <v>0</v>
      </c>
      <c r="Z37" s="65">
        <f t="shared" si="8"/>
        <v>0</v>
      </c>
      <c r="AA37" s="651">
        <f>+AA36-C36</f>
        <v>0</v>
      </c>
      <c r="AB37" s="294"/>
      <c r="AC37" s="294"/>
      <c r="AD37" s="294"/>
      <c r="AE37" s="294"/>
      <c r="AF37" s="294"/>
      <c r="AG37" s="294"/>
      <c r="AH37" s="294"/>
    </row>
    <row r="38" spans="1:34" s="21" customFormat="1" ht="23.25" customHeight="1">
      <c r="A38" s="94">
        <v>16</v>
      </c>
      <c r="B38" s="90" t="s">
        <v>129</v>
      </c>
      <c r="C38" s="95">
        <f t="shared" si="6"/>
        <v>535740133</v>
      </c>
      <c r="D38" s="344">
        <f t="shared" si="6"/>
        <v>196653734</v>
      </c>
      <c r="E38" s="96">
        <v>395472529</v>
      </c>
      <c r="F38" s="96">
        <v>104758856</v>
      </c>
      <c r="G38" s="96">
        <v>0</v>
      </c>
      <c r="H38" s="96">
        <v>0</v>
      </c>
      <c r="I38" s="96">
        <v>135184009</v>
      </c>
      <c r="J38" s="96">
        <v>91894878</v>
      </c>
      <c r="K38" s="96">
        <v>13518401</v>
      </c>
      <c r="L38" s="96">
        <v>9189488</v>
      </c>
      <c r="M38" s="96">
        <v>560024</v>
      </c>
      <c r="N38" s="96">
        <v>0</v>
      </c>
      <c r="O38" s="96">
        <v>140006</v>
      </c>
      <c r="P38" s="96">
        <v>0</v>
      </c>
      <c r="Q38" s="96">
        <v>1310310</v>
      </c>
      <c r="R38" s="96">
        <v>0</v>
      </c>
      <c r="S38" s="96">
        <v>655155</v>
      </c>
      <c r="T38" s="96">
        <v>0</v>
      </c>
      <c r="U38" s="96">
        <v>3213261</v>
      </c>
      <c r="V38" s="96">
        <v>0</v>
      </c>
      <c r="W38" s="96">
        <v>3213261</v>
      </c>
      <c r="X38" s="96">
        <v>0</v>
      </c>
      <c r="Y38" s="343">
        <f t="shared" si="7"/>
        <v>17526823</v>
      </c>
      <c r="Z38" s="343">
        <f t="shared" si="8"/>
        <v>9189488</v>
      </c>
      <c r="AA38" s="524">
        <f>+'Aging Analysis'!C27</f>
        <v>535740133</v>
      </c>
      <c r="AB38" s="294"/>
      <c r="AC38" s="294"/>
      <c r="AD38" s="294"/>
      <c r="AE38" s="294"/>
      <c r="AF38" s="294"/>
      <c r="AG38" s="294"/>
      <c r="AH38" s="294"/>
    </row>
    <row r="39" spans="1:34" s="21" customFormat="1" ht="14.25" customHeight="1">
      <c r="A39" s="64"/>
      <c r="B39" s="93" t="s">
        <v>571</v>
      </c>
      <c r="C39" s="95">
        <f t="shared" si="6"/>
        <v>0</v>
      </c>
      <c r="D39" s="344">
        <f t="shared" si="6"/>
        <v>0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65">
        <f t="shared" si="7"/>
        <v>0</v>
      </c>
      <c r="Z39" s="65">
        <f t="shared" si="8"/>
        <v>0</v>
      </c>
      <c r="AA39" s="651">
        <f>+AA38-C38</f>
        <v>0</v>
      </c>
      <c r="AB39" s="294"/>
      <c r="AC39" s="294"/>
      <c r="AD39" s="294"/>
      <c r="AE39" s="294"/>
      <c r="AF39" s="294"/>
      <c r="AG39" s="294"/>
      <c r="AH39" s="294"/>
    </row>
    <row r="40" spans="1:34" s="21" customFormat="1" ht="23.25" customHeight="1">
      <c r="A40" s="94">
        <v>17</v>
      </c>
      <c r="B40" s="90" t="s">
        <v>131</v>
      </c>
      <c r="C40" s="95">
        <f t="shared" si="6"/>
        <v>374350021</v>
      </c>
      <c r="D40" s="344">
        <f t="shared" si="6"/>
        <v>19624650</v>
      </c>
      <c r="E40" s="96">
        <v>291994997</v>
      </c>
      <c r="F40" s="96">
        <v>19624650</v>
      </c>
      <c r="G40" s="96">
        <v>0</v>
      </c>
      <c r="H40" s="96">
        <v>0</v>
      </c>
      <c r="I40" s="96">
        <v>81509125</v>
      </c>
      <c r="J40" s="96">
        <v>0</v>
      </c>
      <c r="K40" s="96">
        <v>8650913</v>
      </c>
      <c r="L40" s="96">
        <v>0</v>
      </c>
      <c r="M40" s="96">
        <v>605658</v>
      </c>
      <c r="N40" s="96">
        <v>0</v>
      </c>
      <c r="O40" s="96">
        <v>151414</v>
      </c>
      <c r="P40" s="96">
        <v>0</v>
      </c>
      <c r="Q40" s="96">
        <v>0</v>
      </c>
      <c r="R40" s="96">
        <v>0</v>
      </c>
      <c r="S40" s="96">
        <v>0</v>
      </c>
      <c r="T40" s="96">
        <v>0</v>
      </c>
      <c r="U40" s="96">
        <v>240241</v>
      </c>
      <c r="V40" s="96">
        <v>0</v>
      </c>
      <c r="W40" s="96">
        <v>240241</v>
      </c>
      <c r="X40" s="96">
        <v>0</v>
      </c>
      <c r="Y40" s="343">
        <f t="shared" si="7"/>
        <v>9042568</v>
      </c>
      <c r="Z40" s="343">
        <f t="shared" si="8"/>
        <v>0</v>
      </c>
      <c r="AA40" s="524">
        <f>+'Aging Analysis'!C28</f>
        <v>374350021</v>
      </c>
      <c r="AB40" s="294"/>
      <c r="AC40" s="294"/>
      <c r="AD40" s="294"/>
      <c r="AE40" s="294"/>
      <c r="AF40" s="294"/>
      <c r="AG40" s="294"/>
      <c r="AH40" s="294"/>
    </row>
    <row r="41" spans="1:34" s="21" customFormat="1" ht="14.25" customHeight="1">
      <c r="A41" s="64"/>
      <c r="B41" s="93" t="s">
        <v>571</v>
      </c>
      <c r="C41" s="95">
        <f t="shared" si="6"/>
        <v>0</v>
      </c>
      <c r="D41" s="344">
        <f t="shared" si="6"/>
        <v>0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65">
        <f t="shared" si="7"/>
        <v>0</v>
      </c>
      <c r="Z41" s="65">
        <f t="shared" si="8"/>
        <v>0</v>
      </c>
      <c r="AA41" s="651">
        <f>+AA40-C40</f>
        <v>0</v>
      </c>
      <c r="AB41" s="294"/>
      <c r="AC41" s="294"/>
      <c r="AD41" s="294"/>
      <c r="AE41" s="294"/>
      <c r="AF41" s="294"/>
      <c r="AG41" s="294"/>
      <c r="AH41" s="294"/>
    </row>
    <row r="42" spans="1:34" s="21" customFormat="1" ht="23.25" customHeight="1">
      <c r="A42" s="94">
        <v>18</v>
      </c>
      <c r="B42" s="90" t="s">
        <v>133</v>
      </c>
      <c r="C42" s="95">
        <f t="shared" si="6"/>
        <v>757760211</v>
      </c>
      <c r="D42" s="344">
        <f t="shared" si="6"/>
        <v>280650519</v>
      </c>
      <c r="E42" s="96">
        <v>630050765</v>
      </c>
      <c r="F42" s="96">
        <v>280650519</v>
      </c>
      <c r="G42" s="96">
        <v>0</v>
      </c>
      <c r="H42" s="96">
        <v>0</v>
      </c>
      <c r="I42" s="96">
        <v>117999849</v>
      </c>
      <c r="J42" s="96">
        <v>0</v>
      </c>
      <c r="K42" s="96">
        <v>11799985</v>
      </c>
      <c r="L42" s="96">
        <v>0</v>
      </c>
      <c r="M42" s="96">
        <v>2409024</v>
      </c>
      <c r="N42" s="96">
        <v>0</v>
      </c>
      <c r="O42" s="96">
        <v>602256</v>
      </c>
      <c r="P42" s="96">
        <v>0</v>
      </c>
      <c r="Q42" s="96">
        <v>4749582</v>
      </c>
      <c r="R42" s="96">
        <v>0</v>
      </c>
      <c r="S42" s="96">
        <v>2374791</v>
      </c>
      <c r="T42" s="96">
        <v>0</v>
      </c>
      <c r="U42" s="96">
        <v>2550991</v>
      </c>
      <c r="V42" s="96">
        <v>0</v>
      </c>
      <c r="W42" s="96">
        <v>2550991</v>
      </c>
      <c r="X42" s="96">
        <v>0</v>
      </c>
      <c r="Y42" s="343">
        <f t="shared" si="7"/>
        <v>17328023</v>
      </c>
      <c r="Z42" s="343">
        <f t="shared" si="8"/>
        <v>0</v>
      </c>
      <c r="AA42" s="524">
        <f>+'Aging Analysis'!C29</f>
        <v>757760211</v>
      </c>
      <c r="AB42" s="294"/>
      <c r="AC42" s="294"/>
      <c r="AD42" s="294"/>
      <c r="AE42" s="294"/>
      <c r="AF42" s="294"/>
      <c r="AG42" s="294"/>
      <c r="AH42" s="294"/>
    </row>
    <row r="43" spans="1:34" s="21" customFormat="1" ht="14.25" customHeight="1">
      <c r="A43" s="64"/>
      <c r="B43" s="93" t="s">
        <v>571</v>
      </c>
      <c r="C43" s="95">
        <f t="shared" si="6"/>
        <v>0</v>
      </c>
      <c r="D43" s="344">
        <f t="shared" si="6"/>
        <v>0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65">
        <f t="shared" si="7"/>
        <v>0</v>
      </c>
      <c r="Z43" s="65">
        <f t="shared" si="8"/>
        <v>0</v>
      </c>
      <c r="AA43" s="651">
        <f>+AA42-C42</f>
        <v>0</v>
      </c>
      <c r="AB43" s="294"/>
      <c r="AC43" s="294"/>
      <c r="AD43" s="294"/>
      <c r="AE43" s="294"/>
      <c r="AF43" s="294"/>
      <c r="AG43" s="294"/>
      <c r="AH43" s="294"/>
    </row>
    <row r="44" spans="1:34" s="21" customFormat="1" ht="23.25" customHeight="1">
      <c r="A44" s="94">
        <v>19</v>
      </c>
      <c r="B44" s="90" t="s">
        <v>135</v>
      </c>
      <c r="C44" s="95">
        <f t="shared" si="6"/>
        <v>1372056029</v>
      </c>
      <c r="D44" s="344">
        <f t="shared" si="6"/>
        <v>662585053</v>
      </c>
      <c r="E44" s="96">
        <v>1161702733</v>
      </c>
      <c r="F44" s="96">
        <v>594789231</v>
      </c>
      <c r="G44" s="96">
        <v>0</v>
      </c>
      <c r="H44" s="96">
        <v>0</v>
      </c>
      <c r="I44" s="96">
        <v>203481814</v>
      </c>
      <c r="J44" s="96">
        <v>67795822</v>
      </c>
      <c r="K44" s="96">
        <v>20348181</v>
      </c>
      <c r="L44" s="96">
        <v>6779582</v>
      </c>
      <c r="M44" s="96">
        <v>4795921</v>
      </c>
      <c r="N44" s="96">
        <v>0</v>
      </c>
      <c r="O44" s="96">
        <v>1198980</v>
      </c>
      <c r="P44" s="96">
        <v>0</v>
      </c>
      <c r="Q44" s="96">
        <v>1125519</v>
      </c>
      <c r="R44" s="96">
        <v>0</v>
      </c>
      <c r="S44" s="96">
        <v>562760</v>
      </c>
      <c r="T44" s="96">
        <v>0</v>
      </c>
      <c r="U44" s="96">
        <v>950042</v>
      </c>
      <c r="V44" s="96">
        <v>0</v>
      </c>
      <c r="W44" s="96">
        <v>950042</v>
      </c>
      <c r="X44" s="96">
        <v>0</v>
      </c>
      <c r="Y44" s="343">
        <f t="shared" si="7"/>
        <v>23059963</v>
      </c>
      <c r="Z44" s="343">
        <f t="shared" si="8"/>
        <v>6779582</v>
      </c>
      <c r="AA44" s="524">
        <f>+'Aging Analysis'!C30</f>
        <v>1372056029</v>
      </c>
      <c r="AB44" s="294"/>
      <c r="AC44" s="294"/>
      <c r="AD44" s="294"/>
      <c r="AE44" s="294"/>
      <c r="AF44" s="294"/>
      <c r="AG44" s="294"/>
      <c r="AH44" s="294"/>
    </row>
    <row r="45" spans="1:34" s="21" customFormat="1" ht="14.25" customHeight="1">
      <c r="A45" s="64"/>
      <c r="B45" s="93" t="s">
        <v>571</v>
      </c>
      <c r="C45" s="95">
        <f t="shared" si="6"/>
        <v>0</v>
      </c>
      <c r="D45" s="344">
        <f t="shared" si="6"/>
        <v>0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65">
        <f t="shared" si="7"/>
        <v>0</v>
      </c>
      <c r="Z45" s="65">
        <f t="shared" si="8"/>
        <v>0</v>
      </c>
      <c r="AA45" s="651">
        <f>+AA44-C44</f>
        <v>0</v>
      </c>
      <c r="AB45" s="294"/>
      <c r="AC45" s="294"/>
      <c r="AD45" s="294"/>
      <c r="AE45" s="294"/>
      <c r="AF45" s="294"/>
      <c r="AG45" s="294"/>
      <c r="AH45" s="294"/>
    </row>
    <row r="46" spans="1:34" s="21" customFormat="1" ht="23.25" customHeight="1">
      <c r="A46" s="94">
        <v>20</v>
      </c>
      <c r="B46" s="90" t="s">
        <v>137</v>
      </c>
      <c r="C46" s="95">
        <f t="shared" si="6"/>
        <v>107626665</v>
      </c>
      <c r="D46" s="344">
        <f t="shared" si="6"/>
        <v>0</v>
      </c>
      <c r="E46" s="96">
        <v>107626665</v>
      </c>
      <c r="F46" s="96">
        <v>0</v>
      </c>
      <c r="G46" s="96">
        <v>0</v>
      </c>
      <c r="H46" s="96">
        <v>0</v>
      </c>
      <c r="I46" s="96">
        <v>0</v>
      </c>
      <c r="J46" s="96">
        <v>0</v>
      </c>
      <c r="K46" s="96">
        <v>0</v>
      </c>
      <c r="L46" s="96">
        <v>0</v>
      </c>
      <c r="M46" s="96">
        <v>0</v>
      </c>
      <c r="N46" s="96">
        <v>0</v>
      </c>
      <c r="O46" s="96">
        <v>0</v>
      </c>
      <c r="P46" s="96">
        <v>0</v>
      </c>
      <c r="Q46" s="96">
        <v>0</v>
      </c>
      <c r="R46" s="96">
        <v>0</v>
      </c>
      <c r="S46" s="96">
        <v>0</v>
      </c>
      <c r="T46" s="96">
        <v>0</v>
      </c>
      <c r="U46" s="96">
        <v>0</v>
      </c>
      <c r="V46" s="96">
        <v>0</v>
      </c>
      <c r="W46" s="96">
        <v>0</v>
      </c>
      <c r="X46" s="96">
        <v>0</v>
      </c>
      <c r="Y46" s="343">
        <f t="shared" si="7"/>
        <v>0</v>
      </c>
      <c r="Z46" s="343">
        <f t="shared" si="8"/>
        <v>0</v>
      </c>
      <c r="AA46" s="524">
        <f>+'Aging Analysis'!C31</f>
        <v>107626665</v>
      </c>
      <c r="AB46" s="294"/>
      <c r="AC46" s="294"/>
      <c r="AD46" s="294"/>
      <c r="AE46" s="294"/>
      <c r="AF46" s="294"/>
      <c r="AG46" s="294"/>
      <c r="AH46" s="294"/>
    </row>
    <row r="47" spans="1:34" s="21" customFormat="1" ht="14.25" customHeight="1">
      <c r="A47" s="64"/>
      <c r="B47" s="93" t="s">
        <v>571</v>
      </c>
      <c r="C47" s="95">
        <f t="shared" si="6"/>
        <v>0</v>
      </c>
      <c r="D47" s="344">
        <f t="shared" si="6"/>
        <v>0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65">
        <f t="shared" si="7"/>
        <v>0</v>
      </c>
      <c r="Z47" s="65">
        <f t="shared" si="8"/>
        <v>0</v>
      </c>
      <c r="AA47" s="651">
        <f>+AA46-C46</f>
        <v>0</v>
      </c>
      <c r="AB47" s="294"/>
      <c r="AC47" s="294"/>
      <c r="AD47" s="294"/>
      <c r="AE47" s="294"/>
      <c r="AF47" s="294"/>
      <c r="AG47" s="294"/>
      <c r="AH47" s="294"/>
    </row>
    <row r="48" spans="1:34" s="21" customFormat="1" ht="23.25" customHeight="1">
      <c r="A48" s="94">
        <v>21</v>
      </c>
      <c r="B48" s="90" t="s">
        <v>175</v>
      </c>
      <c r="C48" s="95">
        <f t="shared" si="6"/>
        <v>987475417</v>
      </c>
      <c r="D48" s="344">
        <f t="shared" si="6"/>
        <v>5773955</v>
      </c>
      <c r="E48" s="96">
        <v>881849889</v>
      </c>
      <c r="F48" s="96">
        <v>5773955</v>
      </c>
      <c r="G48" s="96">
        <v>0</v>
      </c>
      <c r="H48" s="96">
        <v>0</v>
      </c>
      <c r="I48" s="96">
        <v>94232409</v>
      </c>
      <c r="J48" s="96">
        <v>0</v>
      </c>
      <c r="K48" s="96">
        <v>9428661</v>
      </c>
      <c r="L48" s="96">
        <v>0</v>
      </c>
      <c r="M48" s="96">
        <v>7135928</v>
      </c>
      <c r="N48" s="96">
        <v>0</v>
      </c>
      <c r="O48" s="96">
        <v>1783982</v>
      </c>
      <c r="P48" s="96">
        <v>0</v>
      </c>
      <c r="Q48" s="96">
        <v>3308601</v>
      </c>
      <c r="R48" s="96">
        <v>0</v>
      </c>
      <c r="S48" s="96">
        <v>1711801</v>
      </c>
      <c r="T48" s="96">
        <v>0</v>
      </c>
      <c r="U48" s="96">
        <v>948590</v>
      </c>
      <c r="V48" s="96">
        <v>0</v>
      </c>
      <c r="W48" s="96">
        <v>948590</v>
      </c>
      <c r="X48" s="96">
        <v>0</v>
      </c>
      <c r="Y48" s="343">
        <f t="shared" si="7"/>
        <v>13873034</v>
      </c>
      <c r="Z48" s="343">
        <f t="shared" si="8"/>
        <v>0</v>
      </c>
      <c r="AA48" s="524">
        <f>+'Aging Analysis'!C32</f>
        <v>987475417</v>
      </c>
      <c r="AB48" s="294"/>
      <c r="AC48" s="294"/>
      <c r="AD48" s="294"/>
      <c r="AE48" s="294"/>
      <c r="AF48" s="294"/>
      <c r="AG48" s="294"/>
      <c r="AH48" s="294"/>
    </row>
    <row r="49" spans="1:34" s="21" customFormat="1" ht="14.25" customHeight="1">
      <c r="A49" s="64"/>
      <c r="B49" s="93" t="s">
        <v>571</v>
      </c>
      <c r="C49" s="95">
        <f t="shared" si="6"/>
        <v>0</v>
      </c>
      <c r="D49" s="344">
        <f t="shared" si="6"/>
        <v>0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65">
        <f t="shared" si="7"/>
        <v>0</v>
      </c>
      <c r="Z49" s="65">
        <f t="shared" si="8"/>
        <v>0</v>
      </c>
      <c r="AA49" s="651">
        <f>+AA48-C48</f>
        <v>0</v>
      </c>
      <c r="AB49" s="294"/>
      <c r="AC49" s="294"/>
      <c r="AD49" s="294"/>
      <c r="AE49" s="294"/>
      <c r="AF49" s="294"/>
      <c r="AG49" s="294"/>
      <c r="AH49" s="294"/>
    </row>
    <row r="50" spans="1:34" s="113" customFormat="1" ht="28.5" customHeight="1">
      <c r="A50" s="249">
        <v>22</v>
      </c>
      <c r="B50" s="249" t="s">
        <v>173</v>
      </c>
      <c r="C50" s="253">
        <f>+C34+C36+C38+C40+C42+C44+C46+C48</f>
        <v>8539798556</v>
      </c>
      <c r="D50" s="253">
        <f t="shared" ref="D50:Z50" si="9">+D34+D36+D38+D40+D42+D44+D46+D48</f>
        <v>2816524375</v>
      </c>
      <c r="E50" s="253">
        <f t="shared" si="9"/>
        <v>6912201758</v>
      </c>
      <c r="F50" s="253">
        <f t="shared" si="9"/>
        <v>2305249169</v>
      </c>
      <c r="G50" s="253">
        <f t="shared" si="9"/>
        <v>0</v>
      </c>
      <c r="H50" s="253">
        <f t="shared" si="9"/>
        <v>0</v>
      </c>
      <c r="I50" s="253">
        <f t="shared" si="9"/>
        <v>1540989857</v>
      </c>
      <c r="J50" s="253">
        <f t="shared" si="9"/>
        <v>511275206</v>
      </c>
      <c r="K50" s="253">
        <f t="shared" si="9"/>
        <v>154544191</v>
      </c>
      <c r="L50" s="253">
        <f t="shared" si="9"/>
        <v>51050196</v>
      </c>
      <c r="M50" s="253">
        <f t="shared" si="9"/>
        <v>34473291</v>
      </c>
      <c r="N50" s="253">
        <f t="shared" si="9"/>
        <v>0</v>
      </c>
      <c r="O50" s="253">
        <f t="shared" si="9"/>
        <v>8618322</v>
      </c>
      <c r="P50" s="253">
        <f t="shared" si="9"/>
        <v>0</v>
      </c>
      <c r="Q50" s="253">
        <f t="shared" si="9"/>
        <v>35919024</v>
      </c>
      <c r="R50" s="253">
        <f t="shared" si="9"/>
        <v>0</v>
      </c>
      <c r="S50" s="253">
        <f t="shared" si="9"/>
        <v>18017013</v>
      </c>
      <c r="T50" s="253">
        <f t="shared" si="9"/>
        <v>0</v>
      </c>
      <c r="U50" s="253">
        <f t="shared" si="9"/>
        <v>16214626</v>
      </c>
      <c r="V50" s="253">
        <f t="shared" si="9"/>
        <v>0</v>
      </c>
      <c r="W50" s="253">
        <f t="shared" si="9"/>
        <v>16214626</v>
      </c>
      <c r="X50" s="253">
        <f t="shared" si="9"/>
        <v>0</v>
      </c>
      <c r="Y50" s="253">
        <f t="shared" si="9"/>
        <v>197394152</v>
      </c>
      <c r="Z50" s="253">
        <f t="shared" si="9"/>
        <v>51050196</v>
      </c>
      <c r="AA50" s="523"/>
      <c r="AB50" s="294"/>
      <c r="AC50" s="294"/>
      <c r="AD50" s="294"/>
      <c r="AE50" s="294"/>
      <c r="AF50" s="294"/>
      <c r="AG50" s="294"/>
      <c r="AH50" s="294"/>
    </row>
    <row r="51" spans="1:34" s="21" customFormat="1" ht="23.25" customHeight="1">
      <c r="A51" s="94"/>
      <c r="B51" s="93" t="s">
        <v>571</v>
      </c>
      <c r="C51" s="92">
        <f>+C35+C37+C39+C41+C43+C45+C47+C49</f>
        <v>0</v>
      </c>
      <c r="D51" s="92">
        <f t="shared" ref="D51:Z51" si="10">+D35+D37+D39+D41+D43+D45+D47+D49</f>
        <v>0</v>
      </c>
      <c r="E51" s="96">
        <f t="shared" si="10"/>
        <v>0</v>
      </c>
      <c r="F51" s="96">
        <f t="shared" si="10"/>
        <v>0</v>
      </c>
      <c r="G51" s="96">
        <f t="shared" si="10"/>
        <v>0</v>
      </c>
      <c r="H51" s="96">
        <f t="shared" si="10"/>
        <v>0</v>
      </c>
      <c r="I51" s="96">
        <f t="shared" si="10"/>
        <v>0</v>
      </c>
      <c r="J51" s="96">
        <f t="shared" si="10"/>
        <v>0</v>
      </c>
      <c r="K51" s="96">
        <f t="shared" si="10"/>
        <v>0</v>
      </c>
      <c r="L51" s="96">
        <f t="shared" si="10"/>
        <v>0</v>
      </c>
      <c r="M51" s="96">
        <f t="shared" si="10"/>
        <v>0</v>
      </c>
      <c r="N51" s="96">
        <f t="shared" si="10"/>
        <v>0</v>
      </c>
      <c r="O51" s="96">
        <f t="shared" si="10"/>
        <v>0</v>
      </c>
      <c r="P51" s="96">
        <f t="shared" si="10"/>
        <v>0</v>
      </c>
      <c r="Q51" s="96">
        <f t="shared" si="10"/>
        <v>0</v>
      </c>
      <c r="R51" s="96">
        <f t="shared" si="10"/>
        <v>0</v>
      </c>
      <c r="S51" s="96">
        <f t="shared" si="10"/>
        <v>0</v>
      </c>
      <c r="T51" s="96">
        <f t="shared" si="10"/>
        <v>0</v>
      </c>
      <c r="U51" s="96">
        <f t="shared" si="10"/>
        <v>0</v>
      </c>
      <c r="V51" s="96">
        <f t="shared" si="10"/>
        <v>0</v>
      </c>
      <c r="W51" s="96">
        <f t="shared" si="10"/>
        <v>0</v>
      </c>
      <c r="X51" s="96">
        <f t="shared" si="10"/>
        <v>0</v>
      </c>
      <c r="Y51" s="92">
        <f t="shared" si="10"/>
        <v>0</v>
      </c>
      <c r="Z51" s="92">
        <f t="shared" si="10"/>
        <v>0</v>
      </c>
      <c r="AA51" s="523"/>
      <c r="AB51" s="294"/>
      <c r="AC51" s="294"/>
      <c r="AD51" s="294"/>
      <c r="AE51" s="294"/>
      <c r="AF51" s="294"/>
      <c r="AG51" s="294"/>
      <c r="AH51" s="294"/>
    </row>
    <row r="52" spans="1:34" s="67" customFormat="1" ht="27.75" customHeight="1">
      <c r="A52" s="253"/>
      <c r="B52" s="253" t="s">
        <v>786</v>
      </c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523"/>
      <c r="AB52" s="294"/>
      <c r="AC52" s="294"/>
      <c r="AD52" s="294"/>
      <c r="AE52" s="294"/>
      <c r="AF52" s="294"/>
      <c r="AG52" s="294"/>
      <c r="AH52" s="294"/>
    </row>
    <row r="53" spans="1:34" s="67" customFormat="1" ht="7.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523"/>
      <c r="AB53" s="294"/>
      <c r="AC53" s="294"/>
      <c r="AD53" s="294"/>
      <c r="AE53" s="294"/>
      <c r="AF53" s="294"/>
      <c r="AG53" s="294"/>
      <c r="AH53" s="294"/>
    </row>
    <row r="54" spans="1:34" s="371" customFormat="1" ht="21.75" customHeight="1">
      <c r="A54" s="415">
        <v>23</v>
      </c>
      <c r="B54" s="220" t="s">
        <v>772</v>
      </c>
      <c r="C54" s="95">
        <f t="shared" ref="C54:D67" si="11">E54+I54+M54+Q54+U54</f>
        <v>441572218</v>
      </c>
      <c r="D54" s="344">
        <f t="shared" si="11"/>
        <v>38990548</v>
      </c>
      <c r="E54" s="96">
        <v>306168447</v>
      </c>
      <c r="F54" s="96">
        <v>733384</v>
      </c>
      <c r="G54" s="96">
        <v>0</v>
      </c>
      <c r="H54" s="96">
        <v>0</v>
      </c>
      <c r="I54" s="96">
        <v>129316979</v>
      </c>
      <c r="J54" s="96">
        <v>38257164</v>
      </c>
      <c r="K54" s="96">
        <v>12931698</v>
      </c>
      <c r="L54" s="96">
        <v>3825716</v>
      </c>
      <c r="M54" s="96">
        <v>3476320</v>
      </c>
      <c r="N54" s="96">
        <v>0</v>
      </c>
      <c r="O54" s="96">
        <v>869080</v>
      </c>
      <c r="P54" s="96">
        <v>0</v>
      </c>
      <c r="Q54" s="96">
        <v>1320395</v>
      </c>
      <c r="R54" s="96">
        <v>0</v>
      </c>
      <c r="S54" s="96">
        <v>660198</v>
      </c>
      <c r="T54" s="96">
        <v>0</v>
      </c>
      <c r="U54" s="96">
        <v>1290077</v>
      </c>
      <c r="V54" s="96">
        <v>0</v>
      </c>
      <c r="W54" s="96">
        <v>1290077</v>
      </c>
      <c r="X54" s="96">
        <v>0</v>
      </c>
      <c r="Y54" s="343">
        <f t="shared" ref="Y54:Y67" si="12">+W54+S54+O54+K54</f>
        <v>15751053</v>
      </c>
      <c r="Z54" s="343">
        <f>+X54+T54+P54+L54</f>
        <v>3825716</v>
      </c>
      <c r="AA54" s="525"/>
      <c r="AB54" s="416"/>
      <c r="AC54" s="416"/>
      <c r="AD54" s="416"/>
      <c r="AE54" s="416"/>
      <c r="AF54" s="416"/>
      <c r="AG54" s="416"/>
      <c r="AH54" s="416"/>
    </row>
    <row r="55" spans="1:34" s="371" customFormat="1" ht="21.75" customHeight="1">
      <c r="A55" s="415">
        <v>24</v>
      </c>
      <c r="B55" s="220" t="s">
        <v>773</v>
      </c>
      <c r="C55" s="95">
        <f t="shared" si="11"/>
        <v>447148763</v>
      </c>
      <c r="D55" s="344">
        <f t="shared" si="11"/>
        <v>129117715</v>
      </c>
      <c r="E55" s="96">
        <v>284254662</v>
      </c>
      <c r="F55" s="96">
        <v>66347731</v>
      </c>
      <c r="G55" s="96">
        <v>0</v>
      </c>
      <c r="H55" s="96">
        <v>0</v>
      </c>
      <c r="I55" s="96">
        <v>153677968</v>
      </c>
      <c r="J55" s="96">
        <v>62769984</v>
      </c>
      <c r="K55" s="96">
        <v>15367797</v>
      </c>
      <c r="L55" s="96">
        <v>6276998</v>
      </c>
      <c r="M55" s="96">
        <v>1063059</v>
      </c>
      <c r="N55" s="96">
        <v>0</v>
      </c>
      <c r="O55" s="96">
        <v>265765</v>
      </c>
      <c r="P55" s="96">
        <v>0</v>
      </c>
      <c r="Q55" s="96">
        <v>3452561</v>
      </c>
      <c r="R55" s="96">
        <v>0</v>
      </c>
      <c r="S55" s="96">
        <v>1726281</v>
      </c>
      <c r="T55" s="96">
        <v>0</v>
      </c>
      <c r="U55" s="96">
        <v>4700513</v>
      </c>
      <c r="V55" s="96">
        <v>0</v>
      </c>
      <c r="W55" s="96">
        <v>4700513</v>
      </c>
      <c r="X55" s="96">
        <v>0</v>
      </c>
      <c r="Y55" s="343">
        <f t="shared" si="12"/>
        <v>22060356</v>
      </c>
      <c r="Z55" s="343">
        <f t="shared" ref="Z55:Z67" si="13">+X55+T55+P55+L55</f>
        <v>6276998</v>
      </c>
      <c r="AA55" s="525"/>
      <c r="AB55" s="416"/>
      <c r="AC55" s="416"/>
      <c r="AD55" s="416"/>
      <c r="AE55" s="416"/>
      <c r="AF55" s="416"/>
      <c r="AG55" s="416"/>
      <c r="AH55" s="416"/>
    </row>
    <row r="56" spans="1:34" s="371" customFormat="1" ht="21.75" customHeight="1">
      <c r="A56" s="415">
        <v>25</v>
      </c>
      <c r="B56" s="220" t="s">
        <v>774</v>
      </c>
      <c r="C56" s="95">
        <f t="shared" si="11"/>
        <v>444773413</v>
      </c>
      <c r="D56" s="344">
        <f t="shared" si="11"/>
        <v>79091718</v>
      </c>
      <c r="E56" s="96">
        <v>350079189</v>
      </c>
      <c r="F56" s="96">
        <v>46301404</v>
      </c>
      <c r="G56" s="96">
        <v>0</v>
      </c>
      <c r="H56" s="96">
        <v>0</v>
      </c>
      <c r="I56" s="96">
        <v>94694224</v>
      </c>
      <c r="J56" s="96">
        <v>32790314</v>
      </c>
      <c r="K56" s="96">
        <v>9469422</v>
      </c>
      <c r="L56" s="96">
        <v>3279031</v>
      </c>
      <c r="M56" s="96">
        <v>0</v>
      </c>
      <c r="N56" s="96">
        <v>0</v>
      </c>
      <c r="O56" s="96">
        <v>0</v>
      </c>
      <c r="P56" s="96">
        <v>0</v>
      </c>
      <c r="Q56" s="96">
        <v>0</v>
      </c>
      <c r="R56" s="96">
        <v>0</v>
      </c>
      <c r="S56" s="96">
        <v>0</v>
      </c>
      <c r="T56" s="96">
        <v>0</v>
      </c>
      <c r="U56" s="96">
        <v>0</v>
      </c>
      <c r="V56" s="96">
        <v>0</v>
      </c>
      <c r="W56" s="96">
        <v>0</v>
      </c>
      <c r="X56" s="96">
        <v>0</v>
      </c>
      <c r="Y56" s="343">
        <f t="shared" si="12"/>
        <v>9469422</v>
      </c>
      <c r="Z56" s="343">
        <f t="shared" si="13"/>
        <v>3279031</v>
      </c>
      <c r="AA56" s="525"/>
      <c r="AB56" s="416"/>
      <c r="AC56" s="416"/>
      <c r="AD56" s="416"/>
      <c r="AE56" s="416"/>
      <c r="AF56" s="416"/>
      <c r="AG56" s="416"/>
      <c r="AH56" s="416"/>
    </row>
    <row r="57" spans="1:34" s="371" customFormat="1" ht="21.75" customHeight="1">
      <c r="A57" s="415">
        <v>26</v>
      </c>
      <c r="B57" s="220" t="s">
        <v>775</v>
      </c>
      <c r="C57" s="95">
        <f t="shared" si="11"/>
        <v>378923818</v>
      </c>
      <c r="D57" s="344">
        <f t="shared" si="11"/>
        <v>60434445</v>
      </c>
      <c r="E57" s="96">
        <v>308966767</v>
      </c>
      <c r="F57" s="96">
        <v>58140320</v>
      </c>
      <c r="G57" s="96">
        <v>0</v>
      </c>
      <c r="H57" s="96">
        <v>0</v>
      </c>
      <c r="I57" s="96">
        <v>67418247</v>
      </c>
      <c r="J57" s="96">
        <v>2294125</v>
      </c>
      <c r="K57" s="96">
        <v>7264034</v>
      </c>
      <c r="L57" s="96">
        <v>229412</v>
      </c>
      <c r="M57" s="96">
        <v>413608</v>
      </c>
      <c r="N57" s="96">
        <v>0</v>
      </c>
      <c r="O57" s="96">
        <v>103402</v>
      </c>
      <c r="P57" s="96">
        <v>0</v>
      </c>
      <c r="Q57" s="96">
        <v>1487342</v>
      </c>
      <c r="R57" s="96">
        <v>0</v>
      </c>
      <c r="S57" s="96">
        <v>743671</v>
      </c>
      <c r="T57" s="96">
        <v>0</v>
      </c>
      <c r="U57" s="96">
        <v>637854</v>
      </c>
      <c r="V57" s="96">
        <v>0</v>
      </c>
      <c r="W57" s="96">
        <v>637854</v>
      </c>
      <c r="X57" s="96">
        <v>0</v>
      </c>
      <c r="Y57" s="343">
        <f t="shared" si="12"/>
        <v>8748961</v>
      </c>
      <c r="Z57" s="343">
        <f t="shared" si="13"/>
        <v>229412</v>
      </c>
      <c r="AA57" s="525"/>
      <c r="AB57" s="416"/>
      <c r="AC57" s="416"/>
      <c r="AD57" s="416"/>
      <c r="AE57" s="416"/>
      <c r="AF57" s="416"/>
      <c r="AG57" s="416"/>
      <c r="AH57" s="416"/>
    </row>
    <row r="58" spans="1:34" s="371" customFormat="1" ht="21.75" customHeight="1">
      <c r="A58" s="415">
        <v>27</v>
      </c>
      <c r="B58" s="220" t="s">
        <v>776</v>
      </c>
      <c r="C58" s="95">
        <f t="shared" si="11"/>
        <v>637101140</v>
      </c>
      <c r="D58" s="344">
        <f t="shared" si="11"/>
        <v>120649454</v>
      </c>
      <c r="E58" s="96">
        <v>510836199</v>
      </c>
      <c r="F58" s="96">
        <v>113387432</v>
      </c>
      <c r="G58" s="96">
        <v>0</v>
      </c>
      <c r="H58" s="96">
        <v>0</v>
      </c>
      <c r="I58" s="96">
        <v>99765700</v>
      </c>
      <c r="J58" s="96">
        <v>7262022</v>
      </c>
      <c r="K58" s="96">
        <v>9976570</v>
      </c>
      <c r="L58" s="96">
        <v>726202</v>
      </c>
      <c r="M58" s="96">
        <v>5698871</v>
      </c>
      <c r="N58" s="96">
        <v>0</v>
      </c>
      <c r="O58" s="96">
        <v>1424718</v>
      </c>
      <c r="P58" s="96">
        <v>0</v>
      </c>
      <c r="Q58" s="96">
        <v>19646493</v>
      </c>
      <c r="R58" s="96">
        <v>0</v>
      </c>
      <c r="S58" s="96">
        <v>9823247</v>
      </c>
      <c r="T58" s="96">
        <v>0</v>
      </c>
      <c r="U58" s="96">
        <v>1153877</v>
      </c>
      <c r="V58" s="96">
        <v>0</v>
      </c>
      <c r="W58" s="96">
        <v>1153877</v>
      </c>
      <c r="X58" s="96">
        <v>0</v>
      </c>
      <c r="Y58" s="343">
        <f t="shared" si="12"/>
        <v>22378412</v>
      </c>
      <c r="Z58" s="343">
        <f t="shared" si="13"/>
        <v>726202</v>
      </c>
      <c r="AA58" s="525"/>
      <c r="AB58" s="416"/>
      <c r="AC58" s="416"/>
      <c r="AD58" s="416"/>
      <c r="AE58" s="416"/>
      <c r="AF58" s="416"/>
      <c r="AG58" s="416"/>
      <c r="AH58" s="416"/>
    </row>
    <row r="59" spans="1:34" s="371" customFormat="1" ht="21.75" customHeight="1">
      <c r="A59" s="415">
        <v>28</v>
      </c>
      <c r="B59" s="220" t="s">
        <v>777</v>
      </c>
      <c r="C59" s="95">
        <f t="shared" si="11"/>
        <v>316658999</v>
      </c>
      <c r="D59" s="344">
        <f t="shared" si="11"/>
        <v>17644809</v>
      </c>
      <c r="E59" s="96">
        <v>281744799</v>
      </c>
      <c r="F59" s="96">
        <v>16862496</v>
      </c>
      <c r="G59" s="96">
        <v>0</v>
      </c>
      <c r="H59" s="96">
        <v>0</v>
      </c>
      <c r="I59" s="96">
        <v>34028215</v>
      </c>
      <c r="J59" s="96">
        <v>782313</v>
      </c>
      <c r="K59" s="96">
        <v>3402821</v>
      </c>
      <c r="L59" s="96">
        <v>78231</v>
      </c>
      <c r="M59" s="96">
        <v>52064</v>
      </c>
      <c r="N59" s="96">
        <v>0</v>
      </c>
      <c r="O59" s="96">
        <v>13016</v>
      </c>
      <c r="P59" s="96">
        <v>0</v>
      </c>
      <c r="Q59" s="96">
        <v>42765</v>
      </c>
      <c r="R59" s="96">
        <v>0</v>
      </c>
      <c r="S59" s="96">
        <v>21383</v>
      </c>
      <c r="T59" s="96">
        <v>0</v>
      </c>
      <c r="U59" s="96">
        <v>791156</v>
      </c>
      <c r="V59" s="96">
        <v>0</v>
      </c>
      <c r="W59" s="96">
        <v>791156</v>
      </c>
      <c r="X59" s="96">
        <v>0</v>
      </c>
      <c r="Y59" s="343">
        <f t="shared" si="12"/>
        <v>4228376</v>
      </c>
      <c r="Z59" s="343">
        <f t="shared" si="13"/>
        <v>78231</v>
      </c>
      <c r="AA59" s="525"/>
      <c r="AB59" s="416"/>
      <c r="AC59" s="416"/>
      <c r="AD59" s="416"/>
      <c r="AE59" s="416"/>
      <c r="AF59" s="416"/>
      <c r="AG59" s="416"/>
      <c r="AH59" s="416"/>
    </row>
    <row r="60" spans="1:34" s="371" customFormat="1" ht="21.75" customHeight="1">
      <c r="A60" s="415">
        <v>29</v>
      </c>
      <c r="B60" s="220" t="s">
        <v>778</v>
      </c>
      <c r="C60" s="95">
        <f t="shared" si="11"/>
        <v>574912155</v>
      </c>
      <c r="D60" s="344">
        <f t="shared" si="11"/>
        <v>72790068</v>
      </c>
      <c r="E60" s="96">
        <v>448988194</v>
      </c>
      <c r="F60" s="96">
        <v>61890259</v>
      </c>
      <c r="G60" s="96">
        <v>0</v>
      </c>
      <c r="H60" s="96">
        <v>0</v>
      </c>
      <c r="I60" s="96">
        <v>118131405</v>
      </c>
      <c r="J60" s="96">
        <v>10899809</v>
      </c>
      <c r="K60" s="96">
        <v>11813140</v>
      </c>
      <c r="L60" s="96">
        <v>1089981</v>
      </c>
      <c r="M60" s="96">
        <v>5363154</v>
      </c>
      <c r="N60" s="96">
        <v>0</v>
      </c>
      <c r="O60" s="96">
        <v>1340789</v>
      </c>
      <c r="P60" s="96">
        <v>0</v>
      </c>
      <c r="Q60" s="96">
        <v>1833639</v>
      </c>
      <c r="R60" s="96">
        <v>0</v>
      </c>
      <c r="S60" s="96">
        <v>916820</v>
      </c>
      <c r="T60" s="96">
        <v>0</v>
      </c>
      <c r="U60" s="96">
        <v>595763</v>
      </c>
      <c r="V60" s="96">
        <v>0</v>
      </c>
      <c r="W60" s="96">
        <v>595763</v>
      </c>
      <c r="X60" s="96">
        <v>0</v>
      </c>
      <c r="Y60" s="343">
        <f t="shared" si="12"/>
        <v>14666512</v>
      </c>
      <c r="Z60" s="343">
        <f t="shared" si="13"/>
        <v>1089981</v>
      </c>
      <c r="AA60" s="525"/>
      <c r="AB60" s="416"/>
      <c r="AC60" s="416"/>
      <c r="AD60" s="416"/>
      <c r="AE60" s="416"/>
      <c r="AF60" s="416"/>
      <c r="AG60" s="416"/>
      <c r="AH60" s="416"/>
    </row>
    <row r="61" spans="1:34" s="371" customFormat="1" ht="21.75" customHeight="1">
      <c r="A61" s="415">
        <v>30</v>
      </c>
      <c r="B61" s="220" t="s">
        <v>779</v>
      </c>
      <c r="C61" s="95">
        <f t="shared" si="11"/>
        <v>685033778</v>
      </c>
      <c r="D61" s="344">
        <f t="shared" si="11"/>
        <v>32184469</v>
      </c>
      <c r="E61" s="96">
        <v>545713307</v>
      </c>
      <c r="F61" s="96">
        <v>26430755</v>
      </c>
      <c r="G61" s="96">
        <v>0</v>
      </c>
      <c r="H61" s="96">
        <v>0</v>
      </c>
      <c r="I61" s="96">
        <v>127200703</v>
      </c>
      <c r="J61" s="96">
        <v>5753714</v>
      </c>
      <c r="K61" s="96">
        <v>12720070</v>
      </c>
      <c r="L61" s="96">
        <v>575371</v>
      </c>
      <c r="M61" s="96">
        <v>9468101</v>
      </c>
      <c r="N61" s="96">
        <v>0</v>
      </c>
      <c r="O61" s="96">
        <v>2367025</v>
      </c>
      <c r="P61" s="96">
        <v>0</v>
      </c>
      <c r="Q61" s="96">
        <v>1502499</v>
      </c>
      <c r="R61" s="96">
        <v>0</v>
      </c>
      <c r="S61" s="96">
        <v>751249</v>
      </c>
      <c r="T61" s="96">
        <v>0</v>
      </c>
      <c r="U61" s="96">
        <v>1149168</v>
      </c>
      <c r="V61" s="96">
        <v>0</v>
      </c>
      <c r="W61" s="96">
        <v>1149168</v>
      </c>
      <c r="X61" s="96">
        <v>0</v>
      </c>
      <c r="Y61" s="343">
        <f t="shared" si="12"/>
        <v>16987512</v>
      </c>
      <c r="Z61" s="343">
        <f t="shared" si="13"/>
        <v>575371</v>
      </c>
      <c r="AA61" s="525"/>
      <c r="AB61" s="416"/>
      <c r="AC61" s="416"/>
      <c r="AD61" s="416"/>
      <c r="AE61" s="416"/>
      <c r="AF61" s="416"/>
      <c r="AG61" s="416"/>
      <c r="AH61" s="416"/>
    </row>
    <row r="62" spans="1:34" s="371" customFormat="1" ht="21.75" customHeight="1">
      <c r="A62" s="415">
        <v>31</v>
      </c>
      <c r="B62" s="220" t="s">
        <v>780</v>
      </c>
      <c r="C62" s="95">
        <f t="shared" si="11"/>
        <v>959218563</v>
      </c>
      <c r="D62" s="344">
        <f t="shared" si="11"/>
        <v>361805678</v>
      </c>
      <c r="E62" s="96">
        <v>713071400</v>
      </c>
      <c r="F62" s="96">
        <v>227983901</v>
      </c>
      <c r="G62" s="96">
        <v>0</v>
      </c>
      <c r="H62" s="96">
        <v>0</v>
      </c>
      <c r="I62" s="96">
        <v>244301387</v>
      </c>
      <c r="J62" s="96">
        <v>133821777</v>
      </c>
      <c r="K62" s="96">
        <v>24499469</v>
      </c>
      <c r="L62" s="96">
        <v>13476465</v>
      </c>
      <c r="M62" s="96">
        <v>1586461</v>
      </c>
      <c r="N62" s="96">
        <v>0</v>
      </c>
      <c r="O62" s="96">
        <v>396615</v>
      </c>
      <c r="P62" s="96">
        <v>0</v>
      </c>
      <c r="Q62" s="96">
        <v>0</v>
      </c>
      <c r="R62" s="96">
        <v>0</v>
      </c>
      <c r="S62" s="96">
        <v>0</v>
      </c>
      <c r="T62" s="96">
        <v>0</v>
      </c>
      <c r="U62" s="96">
        <v>259315</v>
      </c>
      <c r="V62" s="96">
        <v>0</v>
      </c>
      <c r="W62" s="96">
        <v>259315</v>
      </c>
      <c r="X62" s="96">
        <v>0</v>
      </c>
      <c r="Y62" s="343">
        <f t="shared" si="12"/>
        <v>25155399</v>
      </c>
      <c r="Z62" s="343">
        <f t="shared" si="13"/>
        <v>13476465</v>
      </c>
      <c r="AA62" s="525"/>
      <c r="AB62" s="416"/>
      <c r="AC62" s="416"/>
      <c r="AD62" s="416"/>
      <c r="AE62" s="416"/>
      <c r="AF62" s="416"/>
      <c r="AG62" s="416"/>
      <c r="AH62" s="416"/>
    </row>
    <row r="63" spans="1:34" s="371" customFormat="1" ht="21.75" customHeight="1">
      <c r="A63" s="415">
        <v>32</v>
      </c>
      <c r="B63" s="220" t="s">
        <v>781</v>
      </c>
      <c r="C63" s="95">
        <f t="shared" si="11"/>
        <v>442727784</v>
      </c>
      <c r="D63" s="344">
        <f t="shared" si="11"/>
        <v>157159141</v>
      </c>
      <c r="E63" s="96">
        <v>322423486</v>
      </c>
      <c r="F63" s="96">
        <v>116026411</v>
      </c>
      <c r="G63" s="96">
        <v>0</v>
      </c>
      <c r="H63" s="96">
        <v>0</v>
      </c>
      <c r="I63" s="96">
        <v>114268086</v>
      </c>
      <c r="J63" s="96">
        <v>41132730</v>
      </c>
      <c r="K63" s="96">
        <v>11426809</v>
      </c>
      <c r="L63" s="96">
        <v>4113273</v>
      </c>
      <c r="M63" s="96">
        <v>583130</v>
      </c>
      <c r="N63" s="96">
        <v>0</v>
      </c>
      <c r="O63" s="96">
        <v>145782</v>
      </c>
      <c r="P63" s="96">
        <v>0</v>
      </c>
      <c r="Q63" s="96">
        <v>2619526</v>
      </c>
      <c r="R63" s="96">
        <v>0</v>
      </c>
      <c r="S63" s="96">
        <v>1309763</v>
      </c>
      <c r="T63" s="96">
        <v>0</v>
      </c>
      <c r="U63" s="96">
        <v>2833556</v>
      </c>
      <c r="V63" s="96">
        <v>0</v>
      </c>
      <c r="W63" s="96">
        <v>2833556</v>
      </c>
      <c r="X63" s="96">
        <v>0</v>
      </c>
      <c r="Y63" s="343">
        <f t="shared" si="12"/>
        <v>15715910</v>
      </c>
      <c r="Z63" s="343">
        <f t="shared" si="13"/>
        <v>4113273</v>
      </c>
      <c r="AA63" s="525"/>
      <c r="AB63" s="416"/>
      <c r="AC63" s="416"/>
      <c r="AD63" s="416"/>
      <c r="AE63" s="416"/>
      <c r="AF63" s="416"/>
      <c r="AG63" s="416"/>
      <c r="AH63" s="416"/>
    </row>
    <row r="64" spans="1:34" s="371" customFormat="1" ht="21.75" customHeight="1">
      <c r="A64" s="415">
        <v>33</v>
      </c>
      <c r="B64" s="220" t="s">
        <v>785</v>
      </c>
      <c r="C64" s="95">
        <f>E64+I64+M64+Q64+U64</f>
        <v>1605934332</v>
      </c>
      <c r="D64" s="344">
        <f t="shared" si="11"/>
        <v>1126034805</v>
      </c>
      <c r="E64" s="96">
        <v>1416757006</v>
      </c>
      <c r="F64" s="96">
        <v>975796278</v>
      </c>
      <c r="G64" s="96">
        <v>0</v>
      </c>
      <c r="H64" s="96">
        <v>0</v>
      </c>
      <c r="I64" s="96">
        <v>189084334</v>
      </c>
      <c r="J64" s="96">
        <v>150238527</v>
      </c>
      <c r="K64" s="96">
        <v>18908435</v>
      </c>
      <c r="L64" s="96">
        <v>15023855</v>
      </c>
      <c r="M64" s="96">
        <v>84657</v>
      </c>
      <c r="N64" s="96">
        <v>0</v>
      </c>
      <c r="O64" s="96">
        <v>21164</v>
      </c>
      <c r="P64" s="96">
        <v>0</v>
      </c>
      <c r="Q64" s="96">
        <v>8334</v>
      </c>
      <c r="R64" s="96">
        <v>0</v>
      </c>
      <c r="S64" s="96">
        <v>4166</v>
      </c>
      <c r="T64" s="96">
        <v>0</v>
      </c>
      <c r="U64" s="96">
        <v>1</v>
      </c>
      <c r="V64" s="96">
        <v>0</v>
      </c>
      <c r="W64" s="96">
        <v>1</v>
      </c>
      <c r="X64" s="96">
        <v>0</v>
      </c>
      <c r="Y64" s="343">
        <f t="shared" si="12"/>
        <v>18933766</v>
      </c>
      <c r="Z64" s="343">
        <f>+X64+T64+P64+L64</f>
        <v>15023855</v>
      </c>
      <c r="AA64" s="525"/>
      <c r="AB64" s="416"/>
      <c r="AC64" s="416"/>
      <c r="AD64" s="416"/>
      <c r="AE64" s="416"/>
      <c r="AF64" s="416"/>
      <c r="AG64" s="416"/>
      <c r="AH64" s="416"/>
    </row>
    <row r="65" spans="1:34" s="371" customFormat="1" ht="21.75" customHeight="1">
      <c r="A65" s="415">
        <v>34</v>
      </c>
      <c r="B65" s="220" t="s">
        <v>782</v>
      </c>
      <c r="C65" s="95">
        <f t="shared" si="11"/>
        <v>758868441</v>
      </c>
      <c r="D65" s="344">
        <f t="shared" si="11"/>
        <v>348344121</v>
      </c>
      <c r="E65" s="96">
        <v>675336263</v>
      </c>
      <c r="F65" s="96">
        <v>332238518</v>
      </c>
      <c r="G65" s="96">
        <v>0</v>
      </c>
      <c r="H65" s="96">
        <v>0</v>
      </c>
      <c r="I65" s="96">
        <v>79171708</v>
      </c>
      <c r="J65" s="96">
        <v>16105603</v>
      </c>
      <c r="K65" s="96">
        <v>7770613</v>
      </c>
      <c r="L65" s="96">
        <v>1438948</v>
      </c>
      <c r="M65" s="96">
        <v>2882794</v>
      </c>
      <c r="N65" s="96">
        <v>0</v>
      </c>
      <c r="O65" s="96">
        <v>720698</v>
      </c>
      <c r="P65" s="96">
        <v>0</v>
      </c>
      <c r="Q65" s="96">
        <v>974319</v>
      </c>
      <c r="R65" s="96">
        <v>0</v>
      </c>
      <c r="S65" s="96">
        <v>544659</v>
      </c>
      <c r="T65" s="96">
        <v>0</v>
      </c>
      <c r="U65" s="96">
        <v>503357</v>
      </c>
      <c r="V65" s="96">
        <v>0</v>
      </c>
      <c r="W65" s="96">
        <v>503357</v>
      </c>
      <c r="X65" s="96">
        <v>0</v>
      </c>
      <c r="Y65" s="343">
        <f t="shared" si="12"/>
        <v>9539327</v>
      </c>
      <c r="Z65" s="343">
        <f t="shared" si="13"/>
        <v>1438948</v>
      </c>
      <c r="AA65" s="525"/>
      <c r="AB65" s="416"/>
      <c r="AC65" s="416"/>
      <c r="AD65" s="416"/>
      <c r="AE65" s="416"/>
      <c r="AF65" s="416"/>
      <c r="AG65" s="416"/>
      <c r="AH65" s="416"/>
    </row>
    <row r="66" spans="1:34" s="371" customFormat="1" ht="21.75" customHeight="1">
      <c r="A66" s="415">
        <v>35</v>
      </c>
      <c r="B66" s="220" t="s">
        <v>783</v>
      </c>
      <c r="C66" s="95">
        <f t="shared" si="11"/>
        <v>421357277</v>
      </c>
      <c r="D66" s="344">
        <f t="shared" si="11"/>
        <v>105780400</v>
      </c>
      <c r="E66" s="96">
        <v>367332636</v>
      </c>
      <c r="F66" s="96">
        <v>101240394</v>
      </c>
      <c r="G66" s="96">
        <v>0</v>
      </c>
      <c r="H66" s="96">
        <v>0</v>
      </c>
      <c r="I66" s="96">
        <v>50142154</v>
      </c>
      <c r="J66" s="96">
        <v>4540006</v>
      </c>
      <c r="K66" s="96">
        <v>5014438</v>
      </c>
      <c r="L66" s="96">
        <v>454001</v>
      </c>
      <c r="M66" s="96">
        <v>1403717</v>
      </c>
      <c r="N66" s="96">
        <v>0</v>
      </c>
      <c r="O66" s="96">
        <v>350929</v>
      </c>
      <c r="P66" s="96">
        <v>0</v>
      </c>
      <c r="Q66" s="96">
        <v>1480011</v>
      </c>
      <c r="R66" s="96">
        <v>0</v>
      </c>
      <c r="S66" s="96">
        <v>740006</v>
      </c>
      <c r="T66" s="96">
        <v>0</v>
      </c>
      <c r="U66" s="96">
        <v>998759</v>
      </c>
      <c r="V66" s="96">
        <v>0</v>
      </c>
      <c r="W66" s="96">
        <v>998759</v>
      </c>
      <c r="X66" s="96">
        <v>0</v>
      </c>
      <c r="Y66" s="343">
        <f t="shared" si="12"/>
        <v>7104132</v>
      </c>
      <c r="Z66" s="343">
        <f t="shared" si="13"/>
        <v>454001</v>
      </c>
      <c r="AA66" s="525"/>
      <c r="AB66" s="416"/>
      <c r="AC66" s="416"/>
      <c r="AD66" s="416"/>
      <c r="AE66" s="416"/>
      <c r="AF66" s="416"/>
      <c r="AG66" s="416"/>
      <c r="AH66" s="416"/>
    </row>
    <row r="67" spans="1:34" s="371" customFormat="1" ht="21.75" customHeight="1">
      <c r="A67" s="415">
        <v>36</v>
      </c>
      <c r="B67" s="220" t="s">
        <v>784</v>
      </c>
      <c r="C67" s="95">
        <f t="shared" si="11"/>
        <v>425567875</v>
      </c>
      <c r="D67" s="344">
        <f t="shared" si="11"/>
        <v>166497004</v>
      </c>
      <c r="E67" s="96">
        <v>380529403</v>
      </c>
      <c r="F67" s="96">
        <v>161869886</v>
      </c>
      <c r="G67" s="96">
        <v>0</v>
      </c>
      <c r="H67" s="96">
        <v>0</v>
      </c>
      <c r="I67" s="96">
        <v>39788747</v>
      </c>
      <c r="J67" s="96">
        <v>4627118</v>
      </c>
      <c r="K67" s="96">
        <v>3978875</v>
      </c>
      <c r="L67" s="96">
        <v>462712</v>
      </c>
      <c r="M67" s="96">
        <v>2397355</v>
      </c>
      <c r="N67" s="96">
        <v>0</v>
      </c>
      <c r="O67" s="96">
        <v>599339</v>
      </c>
      <c r="P67" s="96">
        <v>0</v>
      </c>
      <c r="Q67" s="96">
        <v>1551140</v>
      </c>
      <c r="R67" s="96">
        <v>0</v>
      </c>
      <c r="S67" s="96">
        <v>775570</v>
      </c>
      <c r="T67" s="96">
        <v>0</v>
      </c>
      <c r="U67" s="96">
        <v>1301230</v>
      </c>
      <c r="V67" s="96">
        <v>0</v>
      </c>
      <c r="W67" s="96">
        <v>1301230</v>
      </c>
      <c r="X67" s="96">
        <v>0</v>
      </c>
      <c r="Y67" s="343">
        <f t="shared" si="12"/>
        <v>6655014</v>
      </c>
      <c r="Z67" s="343">
        <f t="shared" si="13"/>
        <v>462712</v>
      </c>
      <c r="AA67" s="525"/>
      <c r="AB67" s="416"/>
      <c r="AC67" s="416"/>
      <c r="AD67" s="416"/>
      <c r="AE67" s="416"/>
      <c r="AF67" s="416"/>
      <c r="AG67" s="416"/>
      <c r="AH67" s="416"/>
    </row>
    <row r="68" spans="1:34" s="113" customFormat="1" ht="28.5" customHeight="1">
      <c r="A68" s="249">
        <v>37</v>
      </c>
      <c r="B68" s="249" t="s">
        <v>173</v>
      </c>
      <c r="C68" s="253">
        <f t="shared" ref="C68:Z68" si="14">SUM(C54:C67)</f>
        <v>8539798556</v>
      </c>
      <c r="D68" s="253">
        <f t="shared" si="14"/>
        <v>2816524375</v>
      </c>
      <c r="E68" s="253">
        <f t="shared" si="14"/>
        <v>6912201758</v>
      </c>
      <c r="F68" s="253">
        <f t="shared" si="14"/>
        <v>2305249169</v>
      </c>
      <c r="G68" s="253">
        <f t="shared" si="14"/>
        <v>0</v>
      </c>
      <c r="H68" s="253">
        <f t="shared" si="14"/>
        <v>0</v>
      </c>
      <c r="I68" s="253">
        <f t="shared" si="14"/>
        <v>1540989857</v>
      </c>
      <c r="J68" s="253">
        <f t="shared" si="14"/>
        <v>511275206</v>
      </c>
      <c r="K68" s="253">
        <f t="shared" si="14"/>
        <v>154544191</v>
      </c>
      <c r="L68" s="253">
        <f t="shared" si="14"/>
        <v>51050196</v>
      </c>
      <c r="M68" s="253">
        <f t="shared" si="14"/>
        <v>34473291</v>
      </c>
      <c r="N68" s="253">
        <f t="shared" si="14"/>
        <v>0</v>
      </c>
      <c r="O68" s="253">
        <f t="shared" si="14"/>
        <v>8618322</v>
      </c>
      <c r="P68" s="253">
        <f t="shared" si="14"/>
        <v>0</v>
      </c>
      <c r="Q68" s="253">
        <f t="shared" si="14"/>
        <v>35919024</v>
      </c>
      <c r="R68" s="253">
        <f t="shared" si="14"/>
        <v>0</v>
      </c>
      <c r="S68" s="253">
        <f t="shared" si="14"/>
        <v>18017013</v>
      </c>
      <c r="T68" s="253">
        <f t="shared" si="14"/>
        <v>0</v>
      </c>
      <c r="U68" s="253">
        <f t="shared" si="14"/>
        <v>16214626</v>
      </c>
      <c r="V68" s="253">
        <f t="shared" si="14"/>
        <v>0</v>
      </c>
      <c r="W68" s="253">
        <f t="shared" si="14"/>
        <v>16214626</v>
      </c>
      <c r="X68" s="253">
        <f t="shared" si="14"/>
        <v>0</v>
      </c>
      <c r="Y68" s="253">
        <f t="shared" si="14"/>
        <v>197394152</v>
      </c>
      <c r="Z68" s="253">
        <f t="shared" si="14"/>
        <v>51050196</v>
      </c>
      <c r="AA68" s="523"/>
      <c r="AB68" s="294"/>
      <c r="AC68" s="294"/>
      <c r="AD68" s="294"/>
      <c r="AE68" s="294"/>
      <c r="AF68" s="294"/>
      <c r="AG68" s="294"/>
      <c r="AH68" s="294"/>
    </row>
    <row r="69" spans="1:34" s="21" customFormat="1" ht="23.25" customHeight="1">
      <c r="A69" s="94">
        <v>38</v>
      </c>
      <c r="B69" s="400" t="s">
        <v>193</v>
      </c>
      <c r="C69" s="95">
        <f>E69+I69+M69+Q69+U69</f>
        <v>1940511261</v>
      </c>
      <c r="D69" s="344">
        <f>F69+J69+N69+R69+V69</f>
        <v>0</v>
      </c>
      <c r="E69" s="96">
        <f>+SUM('Asset quality'!C10:C15)+SUM('Asset quality'!C48:C60)</f>
        <v>1940511261</v>
      </c>
      <c r="F69" s="96"/>
      <c r="G69" s="96">
        <v>0</v>
      </c>
      <c r="H69" s="96"/>
      <c r="I69" s="96"/>
      <c r="J69" s="96"/>
      <c r="K69" s="96">
        <v>11710022</v>
      </c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>
        <v>0</v>
      </c>
      <c r="W69" s="96"/>
      <c r="X69" s="96">
        <v>0</v>
      </c>
      <c r="Y69" s="343">
        <f>+W69+S69+O69+K69</f>
        <v>11710022</v>
      </c>
      <c r="Z69" s="343">
        <f>+X69+T69+P69+L69</f>
        <v>0</v>
      </c>
      <c r="AA69" s="523"/>
      <c r="AB69" s="294"/>
      <c r="AC69" s="294"/>
      <c r="AD69" s="294"/>
      <c r="AE69" s="294"/>
      <c r="AF69" s="294"/>
      <c r="AG69" s="294"/>
      <c r="AH69" s="294"/>
    </row>
    <row r="70" spans="1:34" s="21" customFormat="1" ht="23.25" customHeight="1">
      <c r="A70" s="94"/>
      <c r="B70" s="93" t="s">
        <v>571</v>
      </c>
      <c r="C70" s="95">
        <f>E70+I70+M70+Q70+U70</f>
        <v>0</v>
      </c>
      <c r="D70" s="344">
        <f>F70+J70+N70+R70+V70</f>
        <v>0</v>
      </c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3">
        <f>+W70+S70+O70+K70</f>
        <v>0</v>
      </c>
      <c r="Z70" s="343">
        <f>+X70+T70+P70+L70</f>
        <v>0</v>
      </c>
      <c r="AA70" s="523"/>
      <c r="AB70" s="294"/>
      <c r="AC70" s="294"/>
      <c r="AD70" s="294"/>
      <c r="AE70" s="294"/>
      <c r="AF70" s="294"/>
      <c r="AG70" s="294"/>
      <c r="AH70" s="294"/>
    </row>
    <row r="71" spans="1:34" s="113" customFormat="1" ht="28.5" customHeight="1">
      <c r="A71" s="249">
        <v>39</v>
      </c>
      <c r="B71" s="249" t="s">
        <v>194</v>
      </c>
      <c r="C71" s="253">
        <f t="shared" ref="C71:Z71" si="15">+C50+C69</f>
        <v>10480309817</v>
      </c>
      <c r="D71" s="253">
        <f t="shared" si="15"/>
        <v>2816524375</v>
      </c>
      <c r="E71" s="253">
        <f t="shared" si="15"/>
        <v>8852713019</v>
      </c>
      <c r="F71" s="253">
        <f t="shared" si="15"/>
        <v>2305249169</v>
      </c>
      <c r="G71" s="253">
        <f t="shared" si="15"/>
        <v>0</v>
      </c>
      <c r="H71" s="253">
        <f t="shared" si="15"/>
        <v>0</v>
      </c>
      <c r="I71" s="253">
        <f t="shared" si="15"/>
        <v>1540989857</v>
      </c>
      <c r="J71" s="253">
        <f t="shared" si="15"/>
        <v>511275206</v>
      </c>
      <c r="K71" s="253">
        <f t="shared" si="15"/>
        <v>166254213</v>
      </c>
      <c r="L71" s="253">
        <f t="shared" si="15"/>
        <v>51050196</v>
      </c>
      <c r="M71" s="253">
        <f t="shared" si="15"/>
        <v>34473291</v>
      </c>
      <c r="N71" s="253">
        <f t="shared" si="15"/>
        <v>0</v>
      </c>
      <c r="O71" s="253">
        <f t="shared" si="15"/>
        <v>8618322</v>
      </c>
      <c r="P71" s="253">
        <f t="shared" si="15"/>
        <v>0</v>
      </c>
      <c r="Q71" s="253">
        <f t="shared" si="15"/>
        <v>35919024</v>
      </c>
      <c r="R71" s="253">
        <f t="shared" si="15"/>
        <v>0</v>
      </c>
      <c r="S71" s="253">
        <f t="shared" si="15"/>
        <v>18017013</v>
      </c>
      <c r="T71" s="253">
        <f t="shared" si="15"/>
        <v>0</v>
      </c>
      <c r="U71" s="253">
        <f t="shared" si="15"/>
        <v>16214626</v>
      </c>
      <c r="V71" s="253">
        <f t="shared" si="15"/>
        <v>0</v>
      </c>
      <c r="W71" s="253">
        <f t="shared" si="15"/>
        <v>16214626</v>
      </c>
      <c r="X71" s="253">
        <f t="shared" si="15"/>
        <v>0</v>
      </c>
      <c r="Y71" s="253">
        <f t="shared" si="15"/>
        <v>209104174</v>
      </c>
      <c r="Z71" s="253">
        <f t="shared" si="15"/>
        <v>51050196</v>
      </c>
      <c r="AA71" s="523"/>
      <c r="AB71" s="294"/>
      <c r="AC71" s="294"/>
      <c r="AD71" s="294"/>
      <c r="AE71" s="294"/>
      <c r="AF71" s="294"/>
      <c r="AG71" s="294"/>
      <c r="AH71" s="294"/>
    </row>
    <row r="72" spans="1:34">
      <c r="Y72" s="14"/>
    </row>
    <row r="73" spans="1:34">
      <c r="Y73" s="14"/>
    </row>
    <row r="74" spans="1:34">
      <c r="B74" s="5" t="s">
        <v>0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34">
      <c r="B75" s="5"/>
    </row>
    <row r="76" spans="1:34">
      <c r="B76" s="5" t="s">
        <v>1</v>
      </c>
    </row>
    <row r="77" spans="1:34">
      <c r="E77" s="13">
        <f>SUM('Asset quality'!D21:D47)+'Asset quality'!D16</f>
        <v>6912201758</v>
      </c>
      <c r="F77" s="13"/>
      <c r="G77" s="13">
        <f>SUM('Asset quality'!O21:O47)+'Asset quality'!O16</f>
        <v>0</v>
      </c>
      <c r="H77" s="13"/>
      <c r="I77" s="13">
        <f>SUM('Asset quality'!E21:E47)+'Asset quality'!E16</f>
        <v>1540989857</v>
      </c>
      <c r="K77" s="13">
        <f>SUM('Asset quality'!P21:P47)+'Asset quality'!P16</f>
        <v>154544191</v>
      </c>
      <c r="L77" s="13"/>
      <c r="M77" s="13">
        <f>SUM('Asset quality'!F21:F47)</f>
        <v>34473291</v>
      </c>
      <c r="O77" s="13">
        <f>SUM('Asset quality'!Q21:Q47)+'Asset quality'!Q16</f>
        <v>8618322</v>
      </c>
      <c r="P77" s="13"/>
      <c r="Q77" s="13">
        <f>SUM('Asset quality'!G21:G47)</f>
        <v>35919024</v>
      </c>
      <c r="S77" s="13">
        <f>SUM('Asset quality'!R21:R47)+'Asset quality'!R16</f>
        <v>18017013</v>
      </c>
      <c r="T77" s="13"/>
      <c r="U77" s="13">
        <f>SUM('Asset quality'!H21:H47)</f>
        <v>16214626</v>
      </c>
      <c r="W77" s="13">
        <f>SUM('Asset quality'!S21:S47)+'Asset quality'!S16</f>
        <v>16214626</v>
      </c>
      <c r="Y77" s="13">
        <f>+W77+S77+O77+K77</f>
        <v>197394152</v>
      </c>
    </row>
    <row r="78" spans="1:34">
      <c r="E78" s="13"/>
      <c r="G78" s="13">
        <f>+'Asset quality'!O9+'Asset quality'!O62</f>
        <v>0</v>
      </c>
      <c r="I78" s="13"/>
      <c r="K78" s="13">
        <f>+'Asset quality'!P9+'Asset quality'!P62</f>
        <v>166254213</v>
      </c>
      <c r="M78" s="13"/>
      <c r="O78" s="13">
        <f>+'Asset quality'!Q9+'Asset quality'!Q62</f>
        <v>8618322</v>
      </c>
      <c r="S78" s="13">
        <f>+'Asset quality'!R9+'Asset quality'!R62</f>
        <v>18017013</v>
      </c>
      <c r="U78" s="13"/>
      <c r="W78" s="13">
        <f>+'Asset quality'!S9+'Asset quality'!S62</f>
        <v>16214626</v>
      </c>
      <c r="Y78" s="13">
        <f>+W78+S78+O78+K78</f>
        <v>209104174</v>
      </c>
    </row>
    <row r="79" spans="1:34" s="443" customFormat="1">
      <c r="E79" s="629">
        <f>+E77-E50</f>
        <v>0</v>
      </c>
      <c r="F79" s="629"/>
      <c r="G79" s="629">
        <f>+G77-G50</f>
        <v>0</v>
      </c>
      <c r="H79" s="629"/>
      <c r="I79" s="629">
        <f>+I77-I50</f>
        <v>0</v>
      </c>
      <c r="K79" s="629">
        <f>+K77-K50</f>
        <v>0</v>
      </c>
      <c r="L79" s="629"/>
      <c r="M79" s="629">
        <f>+M77-M50</f>
        <v>0</v>
      </c>
      <c r="O79" s="629">
        <f>+O77-O50</f>
        <v>0</v>
      </c>
      <c r="P79" s="629"/>
      <c r="Q79" s="629">
        <f>+Q77-Q50</f>
        <v>0</v>
      </c>
      <c r="S79" s="629">
        <f>+S77-S50</f>
        <v>0</v>
      </c>
      <c r="T79" s="629"/>
      <c r="U79" s="629">
        <f>+U77-U50</f>
        <v>0</v>
      </c>
      <c r="W79" s="629">
        <f>+W77-W50</f>
        <v>0</v>
      </c>
      <c r="Y79" s="629">
        <f>+Y77-Y50</f>
        <v>0</v>
      </c>
      <c r="AA79" s="522"/>
      <c r="AB79" s="522"/>
      <c r="AC79" s="522"/>
      <c r="AD79" s="522"/>
      <c r="AE79" s="522"/>
      <c r="AF79" s="522"/>
      <c r="AG79" s="522"/>
      <c r="AH79" s="522"/>
    </row>
    <row r="80" spans="1:34" s="443" customFormat="1">
      <c r="E80" s="629"/>
      <c r="F80" s="629"/>
      <c r="G80" s="629">
        <f>+G78-G71</f>
        <v>0</v>
      </c>
      <c r="H80" s="629"/>
      <c r="I80" s="629"/>
      <c r="K80" s="629">
        <f>+K78-K71</f>
        <v>0</v>
      </c>
      <c r="L80" s="629"/>
      <c r="M80" s="629"/>
      <c r="O80" s="629">
        <f>+O78-O71</f>
        <v>0</v>
      </c>
      <c r="P80" s="629"/>
      <c r="Q80" s="629"/>
      <c r="S80" s="629">
        <f>+S78-S71</f>
        <v>0</v>
      </c>
      <c r="T80" s="629"/>
      <c r="U80" s="629"/>
      <c r="W80" s="629">
        <f>+W78-W71</f>
        <v>0</v>
      </c>
      <c r="Y80" s="629">
        <f>+Y78-Y71</f>
        <v>0</v>
      </c>
      <c r="AA80" s="522"/>
      <c r="AB80" s="522"/>
      <c r="AC80" s="522"/>
      <c r="AD80" s="522"/>
      <c r="AE80" s="522"/>
      <c r="AF80" s="522"/>
      <c r="AG80" s="522"/>
      <c r="AH80" s="522"/>
    </row>
    <row r="81" spans="5:26">
      <c r="E81" s="443"/>
      <c r="F81" s="443"/>
      <c r="G81" s="443"/>
      <c r="H81" s="443"/>
      <c r="I81" s="443"/>
      <c r="J81" s="443"/>
      <c r="K81" s="443"/>
      <c r="L81" s="443"/>
      <c r="M81" s="443"/>
      <c r="N81" s="443"/>
      <c r="O81" s="443"/>
      <c r="P81" s="443"/>
      <c r="Q81" s="443"/>
      <c r="R81" s="443"/>
      <c r="S81" s="443"/>
      <c r="T81" s="443"/>
      <c r="U81" s="443"/>
      <c r="V81" s="443"/>
      <c r="W81" s="443"/>
      <c r="X81" s="443"/>
      <c r="Y81" s="443"/>
      <c r="Z81" s="443"/>
    </row>
    <row r="1048576" spans="27:27">
      <c r="AA1048576" s="524"/>
    </row>
  </sheetData>
  <sheetProtection password="CACA" sheet="1" objects="1" scenarios="1"/>
  <phoneticPr fontId="17" type="noConversion"/>
  <conditionalFormatting sqref="D30">
    <cfRule type="cellIs" dxfId="247" priority="165" operator="notEqual">
      <formula>$D$50</formula>
    </cfRule>
  </conditionalFormatting>
  <conditionalFormatting sqref="E30">
    <cfRule type="cellIs" dxfId="246" priority="164" operator="notEqual">
      <formula>$E$50</formula>
    </cfRule>
  </conditionalFormatting>
  <conditionalFormatting sqref="F30">
    <cfRule type="cellIs" dxfId="245" priority="163" operator="notEqual">
      <formula>$F$50</formula>
    </cfRule>
  </conditionalFormatting>
  <conditionalFormatting sqref="G30">
    <cfRule type="cellIs" dxfId="244" priority="162" operator="notEqual">
      <formula>$G$50</formula>
    </cfRule>
  </conditionalFormatting>
  <conditionalFormatting sqref="H30">
    <cfRule type="cellIs" dxfId="243" priority="161" operator="notEqual">
      <formula>$H$50</formula>
    </cfRule>
  </conditionalFormatting>
  <conditionalFormatting sqref="I30">
    <cfRule type="cellIs" dxfId="242" priority="160" operator="notEqual">
      <formula>$I$50</formula>
    </cfRule>
  </conditionalFormatting>
  <conditionalFormatting sqref="J30">
    <cfRule type="cellIs" dxfId="241" priority="158" operator="notEqual">
      <formula>$J$50</formula>
    </cfRule>
  </conditionalFormatting>
  <conditionalFormatting sqref="K30">
    <cfRule type="cellIs" dxfId="240" priority="157" operator="notEqual">
      <formula>$K$50</formula>
    </cfRule>
  </conditionalFormatting>
  <conditionalFormatting sqref="L30">
    <cfRule type="cellIs" dxfId="239" priority="156" operator="notEqual">
      <formula>$L$50</formula>
    </cfRule>
  </conditionalFormatting>
  <conditionalFormatting sqref="M30">
    <cfRule type="cellIs" dxfId="238" priority="154" operator="notEqual">
      <formula>$M$50</formula>
    </cfRule>
  </conditionalFormatting>
  <conditionalFormatting sqref="N30">
    <cfRule type="cellIs" dxfId="237" priority="153" operator="notEqual">
      <formula>$N$50</formula>
    </cfRule>
  </conditionalFormatting>
  <conditionalFormatting sqref="O30">
    <cfRule type="cellIs" dxfId="236" priority="152" operator="notEqual">
      <formula>$O$50</formula>
    </cfRule>
  </conditionalFormatting>
  <conditionalFormatting sqref="P30">
    <cfRule type="cellIs" dxfId="235" priority="151" operator="notEqual">
      <formula>$P$50</formula>
    </cfRule>
  </conditionalFormatting>
  <conditionalFormatting sqref="Q30">
    <cfRule type="cellIs" dxfId="234" priority="149" operator="notEqual">
      <formula>$Q$50</formula>
    </cfRule>
  </conditionalFormatting>
  <conditionalFormatting sqref="R30">
    <cfRule type="cellIs" dxfId="233" priority="148" operator="notEqual">
      <formula>$R$50</formula>
    </cfRule>
  </conditionalFormatting>
  <conditionalFormatting sqref="S30">
    <cfRule type="cellIs" dxfId="232" priority="147" operator="notEqual">
      <formula>$S$50</formula>
    </cfRule>
  </conditionalFormatting>
  <conditionalFormatting sqref="T30">
    <cfRule type="cellIs" dxfId="231" priority="146" operator="notEqual">
      <formula>$T$50</formula>
    </cfRule>
  </conditionalFormatting>
  <conditionalFormatting sqref="U30">
    <cfRule type="cellIs" dxfId="230" priority="145" operator="notEqual">
      <formula>$U$50</formula>
    </cfRule>
  </conditionalFormatting>
  <conditionalFormatting sqref="V30">
    <cfRule type="cellIs" dxfId="229" priority="144" operator="notEqual">
      <formula>$V$50</formula>
    </cfRule>
  </conditionalFormatting>
  <conditionalFormatting sqref="W30">
    <cfRule type="cellIs" dxfId="228" priority="143" operator="notEqual">
      <formula>$W$50</formula>
    </cfRule>
  </conditionalFormatting>
  <conditionalFormatting sqref="X30">
    <cfRule type="cellIs" dxfId="227" priority="142" operator="notEqual">
      <formula>$X$50</formula>
    </cfRule>
  </conditionalFormatting>
  <conditionalFormatting sqref="Y30">
    <cfRule type="cellIs" dxfId="226" priority="141" operator="notEqual">
      <formula>$Y$50</formula>
    </cfRule>
  </conditionalFormatting>
  <conditionalFormatting sqref="Z30">
    <cfRule type="cellIs" dxfId="225" priority="140" operator="notEqual">
      <formula>$Z$50</formula>
    </cfRule>
  </conditionalFormatting>
  <conditionalFormatting sqref="D31">
    <cfRule type="cellIs" dxfId="224" priority="138" operator="notEqual">
      <formula>$D$51</formula>
    </cfRule>
  </conditionalFormatting>
  <conditionalFormatting sqref="I31">
    <cfRule type="cellIs" dxfId="223" priority="128" operator="notEqual">
      <formula>$I$51</formula>
    </cfRule>
  </conditionalFormatting>
  <conditionalFormatting sqref="J31">
    <cfRule type="cellIs" dxfId="222" priority="127" operator="notEqual">
      <formula>$J$51</formula>
    </cfRule>
  </conditionalFormatting>
  <conditionalFormatting sqref="K31">
    <cfRule type="cellIs" dxfId="221" priority="126" operator="notEqual">
      <formula>$K$51</formula>
    </cfRule>
  </conditionalFormatting>
  <conditionalFormatting sqref="L31">
    <cfRule type="cellIs" dxfId="220" priority="125" operator="notEqual">
      <formula>$L$51</formula>
    </cfRule>
  </conditionalFormatting>
  <conditionalFormatting sqref="M31">
    <cfRule type="cellIs" dxfId="219" priority="124" operator="notEqual">
      <formula>$M$51</formula>
    </cfRule>
  </conditionalFormatting>
  <conditionalFormatting sqref="N31">
    <cfRule type="cellIs" dxfId="218" priority="123" operator="notEqual">
      <formula>$N$51</formula>
    </cfRule>
  </conditionalFormatting>
  <conditionalFormatting sqref="O31">
    <cfRule type="cellIs" dxfId="217" priority="122" operator="notEqual">
      <formula>$O$51</formula>
    </cfRule>
  </conditionalFormatting>
  <conditionalFormatting sqref="P31">
    <cfRule type="cellIs" dxfId="216" priority="121" operator="notEqual">
      <formula>$P$51</formula>
    </cfRule>
  </conditionalFormatting>
  <conditionalFormatting sqref="Q31">
    <cfRule type="cellIs" dxfId="215" priority="120" operator="notEqual">
      <formula>$Q$51</formula>
    </cfRule>
  </conditionalFormatting>
  <conditionalFormatting sqref="R31">
    <cfRule type="cellIs" dxfId="214" priority="119" operator="notEqual">
      <formula>$R$51</formula>
    </cfRule>
  </conditionalFormatting>
  <conditionalFormatting sqref="S31">
    <cfRule type="cellIs" dxfId="213" priority="118" operator="notEqual">
      <formula>$S$51</formula>
    </cfRule>
  </conditionalFormatting>
  <conditionalFormatting sqref="T31">
    <cfRule type="cellIs" dxfId="212" priority="117" operator="notEqual">
      <formula>$T$51</formula>
    </cfRule>
  </conditionalFormatting>
  <conditionalFormatting sqref="U31">
    <cfRule type="cellIs" dxfId="211" priority="116" operator="notEqual">
      <formula>$U$51</formula>
    </cfRule>
  </conditionalFormatting>
  <conditionalFormatting sqref="V31">
    <cfRule type="cellIs" dxfId="210" priority="115" operator="notEqual">
      <formula>$V$51</formula>
    </cfRule>
  </conditionalFormatting>
  <conditionalFormatting sqref="W31">
    <cfRule type="cellIs" dxfId="209" priority="114" operator="notEqual">
      <formula>$W$51</formula>
    </cfRule>
  </conditionalFormatting>
  <conditionalFormatting sqref="X31">
    <cfRule type="cellIs" dxfId="208" priority="113" operator="notEqual">
      <formula>$X$51</formula>
    </cfRule>
  </conditionalFormatting>
  <conditionalFormatting sqref="Y31">
    <cfRule type="cellIs" dxfId="207" priority="112" operator="notEqual">
      <formula>$Y$51</formula>
    </cfRule>
  </conditionalFormatting>
  <conditionalFormatting sqref="Z31">
    <cfRule type="cellIs" dxfId="206" priority="111" operator="notEqual">
      <formula>$Z$51</formula>
    </cfRule>
  </conditionalFormatting>
  <conditionalFormatting sqref="E31">
    <cfRule type="cellIs" dxfId="205" priority="110" operator="notEqual">
      <formula>$E$51</formula>
    </cfRule>
  </conditionalFormatting>
  <conditionalFormatting sqref="F31">
    <cfRule type="cellIs" dxfId="204" priority="109" operator="notEqual">
      <formula>$F$51</formula>
    </cfRule>
  </conditionalFormatting>
  <conditionalFormatting sqref="G31">
    <cfRule type="cellIs" dxfId="203" priority="108" operator="notEqual">
      <formula>$G$51</formula>
    </cfRule>
  </conditionalFormatting>
  <conditionalFormatting sqref="H31">
    <cfRule type="cellIs" dxfId="202" priority="106" operator="notEqual">
      <formula>$H$49</formula>
    </cfRule>
  </conditionalFormatting>
  <conditionalFormatting sqref="G71">
    <cfRule type="cellIs" dxfId="201" priority="38" operator="notEqual">
      <formula>$G$78</formula>
    </cfRule>
    <cfRule type="cellIs" dxfId="200" priority="103" operator="notEqual">
      <formula>$G$78</formula>
    </cfRule>
  </conditionalFormatting>
  <conditionalFormatting sqref="K71">
    <cfRule type="cellIs" dxfId="199" priority="37" operator="notEqual">
      <formula>$K$78</formula>
    </cfRule>
    <cfRule type="cellIs" dxfId="198" priority="101" operator="notEqual">
      <formula>$K$78</formula>
    </cfRule>
  </conditionalFormatting>
  <conditionalFormatting sqref="S71">
    <cfRule type="cellIs" dxfId="197" priority="35" operator="notEqual">
      <formula>$S$78</formula>
    </cfRule>
    <cfRule type="cellIs" dxfId="196" priority="97" operator="notEqual">
      <formula>$S$78</formula>
    </cfRule>
  </conditionalFormatting>
  <conditionalFormatting sqref="W71">
    <cfRule type="cellIs" dxfId="195" priority="34" operator="notEqual">
      <formula>$W$78</formula>
    </cfRule>
    <cfRule type="cellIs" dxfId="194" priority="95" operator="notEqual">
      <formula>$W$78</formula>
    </cfRule>
  </conditionalFormatting>
  <conditionalFormatting sqref="Y71">
    <cfRule type="cellIs" dxfId="193" priority="33" operator="notEqual">
      <formula>$Y$78</formula>
    </cfRule>
    <cfRule type="cellIs" dxfId="192" priority="92" operator="notEqual">
      <formula>$Y$78</formula>
    </cfRule>
  </conditionalFormatting>
  <conditionalFormatting sqref="O71">
    <cfRule type="cellIs" dxfId="191" priority="36" operator="notEqual">
      <formula>$O$78</formula>
    </cfRule>
    <cfRule type="cellIs" dxfId="190" priority="90" operator="notEqual">
      <formula>$O$78</formula>
    </cfRule>
  </conditionalFormatting>
  <conditionalFormatting sqref="G68">
    <cfRule type="cellIs" dxfId="189" priority="32" operator="notEqual">
      <formula>$G$77</formula>
    </cfRule>
    <cfRule type="cellIs" dxfId="188" priority="65" operator="notEqual">
      <formula>$G$30</formula>
    </cfRule>
  </conditionalFormatting>
  <conditionalFormatting sqref="K68">
    <cfRule type="cellIs" dxfId="187" priority="30" operator="notEqual">
      <formula>$K$77</formula>
    </cfRule>
    <cfRule type="cellIs" dxfId="186" priority="64" operator="notEqual">
      <formula>$K$30</formula>
    </cfRule>
  </conditionalFormatting>
  <conditionalFormatting sqref="S68">
    <cfRule type="cellIs" dxfId="185" priority="26" operator="notEqual">
      <formula>$S$77</formula>
    </cfRule>
    <cfRule type="cellIs" dxfId="184" priority="63" operator="notEqual">
      <formula>$S$30</formula>
    </cfRule>
  </conditionalFormatting>
  <conditionalFormatting sqref="W68">
    <cfRule type="cellIs" dxfId="183" priority="24" operator="notEqual">
      <formula>$W$77</formula>
    </cfRule>
    <cfRule type="cellIs" dxfId="182" priority="62" operator="notEqual">
      <formula>$W$30</formula>
    </cfRule>
  </conditionalFormatting>
  <conditionalFormatting sqref="Y68">
    <cfRule type="cellIs" dxfId="181" priority="23" operator="notEqual">
      <formula>$Y$77</formula>
    </cfRule>
    <cfRule type="cellIs" dxfId="180" priority="61" operator="notEqual">
      <formula>$Y$30</formula>
    </cfRule>
  </conditionalFormatting>
  <conditionalFormatting sqref="O68">
    <cfRule type="cellIs" dxfId="179" priority="28" operator="notEqual">
      <formula>$O$77</formula>
    </cfRule>
    <cfRule type="cellIs" dxfId="178" priority="60" operator="notEqual">
      <formula>$O$30</formula>
    </cfRule>
  </conditionalFormatting>
  <conditionalFormatting sqref="E68">
    <cfRule type="cellIs" dxfId="177" priority="22" operator="notEqual">
      <formula>$E$77</formula>
    </cfRule>
    <cfRule type="cellIs" dxfId="176" priority="59" operator="notEqual">
      <formula>$E$30</formula>
    </cfRule>
  </conditionalFormatting>
  <conditionalFormatting sqref="M68">
    <cfRule type="cellIs" dxfId="175" priority="29" operator="notEqual">
      <formula>$M$77</formula>
    </cfRule>
    <cfRule type="cellIs" dxfId="174" priority="57" operator="notEqual">
      <formula>$M$30</formula>
    </cfRule>
  </conditionalFormatting>
  <conditionalFormatting sqref="Q68">
    <cfRule type="cellIs" dxfId="173" priority="27" operator="notEqual">
      <formula>$Q$77</formula>
    </cfRule>
    <cfRule type="cellIs" dxfId="172" priority="56" operator="notEqual">
      <formula>$Q$30</formula>
    </cfRule>
  </conditionalFormatting>
  <conditionalFormatting sqref="U68">
    <cfRule type="cellIs" dxfId="171" priority="25" operator="notEqual">
      <formula>$U$77</formula>
    </cfRule>
    <cfRule type="cellIs" dxfId="170" priority="55" operator="notEqual">
      <formula>$U$30</formula>
    </cfRule>
  </conditionalFormatting>
  <conditionalFormatting sqref="H50">
    <cfRule type="cellIs" dxfId="169" priority="54" operator="notEqual">
      <formula>H68</formula>
    </cfRule>
  </conditionalFormatting>
  <conditionalFormatting sqref="J68">
    <cfRule type="cellIs" dxfId="168" priority="53" operator="notEqual">
      <formula>$J$30</formula>
    </cfRule>
  </conditionalFormatting>
  <conditionalFormatting sqref="I68">
    <cfRule type="cellIs" dxfId="167" priority="31" operator="notEqual">
      <formula>$I$77</formula>
    </cfRule>
  </conditionalFormatting>
  <conditionalFormatting sqref="G50">
    <cfRule type="cellIs" dxfId="166" priority="559" operator="notEqual">
      <formula>$G$68</formula>
    </cfRule>
  </conditionalFormatting>
  <conditionalFormatting sqref="K50">
    <cfRule type="cellIs" dxfId="165" priority="560" operator="notEqual">
      <formula>$K$68</formula>
    </cfRule>
  </conditionalFormatting>
  <conditionalFormatting sqref="S50">
    <cfRule type="cellIs" dxfId="164" priority="561" operator="notEqual">
      <formula>$S$68</formula>
    </cfRule>
  </conditionalFormatting>
  <conditionalFormatting sqref="W50">
    <cfRule type="cellIs" dxfId="163" priority="562" operator="notEqual">
      <formula>$W$68</formula>
    </cfRule>
  </conditionalFormatting>
  <conditionalFormatting sqref="Y50">
    <cfRule type="cellIs" dxfId="162" priority="563" operator="notEqual">
      <formula>$Y$68</formula>
    </cfRule>
  </conditionalFormatting>
  <conditionalFormatting sqref="O50">
    <cfRule type="cellIs" dxfId="161" priority="564" operator="notEqual">
      <formula>$O$68</formula>
    </cfRule>
  </conditionalFormatting>
  <conditionalFormatting sqref="E50">
    <cfRule type="cellIs" dxfId="160" priority="565" operator="notEqual">
      <formula>$E$68</formula>
    </cfRule>
  </conditionalFormatting>
  <conditionalFormatting sqref="M50">
    <cfRule type="cellIs" dxfId="159" priority="566" operator="notEqual">
      <formula>$M$68</formula>
    </cfRule>
  </conditionalFormatting>
  <conditionalFormatting sqref="Q50">
    <cfRule type="cellIs" dxfId="158" priority="567" operator="notEqual">
      <formula>$Q$68</formula>
    </cfRule>
  </conditionalFormatting>
  <conditionalFormatting sqref="U50">
    <cfRule type="cellIs" dxfId="157" priority="568" operator="notEqual">
      <formula>$U$68</formula>
    </cfRule>
  </conditionalFormatting>
  <conditionalFormatting sqref="D50">
    <cfRule type="cellIs" dxfId="156" priority="569" operator="notEqual">
      <formula>$D$68</formula>
    </cfRule>
  </conditionalFormatting>
  <conditionalFormatting sqref="F50">
    <cfRule type="cellIs" dxfId="155" priority="570" operator="notEqual">
      <formula>$F$68</formula>
    </cfRule>
  </conditionalFormatting>
  <conditionalFormatting sqref="I50">
    <cfRule type="cellIs" dxfId="154" priority="571" operator="notEqual">
      <formula>$I$68</formula>
    </cfRule>
  </conditionalFormatting>
  <conditionalFormatting sqref="J50">
    <cfRule type="cellIs" dxfId="153" priority="572" operator="notEqual">
      <formula>$J$68</formula>
    </cfRule>
  </conditionalFormatting>
  <conditionalFormatting sqref="L50">
    <cfRule type="cellIs" dxfId="152" priority="573" operator="notEqual">
      <formula>$L$68</formula>
    </cfRule>
  </conditionalFormatting>
  <conditionalFormatting sqref="N50">
    <cfRule type="cellIs" dxfId="151" priority="574" operator="notEqual">
      <formula>$N$68</formula>
    </cfRule>
  </conditionalFormatting>
  <conditionalFormatting sqref="P50">
    <cfRule type="cellIs" dxfId="150" priority="575" operator="notEqual">
      <formula>$P$68</formula>
    </cfRule>
  </conditionalFormatting>
  <conditionalFormatting sqref="R50">
    <cfRule type="cellIs" dxfId="149" priority="576" operator="notEqual">
      <formula>$R$68</formula>
    </cfRule>
  </conditionalFormatting>
  <conditionalFormatting sqref="T50">
    <cfRule type="cellIs" dxfId="148" priority="577" operator="notEqual">
      <formula>$T$68</formula>
    </cfRule>
  </conditionalFormatting>
  <conditionalFormatting sqref="V50">
    <cfRule type="cellIs" dxfId="147" priority="578" operator="notEqual">
      <formula>$V$68</formula>
    </cfRule>
  </conditionalFormatting>
  <conditionalFormatting sqref="X50">
    <cfRule type="cellIs" dxfId="146" priority="579" operator="notEqual">
      <formula>$X$68</formula>
    </cfRule>
  </conditionalFormatting>
  <conditionalFormatting sqref="Z50">
    <cfRule type="cellIs" dxfId="145" priority="580" operator="notEqual">
      <formula>$Z$68</formula>
    </cfRule>
  </conditionalFormatting>
  <conditionalFormatting sqref="C6">
    <cfRule type="cellIs" dxfId="144" priority="20" operator="notEqual">
      <formula>$AA$6</formula>
    </cfRule>
  </conditionalFormatting>
  <conditionalFormatting sqref="C8">
    <cfRule type="cellIs" dxfId="143" priority="19" operator="notEqual">
      <formula>$AA$8</formula>
    </cfRule>
  </conditionalFormatting>
  <conditionalFormatting sqref="C10">
    <cfRule type="cellIs" dxfId="142" priority="18" operator="notEqual">
      <formula>$AA$10</formula>
    </cfRule>
  </conditionalFormatting>
  <conditionalFormatting sqref="C12">
    <cfRule type="cellIs" dxfId="141" priority="17" operator="notEqual">
      <formula>$AA$12</formula>
    </cfRule>
  </conditionalFormatting>
  <conditionalFormatting sqref="C14">
    <cfRule type="cellIs" dxfId="140" priority="16" operator="notEqual">
      <formula>$AA$14</formula>
    </cfRule>
  </conditionalFormatting>
  <conditionalFormatting sqref="C16">
    <cfRule type="cellIs" dxfId="139" priority="15" operator="notEqual">
      <formula>$AA$16</formula>
    </cfRule>
  </conditionalFormatting>
  <conditionalFormatting sqref="C18">
    <cfRule type="cellIs" dxfId="138" priority="14" operator="notEqual">
      <formula>$AA$18</formula>
    </cfRule>
  </conditionalFormatting>
  <conditionalFormatting sqref="C20">
    <cfRule type="cellIs" dxfId="137" priority="13" operator="notEqual">
      <formula>$AA$20</formula>
    </cfRule>
  </conditionalFormatting>
  <conditionalFormatting sqref="C22">
    <cfRule type="cellIs" dxfId="136" priority="12" operator="notEqual">
      <formula>$AA$22</formula>
    </cfRule>
  </conditionalFormatting>
  <conditionalFormatting sqref="C24">
    <cfRule type="cellIs" dxfId="135" priority="11" operator="notEqual">
      <formula>$AA$24</formula>
    </cfRule>
  </conditionalFormatting>
  <conditionalFormatting sqref="C26">
    <cfRule type="cellIs" dxfId="134" priority="10" operator="notEqual">
      <formula>$AA$26</formula>
    </cfRule>
  </conditionalFormatting>
  <conditionalFormatting sqref="C28">
    <cfRule type="cellIs" dxfId="133" priority="9" operator="notEqual">
      <formula>$AA$28</formula>
    </cfRule>
  </conditionalFormatting>
  <conditionalFormatting sqref="C34">
    <cfRule type="cellIs" dxfId="132" priority="8" operator="notEqual">
      <formula>$AA$34</formula>
    </cfRule>
  </conditionalFormatting>
  <conditionalFormatting sqref="C36">
    <cfRule type="cellIs" dxfId="131" priority="7" operator="notEqual">
      <formula>$AA$36</formula>
    </cfRule>
  </conditionalFormatting>
  <conditionalFormatting sqref="C38">
    <cfRule type="cellIs" dxfId="130" priority="6" operator="notEqual">
      <formula>$AA$38</formula>
    </cfRule>
  </conditionalFormatting>
  <conditionalFormatting sqref="C40">
    <cfRule type="cellIs" dxfId="129" priority="5" operator="notEqual">
      <formula>$AA$40</formula>
    </cfRule>
  </conditionalFormatting>
  <conditionalFormatting sqref="C42">
    <cfRule type="cellIs" dxfId="128" priority="4" operator="notEqual">
      <formula>$AA$42</formula>
    </cfRule>
  </conditionalFormatting>
  <conditionalFormatting sqref="C44">
    <cfRule type="cellIs" dxfId="127" priority="3" operator="notEqual">
      <formula>$AA$44</formula>
    </cfRule>
  </conditionalFormatting>
  <conditionalFormatting sqref="C46">
    <cfRule type="cellIs" dxfId="126" priority="2" operator="notEqual">
      <formula>$AA$46</formula>
    </cfRule>
  </conditionalFormatting>
  <conditionalFormatting sqref="C48">
    <cfRule type="cellIs" dxfId="125" priority="1" operator="notEqual">
      <formula>$AA$48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69:X69 V48:V49 T48:T49 R48:R49 P48:P49 N48:N49 L48:L49 J48:J49 H48:H49 F48:F49 I43:I49 W28 F46 H46 J46 L46 N46 P46 R46 T46 V46 M28 I28 O28 Q28 S28 U28 K28 G28 O43:O49 Q43:Q49 S43:S49 U43:U49 K43:K49 G43:G49 W43:W49 M43:M49 F67 H67 J67 L67 N67 P67 R67 T67 V67 M54:M60 W54:W60 G54:G60 K54:K60 U54:U60 S54:S60 Q54:Q60 O54:O60 I54:I60 E54:E60 M34:M41 W34:W41 G34:G41 K34:K41 U34:U41 S34:S41 Q34:Q41 O34:O41 I34:I41 E34:E41 E43:E49 W62:W67 G62:G67 K62:K67 U62:U67 S62:S67 Q62:Q67 O62:O67 I62:I67 E62:E67 M62:M67 X48:X49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0 E70 G70 I70 K70 M70 O70 Q70 S70 U70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1">
    <pageSetUpPr fitToPage="1"/>
  </sheetPr>
  <dimension ref="A1:AE104"/>
  <sheetViews>
    <sheetView zoomScale="85" zoomScaleNormal="85" zoomScaleSheetLayoutView="75" workbookViewId="0">
      <pane xSplit="2" ySplit="6" topLeftCell="C49" activePane="bottomRight" state="frozen"/>
      <selection activeCell="C72" sqref="C72"/>
      <selection pane="topRight" activeCell="C72" sqref="C72"/>
      <selection pane="bottomLeft" activeCell="C72" sqref="C72"/>
      <selection pane="bottomRight" activeCell="N49" sqref="N49"/>
    </sheetView>
  </sheetViews>
  <sheetFormatPr defaultRowHeight="12.75"/>
  <cols>
    <col min="1" max="1" width="5.140625" style="105" customWidth="1"/>
    <col min="2" max="2" width="47.28515625" style="105" customWidth="1"/>
    <col min="3" max="3" width="14.140625" style="105" customWidth="1"/>
    <col min="4" max="4" width="21.5703125" style="105" customWidth="1"/>
    <col min="5" max="6" width="10.140625" style="105" customWidth="1"/>
    <col min="7" max="8" width="14.28515625" style="104" customWidth="1"/>
    <col min="9" max="13" width="13.85546875" style="105" customWidth="1"/>
    <col min="14" max="14" width="12.140625" style="105" customWidth="1"/>
    <col min="15" max="15" width="8.42578125" style="105" customWidth="1"/>
    <col min="16" max="16" width="10.42578125" style="105" customWidth="1"/>
    <col min="17" max="18" width="10.140625" style="105" customWidth="1"/>
    <col min="19" max="19" width="19.5703125" style="105" customWidth="1"/>
    <col min="20" max="20" width="9.140625" style="105"/>
    <col min="21" max="21" width="9.140625" style="179"/>
    <col min="22" max="22" width="8.28515625" style="105" customWidth="1"/>
    <col min="23" max="23" width="7.42578125" style="105" customWidth="1"/>
    <col min="24" max="24" width="6.85546875" style="105" customWidth="1"/>
    <col min="25" max="16384" width="9.140625" style="105"/>
  </cols>
  <sheetData>
    <row r="1" spans="1:22" ht="20.25">
      <c r="A1" s="696" t="s">
        <v>697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70" t="s">
        <v>588</v>
      </c>
    </row>
    <row r="2" spans="1:22">
      <c r="A2" s="190"/>
      <c r="B2" s="379"/>
      <c r="C2" s="379"/>
      <c r="D2" s="379"/>
      <c r="E2" s="379"/>
      <c r="F2" s="379"/>
      <c r="G2" s="637"/>
      <c r="H2" s="637"/>
      <c r="I2" s="379"/>
      <c r="J2" s="379"/>
      <c r="K2" s="379"/>
      <c r="L2" s="379"/>
      <c r="M2" s="379"/>
      <c r="N2" s="379"/>
      <c r="O2" s="379"/>
      <c r="Q2" s="379"/>
      <c r="R2" s="379"/>
      <c r="S2" s="379"/>
    </row>
    <row r="3" spans="1:22" ht="15.75">
      <c r="A3" s="71"/>
      <c r="B3" s="380" t="str">
        <f>+'Asset quality'!B3</f>
        <v>АКБ "Микрокредитбанк"</v>
      </c>
      <c r="D3" s="71"/>
      <c r="E3" s="71"/>
      <c r="F3" s="71"/>
      <c r="G3" s="638"/>
      <c r="H3" s="638"/>
      <c r="I3" s="71"/>
      <c r="J3" s="71"/>
      <c r="K3" s="71"/>
      <c r="L3" s="71"/>
      <c r="M3" s="71"/>
      <c r="N3" s="697">
        <f>+'Asset quality'!P3</f>
        <v>44196</v>
      </c>
      <c r="O3" s="697"/>
      <c r="P3" s="697"/>
      <c r="Q3" s="71"/>
      <c r="R3" s="71"/>
      <c r="S3" s="518" t="s">
        <v>408</v>
      </c>
      <c r="U3" s="105"/>
      <c r="V3" s="179"/>
    </row>
    <row r="4" spans="1:22" ht="24" customHeight="1">
      <c r="A4" s="704" t="s">
        <v>83</v>
      </c>
      <c r="B4" s="704" t="s">
        <v>195</v>
      </c>
      <c r="C4" s="702" t="s">
        <v>589</v>
      </c>
      <c r="D4" s="702" t="s">
        <v>590</v>
      </c>
      <c r="E4" s="702" t="s">
        <v>591</v>
      </c>
      <c r="F4" s="702" t="s">
        <v>196</v>
      </c>
      <c r="G4" s="702" t="s">
        <v>692</v>
      </c>
      <c r="H4" s="699" t="s">
        <v>90</v>
      </c>
      <c r="I4" s="700"/>
      <c r="J4" s="700"/>
      <c r="K4" s="700"/>
      <c r="L4" s="700"/>
      <c r="M4" s="701"/>
      <c r="N4" s="702" t="s">
        <v>197</v>
      </c>
      <c r="O4" s="699" t="s">
        <v>628</v>
      </c>
      <c r="P4" s="701"/>
      <c r="Q4" s="702" t="s">
        <v>198</v>
      </c>
      <c r="R4" s="702" t="s">
        <v>596</v>
      </c>
      <c r="S4" s="702" t="s">
        <v>199</v>
      </c>
    </row>
    <row r="5" spans="1:22" ht="96" customHeight="1">
      <c r="A5" s="705"/>
      <c r="B5" s="705"/>
      <c r="C5" s="703"/>
      <c r="D5" s="703"/>
      <c r="E5" s="703"/>
      <c r="F5" s="703"/>
      <c r="G5" s="703"/>
      <c r="H5" s="630" t="s">
        <v>592</v>
      </c>
      <c r="I5" s="372" t="s">
        <v>593</v>
      </c>
      <c r="J5" s="372" t="s">
        <v>88</v>
      </c>
      <c r="K5" s="372" t="s">
        <v>594</v>
      </c>
      <c r="L5" s="497" t="s">
        <v>886</v>
      </c>
      <c r="M5" s="497" t="s">
        <v>664</v>
      </c>
      <c r="N5" s="703"/>
      <c r="O5" s="375" t="s">
        <v>629</v>
      </c>
      <c r="P5" s="375" t="s">
        <v>595</v>
      </c>
      <c r="Q5" s="703"/>
      <c r="R5" s="703"/>
      <c r="S5" s="703"/>
    </row>
    <row r="6" spans="1:22" ht="15">
      <c r="A6" s="373"/>
      <c r="B6" s="373" t="s">
        <v>182</v>
      </c>
      <c r="C6" s="373" t="s">
        <v>183</v>
      </c>
      <c r="D6" s="373" t="s">
        <v>200</v>
      </c>
      <c r="E6" s="373" t="s">
        <v>184</v>
      </c>
      <c r="F6" s="373" t="s">
        <v>185</v>
      </c>
      <c r="G6" s="632" t="s">
        <v>201</v>
      </c>
      <c r="H6" s="631" t="s">
        <v>630</v>
      </c>
      <c r="I6" s="373" t="s">
        <v>631</v>
      </c>
      <c r="J6" s="373" t="s">
        <v>632</v>
      </c>
      <c r="K6" s="373" t="s">
        <v>633</v>
      </c>
      <c r="L6" s="498" t="s">
        <v>634</v>
      </c>
      <c r="M6" s="498" t="s">
        <v>870</v>
      </c>
      <c r="N6" s="373" t="s">
        <v>186</v>
      </c>
      <c r="O6" s="373" t="s">
        <v>187</v>
      </c>
      <c r="P6" s="373" t="s">
        <v>188</v>
      </c>
      <c r="Q6" s="373" t="s">
        <v>189</v>
      </c>
      <c r="R6" s="373" t="s">
        <v>190</v>
      </c>
      <c r="S6" s="373" t="s">
        <v>191</v>
      </c>
    </row>
    <row r="7" spans="1:22" s="176" customFormat="1" ht="24.75" customHeight="1">
      <c r="A7" s="233">
        <v>1</v>
      </c>
      <c r="B7" s="633" t="s">
        <v>896</v>
      </c>
      <c r="C7" s="634" t="s">
        <v>951</v>
      </c>
      <c r="D7" s="634" t="s">
        <v>164</v>
      </c>
      <c r="E7" s="634" t="s">
        <v>1006</v>
      </c>
      <c r="F7" s="634">
        <v>1</v>
      </c>
      <c r="G7" s="639">
        <f>SUM(H7:M7)</f>
        <v>243460.55974999999</v>
      </c>
      <c r="H7" s="73">
        <v>243460.55974999999</v>
      </c>
      <c r="I7" s="73"/>
      <c r="J7" s="73"/>
      <c r="K7" s="73"/>
      <c r="L7" s="73"/>
      <c r="M7" s="73"/>
      <c r="N7" s="73"/>
      <c r="O7" s="73"/>
      <c r="P7" s="73"/>
      <c r="Q7" s="74"/>
      <c r="R7" s="74">
        <v>0</v>
      </c>
      <c r="S7" s="641" t="s">
        <v>1007</v>
      </c>
      <c r="U7" s="180"/>
    </row>
    <row r="8" spans="1:22" s="176" customFormat="1" ht="24.75" customHeight="1">
      <c r="A8" s="233">
        <v>2</v>
      </c>
      <c r="B8" s="634" t="s">
        <v>897</v>
      </c>
      <c r="C8" s="634" t="s">
        <v>952</v>
      </c>
      <c r="D8" s="634" t="s">
        <v>164</v>
      </c>
      <c r="E8" s="634" t="s">
        <v>1006</v>
      </c>
      <c r="F8" s="634">
        <v>2</v>
      </c>
      <c r="G8" s="639">
        <f t="shared" ref="G8:G11" si="0">SUM(H8:M8)</f>
        <v>0</v>
      </c>
      <c r="H8" s="73">
        <v>0</v>
      </c>
      <c r="I8" s="73"/>
      <c r="J8" s="73"/>
      <c r="K8" s="73"/>
      <c r="L8" s="73"/>
      <c r="M8" s="73"/>
      <c r="N8" s="73"/>
      <c r="O8" s="73"/>
      <c r="P8" s="73"/>
      <c r="Q8" s="74"/>
      <c r="R8" s="74">
        <v>0</v>
      </c>
      <c r="S8" s="641" t="s">
        <v>1007</v>
      </c>
      <c r="U8" s="180"/>
    </row>
    <row r="9" spans="1:22" s="176" customFormat="1" ht="24.75" customHeight="1">
      <c r="A9" s="233">
        <v>3</v>
      </c>
      <c r="B9" s="634" t="s">
        <v>898</v>
      </c>
      <c r="C9" s="634" t="s">
        <v>953</v>
      </c>
      <c r="D9" s="634" t="s">
        <v>164</v>
      </c>
      <c r="E9" s="634" t="s">
        <v>1006</v>
      </c>
      <c r="F9" s="634">
        <v>3</v>
      </c>
      <c r="G9" s="639">
        <f t="shared" si="0"/>
        <v>46095.409140000003</v>
      </c>
      <c r="H9" s="73">
        <v>46095.409140000003</v>
      </c>
      <c r="I9" s="73"/>
      <c r="J9" s="73"/>
      <c r="K9" s="73"/>
      <c r="L9" s="73"/>
      <c r="M9" s="73"/>
      <c r="N9" s="73"/>
      <c r="O9" s="73"/>
      <c r="P9" s="73"/>
      <c r="Q9" s="74"/>
      <c r="R9" s="74">
        <v>0</v>
      </c>
      <c r="S9" s="641" t="s">
        <v>1007</v>
      </c>
      <c r="U9" s="180"/>
    </row>
    <row r="10" spans="1:22" s="176" customFormat="1" ht="24.75" customHeight="1">
      <c r="A10" s="233">
        <v>4</v>
      </c>
      <c r="B10" s="634" t="s">
        <v>899</v>
      </c>
      <c r="C10" s="634" t="s">
        <v>954</v>
      </c>
      <c r="D10" s="634" t="s">
        <v>164</v>
      </c>
      <c r="E10" s="634" t="s">
        <v>1006</v>
      </c>
      <c r="F10" s="634">
        <v>4</v>
      </c>
      <c r="G10" s="639">
        <f t="shared" si="0"/>
        <v>48348.29206</v>
      </c>
      <c r="H10" s="73">
        <v>48348.29206</v>
      </c>
      <c r="I10" s="73"/>
      <c r="J10" s="73"/>
      <c r="K10" s="73"/>
      <c r="L10" s="73"/>
      <c r="M10" s="73"/>
      <c r="N10" s="73"/>
      <c r="O10" s="73"/>
      <c r="P10" s="73"/>
      <c r="Q10" s="74"/>
      <c r="R10" s="74">
        <v>0</v>
      </c>
      <c r="S10" s="641" t="s">
        <v>1007</v>
      </c>
      <c r="U10" s="180"/>
    </row>
    <row r="11" spans="1:22" s="176" customFormat="1" ht="24.75" customHeight="1">
      <c r="A11" s="233">
        <v>5</v>
      </c>
      <c r="B11" s="634" t="s">
        <v>900</v>
      </c>
      <c r="C11" s="634" t="s">
        <v>955</v>
      </c>
      <c r="D11" s="634" t="s">
        <v>164</v>
      </c>
      <c r="E11" s="634" t="s">
        <v>1006</v>
      </c>
      <c r="F11" s="634">
        <v>5</v>
      </c>
      <c r="G11" s="639">
        <f t="shared" si="0"/>
        <v>0</v>
      </c>
      <c r="H11" s="73">
        <v>0</v>
      </c>
      <c r="I11" s="575"/>
      <c r="J11" s="575"/>
      <c r="K11" s="575"/>
      <c r="L11" s="575"/>
      <c r="M11" s="575"/>
      <c r="N11" s="76"/>
      <c r="O11" s="76"/>
      <c r="P11" s="76"/>
      <c r="Q11" s="76"/>
      <c r="R11" s="74">
        <v>0</v>
      </c>
      <c r="S11" s="636" t="s">
        <v>1007</v>
      </c>
      <c r="U11" s="180"/>
    </row>
    <row r="12" spans="1:22" s="176" customFormat="1" ht="24.75" customHeight="1">
      <c r="A12" s="233">
        <v>6</v>
      </c>
      <c r="B12" s="634" t="s">
        <v>901</v>
      </c>
      <c r="C12" s="634" t="s">
        <v>956</v>
      </c>
      <c r="D12" s="634" t="s">
        <v>164</v>
      </c>
      <c r="E12" s="634" t="s">
        <v>1006</v>
      </c>
      <c r="F12" s="634">
        <v>6</v>
      </c>
      <c r="G12" s="639">
        <f t="shared" ref="G12:G63" si="1">SUM(H12:M12)</f>
        <v>34527.645850000001</v>
      </c>
      <c r="H12" s="73">
        <v>34527.645850000001</v>
      </c>
      <c r="I12" s="73"/>
      <c r="J12" s="73"/>
      <c r="K12" s="73"/>
      <c r="L12" s="73"/>
      <c r="M12" s="73"/>
      <c r="N12" s="73"/>
      <c r="O12" s="73"/>
      <c r="P12" s="73"/>
      <c r="Q12" s="74"/>
      <c r="R12" s="74">
        <v>0</v>
      </c>
      <c r="S12" s="641" t="s">
        <v>1007</v>
      </c>
      <c r="U12" s="181"/>
    </row>
    <row r="13" spans="1:22" s="176" customFormat="1" ht="24.75" customHeight="1">
      <c r="A13" s="233">
        <v>7</v>
      </c>
      <c r="B13" s="634" t="s">
        <v>902</v>
      </c>
      <c r="C13" s="634" t="s">
        <v>957</v>
      </c>
      <c r="D13" s="634" t="s">
        <v>164</v>
      </c>
      <c r="E13" s="634" t="s">
        <v>1006</v>
      </c>
      <c r="F13" s="634">
        <v>7</v>
      </c>
      <c r="G13" s="639">
        <f t="shared" si="1"/>
        <v>20913.27837</v>
      </c>
      <c r="H13" s="73">
        <v>20913.27837</v>
      </c>
      <c r="I13" s="73"/>
      <c r="J13" s="73"/>
      <c r="K13" s="73"/>
      <c r="L13" s="73"/>
      <c r="M13" s="73"/>
      <c r="N13" s="73"/>
      <c r="O13" s="73"/>
      <c r="P13" s="73"/>
      <c r="Q13" s="74"/>
      <c r="R13" s="74">
        <v>0</v>
      </c>
      <c r="S13" s="641" t="s">
        <v>1007</v>
      </c>
      <c r="U13" s="181"/>
    </row>
    <row r="14" spans="1:22" s="176" customFormat="1" ht="24.75" customHeight="1">
      <c r="A14" s="233">
        <v>8</v>
      </c>
      <c r="B14" s="634" t="s">
        <v>903</v>
      </c>
      <c r="C14" s="634" t="s">
        <v>958</v>
      </c>
      <c r="D14" s="634" t="s">
        <v>164</v>
      </c>
      <c r="E14" s="634" t="s">
        <v>1006</v>
      </c>
      <c r="F14" s="634">
        <v>8</v>
      </c>
      <c r="G14" s="639">
        <f t="shared" si="1"/>
        <v>16632.784970000001</v>
      </c>
      <c r="H14" s="73">
        <v>16632.784970000001</v>
      </c>
      <c r="I14" s="73"/>
      <c r="J14" s="73"/>
      <c r="K14" s="73"/>
      <c r="L14" s="73"/>
      <c r="M14" s="73"/>
      <c r="N14" s="73"/>
      <c r="O14" s="73"/>
      <c r="P14" s="73"/>
      <c r="Q14" s="74"/>
      <c r="R14" s="74">
        <v>0</v>
      </c>
      <c r="S14" s="641" t="s">
        <v>1007</v>
      </c>
      <c r="U14" s="181"/>
    </row>
    <row r="15" spans="1:22" s="176" customFormat="1" ht="24.75" customHeight="1">
      <c r="A15" s="233">
        <v>9</v>
      </c>
      <c r="B15" s="634" t="s">
        <v>904</v>
      </c>
      <c r="C15" s="634" t="s">
        <v>959</v>
      </c>
      <c r="D15" s="634" t="s">
        <v>164</v>
      </c>
      <c r="E15" s="634" t="s">
        <v>1006</v>
      </c>
      <c r="F15" s="634">
        <v>9</v>
      </c>
      <c r="G15" s="639">
        <f t="shared" si="1"/>
        <v>14826.672550000001</v>
      </c>
      <c r="H15" s="73">
        <v>14826.672550000001</v>
      </c>
      <c r="I15" s="73"/>
      <c r="J15" s="73"/>
      <c r="K15" s="73"/>
      <c r="L15" s="73"/>
      <c r="M15" s="73"/>
      <c r="N15" s="73"/>
      <c r="O15" s="73"/>
      <c r="P15" s="73"/>
      <c r="Q15" s="74"/>
      <c r="R15" s="74">
        <v>0</v>
      </c>
      <c r="S15" s="641" t="s">
        <v>1007</v>
      </c>
      <c r="U15" s="181"/>
    </row>
    <row r="16" spans="1:22" s="176" customFormat="1" ht="24.75" customHeight="1">
      <c r="A16" s="233">
        <v>10</v>
      </c>
      <c r="B16" s="634" t="s">
        <v>905</v>
      </c>
      <c r="C16" s="634" t="s">
        <v>960</v>
      </c>
      <c r="D16" s="634" t="s">
        <v>164</v>
      </c>
      <c r="E16" s="634" t="s">
        <v>1006</v>
      </c>
      <c r="F16" s="634">
        <v>10</v>
      </c>
      <c r="G16" s="639">
        <f t="shared" si="1"/>
        <v>20124.333999999999</v>
      </c>
      <c r="H16" s="73">
        <v>20124.333999999999</v>
      </c>
      <c r="I16" s="73"/>
      <c r="J16" s="73"/>
      <c r="K16" s="73"/>
      <c r="L16" s="73"/>
      <c r="M16" s="73"/>
      <c r="N16" s="73"/>
      <c r="O16" s="73"/>
      <c r="P16" s="73"/>
      <c r="Q16" s="74"/>
      <c r="R16" s="74">
        <v>0</v>
      </c>
      <c r="S16" s="641" t="s">
        <v>1007</v>
      </c>
      <c r="U16" s="181"/>
    </row>
    <row r="17" spans="1:21" s="176" customFormat="1" ht="24.75" customHeight="1">
      <c r="A17" s="233">
        <v>11</v>
      </c>
      <c r="B17" s="634" t="s">
        <v>906</v>
      </c>
      <c r="C17" s="634" t="s">
        <v>961</v>
      </c>
      <c r="D17" s="634" t="s">
        <v>164</v>
      </c>
      <c r="E17" s="634" t="s">
        <v>1006</v>
      </c>
      <c r="F17" s="634">
        <v>11</v>
      </c>
      <c r="G17" s="639">
        <f t="shared" si="1"/>
        <v>10073.722</v>
      </c>
      <c r="H17" s="73">
        <v>10073.722</v>
      </c>
      <c r="I17" s="73"/>
      <c r="J17" s="73"/>
      <c r="K17" s="73"/>
      <c r="L17" s="73"/>
      <c r="M17" s="73"/>
      <c r="N17" s="73"/>
      <c r="O17" s="73"/>
      <c r="P17" s="73"/>
      <c r="Q17" s="74"/>
      <c r="R17" s="74">
        <v>0</v>
      </c>
      <c r="S17" s="641" t="s">
        <v>1007</v>
      </c>
      <c r="U17" s="181"/>
    </row>
    <row r="18" spans="1:21" s="176" customFormat="1" ht="24.75" customHeight="1">
      <c r="A18" s="233">
        <v>12</v>
      </c>
      <c r="B18" s="634" t="s">
        <v>907</v>
      </c>
      <c r="C18" s="634" t="s">
        <v>962</v>
      </c>
      <c r="D18" s="634" t="s">
        <v>164</v>
      </c>
      <c r="E18" s="634" t="s">
        <v>1006</v>
      </c>
      <c r="F18" s="634">
        <v>12</v>
      </c>
      <c r="G18" s="639">
        <f t="shared" si="1"/>
        <v>7080</v>
      </c>
      <c r="H18" s="73">
        <v>7080</v>
      </c>
      <c r="I18" s="73"/>
      <c r="J18" s="73"/>
      <c r="K18" s="73"/>
      <c r="L18" s="73"/>
      <c r="M18" s="73"/>
      <c r="N18" s="73"/>
      <c r="O18" s="73"/>
      <c r="P18" s="73"/>
      <c r="Q18" s="74"/>
      <c r="R18" s="74">
        <v>0</v>
      </c>
      <c r="S18" s="641" t="s">
        <v>1007</v>
      </c>
      <c r="U18" s="181"/>
    </row>
    <row r="19" spans="1:21" s="176" customFormat="1" ht="24.75" customHeight="1">
      <c r="A19" s="233">
        <v>13</v>
      </c>
      <c r="B19" s="635" t="s">
        <v>908</v>
      </c>
      <c r="C19" s="634" t="s">
        <v>963</v>
      </c>
      <c r="D19" s="634" t="s">
        <v>164</v>
      </c>
      <c r="E19" s="634" t="s">
        <v>1006</v>
      </c>
      <c r="F19" s="634">
        <v>13</v>
      </c>
      <c r="G19" s="639">
        <f t="shared" si="1"/>
        <v>0</v>
      </c>
      <c r="H19" s="73">
        <v>0</v>
      </c>
      <c r="I19" s="73"/>
      <c r="J19" s="73"/>
      <c r="K19" s="73"/>
      <c r="L19" s="73"/>
      <c r="M19" s="73"/>
      <c r="N19" s="73"/>
      <c r="O19" s="73"/>
      <c r="P19" s="73"/>
      <c r="Q19" s="74"/>
      <c r="R19" s="74">
        <v>0</v>
      </c>
      <c r="S19" s="641" t="s">
        <v>1007</v>
      </c>
      <c r="U19" s="181"/>
    </row>
    <row r="20" spans="1:21" s="176" customFormat="1" ht="24.75" customHeight="1">
      <c r="A20" s="233">
        <v>14</v>
      </c>
      <c r="B20" s="634" t="s">
        <v>909</v>
      </c>
      <c r="C20" s="634" t="s">
        <v>964</v>
      </c>
      <c r="D20" s="634" t="s">
        <v>164</v>
      </c>
      <c r="E20" s="634" t="s">
        <v>1006</v>
      </c>
      <c r="F20" s="634">
        <v>14</v>
      </c>
      <c r="G20" s="639">
        <f t="shared" si="1"/>
        <v>5757.5799900000002</v>
      </c>
      <c r="H20" s="73">
        <v>5757.5799900000002</v>
      </c>
      <c r="I20" s="73"/>
      <c r="J20" s="73"/>
      <c r="K20" s="73"/>
      <c r="L20" s="73"/>
      <c r="M20" s="73"/>
      <c r="N20" s="73"/>
      <c r="O20" s="73"/>
      <c r="P20" s="73"/>
      <c r="Q20" s="74"/>
      <c r="R20" s="74">
        <v>0</v>
      </c>
      <c r="S20" s="641" t="s">
        <v>1007</v>
      </c>
      <c r="U20" s="181"/>
    </row>
    <row r="21" spans="1:21" s="176" customFormat="1" ht="24.75" customHeight="1">
      <c r="A21" s="233">
        <v>15</v>
      </c>
      <c r="B21" s="634" t="s">
        <v>910</v>
      </c>
      <c r="C21" s="634" t="s">
        <v>965</v>
      </c>
      <c r="D21" s="634" t="s">
        <v>164</v>
      </c>
      <c r="E21" s="634" t="s">
        <v>1006</v>
      </c>
      <c r="F21" s="634">
        <v>15</v>
      </c>
      <c r="G21" s="639">
        <f t="shared" si="1"/>
        <v>4604.0897800000002</v>
      </c>
      <c r="H21" s="73">
        <v>4604.0897800000002</v>
      </c>
      <c r="I21" s="73"/>
      <c r="J21" s="73"/>
      <c r="K21" s="73"/>
      <c r="L21" s="73"/>
      <c r="M21" s="73"/>
      <c r="N21" s="73"/>
      <c r="O21" s="73"/>
      <c r="P21" s="73"/>
      <c r="Q21" s="74"/>
      <c r="R21" s="74">
        <v>0</v>
      </c>
      <c r="S21" s="641" t="s">
        <v>1007</v>
      </c>
      <c r="U21" s="181"/>
    </row>
    <row r="22" spans="1:21" s="176" customFormat="1" ht="24.75" customHeight="1">
      <c r="A22" s="233">
        <v>16</v>
      </c>
      <c r="B22" s="634" t="s">
        <v>911</v>
      </c>
      <c r="C22" s="634" t="s">
        <v>966</v>
      </c>
      <c r="D22" s="634" t="s">
        <v>164</v>
      </c>
      <c r="E22" s="634" t="s">
        <v>1006</v>
      </c>
      <c r="F22" s="634">
        <v>16</v>
      </c>
      <c r="G22" s="639">
        <f t="shared" si="1"/>
        <v>3485.71144</v>
      </c>
      <c r="H22" s="73">
        <v>3485.71144</v>
      </c>
      <c r="I22" s="73"/>
      <c r="J22" s="73"/>
      <c r="K22" s="73"/>
      <c r="L22" s="73"/>
      <c r="M22" s="73"/>
      <c r="N22" s="73"/>
      <c r="O22" s="73"/>
      <c r="P22" s="73"/>
      <c r="Q22" s="74"/>
      <c r="R22" s="74">
        <v>0</v>
      </c>
      <c r="S22" s="641" t="s">
        <v>1007</v>
      </c>
      <c r="U22" s="181"/>
    </row>
    <row r="23" spans="1:21" s="176" customFormat="1" ht="24.75" customHeight="1">
      <c r="A23" s="233">
        <v>17</v>
      </c>
      <c r="B23" s="634" t="s">
        <v>912</v>
      </c>
      <c r="C23" s="634" t="s">
        <v>967</v>
      </c>
      <c r="D23" s="634" t="s">
        <v>164</v>
      </c>
      <c r="E23" s="634" t="s">
        <v>1006</v>
      </c>
      <c r="F23" s="634">
        <v>17</v>
      </c>
      <c r="G23" s="639">
        <f t="shared" si="1"/>
        <v>0</v>
      </c>
      <c r="H23" s="73">
        <v>0</v>
      </c>
      <c r="I23" s="73"/>
      <c r="J23" s="73"/>
      <c r="K23" s="73"/>
      <c r="L23" s="73"/>
      <c r="M23" s="73"/>
      <c r="N23" s="73"/>
      <c r="O23" s="73"/>
      <c r="P23" s="73"/>
      <c r="Q23" s="74"/>
      <c r="R23" s="74">
        <v>0</v>
      </c>
      <c r="S23" s="641" t="s">
        <v>1007</v>
      </c>
      <c r="U23" s="181"/>
    </row>
    <row r="24" spans="1:21" s="176" customFormat="1" ht="24.75" customHeight="1">
      <c r="A24" s="233">
        <v>18</v>
      </c>
      <c r="B24" s="634" t="s">
        <v>913</v>
      </c>
      <c r="C24" s="634" t="s">
        <v>968</v>
      </c>
      <c r="D24" s="634" t="s">
        <v>164</v>
      </c>
      <c r="E24" s="634" t="s">
        <v>1006</v>
      </c>
      <c r="F24" s="634">
        <v>18</v>
      </c>
      <c r="G24" s="639">
        <f t="shared" si="1"/>
        <v>1053.2270000000001</v>
      </c>
      <c r="H24" s="73">
        <v>1053.2270000000001</v>
      </c>
      <c r="I24" s="73"/>
      <c r="J24" s="73"/>
      <c r="K24" s="73"/>
      <c r="L24" s="73"/>
      <c r="M24" s="73"/>
      <c r="N24" s="73"/>
      <c r="O24" s="73"/>
      <c r="P24" s="73"/>
      <c r="Q24" s="74"/>
      <c r="R24" s="74">
        <v>0</v>
      </c>
      <c r="S24" s="641" t="s">
        <v>1007</v>
      </c>
      <c r="U24" s="181"/>
    </row>
    <row r="25" spans="1:21" s="176" customFormat="1" ht="24.75" customHeight="1">
      <c r="A25" s="233">
        <v>19</v>
      </c>
      <c r="B25" s="636" t="s">
        <v>914</v>
      </c>
      <c r="C25" s="634" t="s">
        <v>969</v>
      </c>
      <c r="D25" s="634" t="s">
        <v>164</v>
      </c>
      <c r="E25" s="634" t="s">
        <v>1006</v>
      </c>
      <c r="F25" s="634">
        <v>20</v>
      </c>
      <c r="G25" s="639">
        <f t="shared" si="1"/>
        <v>1866.6579999999999</v>
      </c>
      <c r="H25" s="73">
        <v>1866.6579999999999</v>
      </c>
      <c r="I25" s="73"/>
      <c r="J25" s="73"/>
      <c r="K25" s="73"/>
      <c r="L25" s="73"/>
      <c r="M25" s="73"/>
      <c r="N25" s="73"/>
      <c r="O25" s="73"/>
      <c r="P25" s="73"/>
      <c r="Q25" s="74"/>
      <c r="R25" s="74">
        <v>0</v>
      </c>
      <c r="S25" s="641" t="s">
        <v>1007</v>
      </c>
      <c r="U25" s="181"/>
    </row>
    <row r="26" spans="1:21" s="176" customFormat="1" ht="24.75" customHeight="1">
      <c r="A26" s="233">
        <v>20</v>
      </c>
      <c r="B26" s="636" t="s">
        <v>915</v>
      </c>
      <c r="C26" s="636" t="s">
        <v>970</v>
      </c>
      <c r="D26" s="636" t="s">
        <v>164</v>
      </c>
      <c r="E26" s="636" t="s">
        <v>1006</v>
      </c>
      <c r="F26" s="636">
        <v>22</v>
      </c>
      <c r="G26" s="639">
        <f t="shared" si="1"/>
        <v>2294.0213199999998</v>
      </c>
      <c r="H26" s="73">
        <v>2294.0213199999998</v>
      </c>
      <c r="I26" s="73"/>
      <c r="J26" s="73"/>
      <c r="K26" s="73"/>
      <c r="L26" s="73"/>
      <c r="M26" s="73"/>
      <c r="N26" s="76"/>
      <c r="O26" s="76"/>
      <c r="P26" s="73"/>
      <c r="Q26" s="74"/>
      <c r="R26" s="74">
        <v>0</v>
      </c>
      <c r="S26" s="641" t="s">
        <v>1007</v>
      </c>
      <c r="U26" s="181"/>
    </row>
    <row r="27" spans="1:21" s="176" customFormat="1" ht="24.75" customHeight="1">
      <c r="A27" s="233">
        <v>21</v>
      </c>
      <c r="B27" s="636" t="s">
        <v>916</v>
      </c>
      <c r="C27" s="636" t="s">
        <v>971</v>
      </c>
      <c r="D27" s="636" t="s">
        <v>164</v>
      </c>
      <c r="E27" s="636" t="s">
        <v>1006</v>
      </c>
      <c r="F27" s="636">
        <v>25</v>
      </c>
      <c r="G27" s="639">
        <f t="shared" si="1"/>
        <v>10926.471619999998</v>
      </c>
      <c r="H27" s="73">
        <v>10926.471619999998</v>
      </c>
      <c r="I27" s="77"/>
      <c r="J27" s="77"/>
      <c r="K27" s="77"/>
      <c r="L27" s="77"/>
      <c r="M27" s="77"/>
      <c r="N27" s="39"/>
      <c r="O27" s="39"/>
      <c r="P27" s="39"/>
      <c r="Q27" s="39"/>
      <c r="R27" s="74">
        <v>0</v>
      </c>
      <c r="S27" s="642" t="s">
        <v>1007</v>
      </c>
      <c r="U27" s="181"/>
    </row>
    <row r="28" spans="1:21" s="176" customFormat="1" ht="24.75" customHeight="1">
      <c r="A28" s="233">
        <v>22</v>
      </c>
      <c r="B28" s="636" t="s">
        <v>917</v>
      </c>
      <c r="C28" s="636" t="s">
        <v>972</v>
      </c>
      <c r="D28" s="636" t="s">
        <v>164</v>
      </c>
      <c r="E28" s="636" t="s">
        <v>1006</v>
      </c>
      <c r="F28" s="636">
        <v>27</v>
      </c>
      <c r="G28" s="639">
        <f t="shared" si="1"/>
        <v>15366.591</v>
      </c>
      <c r="H28" s="73">
        <v>15366.591</v>
      </c>
      <c r="I28" s="77"/>
      <c r="J28" s="77"/>
      <c r="K28" s="77"/>
      <c r="L28" s="77"/>
      <c r="M28" s="77"/>
      <c r="N28" s="39"/>
      <c r="O28" s="39"/>
      <c r="P28" s="39"/>
      <c r="Q28" s="39"/>
      <c r="R28" s="74">
        <v>0</v>
      </c>
      <c r="S28" s="642" t="s">
        <v>1007</v>
      </c>
      <c r="U28" s="181"/>
    </row>
    <row r="29" spans="1:21" s="176" customFormat="1" ht="24.75" customHeight="1">
      <c r="A29" s="233">
        <v>23</v>
      </c>
      <c r="B29" s="636" t="s">
        <v>918</v>
      </c>
      <c r="C29" s="636" t="s">
        <v>973</v>
      </c>
      <c r="D29" s="636" t="s">
        <v>164</v>
      </c>
      <c r="E29" s="636" t="s">
        <v>1006</v>
      </c>
      <c r="F29" s="636">
        <v>28</v>
      </c>
      <c r="G29" s="639">
        <f t="shared" si="1"/>
        <v>19146.453550000002</v>
      </c>
      <c r="H29" s="73">
        <v>19146.453550000002</v>
      </c>
      <c r="I29" s="77"/>
      <c r="J29" s="77"/>
      <c r="K29" s="77"/>
      <c r="L29" s="77"/>
      <c r="M29" s="77"/>
      <c r="N29" s="39"/>
      <c r="O29" s="39"/>
      <c r="P29" s="39"/>
      <c r="Q29" s="39"/>
      <c r="R29" s="74">
        <v>0</v>
      </c>
      <c r="S29" s="642" t="s">
        <v>1007</v>
      </c>
      <c r="U29" s="181"/>
    </row>
    <row r="30" spans="1:21" s="176" customFormat="1" ht="24.75" customHeight="1">
      <c r="A30" s="233">
        <v>24</v>
      </c>
      <c r="B30" s="636" t="s">
        <v>919</v>
      </c>
      <c r="C30" s="636" t="s">
        <v>974</v>
      </c>
      <c r="D30" s="636" t="s">
        <v>164</v>
      </c>
      <c r="E30" s="636" t="s">
        <v>1006</v>
      </c>
      <c r="F30" s="636">
        <v>29</v>
      </c>
      <c r="G30" s="639">
        <f t="shared" si="1"/>
        <v>30250</v>
      </c>
      <c r="H30" s="73">
        <v>30250</v>
      </c>
      <c r="I30" s="77"/>
      <c r="J30" s="77"/>
      <c r="K30" s="77"/>
      <c r="L30" s="77"/>
      <c r="M30" s="77"/>
      <c r="N30" s="39"/>
      <c r="O30" s="39"/>
      <c r="P30" s="39"/>
      <c r="Q30" s="39"/>
      <c r="R30" s="74">
        <v>0</v>
      </c>
      <c r="S30" s="642" t="s">
        <v>1007</v>
      </c>
      <c r="U30" s="181"/>
    </row>
    <row r="31" spans="1:21" s="176" customFormat="1" ht="24.75" customHeight="1">
      <c r="A31" s="233">
        <v>25</v>
      </c>
      <c r="B31" s="636" t="s">
        <v>920</v>
      </c>
      <c r="C31" s="636" t="s">
        <v>975</v>
      </c>
      <c r="D31" s="636" t="s">
        <v>164</v>
      </c>
      <c r="E31" s="636" t="s">
        <v>1006</v>
      </c>
      <c r="F31" s="636">
        <v>30</v>
      </c>
      <c r="G31" s="639">
        <f t="shared" si="1"/>
        <v>19320.954149999998</v>
      </c>
      <c r="H31" s="73">
        <v>19320.954149999998</v>
      </c>
      <c r="I31" s="77"/>
      <c r="J31" s="77"/>
      <c r="K31" s="77"/>
      <c r="L31" s="77"/>
      <c r="M31" s="77"/>
      <c r="N31" s="39"/>
      <c r="O31" s="39"/>
      <c r="P31" s="39"/>
      <c r="Q31" s="39"/>
      <c r="R31" s="74">
        <v>0</v>
      </c>
      <c r="S31" s="642" t="s">
        <v>1007</v>
      </c>
      <c r="U31" s="181"/>
    </row>
    <row r="32" spans="1:21" s="176" customFormat="1" ht="24.75" customHeight="1">
      <c r="A32" s="233">
        <v>26</v>
      </c>
      <c r="B32" s="636" t="s">
        <v>950</v>
      </c>
      <c r="C32" s="636" t="s">
        <v>1005</v>
      </c>
      <c r="D32" s="636" t="s">
        <v>164</v>
      </c>
      <c r="E32" s="636" t="s">
        <v>1006</v>
      </c>
      <c r="F32" s="636">
        <v>65</v>
      </c>
      <c r="G32" s="639">
        <v>1000</v>
      </c>
      <c r="H32" s="73">
        <v>0</v>
      </c>
      <c r="I32" s="77"/>
      <c r="J32" s="77"/>
      <c r="K32" s="77"/>
      <c r="L32" s="77"/>
      <c r="M32" s="77"/>
      <c r="N32" s="39"/>
      <c r="O32" s="39"/>
      <c r="P32" s="39"/>
      <c r="Q32" s="39"/>
      <c r="R32" s="74">
        <v>0</v>
      </c>
      <c r="S32" s="642" t="s">
        <v>1007</v>
      </c>
      <c r="U32" s="181"/>
    </row>
    <row r="33" spans="1:21" s="176" customFormat="1" ht="24.75" customHeight="1">
      <c r="A33" s="233">
        <v>27</v>
      </c>
      <c r="B33" s="636" t="s">
        <v>921</v>
      </c>
      <c r="C33" s="636" t="s">
        <v>976</v>
      </c>
      <c r="D33" s="636" t="s">
        <v>164</v>
      </c>
      <c r="E33" s="636" t="s">
        <v>1006</v>
      </c>
      <c r="F33" s="636">
        <v>32</v>
      </c>
      <c r="G33" s="639">
        <f t="shared" si="1"/>
        <v>28460.470269999998</v>
      </c>
      <c r="H33" s="73">
        <v>28460.470269999998</v>
      </c>
      <c r="I33" s="77"/>
      <c r="J33" s="77"/>
      <c r="K33" s="77"/>
      <c r="L33" s="77"/>
      <c r="M33" s="77"/>
      <c r="N33" s="39"/>
      <c r="O33" s="39"/>
      <c r="P33" s="39"/>
      <c r="Q33" s="39"/>
      <c r="R33" s="74">
        <v>0</v>
      </c>
      <c r="S33" s="642" t="s">
        <v>1007</v>
      </c>
      <c r="U33" s="181"/>
    </row>
    <row r="34" spans="1:21" s="176" customFormat="1" ht="24.75" customHeight="1">
      <c r="A34" s="233">
        <v>28</v>
      </c>
      <c r="B34" s="636" t="s">
        <v>922</v>
      </c>
      <c r="C34" s="636" t="s">
        <v>977</v>
      </c>
      <c r="D34" s="636" t="s">
        <v>164</v>
      </c>
      <c r="E34" s="636" t="s">
        <v>1006</v>
      </c>
      <c r="F34" s="636">
        <v>34</v>
      </c>
      <c r="G34" s="639">
        <f t="shared" si="1"/>
        <v>26125</v>
      </c>
      <c r="H34" s="73">
        <v>26125</v>
      </c>
      <c r="I34" s="77"/>
      <c r="J34" s="77"/>
      <c r="K34" s="77"/>
      <c r="L34" s="77"/>
      <c r="M34" s="77"/>
      <c r="N34" s="39"/>
      <c r="O34" s="39"/>
      <c r="P34" s="39"/>
      <c r="Q34" s="39"/>
      <c r="R34" s="74">
        <v>0</v>
      </c>
      <c r="S34" s="642" t="s">
        <v>1007</v>
      </c>
      <c r="U34" s="181"/>
    </row>
    <row r="35" spans="1:21" s="176" customFormat="1" ht="24.75" customHeight="1">
      <c r="A35" s="233">
        <v>29</v>
      </c>
      <c r="B35" s="636" t="s">
        <v>923</v>
      </c>
      <c r="C35" s="636" t="s">
        <v>978</v>
      </c>
      <c r="D35" s="636" t="s">
        <v>164</v>
      </c>
      <c r="E35" s="636" t="s">
        <v>1006</v>
      </c>
      <c r="F35" s="636">
        <v>35</v>
      </c>
      <c r="G35" s="639">
        <f t="shared" si="1"/>
        <v>200445.7959</v>
      </c>
      <c r="H35" s="73">
        <v>200445.7959</v>
      </c>
      <c r="I35" s="77"/>
      <c r="J35" s="77"/>
      <c r="K35" s="77"/>
      <c r="L35" s="77"/>
      <c r="M35" s="77"/>
      <c r="N35" s="39"/>
      <c r="O35" s="39"/>
      <c r="P35" s="39"/>
      <c r="Q35" s="39"/>
      <c r="R35" s="74">
        <v>0</v>
      </c>
      <c r="S35" s="642" t="s">
        <v>1007</v>
      </c>
      <c r="U35" s="181"/>
    </row>
    <row r="36" spans="1:21" s="176" customFormat="1" ht="24.75" customHeight="1">
      <c r="A36" s="233">
        <v>30</v>
      </c>
      <c r="B36" s="636" t="s">
        <v>924</v>
      </c>
      <c r="C36" s="636" t="s">
        <v>979</v>
      </c>
      <c r="D36" s="636" t="s">
        <v>164</v>
      </c>
      <c r="E36" s="636" t="s">
        <v>1006</v>
      </c>
      <c r="F36" s="636">
        <v>36</v>
      </c>
      <c r="G36" s="639">
        <f t="shared" si="1"/>
        <v>105680.96000000001</v>
      </c>
      <c r="H36" s="73">
        <v>105680.96000000001</v>
      </c>
      <c r="I36" s="77"/>
      <c r="J36" s="77"/>
      <c r="K36" s="77"/>
      <c r="L36" s="77"/>
      <c r="M36" s="77"/>
      <c r="N36" s="39"/>
      <c r="O36" s="39"/>
      <c r="P36" s="39"/>
      <c r="Q36" s="39"/>
      <c r="R36" s="74">
        <v>0</v>
      </c>
      <c r="S36" s="642" t="s">
        <v>1007</v>
      </c>
      <c r="U36" s="181"/>
    </row>
    <row r="37" spans="1:21" s="176" customFormat="1" ht="24.75" customHeight="1">
      <c r="A37" s="233">
        <v>31</v>
      </c>
      <c r="B37" s="636" t="s">
        <v>925</v>
      </c>
      <c r="C37" s="636" t="s">
        <v>980</v>
      </c>
      <c r="D37" s="636" t="s">
        <v>164</v>
      </c>
      <c r="E37" s="636" t="s">
        <v>1006</v>
      </c>
      <c r="F37" s="636">
        <v>37</v>
      </c>
      <c r="G37" s="639">
        <f t="shared" si="1"/>
        <v>110377.89200000001</v>
      </c>
      <c r="H37" s="73">
        <v>110377.89200000001</v>
      </c>
      <c r="I37" s="77"/>
      <c r="J37" s="77"/>
      <c r="K37" s="77"/>
      <c r="L37" s="77"/>
      <c r="M37" s="77"/>
      <c r="N37" s="39"/>
      <c r="O37" s="39"/>
      <c r="P37" s="39"/>
      <c r="Q37" s="39"/>
      <c r="R37" s="74">
        <v>0</v>
      </c>
      <c r="S37" s="642" t="s">
        <v>1007</v>
      </c>
      <c r="U37" s="181"/>
    </row>
    <row r="38" spans="1:21" s="176" customFormat="1" ht="24.75" customHeight="1">
      <c r="A38" s="233">
        <v>32</v>
      </c>
      <c r="B38" s="636" t="s">
        <v>926</v>
      </c>
      <c r="C38" s="636" t="s">
        <v>981</v>
      </c>
      <c r="D38" s="636" t="s">
        <v>164</v>
      </c>
      <c r="E38" s="636" t="s">
        <v>1006</v>
      </c>
      <c r="F38" s="636">
        <v>38</v>
      </c>
      <c r="G38" s="639">
        <f t="shared" si="1"/>
        <v>117000.56612</v>
      </c>
      <c r="H38" s="73">
        <v>117000.56612</v>
      </c>
      <c r="I38" s="77"/>
      <c r="J38" s="77"/>
      <c r="K38" s="77"/>
      <c r="L38" s="77"/>
      <c r="M38" s="77"/>
      <c r="N38" s="39"/>
      <c r="O38" s="39"/>
      <c r="P38" s="39"/>
      <c r="Q38" s="39"/>
      <c r="R38" s="74">
        <v>0</v>
      </c>
      <c r="S38" s="642" t="s">
        <v>1007</v>
      </c>
      <c r="U38" s="181"/>
    </row>
    <row r="39" spans="1:21" s="176" customFormat="1" ht="24.75" customHeight="1">
      <c r="A39" s="233">
        <v>33</v>
      </c>
      <c r="B39" s="636" t="s">
        <v>927</v>
      </c>
      <c r="C39" s="636" t="s">
        <v>982</v>
      </c>
      <c r="D39" s="636" t="s">
        <v>164</v>
      </c>
      <c r="E39" s="636" t="s">
        <v>1006</v>
      </c>
      <c r="F39" s="636">
        <v>39</v>
      </c>
      <c r="G39" s="639">
        <f t="shared" si="1"/>
        <v>0</v>
      </c>
      <c r="H39" s="73">
        <v>0</v>
      </c>
      <c r="I39" s="77"/>
      <c r="J39" s="77"/>
      <c r="K39" s="77"/>
      <c r="L39" s="77"/>
      <c r="M39" s="77"/>
      <c r="N39" s="39"/>
      <c r="O39" s="39"/>
      <c r="P39" s="39"/>
      <c r="Q39" s="39"/>
      <c r="R39" s="74">
        <v>0</v>
      </c>
      <c r="S39" s="642" t="s">
        <v>1007</v>
      </c>
      <c r="U39" s="181"/>
    </row>
    <row r="40" spans="1:21" s="176" customFormat="1" ht="24.75" customHeight="1">
      <c r="A40" s="233">
        <v>34</v>
      </c>
      <c r="B40" s="636" t="s">
        <v>928</v>
      </c>
      <c r="C40" s="636" t="s">
        <v>983</v>
      </c>
      <c r="D40" s="636" t="s">
        <v>164</v>
      </c>
      <c r="E40" s="636" t="s">
        <v>1006</v>
      </c>
      <c r="F40" s="636">
        <v>40</v>
      </c>
      <c r="G40" s="639">
        <f t="shared" si="1"/>
        <v>106001.822</v>
      </c>
      <c r="H40" s="73">
        <v>106001.822</v>
      </c>
      <c r="I40" s="77"/>
      <c r="J40" s="77"/>
      <c r="K40" s="77"/>
      <c r="L40" s="77"/>
      <c r="M40" s="77"/>
      <c r="N40" s="39"/>
      <c r="O40" s="39"/>
      <c r="P40" s="39"/>
      <c r="Q40" s="39"/>
      <c r="R40" s="74">
        <v>0</v>
      </c>
      <c r="S40" s="642" t="s">
        <v>1007</v>
      </c>
      <c r="U40" s="181"/>
    </row>
    <row r="41" spans="1:21" s="176" customFormat="1" ht="24.75" customHeight="1">
      <c r="A41" s="233">
        <v>35</v>
      </c>
      <c r="B41" s="636" t="s">
        <v>949</v>
      </c>
      <c r="C41" s="636" t="s">
        <v>1004</v>
      </c>
      <c r="D41" s="636" t="s">
        <v>164</v>
      </c>
      <c r="E41" s="636" t="s">
        <v>1006</v>
      </c>
      <c r="F41" s="636">
        <v>63</v>
      </c>
      <c r="G41" s="639">
        <v>826929.277</v>
      </c>
      <c r="H41" s="73">
        <v>80266.108609999996</v>
      </c>
      <c r="I41" s="77"/>
      <c r="J41" s="77"/>
      <c r="K41" s="77"/>
      <c r="L41" s="77"/>
      <c r="M41" s="77"/>
      <c r="N41" s="39"/>
      <c r="O41" s="39"/>
      <c r="P41" s="39"/>
      <c r="Q41" s="39"/>
      <c r="R41" s="74">
        <v>0</v>
      </c>
      <c r="S41" s="642" t="s">
        <v>1007</v>
      </c>
      <c r="U41" s="181"/>
    </row>
    <row r="42" spans="1:21" s="176" customFormat="1" ht="24.75" customHeight="1">
      <c r="A42" s="233">
        <v>36</v>
      </c>
      <c r="B42" s="636" t="s">
        <v>929</v>
      </c>
      <c r="C42" s="636" t="s">
        <v>984</v>
      </c>
      <c r="D42" s="636" t="s">
        <v>164</v>
      </c>
      <c r="E42" s="636" t="s">
        <v>1006</v>
      </c>
      <c r="F42" s="636">
        <v>42</v>
      </c>
      <c r="G42" s="639">
        <f t="shared" ref="G42:G49" si="2">SUM(H42:M42)</f>
        <v>15978</v>
      </c>
      <c r="H42" s="73">
        <v>15978</v>
      </c>
      <c r="I42" s="77"/>
      <c r="J42" s="77"/>
      <c r="K42" s="77"/>
      <c r="L42" s="77"/>
      <c r="M42" s="77"/>
      <c r="N42" s="39"/>
      <c r="O42" s="39"/>
      <c r="P42" s="39"/>
      <c r="Q42" s="39"/>
      <c r="R42" s="74">
        <v>0</v>
      </c>
      <c r="S42" s="642" t="s">
        <v>1007</v>
      </c>
      <c r="U42" s="181"/>
    </row>
    <row r="43" spans="1:21" s="176" customFormat="1" ht="24.75" customHeight="1">
      <c r="A43" s="233">
        <v>37</v>
      </c>
      <c r="B43" s="636" t="s">
        <v>930</v>
      </c>
      <c r="C43" s="636" t="s">
        <v>985</v>
      </c>
      <c r="D43" s="636" t="s">
        <v>164</v>
      </c>
      <c r="E43" s="636" t="s">
        <v>1006</v>
      </c>
      <c r="F43" s="636">
        <v>43</v>
      </c>
      <c r="G43" s="639">
        <f t="shared" si="2"/>
        <v>4052.7821200000003</v>
      </c>
      <c r="H43" s="73">
        <v>4052.7821200000003</v>
      </c>
      <c r="I43" s="77"/>
      <c r="J43" s="77"/>
      <c r="K43" s="77"/>
      <c r="L43" s="77"/>
      <c r="M43" s="77"/>
      <c r="N43" s="39"/>
      <c r="O43" s="39"/>
      <c r="P43" s="39"/>
      <c r="Q43" s="39"/>
      <c r="R43" s="74">
        <v>0</v>
      </c>
      <c r="S43" s="642" t="s">
        <v>1007</v>
      </c>
      <c r="U43" s="181"/>
    </row>
    <row r="44" spans="1:21" s="176" customFormat="1" ht="24.75" customHeight="1">
      <c r="A44" s="233">
        <v>38</v>
      </c>
      <c r="B44" s="636" t="s">
        <v>931</v>
      </c>
      <c r="C44" s="636" t="s">
        <v>986</v>
      </c>
      <c r="D44" s="636" t="s">
        <v>164</v>
      </c>
      <c r="E44" s="636" t="s">
        <v>1006</v>
      </c>
      <c r="F44" s="636">
        <v>45</v>
      </c>
      <c r="G44" s="639">
        <f>SUM(H44:M44)</f>
        <v>107994.23595999999</v>
      </c>
      <c r="H44" s="73">
        <v>107994.23595999999</v>
      </c>
      <c r="I44" s="77"/>
      <c r="J44" s="77"/>
      <c r="K44" s="77"/>
      <c r="L44" s="77"/>
      <c r="M44" s="77"/>
      <c r="N44" s="39"/>
      <c r="O44" s="39"/>
      <c r="P44" s="39"/>
      <c r="Q44" s="39"/>
      <c r="R44" s="74">
        <v>0</v>
      </c>
      <c r="S44" s="642" t="s">
        <v>1007</v>
      </c>
      <c r="U44" s="181"/>
    </row>
    <row r="45" spans="1:21" s="176" customFormat="1" ht="24.75" customHeight="1">
      <c r="A45" s="233">
        <v>39</v>
      </c>
      <c r="B45" s="636" t="s">
        <v>932</v>
      </c>
      <c r="C45" s="636" t="s">
        <v>987</v>
      </c>
      <c r="D45" s="636" t="s">
        <v>164</v>
      </c>
      <c r="E45" s="636" t="s">
        <v>1006</v>
      </c>
      <c r="F45" s="636">
        <v>46</v>
      </c>
      <c r="G45" s="639">
        <f t="shared" si="2"/>
        <v>2000.0793899999999</v>
      </c>
      <c r="H45" s="73">
        <v>2000.0793899999999</v>
      </c>
      <c r="I45" s="77"/>
      <c r="J45" s="77"/>
      <c r="K45" s="77"/>
      <c r="L45" s="77"/>
      <c r="M45" s="77"/>
      <c r="N45" s="39"/>
      <c r="O45" s="39"/>
      <c r="P45" s="39"/>
      <c r="Q45" s="39"/>
      <c r="R45" s="74">
        <v>0</v>
      </c>
      <c r="S45" s="642" t="s">
        <v>1007</v>
      </c>
      <c r="U45" s="181"/>
    </row>
    <row r="46" spans="1:21" s="176" customFormat="1" ht="24.75" customHeight="1">
      <c r="A46" s="233">
        <v>40</v>
      </c>
      <c r="B46" s="636" t="s">
        <v>933</v>
      </c>
      <c r="C46" s="636" t="s">
        <v>988</v>
      </c>
      <c r="D46" s="636" t="s">
        <v>164</v>
      </c>
      <c r="E46" s="636" t="s">
        <v>1006</v>
      </c>
      <c r="F46" s="636">
        <v>47</v>
      </c>
      <c r="G46" s="639">
        <f t="shared" si="2"/>
        <v>1903.93842</v>
      </c>
      <c r="H46" s="73">
        <v>1903.93842</v>
      </c>
      <c r="I46" s="77"/>
      <c r="J46" s="77"/>
      <c r="K46" s="77"/>
      <c r="L46" s="77"/>
      <c r="M46" s="77"/>
      <c r="N46" s="39"/>
      <c r="O46" s="39"/>
      <c r="P46" s="39"/>
      <c r="Q46" s="39"/>
      <c r="R46" s="74">
        <v>0</v>
      </c>
      <c r="S46" s="642" t="s">
        <v>1007</v>
      </c>
      <c r="U46" s="181"/>
    </row>
    <row r="47" spans="1:21" s="176" customFormat="1" ht="24.75" customHeight="1">
      <c r="A47" s="233">
        <v>41</v>
      </c>
      <c r="B47" s="636" t="s">
        <v>934</v>
      </c>
      <c r="C47" s="636" t="s">
        <v>989</v>
      </c>
      <c r="D47" s="636" t="s">
        <v>164</v>
      </c>
      <c r="E47" s="636" t="s">
        <v>1006</v>
      </c>
      <c r="F47" s="636">
        <v>48</v>
      </c>
      <c r="G47" s="639">
        <f t="shared" si="2"/>
        <v>98193.866420000006</v>
      </c>
      <c r="H47" s="73">
        <v>98193.866420000006</v>
      </c>
      <c r="I47" s="77"/>
      <c r="J47" s="77"/>
      <c r="K47" s="77"/>
      <c r="L47" s="77"/>
      <c r="M47" s="77"/>
      <c r="N47" s="39"/>
      <c r="O47" s="39"/>
      <c r="P47" s="39"/>
      <c r="Q47" s="39"/>
      <c r="R47" s="74">
        <v>0</v>
      </c>
      <c r="S47" s="642" t="s">
        <v>1007</v>
      </c>
      <c r="U47" s="181"/>
    </row>
    <row r="48" spans="1:21" s="176" customFormat="1" ht="24.75" customHeight="1">
      <c r="A48" s="233">
        <v>42</v>
      </c>
      <c r="B48" s="636" t="s">
        <v>935</v>
      </c>
      <c r="C48" s="636" t="s">
        <v>990</v>
      </c>
      <c r="D48" s="636" t="s">
        <v>164</v>
      </c>
      <c r="E48" s="636" t="s">
        <v>1006</v>
      </c>
      <c r="F48" s="636">
        <v>49</v>
      </c>
      <c r="G48" s="639">
        <f t="shared" si="2"/>
        <v>104123.76199</v>
      </c>
      <c r="H48" s="73">
        <v>104123.76199</v>
      </c>
      <c r="I48" s="77"/>
      <c r="J48" s="77"/>
      <c r="K48" s="77"/>
      <c r="L48" s="77"/>
      <c r="M48" s="77"/>
      <c r="N48" s="39"/>
      <c r="O48" s="39"/>
      <c r="P48" s="39"/>
      <c r="Q48" s="39"/>
      <c r="R48" s="74">
        <v>0</v>
      </c>
      <c r="S48" s="642" t="s">
        <v>1007</v>
      </c>
      <c r="U48" s="181"/>
    </row>
    <row r="49" spans="1:21" s="176" customFormat="1" ht="24.75" customHeight="1">
      <c r="A49" s="233">
        <v>43</v>
      </c>
      <c r="B49" s="636" t="s">
        <v>936</v>
      </c>
      <c r="C49" s="636" t="s">
        <v>991</v>
      </c>
      <c r="D49" s="636" t="s">
        <v>164</v>
      </c>
      <c r="E49" s="636" t="s">
        <v>1006</v>
      </c>
      <c r="F49" s="636">
        <v>50</v>
      </c>
      <c r="G49" s="639">
        <f t="shared" si="2"/>
        <v>9971.3917700000002</v>
      </c>
      <c r="H49" s="73">
        <v>9971.3917700000002</v>
      </c>
      <c r="I49" s="77"/>
      <c r="J49" s="77"/>
      <c r="K49" s="77"/>
      <c r="L49" s="77"/>
      <c r="M49" s="77"/>
      <c r="N49" s="39"/>
      <c r="O49" s="39"/>
      <c r="P49" s="39"/>
      <c r="Q49" s="39"/>
      <c r="R49" s="74">
        <v>0</v>
      </c>
      <c r="S49" s="642" t="s">
        <v>1007</v>
      </c>
      <c r="U49" s="181"/>
    </row>
    <row r="50" spans="1:21" s="176" customFormat="1" ht="24.75" customHeight="1">
      <c r="A50" s="233">
        <v>44</v>
      </c>
      <c r="B50" s="636" t="s">
        <v>937</v>
      </c>
      <c r="C50" s="636" t="s">
        <v>992</v>
      </c>
      <c r="D50" s="636" t="s">
        <v>164</v>
      </c>
      <c r="E50" s="636" t="s">
        <v>1006</v>
      </c>
      <c r="F50" s="636">
        <v>51</v>
      </c>
      <c r="G50" s="639">
        <f t="shared" si="1"/>
        <v>4054.53361</v>
      </c>
      <c r="H50" s="73">
        <v>4054.53361</v>
      </c>
      <c r="I50" s="77"/>
      <c r="J50" s="77"/>
      <c r="K50" s="77"/>
      <c r="L50" s="77"/>
      <c r="M50" s="77"/>
      <c r="N50" s="39"/>
      <c r="O50" s="39"/>
      <c r="P50" s="39"/>
      <c r="Q50" s="39"/>
      <c r="R50" s="74">
        <v>0</v>
      </c>
      <c r="S50" s="642" t="s">
        <v>1007</v>
      </c>
      <c r="U50" s="181"/>
    </row>
    <row r="51" spans="1:21" s="176" customFormat="1" ht="24.75" customHeight="1">
      <c r="A51" s="233">
        <v>45</v>
      </c>
      <c r="B51" s="636" t="s">
        <v>938</v>
      </c>
      <c r="C51" s="636" t="s">
        <v>993</v>
      </c>
      <c r="D51" s="636" t="s">
        <v>164</v>
      </c>
      <c r="E51" s="636" t="s">
        <v>1006</v>
      </c>
      <c r="F51" s="636">
        <v>52</v>
      </c>
      <c r="G51" s="639">
        <f t="shared" si="1"/>
        <v>89852.35265999999</v>
      </c>
      <c r="H51" s="73">
        <v>89852.35265999999</v>
      </c>
      <c r="I51" s="77"/>
      <c r="J51" s="77"/>
      <c r="K51" s="77"/>
      <c r="L51" s="77"/>
      <c r="M51" s="77"/>
      <c r="N51" s="39"/>
      <c r="O51" s="39"/>
      <c r="P51" s="39"/>
      <c r="Q51" s="39"/>
      <c r="R51" s="74">
        <v>0</v>
      </c>
      <c r="S51" s="642" t="s">
        <v>1007</v>
      </c>
      <c r="U51" s="181"/>
    </row>
    <row r="52" spans="1:21" s="176" customFormat="1" ht="24.75" customHeight="1">
      <c r="A52" s="233">
        <v>46</v>
      </c>
      <c r="B52" s="636" t="s">
        <v>939</v>
      </c>
      <c r="C52" s="636" t="s">
        <v>994</v>
      </c>
      <c r="D52" s="636" t="s">
        <v>164</v>
      </c>
      <c r="E52" s="636" t="s">
        <v>1006</v>
      </c>
      <c r="F52" s="636">
        <v>53</v>
      </c>
      <c r="G52" s="639">
        <f t="shared" si="1"/>
        <v>99999.154939999993</v>
      </c>
      <c r="H52" s="73">
        <v>99999.154939999993</v>
      </c>
      <c r="I52" s="77"/>
      <c r="J52" s="77"/>
      <c r="K52" s="77"/>
      <c r="L52" s="77"/>
      <c r="M52" s="77"/>
      <c r="N52" s="39"/>
      <c r="O52" s="39"/>
      <c r="P52" s="39"/>
      <c r="Q52" s="39"/>
      <c r="R52" s="74">
        <v>0</v>
      </c>
      <c r="S52" s="642" t="s">
        <v>1007</v>
      </c>
      <c r="U52" s="181"/>
    </row>
    <row r="53" spans="1:21" s="176" customFormat="1" ht="24.75" customHeight="1">
      <c r="A53" s="233">
        <v>47</v>
      </c>
      <c r="B53" s="636" t="s">
        <v>940</v>
      </c>
      <c r="C53" s="636" t="s">
        <v>995</v>
      </c>
      <c r="D53" s="636" t="s">
        <v>164</v>
      </c>
      <c r="E53" s="636" t="s">
        <v>1006</v>
      </c>
      <c r="F53" s="636">
        <v>54</v>
      </c>
      <c r="G53" s="639">
        <f t="shared" si="1"/>
        <v>113987.82561</v>
      </c>
      <c r="H53" s="73">
        <v>113987.82561</v>
      </c>
      <c r="I53" s="77"/>
      <c r="J53" s="77"/>
      <c r="K53" s="77"/>
      <c r="L53" s="77"/>
      <c r="M53" s="77"/>
      <c r="N53" s="39"/>
      <c r="O53" s="39"/>
      <c r="P53" s="39"/>
      <c r="Q53" s="39"/>
      <c r="R53" s="74">
        <v>0</v>
      </c>
      <c r="S53" s="642" t="s">
        <v>1007</v>
      </c>
      <c r="U53" s="181"/>
    </row>
    <row r="54" spans="1:21" s="176" customFormat="1" ht="24.75" customHeight="1">
      <c r="A54" s="233">
        <v>48</v>
      </c>
      <c r="B54" s="636" t="s">
        <v>941</v>
      </c>
      <c r="C54" s="636" t="s">
        <v>996</v>
      </c>
      <c r="D54" s="636" t="s">
        <v>164</v>
      </c>
      <c r="E54" s="636" t="s">
        <v>1006</v>
      </c>
      <c r="F54" s="636">
        <v>55</v>
      </c>
      <c r="G54" s="639">
        <f t="shared" si="1"/>
        <v>11930.790650000001</v>
      </c>
      <c r="H54" s="73">
        <v>11930.790650000001</v>
      </c>
      <c r="I54" s="77"/>
      <c r="J54" s="77"/>
      <c r="K54" s="77"/>
      <c r="L54" s="77"/>
      <c r="M54" s="77"/>
      <c r="N54" s="39"/>
      <c r="O54" s="39"/>
      <c r="P54" s="39"/>
      <c r="Q54" s="39"/>
      <c r="R54" s="74">
        <v>0</v>
      </c>
      <c r="S54" s="642" t="s">
        <v>1007</v>
      </c>
      <c r="U54" s="181"/>
    </row>
    <row r="55" spans="1:21" s="176" customFormat="1" ht="24.75" customHeight="1">
      <c r="A55" s="233">
        <v>49</v>
      </c>
      <c r="B55" s="636" t="s">
        <v>942</v>
      </c>
      <c r="C55" s="636" t="s">
        <v>997</v>
      </c>
      <c r="D55" s="636" t="s">
        <v>164</v>
      </c>
      <c r="E55" s="636" t="s">
        <v>1006</v>
      </c>
      <c r="F55" s="636">
        <v>56</v>
      </c>
      <c r="G55" s="639">
        <f t="shared" si="1"/>
        <v>98261.603000000003</v>
      </c>
      <c r="H55" s="73">
        <v>98261.603000000003</v>
      </c>
      <c r="I55" s="77"/>
      <c r="J55" s="77"/>
      <c r="K55" s="77"/>
      <c r="L55" s="77"/>
      <c r="M55" s="77"/>
      <c r="N55" s="39"/>
      <c r="O55" s="39"/>
      <c r="P55" s="39"/>
      <c r="Q55" s="39"/>
      <c r="R55" s="74">
        <v>0</v>
      </c>
      <c r="S55" s="642" t="s">
        <v>1007</v>
      </c>
      <c r="U55" s="181"/>
    </row>
    <row r="56" spans="1:21" s="176" customFormat="1" ht="24.75" customHeight="1">
      <c r="A56" s="233">
        <v>50</v>
      </c>
      <c r="B56" s="636" t="s">
        <v>943</v>
      </c>
      <c r="C56" s="636" t="s">
        <v>998</v>
      </c>
      <c r="D56" s="636" t="s">
        <v>164</v>
      </c>
      <c r="E56" s="636" t="s">
        <v>1006</v>
      </c>
      <c r="F56" s="636">
        <v>57</v>
      </c>
      <c r="G56" s="639">
        <f t="shared" si="1"/>
        <v>75000.000280000007</v>
      </c>
      <c r="H56" s="73">
        <v>75000.000280000007</v>
      </c>
      <c r="I56" s="77"/>
      <c r="J56" s="77"/>
      <c r="K56" s="77"/>
      <c r="L56" s="77"/>
      <c r="M56" s="77"/>
      <c r="N56" s="39"/>
      <c r="O56" s="39"/>
      <c r="P56" s="39"/>
      <c r="Q56" s="39"/>
      <c r="R56" s="74">
        <v>0</v>
      </c>
      <c r="S56" s="642" t="s">
        <v>1007</v>
      </c>
      <c r="U56" s="181"/>
    </row>
    <row r="57" spans="1:21" s="176" customFormat="1" ht="24.75" customHeight="1">
      <c r="A57" s="233">
        <v>51</v>
      </c>
      <c r="B57" s="636" t="s">
        <v>944</v>
      </c>
      <c r="C57" s="636" t="s">
        <v>999</v>
      </c>
      <c r="D57" s="636" t="s">
        <v>164</v>
      </c>
      <c r="E57" s="636" t="s">
        <v>1006</v>
      </c>
      <c r="F57" s="636">
        <v>58</v>
      </c>
      <c r="G57" s="639">
        <f t="shared" si="1"/>
        <v>85618.19623999999</v>
      </c>
      <c r="H57" s="73">
        <v>85618.19623999999</v>
      </c>
      <c r="I57" s="77"/>
      <c r="J57" s="77"/>
      <c r="K57" s="77"/>
      <c r="L57" s="77"/>
      <c r="M57" s="77"/>
      <c r="N57" s="39"/>
      <c r="O57" s="39"/>
      <c r="P57" s="39"/>
      <c r="Q57" s="39"/>
      <c r="R57" s="74">
        <v>0</v>
      </c>
      <c r="S57" s="642" t="s">
        <v>1007</v>
      </c>
      <c r="U57" s="181"/>
    </row>
    <row r="58" spans="1:21" s="176" customFormat="1" ht="24.75" customHeight="1">
      <c r="A58" s="233">
        <v>52</v>
      </c>
      <c r="B58" s="636" t="s">
        <v>945</v>
      </c>
      <c r="C58" s="636" t="s">
        <v>1000</v>
      </c>
      <c r="D58" s="636" t="s">
        <v>164</v>
      </c>
      <c r="E58" s="636" t="s">
        <v>1006</v>
      </c>
      <c r="F58" s="636">
        <v>59</v>
      </c>
      <c r="G58" s="639">
        <f t="shared" si="1"/>
        <v>2020.38778</v>
      </c>
      <c r="H58" s="73">
        <v>2020.38778</v>
      </c>
      <c r="I58" s="77"/>
      <c r="J58" s="77"/>
      <c r="K58" s="77"/>
      <c r="L58" s="77"/>
      <c r="M58" s="77"/>
      <c r="N58" s="39"/>
      <c r="O58" s="39"/>
      <c r="P58" s="39"/>
      <c r="Q58" s="39"/>
      <c r="R58" s="74">
        <v>0</v>
      </c>
      <c r="S58" s="642" t="s">
        <v>1007</v>
      </c>
      <c r="U58" s="181"/>
    </row>
    <row r="59" spans="1:21" s="176" customFormat="1" ht="24.75" customHeight="1">
      <c r="A59" s="233">
        <v>53</v>
      </c>
      <c r="B59" s="636" t="s">
        <v>946</v>
      </c>
      <c r="C59" s="636" t="s">
        <v>1001</v>
      </c>
      <c r="D59" s="636" t="s">
        <v>164</v>
      </c>
      <c r="E59" s="636" t="s">
        <v>1006</v>
      </c>
      <c r="F59" s="636">
        <v>60</v>
      </c>
      <c r="G59" s="639">
        <f t="shared" si="1"/>
        <v>9558.9130999999998</v>
      </c>
      <c r="H59" s="73">
        <v>9558.9130999999998</v>
      </c>
      <c r="I59" s="77"/>
      <c r="J59" s="77"/>
      <c r="K59" s="77"/>
      <c r="L59" s="77"/>
      <c r="M59" s="77"/>
      <c r="N59" s="39"/>
      <c r="O59" s="39"/>
      <c r="P59" s="39"/>
      <c r="Q59" s="39"/>
      <c r="R59" s="74">
        <v>0</v>
      </c>
      <c r="S59" s="642" t="s">
        <v>1007</v>
      </c>
      <c r="U59" s="181"/>
    </row>
    <row r="60" spans="1:21" s="176" customFormat="1" ht="24.75" customHeight="1">
      <c r="A60" s="233">
        <v>54</v>
      </c>
      <c r="B60" s="636" t="s">
        <v>947</v>
      </c>
      <c r="C60" s="636" t="s">
        <v>1002</v>
      </c>
      <c r="D60" s="636" t="s">
        <v>164</v>
      </c>
      <c r="E60" s="636" t="s">
        <v>1006</v>
      </c>
      <c r="F60" s="636">
        <v>61</v>
      </c>
      <c r="G60" s="639">
        <f t="shared" si="1"/>
        <v>21000</v>
      </c>
      <c r="H60" s="73">
        <v>21000</v>
      </c>
      <c r="I60" s="77"/>
      <c r="J60" s="77"/>
      <c r="K60" s="77"/>
      <c r="L60" s="77"/>
      <c r="M60" s="77"/>
      <c r="N60" s="39"/>
      <c r="O60" s="39"/>
      <c r="P60" s="39"/>
      <c r="Q60" s="39"/>
      <c r="R60" s="74">
        <v>0</v>
      </c>
      <c r="S60" s="642" t="s">
        <v>1007</v>
      </c>
      <c r="U60" s="181"/>
    </row>
    <row r="61" spans="1:21" s="176" customFormat="1" ht="24.75" customHeight="1">
      <c r="A61" s="233">
        <v>55</v>
      </c>
      <c r="B61" s="636" t="s">
        <v>948</v>
      </c>
      <c r="C61" s="636" t="s">
        <v>1003</v>
      </c>
      <c r="D61" s="636" t="s">
        <v>164</v>
      </c>
      <c r="E61" s="636" t="s">
        <v>1006</v>
      </c>
      <c r="F61" s="636">
        <v>62</v>
      </c>
      <c r="G61" s="639">
        <f t="shared" si="1"/>
        <v>74761.622370000012</v>
      </c>
      <c r="H61" s="73">
        <v>74761.622370000012</v>
      </c>
      <c r="I61" s="77"/>
      <c r="J61" s="77"/>
      <c r="K61" s="77"/>
      <c r="L61" s="77"/>
      <c r="M61" s="77"/>
      <c r="N61" s="39"/>
      <c r="O61" s="39"/>
      <c r="P61" s="39"/>
      <c r="Q61" s="39"/>
      <c r="R61" s="74">
        <v>0</v>
      </c>
      <c r="S61" s="642" t="s">
        <v>1007</v>
      </c>
      <c r="U61" s="181"/>
    </row>
    <row r="62" spans="1:21" s="176" customFormat="1">
      <c r="A62" s="233"/>
      <c r="B62" s="77"/>
      <c r="C62" s="77"/>
      <c r="D62" s="77"/>
      <c r="E62" s="74"/>
      <c r="F62" s="74"/>
      <c r="G62" s="639"/>
      <c r="H62" s="73"/>
      <c r="I62" s="77"/>
      <c r="J62" s="77"/>
      <c r="K62" s="77"/>
      <c r="L62" s="77"/>
      <c r="M62" s="77"/>
      <c r="N62" s="39"/>
      <c r="O62" s="39"/>
      <c r="P62" s="39"/>
      <c r="Q62" s="39"/>
      <c r="R62" s="77"/>
      <c r="S62" s="77"/>
      <c r="U62" s="181"/>
    </row>
    <row r="63" spans="1:21" s="176" customFormat="1">
      <c r="A63" s="233"/>
      <c r="B63" s="77"/>
      <c r="C63" s="77"/>
      <c r="D63" s="77"/>
      <c r="E63" s="74"/>
      <c r="F63" s="74"/>
      <c r="G63" s="639">
        <f t="shared" si="1"/>
        <v>0</v>
      </c>
      <c r="H63" s="73"/>
      <c r="I63" s="77"/>
      <c r="J63" s="77"/>
      <c r="K63" s="77"/>
      <c r="L63" s="77"/>
      <c r="M63" s="77"/>
      <c r="N63" s="39"/>
      <c r="O63" s="39"/>
      <c r="P63" s="39"/>
      <c r="Q63" s="39"/>
      <c r="R63" s="77"/>
      <c r="S63" s="77"/>
      <c r="U63" s="181"/>
    </row>
    <row r="64" spans="1:21" s="104" customFormat="1">
      <c r="A64" s="107" t="s">
        <v>703</v>
      </c>
      <c r="B64" s="108"/>
      <c r="C64" s="108"/>
      <c r="D64" s="108"/>
      <c r="E64" s="108"/>
      <c r="F64" s="109"/>
      <c r="G64" s="653">
        <f>SUM(G7:G63)</f>
        <v>3128439.6761400001</v>
      </c>
      <c r="H64" s="653">
        <f t="shared" ref="H64" si="3">SUM(H7:H63)</f>
        <v>2380776.5077500003</v>
      </c>
      <c r="I64" s="110">
        <f t="shared" ref="I64:M64" si="4">SUM(I7:I63)</f>
        <v>0</v>
      </c>
      <c r="J64" s="110">
        <f t="shared" si="4"/>
        <v>0</v>
      </c>
      <c r="K64" s="110">
        <f t="shared" si="4"/>
        <v>0</v>
      </c>
      <c r="L64" s="110">
        <f t="shared" si="4"/>
        <v>0</v>
      </c>
      <c r="M64" s="110">
        <f t="shared" si="4"/>
        <v>0</v>
      </c>
      <c r="N64" s="110"/>
      <c r="O64" s="110"/>
      <c r="P64" s="110">
        <f>SUM(P7:P63)</f>
        <v>0</v>
      </c>
      <c r="Q64" s="182"/>
      <c r="R64" s="183"/>
      <c r="S64" s="184"/>
      <c r="U64" s="185"/>
    </row>
    <row r="65" spans="1:31" s="104" customFormat="1">
      <c r="A65" s="107" t="s">
        <v>597</v>
      </c>
      <c r="B65" s="108"/>
      <c r="C65" s="108"/>
      <c r="D65" s="108"/>
      <c r="E65" s="108"/>
      <c r="F65" s="109"/>
      <c r="G65" s="654">
        <f t="shared" ref="G65:H65" si="5">MAX(G7:G63)</f>
        <v>826929.277</v>
      </c>
      <c r="H65" s="654">
        <f t="shared" si="5"/>
        <v>243460.55974999999</v>
      </c>
      <c r="I65" s="65">
        <f>MAX(I7:I63)</f>
        <v>0</v>
      </c>
      <c r="J65" s="65">
        <f>MAX(J7:J63)</f>
        <v>0</v>
      </c>
      <c r="K65" s="65">
        <f>MAX(K7:K63)</f>
        <v>0</v>
      </c>
      <c r="L65" s="65">
        <f>MAX(L7:L63)</f>
        <v>0</v>
      </c>
      <c r="M65" s="65">
        <f>MAX(M7:M63)</f>
        <v>0</v>
      </c>
      <c r="N65" s="65"/>
      <c r="O65" s="65"/>
      <c r="P65" s="65">
        <f>MAX(P7:P63)</f>
        <v>0</v>
      </c>
      <c r="Q65" s="186"/>
      <c r="R65" s="187"/>
      <c r="S65" s="188"/>
      <c r="U65" s="185"/>
    </row>
    <row r="66" spans="1:31" s="104" customFormat="1">
      <c r="U66" s="185"/>
    </row>
    <row r="67" spans="1:31" s="104" customFormat="1">
      <c r="U67" s="185"/>
    </row>
    <row r="68" spans="1:31" s="104" customFormat="1">
      <c r="B68" s="576" t="s">
        <v>890</v>
      </c>
      <c r="U68" s="185"/>
    </row>
    <row r="69" spans="1:31" s="104" customFormat="1">
      <c r="B69" s="32"/>
      <c r="U69" s="185"/>
    </row>
    <row r="70" spans="1:31" s="104" customFormat="1">
      <c r="B70" s="32" t="s">
        <v>1</v>
      </c>
      <c r="U70" s="185"/>
    </row>
    <row r="71" spans="1:31" s="104" customFormat="1">
      <c r="U71" s="185"/>
    </row>
    <row r="72" spans="1:31" s="104" customFormat="1" ht="15.75">
      <c r="B72" s="698"/>
      <c r="C72" s="698"/>
      <c r="D72" s="698"/>
      <c r="E72" s="698"/>
      <c r="F72" s="698"/>
      <c r="G72" s="698"/>
      <c r="H72" s="698"/>
      <c r="I72" s="698"/>
      <c r="J72" s="698"/>
      <c r="K72" s="698"/>
      <c r="L72" s="698"/>
      <c r="M72" s="698"/>
      <c r="N72" s="698"/>
      <c r="O72" s="698"/>
      <c r="P72" s="698"/>
      <c r="Q72" s="698"/>
      <c r="R72" s="698"/>
      <c r="S72" s="698"/>
      <c r="U72" s="185"/>
    </row>
    <row r="73" spans="1:31">
      <c r="A73" s="106"/>
      <c r="B73" s="106"/>
      <c r="C73" s="106"/>
      <c r="D73" s="106"/>
      <c r="E73" s="106"/>
      <c r="F73" s="106"/>
      <c r="G73" s="640"/>
      <c r="H73" s="640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U73" s="189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</row>
    <row r="74" spans="1:31">
      <c r="A74" s="106"/>
      <c r="B74" s="106"/>
      <c r="C74" s="106"/>
      <c r="D74" s="106"/>
      <c r="E74" s="106"/>
      <c r="F74" s="106"/>
      <c r="G74" s="640"/>
      <c r="H74" s="640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U74" s="189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</row>
    <row r="75" spans="1:31">
      <c r="A75" s="106"/>
      <c r="B75" s="106"/>
      <c r="C75" s="106"/>
      <c r="D75" s="106"/>
      <c r="E75" s="106"/>
      <c r="F75" s="106"/>
      <c r="G75" s="640"/>
      <c r="H75" s="640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U75" s="189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</row>
    <row r="76" spans="1:31">
      <c r="A76" s="106"/>
      <c r="B76" s="106"/>
      <c r="C76" s="106"/>
      <c r="D76" s="106"/>
      <c r="E76" s="106"/>
      <c r="F76" s="106"/>
      <c r="G76" s="640"/>
      <c r="H76" s="640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U76" s="189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</row>
    <row r="77" spans="1:31">
      <c r="A77" s="106"/>
      <c r="B77" s="106"/>
      <c r="C77" s="106"/>
      <c r="D77" s="106"/>
      <c r="E77" s="106"/>
      <c r="F77" s="106"/>
      <c r="G77" s="640"/>
      <c r="H77" s="640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U77" s="189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</row>
    <row r="78" spans="1:31">
      <c r="A78" s="106"/>
      <c r="B78" s="106"/>
      <c r="C78" s="106"/>
      <c r="D78" s="106"/>
      <c r="E78" s="106"/>
      <c r="F78" s="106"/>
      <c r="G78" s="640"/>
      <c r="H78" s="640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U78" s="189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</row>
    <row r="79" spans="1:31">
      <c r="A79" s="106"/>
      <c r="B79" s="106"/>
      <c r="C79" s="106"/>
      <c r="D79" s="106"/>
      <c r="E79" s="106"/>
      <c r="F79" s="106"/>
      <c r="G79" s="640"/>
      <c r="H79" s="640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U79" s="189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</row>
    <row r="80" spans="1:31">
      <c r="A80" s="106"/>
      <c r="B80" s="106"/>
      <c r="C80" s="106"/>
      <c r="D80" s="106"/>
      <c r="E80" s="106"/>
      <c r="F80" s="106"/>
      <c r="G80" s="640"/>
      <c r="H80" s="640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U80" s="189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</row>
    <row r="81" spans="1:31">
      <c r="A81" s="106"/>
      <c r="B81" s="106"/>
      <c r="C81" s="106"/>
      <c r="D81" s="106"/>
      <c r="E81" s="106"/>
      <c r="F81" s="106"/>
      <c r="G81" s="640"/>
      <c r="H81" s="640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U81" s="189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</row>
    <row r="82" spans="1:31">
      <c r="A82" s="106"/>
      <c r="B82" s="106"/>
      <c r="C82" s="106"/>
      <c r="D82" s="106"/>
      <c r="E82" s="106"/>
      <c r="F82" s="106"/>
      <c r="G82" s="640"/>
      <c r="H82" s="640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U82" s="189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</row>
    <row r="83" spans="1:31">
      <c r="A83" s="106"/>
      <c r="B83" s="106"/>
      <c r="C83" s="106"/>
      <c r="D83" s="106"/>
      <c r="E83" s="106"/>
      <c r="F83" s="106"/>
      <c r="G83" s="640"/>
      <c r="H83" s="640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U83" s="189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</row>
    <row r="84" spans="1:31">
      <c r="A84" s="106"/>
      <c r="B84" s="106"/>
      <c r="C84" s="106"/>
      <c r="D84" s="106"/>
      <c r="E84" s="106"/>
      <c r="F84" s="106"/>
      <c r="G84" s="640"/>
      <c r="H84" s="640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U84" s="189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</row>
    <row r="85" spans="1:31">
      <c r="A85" s="106"/>
      <c r="B85" s="106"/>
      <c r="C85" s="106"/>
      <c r="D85" s="106"/>
      <c r="E85" s="106"/>
      <c r="F85" s="106"/>
      <c r="G85" s="640"/>
      <c r="H85" s="640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U85" s="189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</row>
    <row r="86" spans="1:31">
      <c r="A86" s="106"/>
      <c r="B86" s="106"/>
      <c r="C86" s="106"/>
      <c r="D86" s="106"/>
      <c r="E86" s="106"/>
      <c r="F86" s="106"/>
      <c r="G86" s="640"/>
      <c r="H86" s="640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U86" s="189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</row>
    <row r="87" spans="1:31">
      <c r="A87" s="106"/>
      <c r="B87" s="106"/>
      <c r="C87" s="106"/>
      <c r="D87" s="106"/>
      <c r="E87" s="106"/>
      <c r="F87" s="106"/>
      <c r="G87" s="640"/>
      <c r="H87" s="640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U87" s="189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</row>
    <row r="88" spans="1:31">
      <c r="A88" s="106"/>
      <c r="B88" s="106"/>
      <c r="C88" s="106"/>
      <c r="D88" s="106"/>
      <c r="E88" s="106"/>
      <c r="F88" s="106"/>
      <c r="G88" s="640"/>
      <c r="H88" s="640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U88" s="189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</row>
    <row r="89" spans="1:31">
      <c r="A89" s="106"/>
      <c r="B89" s="106"/>
      <c r="C89" s="106"/>
      <c r="D89" s="106"/>
      <c r="E89" s="106"/>
      <c r="F89" s="106"/>
      <c r="G89" s="640"/>
      <c r="H89" s="640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U89" s="189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</row>
    <row r="90" spans="1:31">
      <c r="A90" s="106"/>
      <c r="B90" s="106"/>
      <c r="C90" s="106"/>
      <c r="D90" s="106"/>
      <c r="E90" s="106"/>
      <c r="F90" s="106"/>
      <c r="G90" s="640"/>
      <c r="H90" s="640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U90" s="189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</row>
    <row r="91" spans="1:31">
      <c r="A91" s="106"/>
      <c r="B91" s="106"/>
      <c r="C91" s="106"/>
      <c r="D91" s="106"/>
      <c r="E91" s="106"/>
      <c r="F91" s="106"/>
      <c r="G91" s="640"/>
      <c r="H91" s="640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U91" s="189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</row>
    <row r="92" spans="1:31">
      <c r="A92" s="106"/>
      <c r="B92" s="106"/>
      <c r="C92" s="106"/>
      <c r="D92" s="106"/>
      <c r="E92" s="106"/>
      <c r="F92" s="106"/>
      <c r="G92" s="640"/>
      <c r="H92" s="640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U92" s="189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</row>
    <row r="93" spans="1:31">
      <c r="A93" s="106"/>
      <c r="B93" s="106"/>
      <c r="C93" s="106"/>
      <c r="D93" s="106"/>
      <c r="E93" s="106"/>
      <c r="F93" s="106"/>
      <c r="G93" s="640"/>
      <c r="H93" s="640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U93" s="189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</row>
    <row r="94" spans="1:31">
      <c r="A94" s="106"/>
      <c r="B94" s="106"/>
      <c r="C94" s="106"/>
      <c r="D94" s="106"/>
      <c r="E94" s="106"/>
      <c r="F94" s="106"/>
      <c r="G94" s="640"/>
      <c r="H94" s="640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U94" s="189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</row>
    <row r="95" spans="1:31">
      <c r="A95" s="106"/>
      <c r="B95" s="106"/>
      <c r="C95" s="106"/>
      <c r="D95" s="106"/>
      <c r="E95" s="106"/>
      <c r="F95" s="106"/>
      <c r="G95" s="640"/>
      <c r="H95" s="640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U95" s="189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</row>
    <row r="96" spans="1:31">
      <c r="A96" s="106"/>
      <c r="B96" s="106"/>
      <c r="C96" s="106"/>
      <c r="D96" s="106"/>
      <c r="E96" s="106"/>
      <c r="F96" s="106"/>
      <c r="G96" s="640"/>
      <c r="H96" s="640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U96" s="189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</row>
    <row r="97" spans="1:31">
      <c r="A97" s="106"/>
      <c r="B97" s="106"/>
      <c r="C97" s="106"/>
      <c r="D97" s="106"/>
      <c r="E97" s="106"/>
      <c r="F97" s="106"/>
      <c r="G97" s="640"/>
      <c r="H97" s="640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U97" s="189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</row>
    <row r="98" spans="1:31">
      <c r="A98" s="106"/>
      <c r="B98" s="106"/>
      <c r="C98" s="106"/>
      <c r="D98" s="106"/>
      <c r="E98" s="106"/>
      <c r="F98" s="106"/>
      <c r="G98" s="640"/>
      <c r="H98" s="640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U98" s="189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</row>
    <row r="99" spans="1:31">
      <c r="A99" s="106"/>
      <c r="B99" s="106"/>
      <c r="C99" s="106"/>
      <c r="D99" s="106"/>
      <c r="E99" s="106"/>
      <c r="F99" s="106"/>
      <c r="G99" s="640"/>
      <c r="H99" s="640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U99" s="189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</row>
    <row r="100" spans="1:31">
      <c r="A100" s="106"/>
      <c r="B100" s="106"/>
      <c r="C100" s="106"/>
      <c r="D100" s="106"/>
      <c r="E100" s="106"/>
      <c r="F100" s="106"/>
      <c r="G100" s="640"/>
      <c r="H100" s="640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U100" s="189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</row>
    <row r="101" spans="1:31">
      <c r="A101" s="106"/>
      <c r="B101" s="106"/>
      <c r="C101" s="106"/>
      <c r="D101" s="106"/>
      <c r="E101" s="106"/>
      <c r="F101" s="106"/>
      <c r="G101" s="640"/>
      <c r="H101" s="640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U101" s="189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</row>
    <row r="102" spans="1:31">
      <c r="A102" s="106"/>
      <c r="B102" s="106"/>
      <c r="C102" s="106"/>
      <c r="D102" s="106"/>
      <c r="E102" s="106"/>
      <c r="F102" s="106"/>
      <c r="G102" s="640"/>
      <c r="H102" s="640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U102" s="189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</row>
    <row r="103" spans="1:31">
      <c r="A103" s="106"/>
      <c r="B103" s="106"/>
      <c r="C103" s="106"/>
      <c r="D103" s="106"/>
      <c r="E103" s="106"/>
      <c r="F103" s="106"/>
      <c r="G103" s="640"/>
      <c r="H103" s="640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U103" s="189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</row>
    <row r="104" spans="1:31">
      <c r="A104" s="106"/>
      <c r="B104" s="106"/>
      <c r="C104" s="106"/>
      <c r="D104" s="106"/>
      <c r="E104" s="106"/>
      <c r="F104" s="106"/>
      <c r="G104" s="640"/>
      <c r="H104" s="640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U104" s="189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</row>
  </sheetData>
  <mergeCells count="16">
    <mergeCell ref="A1:R1"/>
    <mergeCell ref="N3:P3"/>
    <mergeCell ref="B72:S72"/>
    <mergeCell ref="H4:M4"/>
    <mergeCell ref="G4:G5"/>
    <mergeCell ref="A4:A5"/>
    <mergeCell ref="B4:B5"/>
    <mergeCell ref="C4:C5"/>
    <mergeCell ref="D4:D5"/>
    <mergeCell ref="E4:E5"/>
    <mergeCell ref="F4:F5"/>
    <mergeCell ref="N4:N5"/>
    <mergeCell ref="Q4:Q5"/>
    <mergeCell ref="R4:R5"/>
    <mergeCell ref="S4:S5"/>
    <mergeCell ref="O4:P4"/>
  </mergeCells>
  <phoneticPr fontId="17" type="noConversion"/>
  <dataValidations disablePrompts="1" count="1">
    <dataValidation type="date" operator="greaterThan" allowBlank="1" showInputMessage="1" showErrorMessage="1" prompt="Введите дату в формате ЧЧ.ММ.ГГГГ" sqref="X75:Y104" xr:uid="{00000000-0002-0000-07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5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2">
    <pageSetUpPr fitToPage="1"/>
  </sheetPr>
  <dimension ref="A1:AE107"/>
  <sheetViews>
    <sheetView zoomScale="85" zoomScaleNormal="85" zoomScaleSheetLayoutView="70" workbookViewId="0">
      <pane xSplit="2" ySplit="6" topLeftCell="C7" activePane="bottomRight" state="frozen"/>
      <selection activeCell="C72" sqref="C72"/>
      <selection pane="topRight" activeCell="C72" sqref="C72"/>
      <selection pane="bottomLeft" activeCell="C72" sqref="C72"/>
      <selection pane="bottomRight" activeCell="G11" sqref="G11"/>
    </sheetView>
  </sheetViews>
  <sheetFormatPr defaultRowHeight="12.75"/>
  <cols>
    <col min="1" max="1" width="5.140625" style="105" customWidth="1"/>
    <col min="2" max="2" width="32.7109375" style="105" customWidth="1"/>
    <col min="3" max="3" width="14.140625" style="105" customWidth="1"/>
    <col min="4" max="6" width="10.140625" style="105" customWidth="1"/>
    <col min="7" max="7" width="17.28515625" style="105" customWidth="1"/>
    <col min="8" max="8" width="18.140625" style="105" customWidth="1"/>
    <col min="9" max="13" width="13.85546875" style="105" customWidth="1"/>
    <col min="14" max="14" width="12.140625" style="105" customWidth="1"/>
    <col min="15" max="15" width="8.42578125" style="105" customWidth="1"/>
    <col min="16" max="16" width="17" style="105" customWidth="1"/>
    <col min="17" max="17" width="10.140625" style="105" customWidth="1"/>
    <col min="18" max="18" width="14.42578125" style="105" customWidth="1"/>
    <col min="19" max="19" width="21.42578125" style="105" customWidth="1"/>
    <col min="20" max="20" width="9.140625" style="105"/>
    <col min="21" max="21" width="9.140625" style="179"/>
    <col min="22" max="22" width="8.28515625" style="105" customWidth="1"/>
    <col min="23" max="23" width="7.42578125" style="105" customWidth="1"/>
    <col min="24" max="24" width="6.85546875" style="105" customWidth="1"/>
    <col min="25" max="16384" width="9.140625" style="105"/>
  </cols>
  <sheetData>
    <row r="1" spans="1:22" ht="20.25">
      <c r="A1" s="696" t="s">
        <v>753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70" t="s">
        <v>635</v>
      </c>
    </row>
    <row r="2" spans="1:22">
      <c r="A2" s="190"/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Q2" s="379"/>
      <c r="R2" s="379"/>
      <c r="S2" s="379"/>
    </row>
    <row r="3" spans="1:22" ht="15.75">
      <c r="A3" s="71"/>
      <c r="B3" s="380" t="str">
        <f>+'Asset quality'!B3</f>
        <v>АКБ "Микрокредитбанк"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697">
        <f>+'Asset quality'!P3</f>
        <v>44196</v>
      </c>
      <c r="O3" s="697" t="e">
        <f>+#REF!</f>
        <v>#REF!</v>
      </c>
      <c r="P3" s="697"/>
      <c r="Q3" s="71"/>
      <c r="R3" s="71"/>
      <c r="S3" s="71" t="s">
        <v>408</v>
      </c>
      <c r="U3" s="105"/>
      <c r="V3" s="179"/>
    </row>
    <row r="4" spans="1:22" ht="24" customHeight="1">
      <c r="A4" s="704" t="s">
        <v>83</v>
      </c>
      <c r="B4" s="704" t="s">
        <v>195</v>
      </c>
      <c r="C4" s="702" t="s">
        <v>589</v>
      </c>
      <c r="D4" s="702" t="s">
        <v>590</v>
      </c>
      <c r="E4" s="702" t="s">
        <v>591</v>
      </c>
      <c r="F4" s="702" t="s">
        <v>196</v>
      </c>
      <c r="G4" s="702" t="s">
        <v>692</v>
      </c>
      <c r="H4" s="699" t="s">
        <v>90</v>
      </c>
      <c r="I4" s="700"/>
      <c r="J4" s="700"/>
      <c r="K4" s="700"/>
      <c r="L4" s="700"/>
      <c r="M4" s="701"/>
      <c r="N4" s="702" t="s">
        <v>197</v>
      </c>
      <c r="O4" s="699" t="s">
        <v>628</v>
      </c>
      <c r="P4" s="701"/>
      <c r="Q4" s="702" t="s">
        <v>198</v>
      </c>
      <c r="R4" s="702" t="s">
        <v>596</v>
      </c>
      <c r="S4" s="702" t="s">
        <v>199</v>
      </c>
    </row>
    <row r="5" spans="1:22" ht="96" customHeight="1">
      <c r="A5" s="705"/>
      <c r="B5" s="705"/>
      <c r="C5" s="703"/>
      <c r="D5" s="703"/>
      <c r="E5" s="703"/>
      <c r="F5" s="703"/>
      <c r="G5" s="703"/>
      <c r="H5" s="372" t="s">
        <v>592</v>
      </c>
      <c r="I5" s="372" t="s">
        <v>593</v>
      </c>
      <c r="J5" s="372" t="s">
        <v>88</v>
      </c>
      <c r="K5" s="372" t="s">
        <v>594</v>
      </c>
      <c r="L5" s="497" t="s">
        <v>886</v>
      </c>
      <c r="M5" s="497" t="s">
        <v>664</v>
      </c>
      <c r="N5" s="703"/>
      <c r="O5" s="375" t="s">
        <v>629</v>
      </c>
      <c r="P5" s="375" t="s">
        <v>595</v>
      </c>
      <c r="Q5" s="703"/>
      <c r="R5" s="703"/>
      <c r="S5" s="703"/>
    </row>
    <row r="6" spans="1:22" ht="15">
      <c r="A6" s="373"/>
      <c r="B6" s="373" t="s">
        <v>182</v>
      </c>
      <c r="C6" s="373" t="s">
        <v>183</v>
      </c>
      <c r="D6" s="373" t="s">
        <v>200</v>
      </c>
      <c r="E6" s="373" t="s">
        <v>184</v>
      </c>
      <c r="F6" s="373" t="s">
        <v>185</v>
      </c>
      <c r="G6" s="374" t="s">
        <v>201</v>
      </c>
      <c r="H6" s="373" t="s">
        <v>630</v>
      </c>
      <c r="I6" s="373" t="s">
        <v>631</v>
      </c>
      <c r="J6" s="373" t="s">
        <v>632</v>
      </c>
      <c r="K6" s="373" t="s">
        <v>633</v>
      </c>
      <c r="L6" s="498" t="s">
        <v>634</v>
      </c>
      <c r="M6" s="498" t="s">
        <v>870</v>
      </c>
      <c r="N6" s="373" t="s">
        <v>186</v>
      </c>
      <c r="O6" s="373" t="s">
        <v>187</v>
      </c>
      <c r="P6" s="373" t="s">
        <v>188</v>
      </c>
      <c r="Q6" s="373" t="s">
        <v>189</v>
      </c>
      <c r="R6" s="373" t="s">
        <v>190</v>
      </c>
      <c r="S6" s="373" t="s">
        <v>191</v>
      </c>
    </row>
    <row r="7" spans="1:22" s="176" customFormat="1">
      <c r="A7" s="233">
        <v>1</v>
      </c>
      <c r="B7" s="72" t="s">
        <v>894</v>
      </c>
      <c r="C7" s="74">
        <v>305922787</v>
      </c>
      <c r="D7" s="74" t="s">
        <v>895</v>
      </c>
      <c r="E7" s="74">
        <v>840</v>
      </c>
      <c r="F7" s="74">
        <v>2</v>
      </c>
      <c r="G7" s="88">
        <f>+H7+M7</f>
        <v>372356820</v>
      </c>
      <c r="H7" s="88">
        <v>369646200</v>
      </c>
      <c r="I7" s="73"/>
      <c r="J7" s="73"/>
      <c r="K7" s="73"/>
      <c r="L7" s="73"/>
      <c r="M7" s="73">
        <v>2710620</v>
      </c>
      <c r="N7" s="73"/>
      <c r="O7" s="73"/>
      <c r="P7" s="73"/>
      <c r="Q7" s="74"/>
      <c r="R7" s="74"/>
      <c r="S7" s="74"/>
      <c r="U7" s="180">
        <v>0</v>
      </c>
    </row>
    <row r="8" spans="1:22" s="176" customFormat="1">
      <c r="A8" s="233">
        <v>2</v>
      </c>
      <c r="B8" s="73" t="s">
        <v>893</v>
      </c>
      <c r="C8" s="74">
        <v>306892604</v>
      </c>
      <c r="D8" s="74" t="s">
        <v>895</v>
      </c>
      <c r="E8" s="74">
        <v>840</v>
      </c>
      <c r="F8" s="74">
        <v>1</v>
      </c>
      <c r="G8" s="88">
        <f>+H8+M8</f>
        <v>460153398</v>
      </c>
      <c r="H8" s="88">
        <v>456822406</v>
      </c>
      <c r="I8" s="73"/>
      <c r="J8" s="73"/>
      <c r="K8" s="73"/>
      <c r="L8" s="73"/>
      <c r="M8" s="73">
        <v>3330992</v>
      </c>
      <c r="N8" s="73"/>
      <c r="O8" s="73"/>
      <c r="P8" s="73"/>
      <c r="Q8" s="74"/>
      <c r="R8" s="74"/>
      <c r="S8" s="74"/>
      <c r="U8" s="180"/>
    </row>
    <row r="9" spans="1:22" s="176" customFormat="1">
      <c r="A9" s="233">
        <v>3</v>
      </c>
      <c r="B9" s="73"/>
      <c r="C9" s="74"/>
      <c r="D9" s="74"/>
      <c r="E9" s="74"/>
      <c r="F9" s="74"/>
      <c r="G9" s="88">
        <f>SUM(H9:M9)</f>
        <v>0</v>
      </c>
      <c r="H9" s="73"/>
      <c r="I9" s="73"/>
      <c r="J9" s="73"/>
      <c r="K9" s="73"/>
      <c r="L9" s="73"/>
      <c r="M9" s="73"/>
      <c r="N9" s="73"/>
      <c r="O9" s="73"/>
      <c r="P9" s="73"/>
      <c r="Q9" s="74"/>
      <c r="R9" s="74"/>
      <c r="S9" s="74"/>
      <c r="U9" s="180"/>
    </row>
    <row r="10" spans="1:22" s="176" customFormat="1">
      <c r="A10" s="233">
        <v>4</v>
      </c>
      <c r="B10" s="73"/>
      <c r="C10" s="74"/>
      <c r="D10" s="74"/>
      <c r="E10" s="74"/>
      <c r="F10" s="74"/>
      <c r="G10" s="88">
        <v>0</v>
      </c>
      <c r="H10" s="73"/>
      <c r="I10" s="73"/>
      <c r="J10" s="73"/>
      <c r="K10" s="73"/>
      <c r="L10" s="73"/>
      <c r="M10" s="73"/>
      <c r="N10" s="73"/>
      <c r="O10" s="73"/>
      <c r="P10" s="73"/>
      <c r="Q10" s="74"/>
      <c r="R10" s="74"/>
      <c r="S10" s="74"/>
      <c r="U10" s="181"/>
    </row>
    <row r="11" spans="1:22" s="176" customFormat="1">
      <c r="A11" s="233">
        <v>5</v>
      </c>
      <c r="B11" s="73"/>
      <c r="C11" s="74"/>
      <c r="D11" s="74"/>
      <c r="E11" s="74"/>
      <c r="F11" s="74"/>
      <c r="G11" s="88">
        <f t="shared" ref="G11:G66" si="0">SUM(H11:M11)</f>
        <v>0</v>
      </c>
      <c r="H11" s="73"/>
      <c r="I11" s="73"/>
      <c r="J11" s="73"/>
      <c r="K11" s="73"/>
      <c r="L11" s="73"/>
      <c r="M11" s="73"/>
      <c r="N11" s="73"/>
      <c r="O11" s="73"/>
      <c r="P11" s="73"/>
      <c r="Q11" s="74"/>
      <c r="R11" s="74"/>
      <c r="S11" s="74"/>
      <c r="U11" s="181"/>
    </row>
    <row r="12" spans="1:22" s="176" customFormat="1">
      <c r="A12" s="233">
        <v>6</v>
      </c>
      <c r="B12" s="73"/>
      <c r="C12" s="74"/>
      <c r="D12" s="74"/>
      <c r="E12" s="74"/>
      <c r="F12" s="74"/>
      <c r="G12" s="88">
        <f t="shared" si="0"/>
        <v>0</v>
      </c>
      <c r="H12" s="73"/>
      <c r="I12" s="73"/>
      <c r="J12" s="73"/>
      <c r="K12" s="73"/>
      <c r="L12" s="73"/>
      <c r="M12" s="73"/>
      <c r="N12" s="73"/>
      <c r="O12" s="73"/>
      <c r="P12" s="73"/>
      <c r="Q12" s="74"/>
      <c r="R12" s="74"/>
      <c r="S12" s="74"/>
      <c r="U12" s="181"/>
    </row>
    <row r="13" spans="1:22" s="176" customFormat="1" ht="14.25" customHeight="1">
      <c r="A13" s="233">
        <v>7</v>
      </c>
      <c r="B13" s="75"/>
      <c r="C13" s="74"/>
      <c r="D13" s="74"/>
      <c r="E13" s="74"/>
      <c r="F13" s="74"/>
      <c r="G13" s="88">
        <f t="shared" si="0"/>
        <v>0</v>
      </c>
      <c r="H13" s="73"/>
      <c r="I13" s="73"/>
      <c r="J13" s="73"/>
      <c r="K13" s="73"/>
      <c r="L13" s="73"/>
      <c r="M13" s="73"/>
      <c r="N13" s="73"/>
      <c r="O13" s="73"/>
      <c r="P13" s="73"/>
      <c r="Q13" s="74"/>
      <c r="R13" s="74"/>
      <c r="S13" s="74"/>
      <c r="U13" s="181"/>
    </row>
    <row r="14" spans="1:22" s="176" customFormat="1" ht="14.25" customHeight="1">
      <c r="A14" s="233">
        <v>8</v>
      </c>
      <c r="B14" s="73"/>
      <c r="C14" s="74"/>
      <c r="D14" s="74"/>
      <c r="E14" s="74"/>
      <c r="F14" s="74"/>
      <c r="G14" s="88">
        <f t="shared" si="0"/>
        <v>0</v>
      </c>
      <c r="H14" s="73"/>
      <c r="I14" s="73"/>
      <c r="J14" s="73"/>
      <c r="K14" s="73"/>
      <c r="L14" s="73"/>
      <c r="M14" s="73"/>
      <c r="N14" s="73"/>
      <c r="O14" s="73"/>
      <c r="P14" s="73"/>
      <c r="Q14" s="74"/>
      <c r="R14" s="74"/>
      <c r="S14" s="74"/>
      <c r="U14" s="181"/>
    </row>
    <row r="15" spans="1:22" s="176" customFormat="1">
      <c r="A15" s="233">
        <v>9</v>
      </c>
      <c r="B15" s="77"/>
      <c r="C15" s="77"/>
      <c r="D15" s="74"/>
      <c r="E15" s="74"/>
      <c r="F15" s="77"/>
      <c r="G15" s="88">
        <f t="shared" si="0"/>
        <v>0</v>
      </c>
      <c r="H15" s="77"/>
      <c r="I15" s="77"/>
      <c r="J15" s="77"/>
      <c r="K15" s="77"/>
      <c r="L15" s="77"/>
      <c r="M15" s="77"/>
      <c r="N15" s="39"/>
      <c r="O15" s="39"/>
      <c r="P15" s="39"/>
      <c r="Q15" s="39"/>
      <c r="R15" s="77"/>
      <c r="S15" s="77"/>
      <c r="U15" s="181"/>
    </row>
    <row r="16" spans="1:22" s="176" customFormat="1">
      <c r="A16" s="233">
        <v>10</v>
      </c>
      <c r="B16" s="39"/>
      <c r="C16" s="77"/>
      <c r="D16" s="74"/>
      <c r="E16" s="74"/>
      <c r="F16" s="77"/>
      <c r="G16" s="88">
        <f t="shared" si="0"/>
        <v>0</v>
      </c>
      <c r="H16" s="77"/>
      <c r="I16" s="77"/>
      <c r="J16" s="77"/>
      <c r="K16" s="77"/>
      <c r="L16" s="77"/>
      <c r="M16" s="77"/>
      <c r="N16" s="39"/>
      <c r="O16" s="39"/>
      <c r="P16" s="39"/>
      <c r="Q16" s="39"/>
      <c r="R16" s="77"/>
      <c r="S16" s="77"/>
      <c r="U16" s="181"/>
    </row>
    <row r="17" spans="1:21" s="176" customFormat="1">
      <c r="A17" s="233">
        <v>11</v>
      </c>
      <c r="B17" s="77"/>
      <c r="C17" s="77"/>
      <c r="D17" s="74"/>
      <c r="E17" s="74"/>
      <c r="F17" s="77"/>
      <c r="G17" s="88">
        <f t="shared" si="0"/>
        <v>0</v>
      </c>
      <c r="H17" s="77"/>
      <c r="I17" s="77"/>
      <c r="J17" s="77"/>
      <c r="K17" s="77"/>
      <c r="L17" s="77"/>
      <c r="M17" s="77"/>
      <c r="N17" s="39"/>
      <c r="O17" s="39"/>
      <c r="P17" s="39"/>
      <c r="Q17" s="39"/>
      <c r="R17" s="77"/>
      <c r="S17" s="77"/>
      <c r="U17" s="181"/>
    </row>
    <row r="18" spans="1:21" s="176" customFormat="1">
      <c r="A18" s="233">
        <v>12</v>
      </c>
      <c r="B18" s="77"/>
      <c r="C18" s="77"/>
      <c r="D18" s="74"/>
      <c r="E18" s="74"/>
      <c r="F18" s="77"/>
      <c r="G18" s="88">
        <f t="shared" si="0"/>
        <v>0</v>
      </c>
      <c r="H18" s="77"/>
      <c r="I18" s="77"/>
      <c r="J18" s="77"/>
      <c r="K18" s="77"/>
      <c r="L18" s="77"/>
      <c r="M18" s="77"/>
      <c r="N18" s="39"/>
      <c r="O18" s="39"/>
      <c r="P18" s="39"/>
      <c r="Q18" s="39"/>
      <c r="R18" s="77"/>
      <c r="S18" s="77"/>
      <c r="U18" s="181"/>
    </row>
    <row r="19" spans="1:21" s="176" customFormat="1">
      <c r="A19" s="233">
        <v>13</v>
      </c>
      <c r="B19" s="77"/>
      <c r="C19" s="77"/>
      <c r="D19" s="74"/>
      <c r="E19" s="74"/>
      <c r="F19" s="77"/>
      <c r="G19" s="88">
        <f t="shared" si="0"/>
        <v>0</v>
      </c>
      <c r="H19" s="77"/>
      <c r="I19" s="77"/>
      <c r="J19" s="77"/>
      <c r="K19" s="77"/>
      <c r="L19" s="77"/>
      <c r="M19" s="77"/>
      <c r="N19" s="39"/>
      <c r="O19" s="39"/>
      <c r="P19" s="39"/>
      <c r="Q19" s="39"/>
      <c r="R19" s="77"/>
      <c r="S19" s="77"/>
      <c r="U19" s="181"/>
    </row>
    <row r="20" spans="1:21" s="176" customFormat="1">
      <c r="A20" s="233">
        <v>14</v>
      </c>
      <c r="B20" s="77"/>
      <c r="C20" s="77"/>
      <c r="D20" s="74"/>
      <c r="E20" s="74"/>
      <c r="F20" s="77"/>
      <c r="G20" s="88">
        <f t="shared" si="0"/>
        <v>0</v>
      </c>
      <c r="H20" s="77"/>
      <c r="I20" s="77"/>
      <c r="J20" s="77"/>
      <c r="K20" s="77"/>
      <c r="L20" s="77"/>
      <c r="M20" s="77"/>
      <c r="N20" s="39"/>
      <c r="O20" s="39"/>
      <c r="P20" s="39"/>
      <c r="Q20" s="39"/>
      <c r="R20" s="77"/>
      <c r="S20" s="77"/>
      <c r="U20" s="181"/>
    </row>
    <row r="21" spans="1:21" s="176" customFormat="1">
      <c r="A21" s="233">
        <v>15</v>
      </c>
      <c r="B21" s="575"/>
      <c r="C21" s="77"/>
      <c r="D21" s="74"/>
      <c r="E21" s="74"/>
      <c r="F21" s="77"/>
      <c r="G21" s="88">
        <f t="shared" si="0"/>
        <v>0</v>
      </c>
      <c r="H21" s="77"/>
      <c r="I21" s="77"/>
      <c r="J21" s="77"/>
      <c r="K21" s="77"/>
      <c r="L21" s="77"/>
      <c r="M21" s="77"/>
      <c r="N21" s="39"/>
      <c r="O21" s="39"/>
      <c r="P21" s="39"/>
      <c r="Q21" s="39"/>
      <c r="R21" s="77"/>
      <c r="S21" s="77"/>
      <c r="U21" s="181"/>
    </row>
    <row r="22" spans="1:21" s="176" customFormat="1">
      <c r="A22" s="233">
        <v>16</v>
      </c>
      <c r="B22" s="77"/>
      <c r="C22" s="77"/>
      <c r="D22" s="74"/>
      <c r="E22" s="74"/>
      <c r="F22" s="77"/>
      <c r="G22" s="88">
        <f t="shared" si="0"/>
        <v>0</v>
      </c>
      <c r="H22" s="77"/>
      <c r="I22" s="77"/>
      <c r="J22" s="77"/>
      <c r="K22" s="77"/>
      <c r="L22" s="77"/>
      <c r="M22" s="77"/>
      <c r="N22" s="39"/>
      <c r="O22" s="39"/>
      <c r="P22" s="39"/>
      <c r="Q22" s="39"/>
      <c r="R22" s="77"/>
      <c r="S22" s="77"/>
      <c r="U22" s="181"/>
    </row>
    <row r="23" spans="1:21" s="176" customFormat="1">
      <c r="A23" s="233">
        <v>17</v>
      </c>
      <c r="B23" s="73"/>
      <c r="C23" s="77"/>
      <c r="D23" s="74"/>
      <c r="E23" s="74"/>
      <c r="F23" s="77"/>
      <c r="G23" s="88">
        <f t="shared" si="0"/>
        <v>0</v>
      </c>
      <c r="H23" s="77"/>
      <c r="I23" s="77"/>
      <c r="J23" s="77"/>
      <c r="K23" s="77"/>
      <c r="L23" s="77"/>
      <c r="M23" s="77"/>
      <c r="N23" s="39"/>
      <c r="O23" s="39"/>
      <c r="P23" s="39"/>
      <c r="Q23" s="39"/>
      <c r="R23" s="77"/>
      <c r="S23" s="77"/>
      <c r="U23" s="181"/>
    </row>
    <row r="24" spans="1:21" s="176" customFormat="1">
      <c r="A24" s="233">
        <v>18</v>
      </c>
      <c r="B24" s="575"/>
      <c r="C24" s="77"/>
      <c r="D24" s="74"/>
      <c r="E24" s="74"/>
      <c r="F24" s="77"/>
      <c r="G24" s="88">
        <f t="shared" si="0"/>
        <v>0</v>
      </c>
      <c r="H24" s="77"/>
      <c r="I24" s="77"/>
      <c r="J24" s="77"/>
      <c r="K24" s="77"/>
      <c r="L24" s="77"/>
      <c r="M24" s="77"/>
      <c r="N24" s="39"/>
      <c r="O24" s="39"/>
      <c r="P24" s="39"/>
      <c r="Q24" s="39"/>
      <c r="R24" s="77"/>
      <c r="S24" s="77"/>
      <c r="U24" s="181"/>
    </row>
    <row r="25" spans="1:21" s="176" customFormat="1">
      <c r="A25" s="233">
        <v>19</v>
      </c>
      <c r="B25" s="77"/>
      <c r="C25" s="77"/>
      <c r="D25" s="74"/>
      <c r="E25" s="74"/>
      <c r="F25" s="77"/>
      <c r="G25" s="88">
        <f t="shared" si="0"/>
        <v>0</v>
      </c>
      <c r="H25" s="77"/>
      <c r="I25" s="77"/>
      <c r="J25" s="77"/>
      <c r="K25" s="77"/>
      <c r="L25" s="77"/>
      <c r="M25" s="77"/>
      <c r="N25" s="39"/>
      <c r="O25" s="39"/>
      <c r="P25" s="39"/>
      <c r="Q25" s="39"/>
      <c r="R25" s="77"/>
      <c r="S25" s="77"/>
      <c r="U25" s="181"/>
    </row>
    <row r="26" spans="1:21" s="176" customFormat="1">
      <c r="A26" s="233">
        <v>20</v>
      </c>
      <c r="B26" s="76"/>
      <c r="C26" s="74"/>
      <c r="D26" s="74"/>
      <c r="E26" s="74"/>
      <c r="F26" s="74"/>
      <c r="G26" s="88">
        <f t="shared" si="0"/>
        <v>0</v>
      </c>
      <c r="H26" s="73"/>
      <c r="I26" s="73"/>
      <c r="J26" s="73"/>
      <c r="K26" s="73"/>
      <c r="L26" s="73"/>
      <c r="M26" s="73"/>
      <c r="N26" s="76"/>
      <c r="O26" s="76"/>
      <c r="P26" s="73"/>
      <c r="Q26" s="74"/>
      <c r="R26" s="74"/>
      <c r="S26" s="74"/>
      <c r="U26" s="181"/>
    </row>
    <row r="27" spans="1:21" s="176" customFormat="1">
      <c r="A27" s="233">
        <v>21</v>
      </c>
      <c r="B27" s="39"/>
      <c r="C27" s="77"/>
      <c r="D27" s="77"/>
      <c r="E27" s="74"/>
      <c r="F27" s="77"/>
      <c r="G27" s="88">
        <f t="shared" si="0"/>
        <v>0</v>
      </c>
      <c r="H27" s="77"/>
      <c r="I27" s="77"/>
      <c r="J27" s="77"/>
      <c r="K27" s="77"/>
      <c r="L27" s="77"/>
      <c r="M27" s="77"/>
      <c r="N27" s="39"/>
      <c r="O27" s="39"/>
      <c r="P27" s="39"/>
      <c r="Q27" s="39"/>
      <c r="R27" s="77"/>
      <c r="S27" s="77"/>
      <c r="U27" s="181"/>
    </row>
    <row r="28" spans="1:21" s="176" customFormat="1">
      <c r="A28" s="233">
        <v>22</v>
      </c>
      <c r="B28" s="39"/>
      <c r="C28" s="77"/>
      <c r="D28" s="77"/>
      <c r="E28" s="74"/>
      <c r="F28" s="77"/>
      <c r="G28" s="88">
        <f t="shared" si="0"/>
        <v>0</v>
      </c>
      <c r="H28" s="77"/>
      <c r="I28" s="77"/>
      <c r="J28" s="77"/>
      <c r="K28" s="77"/>
      <c r="L28" s="77"/>
      <c r="M28" s="77"/>
      <c r="N28" s="39"/>
      <c r="O28" s="39"/>
      <c r="P28" s="39"/>
      <c r="Q28" s="39"/>
      <c r="R28" s="77"/>
      <c r="S28" s="77"/>
      <c r="U28" s="181"/>
    </row>
    <row r="29" spans="1:21" s="176" customFormat="1">
      <c r="A29" s="233">
        <v>23</v>
      </c>
      <c r="B29" s="39"/>
      <c r="C29" s="77"/>
      <c r="D29" s="77"/>
      <c r="E29" s="74"/>
      <c r="F29" s="77"/>
      <c r="G29" s="88">
        <f t="shared" si="0"/>
        <v>0</v>
      </c>
      <c r="H29" s="77"/>
      <c r="I29" s="77"/>
      <c r="J29" s="77"/>
      <c r="K29" s="77"/>
      <c r="L29" s="77"/>
      <c r="M29" s="77"/>
      <c r="N29" s="39"/>
      <c r="O29" s="39"/>
      <c r="P29" s="39"/>
      <c r="Q29" s="39"/>
      <c r="R29" s="77"/>
      <c r="S29" s="77"/>
      <c r="U29" s="181"/>
    </row>
    <row r="30" spans="1:21" s="176" customFormat="1">
      <c r="A30" s="233">
        <v>24</v>
      </c>
      <c r="B30" s="77"/>
      <c r="C30" s="77"/>
      <c r="D30" s="77"/>
      <c r="E30" s="74"/>
      <c r="F30" s="77"/>
      <c r="G30" s="88">
        <f t="shared" si="0"/>
        <v>0</v>
      </c>
      <c r="H30" s="77"/>
      <c r="I30" s="77"/>
      <c r="J30" s="77"/>
      <c r="K30" s="77"/>
      <c r="L30" s="77"/>
      <c r="M30" s="77"/>
      <c r="N30" s="39"/>
      <c r="O30" s="39"/>
      <c r="P30" s="39"/>
      <c r="Q30" s="39"/>
      <c r="R30" s="77"/>
      <c r="S30" s="77"/>
      <c r="U30" s="181"/>
    </row>
    <row r="31" spans="1:21" s="176" customFormat="1">
      <c r="A31" s="233">
        <v>25</v>
      </c>
      <c r="B31" s="77"/>
      <c r="C31" s="77"/>
      <c r="D31" s="77"/>
      <c r="E31" s="74"/>
      <c r="F31" s="77"/>
      <c r="G31" s="88">
        <f t="shared" si="0"/>
        <v>0</v>
      </c>
      <c r="H31" s="77"/>
      <c r="I31" s="77"/>
      <c r="J31" s="77"/>
      <c r="K31" s="77"/>
      <c r="L31" s="77"/>
      <c r="M31" s="77"/>
      <c r="N31" s="39"/>
      <c r="O31" s="39"/>
      <c r="P31" s="39"/>
      <c r="Q31" s="39"/>
      <c r="R31" s="77"/>
      <c r="S31" s="77"/>
      <c r="U31" s="181"/>
    </row>
    <row r="32" spans="1:21" s="176" customFormat="1">
      <c r="A32" s="233">
        <v>26</v>
      </c>
      <c r="B32" s="77"/>
      <c r="C32" s="77"/>
      <c r="D32" s="77"/>
      <c r="E32" s="74"/>
      <c r="F32" s="77"/>
      <c r="G32" s="88">
        <f t="shared" si="0"/>
        <v>0</v>
      </c>
      <c r="H32" s="77"/>
      <c r="I32" s="77"/>
      <c r="J32" s="77"/>
      <c r="K32" s="77"/>
      <c r="L32" s="77"/>
      <c r="M32" s="77"/>
      <c r="N32" s="39"/>
      <c r="O32" s="39"/>
      <c r="P32" s="39"/>
      <c r="Q32" s="39"/>
      <c r="R32" s="77"/>
      <c r="S32" s="77"/>
      <c r="U32" s="181"/>
    </row>
    <row r="33" spans="1:21" s="176" customFormat="1">
      <c r="A33" s="233">
        <v>27</v>
      </c>
      <c r="B33" s="77"/>
      <c r="C33" s="77"/>
      <c r="D33" s="77"/>
      <c r="E33" s="74"/>
      <c r="F33" s="77"/>
      <c r="G33" s="88">
        <f t="shared" si="0"/>
        <v>0</v>
      </c>
      <c r="H33" s="77"/>
      <c r="I33" s="77"/>
      <c r="J33" s="77"/>
      <c r="K33" s="77"/>
      <c r="L33" s="77"/>
      <c r="M33" s="77"/>
      <c r="N33" s="39"/>
      <c r="O33" s="39"/>
      <c r="P33" s="39"/>
      <c r="Q33" s="39"/>
      <c r="R33" s="77"/>
      <c r="S33" s="77"/>
      <c r="U33" s="181"/>
    </row>
    <row r="34" spans="1:21" s="176" customFormat="1">
      <c r="A34" s="233">
        <v>28</v>
      </c>
      <c r="B34" s="77"/>
      <c r="C34" s="77"/>
      <c r="D34" s="77"/>
      <c r="E34" s="74"/>
      <c r="F34" s="77"/>
      <c r="G34" s="88">
        <f t="shared" si="0"/>
        <v>0</v>
      </c>
      <c r="H34" s="77"/>
      <c r="I34" s="77"/>
      <c r="J34" s="77"/>
      <c r="K34" s="77"/>
      <c r="L34" s="77"/>
      <c r="M34" s="77"/>
      <c r="N34" s="39"/>
      <c r="O34" s="39"/>
      <c r="P34" s="39"/>
      <c r="Q34" s="39"/>
      <c r="R34" s="77"/>
      <c r="S34" s="77"/>
      <c r="U34" s="181"/>
    </row>
    <row r="35" spans="1:21" s="176" customFormat="1">
      <c r="A35" s="233">
        <v>29</v>
      </c>
      <c r="B35" s="77"/>
      <c r="C35" s="77"/>
      <c r="D35" s="77"/>
      <c r="E35" s="74"/>
      <c r="F35" s="77"/>
      <c r="G35" s="88">
        <f t="shared" si="0"/>
        <v>0</v>
      </c>
      <c r="H35" s="77"/>
      <c r="I35" s="77"/>
      <c r="J35" s="77"/>
      <c r="K35" s="77"/>
      <c r="L35" s="77"/>
      <c r="M35" s="77"/>
      <c r="N35" s="39"/>
      <c r="O35" s="39"/>
      <c r="P35" s="39"/>
      <c r="Q35" s="39"/>
      <c r="R35" s="77"/>
      <c r="S35" s="77"/>
      <c r="U35" s="181"/>
    </row>
    <row r="36" spans="1:21" s="176" customFormat="1">
      <c r="A36" s="233">
        <v>30</v>
      </c>
      <c r="B36" s="77"/>
      <c r="C36" s="77"/>
      <c r="D36" s="77"/>
      <c r="E36" s="74"/>
      <c r="F36" s="77"/>
      <c r="G36" s="88">
        <f t="shared" si="0"/>
        <v>0</v>
      </c>
      <c r="H36" s="77"/>
      <c r="I36" s="77"/>
      <c r="J36" s="77"/>
      <c r="K36" s="77"/>
      <c r="L36" s="77"/>
      <c r="M36" s="77"/>
      <c r="N36" s="39"/>
      <c r="O36" s="39"/>
      <c r="P36" s="39"/>
      <c r="Q36" s="39"/>
      <c r="R36" s="77"/>
      <c r="S36" s="77"/>
      <c r="U36" s="181"/>
    </row>
    <row r="37" spans="1:21" s="176" customFormat="1">
      <c r="A37" s="233">
        <v>31</v>
      </c>
      <c r="B37" s="77"/>
      <c r="C37" s="77"/>
      <c r="D37" s="77"/>
      <c r="E37" s="74"/>
      <c r="F37" s="77"/>
      <c r="G37" s="88">
        <f t="shared" si="0"/>
        <v>0</v>
      </c>
      <c r="H37" s="77"/>
      <c r="I37" s="77"/>
      <c r="J37" s="77"/>
      <c r="K37" s="77"/>
      <c r="L37" s="77"/>
      <c r="M37" s="77"/>
      <c r="N37" s="39"/>
      <c r="O37" s="39"/>
      <c r="P37" s="39"/>
      <c r="Q37" s="39"/>
      <c r="R37" s="77"/>
      <c r="S37" s="77"/>
      <c r="U37" s="181"/>
    </row>
    <row r="38" spans="1:21" s="176" customFormat="1">
      <c r="A38" s="233">
        <v>32</v>
      </c>
      <c r="B38" s="77"/>
      <c r="C38" s="77"/>
      <c r="D38" s="77"/>
      <c r="E38" s="74"/>
      <c r="F38" s="77"/>
      <c r="G38" s="88">
        <f t="shared" si="0"/>
        <v>0</v>
      </c>
      <c r="H38" s="77"/>
      <c r="I38" s="77"/>
      <c r="J38" s="77"/>
      <c r="K38" s="77"/>
      <c r="L38" s="77"/>
      <c r="M38" s="77"/>
      <c r="N38" s="39"/>
      <c r="O38" s="39"/>
      <c r="P38" s="39"/>
      <c r="Q38" s="39"/>
      <c r="R38" s="77"/>
      <c r="S38" s="77"/>
      <c r="U38" s="181"/>
    </row>
    <row r="39" spans="1:21" s="176" customFormat="1">
      <c r="A39" s="233">
        <v>33</v>
      </c>
      <c r="B39" s="77"/>
      <c r="C39" s="77"/>
      <c r="D39" s="77"/>
      <c r="E39" s="74"/>
      <c r="F39" s="77"/>
      <c r="G39" s="88">
        <f t="shared" si="0"/>
        <v>0</v>
      </c>
      <c r="H39" s="77"/>
      <c r="I39" s="77"/>
      <c r="J39" s="77"/>
      <c r="K39" s="77"/>
      <c r="L39" s="77"/>
      <c r="M39" s="77"/>
      <c r="N39" s="39"/>
      <c r="O39" s="39"/>
      <c r="P39" s="39"/>
      <c r="Q39" s="39"/>
      <c r="R39" s="77"/>
      <c r="S39" s="77"/>
      <c r="U39" s="181"/>
    </row>
    <row r="40" spans="1:21" s="176" customFormat="1">
      <c r="A40" s="233">
        <v>34</v>
      </c>
      <c r="B40" s="77"/>
      <c r="C40" s="77"/>
      <c r="D40" s="77"/>
      <c r="E40" s="74"/>
      <c r="F40" s="77"/>
      <c r="G40" s="88">
        <f t="shared" si="0"/>
        <v>0</v>
      </c>
      <c r="H40" s="77"/>
      <c r="I40" s="77"/>
      <c r="J40" s="77"/>
      <c r="K40" s="77"/>
      <c r="L40" s="77"/>
      <c r="M40" s="77"/>
      <c r="N40" s="39"/>
      <c r="O40" s="39"/>
      <c r="P40" s="39"/>
      <c r="Q40" s="39"/>
      <c r="R40" s="77"/>
      <c r="S40" s="77"/>
      <c r="U40" s="181"/>
    </row>
    <row r="41" spans="1:21" s="176" customFormat="1">
      <c r="A41" s="233">
        <v>35</v>
      </c>
      <c r="B41" s="77"/>
      <c r="C41" s="77"/>
      <c r="D41" s="77"/>
      <c r="E41" s="74"/>
      <c r="F41" s="77"/>
      <c r="G41" s="88">
        <f t="shared" si="0"/>
        <v>0</v>
      </c>
      <c r="H41" s="77"/>
      <c r="I41" s="77"/>
      <c r="J41" s="77"/>
      <c r="K41" s="77"/>
      <c r="L41" s="77"/>
      <c r="M41" s="77"/>
      <c r="N41" s="39"/>
      <c r="O41" s="39"/>
      <c r="P41" s="39"/>
      <c r="Q41" s="39"/>
      <c r="R41" s="77"/>
      <c r="S41" s="77"/>
      <c r="U41" s="181"/>
    </row>
    <row r="42" spans="1:21" s="176" customFormat="1">
      <c r="A42" s="233">
        <v>36</v>
      </c>
      <c r="B42" s="77"/>
      <c r="C42" s="77"/>
      <c r="D42" s="77"/>
      <c r="E42" s="74"/>
      <c r="F42" s="77"/>
      <c r="G42" s="88">
        <f t="shared" si="0"/>
        <v>0</v>
      </c>
      <c r="H42" s="77"/>
      <c r="I42" s="77"/>
      <c r="J42" s="77"/>
      <c r="K42" s="77"/>
      <c r="L42" s="77"/>
      <c r="M42" s="77"/>
      <c r="N42" s="39"/>
      <c r="O42" s="39"/>
      <c r="P42" s="39"/>
      <c r="Q42" s="39"/>
      <c r="R42" s="77"/>
      <c r="S42" s="77"/>
      <c r="U42" s="181"/>
    </row>
    <row r="43" spans="1:21" s="176" customFormat="1">
      <c r="A43" s="233">
        <v>37</v>
      </c>
      <c r="B43" s="77"/>
      <c r="C43" s="77"/>
      <c r="D43" s="77"/>
      <c r="E43" s="74"/>
      <c r="F43" s="77"/>
      <c r="G43" s="88">
        <f t="shared" si="0"/>
        <v>0</v>
      </c>
      <c r="H43" s="77"/>
      <c r="I43" s="77"/>
      <c r="J43" s="77"/>
      <c r="K43" s="77"/>
      <c r="L43" s="77"/>
      <c r="M43" s="77"/>
      <c r="N43" s="39"/>
      <c r="O43" s="39"/>
      <c r="P43" s="39"/>
      <c r="Q43" s="39"/>
      <c r="R43" s="77"/>
      <c r="S43" s="77"/>
      <c r="U43" s="181"/>
    </row>
    <row r="44" spans="1:21" s="176" customFormat="1">
      <c r="A44" s="233">
        <v>38</v>
      </c>
      <c r="B44" s="575"/>
      <c r="C44" s="77"/>
      <c r="D44" s="77"/>
      <c r="E44" s="74"/>
      <c r="F44" s="77"/>
      <c r="G44" s="88">
        <f t="shared" si="0"/>
        <v>0</v>
      </c>
      <c r="H44" s="77"/>
      <c r="I44" s="77"/>
      <c r="J44" s="77"/>
      <c r="K44" s="77"/>
      <c r="L44" s="77"/>
      <c r="M44" s="77"/>
      <c r="N44" s="39"/>
      <c r="O44" s="39"/>
      <c r="P44" s="39"/>
      <c r="Q44" s="39"/>
      <c r="R44" s="77"/>
      <c r="S44" s="77"/>
      <c r="U44" s="181"/>
    </row>
    <row r="45" spans="1:21" s="176" customFormat="1">
      <c r="A45" s="233">
        <v>39</v>
      </c>
      <c r="B45" s="77"/>
      <c r="C45" s="77"/>
      <c r="D45" s="77"/>
      <c r="E45" s="77"/>
      <c r="F45" s="77"/>
      <c r="G45" s="88">
        <f t="shared" si="0"/>
        <v>0</v>
      </c>
      <c r="H45" s="77"/>
      <c r="I45" s="77"/>
      <c r="J45" s="77"/>
      <c r="K45" s="77"/>
      <c r="L45" s="77"/>
      <c r="M45" s="77"/>
      <c r="N45" s="39"/>
      <c r="O45" s="39"/>
      <c r="P45" s="39"/>
      <c r="Q45" s="39"/>
      <c r="R45" s="77"/>
      <c r="S45" s="77"/>
      <c r="U45" s="181"/>
    </row>
    <row r="46" spans="1:21" s="176" customFormat="1">
      <c r="A46" s="233">
        <v>40</v>
      </c>
      <c r="B46" s="77"/>
      <c r="C46" s="77"/>
      <c r="D46" s="77"/>
      <c r="E46" s="77"/>
      <c r="F46" s="77"/>
      <c r="G46" s="88">
        <f t="shared" si="0"/>
        <v>0</v>
      </c>
      <c r="H46" s="77"/>
      <c r="I46" s="77"/>
      <c r="J46" s="77"/>
      <c r="K46" s="77"/>
      <c r="L46" s="77"/>
      <c r="M46" s="77"/>
      <c r="N46" s="39"/>
      <c r="O46" s="39"/>
      <c r="P46" s="39"/>
      <c r="Q46" s="39"/>
      <c r="R46" s="77"/>
      <c r="S46" s="77"/>
      <c r="U46" s="181"/>
    </row>
    <row r="47" spans="1:21" s="176" customFormat="1">
      <c r="A47" s="233">
        <v>41</v>
      </c>
      <c r="B47" s="77"/>
      <c r="C47" s="77"/>
      <c r="D47" s="77"/>
      <c r="E47" s="77"/>
      <c r="F47" s="77"/>
      <c r="G47" s="88">
        <f t="shared" si="0"/>
        <v>0</v>
      </c>
      <c r="H47" s="77"/>
      <c r="I47" s="77"/>
      <c r="J47" s="77"/>
      <c r="K47" s="77"/>
      <c r="L47" s="77"/>
      <c r="M47" s="77"/>
      <c r="N47" s="39"/>
      <c r="O47" s="39"/>
      <c r="P47" s="39"/>
      <c r="Q47" s="39"/>
      <c r="R47" s="77"/>
      <c r="S47" s="77"/>
      <c r="U47" s="181"/>
    </row>
    <row r="48" spans="1:21" s="176" customFormat="1">
      <c r="A48" s="233">
        <v>42</v>
      </c>
      <c r="B48" s="77"/>
      <c r="C48" s="77"/>
      <c r="D48" s="77"/>
      <c r="E48" s="77"/>
      <c r="F48" s="77"/>
      <c r="G48" s="88">
        <f t="shared" si="0"/>
        <v>0</v>
      </c>
      <c r="H48" s="77"/>
      <c r="I48" s="77"/>
      <c r="J48" s="77"/>
      <c r="K48" s="77"/>
      <c r="L48" s="77"/>
      <c r="M48" s="77"/>
      <c r="N48" s="39"/>
      <c r="O48" s="39"/>
      <c r="P48" s="39"/>
      <c r="Q48" s="39"/>
      <c r="R48" s="77"/>
      <c r="S48" s="77"/>
      <c r="U48" s="181"/>
    </row>
    <row r="49" spans="1:21" s="176" customFormat="1">
      <c r="A49" s="233">
        <v>43</v>
      </c>
      <c r="B49" s="77"/>
      <c r="C49" s="77"/>
      <c r="D49" s="77"/>
      <c r="E49" s="77"/>
      <c r="F49" s="77"/>
      <c r="G49" s="88">
        <f t="shared" si="0"/>
        <v>0</v>
      </c>
      <c r="H49" s="77"/>
      <c r="I49" s="77"/>
      <c r="J49" s="77"/>
      <c r="K49" s="77"/>
      <c r="L49" s="77"/>
      <c r="M49" s="77"/>
      <c r="N49" s="39"/>
      <c r="O49" s="39"/>
      <c r="P49" s="39"/>
      <c r="Q49" s="39"/>
      <c r="R49" s="77"/>
      <c r="S49" s="77"/>
      <c r="U49" s="181"/>
    </row>
    <row r="50" spans="1:21" s="176" customFormat="1">
      <c r="A50" s="233">
        <v>44</v>
      </c>
      <c r="B50" s="77"/>
      <c r="C50" s="77"/>
      <c r="D50" s="77"/>
      <c r="E50" s="77"/>
      <c r="F50" s="77"/>
      <c r="G50" s="88">
        <f t="shared" si="0"/>
        <v>0</v>
      </c>
      <c r="H50" s="77"/>
      <c r="I50" s="77"/>
      <c r="J50" s="77"/>
      <c r="K50" s="77"/>
      <c r="L50" s="77"/>
      <c r="M50" s="77"/>
      <c r="N50" s="39"/>
      <c r="O50" s="39"/>
      <c r="P50" s="39"/>
      <c r="Q50" s="39"/>
      <c r="R50" s="77"/>
      <c r="S50" s="77"/>
      <c r="U50" s="181"/>
    </row>
    <row r="51" spans="1:21" s="176" customFormat="1">
      <c r="A51" s="233">
        <v>45</v>
      </c>
      <c r="B51" s="77"/>
      <c r="C51" s="77"/>
      <c r="D51" s="77"/>
      <c r="E51" s="77"/>
      <c r="F51" s="77"/>
      <c r="G51" s="88">
        <f t="shared" si="0"/>
        <v>0</v>
      </c>
      <c r="H51" s="77"/>
      <c r="I51" s="77"/>
      <c r="J51" s="77"/>
      <c r="K51" s="77"/>
      <c r="L51" s="77"/>
      <c r="M51" s="77"/>
      <c r="N51" s="39"/>
      <c r="O51" s="39"/>
      <c r="P51" s="39"/>
      <c r="Q51" s="39"/>
      <c r="R51" s="77"/>
      <c r="S51" s="77"/>
      <c r="U51" s="181"/>
    </row>
    <row r="52" spans="1:21" s="176" customFormat="1">
      <c r="A52" s="233">
        <v>46</v>
      </c>
      <c r="B52" s="77"/>
      <c r="C52" s="77"/>
      <c r="D52" s="77"/>
      <c r="E52" s="77"/>
      <c r="F52" s="77"/>
      <c r="G52" s="88">
        <f t="shared" si="0"/>
        <v>0</v>
      </c>
      <c r="H52" s="77"/>
      <c r="I52" s="77"/>
      <c r="J52" s="77"/>
      <c r="K52" s="77"/>
      <c r="L52" s="77"/>
      <c r="M52" s="77"/>
      <c r="N52" s="39"/>
      <c r="O52" s="39"/>
      <c r="P52" s="39"/>
      <c r="Q52" s="39"/>
      <c r="R52" s="77"/>
      <c r="S52" s="77"/>
      <c r="U52" s="181"/>
    </row>
    <row r="53" spans="1:21" s="176" customFormat="1">
      <c r="A53" s="233">
        <v>47</v>
      </c>
      <c r="B53" s="77"/>
      <c r="C53" s="77"/>
      <c r="D53" s="77"/>
      <c r="E53" s="77"/>
      <c r="F53" s="77"/>
      <c r="G53" s="88">
        <f t="shared" si="0"/>
        <v>0</v>
      </c>
      <c r="H53" s="77"/>
      <c r="I53" s="77"/>
      <c r="J53" s="77"/>
      <c r="K53" s="77"/>
      <c r="L53" s="77"/>
      <c r="M53" s="77"/>
      <c r="N53" s="39"/>
      <c r="O53" s="39"/>
      <c r="P53" s="39"/>
      <c r="Q53" s="39"/>
      <c r="R53" s="77"/>
      <c r="S53" s="77"/>
      <c r="U53" s="181"/>
    </row>
    <row r="54" spans="1:21" s="176" customFormat="1">
      <c r="A54" s="233">
        <v>48</v>
      </c>
      <c r="B54" s="77"/>
      <c r="C54" s="77"/>
      <c r="D54" s="77"/>
      <c r="E54" s="77"/>
      <c r="F54" s="77"/>
      <c r="G54" s="88">
        <f t="shared" si="0"/>
        <v>0</v>
      </c>
      <c r="H54" s="77"/>
      <c r="I54" s="77"/>
      <c r="J54" s="77"/>
      <c r="K54" s="77"/>
      <c r="L54" s="77"/>
      <c r="M54" s="77"/>
      <c r="N54" s="39"/>
      <c r="O54" s="39"/>
      <c r="P54" s="39"/>
      <c r="Q54" s="39"/>
      <c r="R54" s="77"/>
      <c r="S54" s="77"/>
      <c r="U54" s="181"/>
    </row>
    <row r="55" spans="1:21" s="176" customFormat="1">
      <c r="A55" s="233">
        <v>49</v>
      </c>
      <c r="B55" s="77"/>
      <c r="C55" s="77"/>
      <c r="D55" s="77"/>
      <c r="E55" s="77"/>
      <c r="F55" s="77"/>
      <c r="G55" s="88">
        <f t="shared" si="0"/>
        <v>0</v>
      </c>
      <c r="H55" s="77"/>
      <c r="I55" s="77"/>
      <c r="J55" s="77"/>
      <c r="K55" s="77"/>
      <c r="L55" s="77"/>
      <c r="M55" s="77"/>
      <c r="N55" s="39"/>
      <c r="O55" s="39"/>
      <c r="P55" s="39"/>
      <c r="Q55" s="39"/>
      <c r="R55" s="77"/>
      <c r="S55" s="77"/>
      <c r="U55" s="181"/>
    </row>
    <row r="56" spans="1:21" s="176" customFormat="1">
      <c r="A56" s="233">
        <v>50</v>
      </c>
      <c r="B56" s="77"/>
      <c r="C56" s="77"/>
      <c r="D56" s="77"/>
      <c r="E56" s="77"/>
      <c r="F56" s="77"/>
      <c r="G56" s="88">
        <f t="shared" si="0"/>
        <v>0</v>
      </c>
      <c r="H56" s="77"/>
      <c r="I56" s="77"/>
      <c r="J56" s="77"/>
      <c r="K56" s="77"/>
      <c r="L56" s="77"/>
      <c r="M56" s="77"/>
      <c r="N56" s="39"/>
      <c r="O56" s="39"/>
      <c r="P56" s="39"/>
      <c r="Q56" s="39"/>
      <c r="R56" s="77"/>
      <c r="S56" s="77"/>
      <c r="U56" s="181"/>
    </row>
    <row r="57" spans="1:21" s="176" customFormat="1">
      <c r="A57" s="233">
        <v>51</v>
      </c>
      <c r="B57" s="77"/>
      <c r="C57" s="77"/>
      <c r="D57" s="77"/>
      <c r="E57" s="77"/>
      <c r="F57" s="77"/>
      <c r="G57" s="88">
        <f t="shared" si="0"/>
        <v>0</v>
      </c>
      <c r="H57" s="77"/>
      <c r="I57" s="77"/>
      <c r="J57" s="77"/>
      <c r="K57" s="77"/>
      <c r="L57" s="77"/>
      <c r="M57" s="77"/>
      <c r="N57" s="39"/>
      <c r="O57" s="39"/>
      <c r="P57" s="39"/>
      <c r="Q57" s="39"/>
      <c r="R57" s="77"/>
      <c r="S57" s="77"/>
      <c r="U57" s="181"/>
    </row>
    <row r="58" spans="1:21" s="176" customFormat="1">
      <c r="A58" s="233">
        <v>52</v>
      </c>
      <c r="B58" s="77"/>
      <c r="C58" s="77"/>
      <c r="D58" s="77"/>
      <c r="E58" s="77"/>
      <c r="F58" s="77"/>
      <c r="G58" s="88">
        <f t="shared" si="0"/>
        <v>0</v>
      </c>
      <c r="H58" s="77"/>
      <c r="I58" s="77"/>
      <c r="J58" s="77"/>
      <c r="K58" s="77"/>
      <c r="L58" s="77"/>
      <c r="M58" s="77"/>
      <c r="N58" s="39"/>
      <c r="O58" s="39"/>
      <c r="P58" s="39"/>
      <c r="Q58" s="39"/>
      <c r="R58" s="77"/>
      <c r="S58" s="77"/>
      <c r="U58" s="181"/>
    </row>
    <row r="59" spans="1:21" s="176" customFormat="1">
      <c r="A59" s="233">
        <v>53</v>
      </c>
      <c r="B59" s="77"/>
      <c r="C59" s="77"/>
      <c r="D59" s="77"/>
      <c r="E59" s="77"/>
      <c r="F59" s="77"/>
      <c r="G59" s="88">
        <f t="shared" si="0"/>
        <v>0</v>
      </c>
      <c r="H59" s="77"/>
      <c r="I59" s="77"/>
      <c r="J59" s="77"/>
      <c r="K59" s="77"/>
      <c r="L59" s="77"/>
      <c r="M59" s="77"/>
      <c r="N59" s="39"/>
      <c r="O59" s="39"/>
      <c r="P59" s="39"/>
      <c r="Q59" s="39"/>
      <c r="R59" s="77"/>
      <c r="S59" s="77"/>
      <c r="U59" s="181"/>
    </row>
    <row r="60" spans="1:21" s="176" customFormat="1">
      <c r="A60" s="233">
        <v>54</v>
      </c>
      <c r="B60" s="77"/>
      <c r="C60" s="77"/>
      <c r="D60" s="77"/>
      <c r="E60" s="77"/>
      <c r="F60" s="77"/>
      <c r="G60" s="88">
        <f t="shared" si="0"/>
        <v>0</v>
      </c>
      <c r="H60" s="77"/>
      <c r="I60" s="77"/>
      <c r="J60" s="77"/>
      <c r="K60" s="77"/>
      <c r="L60" s="77"/>
      <c r="M60" s="77"/>
      <c r="N60" s="39"/>
      <c r="O60" s="39"/>
      <c r="P60" s="39"/>
      <c r="Q60" s="39"/>
      <c r="R60" s="77"/>
      <c r="S60" s="77"/>
      <c r="U60" s="181"/>
    </row>
    <row r="61" spans="1:21" s="176" customFormat="1">
      <c r="A61" s="233">
        <v>55</v>
      </c>
      <c r="B61" s="77"/>
      <c r="C61" s="77"/>
      <c r="D61" s="77"/>
      <c r="E61" s="77"/>
      <c r="F61" s="77"/>
      <c r="G61" s="88">
        <f t="shared" si="0"/>
        <v>0</v>
      </c>
      <c r="H61" s="77"/>
      <c r="I61" s="77"/>
      <c r="J61" s="77"/>
      <c r="K61" s="77"/>
      <c r="L61" s="77"/>
      <c r="M61" s="77"/>
      <c r="N61" s="39"/>
      <c r="O61" s="39"/>
      <c r="P61" s="39"/>
      <c r="Q61" s="39"/>
      <c r="R61" s="77"/>
      <c r="S61" s="77"/>
      <c r="U61" s="181"/>
    </row>
    <row r="62" spans="1:21" s="176" customFormat="1">
      <c r="A62" s="233">
        <v>56</v>
      </c>
      <c r="B62" s="77"/>
      <c r="C62" s="77"/>
      <c r="D62" s="77"/>
      <c r="E62" s="77"/>
      <c r="F62" s="77"/>
      <c r="G62" s="88">
        <f t="shared" si="0"/>
        <v>0</v>
      </c>
      <c r="H62" s="77"/>
      <c r="I62" s="77"/>
      <c r="J62" s="77"/>
      <c r="K62" s="77"/>
      <c r="L62" s="77"/>
      <c r="M62" s="77"/>
      <c r="N62" s="39"/>
      <c r="O62" s="39"/>
      <c r="P62" s="39"/>
      <c r="Q62" s="39"/>
      <c r="R62" s="77"/>
      <c r="S62" s="77"/>
      <c r="U62" s="181"/>
    </row>
    <row r="63" spans="1:21" s="176" customFormat="1">
      <c r="A63" s="233">
        <v>57</v>
      </c>
      <c r="B63" s="77"/>
      <c r="C63" s="77"/>
      <c r="D63" s="77"/>
      <c r="E63" s="77"/>
      <c r="F63" s="77"/>
      <c r="G63" s="88">
        <f t="shared" si="0"/>
        <v>0</v>
      </c>
      <c r="H63" s="77"/>
      <c r="I63" s="77"/>
      <c r="J63" s="77"/>
      <c r="K63" s="77"/>
      <c r="L63" s="77"/>
      <c r="M63" s="77"/>
      <c r="N63" s="39"/>
      <c r="O63" s="39"/>
      <c r="P63" s="39"/>
      <c r="Q63" s="39"/>
      <c r="R63" s="77"/>
      <c r="S63" s="77"/>
      <c r="U63" s="181"/>
    </row>
    <row r="64" spans="1:21" s="176" customFormat="1">
      <c r="A64" s="233">
        <v>58</v>
      </c>
      <c r="B64" s="77"/>
      <c r="C64" s="77"/>
      <c r="D64" s="77"/>
      <c r="E64" s="77"/>
      <c r="F64" s="77"/>
      <c r="G64" s="88">
        <f t="shared" si="0"/>
        <v>0</v>
      </c>
      <c r="H64" s="77"/>
      <c r="I64" s="77"/>
      <c r="J64" s="77"/>
      <c r="K64" s="77"/>
      <c r="L64" s="77"/>
      <c r="M64" s="77"/>
      <c r="N64" s="39"/>
      <c r="O64" s="39"/>
      <c r="P64" s="39"/>
      <c r="Q64" s="39"/>
      <c r="R64" s="77"/>
      <c r="S64" s="77"/>
      <c r="U64" s="181"/>
    </row>
    <row r="65" spans="1:31" s="176" customFormat="1">
      <c r="A65" s="233">
        <v>59</v>
      </c>
      <c r="B65" s="77"/>
      <c r="C65" s="77"/>
      <c r="D65" s="77"/>
      <c r="E65" s="77"/>
      <c r="F65" s="77"/>
      <c r="G65" s="88">
        <f t="shared" si="0"/>
        <v>0</v>
      </c>
      <c r="H65" s="77"/>
      <c r="I65" s="77"/>
      <c r="J65" s="77"/>
      <c r="K65" s="77"/>
      <c r="L65" s="77"/>
      <c r="M65" s="77"/>
      <c r="N65" s="39"/>
      <c r="O65" s="39"/>
      <c r="P65" s="39"/>
      <c r="Q65" s="39"/>
      <c r="R65" s="77"/>
      <c r="S65" s="77"/>
      <c r="U65" s="181"/>
    </row>
    <row r="66" spans="1:31" s="176" customFormat="1">
      <c r="A66" s="233">
        <v>60</v>
      </c>
      <c r="B66" s="77"/>
      <c r="C66" s="77"/>
      <c r="D66" s="77"/>
      <c r="E66" s="77"/>
      <c r="F66" s="77"/>
      <c r="G66" s="88">
        <f t="shared" si="0"/>
        <v>0</v>
      </c>
      <c r="H66" s="77"/>
      <c r="I66" s="77"/>
      <c r="J66" s="77"/>
      <c r="K66" s="77"/>
      <c r="L66" s="77"/>
      <c r="M66" s="77"/>
      <c r="N66" s="39"/>
      <c r="O66" s="39"/>
      <c r="P66" s="39"/>
      <c r="Q66" s="39"/>
      <c r="R66" s="77"/>
      <c r="S66" s="77"/>
      <c r="U66" s="181"/>
    </row>
    <row r="67" spans="1:31" s="104" customFormat="1" ht="21" customHeight="1">
      <c r="A67" s="107"/>
      <c r="B67" s="108" t="s">
        <v>685</v>
      </c>
      <c r="C67" s="108"/>
      <c r="D67" s="108"/>
      <c r="E67" s="108"/>
      <c r="F67" s="109"/>
      <c r="G67" s="110">
        <f t="shared" ref="G67:M67" si="1">SUM(G7:G66)</f>
        <v>832510218</v>
      </c>
      <c r="H67" s="110">
        <f t="shared" si="1"/>
        <v>826468606</v>
      </c>
      <c r="I67" s="110">
        <f t="shared" si="1"/>
        <v>0</v>
      </c>
      <c r="J67" s="110">
        <f t="shared" si="1"/>
        <v>0</v>
      </c>
      <c r="K67" s="110">
        <f t="shared" si="1"/>
        <v>0</v>
      </c>
      <c r="L67" s="110">
        <f t="shared" si="1"/>
        <v>0</v>
      </c>
      <c r="M67" s="110">
        <f t="shared" si="1"/>
        <v>6041612</v>
      </c>
      <c r="N67" s="110"/>
      <c r="O67" s="110"/>
      <c r="P67" s="110">
        <f>SUM(P7:P66)</f>
        <v>0</v>
      </c>
      <c r="Q67" s="182"/>
      <c r="R67" s="183"/>
      <c r="S67" s="184"/>
      <c r="U67" s="185"/>
    </row>
    <row r="68" spans="1:31" s="104" customFormat="1" ht="21" customHeight="1">
      <c r="A68" s="107"/>
      <c r="B68" s="108" t="s">
        <v>686</v>
      </c>
      <c r="C68" s="108"/>
      <c r="D68" s="108"/>
      <c r="E68" s="108"/>
      <c r="F68" s="109"/>
      <c r="G68" s="65">
        <f t="shared" ref="G68:M68" si="2">MAX(G7:G66)</f>
        <v>460153398</v>
      </c>
      <c r="H68" s="65">
        <f t="shared" si="2"/>
        <v>456822406</v>
      </c>
      <c r="I68" s="65">
        <f t="shared" si="2"/>
        <v>0</v>
      </c>
      <c r="J68" s="65">
        <f t="shared" si="2"/>
        <v>0</v>
      </c>
      <c r="K68" s="65">
        <f t="shared" si="2"/>
        <v>0</v>
      </c>
      <c r="L68" s="65">
        <f t="shared" si="2"/>
        <v>0</v>
      </c>
      <c r="M68" s="65">
        <f t="shared" si="2"/>
        <v>3330992</v>
      </c>
      <c r="N68" s="65"/>
      <c r="O68" s="65"/>
      <c r="P68" s="65">
        <f>MAX(P7:P66)</f>
        <v>0</v>
      </c>
      <c r="Q68" s="186"/>
      <c r="R68" s="187"/>
      <c r="S68" s="188"/>
      <c r="U68" s="185"/>
    </row>
    <row r="69" spans="1:31" s="104" customFormat="1">
      <c r="U69" s="185"/>
    </row>
    <row r="70" spans="1:31" s="104" customFormat="1">
      <c r="U70" s="185"/>
    </row>
    <row r="71" spans="1:31" s="104" customFormat="1">
      <c r="B71" s="32" t="s">
        <v>0</v>
      </c>
      <c r="U71" s="185"/>
    </row>
    <row r="72" spans="1:31" s="104" customFormat="1">
      <c r="B72" s="32"/>
      <c r="U72" s="185"/>
    </row>
    <row r="73" spans="1:31" s="104" customFormat="1">
      <c r="B73" s="32" t="s">
        <v>1</v>
      </c>
      <c r="U73" s="185"/>
    </row>
    <row r="74" spans="1:3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U74" s="189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</row>
    <row r="75" spans="1:3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U75" s="189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</row>
    <row r="76" spans="1:3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U76" s="189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</row>
    <row r="77" spans="1:3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U77" s="189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</row>
    <row r="78" spans="1:3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U78" s="189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</row>
    <row r="79" spans="1:3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U79" s="189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</row>
    <row r="80" spans="1:3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U80" s="189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</row>
    <row r="81" spans="1:3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U81" s="189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</row>
    <row r="82" spans="1:3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U82" s="189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</row>
    <row r="83" spans="1:3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U83" s="189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</row>
    <row r="84" spans="1:3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U84" s="189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</row>
    <row r="85" spans="1:3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U85" s="189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</row>
    <row r="86" spans="1:3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U86" s="189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</row>
    <row r="87" spans="1:3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U87" s="189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</row>
    <row r="88" spans="1:3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U88" s="189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</row>
    <row r="89" spans="1:3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U89" s="189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</row>
    <row r="90" spans="1:3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U90" s="189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</row>
    <row r="91" spans="1:3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U91" s="189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</row>
    <row r="92" spans="1:3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U92" s="189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</row>
    <row r="93" spans="1:3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U93" s="189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</row>
    <row r="94" spans="1:3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U94" s="189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</row>
    <row r="95" spans="1:3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U95" s="189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</row>
    <row r="96" spans="1:3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U96" s="189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</row>
    <row r="97" spans="1:3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U97" s="189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</row>
    <row r="98" spans="1:3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U98" s="189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</row>
    <row r="99" spans="1:3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U99" s="189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</row>
    <row r="100" spans="1:3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U100" s="189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</row>
    <row r="101" spans="1:3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U101" s="189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</row>
    <row r="102" spans="1:3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U102" s="189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</row>
    <row r="103" spans="1:3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U103" s="189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</row>
    <row r="104" spans="1:3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U104" s="189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</row>
    <row r="105" spans="1:3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U105" s="189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</row>
    <row r="106" spans="1:3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U106" s="189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</row>
    <row r="107" spans="1:3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U107" s="189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</row>
  </sheetData>
  <sheetProtection password="CACA" sheet="1" objects="1" scenarios="1"/>
  <mergeCells count="15">
    <mergeCell ref="A1:R1"/>
    <mergeCell ref="O4:P4"/>
    <mergeCell ref="A4:A5"/>
    <mergeCell ref="B4:B5"/>
    <mergeCell ref="R4:R5"/>
    <mergeCell ref="N3:P3"/>
    <mergeCell ref="S4:S5"/>
    <mergeCell ref="Q4:Q5"/>
    <mergeCell ref="N4:N5"/>
    <mergeCell ref="C4:C5"/>
    <mergeCell ref="D4:D5"/>
    <mergeCell ref="E4:E5"/>
    <mergeCell ref="F4:F5"/>
    <mergeCell ref="G4:G5"/>
    <mergeCell ref="H4:M4"/>
  </mergeCells>
  <phoneticPr fontId="17" type="noConversion"/>
  <printOptions horizontalCentered="1"/>
  <pageMargins left="0.15748031496062992" right="0.19685039370078741" top="0.49" bottom="0.19685039370078741" header="0.51181102362204722" footer="0.51181102362204722"/>
  <pageSetup paperSize="9" scale="52" orientation="landscape" r:id="rId1"/>
  <headerFooter alignWithMargins="0"/>
  <ignoredErrors>
    <ignoredError sqref="G57:G66 G37:G56 G11:G36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3">
    <pageSetUpPr fitToPage="1"/>
  </sheetPr>
  <dimension ref="A1:L31"/>
  <sheetViews>
    <sheetView zoomScaleSheetLayoutView="70" workbookViewId="0">
      <selection activeCell="C24" sqref="C24"/>
    </sheetView>
  </sheetViews>
  <sheetFormatPr defaultColWidth="9.42578125" defaultRowHeight="15"/>
  <cols>
    <col min="1" max="1" width="34.28515625" style="25" customWidth="1"/>
    <col min="2" max="2" width="16.5703125" style="25" customWidth="1"/>
    <col min="3" max="3" width="17.5703125" style="25" customWidth="1"/>
    <col min="4" max="4" width="16.5703125" style="25" customWidth="1"/>
    <col min="5" max="5" width="17.5703125" style="25" customWidth="1"/>
    <col min="6" max="6" width="17.5703125" style="25" bestFit="1" customWidth="1"/>
    <col min="7" max="8" width="13.5703125" style="97" customWidth="1"/>
    <col min="9" max="16384" width="9.42578125" style="25"/>
  </cols>
  <sheetData>
    <row r="1" spans="1:8" s="21" customFormat="1" ht="52.5" customHeight="1">
      <c r="A1" s="708" t="s">
        <v>698</v>
      </c>
      <c r="B1" s="708"/>
      <c r="C1" s="708"/>
      <c r="D1" s="708"/>
      <c r="E1" s="86" t="s">
        <v>642</v>
      </c>
      <c r="F1" s="26"/>
      <c r="G1" s="98"/>
      <c r="H1" s="99"/>
    </row>
    <row r="2" spans="1:8" s="1" customFormat="1" ht="15.75" customHeight="1">
      <c r="A2" s="38"/>
      <c r="C2" s="16"/>
      <c r="G2" s="100"/>
      <c r="H2" s="100"/>
    </row>
    <row r="3" spans="1:8" s="1" customFormat="1" ht="16.5" customHeight="1">
      <c r="A3" s="27" t="s">
        <v>202</v>
      </c>
      <c r="B3" s="709" t="str">
        <f>+'Asset quality'!B3</f>
        <v>АКБ "Микрокредитбанк"</v>
      </c>
      <c r="C3" s="710"/>
      <c r="E3" s="216">
        <f>+'Asset quality'!P3</f>
        <v>44196</v>
      </c>
      <c r="G3" s="100"/>
      <c r="H3" s="100"/>
    </row>
    <row r="4" spans="1:8" s="28" customFormat="1" ht="24.75" customHeight="1">
      <c r="A4" s="711" t="s">
        <v>91</v>
      </c>
      <c r="B4" s="699" t="s">
        <v>203</v>
      </c>
      <c r="C4" s="701"/>
      <c r="D4" s="699" t="s">
        <v>204</v>
      </c>
      <c r="E4" s="701"/>
      <c r="G4" s="101"/>
      <c r="H4" s="101"/>
    </row>
    <row r="5" spans="1:8" s="28" customFormat="1" ht="31.5" customHeight="1">
      <c r="A5" s="711"/>
      <c r="B5" s="252" t="s">
        <v>152</v>
      </c>
      <c r="C5" s="252" t="s">
        <v>205</v>
      </c>
      <c r="D5" s="252" t="s">
        <v>152</v>
      </c>
      <c r="E5" s="252" t="s">
        <v>205</v>
      </c>
      <c r="G5" s="101"/>
      <c r="H5" s="101"/>
    </row>
    <row r="6" spans="1:8" s="29" customFormat="1">
      <c r="A6" s="252" t="s">
        <v>182</v>
      </c>
      <c r="B6" s="252" t="s">
        <v>183</v>
      </c>
      <c r="C6" s="252" t="s">
        <v>200</v>
      </c>
      <c r="D6" s="252" t="s">
        <v>184</v>
      </c>
      <c r="E6" s="252" t="s">
        <v>185</v>
      </c>
      <c r="G6" s="102"/>
      <c r="H6" s="102"/>
    </row>
    <row r="7" spans="1:8" ht="19.5" customHeight="1">
      <c r="A7" s="261" t="s">
        <v>206</v>
      </c>
      <c r="B7" s="17">
        <v>1110282</v>
      </c>
      <c r="C7" s="17">
        <v>0</v>
      </c>
      <c r="D7" s="225">
        <v>198745</v>
      </c>
      <c r="E7" s="17">
        <v>0</v>
      </c>
    </row>
    <row r="8" spans="1:8" ht="19.5" customHeight="1">
      <c r="A8" s="261" t="s">
        <v>207</v>
      </c>
      <c r="B8" s="17">
        <v>2759996</v>
      </c>
      <c r="C8" s="17">
        <v>0</v>
      </c>
      <c r="D8" s="225">
        <v>738137</v>
      </c>
      <c r="E8" s="17">
        <v>0</v>
      </c>
    </row>
    <row r="9" spans="1:8" ht="19.5" customHeight="1">
      <c r="A9" s="261" t="s">
        <v>208</v>
      </c>
      <c r="B9" s="17">
        <v>5845263</v>
      </c>
      <c r="C9" s="17">
        <v>0</v>
      </c>
      <c r="D9" s="17">
        <v>909893</v>
      </c>
      <c r="E9" s="17">
        <v>0</v>
      </c>
    </row>
    <row r="10" spans="1:8" ht="19.5" customHeight="1">
      <c r="A10" s="261" t="s">
        <v>209</v>
      </c>
      <c r="B10" s="17">
        <v>2355357</v>
      </c>
      <c r="C10" s="17">
        <v>0</v>
      </c>
      <c r="D10" s="17">
        <v>48614</v>
      </c>
      <c r="E10" s="17">
        <v>0</v>
      </c>
    </row>
    <row r="11" spans="1:8" ht="25.5" customHeight="1">
      <c r="A11" s="261" t="s">
        <v>210</v>
      </c>
      <c r="B11" s="17">
        <v>7635815</v>
      </c>
      <c r="C11" s="17">
        <v>0</v>
      </c>
      <c r="D11" s="17">
        <v>2025420</v>
      </c>
      <c r="E11" s="17">
        <v>0</v>
      </c>
    </row>
    <row r="12" spans="1:8" ht="30.75" customHeight="1">
      <c r="A12" s="261" t="s">
        <v>211</v>
      </c>
      <c r="B12" s="17">
        <v>0</v>
      </c>
      <c r="C12" s="17">
        <v>0</v>
      </c>
      <c r="D12" s="17">
        <v>0</v>
      </c>
      <c r="E12" s="17">
        <v>0</v>
      </c>
    </row>
    <row r="13" spans="1:8" ht="19.5" customHeight="1">
      <c r="A13" s="261" t="s">
        <v>212</v>
      </c>
      <c r="B13" s="17">
        <v>0</v>
      </c>
      <c r="C13" s="17">
        <v>0</v>
      </c>
      <c r="D13" s="17">
        <v>0</v>
      </c>
      <c r="E13" s="17">
        <v>0</v>
      </c>
    </row>
    <row r="14" spans="1:8" ht="19.5" customHeight="1">
      <c r="A14" s="261" t="s">
        <v>213</v>
      </c>
      <c r="B14" s="17">
        <v>3125301</v>
      </c>
      <c r="C14" s="17">
        <v>0</v>
      </c>
      <c r="D14" s="17">
        <v>393776</v>
      </c>
      <c r="E14" s="17">
        <v>0</v>
      </c>
    </row>
    <row r="15" spans="1:8" ht="19.5" customHeight="1">
      <c r="A15" s="262" t="s">
        <v>214</v>
      </c>
      <c r="B15" s="263">
        <f>SUM(B7:B14)</f>
        <v>22832014</v>
      </c>
      <c r="C15" s="263">
        <f>SUM(C7:C14)</f>
        <v>0</v>
      </c>
      <c r="D15" s="263">
        <f>SUM(D7:D14)</f>
        <v>4314585</v>
      </c>
      <c r="E15" s="263">
        <f>SUM(E7:E14)</f>
        <v>0</v>
      </c>
    </row>
    <row r="16" spans="1:8">
      <c r="A16" s="13"/>
      <c r="B16" s="23"/>
      <c r="C16" s="23"/>
      <c r="D16" s="23"/>
      <c r="E16" s="23"/>
    </row>
    <row r="17" spans="1:12">
      <c r="A17" s="13"/>
      <c r="B17" s="13"/>
      <c r="C17" s="13"/>
      <c r="D17" s="13"/>
      <c r="E17" s="13"/>
    </row>
    <row r="18" spans="1:12">
      <c r="A18" s="30" t="s">
        <v>215</v>
      </c>
      <c r="B18" s="23"/>
      <c r="C18" s="23"/>
      <c r="D18" s="23"/>
      <c r="E18" s="23"/>
    </row>
    <row r="19" spans="1:12">
      <c r="A19" s="254" t="s">
        <v>216</v>
      </c>
      <c r="B19" s="30"/>
      <c r="C19" s="23"/>
      <c r="D19" s="23"/>
      <c r="E19" s="13"/>
      <c r="F19" s="31"/>
    </row>
    <row r="20" spans="1:12" ht="19.5" customHeight="1">
      <c r="A20" s="706" t="s">
        <v>217</v>
      </c>
      <c r="B20" s="707"/>
      <c r="C20" s="39">
        <v>119925695</v>
      </c>
      <c r="D20" s="35"/>
      <c r="E20" s="23"/>
    </row>
    <row r="21" spans="1:12" ht="19.5" customHeight="1">
      <c r="A21" s="706" t="s">
        <v>218</v>
      </c>
      <c r="B21" s="707"/>
      <c r="C21" s="264">
        <f>D15</f>
        <v>4314585</v>
      </c>
      <c r="D21" s="35"/>
      <c r="E21" s="23"/>
    </row>
    <row r="22" spans="1:12" ht="19.5" customHeight="1">
      <c r="A22" s="706" t="s">
        <v>219</v>
      </c>
      <c r="B22" s="707">
        <v>0</v>
      </c>
      <c r="C22" s="265">
        <f>B15</f>
        <v>22832014</v>
      </c>
      <c r="D22" s="35"/>
      <c r="E22" s="23"/>
      <c r="H22" s="177"/>
    </row>
    <row r="23" spans="1:12" ht="29.25" customHeight="1">
      <c r="A23" s="706" t="s">
        <v>220</v>
      </c>
      <c r="B23" s="707"/>
      <c r="C23" s="39">
        <f>+'Income '!C31</f>
        <v>199222532</v>
      </c>
      <c r="D23" s="35"/>
      <c r="E23" s="23"/>
      <c r="H23" s="177"/>
    </row>
    <row r="24" spans="1:12" ht="19.5" customHeight="1">
      <c r="A24" s="706" t="s">
        <v>221</v>
      </c>
      <c r="B24" s="707"/>
      <c r="C24" s="39">
        <v>-103236646</v>
      </c>
      <c r="D24" s="35"/>
      <c r="E24" s="23"/>
      <c r="F24" s="103"/>
      <c r="G24" s="103"/>
      <c r="H24" s="178"/>
      <c r="I24" s="103"/>
      <c r="J24" s="103"/>
      <c r="K24" s="103"/>
      <c r="L24" s="103"/>
    </row>
    <row r="25" spans="1:12" ht="19.5" customHeight="1">
      <c r="A25" s="706" t="s">
        <v>222</v>
      </c>
      <c r="B25" s="707"/>
      <c r="C25" s="264">
        <f>SUM(C20:C21)-C22+SUM(C23:C24)</f>
        <v>197394152</v>
      </c>
      <c r="F25" s="652">
        <f>+'Asset Classification'!Y50</f>
        <v>197394152</v>
      </c>
      <c r="G25" s="103"/>
      <c r="H25" s="178"/>
      <c r="I25" s="103"/>
      <c r="J25" s="103"/>
      <c r="K25" s="103"/>
      <c r="L25" s="103"/>
    </row>
    <row r="26" spans="1:12">
      <c r="A26" s="1"/>
      <c r="B26" s="1"/>
      <c r="C26" s="1"/>
      <c r="D26" s="2"/>
      <c r="E26" s="1"/>
      <c r="F26" s="103"/>
      <c r="G26" s="103"/>
      <c r="H26" s="178"/>
      <c r="I26" s="103"/>
      <c r="J26" s="103"/>
      <c r="K26" s="103"/>
      <c r="L26" s="103"/>
    </row>
    <row r="27" spans="1:12">
      <c r="A27" s="1"/>
      <c r="B27" s="1"/>
      <c r="C27" s="1"/>
      <c r="D27" s="2"/>
      <c r="E27" s="1"/>
      <c r="F27" s="103"/>
      <c r="G27" s="103"/>
      <c r="H27" s="178"/>
      <c r="I27" s="103"/>
      <c r="J27" s="103"/>
      <c r="K27" s="103"/>
      <c r="L27" s="103"/>
    </row>
    <row r="28" spans="1:12">
      <c r="A28" s="5" t="s">
        <v>0</v>
      </c>
      <c r="B28" s="1"/>
      <c r="C28" s="1"/>
      <c r="D28" s="1"/>
      <c r="E28" s="1"/>
      <c r="H28" s="177"/>
    </row>
    <row r="29" spans="1:12">
      <c r="A29" s="5"/>
      <c r="B29" s="1"/>
      <c r="C29" s="1"/>
      <c r="D29" s="1"/>
      <c r="E29" s="1"/>
      <c r="H29" s="177"/>
    </row>
    <row r="30" spans="1:12">
      <c r="A30" s="5" t="s">
        <v>1</v>
      </c>
      <c r="B30" s="1"/>
      <c r="C30" s="1"/>
      <c r="D30" s="1"/>
      <c r="E30" s="1"/>
    </row>
    <row r="31" spans="1:12">
      <c r="A31" s="1"/>
      <c r="B31" s="1"/>
      <c r="C31" s="1"/>
      <c r="D31" s="1"/>
      <c r="E31" s="1"/>
    </row>
  </sheetData>
  <sheetProtection password="CACA" sheet="1" objects="1" scenarios="1"/>
  <mergeCells count="11">
    <mergeCell ref="A1:D1"/>
    <mergeCell ref="B3:C3"/>
    <mergeCell ref="A4:A5"/>
    <mergeCell ref="A20:B20"/>
    <mergeCell ref="A22:B22"/>
    <mergeCell ref="A24:B24"/>
    <mergeCell ref="A25:B25"/>
    <mergeCell ref="A21:B21"/>
    <mergeCell ref="B4:C4"/>
    <mergeCell ref="D4:E4"/>
    <mergeCell ref="A23:B23"/>
  </mergeCells>
  <phoneticPr fontId="17" type="noConversion"/>
  <conditionalFormatting sqref="H25">
    <cfRule type="cellIs" dxfId="124" priority="3" operator="notEqual">
      <formula>$H$25</formula>
    </cfRule>
  </conditionalFormatting>
  <conditionalFormatting sqref="C25">
    <cfRule type="cellIs" dxfId="123" priority="1" operator="notEqual">
      <formula>$F$25</formula>
    </cfRule>
  </conditionalFormatting>
  <dataValidations xWindow="443" yWindow="845" count="3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7:E14" xr:uid="{00000000-0002-0000-0900-000000000000}">
      <formula1>-1E+22</formula1>
      <formula2>1E+22</formula2>
    </dataValidation>
    <dataValidation allowBlank="1" showInputMessage="1" showErrorMessage="1" prompt="Если значение в ячейке не равно значению оценки резерва по ссудам (отчет о прибылях и убытках), то ячейка окрасится" sqref="C23" xr:uid="{00000000-0002-0000-0900-000001000000}"/>
    <dataValidation type="whole" operator="greaterThanOrEqual" allowBlank="1" showInputMessage="1" showErrorMessage="1" prompt="Ввести как положительное число." sqref="C22" xr:uid="{00000000-0002-0000-0900-000002000000}">
      <formula1>0</formula1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9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23">
    <pageSetUpPr fitToPage="1"/>
  </sheetPr>
  <dimension ref="A1:L59"/>
  <sheetViews>
    <sheetView zoomScale="75" zoomScaleNormal="75" zoomScaleSheetLayoutView="70" workbookViewId="0">
      <pane xSplit="2" ySplit="7" topLeftCell="C33" activePane="bottomRight" state="frozen"/>
      <selection activeCell="C72" sqref="C72"/>
      <selection pane="topRight" activeCell="C72" sqref="C72"/>
      <selection pane="bottomLeft" activeCell="C72" sqref="C72"/>
      <selection pane="bottomRight" activeCell="A49" sqref="A49"/>
    </sheetView>
  </sheetViews>
  <sheetFormatPr defaultRowHeight="15.75"/>
  <cols>
    <col min="1" max="1" width="10.140625" style="170" customWidth="1"/>
    <col min="2" max="2" width="52" style="170" customWidth="1"/>
    <col min="3" max="3" width="18.5703125" style="170" customWidth="1"/>
    <col min="4" max="4" width="20.42578125" style="241" customWidth="1"/>
    <col min="5" max="5" width="18.5703125" style="170" customWidth="1"/>
    <col min="6" max="6" width="20.42578125" style="170" customWidth="1"/>
    <col min="7" max="7" width="18.5703125" style="170" customWidth="1"/>
    <col min="8" max="8" width="20.42578125" style="170" customWidth="1"/>
    <col min="9" max="9" width="9.140625" style="170"/>
    <col min="10" max="12" width="16.85546875" style="170" customWidth="1"/>
    <col min="13" max="16384" width="9.140625" style="170"/>
  </cols>
  <sheetData>
    <row r="1" spans="1:12" s="175" customFormat="1" ht="37.5" customHeight="1">
      <c r="A1" s="712" t="s">
        <v>683</v>
      </c>
      <c r="B1" s="712"/>
      <c r="C1" s="712"/>
      <c r="D1" s="712"/>
      <c r="E1" s="712"/>
      <c r="F1" s="712"/>
      <c r="G1" s="712"/>
      <c r="H1" s="226" t="s">
        <v>643</v>
      </c>
    </row>
    <row r="2" spans="1:12" ht="19.5" customHeight="1">
      <c r="B2" s="716"/>
      <c r="C2" s="716"/>
      <c r="D2" s="716"/>
      <c r="E2" s="716"/>
      <c r="F2" s="716"/>
      <c r="G2" s="716"/>
      <c r="H2" s="716"/>
    </row>
    <row r="3" spans="1:12" ht="19.5" customHeight="1">
      <c r="B3" s="214" t="str">
        <f>+'Asset quality'!B3</f>
        <v>АКБ "Микрокредитбанк"</v>
      </c>
      <c r="C3" s="227"/>
      <c r="D3" s="239"/>
      <c r="F3" s="724">
        <f>+'Asset quality'!P3</f>
        <v>44196</v>
      </c>
      <c r="G3" s="724"/>
      <c r="H3" s="215" t="s">
        <v>408</v>
      </c>
    </row>
    <row r="4" spans="1:12" s="171" customFormat="1" ht="29.25" customHeight="1">
      <c r="A4" s="713" t="s">
        <v>83</v>
      </c>
      <c r="B4" s="713" t="s">
        <v>667</v>
      </c>
      <c r="C4" s="717" t="s">
        <v>656</v>
      </c>
      <c r="D4" s="718"/>
      <c r="E4" s="721" t="s">
        <v>657</v>
      </c>
      <c r="F4" s="722"/>
      <c r="G4" s="722"/>
      <c r="H4" s="723"/>
    </row>
    <row r="5" spans="1:12" s="171" customFormat="1" ht="30" customHeight="1">
      <c r="A5" s="714"/>
      <c r="B5" s="714"/>
      <c r="C5" s="719"/>
      <c r="D5" s="720"/>
      <c r="E5" s="721" t="s">
        <v>669</v>
      </c>
      <c r="F5" s="723"/>
      <c r="G5" s="721" t="s">
        <v>205</v>
      </c>
      <c r="H5" s="723"/>
    </row>
    <row r="6" spans="1:12" s="171" customFormat="1" ht="55.5" customHeight="1">
      <c r="A6" s="714"/>
      <c r="B6" s="715"/>
      <c r="C6" s="266" t="s">
        <v>666</v>
      </c>
      <c r="D6" s="266" t="s">
        <v>660</v>
      </c>
      <c r="E6" s="266" t="s">
        <v>666</v>
      </c>
      <c r="F6" s="266" t="s">
        <v>660</v>
      </c>
      <c r="G6" s="266" t="s">
        <v>666</v>
      </c>
      <c r="H6" s="266" t="s">
        <v>660</v>
      </c>
    </row>
    <row r="7" spans="1:12" s="171" customFormat="1">
      <c r="A7" s="715"/>
      <c r="B7" s="266" t="s">
        <v>182</v>
      </c>
      <c r="C7" s="355" t="s">
        <v>183</v>
      </c>
      <c r="D7" s="266" t="s">
        <v>200</v>
      </c>
      <c r="E7" s="266" t="s">
        <v>184</v>
      </c>
      <c r="F7" s="266" t="s">
        <v>185</v>
      </c>
      <c r="G7" s="266" t="s">
        <v>201</v>
      </c>
      <c r="H7" s="266" t="s">
        <v>186</v>
      </c>
    </row>
    <row r="8" spans="1:12" s="171" customFormat="1" ht="24" customHeight="1">
      <c r="A8" s="203">
        <v>1</v>
      </c>
      <c r="B8" s="269" t="s">
        <v>710</v>
      </c>
      <c r="C8" s="340">
        <f>SUM(C10:C14)</f>
        <v>1419345990</v>
      </c>
      <c r="D8" s="341">
        <f>IFERROR(((C10*D10)/C8)+((C11*D11)/C8)+((C12*D12)/C8)+((C13*D13)/C8)+((C14*D14)/C8),0)</f>
        <v>0.12218274914453862</v>
      </c>
      <c r="E8" s="340">
        <f>SUM(E10:E14)</f>
        <v>1419345990</v>
      </c>
      <c r="F8" s="341">
        <f>IFERROR(((E10*F10)/E8)+((E11*F11)/E8)+((E12*F12)/E8)+((E13*F13)/E8)+((E14*F14)/E8),0)</f>
        <v>0.12218274914453862</v>
      </c>
      <c r="G8" s="340">
        <f>SUM(G10:G14)</f>
        <v>0</v>
      </c>
      <c r="H8" s="341">
        <f>IFERROR(((G10*H10)/G8)+((G11*H11)/G8)+((G12*H12)/G8)+((G13*H13)/G8)+((G14*H14)/G8),0)</f>
        <v>0</v>
      </c>
      <c r="J8" s="521">
        <f>+C8+C16+C24+C33</f>
        <v>8539798556</v>
      </c>
      <c r="K8" s="521">
        <f>+E8+E16+E24+E33</f>
        <v>5723274181</v>
      </c>
      <c r="L8" s="521">
        <f>+G8+G16+G24+G33</f>
        <v>2816524375</v>
      </c>
    </row>
    <row r="9" spans="1:12" s="171" customFormat="1" ht="17.25" customHeight="1">
      <c r="A9" s="203"/>
      <c r="B9" s="270" t="s">
        <v>668</v>
      </c>
      <c r="C9" s="338"/>
      <c r="D9" s="228"/>
      <c r="E9" s="338"/>
      <c r="F9" s="228"/>
      <c r="G9" s="338"/>
      <c r="H9" s="228"/>
      <c r="J9" s="521">
        <f>+'loans type'!C8</f>
        <v>8539798556</v>
      </c>
      <c r="K9" s="521">
        <f>+'loans type'!E8</f>
        <v>5723274181</v>
      </c>
      <c r="L9" s="521">
        <f>+'loans type'!G8</f>
        <v>2816524375</v>
      </c>
    </row>
    <row r="10" spans="1:12" s="171" customFormat="1" ht="24" customHeight="1">
      <c r="A10" s="174" t="s">
        <v>268</v>
      </c>
      <c r="B10" s="271" t="s">
        <v>658</v>
      </c>
      <c r="C10" s="338">
        <f>+E10+G10</f>
        <v>126837780</v>
      </c>
      <c r="D10" s="646">
        <v>0.14703760389649531</v>
      </c>
      <c r="E10" s="647">
        <v>126837780</v>
      </c>
      <c r="F10" s="646">
        <v>0.14703760389649531</v>
      </c>
      <c r="G10" s="339"/>
      <c r="H10" s="243"/>
      <c r="J10" s="521">
        <f>+J8-J9</f>
        <v>0</v>
      </c>
      <c r="K10" s="521">
        <f>+K8-K9</f>
        <v>0</v>
      </c>
      <c r="L10" s="521">
        <f>+L8-L9</f>
        <v>0</v>
      </c>
    </row>
    <row r="11" spans="1:12" s="171" customFormat="1" ht="24" customHeight="1">
      <c r="A11" s="174" t="s">
        <v>269</v>
      </c>
      <c r="B11" s="271" t="s">
        <v>659</v>
      </c>
      <c r="C11" s="338">
        <f>+E11+G11</f>
        <v>29174</v>
      </c>
      <c r="D11" s="646">
        <v>0.16000000000000003</v>
      </c>
      <c r="E11" s="647">
        <v>29174</v>
      </c>
      <c r="F11" s="646">
        <v>0.16000000000000003</v>
      </c>
      <c r="G11" s="339"/>
      <c r="H11" s="243"/>
    </row>
    <row r="12" spans="1:12" s="171" customFormat="1" ht="24" customHeight="1">
      <c r="A12" s="174" t="s">
        <v>270</v>
      </c>
      <c r="B12" s="271" t="s">
        <v>821</v>
      </c>
      <c r="C12" s="338">
        <f>+E12+G12</f>
        <v>244675</v>
      </c>
      <c r="D12" s="646">
        <v>0.1559946943209892</v>
      </c>
      <c r="E12" s="647">
        <v>244675</v>
      </c>
      <c r="F12" s="646">
        <v>0.1559946943209892</v>
      </c>
      <c r="G12" s="339"/>
      <c r="H12" s="243"/>
    </row>
    <row r="13" spans="1:12" s="171" customFormat="1" ht="24" customHeight="1">
      <c r="A13" s="174" t="s">
        <v>274</v>
      </c>
      <c r="B13" s="271" t="s">
        <v>677</v>
      </c>
      <c r="C13" s="338">
        <f>+E13+G13</f>
        <v>6500772</v>
      </c>
      <c r="D13" s="646">
        <v>8.7984682857786767E-2</v>
      </c>
      <c r="E13" s="647">
        <v>6500772</v>
      </c>
      <c r="F13" s="646">
        <v>8.7984682857786767E-2</v>
      </c>
      <c r="G13" s="339"/>
      <c r="H13" s="243"/>
    </row>
    <row r="14" spans="1:12" s="171" customFormat="1" ht="24" customHeight="1">
      <c r="A14" s="174" t="s">
        <v>275</v>
      </c>
      <c r="B14" s="271" t="s">
        <v>665</v>
      </c>
      <c r="C14" s="338">
        <f>+E14+G14</f>
        <v>1285733589</v>
      </c>
      <c r="D14" s="646">
        <v>0.11989643025973885</v>
      </c>
      <c r="E14" s="647">
        <v>1285733589</v>
      </c>
      <c r="F14" s="646">
        <v>0.11989643025973885</v>
      </c>
      <c r="G14" s="339"/>
      <c r="H14" s="243"/>
    </row>
    <row r="15" spans="1:12" s="171" customFormat="1">
      <c r="A15" s="172"/>
      <c r="B15" s="272"/>
      <c r="C15" s="338"/>
      <c r="D15" s="240"/>
      <c r="E15" s="338"/>
      <c r="F15" s="242"/>
      <c r="G15" s="338"/>
      <c r="H15" s="242"/>
    </row>
    <row r="16" spans="1:12" s="171" customFormat="1" ht="24" customHeight="1">
      <c r="A16" s="200">
        <v>2</v>
      </c>
      <c r="B16" s="269" t="s">
        <v>712</v>
      </c>
      <c r="C16" s="340">
        <f>SUM(C18:C22)</f>
        <v>976464757</v>
      </c>
      <c r="D16" s="341">
        <f>IFERROR(((C18*D18)/C16)+((C19*D19)/C16)+((C20*D20)/C16)+((C21*D21)/C16)+((C22*D22)/C16),0)</f>
        <v>0.25525121740908202</v>
      </c>
      <c r="E16" s="340">
        <f>SUM(E18:E22)</f>
        <v>976464757</v>
      </c>
      <c r="F16" s="341">
        <f>IFERROR(((E18*F18)/E16)+((E19*F19)/E16)+((E20*F20)/E16)+((E21*F21)/E16)+((E22*F22)/E16),0)</f>
        <v>0.25525121740908202</v>
      </c>
      <c r="G16" s="340">
        <f>SUM(G18:G22)</f>
        <v>0</v>
      </c>
      <c r="H16" s="341">
        <f>IFERROR(((G18*H18)/G16)+((G19*H19)/G16)+((G20*H20)/G16)+((G21*H21)/G16)+((G22*H22)/G16),0)</f>
        <v>0</v>
      </c>
    </row>
    <row r="17" spans="1:8" s="171" customFormat="1" ht="17.25" customHeight="1">
      <c r="A17" s="173"/>
      <c r="B17" s="270" t="s">
        <v>668</v>
      </c>
      <c r="C17" s="338"/>
      <c r="D17" s="228"/>
      <c r="E17" s="338"/>
      <c r="F17" s="228"/>
      <c r="G17" s="338"/>
      <c r="H17" s="228"/>
    </row>
    <row r="18" spans="1:8" s="171" customFormat="1" ht="24" customHeight="1">
      <c r="A18" s="174" t="s">
        <v>281</v>
      </c>
      <c r="B18" s="271" t="s">
        <v>658</v>
      </c>
      <c r="C18" s="338">
        <f>+E18+G18</f>
        <v>183289903</v>
      </c>
      <c r="D18" s="646">
        <v>0.17927133018043184</v>
      </c>
      <c r="E18" s="647">
        <v>183289903</v>
      </c>
      <c r="F18" s="646">
        <v>0.17927133018043184</v>
      </c>
      <c r="G18" s="339"/>
      <c r="H18" s="243"/>
    </row>
    <row r="19" spans="1:8" s="171" customFormat="1" ht="24" customHeight="1">
      <c r="A19" s="174" t="s">
        <v>282</v>
      </c>
      <c r="B19" s="271" t="s">
        <v>659</v>
      </c>
      <c r="C19" s="338">
        <f>+E19+G19</f>
        <v>163308302</v>
      </c>
      <c r="D19" s="646">
        <v>0.27887113572610212</v>
      </c>
      <c r="E19" s="647">
        <v>163308302</v>
      </c>
      <c r="F19" s="646">
        <v>0.27887113572610212</v>
      </c>
      <c r="G19" s="339"/>
      <c r="H19" s="243"/>
    </row>
    <row r="20" spans="1:8" s="171" customFormat="1" ht="24" customHeight="1">
      <c r="A20" s="174" t="s">
        <v>284</v>
      </c>
      <c r="B20" s="271" t="s">
        <v>821</v>
      </c>
      <c r="C20" s="338">
        <f>+E20+G20</f>
        <v>298967055</v>
      </c>
      <c r="D20" s="646">
        <v>0.26226287846666785</v>
      </c>
      <c r="E20" s="647">
        <v>298967055</v>
      </c>
      <c r="F20" s="646">
        <v>0.26226287846666785</v>
      </c>
      <c r="G20" s="339"/>
      <c r="H20" s="243"/>
    </row>
    <row r="21" spans="1:8" s="171" customFormat="1" ht="24" customHeight="1">
      <c r="A21" s="174" t="s">
        <v>286</v>
      </c>
      <c r="B21" s="271" t="s">
        <v>677</v>
      </c>
      <c r="C21" s="338">
        <f>+E21+G21</f>
        <v>328470837</v>
      </c>
      <c r="D21" s="646">
        <v>0.27964000662394228</v>
      </c>
      <c r="E21" s="647">
        <v>328470837</v>
      </c>
      <c r="F21" s="646">
        <v>0.27964000662394228</v>
      </c>
      <c r="G21" s="339"/>
      <c r="H21" s="243"/>
    </row>
    <row r="22" spans="1:8" s="171" customFormat="1" ht="24" customHeight="1">
      <c r="A22" s="174" t="s">
        <v>671</v>
      </c>
      <c r="B22" s="271" t="s">
        <v>665</v>
      </c>
      <c r="C22" s="338">
        <f>+E22+G22</f>
        <v>2428660</v>
      </c>
      <c r="D22" s="646">
        <v>0.23950415626943333</v>
      </c>
      <c r="E22" s="647">
        <v>2428660</v>
      </c>
      <c r="F22" s="646">
        <v>0.23950415626943333</v>
      </c>
      <c r="G22" s="339"/>
      <c r="H22" s="243"/>
    </row>
    <row r="23" spans="1:8" s="171" customFormat="1">
      <c r="A23" s="172"/>
      <c r="B23" s="272"/>
      <c r="C23" s="338"/>
      <c r="D23" s="240"/>
      <c r="E23" s="338"/>
      <c r="F23" s="242"/>
      <c r="G23" s="338"/>
      <c r="H23" s="242"/>
    </row>
    <row r="24" spans="1:8" s="171" customFormat="1" ht="36.75" customHeight="1">
      <c r="A24" s="200">
        <v>3</v>
      </c>
      <c r="B24" s="269" t="s">
        <v>711</v>
      </c>
      <c r="C24" s="340">
        <f>SUM(C26:C31)</f>
        <v>4434005893</v>
      </c>
      <c r="D24" s="341">
        <f>IFERROR(((C26*D26)/C24)+((C27*D27)/C24)+((C28*D28)/C24)+((C29*D29)/C24)+((C30*D30)/C24)+((C31*D31)/C24),0)</f>
        <v>0.1014562865856513</v>
      </c>
      <c r="E24" s="340">
        <f>SUM(E26:E31)</f>
        <v>1617481518</v>
      </c>
      <c r="F24" s="341">
        <f>IFERROR(((E26*F26)/E24)+((E27*F27)/E24)+((E28*F28)/E24)+((E29*F29)/E24)+((E30*F30)/E24)+((E31*F31)/E24),0)</f>
        <v>0.11360976274069105</v>
      </c>
      <c r="G24" s="340">
        <f>SUM(G26:G31)</f>
        <v>2816524375</v>
      </c>
      <c r="H24" s="341">
        <f>IFERROR(((G26*H26)/G24)+((G27*H27)/G24)+((G28*H28)/G24)+((G29*H29)/G24)+((G30*H30)/G24)+((G31*H31)/G24),0)</f>
        <v>9.4617740174260861E-2</v>
      </c>
    </row>
    <row r="25" spans="1:8" s="171" customFormat="1">
      <c r="A25" s="173"/>
      <c r="B25" s="270" t="s">
        <v>668</v>
      </c>
      <c r="C25" s="338"/>
      <c r="D25" s="242"/>
      <c r="E25" s="338"/>
      <c r="F25" s="242"/>
      <c r="G25" s="338"/>
      <c r="H25" s="242"/>
    </row>
    <row r="26" spans="1:8" s="171" customFormat="1" ht="24" customHeight="1">
      <c r="A26" s="174" t="s">
        <v>289</v>
      </c>
      <c r="B26" s="272" t="s">
        <v>678</v>
      </c>
      <c r="C26" s="338">
        <f t="shared" ref="C26:C31" si="0">+E26+G26</f>
        <v>726831258</v>
      </c>
      <c r="D26" s="646">
        <v>0.13327878083131256</v>
      </c>
      <c r="E26" s="647">
        <v>725606060</v>
      </c>
      <c r="F26" s="646">
        <v>0.1333931750906262</v>
      </c>
      <c r="G26" s="647">
        <v>1225198</v>
      </c>
      <c r="H26" s="646">
        <v>6.5530407788872078E-2</v>
      </c>
    </row>
    <row r="27" spans="1:8" s="171" customFormat="1" ht="24" customHeight="1">
      <c r="A27" s="174" t="s">
        <v>290</v>
      </c>
      <c r="B27" s="272" t="s">
        <v>679</v>
      </c>
      <c r="C27" s="338">
        <f t="shared" si="0"/>
        <v>0</v>
      </c>
      <c r="D27" s="646"/>
      <c r="E27" s="647"/>
      <c r="F27" s="646"/>
      <c r="G27" s="647"/>
      <c r="H27" s="646"/>
    </row>
    <row r="28" spans="1:8" s="171" customFormat="1" ht="24" customHeight="1">
      <c r="A28" s="174" t="s">
        <v>291</v>
      </c>
      <c r="B28" s="272" t="s">
        <v>680</v>
      </c>
      <c r="C28" s="338">
        <f t="shared" si="0"/>
        <v>9105574</v>
      </c>
      <c r="D28" s="646">
        <v>0.10200004851874973</v>
      </c>
      <c r="E28" s="647">
        <v>421716</v>
      </c>
      <c r="F28" s="646">
        <v>0.14318452245407221</v>
      </c>
      <c r="G28" s="647">
        <v>8683858</v>
      </c>
      <c r="H28" s="646">
        <v>0.1</v>
      </c>
    </row>
    <row r="29" spans="1:8" s="171" customFormat="1" ht="32.25" customHeight="1">
      <c r="A29" s="174" t="s">
        <v>292</v>
      </c>
      <c r="B29" s="272" t="s">
        <v>681</v>
      </c>
      <c r="C29" s="338">
        <f t="shared" si="0"/>
        <v>19292739</v>
      </c>
      <c r="D29" s="646">
        <v>5.6308359242138423E-2</v>
      </c>
      <c r="E29" s="647">
        <v>19292739</v>
      </c>
      <c r="F29" s="646">
        <v>5.6308359242138423E-2</v>
      </c>
      <c r="G29" s="647"/>
      <c r="H29" s="646"/>
    </row>
    <row r="30" spans="1:8" s="171" customFormat="1" ht="32.25" customHeight="1">
      <c r="A30" s="174" t="s">
        <v>294</v>
      </c>
      <c r="B30" s="272" t="s">
        <v>682</v>
      </c>
      <c r="C30" s="338">
        <f t="shared" si="0"/>
        <v>0</v>
      </c>
      <c r="D30" s="646"/>
      <c r="E30" s="647"/>
      <c r="F30" s="646"/>
      <c r="G30" s="647"/>
      <c r="H30" s="646"/>
    </row>
    <row r="31" spans="1:8" s="171" customFormat="1" ht="32.25" customHeight="1">
      <c r="A31" s="174" t="s">
        <v>295</v>
      </c>
      <c r="B31" s="271" t="s">
        <v>670</v>
      </c>
      <c r="C31" s="338">
        <f t="shared" si="0"/>
        <v>3678776322</v>
      </c>
      <c r="D31" s="646">
        <v>9.5404408009065578E-2</v>
      </c>
      <c r="E31" s="647">
        <v>872161003</v>
      </c>
      <c r="F31" s="646">
        <v>9.840392921877214E-2</v>
      </c>
      <c r="G31" s="647">
        <v>2806615319</v>
      </c>
      <c r="H31" s="646">
        <v>9.4613784862499134E-2</v>
      </c>
    </row>
    <row r="32" spans="1:8" s="171" customFormat="1">
      <c r="A32" s="172"/>
      <c r="B32" s="272"/>
      <c r="C32" s="338"/>
      <c r="D32" s="240"/>
      <c r="E32" s="338"/>
      <c r="F32" s="242"/>
      <c r="G32" s="338"/>
      <c r="H32" s="242"/>
    </row>
    <row r="33" spans="1:10" s="171" customFormat="1" ht="36.75" customHeight="1">
      <c r="A33" s="200">
        <v>4</v>
      </c>
      <c r="B33" s="269" t="s">
        <v>713</v>
      </c>
      <c r="C33" s="340">
        <f>SUM(C35:C40)</f>
        <v>1709981916</v>
      </c>
      <c r="D33" s="341">
        <f>IFERROR(((C35*D35)/C33)+((C36*D36)/C33)+((C37*D37)/C33)+((C38*D38)/C33)+((C39*D39)/C33)+((C40*D40)/C33),0)</f>
        <v>0.23222709796638571</v>
      </c>
      <c r="E33" s="340">
        <f>SUM(E35:E40)</f>
        <v>1709981916</v>
      </c>
      <c r="F33" s="341">
        <f>IFERROR(((E35*F35)/E33)+((E36*F36)/E33)+((E37*F37)/E33)+((E38*F38)/E33)+((E39*F39)/E33)+((E40*F40)/E33),0)</f>
        <v>0.23222709796638571</v>
      </c>
      <c r="G33" s="340">
        <f>SUM(G35:G40)</f>
        <v>0</v>
      </c>
      <c r="H33" s="341">
        <f>IFERROR(((G35*H35)/G33)+((G36*H36)/G33)+((G37*H37)/G33)+((G38*H38)/G33)+((G39*H39)/G33)+((G40*H40)/G33),0)</f>
        <v>0</v>
      </c>
    </row>
    <row r="34" spans="1:10" s="171" customFormat="1">
      <c r="A34" s="173"/>
      <c r="B34" s="270" t="s">
        <v>668</v>
      </c>
      <c r="C34" s="338"/>
      <c r="D34" s="242"/>
      <c r="E34" s="338"/>
      <c r="F34" s="242"/>
      <c r="G34" s="338"/>
      <c r="H34" s="242"/>
    </row>
    <row r="35" spans="1:10" s="171" customFormat="1" ht="24" customHeight="1">
      <c r="A35" s="174" t="s">
        <v>585</v>
      </c>
      <c r="B35" s="272" t="s">
        <v>678</v>
      </c>
      <c r="C35" s="338">
        <f t="shared" ref="C35:C40" si="1">+E35+G35</f>
        <v>172984852</v>
      </c>
      <c r="D35" s="646">
        <v>0.25718162151248858</v>
      </c>
      <c r="E35" s="647">
        <v>172984852</v>
      </c>
      <c r="F35" s="646">
        <v>0.25718162151248858</v>
      </c>
      <c r="G35" s="647"/>
      <c r="H35" s="646"/>
    </row>
    <row r="36" spans="1:10" s="171" customFormat="1" ht="24" customHeight="1">
      <c r="A36" s="174" t="s">
        <v>586</v>
      </c>
      <c r="B36" s="272" t="s">
        <v>679</v>
      </c>
      <c r="C36" s="338">
        <f t="shared" si="1"/>
        <v>0</v>
      </c>
      <c r="D36" s="646"/>
      <c r="E36" s="647"/>
      <c r="F36" s="646"/>
      <c r="G36" s="647"/>
      <c r="H36" s="646"/>
    </row>
    <row r="37" spans="1:10" s="171" customFormat="1" ht="24" customHeight="1">
      <c r="A37" s="174" t="s">
        <v>714</v>
      </c>
      <c r="B37" s="272" t="s">
        <v>680</v>
      </c>
      <c r="C37" s="338">
        <f t="shared" si="1"/>
        <v>2550632</v>
      </c>
      <c r="D37" s="646">
        <v>0.19534901759985898</v>
      </c>
      <c r="E37" s="647">
        <v>2550632</v>
      </c>
      <c r="F37" s="646">
        <v>0.19534901759985898</v>
      </c>
      <c r="G37" s="647"/>
      <c r="H37" s="646"/>
    </row>
    <row r="38" spans="1:10" s="171" customFormat="1" ht="32.25" customHeight="1">
      <c r="A38" s="174" t="s">
        <v>715</v>
      </c>
      <c r="B38" s="272" t="s">
        <v>681</v>
      </c>
      <c r="C38" s="338">
        <f t="shared" si="1"/>
        <v>0</v>
      </c>
      <c r="D38" s="646"/>
      <c r="E38" s="647"/>
      <c r="F38" s="646"/>
      <c r="G38" s="647"/>
      <c r="H38" s="646"/>
    </row>
    <row r="39" spans="1:10" s="171" customFormat="1" ht="32.25" customHeight="1">
      <c r="A39" s="174" t="s">
        <v>716</v>
      </c>
      <c r="B39" s="272" t="s">
        <v>682</v>
      </c>
      <c r="C39" s="338">
        <f t="shared" si="1"/>
        <v>0</v>
      </c>
      <c r="D39" s="646"/>
      <c r="E39" s="647"/>
      <c r="F39" s="646"/>
      <c r="G39" s="647"/>
      <c r="H39" s="646"/>
    </row>
    <row r="40" spans="1:10" s="171" customFormat="1" ht="32.25" customHeight="1">
      <c r="A40" s="174" t="s">
        <v>717</v>
      </c>
      <c r="B40" s="271" t="s">
        <v>670</v>
      </c>
      <c r="C40" s="338">
        <f t="shared" si="1"/>
        <v>1534446432</v>
      </c>
      <c r="D40" s="646">
        <v>0.22947516602375817</v>
      </c>
      <c r="E40" s="647">
        <v>1534446432</v>
      </c>
      <c r="F40" s="646">
        <v>0.22947516602375817</v>
      </c>
      <c r="G40" s="647"/>
      <c r="H40" s="646"/>
    </row>
    <row r="41" spans="1:10" s="21" customFormat="1" ht="12" customHeight="1">
      <c r="B41" s="41"/>
      <c r="C41" s="104"/>
    </row>
    <row r="42" spans="1:10" s="21" customFormat="1" ht="12.75">
      <c r="B42" s="41"/>
      <c r="C42" s="104"/>
    </row>
    <row r="43" spans="1:10" s="25" customFormat="1">
      <c r="A43" s="113"/>
      <c r="B43" s="123" t="s">
        <v>0</v>
      </c>
      <c r="C43" s="362"/>
      <c r="J43" s="113"/>
    </row>
    <row r="44" spans="1:10" s="25" customFormat="1">
      <c r="A44" s="113"/>
      <c r="B44" s="123"/>
      <c r="C44" s="362"/>
      <c r="J44" s="113"/>
    </row>
    <row r="45" spans="1:10" s="25" customFormat="1">
      <c r="A45" s="113"/>
      <c r="B45" s="123" t="s">
        <v>1</v>
      </c>
      <c r="C45" s="362"/>
      <c r="J45" s="113"/>
    </row>
    <row r="46" spans="1:10" s="25" customFormat="1">
      <c r="A46" s="113"/>
      <c r="B46" s="123"/>
      <c r="J46" s="113"/>
    </row>
    <row r="47" spans="1:10">
      <c r="A47" s="356"/>
      <c r="B47" s="356" t="s">
        <v>152</v>
      </c>
      <c r="C47" s="361">
        <f>+C8+C16+C24+C33</f>
        <v>8539798556</v>
      </c>
      <c r="D47" s="361"/>
      <c r="E47" s="361">
        <f>+E8+E16+E24+E33</f>
        <v>5723274181</v>
      </c>
      <c r="F47" s="361"/>
      <c r="G47" s="361">
        <f>+G8+G16+G24+G33</f>
        <v>2816524375</v>
      </c>
      <c r="H47" s="357"/>
    </row>
    <row r="48" spans="1:10">
      <c r="A48" s="356"/>
      <c r="B48" s="357"/>
      <c r="C48" s="361">
        <f>+C50+C54</f>
        <v>8539798556</v>
      </c>
      <c r="D48" s="361"/>
      <c r="E48" s="361">
        <f>+E9+E17+E25+E34</f>
        <v>0</v>
      </c>
      <c r="F48" s="361"/>
      <c r="G48" s="361">
        <f>+G50+G54</f>
        <v>2816524375</v>
      </c>
      <c r="H48" s="357"/>
    </row>
    <row r="49" spans="1:8">
      <c r="A49" s="356"/>
      <c r="B49" s="356"/>
      <c r="C49" s="361"/>
      <c r="D49" s="361"/>
      <c r="E49" s="361"/>
      <c r="F49" s="361"/>
      <c r="G49" s="361"/>
      <c r="H49" s="357"/>
    </row>
    <row r="50" spans="1:8">
      <c r="A50" s="357"/>
      <c r="B50" s="356" t="s">
        <v>742</v>
      </c>
      <c r="C50" s="361">
        <f>+'Asset Classification'!C12</f>
        <v>2395810747</v>
      </c>
      <c r="D50" s="361"/>
      <c r="E50" s="361"/>
      <c r="F50" s="361"/>
      <c r="G50" s="361">
        <f>+'Asset Classification'!D12</f>
        <v>0</v>
      </c>
      <c r="H50" s="358"/>
    </row>
    <row r="51" spans="1:8">
      <c r="A51" s="357"/>
      <c r="B51" s="356"/>
      <c r="C51" s="361">
        <f>C8+C16</f>
        <v>2395810747</v>
      </c>
      <c r="D51" s="361"/>
      <c r="E51" s="361"/>
      <c r="F51" s="361"/>
      <c r="G51" s="361">
        <f>G8+G16</f>
        <v>0</v>
      </c>
      <c r="H51" s="358"/>
    </row>
    <row r="52" spans="1:8">
      <c r="A52" s="357"/>
      <c r="B52" s="356"/>
      <c r="C52" s="361">
        <f>+C50-C51</f>
        <v>0</v>
      </c>
      <c r="D52" s="361"/>
      <c r="E52" s="361"/>
      <c r="F52" s="361"/>
      <c r="G52" s="361">
        <f>+G50-G51</f>
        <v>0</v>
      </c>
      <c r="H52" s="358"/>
    </row>
    <row r="53" spans="1:8">
      <c r="A53" s="357"/>
      <c r="B53" s="356"/>
      <c r="C53" s="360"/>
      <c r="D53" s="360"/>
      <c r="E53" s="360"/>
      <c r="F53" s="360"/>
      <c r="G53" s="360"/>
      <c r="H53" s="358"/>
    </row>
    <row r="54" spans="1:8">
      <c r="A54" s="357"/>
      <c r="B54" s="356" t="s">
        <v>743</v>
      </c>
      <c r="C54" s="361">
        <f>+'Asset Classification'!C30-'Asset Classification'!C12</f>
        <v>6143987809</v>
      </c>
      <c r="D54" s="361"/>
      <c r="E54" s="361"/>
      <c r="F54" s="361"/>
      <c r="G54" s="361">
        <f>+'Asset Classification'!D30-'Asset Classification'!D12</f>
        <v>2816524375</v>
      </c>
      <c r="H54" s="358"/>
    </row>
    <row r="55" spans="1:8">
      <c r="A55" s="357"/>
      <c r="B55" s="356"/>
      <c r="C55" s="361">
        <f>C24+C33</f>
        <v>6143987809</v>
      </c>
      <c r="D55" s="361"/>
      <c r="E55" s="361"/>
      <c r="F55" s="361"/>
      <c r="G55" s="361">
        <f>G24+G33</f>
        <v>2816524375</v>
      </c>
      <c r="H55" s="358"/>
    </row>
    <row r="56" spans="1:8">
      <c r="A56" s="357"/>
      <c r="B56" s="356"/>
      <c r="C56" s="361">
        <f>+C54-C55</f>
        <v>0</v>
      </c>
      <c r="D56" s="361"/>
      <c r="E56" s="361"/>
      <c r="F56" s="361"/>
      <c r="G56" s="361">
        <f>+G54-G55</f>
        <v>0</v>
      </c>
      <c r="H56" s="358"/>
    </row>
    <row r="57" spans="1:8">
      <c r="A57" s="357"/>
      <c r="B57" s="356"/>
      <c r="C57" s="358"/>
      <c r="D57" s="358"/>
      <c r="E57" s="358"/>
      <c r="F57" s="358"/>
      <c r="G57" s="358"/>
      <c r="H57" s="358"/>
    </row>
    <row r="58" spans="1:8">
      <c r="A58" s="357"/>
      <c r="B58" s="356"/>
      <c r="C58" s="358"/>
      <c r="D58" s="358"/>
      <c r="E58" s="358"/>
      <c r="F58" s="358"/>
      <c r="G58" s="358"/>
      <c r="H58" s="358"/>
    </row>
    <row r="59" spans="1:8">
      <c r="B59" s="356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122" priority="2" operator="notEqual">
      <formula>$C$54-$C$24</formula>
    </cfRule>
  </conditionalFormatting>
  <conditionalFormatting sqref="C16">
    <cfRule type="cellIs" dxfId="121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30">
    <pageSetUpPr fitToPage="1"/>
  </sheetPr>
  <dimension ref="A1:AF48"/>
  <sheetViews>
    <sheetView zoomScale="50" zoomScaleNormal="50" zoomScaleSheetLayoutView="50" workbookViewId="0">
      <pane xSplit="2" ySplit="7" topLeftCell="J8" activePane="bottomRight" state="frozen"/>
      <selection activeCell="C72" sqref="C72"/>
      <selection pane="topRight" activeCell="C72" sqref="C72"/>
      <selection pane="bottomLeft" activeCell="C72" sqref="C72"/>
      <selection pane="bottomRight" activeCell="AA8" sqref="AA8"/>
    </sheetView>
  </sheetViews>
  <sheetFormatPr defaultRowHeight="18.75"/>
  <cols>
    <col min="1" max="1" width="9.5703125" style="383" customWidth="1"/>
    <col min="2" max="2" width="61.7109375" style="383" customWidth="1"/>
    <col min="3" max="3" width="21.42578125" style="383" customWidth="1"/>
    <col min="4" max="4" width="13.7109375" style="384" customWidth="1"/>
    <col min="5" max="5" width="21.42578125" style="383" customWidth="1"/>
    <col min="6" max="6" width="13.7109375" style="383" customWidth="1"/>
    <col min="7" max="7" width="21.42578125" style="383" customWidth="1"/>
    <col min="8" max="8" width="13.7109375" style="383" customWidth="1"/>
    <col min="9" max="25" width="18.85546875" style="383" customWidth="1"/>
    <col min="26" max="26" width="21.7109375" style="383" customWidth="1"/>
    <col min="27" max="27" width="27.42578125" style="383" customWidth="1"/>
    <col min="28" max="32" width="20.7109375" style="432" customWidth="1"/>
    <col min="33" max="16384" width="9.140625" style="383"/>
  </cols>
  <sheetData>
    <row r="1" spans="1:32">
      <c r="Z1" s="410" t="s">
        <v>787</v>
      </c>
    </row>
    <row r="2" spans="1:32" s="385" customFormat="1" ht="50.25" customHeight="1">
      <c r="A2" s="726" t="s">
        <v>826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  <c r="AB2" s="433"/>
      <c r="AC2" s="433"/>
      <c r="AD2" s="433"/>
      <c r="AE2" s="433"/>
      <c r="AF2" s="433"/>
    </row>
    <row r="3" spans="1:32" ht="19.5" customHeight="1">
      <c r="B3" s="386" t="str">
        <f>+'Asset quality'!B3</f>
        <v>АКБ "Микрокредитбанк"</v>
      </c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V3" s="736">
        <f>+'Asset quality'!P3</f>
        <v>44196</v>
      </c>
      <c r="W3" s="736"/>
      <c r="Z3" s="206" t="s">
        <v>408</v>
      </c>
    </row>
    <row r="4" spans="1:32" s="387" customFormat="1" ht="18.75" customHeight="1">
      <c r="A4" s="727" t="s">
        <v>83</v>
      </c>
      <c r="B4" s="727" t="s">
        <v>667</v>
      </c>
      <c r="C4" s="730" t="s">
        <v>656</v>
      </c>
      <c r="D4" s="731"/>
      <c r="E4" s="731"/>
      <c r="F4" s="731"/>
      <c r="G4" s="731"/>
      <c r="H4" s="732"/>
      <c r="I4" s="730" t="s">
        <v>788</v>
      </c>
      <c r="J4" s="731"/>
      <c r="K4" s="731"/>
      <c r="L4" s="731"/>
      <c r="M4" s="732"/>
      <c r="N4" s="725" t="s">
        <v>411</v>
      </c>
      <c r="O4" s="725"/>
      <c r="P4" s="725"/>
      <c r="Q4" s="725"/>
      <c r="R4" s="725"/>
      <c r="S4" s="725" t="s">
        <v>413</v>
      </c>
      <c r="T4" s="725"/>
      <c r="U4" s="725"/>
      <c r="V4" s="725"/>
      <c r="W4" s="725"/>
      <c r="X4" s="725"/>
      <c r="Y4" s="727" t="s">
        <v>789</v>
      </c>
      <c r="Z4" s="727" t="s">
        <v>790</v>
      </c>
      <c r="AB4" s="434"/>
      <c r="AC4" s="434"/>
      <c r="AD4" s="434"/>
      <c r="AE4" s="434"/>
      <c r="AF4" s="434"/>
    </row>
    <row r="5" spans="1:32" s="387" customFormat="1" ht="26.25" customHeight="1">
      <c r="A5" s="728"/>
      <c r="B5" s="728"/>
      <c r="C5" s="733"/>
      <c r="D5" s="734"/>
      <c r="E5" s="734"/>
      <c r="F5" s="734"/>
      <c r="G5" s="734"/>
      <c r="H5" s="735"/>
      <c r="I5" s="725" t="s">
        <v>791</v>
      </c>
      <c r="J5" s="725" t="s">
        <v>792</v>
      </c>
      <c r="K5" s="725" t="s">
        <v>793</v>
      </c>
      <c r="L5" s="725" t="s">
        <v>794</v>
      </c>
      <c r="M5" s="725" t="s">
        <v>795</v>
      </c>
      <c r="N5" s="725"/>
      <c r="O5" s="725"/>
      <c r="P5" s="725"/>
      <c r="Q5" s="725"/>
      <c r="R5" s="725"/>
      <c r="S5" s="725" t="s">
        <v>414</v>
      </c>
      <c r="T5" s="725" t="s">
        <v>420</v>
      </c>
      <c r="U5" s="725"/>
      <c r="V5" s="725"/>
      <c r="W5" s="725"/>
      <c r="X5" s="725"/>
      <c r="Y5" s="728"/>
      <c r="Z5" s="728"/>
      <c r="AB5" s="434"/>
      <c r="AC5" s="434"/>
      <c r="AD5" s="434"/>
      <c r="AE5" s="434"/>
      <c r="AF5" s="434"/>
    </row>
    <row r="6" spans="1:32" s="387" customFormat="1" ht="63" customHeight="1">
      <c r="A6" s="728"/>
      <c r="B6" s="729"/>
      <c r="C6" s="413" t="s">
        <v>796</v>
      </c>
      <c r="D6" s="412" t="s">
        <v>797</v>
      </c>
      <c r="E6" s="413" t="s">
        <v>798</v>
      </c>
      <c r="F6" s="412" t="s">
        <v>797</v>
      </c>
      <c r="G6" s="413" t="s">
        <v>799</v>
      </c>
      <c r="H6" s="412" t="s">
        <v>797</v>
      </c>
      <c r="I6" s="725"/>
      <c r="J6" s="725"/>
      <c r="K6" s="725"/>
      <c r="L6" s="725"/>
      <c r="M6" s="725"/>
      <c r="N6" s="414" t="s">
        <v>278</v>
      </c>
      <c r="O6" s="414" t="s">
        <v>75</v>
      </c>
      <c r="P6" s="414" t="s">
        <v>77</v>
      </c>
      <c r="Q6" s="414" t="s">
        <v>78</v>
      </c>
      <c r="R6" s="414" t="s">
        <v>81</v>
      </c>
      <c r="S6" s="725"/>
      <c r="T6" s="414" t="s">
        <v>278</v>
      </c>
      <c r="U6" s="414" t="s">
        <v>75</v>
      </c>
      <c r="V6" s="414" t="s">
        <v>77</v>
      </c>
      <c r="W6" s="414" t="s">
        <v>78</v>
      </c>
      <c r="X6" s="414" t="s">
        <v>81</v>
      </c>
      <c r="Y6" s="729"/>
      <c r="Z6" s="729"/>
      <c r="AA6" s="436"/>
      <c r="AB6" s="435" t="s">
        <v>278</v>
      </c>
      <c r="AC6" s="435" t="s">
        <v>75</v>
      </c>
      <c r="AD6" s="435" t="s">
        <v>77</v>
      </c>
      <c r="AE6" s="435" t="s">
        <v>78</v>
      </c>
      <c r="AF6" s="435" t="s">
        <v>81</v>
      </c>
    </row>
    <row r="7" spans="1:32" s="387" customFormat="1">
      <c r="A7" s="729"/>
      <c r="B7" s="411" t="s">
        <v>182</v>
      </c>
      <c r="C7" s="411" t="s">
        <v>183</v>
      </c>
      <c r="D7" s="411" t="s">
        <v>200</v>
      </c>
      <c r="E7" s="411" t="s">
        <v>184</v>
      </c>
      <c r="F7" s="411" t="s">
        <v>185</v>
      </c>
      <c r="G7" s="411" t="s">
        <v>201</v>
      </c>
      <c r="H7" s="411" t="s">
        <v>186</v>
      </c>
      <c r="I7" s="411" t="s">
        <v>187</v>
      </c>
      <c r="J7" s="411" t="s">
        <v>188</v>
      </c>
      <c r="K7" s="411" t="s">
        <v>189</v>
      </c>
      <c r="L7" s="411" t="s">
        <v>190</v>
      </c>
      <c r="M7" s="411" t="s">
        <v>191</v>
      </c>
      <c r="N7" s="411" t="s">
        <v>192</v>
      </c>
      <c r="O7" s="411" t="s">
        <v>421</v>
      </c>
      <c r="P7" s="411" t="s">
        <v>422</v>
      </c>
      <c r="Q7" s="411" t="s">
        <v>423</v>
      </c>
      <c r="R7" s="411" t="s">
        <v>424</v>
      </c>
      <c r="S7" s="411" t="s">
        <v>700</v>
      </c>
      <c r="T7" s="411" t="s">
        <v>740</v>
      </c>
      <c r="U7" s="411" t="s">
        <v>800</v>
      </c>
      <c r="V7" s="411" t="s">
        <v>801</v>
      </c>
      <c r="W7" s="411" t="s">
        <v>802</v>
      </c>
      <c r="X7" s="411" t="s">
        <v>803</v>
      </c>
      <c r="Y7" s="411" t="s">
        <v>804</v>
      </c>
      <c r="Z7" s="411" t="s">
        <v>805</v>
      </c>
      <c r="AA7" s="436"/>
      <c r="AB7" s="434"/>
      <c r="AC7" s="434"/>
      <c r="AD7" s="434"/>
      <c r="AE7" s="434"/>
      <c r="AF7" s="434"/>
    </row>
    <row r="8" spans="1:32" s="387" customFormat="1" ht="49.5" customHeight="1">
      <c r="A8" s="388"/>
      <c r="B8" s="389" t="s">
        <v>223</v>
      </c>
      <c r="C8" s="390">
        <f>+C9+C25</f>
        <v>8539798556</v>
      </c>
      <c r="D8" s="391">
        <f>IFERROR(((C9*D9)/C8)+((C25*D25)/C8),0)</f>
        <v>0.14868579165663637</v>
      </c>
      <c r="E8" s="390">
        <f>+E9+E25</f>
        <v>5723274181</v>
      </c>
      <c r="F8" s="391">
        <f>IFERROR(((E9*F9)/E8)+((E25*F25)/E8),0)</f>
        <v>0.17695208647142802</v>
      </c>
      <c r="G8" s="390">
        <f>+G9+G25</f>
        <v>2816524375</v>
      </c>
      <c r="H8" s="391">
        <f>IFERROR(((G9*H9)/G8)+((G25*H25)/G8),0)</f>
        <v>9.4617740174260861E-2</v>
      </c>
      <c r="I8" s="390">
        <f t="shared" ref="I8:Z8" si="0">+I9+I25</f>
        <v>827187330</v>
      </c>
      <c r="J8" s="390">
        <f t="shared" si="0"/>
        <v>6518440927</v>
      </c>
      <c r="K8" s="390">
        <f t="shared" si="0"/>
        <v>793591060</v>
      </c>
      <c r="L8" s="390">
        <f t="shared" si="0"/>
        <v>314564695</v>
      </c>
      <c r="M8" s="390">
        <f t="shared" si="0"/>
        <v>86014544</v>
      </c>
      <c r="N8" s="390">
        <f t="shared" si="0"/>
        <v>6912201758</v>
      </c>
      <c r="O8" s="390">
        <f t="shared" si="0"/>
        <v>1540989857</v>
      </c>
      <c r="P8" s="390">
        <f t="shared" si="0"/>
        <v>34473291</v>
      </c>
      <c r="Q8" s="390">
        <f t="shared" si="0"/>
        <v>35919024</v>
      </c>
      <c r="R8" s="390">
        <f t="shared" si="0"/>
        <v>16214626</v>
      </c>
      <c r="S8" s="390">
        <f t="shared" si="0"/>
        <v>197394152</v>
      </c>
      <c r="T8" s="390">
        <f t="shared" si="0"/>
        <v>0</v>
      </c>
      <c r="U8" s="390">
        <f t="shared" si="0"/>
        <v>154544191</v>
      </c>
      <c r="V8" s="390">
        <f t="shared" si="0"/>
        <v>8618322</v>
      </c>
      <c r="W8" s="390">
        <f t="shared" si="0"/>
        <v>18017013</v>
      </c>
      <c r="X8" s="390">
        <f t="shared" si="0"/>
        <v>16214626</v>
      </c>
      <c r="Y8" s="390">
        <f t="shared" si="0"/>
        <v>0</v>
      </c>
      <c r="Z8" s="390">
        <f t="shared" si="0"/>
        <v>0</v>
      </c>
      <c r="AA8" s="436">
        <f>+'Loans Receivable'!C92</f>
        <v>8539798556</v>
      </c>
      <c r="AB8" s="436">
        <f>+'Asset Classification'!G30</f>
        <v>0</v>
      </c>
      <c r="AC8" s="436">
        <f>+'Asset Classification'!K30</f>
        <v>154544191</v>
      </c>
      <c r="AD8" s="436">
        <f>+'Asset Classification'!O50</f>
        <v>8618322</v>
      </c>
      <c r="AE8" s="436">
        <f>+'Asset Classification'!S50</f>
        <v>18017013</v>
      </c>
      <c r="AF8" s="436">
        <f>+'Asset Classification'!W50</f>
        <v>16214626</v>
      </c>
    </row>
    <row r="9" spans="1:32" s="404" customFormat="1" ht="49.5" customHeight="1">
      <c r="A9" s="389" t="s">
        <v>278</v>
      </c>
      <c r="B9" s="389" t="s">
        <v>806</v>
      </c>
      <c r="C9" s="390">
        <f>+C11+C16+C21+C22+C24</f>
        <v>2395810747</v>
      </c>
      <c r="D9" s="391">
        <f>IFERROR(((C11*D11)/C9)+((C16*D16)/C9)+((C21*D21)/C9)+((C22*D22)/C9)+((C24*D24)/C9),0)</f>
        <v>0.17642037398001667</v>
      </c>
      <c r="E9" s="390">
        <f>+E11+E16+E21+E22+E24</f>
        <v>2395810747</v>
      </c>
      <c r="F9" s="391">
        <f>IFERROR(((E11*F11)/E9)+((E16*F16)/E9)+((E21*F21)/E9)+((E22*F22)/E9)+((E24*F24)/E9),0)</f>
        <v>0.17642037398001667</v>
      </c>
      <c r="G9" s="390">
        <f>+G11+G16+G21+G22+G24</f>
        <v>0</v>
      </c>
      <c r="H9" s="391">
        <f>IFERROR(((G11*H11)/G9)+((G16*H16)/G9)+((G21*H21)/G9)+((G22*H22)/G9)+((G24*H24)/G9),0)</f>
        <v>0</v>
      </c>
      <c r="I9" s="390">
        <f t="shared" ref="I9:Z9" si="1">+I11+I16+I21+I22+I24</f>
        <v>157303369</v>
      </c>
      <c r="J9" s="390">
        <f t="shared" si="1"/>
        <v>1927995043</v>
      </c>
      <c r="K9" s="390">
        <f t="shared" si="1"/>
        <v>47824663</v>
      </c>
      <c r="L9" s="390">
        <f t="shared" si="1"/>
        <v>176673128</v>
      </c>
      <c r="M9" s="390">
        <f t="shared" si="1"/>
        <v>86014544</v>
      </c>
      <c r="N9" s="390">
        <f t="shared" si="1"/>
        <v>1988169241</v>
      </c>
      <c r="O9" s="390">
        <f t="shared" si="1"/>
        <v>377969015</v>
      </c>
      <c r="P9" s="390">
        <f t="shared" si="1"/>
        <v>22359606</v>
      </c>
      <c r="Q9" s="390">
        <f t="shared" si="1"/>
        <v>5061752</v>
      </c>
      <c r="R9" s="390">
        <f t="shared" si="1"/>
        <v>2251133</v>
      </c>
      <c r="S9" s="390">
        <f>+S11+S16+S21+S22+S24</f>
        <v>48187982</v>
      </c>
      <c r="T9" s="390">
        <f t="shared" si="1"/>
        <v>0</v>
      </c>
      <c r="U9" s="390">
        <f t="shared" si="1"/>
        <v>37816072</v>
      </c>
      <c r="V9" s="390">
        <f t="shared" si="1"/>
        <v>5589901</v>
      </c>
      <c r="W9" s="390">
        <f t="shared" si="1"/>
        <v>2530876</v>
      </c>
      <c r="X9" s="390">
        <f t="shared" si="1"/>
        <v>2251133</v>
      </c>
      <c r="Y9" s="390">
        <f t="shared" si="1"/>
        <v>0</v>
      </c>
      <c r="Z9" s="390">
        <f t="shared" si="1"/>
        <v>0</v>
      </c>
      <c r="AA9" s="436">
        <f>+'Loans Receivable'!C80</f>
        <v>2395810747</v>
      </c>
      <c r="AB9" s="444">
        <f>+'Asset Classification'!E30</f>
        <v>6912201758</v>
      </c>
      <c r="AC9" s="444">
        <f>+'Asset Classification'!I30</f>
        <v>1540989857</v>
      </c>
      <c r="AD9" s="444">
        <f>+'Asset Classification'!M30</f>
        <v>34473291</v>
      </c>
      <c r="AE9" s="444">
        <f>+'Asset Classification'!Q30</f>
        <v>35919024</v>
      </c>
      <c r="AF9" s="444">
        <f>+'Asset Classification'!U30</f>
        <v>16214626</v>
      </c>
    </row>
    <row r="10" spans="1:32" s="387" customFormat="1" ht="33.75" customHeight="1">
      <c r="A10" s="388"/>
      <c r="B10" s="389" t="s">
        <v>668</v>
      </c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  <c r="W10" s="390"/>
      <c r="X10" s="390"/>
      <c r="Y10" s="390"/>
      <c r="Z10" s="390"/>
      <c r="AA10" s="436"/>
      <c r="AB10" s="445">
        <f>+N8-AB9</f>
        <v>0</v>
      </c>
      <c r="AC10" s="445">
        <f>+O8-AC9</f>
        <v>0</v>
      </c>
      <c r="AD10" s="445">
        <f>+P8-AD9</f>
        <v>0</v>
      </c>
      <c r="AE10" s="445">
        <f>+Q8-AE9</f>
        <v>0</v>
      </c>
      <c r="AF10" s="445">
        <f>+R8-AF9</f>
        <v>0</v>
      </c>
    </row>
    <row r="11" spans="1:32" s="387" customFormat="1" ht="49.5" customHeight="1">
      <c r="A11" s="392">
        <v>1</v>
      </c>
      <c r="B11" s="393" t="s">
        <v>807</v>
      </c>
      <c r="C11" s="420">
        <f>SUM(C12:C15)</f>
        <v>126837780</v>
      </c>
      <c r="D11" s="421">
        <f>IFERROR(((C12*D12)/C11)+((C13*D13)/C11)+((C14*D14)/C11)+((C15*D15)/C11),0)</f>
        <v>0.1470579112698808</v>
      </c>
      <c r="E11" s="420">
        <f>SUM(E12:E15)</f>
        <v>126837780</v>
      </c>
      <c r="F11" s="421">
        <f>IFERROR(((E12*F12)/E11)+((E13*F13)/E11)+((E14*F14)/E11)+((E15*F15)/E11),0)</f>
        <v>0.1470579112698808</v>
      </c>
      <c r="G11" s="420">
        <f>SUM(G12:G15)</f>
        <v>0</v>
      </c>
      <c r="H11" s="421">
        <f>IFERROR(((G12*H12)/G11)+((G13*H13)/G11)+((G14*H14)/G11)+((G15*H15)/G11),0)</f>
        <v>0</v>
      </c>
      <c r="I11" s="420">
        <f t="shared" ref="I11:Z11" si="2">SUM(I12:I15)</f>
        <v>0</v>
      </c>
      <c r="J11" s="420">
        <f t="shared" si="2"/>
        <v>0</v>
      </c>
      <c r="K11" s="420">
        <f t="shared" si="2"/>
        <v>20400324</v>
      </c>
      <c r="L11" s="420">
        <f t="shared" si="2"/>
        <v>88191825</v>
      </c>
      <c r="M11" s="420">
        <f t="shared" si="2"/>
        <v>18245631</v>
      </c>
      <c r="N11" s="420">
        <f t="shared" si="2"/>
        <v>103657558</v>
      </c>
      <c r="O11" s="420">
        <f t="shared" si="2"/>
        <v>19124365</v>
      </c>
      <c r="P11" s="420">
        <f t="shared" si="2"/>
        <v>2481663</v>
      </c>
      <c r="Q11" s="420">
        <f t="shared" si="2"/>
        <v>924273</v>
      </c>
      <c r="R11" s="420">
        <f t="shared" si="2"/>
        <v>649921</v>
      </c>
      <c r="S11" s="420">
        <f t="shared" si="2"/>
        <v>3689866</v>
      </c>
      <c r="T11" s="420">
        <f t="shared" si="2"/>
        <v>0</v>
      </c>
      <c r="U11" s="420">
        <f t="shared" si="2"/>
        <v>1957393</v>
      </c>
      <c r="V11" s="420">
        <f t="shared" si="2"/>
        <v>620416</v>
      </c>
      <c r="W11" s="420">
        <f t="shared" si="2"/>
        <v>462136</v>
      </c>
      <c r="X11" s="420">
        <f t="shared" si="2"/>
        <v>649921</v>
      </c>
      <c r="Y11" s="420">
        <f t="shared" si="2"/>
        <v>0</v>
      </c>
      <c r="Z11" s="420">
        <f t="shared" si="2"/>
        <v>0</v>
      </c>
      <c r="AA11" s="436">
        <f>+'loans_av rate'!C10</f>
        <v>126837780</v>
      </c>
      <c r="AB11" s="434">
        <f>+'loans_av rate'!E10</f>
        <v>126837780</v>
      </c>
      <c r="AC11" s="434">
        <f>+'loans_av rate'!G10</f>
        <v>0</v>
      </c>
      <c r="AD11" s="434"/>
      <c r="AE11" s="434"/>
      <c r="AF11" s="434"/>
    </row>
    <row r="12" spans="1:32" s="387" customFormat="1" ht="49.5" customHeight="1">
      <c r="A12" s="398" t="s">
        <v>268</v>
      </c>
      <c r="B12" s="417" t="s">
        <v>808</v>
      </c>
      <c r="C12" s="418">
        <f>+E12+G12</f>
        <v>126837780</v>
      </c>
      <c r="D12" s="394">
        <v>0.1470579112698808</v>
      </c>
      <c r="E12" s="419">
        <v>126837780</v>
      </c>
      <c r="F12" s="394">
        <v>0.1470579112698808</v>
      </c>
      <c r="G12" s="419"/>
      <c r="H12" s="394"/>
      <c r="I12" s="419">
        <v>0</v>
      </c>
      <c r="J12" s="419">
        <v>0</v>
      </c>
      <c r="K12" s="419">
        <v>20400324</v>
      </c>
      <c r="L12" s="419">
        <v>88191825</v>
      </c>
      <c r="M12" s="419">
        <v>18245631</v>
      </c>
      <c r="N12" s="419">
        <v>103657558</v>
      </c>
      <c r="O12" s="419">
        <v>19124365</v>
      </c>
      <c r="P12" s="419">
        <v>2481663</v>
      </c>
      <c r="Q12" s="419">
        <v>924273</v>
      </c>
      <c r="R12" s="419">
        <v>649921</v>
      </c>
      <c r="S12" s="418">
        <f>SUM(T12:X12)</f>
        <v>3689866</v>
      </c>
      <c r="T12" s="419"/>
      <c r="U12" s="419">
        <v>1957393</v>
      </c>
      <c r="V12" s="419">
        <v>620416</v>
      </c>
      <c r="W12" s="419">
        <v>462136</v>
      </c>
      <c r="X12" s="419">
        <v>649921</v>
      </c>
      <c r="Y12" s="419"/>
      <c r="Z12" s="419"/>
      <c r="AA12" s="436"/>
      <c r="AB12" s="434"/>
      <c r="AC12" s="434"/>
      <c r="AD12" s="434"/>
      <c r="AE12" s="434"/>
      <c r="AF12" s="434"/>
    </row>
    <row r="13" spans="1:32" s="387" customFormat="1" ht="49.5" customHeight="1">
      <c r="A13" s="398" t="s">
        <v>269</v>
      </c>
      <c r="B13" s="417" t="s">
        <v>809</v>
      </c>
      <c r="C13" s="418">
        <f>+E13+G13</f>
        <v>0</v>
      </c>
      <c r="D13" s="394"/>
      <c r="E13" s="419"/>
      <c r="F13" s="394"/>
      <c r="G13" s="419"/>
      <c r="H13" s="394"/>
      <c r="I13" s="419"/>
      <c r="J13" s="419"/>
      <c r="K13" s="419">
        <v>0</v>
      </c>
      <c r="L13" s="419"/>
      <c r="M13" s="419"/>
      <c r="N13" s="419"/>
      <c r="O13" s="419"/>
      <c r="P13" s="419"/>
      <c r="Q13" s="419"/>
      <c r="R13" s="419"/>
      <c r="S13" s="418">
        <f t="shared" ref="S13:S24" si="3">SUM(T13:X13)</f>
        <v>0</v>
      </c>
      <c r="T13" s="419"/>
      <c r="U13" s="419"/>
      <c r="V13" s="419"/>
      <c r="W13" s="419"/>
      <c r="X13" s="419"/>
      <c r="Y13" s="419"/>
      <c r="Z13" s="419"/>
      <c r="AA13" s="436"/>
      <c r="AB13" s="434"/>
      <c r="AC13" s="434"/>
      <c r="AD13" s="434"/>
      <c r="AE13" s="434"/>
      <c r="AF13" s="434"/>
    </row>
    <row r="14" spans="1:32" s="387" customFormat="1" ht="49.5" customHeight="1">
      <c r="A14" s="398" t="s">
        <v>270</v>
      </c>
      <c r="B14" s="417" t="s">
        <v>813</v>
      </c>
      <c r="C14" s="418">
        <f>+E14+G14</f>
        <v>0</v>
      </c>
      <c r="D14" s="394"/>
      <c r="E14" s="419"/>
      <c r="F14" s="394"/>
      <c r="G14" s="419"/>
      <c r="H14" s="394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8">
        <f t="shared" si="3"/>
        <v>0</v>
      </c>
      <c r="T14" s="419"/>
      <c r="U14" s="419"/>
      <c r="V14" s="419"/>
      <c r="W14" s="419"/>
      <c r="X14" s="419"/>
      <c r="Y14" s="419"/>
      <c r="Z14" s="419"/>
      <c r="AA14" s="436"/>
      <c r="AB14" s="434"/>
      <c r="AC14" s="434"/>
      <c r="AD14" s="434"/>
      <c r="AE14" s="434"/>
      <c r="AF14" s="434"/>
    </row>
    <row r="15" spans="1:32" s="387" customFormat="1" ht="49.5" customHeight="1">
      <c r="A15" s="398" t="s">
        <v>274</v>
      </c>
      <c r="B15" s="417" t="s">
        <v>810</v>
      </c>
      <c r="C15" s="418">
        <f>+E15+G15</f>
        <v>0</v>
      </c>
      <c r="D15" s="394"/>
      <c r="E15" s="419"/>
      <c r="F15" s="394"/>
      <c r="G15" s="419"/>
      <c r="H15" s="394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8">
        <f t="shared" si="3"/>
        <v>0</v>
      </c>
      <c r="T15" s="419"/>
      <c r="U15" s="419"/>
      <c r="V15" s="419"/>
      <c r="W15" s="419"/>
      <c r="X15" s="419"/>
      <c r="Y15" s="419"/>
      <c r="Z15" s="419"/>
      <c r="AA15" s="436"/>
      <c r="AB15" s="434"/>
      <c r="AC15" s="434"/>
      <c r="AD15" s="434"/>
      <c r="AE15" s="434"/>
      <c r="AF15" s="434"/>
    </row>
    <row r="16" spans="1:32" s="387" customFormat="1" ht="49.5" customHeight="1">
      <c r="A16" s="392">
        <v>2</v>
      </c>
      <c r="B16" s="393" t="s">
        <v>811</v>
      </c>
      <c r="C16" s="420">
        <f>SUM(C17:C20)</f>
        <v>183289903</v>
      </c>
      <c r="D16" s="421">
        <f>IFERROR(((C17*D17)/C16)+((C18*D18)/C16)+((C19*D19)/C16)+((C20*D20)/C16),0)</f>
        <v>0.17929227820083987</v>
      </c>
      <c r="E16" s="420">
        <f>SUM(E17:E20)</f>
        <v>183289903</v>
      </c>
      <c r="F16" s="421">
        <f>IFERROR(((E17*F17)/E16)+((E18*F18)/E16)+((E19*F19)/E16)+((E20*F20)/E16),0)</f>
        <v>0.17929227820083987</v>
      </c>
      <c r="G16" s="420">
        <f>SUM(G17:G20)</f>
        <v>0</v>
      </c>
      <c r="H16" s="421">
        <f>IFERROR(((G17*H17)/G16)+((G18*H18)/G16)+((G19*H19)/G16)+((G20*H20)/G16),0)</f>
        <v>0</v>
      </c>
      <c r="I16" s="420">
        <f>SUM(I17:I20)</f>
        <v>0</v>
      </c>
      <c r="J16" s="420">
        <f t="shared" ref="J16:Z16" si="4">SUM(J17:J20)</f>
        <v>250549</v>
      </c>
      <c r="K16" s="420">
        <f t="shared" si="4"/>
        <v>26830371</v>
      </c>
      <c r="L16" s="420">
        <f t="shared" si="4"/>
        <v>88440070</v>
      </c>
      <c r="M16" s="420">
        <f t="shared" si="4"/>
        <v>67768913</v>
      </c>
      <c r="N16" s="420">
        <f t="shared" si="4"/>
        <v>148882813</v>
      </c>
      <c r="O16" s="420">
        <f t="shared" si="4"/>
        <v>30374795</v>
      </c>
      <c r="P16" s="420">
        <f t="shared" si="4"/>
        <v>3812241</v>
      </c>
      <c r="Q16" s="420">
        <f t="shared" si="4"/>
        <v>220054</v>
      </c>
      <c r="R16" s="420">
        <f t="shared" si="4"/>
        <v>0</v>
      </c>
      <c r="S16" s="420">
        <f>SUM(S17:S20)</f>
        <v>4100567</v>
      </c>
      <c r="T16" s="420">
        <f t="shared" si="4"/>
        <v>0</v>
      </c>
      <c r="U16" s="420">
        <f t="shared" si="4"/>
        <v>0</v>
      </c>
      <c r="V16" s="420">
        <f t="shared" si="4"/>
        <v>3037480</v>
      </c>
      <c r="W16" s="420">
        <f t="shared" si="4"/>
        <v>953060</v>
      </c>
      <c r="X16" s="420">
        <f t="shared" si="4"/>
        <v>110027</v>
      </c>
      <c r="Y16" s="420">
        <f t="shared" si="4"/>
        <v>0</v>
      </c>
      <c r="Z16" s="420">
        <f t="shared" si="4"/>
        <v>0</v>
      </c>
      <c r="AA16" s="436">
        <f>+'loans_av rate'!C18</f>
        <v>183289903</v>
      </c>
      <c r="AB16" s="434">
        <f>+'loans_av rate'!E18</f>
        <v>183289903</v>
      </c>
      <c r="AC16" s="434">
        <f>+'loans_av rate'!G18</f>
        <v>0</v>
      </c>
      <c r="AD16" s="434"/>
      <c r="AE16" s="434"/>
      <c r="AF16" s="434"/>
    </row>
    <row r="17" spans="1:32" s="397" customFormat="1" ht="49.5" customHeight="1">
      <c r="A17" s="395" t="s">
        <v>281</v>
      </c>
      <c r="B17" s="396" t="s">
        <v>808</v>
      </c>
      <c r="C17" s="418">
        <f t="shared" ref="C17:C24" si="5">+E17+G17</f>
        <v>183289903</v>
      </c>
      <c r="D17" s="394">
        <v>0.17929227820083987</v>
      </c>
      <c r="E17" s="419">
        <v>183289903</v>
      </c>
      <c r="F17" s="394">
        <v>0.17929227820083987</v>
      </c>
      <c r="G17" s="419"/>
      <c r="H17" s="394"/>
      <c r="I17" s="419">
        <v>0</v>
      </c>
      <c r="J17" s="419">
        <v>250549</v>
      </c>
      <c r="K17" s="419">
        <v>26830371</v>
      </c>
      <c r="L17" s="419">
        <v>88440070</v>
      </c>
      <c r="M17" s="419">
        <v>67768913</v>
      </c>
      <c r="N17" s="419">
        <v>148882813</v>
      </c>
      <c r="O17" s="419">
        <v>30374795</v>
      </c>
      <c r="P17" s="419">
        <v>3812241</v>
      </c>
      <c r="Q17" s="419">
        <v>220054</v>
      </c>
      <c r="R17" s="419">
        <v>0</v>
      </c>
      <c r="S17" s="418">
        <f t="shared" si="3"/>
        <v>4100567</v>
      </c>
      <c r="T17" s="419">
        <v>0</v>
      </c>
      <c r="U17" s="419">
        <v>0</v>
      </c>
      <c r="V17" s="419">
        <v>3037480</v>
      </c>
      <c r="W17" s="419">
        <v>953060</v>
      </c>
      <c r="X17" s="419">
        <v>110027</v>
      </c>
      <c r="Y17" s="419"/>
      <c r="Z17" s="419"/>
      <c r="AA17" s="436"/>
      <c r="AB17" s="438"/>
      <c r="AC17" s="438"/>
      <c r="AD17" s="438"/>
      <c r="AE17" s="438"/>
      <c r="AF17" s="438"/>
    </row>
    <row r="18" spans="1:32" s="397" customFormat="1" ht="49.5" customHeight="1">
      <c r="A18" s="395" t="s">
        <v>282</v>
      </c>
      <c r="B18" s="396" t="s">
        <v>809</v>
      </c>
      <c r="C18" s="418">
        <f t="shared" si="5"/>
        <v>0</v>
      </c>
      <c r="D18" s="394"/>
      <c r="E18" s="419"/>
      <c r="F18" s="394"/>
      <c r="G18" s="419"/>
      <c r="H18" s="394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8">
        <f t="shared" si="3"/>
        <v>0</v>
      </c>
      <c r="T18" s="419"/>
      <c r="U18" s="419"/>
      <c r="V18" s="419"/>
      <c r="W18" s="419"/>
      <c r="X18" s="419"/>
      <c r="Y18" s="419"/>
      <c r="Z18" s="419"/>
      <c r="AA18" s="436"/>
      <c r="AB18" s="438"/>
      <c r="AC18" s="438"/>
      <c r="AD18" s="438"/>
      <c r="AE18" s="438"/>
      <c r="AF18" s="438"/>
    </row>
    <row r="19" spans="1:32" s="397" customFormat="1" ht="49.5" customHeight="1">
      <c r="A19" s="395" t="s">
        <v>284</v>
      </c>
      <c r="B19" s="396" t="s">
        <v>813</v>
      </c>
      <c r="C19" s="418">
        <f t="shared" si="5"/>
        <v>0</v>
      </c>
      <c r="D19" s="394"/>
      <c r="E19" s="419"/>
      <c r="F19" s="394"/>
      <c r="G19" s="419"/>
      <c r="H19" s="394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8">
        <f t="shared" si="3"/>
        <v>0</v>
      </c>
      <c r="T19" s="419"/>
      <c r="U19" s="419"/>
      <c r="V19" s="419"/>
      <c r="W19" s="419"/>
      <c r="X19" s="419"/>
      <c r="Y19" s="419"/>
      <c r="Z19" s="419"/>
      <c r="AA19" s="436"/>
      <c r="AB19" s="438"/>
      <c r="AC19" s="438"/>
      <c r="AD19" s="438"/>
      <c r="AE19" s="438"/>
      <c r="AF19" s="438"/>
    </row>
    <row r="20" spans="1:32" s="397" customFormat="1" ht="49.5" customHeight="1">
      <c r="A20" s="395" t="s">
        <v>286</v>
      </c>
      <c r="B20" s="396" t="s">
        <v>810</v>
      </c>
      <c r="C20" s="418">
        <f t="shared" si="5"/>
        <v>0</v>
      </c>
      <c r="D20" s="394"/>
      <c r="E20" s="419"/>
      <c r="F20" s="394"/>
      <c r="G20" s="419"/>
      <c r="H20" s="394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8">
        <f t="shared" si="3"/>
        <v>0</v>
      </c>
      <c r="T20" s="419"/>
      <c r="U20" s="419"/>
      <c r="V20" s="419"/>
      <c r="W20" s="419"/>
      <c r="X20" s="419"/>
      <c r="Y20" s="419"/>
      <c r="Z20" s="419"/>
      <c r="AA20" s="436"/>
      <c r="AB20" s="438"/>
      <c r="AC20" s="438"/>
      <c r="AD20" s="438"/>
      <c r="AE20" s="438"/>
      <c r="AF20" s="438"/>
    </row>
    <row r="21" spans="1:32" s="387" customFormat="1" ht="49.5" customHeight="1">
      <c r="A21" s="398">
        <v>3</v>
      </c>
      <c r="B21" s="399" t="s">
        <v>821</v>
      </c>
      <c r="C21" s="418">
        <f t="shared" si="5"/>
        <v>299211730</v>
      </c>
      <c r="D21" s="394">
        <v>0.26217597941180654</v>
      </c>
      <c r="E21" s="419">
        <v>299211730</v>
      </c>
      <c r="F21" s="394">
        <v>0.26217597941180654</v>
      </c>
      <c r="G21" s="419"/>
      <c r="H21" s="394"/>
      <c r="I21" s="419">
        <v>142720327</v>
      </c>
      <c r="J21" s="419">
        <v>156491403</v>
      </c>
      <c r="K21" s="419">
        <v>0</v>
      </c>
      <c r="L21" s="419">
        <v>0</v>
      </c>
      <c r="M21" s="419">
        <v>0</v>
      </c>
      <c r="N21" s="419">
        <v>281822580</v>
      </c>
      <c r="O21" s="419">
        <v>16077335</v>
      </c>
      <c r="P21" s="419">
        <v>359254</v>
      </c>
      <c r="Q21" s="419">
        <v>828496</v>
      </c>
      <c r="R21" s="419">
        <v>124065</v>
      </c>
      <c r="S21" s="418">
        <f t="shared" si="3"/>
        <v>2240961</v>
      </c>
      <c r="T21" s="419">
        <v>0</v>
      </c>
      <c r="U21" s="419">
        <v>1612834</v>
      </c>
      <c r="V21" s="419">
        <v>89814</v>
      </c>
      <c r="W21" s="419">
        <v>414248</v>
      </c>
      <c r="X21" s="419">
        <v>124065</v>
      </c>
      <c r="Y21" s="419"/>
      <c r="Z21" s="419"/>
      <c r="AA21" s="436">
        <f>+'loans_av rate'!C12+'loans_av rate'!C20</f>
        <v>299211730</v>
      </c>
      <c r="AB21" s="436">
        <f>+'loans_av rate'!E12+'loans_av rate'!E20</f>
        <v>299211730</v>
      </c>
      <c r="AC21" s="436">
        <f>+'loans_av rate'!G12+'loans_av rate'!G20</f>
        <v>0</v>
      </c>
      <c r="AE21" s="434"/>
      <c r="AF21" s="434"/>
    </row>
    <row r="22" spans="1:32" s="387" customFormat="1" ht="49.5" customHeight="1">
      <c r="A22" s="398">
        <v>4</v>
      </c>
      <c r="B22" s="399" t="s">
        <v>677</v>
      </c>
      <c r="C22" s="418">
        <f t="shared" si="5"/>
        <v>498309085</v>
      </c>
      <c r="D22" s="394">
        <v>0.27688075351345887</v>
      </c>
      <c r="E22" s="419">
        <v>498309085</v>
      </c>
      <c r="F22" s="394">
        <v>0.27688075351345887</v>
      </c>
      <c r="G22" s="419"/>
      <c r="H22" s="394"/>
      <c r="I22" s="419">
        <v>10713016</v>
      </c>
      <c r="J22" s="419">
        <v>487596069</v>
      </c>
      <c r="K22" s="419">
        <v>0</v>
      </c>
      <c r="L22" s="419">
        <v>0</v>
      </c>
      <c r="M22" s="419">
        <v>0</v>
      </c>
      <c r="N22" s="419">
        <v>460560108</v>
      </c>
      <c r="O22" s="419">
        <v>36022993</v>
      </c>
      <c r="P22" s="419">
        <v>449998</v>
      </c>
      <c r="Q22" s="419">
        <v>1056703</v>
      </c>
      <c r="R22" s="419">
        <v>219283</v>
      </c>
      <c r="S22" s="418">
        <f t="shared" si="3"/>
        <v>4462656</v>
      </c>
      <c r="T22" s="419">
        <v>0</v>
      </c>
      <c r="U22" s="419">
        <v>3602522</v>
      </c>
      <c r="V22" s="419">
        <v>112499</v>
      </c>
      <c r="W22" s="419">
        <v>528352</v>
      </c>
      <c r="X22" s="419">
        <v>219283</v>
      </c>
      <c r="Y22" s="419"/>
      <c r="Z22" s="419"/>
      <c r="AA22" s="436">
        <f>+'loans_av rate'!C11+'loans_av rate'!C13+'loans_av rate'!C19+'loans_av rate'!C21</f>
        <v>498309085</v>
      </c>
      <c r="AB22" s="436">
        <f>+'loans_av rate'!E11+'loans_av rate'!E13+'loans_av rate'!E19+'loans_av rate'!E21</f>
        <v>498309085</v>
      </c>
      <c r="AC22" s="436"/>
      <c r="AE22" s="434"/>
      <c r="AF22" s="434"/>
    </row>
    <row r="23" spans="1:32" s="387" customFormat="1" ht="49.5" customHeight="1">
      <c r="A23" s="398" t="s">
        <v>585</v>
      </c>
      <c r="B23" s="399" t="s">
        <v>814</v>
      </c>
      <c r="C23" s="418">
        <f t="shared" si="5"/>
        <v>163337476</v>
      </c>
      <c r="D23" s="394"/>
      <c r="E23" s="419">
        <v>163337476</v>
      </c>
      <c r="F23" s="394"/>
      <c r="G23" s="419"/>
      <c r="H23" s="394"/>
      <c r="I23" s="655"/>
      <c r="J23" s="419">
        <v>163337476</v>
      </c>
      <c r="K23" s="419"/>
      <c r="L23" s="419"/>
      <c r="M23" s="419"/>
      <c r="N23" s="419">
        <v>163337476</v>
      </c>
      <c r="O23" s="419">
        <v>0</v>
      </c>
      <c r="P23" s="419">
        <v>0</v>
      </c>
      <c r="Q23" s="419">
        <v>0</v>
      </c>
      <c r="R23" s="419">
        <v>0</v>
      </c>
      <c r="S23" s="418">
        <f t="shared" si="3"/>
        <v>0</v>
      </c>
      <c r="T23" s="419"/>
      <c r="U23" s="419"/>
      <c r="V23" s="419"/>
      <c r="W23" s="419"/>
      <c r="X23" s="419"/>
      <c r="Y23" s="419"/>
      <c r="Z23" s="419"/>
      <c r="AA23" s="436">
        <f>+'loans_av rate'!C11+'loans_av rate'!C19</f>
        <v>163337476</v>
      </c>
      <c r="AB23" s="436">
        <f>+'loans_av rate'!E11+'loans_av rate'!E19</f>
        <v>163337476</v>
      </c>
      <c r="AC23" s="436">
        <f>+'loans_av rate'!G11+'loans_av rate'!G19</f>
        <v>0</v>
      </c>
      <c r="AE23" s="434"/>
      <c r="AF23" s="434"/>
    </row>
    <row r="24" spans="1:32" s="387" customFormat="1" ht="49.5" customHeight="1">
      <c r="A24" s="398">
        <v>5</v>
      </c>
      <c r="B24" s="399" t="s">
        <v>665</v>
      </c>
      <c r="C24" s="418">
        <f t="shared" si="5"/>
        <v>1288162249</v>
      </c>
      <c r="D24" s="394">
        <v>0.12012193457195491</v>
      </c>
      <c r="E24" s="419">
        <v>1288162249</v>
      </c>
      <c r="F24" s="394">
        <v>0.12012193457195491</v>
      </c>
      <c r="G24" s="419"/>
      <c r="H24" s="394"/>
      <c r="I24" s="419">
        <v>3870026</v>
      </c>
      <c r="J24" s="419">
        <v>1283657022</v>
      </c>
      <c r="K24" s="419">
        <v>593968</v>
      </c>
      <c r="L24" s="419">
        <v>41233</v>
      </c>
      <c r="M24" s="419">
        <v>0</v>
      </c>
      <c r="N24" s="419">
        <v>993246182</v>
      </c>
      <c r="O24" s="419">
        <v>276369527</v>
      </c>
      <c r="P24" s="419">
        <v>15256450</v>
      </c>
      <c r="Q24" s="419">
        <v>2032226</v>
      </c>
      <c r="R24" s="419">
        <v>1257864</v>
      </c>
      <c r="S24" s="418">
        <f t="shared" si="3"/>
        <v>33693932</v>
      </c>
      <c r="T24" s="419">
        <v>0</v>
      </c>
      <c r="U24" s="419">
        <v>30643323</v>
      </c>
      <c r="V24" s="419">
        <v>1729692</v>
      </c>
      <c r="W24" s="419">
        <v>173080</v>
      </c>
      <c r="X24" s="419">
        <v>1147837</v>
      </c>
      <c r="Y24" s="419"/>
      <c r="Z24" s="419"/>
      <c r="AA24" s="436">
        <f>+'loans_av rate'!C14+'loans_av rate'!C22</f>
        <v>1288162249</v>
      </c>
      <c r="AB24" s="436">
        <f>+'loans_av rate'!E14+'loans_av rate'!E22</f>
        <v>1288162249</v>
      </c>
      <c r="AC24" s="436"/>
      <c r="AE24" s="434"/>
      <c r="AF24" s="434"/>
    </row>
    <row r="25" spans="1:32" s="404" customFormat="1" ht="49.5" customHeight="1">
      <c r="A25" s="389" t="s">
        <v>75</v>
      </c>
      <c r="B25" s="389" t="s">
        <v>812</v>
      </c>
      <c r="C25" s="390">
        <f>+C26</f>
        <v>6143987809</v>
      </c>
      <c r="D25" s="391">
        <f>IFERROR(((C27*D27)/C25)+((C28*D28)/C25)+((C29*D29)/C25)+((C30*D30)/C25)+((C31*D31)/C25)+((C32*D32)/C25),0)</f>
        <v>0.13787085965163201</v>
      </c>
      <c r="E25" s="390">
        <f t="shared" ref="E25:Z25" si="6">+E26</f>
        <v>3327463434</v>
      </c>
      <c r="F25" s="391">
        <f>IFERROR(((E27*F27)/E25)+((E28*F28)/E25)+((E29*F29)/E25)+((E30*F30)/E25)+((E31*F31)/E25)+((E32*F32)/E25),0)</f>
        <v>0.17733492538957238</v>
      </c>
      <c r="G25" s="390">
        <f t="shared" si="6"/>
        <v>2816524375</v>
      </c>
      <c r="H25" s="391">
        <f>IFERROR(((G27*H27)/G25)+((G28*H28)/G25)+((G29*H29)/G25)+((G30*H30)/G25)+((G31*H31)/G25)+((G32*H32)/G25),0)</f>
        <v>9.4617740174260861E-2</v>
      </c>
      <c r="I25" s="390">
        <f t="shared" si="6"/>
        <v>669883961</v>
      </c>
      <c r="J25" s="390">
        <f t="shared" si="6"/>
        <v>4590445884</v>
      </c>
      <c r="K25" s="390">
        <f t="shared" si="6"/>
        <v>745766397</v>
      </c>
      <c r="L25" s="390">
        <f t="shared" si="6"/>
        <v>137891567</v>
      </c>
      <c r="M25" s="390">
        <f t="shared" si="6"/>
        <v>0</v>
      </c>
      <c r="N25" s="390">
        <f t="shared" si="6"/>
        <v>4924032517</v>
      </c>
      <c r="O25" s="390">
        <f t="shared" si="6"/>
        <v>1163020842</v>
      </c>
      <c r="P25" s="390">
        <f t="shared" si="6"/>
        <v>12113685</v>
      </c>
      <c r="Q25" s="390">
        <f t="shared" si="6"/>
        <v>30857272</v>
      </c>
      <c r="R25" s="390">
        <f t="shared" si="6"/>
        <v>13963493</v>
      </c>
      <c r="S25" s="390">
        <f t="shared" si="6"/>
        <v>149206170</v>
      </c>
      <c r="T25" s="390">
        <f t="shared" si="6"/>
        <v>0</v>
      </c>
      <c r="U25" s="390">
        <f t="shared" si="6"/>
        <v>116728119</v>
      </c>
      <c r="V25" s="390">
        <f t="shared" si="6"/>
        <v>3028421</v>
      </c>
      <c r="W25" s="390">
        <f t="shared" si="6"/>
        <v>15486137</v>
      </c>
      <c r="X25" s="390">
        <f t="shared" si="6"/>
        <v>13963493</v>
      </c>
      <c r="Y25" s="390">
        <f t="shared" si="6"/>
        <v>0</v>
      </c>
      <c r="Z25" s="390">
        <f t="shared" si="6"/>
        <v>0</v>
      </c>
      <c r="AA25" s="436">
        <f>+'loans_av rate'!C24+'loans_av rate'!C33</f>
        <v>6143987809</v>
      </c>
      <c r="AB25" s="436">
        <f>+'loans_av rate'!E24+'loans_av rate'!E33</f>
        <v>3327463434</v>
      </c>
      <c r="AC25" s="436">
        <f>+'loans_av rate'!G24+'loans_av rate'!G33</f>
        <v>2816524375</v>
      </c>
      <c r="AE25" s="437"/>
      <c r="AF25" s="437"/>
    </row>
    <row r="26" spans="1:32" s="404" customFormat="1" ht="33.75" customHeight="1">
      <c r="A26" s="389"/>
      <c r="B26" s="389" t="s">
        <v>822</v>
      </c>
      <c r="C26" s="390">
        <f>SUM(C27:C32)</f>
        <v>6143987809</v>
      </c>
      <c r="D26" s="391">
        <f>IFERROR(((C28*D28)/C26)+((C29*D29)/C26)+((C30*D30)/C26)+((C31*D31)/C26)+((C32*D32)/C26),0)</f>
        <v>0.11486304891387276</v>
      </c>
      <c r="E26" s="390">
        <f t="shared" ref="E26:Z26" si="7">SUM(E27:E32)</f>
        <v>3327463434</v>
      </c>
      <c r="F26" s="391">
        <f>IFERROR(((E28*F28)/E26)+((E29*F29)/E26)+((E30*F30)/E26)+((E31*F31)/E26)+((E32*F32)/E26),0)</f>
        <v>0.13487633080011716</v>
      </c>
      <c r="G26" s="390">
        <f t="shared" si="7"/>
        <v>2816524375</v>
      </c>
      <c r="H26" s="391">
        <f>IFERROR(((G28*H28)/G26)+((G29*H29)/G26)+((G30*H30)/G26)+((G31*H31)/G26)+((G32*H32)/G26),0)</f>
        <v>9.4589234216607962E-2</v>
      </c>
      <c r="I26" s="390">
        <f t="shared" si="7"/>
        <v>669883961</v>
      </c>
      <c r="J26" s="390">
        <f t="shared" si="7"/>
        <v>4590445884</v>
      </c>
      <c r="K26" s="390">
        <f t="shared" si="7"/>
        <v>745766397</v>
      </c>
      <c r="L26" s="390">
        <f t="shared" si="7"/>
        <v>137891567</v>
      </c>
      <c r="M26" s="390">
        <f t="shared" si="7"/>
        <v>0</v>
      </c>
      <c r="N26" s="390">
        <f t="shared" si="7"/>
        <v>4924032517</v>
      </c>
      <c r="O26" s="390">
        <f t="shared" si="7"/>
        <v>1163020842</v>
      </c>
      <c r="P26" s="390">
        <f t="shared" si="7"/>
        <v>12113685</v>
      </c>
      <c r="Q26" s="390">
        <f t="shared" si="7"/>
        <v>30857272</v>
      </c>
      <c r="R26" s="390">
        <f t="shared" si="7"/>
        <v>13963493</v>
      </c>
      <c r="S26" s="390">
        <f t="shared" si="7"/>
        <v>149206170</v>
      </c>
      <c r="T26" s="390">
        <f t="shared" si="7"/>
        <v>0</v>
      </c>
      <c r="U26" s="390">
        <f t="shared" si="7"/>
        <v>116728119</v>
      </c>
      <c r="V26" s="390">
        <f t="shared" si="7"/>
        <v>3028421</v>
      </c>
      <c r="W26" s="390">
        <f t="shared" si="7"/>
        <v>15486137</v>
      </c>
      <c r="X26" s="390">
        <f t="shared" si="7"/>
        <v>13963493</v>
      </c>
      <c r="Y26" s="390">
        <f t="shared" si="7"/>
        <v>0</v>
      </c>
      <c r="Z26" s="390">
        <f t="shared" si="7"/>
        <v>0</v>
      </c>
      <c r="AA26" s="436"/>
      <c r="AB26" s="436"/>
      <c r="AC26" s="436"/>
      <c r="AE26" s="437"/>
      <c r="AF26" s="437"/>
    </row>
    <row r="27" spans="1:32" s="387" customFormat="1" ht="49.5" customHeight="1">
      <c r="A27" s="398">
        <v>1</v>
      </c>
      <c r="B27" s="399" t="s">
        <v>678</v>
      </c>
      <c r="C27" s="418">
        <f t="shared" ref="C27:C32" si="8">+E27+G27</f>
        <v>899816110</v>
      </c>
      <c r="D27" s="394">
        <v>0.15709844168557066</v>
      </c>
      <c r="E27" s="419">
        <v>898590912</v>
      </c>
      <c r="F27" s="394">
        <v>0.15722329156545323</v>
      </c>
      <c r="G27" s="419">
        <v>1225198</v>
      </c>
      <c r="H27" s="394">
        <v>6.5530407788872078E-2</v>
      </c>
      <c r="I27" s="419">
        <v>53115555</v>
      </c>
      <c r="J27" s="419">
        <v>845180017</v>
      </c>
      <c r="K27" s="419">
        <v>150038</v>
      </c>
      <c r="L27" s="419">
        <v>1370500</v>
      </c>
      <c r="M27" s="419">
        <v>0</v>
      </c>
      <c r="N27" s="419">
        <v>750456499</v>
      </c>
      <c r="O27" s="419">
        <v>142457435</v>
      </c>
      <c r="P27" s="419">
        <v>231284</v>
      </c>
      <c r="Q27" s="419">
        <v>3373385</v>
      </c>
      <c r="R27" s="419">
        <v>3297507</v>
      </c>
      <c r="S27" s="418">
        <f t="shared" ref="S27:S32" si="9">SUM(T27:X27)</f>
        <v>19291026</v>
      </c>
      <c r="T27" s="419">
        <v>0</v>
      </c>
      <c r="U27" s="419">
        <v>14249006</v>
      </c>
      <c r="V27" s="419">
        <v>57821</v>
      </c>
      <c r="W27" s="419">
        <v>1686692</v>
      </c>
      <c r="X27" s="419">
        <v>3297507</v>
      </c>
      <c r="Y27" s="419"/>
      <c r="Z27" s="419"/>
      <c r="AA27" s="436">
        <f>+'loans_av rate'!C26+'loans_av rate'!C35</f>
        <v>899816110</v>
      </c>
      <c r="AB27" s="436">
        <f>+'loans_av rate'!E26+'loans_av rate'!E35</f>
        <v>898590912</v>
      </c>
      <c r="AC27" s="436">
        <f>+'loans_av rate'!G26+'loans_av rate'!G35</f>
        <v>1225198</v>
      </c>
      <c r="AE27" s="434"/>
      <c r="AF27" s="434"/>
    </row>
    <row r="28" spans="1:32" s="387" customFormat="1" ht="49.5" customHeight="1">
      <c r="A28" s="398">
        <v>2</v>
      </c>
      <c r="B28" s="399" t="s">
        <v>679</v>
      </c>
      <c r="C28" s="418">
        <f t="shared" si="8"/>
        <v>0</v>
      </c>
      <c r="D28" s="394"/>
      <c r="E28" s="419"/>
      <c r="F28" s="394"/>
      <c r="G28" s="419"/>
      <c r="H28" s="394"/>
      <c r="I28" s="419">
        <v>0</v>
      </c>
      <c r="J28" s="419">
        <v>0</v>
      </c>
      <c r="K28" s="419">
        <v>0</v>
      </c>
      <c r="L28" s="419">
        <v>0</v>
      </c>
      <c r="M28" s="419">
        <v>0</v>
      </c>
      <c r="N28" s="419">
        <v>0</v>
      </c>
      <c r="O28" s="419">
        <v>0</v>
      </c>
      <c r="P28" s="419">
        <v>0</v>
      </c>
      <c r="Q28" s="419">
        <v>0</v>
      </c>
      <c r="R28" s="419">
        <v>0</v>
      </c>
      <c r="S28" s="418">
        <f t="shared" si="9"/>
        <v>0</v>
      </c>
      <c r="T28" s="419"/>
      <c r="U28" s="419"/>
      <c r="V28" s="419"/>
      <c r="W28" s="419"/>
      <c r="X28" s="419"/>
      <c r="Y28" s="419"/>
      <c r="Z28" s="419"/>
      <c r="AA28" s="436">
        <f>+'loans_av rate'!C27+'loans_av rate'!C36</f>
        <v>0</v>
      </c>
      <c r="AB28" s="436">
        <f>+'loans_av rate'!E27+'loans_av rate'!E36</f>
        <v>0</v>
      </c>
      <c r="AC28" s="436">
        <f>+'loans_av rate'!G27+'loans_av rate'!G36</f>
        <v>0</v>
      </c>
      <c r="AE28" s="434"/>
      <c r="AF28" s="434"/>
    </row>
    <row r="29" spans="1:32" s="387" customFormat="1" ht="49.5" customHeight="1">
      <c r="A29" s="398">
        <v>3</v>
      </c>
      <c r="B29" s="399" t="s">
        <v>680</v>
      </c>
      <c r="C29" s="418">
        <f t="shared" si="8"/>
        <v>11656206</v>
      </c>
      <c r="D29" s="394">
        <v>0.12242684131106177</v>
      </c>
      <c r="E29" s="419">
        <v>2972348</v>
      </c>
      <c r="F29" s="394">
        <v>0.18794793815786201</v>
      </c>
      <c r="G29" s="419">
        <v>8683858</v>
      </c>
      <c r="H29" s="394">
        <v>0.1</v>
      </c>
      <c r="I29" s="419">
        <v>0</v>
      </c>
      <c r="J29" s="419">
        <v>11652936</v>
      </c>
      <c r="K29" s="419">
        <v>3270</v>
      </c>
      <c r="L29" s="419">
        <v>0</v>
      </c>
      <c r="M29" s="419">
        <v>0</v>
      </c>
      <c r="N29" s="419">
        <v>10637682</v>
      </c>
      <c r="O29" s="419">
        <v>397894</v>
      </c>
      <c r="P29" s="419">
        <v>293097</v>
      </c>
      <c r="Q29" s="419">
        <v>0</v>
      </c>
      <c r="R29" s="419">
        <v>327533</v>
      </c>
      <c r="S29" s="418">
        <f t="shared" si="9"/>
        <v>440596</v>
      </c>
      <c r="T29" s="419">
        <v>0</v>
      </c>
      <c r="U29" s="419">
        <v>39789</v>
      </c>
      <c r="V29" s="419">
        <v>73274</v>
      </c>
      <c r="W29" s="419"/>
      <c r="X29" s="419">
        <v>327533</v>
      </c>
      <c r="Y29" s="419"/>
      <c r="Z29" s="419"/>
      <c r="AA29" s="436">
        <f>+'loans_av rate'!C28+'loans_av rate'!C37</f>
        <v>11656206</v>
      </c>
      <c r="AB29" s="436">
        <f>+'loans_av rate'!E28+'loans_av rate'!E37</f>
        <v>2972348</v>
      </c>
      <c r="AC29" s="436">
        <f>+'loans_av rate'!G28+'loans_av rate'!G37</f>
        <v>8683858</v>
      </c>
      <c r="AE29" s="434"/>
      <c r="AF29" s="434"/>
    </row>
    <row r="30" spans="1:32" s="387" customFormat="1" ht="49.5" customHeight="1">
      <c r="A30" s="398">
        <v>4</v>
      </c>
      <c r="B30" s="399" t="s">
        <v>681</v>
      </c>
      <c r="C30" s="418">
        <f t="shared" si="8"/>
        <v>19292739</v>
      </c>
      <c r="D30" s="394">
        <v>5.6308359242138423E-2</v>
      </c>
      <c r="E30" s="419">
        <v>19292739</v>
      </c>
      <c r="F30" s="394">
        <v>5.6308359242138423E-2</v>
      </c>
      <c r="G30" s="419"/>
      <c r="H30" s="394"/>
      <c r="I30" s="419">
        <v>19292739</v>
      </c>
      <c r="J30" s="419">
        <v>0</v>
      </c>
      <c r="K30" s="419">
        <v>0</v>
      </c>
      <c r="L30" s="419">
        <v>0</v>
      </c>
      <c r="M30" s="419">
        <v>0</v>
      </c>
      <c r="N30" s="419">
        <v>18542848</v>
      </c>
      <c r="O30" s="419">
        <v>249563</v>
      </c>
      <c r="P30" s="419">
        <v>0</v>
      </c>
      <c r="Q30" s="419">
        <v>500328</v>
      </c>
      <c r="R30" s="419">
        <v>0</v>
      </c>
      <c r="S30" s="418">
        <f t="shared" si="9"/>
        <v>307664</v>
      </c>
      <c r="T30" s="419"/>
      <c r="U30" s="419">
        <v>0</v>
      </c>
      <c r="V30" s="419">
        <v>0</v>
      </c>
      <c r="W30" s="419">
        <v>307664</v>
      </c>
      <c r="X30" s="419">
        <v>0</v>
      </c>
      <c r="Y30" s="419"/>
      <c r="Z30" s="419"/>
      <c r="AA30" s="436">
        <f>+'loans_av rate'!C29+'loans_av rate'!C38</f>
        <v>19292739</v>
      </c>
      <c r="AB30" s="436">
        <f>+'loans_av rate'!E29+'loans_av rate'!E38</f>
        <v>19292739</v>
      </c>
      <c r="AC30" s="436">
        <f>+'loans_av rate'!G29+'loans_av rate'!G38</f>
        <v>0</v>
      </c>
      <c r="AE30" s="434"/>
      <c r="AF30" s="434"/>
    </row>
    <row r="31" spans="1:32" s="387" customFormat="1" ht="49.5" customHeight="1">
      <c r="A31" s="398">
        <v>5</v>
      </c>
      <c r="B31" s="399" t="s">
        <v>682</v>
      </c>
      <c r="C31" s="418">
        <f t="shared" si="8"/>
        <v>0</v>
      </c>
      <c r="D31" s="394"/>
      <c r="E31" s="419"/>
      <c r="F31" s="394"/>
      <c r="G31" s="419"/>
      <c r="H31" s="394"/>
      <c r="I31" s="419">
        <v>0</v>
      </c>
      <c r="J31" s="419">
        <v>0</v>
      </c>
      <c r="K31" s="419">
        <v>0</v>
      </c>
      <c r="L31" s="419">
        <v>0</v>
      </c>
      <c r="M31" s="419">
        <v>0</v>
      </c>
      <c r="N31" s="419"/>
      <c r="O31" s="419"/>
      <c r="P31" s="419"/>
      <c r="Q31" s="419"/>
      <c r="R31" s="419"/>
      <c r="S31" s="418">
        <f t="shared" si="9"/>
        <v>0</v>
      </c>
      <c r="T31" s="419"/>
      <c r="U31" s="419"/>
      <c r="V31" s="419"/>
      <c r="W31" s="419"/>
      <c r="X31" s="419"/>
      <c r="Y31" s="419"/>
      <c r="Z31" s="419"/>
      <c r="AA31" s="436">
        <f>+'loans_av rate'!C30+'loans_av rate'!C39</f>
        <v>0</v>
      </c>
      <c r="AB31" s="436">
        <f>+'loans_av rate'!E30+'loans_av rate'!E39</f>
        <v>0</v>
      </c>
      <c r="AC31" s="436">
        <f>+'loans_av rate'!G30+'loans_av rate'!G39</f>
        <v>0</v>
      </c>
      <c r="AE31" s="434"/>
      <c r="AF31" s="434"/>
    </row>
    <row r="32" spans="1:32" s="387" customFormat="1" ht="49.5" customHeight="1">
      <c r="A32" s="398">
        <v>6</v>
      </c>
      <c r="B32" s="399" t="s">
        <v>823</v>
      </c>
      <c r="C32" s="418">
        <f t="shared" si="8"/>
        <v>5213222754</v>
      </c>
      <c r="D32" s="394">
        <v>0.13488849996505964</v>
      </c>
      <c r="E32" s="419">
        <v>2406607435</v>
      </c>
      <c r="F32" s="394">
        <v>0.185801416213531</v>
      </c>
      <c r="G32" s="419">
        <v>2806615319</v>
      </c>
      <c r="H32" s="394">
        <v>9.4613784862499134E-2</v>
      </c>
      <c r="I32" s="419">
        <v>597475667</v>
      </c>
      <c r="J32" s="419">
        <v>3733612931</v>
      </c>
      <c r="K32" s="419">
        <v>745613089</v>
      </c>
      <c r="L32" s="419">
        <v>136521067</v>
      </c>
      <c r="M32" s="419">
        <v>0</v>
      </c>
      <c r="N32" s="419">
        <v>4144395488</v>
      </c>
      <c r="O32" s="419">
        <v>1019915950</v>
      </c>
      <c r="P32" s="419">
        <v>11589304</v>
      </c>
      <c r="Q32" s="419">
        <v>26983559</v>
      </c>
      <c r="R32" s="419">
        <v>10338453</v>
      </c>
      <c r="S32" s="418">
        <f t="shared" si="9"/>
        <v>129166884</v>
      </c>
      <c r="T32" s="419">
        <v>0</v>
      </c>
      <c r="U32" s="419">
        <v>102439324</v>
      </c>
      <c r="V32" s="419">
        <v>2897326</v>
      </c>
      <c r="W32" s="419">
        <v>13491781</v>
      </c>
      <c r="X32" s="419">
        <v>10338453</v>
      </c>
      <c r="Y32" s="419"/>
      <c r="Z32" s="419"/>
      <c r="AA32" s="436">
        <f>+'loans_av rate'!C31+'loans_av rate'!C40</f>
        <v>5213222754</v>
      </c>
      <c r="AB32" s="436">
        <f>+'loans_av rate'!E31+'loans_av rate'!E40</f>
        <v>2406607435</v>
      </c>
      <c r="AC32" s="436">
        <f>+'loans_av rate'!G31+'loans_av rate'!G40</f>
        <v>2806615319</v>
      </c>
      <c r="AE32" s="434"/>
      <c r="AF32" s="434"/>
    </row>
    <row r="33" spans="1:32" s="404" customFormat="1" ht="33.75" customHeight="1">
      <c r="A33" s="389"/>
      <c r="B33" s="389" t="s">
        <v>824</v>
      </c>
      <c r="C33" s="390">
        <f>SUM(C34:C39)</f>
        <v>6143987809</v>
      </c>
      <c r="D33" s="391">
        <f>IFERROR(((C35*D35)/C33)+((C36*D36)/C33)+((C37*D37)/C33)+((C38*D38)/C33)+((C39*D39)/C33),0)</f>
        <v>0.12737616711274502</v>
      </c>
      <c r="E33" s="390">
        <f t="shared" ref="E33:Z33" si="10">SUM(E34:E39)</f>
        <v>3327463434</v>
      </c>
      <c r="F33" s="391">
        <f>IFERROR(((E35*F35)/E33)+((E36*F36)/E33)+((E37*F37)/E33)+((E38*F38)/E33)+((E39*F39)/E33),0)</f>
        <v>0.14966015428367424</v>
      </c>
      <c r="G33" s="390">
        <f t="shared" si="10"/>
        <v>2816524375</v>
      </c>
      <c r="H33" s="391">
        <f>IFERROR(((G35*H35)/G33)+((G36*H36)/G33)+((G37*H37)/G33)+((G38*H38)/G33)+((G39*H39)/G33),0)</f>
        <v>9.7783781779977874E-2</v>
      </c>
      <c r="I33" s="390">
        <f t="shared" si="10"/>
        <v>669883961</v>
      </c>
      <c r="J33" s="390">
        <f t="shared" si="10"/>
        <v>4590445884</v>
      </c>
      <c r="K33" s="390">
        <f t="shared" si="10"/>
        <v>745766397</v>
      </c>
      <c r="L33" s="390">
        <f t="shared" si="10"/>
        <v>137891567</v>
      </c>
      <c r="M33" s="390">
        <f t="shared" si="10"/>
        <v>0</v>
      </c>
      <c r="N33" s="390">
        <f t="shared" si="10"/>
        <v>4924032517</v>
      </c>
      <c r="O33" s="390">
        <f t="shared" si="10"/>
        <v>1163020842</v>
      </c>
      <c r="P33" s="390">
        <f t="shared" si="10"/>
        <v>12113685</v>
      </c>
      <c r="Q33" s="390">
        <f t="shared" si="10"/>
        <v>30857272</v>
      </c>
      <c r="R33" s="390">
        <f t="shared" si="10"/>
        <v>13963493</v>
      </c>
      <c r="S33" s="390">
        <f t="shared" si="10"/>
        <v>149206170</v>
      </c>
      <c r="T33" s="390">
        <f t="shared" si="10"/>
        <v>0</v>
      </c>
      <c r="U33" s="390">
        <f t="shared" si="10"/>
        <v>116728119</v>
      </c>
      <c r="V33" s="390">
        <f t="shared" si="10"/>
        <v>3028421</v>
      </c>
      <c r="W33" s="390">
        <f t="shared" si="10"/>
        <v>15486137</v>
      </c>
      <c r="X33" s="390">
        <f t="shared" si="10"/>
        <v>13963493</v>
      </c>
      <c r="Y33" s="390">
        <f t="shared" si="10"/>
        <v>0</v>
      </c>
      <c r="Z33" s="390">
        <f t="shared" si="10"/>
        <v>0</v>
      </c>
      <c r="AA33" s="436"/>
      <c r="AB33" s="437"/>
      <c r="AC33" s="437"/>
      <c r="AD33" s="437"/>
      <c r="AE33" s="437"/>
      <c r="AF33" s="437"/>
    </row>
    <row r="34" spans="1:32" s="387" customFormat="1" ht="49.5" customHeight="1">
      <c r="A34" s="398">
        <v>1</v>
      </c>
      <c r="B34" s="399" t="s">
        <v>816</v>
      </c>
      <c r="C34" s="418">
        <f t="shared" ref="C34:C39" si="11">+E34+G34</f>
        <v>817291404</v>
      </c>
      <c r="D34" s="394">
        <v>0.11003156174352149</v>
      </c>
      <c r="E34" s="419">
        <v>817291404</v>
      </c>
      <c r="F34" s="394">
        <v>0</v>
      </c>
      <c r="G34" s="419">
        <v>0</v>
      </c>
      <c r="H34" s="394">
        <v>0</v>
      </c>
      <c r="I34" s="419">
        <v>920469</v>
      </c>
      <c r="J34" s="419">
        <v>705175762</v>
      </c>
      <c r="K34" s="419">
        <v>1368756</v>
      </c>
      <c r="L34" s="419">
        <v>109826417</v>
      </c>
      <c r="M34" s="419">
        <v>0</v>
      </c>
      <c r="N34" s="419">
        <v>681377825</v>
      </c>
      <c r="O34" s="419">
        <v>129815919</v>
      </c>
      <c r="P34" s="419">
        <v>593540</v>
      </c>
      <c r="Q34" s="419">
        <v>4417430</v>
      </c>
      <c r="R34" s="419">
        <v>1086690</v>
      </c>
      <c r="S34" s="418">
        <f t="shared" ref="S34:S39" si="12">SUM(T34:X34)</f>
        <v>19003878</v>
      </c>
      <c r="T34" s="419">
        <v>0</v>
      </c>
      <c r="U34" s="419">
        <v>16445284</v>
      </c>
      <c r="V34" s="419">
        <v>201494</v>
      </c>
      <c r="W34" s="419">
        <v>148385</v>
      </c>
      <c r="X34" s="419">
        <v>2208715</v>
      </c>
      <c r="Y34" s="419"/>
      <c r="Z34" s="419"/>
      <c r="AB34" s="434"/>
      <c r="AC34" s="434"/>
      <c r="AD34" s="434"/>
      <c r="AE34" s="434"/>
      <c r="AF34" s="434"/>
    </row>
    <row r="35" spans="1:32" s="387" customFormat="1" ht="49.5" customHeight="1">
      <c r="A35" s="398">
        <v>2</v>
      </c>
      <c r="B35" s="399" t="s">
        <v>817</v>
      </c>
      <c r="C35" s="418">
        <f t="shared" si="11"/>
        <v>924996782</v>
      </c>
      <c r="D35" s="394">
        <v>0.19527213757122341</v>
      </c>
      <c r="E35" s="419">
        <v>503716457</v>
      </c>
      <c r="F35" s="394">
        <v>0.24548082684004682</v>
      </c>
      <c r="G35" s="419">
        <v>421280325</v>
      </c>
      <c r="H35" s="394">
        <v>0.10445052009349803</v>
      </c>
      <c r="I35" s="419">
        <v>325363091</v>
      </c>
      <c r="J35" s="419">
        <v>599633691</v>
      </c>
      <c r="K35" s="419">
        <v>0</v>
      </c>
      <c r="L35" s="419">
        <v>0</v>
      </c>
      <c r="M35" s="419">
        <v>0</v>
      </c>
      <c r="N35" s="419">
        <v>750468065</v>
      </c>
      <c r="O35" s="419">
        <v>147024244</v>
      </c>
      <c r="P35" s="419">
        <v>1073423</v>
      </c>
      <c r="Q35" s="419">
        <v>22133472</v>
      </c>
      <c r="R35" s="419">
        <v>4297578</v>
      </c>
      <c r="S35" s="418">
        <f t="shared" si="12"/>
        <v>41749967</v>
      </c>
      <c r="T35" s="419">
        <v>0</v>
      </c>
      <c r="U35" s="419">
        <v>30835094</v>
      </c>
      <c r="V35" s="419">
        <v>1102424</v>
      </c>
      <c r="W35" s="419">
        <v>268356</v>
      </c>
      <c r="X35" s="419">
        <v>9544093</v>
      </c>
      <c r="Y35" s="419"/>
      <c r="Z35" s="419"/>
      <c r="AB35" s="434"/>
      <c r="AC35" s="434"/>
      <c r="AD35" s="434"/>
      <c r="AE35" s="434"/>
      <c r="AF35" s="434"/>
    </row>
    <row r="36" spans="1:32" s="387" customFormat="1" ht="58.5" customHeight="1">
      <c r="A36" s="398">
        <v>3</v>
      </c>
      <c r="B36" s="399" t="s">
        <v>818</v>
      </c>
      <c r="C36" s="418">
        <f t="shared" si="11"/>
        <v>2095612043</v>
      </c>
      <c r="D36" s="394">
        <v>0.12499898157781769</v>
      </c>
      <c r="E36" s="419">
        <v>714443996</v>
      </c>
      <c r="F36" s="394">
        <v>0.17609010271888753</v>
      </c>
      <c r="G36" s="419">
        <v>1381168047</v>
      </c>
      <c r="H36" s="394">
        <v>9.8262236493410662E-2</v>
      </c>
      <c r="I36" s="419">
        <v>24815483</v>
      </c>
      <c r="J36" s="419">
        <v>1815458544</v>
      </c>
      <c r="K36" s="419">
        <v>255338016</v>
      </c>
      <c r="L36" s="419">
        <v>0</v>
      </c>
      <c r="M36" s="419">
        <v>0</v>
      </c>
      <c r="N36" s="419">
        <v>1658592286</v>
      </c>
      <c r="O36" s="419">
        <v>426643687</v>
      </c>
      <c r="P36" s="419">
        <v>1859828</v>
      </c>
      <c r="Q36" s="419">
        <v>2861623</v>
      </c>
      <c r="R36" s="419">
        <v>5654619</v>
      </c>
      <c r="S36" s="418">
        <f t="shared" si="12"/>
        <v>53069991</v>
      </c>
      <c r="T36" s="419">
        <v>0</v>
      </c>
      <c r="U36" s="419">
        <v>50409854</v>
      </c>
      <c r="V36" s="419">
        <v>764369</v>
      </c>
      <c r="W36" s="419">
        <v>464957</v>
      </c>
      <c r="X36" s="419">
        <v>1430811</v>
      </c>
      <c r="Y36" s="419"/>
      <c r="Z36" s="419"/>
      <c r="AB36" s="434"/>
      <c r="AC36" s="434"/>
      <c r="AD36" s="434"/>
      <c r="AE36" s="434"/>
      <c r="AF36" s="434"/>
    </row>
    <row r="37" spans="1:32" s="387" customFormat="1" ht="49.5" customHeight="1">
      <c r="A37" s="398">
        <v>4</v>
      </c>
      <c r="B37" s="399" t="s">
        <v>819</v>
      </c>
      <c r="C37" s="418">
        <f t="shared" si="11"/>
        <v>0</v>
      </c>
      <c r="D37" s="394">
        <v>0</v>
      </c>
      <c r="E37" s="419">
        <v>0</v>
      </c>
      <c r="F37" s="394">
        <v>0</v>
      </c>
      <c r="G37" s="419">
        <v>0</v>
      </c>
      <c r="H37" s="394">
        <v>0</v>
      </c>
      <c r="I37" s="419">
        <v>0</v>
      </c>
      <c r="J37" s="419"/>
      <c r="K37" s="419"/>
      <c r="L37" s="419"/>
      <c r="M37" s="419"/>
      <c r="N37" s="419"/>
      <c r="O37" s="419"/>
      <c r="P37" s="419"/>
      <c r="Q37" s="419"/>
      <c r="R37" s="419"/>
      <c r="S37" s="418">
        <f t="shared" si="12"/>
        <v>0</v>
      </c>
      <c r="T37" s="419">
        <v>0</v>
      </c>
      <c r="U37" s="419">
        <v>0</v>
      </c>
      <c r="V37" s="419">
        <v>0</v>
      </c>
      <c r="W37" s="419">
        <v>0</v>
      </c>
      <c r="X37" s="419">
        <v>0</v>
      </c>
      <c r="Y37" s="419"/>
      <c r="Z37" s="419"/>
      <c r="AB37" s="434"/>
      <c r="AC37" s="434"/>
      <c r="AD37" s="434"/>
      <c r="AE37" s="434"/>
      <c r="AF37" s="434"/>
    </row>
    <row r="38" spans="1:32" s="387" customFormat="1" ht="49.5" customHeight="1">
      <c r="A38" s="398">
        <v>5</v>
      </c>
      <c r="B38" s="399" t="s">
        <v>820</v>
      </c>
      <c r="C38" s="418">
        <f t="shared" si="11"/>
        <v>9900000</v>
      </c>
      <c r="D38" s="648">
        <v>0.16</v>
      </c>
      <c r="E38" s="419">
        <v>9900000</v>
      </c>
      <c r="F38" s="394">
        <v>0.16</v>
      </c>
      <c r="G38" s="419">
        <v>0</v>
      </c>
      <c r="H38" s="394">
        <v>0</v>
      </c>
      <c r="I38" s="419">
        <v>0</v>
      </c>
      <c r="J38" s="419">
        <v>0</v>
      </c>
      <c r="K38" s="419">
        <v>9900000</v>
      </c>
      <c r="L38" s="419">
        <v>0</v>
      </c>
      <c r="M38" s="419">
        <v>0</v>
      </c>
      <c r="N38" s="419">
        <v>0</v>
      </c>
      <c r="O38" s="419">
        <v>9900000</v>
      </c>
      <c r="P38" s="419">
        <v>0</v>
      </c>
      <c r="Q38" s="419">
        <v>0</v>
      </c>
      <c r="R38" s="419">
        <v>0</v>
      </c>
      <c r="S38" s="418">
        <f t="shared" si="12"/>
        <v>990000</v>
      </c>
      <c r="T38" s="419">
        <v>0</v>
      </c>
      <c r="U38" s="419">
        <v>990000</v>
      </c>
      <c r="V38" s="419">
        <v>0</v>
      </c>
      <c r="W38" s="419">
        <v>0</v>
      </c>
      <c r="X38" s="419">
        <v>0</v>
      </c>
      <c r="Y38" s="419"/>
      <c r="Z38" s="419"/>
      <c r="AB38" s="434"/>
      <c r="AC38" s="434"/>
      <c r="AD38" s="434"/>
      <c r="AE38" s="434"/>
      <c r="AF38" s="434"/>
    </row>
    <row r="39" spans="1:32" s="387" customFormat="1" ht="49.5" customHeight="1">
      <c r="A39" s="398">
        <v>6</v>
      </c>
      <c r="B39" s="399" t="s">
        <v>825</v>
      </c>
      <c r="C39" s="418">
        <f t="shared" si="11"/>
        <v>2296187580</v>
      </c>
      <c r="D39" s="394">
        <v>0.14739133284267619</v>
      </c>
      <c r="E39" s="419">
        <v>1282111577</v>
      </c>
      <c r="F39" s="394">
        <v>0.19260838630263236</v>
      </c>
      <c r="G39" s="419">
        <v>1014076003</v>
      </c>
      <c r="H39" s="394">
        <v>9.4362547044833794E-2</v>
      </c>
      <c r="I39" s="419">
        <v>318784918</v>
      </c>
      <c r="J39" s="419">
        <v>1470177887</v>
      </c>
      <c r="K39" s="419">
        <v>479159625</v>
      </c>
      <c r="L39" s="419">
        <v>28065150</v>
      </c>
      <c r="M39" s="419">
        <v>0</v>
      </c>
      <c r="N39" s="419">
        <v>1833594341</v>
      </c>
      <c r="O39" s="419">
        <v>449636992</v>
      </c>
      <c r="P39" s="419">
        <v>8586894</v>
      </c>
      <c r="Q39" s="419">
        <v>1444747</v>
      </c>
      <c r="R39" s="419">
        <v>2924606</v>
      </c>
      <c r="S39" s="418">
        <f t="shared" si="12"/>
        <v>34392334</v>
      </c>
      <c r="T39" s="419">
        <v>0</v>
      </c>
      <c r="U39" s="419">
        <v>18047887</v>
      </c>
      <c r="V39" s="419">
        <v>960134</v>
      </c>
      <c r="W39" s="419">
        <v>14604439</v>
      </c>
      <c r="X39" s="419">
        <v>779874</v>
      </c>
      <c r="Y39" s="419"/>
      <c r="Z39" s="419"/>
      <c r="AB39" s="434"/>
      <c r="AC39" s="434"/>
      <c r="AD39" s="434"/>
      <c r="AE39" s="434"/>
      <c r="AF39" s="434"/>
    </row>
    <row r="40" spans="1:32" s="387" customFormat="1" ht="37.5" customHeight="1">
      <c r="A40" s="405"/>
      <c r="B40" s="406"/>
      <c r="C40" s="407"/>
      <c r="D40" s="422"/>
      <c r="E40" s="407"/>
      <c r="F40" s="407"/>
      <c r="G40" s="407"/>
      <c r="H40" s="407"/>
      <c r="I40" s="406"/>
      <c r="J40" s="406"/>
      <c r="K40" s="406"/>
      <c r="L40" s="406"/>
      <c r="M40" s="406"/>
      <c r="N40" s="422"/>
      <c r="O40" s="422"/>
      <c r="P40" s="422"/>
      <c r="Q40" s="422"/>
      <c r="R40" s="422"/>
      <c r="S40" s="422"/>
      <c r="T40" s="422"/>
      <c r="U40" s="422"/>
      <c r="V40" s="422"/>
      <c r="W40" s="422"/>
      <c r="X40" s="422"/>
      <c r="Y40" s="422"/>
      <c r="Z40" s="422"/>
      <c r="AB40" s="434"/>
      <c r="AC40" s="434"/>
      <c r="AD40" s="434"/>
      <c r="AE40" s="434"/>
      <c r="AF40" s="434"/>
    </row>
    <row r="41" spans="1:32" s="427" customFormat="1" ht="15.75">
      <c r="A41" s="425"/>
      <c r="B41" s="426" t="s">
        <v>0</v>
      </c>
      <c r="J41" s="425"/>
      <c r="AB41" s="439"/>
      <c r="AC41" s="439"/>
      <c r="AD41" s="439"/>
      <c r="AE41" s="439"/>
      <c r="AF41" s="439"/>
    </row>
    <row r="42" spans="1:32" s="427" customFormat="1" ht="15.75">
      <c r="A42" s="425"/>
      <c r="B42" s="426"/>
      <c r="J42" s="425"/>
      <c r="AB42" s="439"/>
      <c r="AC42" s="439"/>
      <c r="AD42" s="439"/>
      <c r="AE42" s="439"/>
      <c r="AF42" s="439"/>
    </row>
    <row r="43" spans="1:32" s="427" customFormat="1" ht="15.75">
      <c r="A43" s="425"/>
      <c r="B43" s="426" t="s">
        <v>1</v>
      </c>
      <c r="J43" s="425"/>
      <c r="AB43" s="439"/>
      <c r="AC43" s="439"/>
      <c r="AD43" s="439"/>
      <c r="AE43" s="439"/>
      <c r="AF43" s="439"/>
    </row>
    <row r="44" spans="1:32" s="170" customFormat="1" ht="15.75">
      <c r="A44" s="205"/>
      <c r="AB44" s="440"/>
      <c r="AC44" s="440"/>
      <c r="AD44" s="440"/>
      <c r="AE44" s="440"/>
      <c r="AF44" s="440"/>
    </row>
    <row r="45" spans="1:32" s="362" customFormat="1" ht="15.75">
      <c r="A45" s="423"/>
      <c r="B45" s="424"/>
      <c r="J45" s="423"/>
      <c r="AB45" s="441"/>
      <c r="AC45" s="441"/>
      <c r="AD45" s="441"/>
      <c r="AE45" s="441"/>
      <c r="AF45" s="441"/>
    </row>
    <row r="46" spans="1:32" s="362" customFormat="1" ht="15.75">
      <c r="A46" s="423"/>
      <c r="B46" s="424"/>
      <c r="J46" s="423"/>
      <c r="AB46" s="441"/>
      <c r="AC46" s="441"/>
      <c r="AD46" s="441"/>
      <c r="AE46" s="441"/>
      <c r="AF46" s="441"/>
    </row>
    <row r="47" spans="1:32" s="362" customFormat="1" ht="15.75">
      <c r="A47" s="423"/>
      <c r="B47" s="424"/>
      <c r="J47" s="423"/>
      <c r="AB47" s="441"/>
      <c r="AC47" s="441"/>
      <c r="AD47" s="441"/>
      <c r="AE47" s="441"/>
      <c r="AF47" s="441"/>
    </row>
    <row r="48" spans="1:32" s="409" customFormat="1" ht="15.75">
      <c r="A48" s="408"/>
      <c r="AB48" s="442"/>
      <c r="AC48" s="442"/>
      <c r="AD48" s="442"/>
      <c r="AE48" s="442"/>
      <c r="AF48" s="442"/>
    </row>
  </sheetData>
  <sheetProtection password="CACA" sheet="1" objects="1" scenarios="1"/>
  <mergeCells count="17"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</mergeCells>
  <conditionalFormatting sqref="C8">
    <cfRule type="cellIs" dxfId="120" priority="210" operator="notEqual">
      <formula>$AA$8</formula>
    </cfRule>
  </conditionalFormatting>
  <conditionalFormatting sqref="C11">
    <cfRule type="cellIs" dxfId="119" priority="20" operator="notEqual">
      <formula>$AA$11</formula>
    </cfRule>
    <cfRule type="cellIs" dxfId="118" priority="201" operator="notEqual">
      <formula>N11+O11+P11+Q11+R11</formula>
    </cfRule>
    <cfRule type="cellIs" dxfId="117" priority="202" operator="notEqual">
      <formula>I11+J11+K11+L11+M11</formula>
    </cfRule>
  </conditionalFormatting>
  <conditionalFormatting sqref="C16">
    <cfRule type="cellIs" dxfId="116" priority="19" operator="notEqual">
      <formula>$AA$16</formula>
    </cfRule>
    <cfRule type="cellIs" dxfId="115" priority="199" operator="notEqual">
      <formula>N16+O16+P16+Q16+R16</formula>
    </cfRule>
    <cfRule type="cellIs" dxfId="114" priority="200" operator="notEqual">
      <formula>I16+J16+K16+L16+M16</formula>
    </cfRule>
  </conditionalFormatting>
  <conditionalFormatting sqref="C25">
    <cfRule type="cellIs" dxfId="113" priority="197" operator="notEqual">
      <formula>N25+O25+P25+Q25+R25</formula>
    </cfRule>
    <cfRule type="cellIs" dxfId="112" priority="198" operator="notEqual">
      <formula>I25+J25+K25+L25+M25</formula>
    </cfRule>
  </conditionalFormatting>
  <conditionalFormatting sqref="C26">
    <cfRule type="cellIs" dxfId="111" priority="190" operator="notEqual">
      <formula>N26+O26+P26+Q26+R26</formula>
    </cfRule>
    <cfRule type="cellIs" dxfId="110" priority="191" operator="notEqual">
      <formula>I26+J26+K26+L26+M26</formula>
    </cfRule>
  </conditionalFormatting>
  <conditionalFormatting sqref="C33">
    <cfRule type="cellIs" dxfId="109" priority="64" operator="notEqual">
      <formula>$C$26</formula>
    </cfRule>
    <cfRule type="cellIs" dxfId="108" priority="183" operator="notEqual">
      <formula>N33+O33+P33+Q33+R33</formula>
    </cfRule>
    <cfRule type="cellIs" dxfId="107" priority="184" operator="notEqual">
      <formula>I33+J33+K33+L33+M33</formula>
    </cfRule>
  </conditionalFormatting>
  <conditionalFormatting sqref="C12">
    <cfRule type="cellIs" dxfId="106" priority="121" operator="notEqual">
      <formula>N12+O12+P12+Q12+R12</formula>
    </cfRule>
    <cfRule type="cellIs" dxfId="105" priority="122" operator="notEqual">
      <formula>I12+J12+K12+L12+M12</formula>
    </cfRule>
  </conditionalFormatting>
  <conditionalFormatting sqref="C13">
    <cfRule type="cellIs" dxfId="104" priority="119" operator="notEqual">
      <formula>N13+O13+P13+Q13+R13</formula>
    </cfRule>
    <cfRule type="cellIs" dxfId="103" priority="120" operator="notEqual">
      <formula>I13+J13+K13+L13+M13</formula>
    </cfRule>
  </conditionalFormatting>
  <conditionalFormatting sqref="C14">
    <cfRule type="cellIs" dxfId="102" priority="117" operator="notEqual">
      <formula>N14+O14+P14+Q14+R14</formula>
    </cfRule>
    <cfRule type="cellIs" dxfId="101" priority="118" operator="notEqual">
      <formula>I14+J14+K14+L14+M14</formula>
    </cfRule>
  </conditionalFormatting>
  <conditionalFormatting sqref="C15">
    <cfRule type="cellIs" dxfId="100" priority="115" operator="notEqual">
      <formula>N15+O15+P15+Q15+R15</formula>
    </cfRule>
    <cfRule type="cellIs" dxfId="99" priority="116" operator="notEqual">
      <formula>I15+J15+K15+L15+M15</formula>
    </cfRule>
  </conditionalFormatting>
  <conditionalFormatting sqref="C17">
    <cfRule type="cellIs" dxfId="98" priority="113" operator="notEqual">
      <formula>N17+O17+P17+Q17+R17</formula>
    </cfRule>
    <cfRule type="cellIs" dxfId="97" priority="114" operator="notEqual">
      <formula>I17+J17+K17+L17+M17</formula>
    </cfRule>
  </conditionalFormatting>
  <conditionalFormatting sqref="C18">
    <cfRule type="cellIs" dxfId="96" priority="111" operator="notEqual">
      <formula>N18+O18+P18+Q18+R18</formula>
    </cfRule>
    <cfRule type="cellIs" dxfId="95" priority="112" operator="notEqual">
      <formula>I18+J18+K18+L18+M18</formula>
    </cfRule>
  </conditionalFormatting>
  <conditionalFormatting sqref="C19">
    <cfRule type="cellIs" dxfId="94" priority="109" operator="notEqual">
      <formula>N19+O19+P19+Q19+R19</formula>
    </cfRule>
    <cfRule type="cellIs" dxfId="93" priority="110" operator="notEqual">
      <formula>I19+J19+K19+L19+M19</formula>
    </cfRule>
  </conditionalFormatting>
  <conditionalFormatting sqref="C20">
    <cfRule type="cellIs" dxfId="92" priority="107" operator="notEqual">
      <formula>N20+O20+P20+Q20+R20</formula>
    </cfRule>
    <cfRule type="cellIs" dxfId="91" priority="108" operator="notEqual">
      <formula>I20+J20+K20+L20+M20</formula>
    </cfRule>
  </conditionalFormatting>
  <conditionalFormatting sqref="C21">
    <cfRule type="cellIs" dxfId="90" priority="38" operator="notEqual">
      <formula>$AA$21</formula>
    </cfRule>
    <cfRule type="cellIs" dxfId="89" priority="105" operator="notEqual">
      <formula>N21+O21+P21+Q21+R21</formula>
    </cfRule>
    <cfRule type="cellIs" dxfId="88" priority="106" operator="notEqual">
      <formula>I21+J21+K21+L21+M21</formula>
    </cfRule>
  </conditionalFormatting>
  <conditionalFormatting sqref="C22">
    <cfRule type="cellIs" dxfId="87" priority="103" operator="notEqual">
      <formula>N22+O22+P22+Q22+R22</formula>
    </cfRule>
    <cfRule type="cellIs" dxfId="86" priority="104" operator="notEqual">
      <formula>I22+J22+K22+L22+M22</formula>
    </cfRule>
  </conditionalFormatting>
  <conditionalFormatting sqref="C24">
    <cfRule type="cellIs" dxfId="85" priority="99" operator="notEqual">
      <formula>N24+O24+P24+Q24+R24</formula>
    </cfRule>
    <cfRule type="cellIs" dxfId="84" priority="100" operator="notEqual">
      <formula>I24+J24+K24+L24+M24</formula>
    </cfRule>
  </conditionalFormatting>
  <conditionalFormatting sqref="C27">
    <cfRule type="cellIs" dxfId="83" priority="44" operator="notEqual">
      <formula>$AA$27</formula>
    </cfRule>
    <cfRule type="cellIs" dxfId="82" priority="97" operator="notEqual">
      <formula>N27+O27+P27+Q27+R27</formula>
    </cfRule>
    <cfRule type="cellIs" dxfId="81" priority="98" operator="notEqual">
      <formula>I27+J27+K27+L27+M27</formula>
    </cfRule>
  </conditionalFormatting>
  <conditionalFormatting sqref="C28">
    <cfRule type="cellIs" dxfId="80" priority="43" operator="notEqual">
      <formula>$AA$28</formula>
    </cfRule>
    <cfRule type="cellIs" dxfId="79" priority="95" operator="notEqual">
      <formula>N28+O28+P28+Q28+R28</formula>
    </cfRule>
    <cfRule type="cellIs" dxfId="78" priority="96" operator="notEqual">
      <formula>I28+J28+K28+L28+M28</formula>
    </cfRule>
  </conditionalFormatting>
  <conditionalFormatting sqref="C29">
    <cfRule type="cellIs" dxfId="77" priority="42" operator="notEqual">
      <formula>$AA$29</formula>
    </cfRule>
    <cfRule type="cellIs" dxfId="76" priority="93" operator="notEqual">
      <formula>N29+O29+P29+Q29+R29</formula>
    </cfRule>
    <cfRule type="cellIs" dxfId="75" priority="94" operator="notEqual">
      <formula>I29+J29+K29+L29+M29</formula>
    </cfRule>
  </conditionalFormatting>
  <conditionalFormatting sqref="C30">
    <cfRule type="cellIs" dxfId="74" priority="41" operator="notEqual">
      <formula>$AA$30</formula>
    </cfRule>
    <cfRule type="cellIs" dxfId="73" priority="91" operator="notEqual">
      <formula>N30+O30+P30+Q30+R30</formula>
    </cfRule>
    <cfRule type="cellIs" dxfId="72" priority="92" operator="notEqual">
      <formula>I30+J30+K30+L30+M30</formula>
    </cfRule>
  </conditionalFormatting>
  <conditionalFormatting sqref="C31">
    <cfRule type="cellIs" dxfId="71" priority="40" operator="notEqual">
      <formula>$AA$31</formula>
    </cfRule>
    <cfRule type="cellIs" dxfId="70" priority="89" operator="notEqual">
      <formula>N31+O31+P31+Q31+R31</formula>
    </cfRule>
    <cfRule type="cellIs" dxfId="69" priority="90" operator="notEqual">
      <formula>I31+J31+K31+L31+M31</formula>
    </cfRule>
  </conditionalFormatting>
  <conditionalFormatting sqref="C32">
    <cfRule type="cellIs" dxfId="68" priority="39" operator="notEqual">
      <formula>$AA$32</formula>
    </cfRule>
    <cfRule type="cellIs" dxfId="67" priority="87" operator="notEqual">
      <formula>N32+O32+P32+Q32+R32</formula>
    </cfRule>
    <cfRule type="cellIs" dxfId="66" priority="88" operator="notEqual">
      <formula>I32+J32+K32+L32+M32</formula>
    </cfRule>
  </conditionalFormatting>
  <conditionalFormatting sqref="C34">
    <cfRule type="cellIs" dxfId="65" priority="85" operator="notEqual">
      <formula>N34+O34+P34+Q34+R34</formula>
    </cfRule>
    <cfRule type="cellIs" dxfId="64" priority="86" operator="notEqual">
      <formula>I34+J34+K34+L34+M34</formula>
    </cfRule>
  </conditionalFormatting>
  <conditionalFormatting sqref="C35">
    <cfRule type="cellIs" dxfId="63" priority="83" operator="notEqual">
      <formula>N35+O35+P35+Q35+R35</formula>
    </cfRule>
    <cfRule type="cellIs" dxfId="62" priority="84" operator="notEqual">
      <formula>I35+J35+K35+L35+M35</formula>
    </cfRule>
  </conditionalFormatting>
  <conditionalFormatting sqref="C36">
    <cfRule type="cellIs" dxfId="61" priority="81" operator="notEqual">
      <formula>N36+O36+P36+Q36+R36</formula>
    </cfRule>
    <cfRule type="cellIs" dxfId="60" priority="82" operator="notEqual">
      <formula>I36+J36+K36+L36+M36</formula>
    </cfRule>
  </conditionalFormatting>
  <conditionalFormatting sqref="C37">
    <cfRule type="cellIs" dxfId="59" priority="79" operator="notEqual">
      <formula>N37+O37+P37+Q37+R37</formula>
    </cfRule>
    <cfRule type="cellIs" dxfId="58" priority="80" operator="notEqual">
      <formula>I37+J37+K37+L37+M37</formula>
    </cfRule>
  </conditionalFormatting>
  <conditionalFormatting sqref="C38">
    <cfRule type="cellIs" dxfId="57" priority="77" operator="notEqual">
      <formula>N38+O38+P38+Q38+R38</formula>
    </cfRule>
    <cfRule type="cellIs" dxfId="56" priority="78" operator="notEqual">
      <formula>I38+J38+K38+L38+M38</formula>
    </cfRule>
  </conditionalFormatting>
  <conditionalFormatting sqref="C39">
    <cfRule type="cellIs" dxfId="55" priority="75" operator="notEqual">
      <formula>N39+O39+P39+Q39+R39</formula>
    </cfRule>
    <cfRule type="cellIs" dxfId="54" priority="76" operator="notEqual">
      <formula>I39+J39+K39+L39+M39</formula>
    </cfRule>
  </conditionalFormatting>
  <conditionalFormatting sqref="T8">
    <cfRule type="cellIs" dxfId="53" priority="74" operator="notEqual">
      <formula>$AB$8</formula>
    </cfRule>
  </conditionalFormatting>
  <conditionalFormatting sqref="U8">
    <cfRule type="cellIs" dxfId="52" priority="73" operator="notEqual">
      <formula>$AC$8</formula>
    </cfRule>
  </conditionalFormatting>
  <conditionalFormatting sqref="V8">
    <cfRule type="cellIs" dxfId="51" priority="72" operator="notEqual">
      <formula>$AD$8</formula>
    </cfRule>
  </conditionalFormatting>
  <conditionalFormatting sqref="W8">
    <cfRule type="cellIs" dxfId="50" priority="71" operator="notEqual">
      <formula>$AE$8</formula>
    </cfRule>
  </conditionalFormatting>
  <conditionalFormatting sqref="X8">
    <cfRule type="cellIs" dxfId="49" priority="70" operator="notEqual">
      <formula>$AF$8</formula>
    </cfRule>
  </conditionalFormatting>
  <conditionalFormatting sqref="N8">
    <cfRule type="cellIs" dxfId="48" priority="69" operator="notEqual">
      <formula>$AB$9</formula>
    </cfRule>
  </conditionalFormatting>
  <conditionalFormatting sqref="O8">
    <cfRule type="cellIs" dxfId="47" priority="68" operator="notEqual">
      <formula>$AC$9</formula>
    </cfRule>
  </conditionalFormatting>
  <conditionalFormatting sqref="P8">
    <cfRule type="cellIs" dxfId="46" priority="67" operator="notEqual">
      <formula>$AD$9</formula>
    </cfRule>
  </conditionalFormatting>
  <conditionalFormatting sqref="Q8">
    <cfRule type="cellIs" dxfId="45" priority="66" operator="notEqual">
      <formula>$AE$9</formula>
    </cfRule>
  </conditionalFormatting>
  <conditionalFormatting sqref="R8">
    <cfRule type="cellIs" dxfId="44" priority="65" operator="notEqual">
      <formula>$AF$9</formula>
    </cfRule>
  </conditionalFormatting>
  <conditionalFormatting sqref="E33">
    <cfRule type="cellIs" dxfId="43" priority="63" operator="notEqual">
      <formula>$E$26</formula>
    </cfRule>
  </conditionalFormatting>
  <conditionalFormatting sqref="G33">
    <cfRule type="cellIs" dxfId="42" priority="62" operator="notEqual">
      <formula>$G$26</formula>
    </cfRule>
  </conditionalFormatting>
  <conditionalFormatting sqref="J33">
    <cfRule type="cellIs" dxfId="41" priority="61" operator="notEqual">
      <formula>$J$26</formula>
    </cfRule>
  </conditionalFormatting>
  <conditionalFormatting sqref="K33">
    <cfRule type="cellIs" dxfId="40" priority="60" operator="notEqual">
      <formula>$K$26</formula>
    </cfRule>
  </conditionalFormatting>
  <conditionalFormatting sqref="L33">
    <cfRule type="cellIs" dxfId="39" priority="59" operator="notEqual">
      <formula>$L$26</formula>
    </cfRule>
  </conditionalFormatting>
  <conditionalFormatting sqref="M33">
    <cfRule type="cellIs" dxfId="38" priority="58" operator="notEqual">
      <formula>$M$26</formula>
    </cfRule>
  </conditionalFormatting>
  <conditionalFormatting sqref="N33">
    <cfRule type="cellIs" dxfId="37" priority="57" operator="notEqual">
      <formula>$N$26</formula>
    </cfRule>
  </conditionalFormatting>
  <conditionalFormatting sqref="O33">
    <cfRule type="cellIs" dxfId="36" priority="56" operator="notEqual">
      <formula>$O$26</formula>
    </cfRule>
  </conditionalFormatting>
  <conditionalFormatting sqref="P33">
    <cfRule type="cellIs" dxfId="35" priority="55" operator="notEqual">
      <formula>$P$26</formula>
    </cfRule>
  </conditionalFormatting>
  <conditionalFormatting sqref="Q33">
    <cfRule type="cellIs" dxfId="34" priority="54" operator="notEqual">
      <formula>$Q$26</formula>
    </cfRule>
  </conditionalFormatting>
  <conditionalFormatting sqref="R33">
    <cfRule type="cellIs" dxfId="33" priority="53" operator="notEqual">
      <formula>$R$26</formula>
    </cfRule>
  </conditionalFormatting>
  <conditionalFormatting sqref="S33">
    <cfRule type="cellIs" dxfId="32" priority="52" operator="notEqual">
      <formula>$S$26</formula>
    </cfRule>
  </conditionalFormatting>
  <conditionalFormatting sqref="T33">
    <cfRule type="cellIs" dxfId="31" priority="51" operator="notEqual">
      <formula>$T$26</formula>
    </cfRule>
  </conditionalFormatting>
  <conditionalFormatting sqref="U33">
    <cfRule type="cellIs" dxfId="30" priority="50" operator="notEqual">
      <formula>$U$26</formula>
    </cfRule>
  </conditionalFormatting>
  <conditionalFormatting sqref="V33">
    <cfRule type="cellIs" dxfId="29" priority="49" operator="notEqual">
      <formula>$V$26</formula>
    </cfRule>
  </conditionalFormatting>
  <conditionalFormatting sqref="W33">
    <cfRule type="cellIs" dxfId="28" priority="48" operator="notEqual">
      <formula>$W$26</formula>
    </cfRule>
  </conditionalFormatting>
  <conditionalFormatting sqref="X33">
    <cfRule type="cellIs" dxfId="27" priority="47" operator="notEqual">
      <formula>$X$26</formula>
    </cfRule>
  </conditionalFormatting>
  <conditionalFormatting sqref="Y33">
    <cfRule type="cellIs" dxfId="26" priority="46" operator="notEqual">
      <formula>$Y$26</formula>
    </cfRule>
  </conditionalFormatting>
  <conditionalFormatting sqref="Z33">
    <cfRule type="cellIs" dxfId="25" priority="45" operator="notEqual">
      <formula>$Z$26</formula>
    </cfRule>
  </conditionalFormatting>
  <conditionalFormatting sqref="E21">
    <cfRule type="cellIs" dxfId="24" priority="36" operator="notEqual">
      <formula>$AB$21</formula>
    </cfRule>
  </conditionalFormatting>
  <conditionalFormatting sqref="E23">
    <cfRule type="cellIs" dxfId="23" priority="35" operator="notEqual">
      <formula>$AB$23</formula>
    </cfRule>
  </conditionalFormatting>
  <conditionalFormatting sqref="G21">
    <cfRule type="cellIs" dxfId="22" priority="34" operator="notEqual">
      <formula>$AC$21</formula>
    </cfRule>
  </conditionalFormatting>
  <conditionalFormatting sqref="G23">
    <cfRule type="cellIs" dxfId="21" priority="33" operator="notEqual">
      <formula>$AC$23</formula>
    </cfRule>
  </conditionalFormatting>
  <conditionalFormatting sqref="G27">
    <cfRule type="cellIs" dxfId="20" priority="32" operator="notEqual">
      <formula>$AC$27</formula>
    </cfRule>
  </conditionalFormatting>
  <conditionalFormatting sqref="G28">
    <cfRule type="cellIs" dxfId="19" priority="31" operator="notEqual">
      <formula>$AC$28</formula>
    </cfRule>
  </conditionalFormatting>
  <conditionalFormatting sqref="G29">
    <cfRule type="cellIs" dxfId="18" priority="30" operator="notEqual">
      <formula>$AC$29</formula>
    </cfRule>
  </conditionalFormatting>
  <conditionalFormatting sqref="G30">
    <cfRule type="cellIs" dxfId="17" priority="29" operator="notEqual">
      <formula>$AC$30</formula>
    </cfRule>
  </conditionalFormatting>
  <conditionalFormatting sqref="G31">
    <cfRule type="cellIs" dxfId="16" priority="28" operator="notEqual">
      <formula>$AC$31</formula>
    </cfRule>
  </conditionalFormatting>
  <conditionalFormatting sqref="G32">
    <cfRule type="cellIs" dxfId="15" priority="27" operator="notEqual">
      <formula>$AC$32</formula>
    </cfRule>
  </conditionalFormatting>
  <conditionalFormatting sqref="E28">
    <cfRule type="cellIs" dxfId="14" priority="25" operator="notEqual">
      <formula>$AB$28</formula>
    </cfRule>
  </conditionalFormatting>
  <conditionalFormatting sqref="E29">
    <cfRule type="cellIs" dxfId="13" priority="24" operator="notEqual">
      <formula>$AB$29</formula>
    </cfRule>
  </conditionalFormatting>
  <conditionalFormatting sqref="E30">
    <cfRule type="cellIs" dxfId="12" priority="23" operator="notEqual">
      <formula>$AB$30</formula>
    </cfRule>
  </conditionalFormatting>
  <conditionalFormatting sqref="E31">
    <cfRule type="cellIs" dxfId="11" priority="22" operator="notEqual">
      <formula>$AB$31</formula>
    </cfRule>
  </conditionalFormatting>
  <conditionalFormatting sqref="E11">
    <cfRule type="cellIs" dxfId="10" priority="18" operator="notEqual">
      <formula>$AB$11</formula>
    </cfRule>
  </conditionalFormatting>
  <conditionalFormatting sqref="G11">
    <cfRule type="cellIs" dxfId="9" priority="17" operator="notEqual">
      <formula>$AC$11</formula>
    </cfRule>
  </conditionalFormatting>
  <conditionalFormatting sqref="E16">
    <cfRule type="cellIs" dxfId="8" priority="16" operator="notEqual">
      <formula>$AB$16</formula>
    </cfRule>
  </conditionalFormatting>
  <conditionalFormatting sqref="G16">
    <cfRule type="cellIs" dxfId="7" priority="15" operator="notEqual">
      <formula>$AC$16</formula>
    </cfRule>
  </conditionalFormatting>
  <conditionalFormatting sqref="J23">
    <cfRule type="cellIs" dxfId="6" priority="2" operator="notEqual">
      <formula>$AB$23</formula>
    </cfRule>
  </conditionalFormatting>
  <conditionalFormatting sqref="C23">
    <cfRule type="cellIs" dxfId="5" priority="212" operator="notEqual">
      <formula>$AA$23</formula>
    </cfRule>
    <cfRule type="cellIs" dxfId="4" priority="213" operator="notEqual">
      <formula>N23+O23+P23+Q23+R23</formula>
    </cfRule>
    <cfRule type="cellIs" dxfId="3" priority="214" operator="notEqual">
      <formula>J23+#REF!+K23+L23+M23</formula>
    </cfRule>
  </conditionalFormatting>
  <conditionalFormatting sqref="N23">
    <cfRule type="cellIs" dxfId="2" priority="1" operator="notEqual">
      <formula>$AB$23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28" customWidth="1"/>
    <col min="2" max="2" width="105.140625" style="128" customWidth="1"/>
    <col min="3" max="3" width="19.7109375" style="161" customWidth="1"/>
    <col min="4" max="4" width="10.28515625" style="273" bestFit="1" customWidth="1"/>
    <col min="5" max="5" width="19.42578125" style="274" bestFit="1" customWidth="1"/>
    <col min="6" max="6" width="9.28515625" style="273" bestFit="1" customWidth="1"/>
    <col min="7" max="7" width="9.140625" style="273"/>
    <col min="8" max="8" width="17.42578125" style="273" bestFit="1" customWidth="1"/>
    <col min="9" max="16384" width="9.140625" style="128"/>
  </cols>
  <sheetData>
    <row r="1" spans="1:8" ht="23.25" customHeight="1">
      <c r="A1" s="737" t="s">
        <v>701</v>
      </c>
      <c r="B1" s="738"/>
      <c r="C1" s="127" t="s">
        <v>655</v>
      </c>
    </row>
    <row r="2" spans="1:8">
      <c r="A2" s="163"/>
      <c r="B2" s="163"/>
      <c r="C2" s="163"/>
    </row>
    <row r="3" spans="1:8" ht="15.75">
      <c r="A3" s="129"/>
      <c r="B3" s="210" t="e">
        <f>#REF!</f>
        <v>#REF!</v>
      </c>
      <c r="C3" s="209" t="e">
        <f>+#REF!</f>
        <v>#REF!</v>
      </c>
    </row>
    <row r="4" spans="1:8" s="130" customFormat="1" ht="43.5" customHeight="1">
      <c r="A4" s="253" t="s">
        <v>83</v>
      </c>
      <c r="B4" s="253" t="s">
        <v>57</v>
      </c>
      <c r="C4" s="253" t="s">
        <v>16</v>
      </c>
      <c r="D4" s="275"/>
      <c r="E4" s="276"/>
      <c r="F4" s="275"/>
      <c r="G4" s="275"/>
      <c r="H4" s="275"/>
    </row>
    <row r="5" spans="1:8" ht="12.75" customHeight="1">
      <c r="A5" s="222" t="s">
        <v>61</v>
      </c>
      <c r="B5" s="132" t="s">
        <v>264</v>
      </c>
      <c r="C5" s="133"/>
    </row>
    <row r="6" spans="1:8" ht="12.75" customHeight="1">
      <c r="A6" s="131">
        <v>1</v>
      </c>
      <c r="B6" s="132" t="s">
        <v>265</v>
      </c>
      <c r="C6" s="134"/>
    </row>
    <row r="7" spans="1:8" s="141" customFormat="1" ht="18" customHeight="1">
      <c r="A7" s="138" t="s">
        <v>268</v>
      </c>
      <c r="B7" s="139" t="s">
        <v>266</v>
      </c>
      <c r="C7" s="169" t="s">
        <v>235</v>
      </c>
      <c r="D7" s="277"/>
      <c r="E7" s="195"/>
      <c r="F7" s="277"/>
      <c r="G7" s="277"/>
      <c r="H7" s="277"/>
    </row>
    <row r="8" spans="1:8" s="130" customFormat="1" ht="18" customHeight="1">
      <c r="A8" s="148" t="s">
        <v>62</v>
      </c>
      <c r="B8" s="237" t="s">
        <v>63</v>
      </c>
      <c r="C8" s="164"/>
      <c r="D8" s="275"/>
      <c r="E8" s="276"/>
      <c r="F8" s="275"/>
      <c r="G8" s="275"/>
      <c r="H8" s="275"/>
    </row>
    <row r="9" spans="1:8" s="130" customFormat="1" ht="18" customHeight="1">
      <c r="A9" s="148" t="s">
        <v>64</v>
      </c>
      <c r="B9" s="237" t="s">
        <v>65</v>
      </c>
      <c r="C9" s="165"/>
      <c r="D9" s="275"/>
      <c r="E9" s="276"/>
      <c r="F9" s="275"/>
      <c r="G9" s="275"/>
      <c r="H9" s="275"/>
    </row>
    <row r="10" spans="1:8" s="141" customFormat="1" ht="18" customHeight="1">
      <c r="A10" s="138" t="s">
        <v>269</v>
      </c>
      <c r="B10" s="139" t="s">
        <v>267</v>
      </c>
      <c r="C10" s="192">
        <v>0</v>
      </c>
      <c r="D10" s="277"/>
      <c r="E10" s="195"/>
      <c r="F10" s="277"/>
      <c r="G10" s="277"/>
      <c r="H10" s="277"/>
    </row>
    <row r="11" spans="1:8" s="130" customFormat="1" ht="18" customHeight="1">
      <c r="A11" s="148" t="s">
        <v>270</v>
      </c>
      <c r="B11" s="237" t="s">
        <v>271</v>
      </c>
      <c r="C11" s="169" t="s">
        <v>235</v>
      </c>
      <c r="D11" s="275"/>
      <c r="E11" s="276"/>
      <c r="F11" s="275"/>
      <c r="G11" s="275"/>
      <c r="H11" s="275"/>
    </row>
    <row r="12" spans="1:8" s="130" customFormat="1" ht="18" customHeight="1">
      <c r="A12" s="148" t="s">
        <v>68</v>
      </c>
      <c r="B12" s="237" t="s">
        <v>71</v>
      </c>
      <c r="C12" s="194"/>
      <c r="D12" s="275"/>
      <c r="E12" s="276"/>
      <c r="F12" s="275"/>
      <c r="G12" s="275"/>
      <c r="H12" s="275"/>
    </row>
    <row r="13" spans="1:8" s="130" customFormat="1" ht="18" customHeight="1">
      <c r="A13" s="143" t="s">
        <v>64</v>
      </c>
      <c r="B13" s="238" t="s">
        <v>72</v>
      </c>
      <c r="C13" s="194"/>
      <c r="D13" s="275"/>
      <c r="E13" s="276"/>
      <c r="F13" s="275"/>
      <c r="G13" s="275"/>
      <c r="H13" s="275"/>
    </row>
    <row r="14" spans="1:8" s="141" customFormat="1" ht="18" customHeight="1">
      <c r="A14" s="153" t="s">
        <v>66</v>
      </c>
      <c r="B14" s="235" t="s">
        <v>272</v>
      </c>
      <c r="C14" s="191"/>
      <c r="D14" s="277"/>
      <c r="E14" s="195"/>
      <c r="F14" s="277"/>
      <c r="G14" s="277"/>
      <c r="H14" s="277"/>
    </row>
    <row r="15" spans="1:8" s="141" customFormat="1" ht="18" customHeight="1">
      <c r="A15" s="153" t="s">
        <v>73</v>
      </c>
      <c r="B15" s="235" t="s">
        <v>273</v>
      </c>
      <c r="C15" s="191"/>
      <c r="D15" s="277"/>
      <c r="E15" s="195"/>
      <c r="F15" s="277"/>
      <c r="G15" s="277"/>
      <c r="H15" s="277"/>
    </row>
    <row r="16" spans="1:8" s="130" customFormat="1" ht="18" customHeight="1">
      <c r="A16" s="143" t="s">
        <v>274</v>
      </c>
      <c r="B16" s="238" t="s">
        <v>74</v>
      </c>
      <c r="C16" s="192"/>
      <c r="D16" s="275"/>
      <c r="E16" s="276"/>
      <c r="F16" s="275"/>
      <c r="G16" s="275"/>
      <c r="H16" s="275"/>
    </row>
    <row r="17" spans="1:8" s="130" customFormat="1" ht="18" customHeight="1">
      <c r="A17" s="143" t="s">
        <v>275</v>
      </c>
      <c r="B17" s="238" t="s">
        <v>17</v>
      </c>
      <c r="C17" s="192"/>
      <c r="D17" s="275"/>
      <c r="E17" s="276"/>
      <c r="F17" s="275"/>
      <c r="G17" s="275"/>
      <c r="H17" s="275"/>
    </row>
    <row r="18" spans="1:8" s="130" customFormat="1" ht="18" customHeight="1">
      <c r="A18" s="143"/>
      <c r="B18" s="238" t="s">
        <v>276</v>
      </c>
      <c r="C18" s="169" t="s">
        <v>235</v>
      </c>
      <c r="D18" s="275"/>
      <c r="E18" s="276"/>
      <c r="F18" s="275"/>
      <c r="G18" s="275"/>
      <c r="H18" s="275"/>
    </row>
    <row r="19" spans="1:8" s="130" customFormat="1" ht="18" customHeight="1">
      <c r="A19" s="143" t="s">
        <v>304</v>
      </c>
      <c r="B19" s="238" t="s">
        <v>277</v>
      </c>
      <c r="C19" s="169" t="s">
        <v>235</v>
      </c>
      <c r="D19" s="275"/>
      <c r="E19" s="276"/>
      <c r="F19" s="275"/>
      <c r="G19" s="275"/>
      <c r="H19" s="275"/>
    </row>
    <row r="20" spans="1:8" s="141" customFormat="1" ht="18" customHeight="1">
      <c r="A20" s="221" t="s">
        <v>68</v>
      </c>
      <c r="B20" s="401" t="s">
        <v>76</v>
      </c>
      <c r="C20" s="191"/>
      <c r="D20" s="277"/>
      <c r="E20" s="195"/>
      <c r="F20" s="277"/>
      <c r="G20" s="277"/>
      <c r="H20" s="277"/>
    </row>
    <row r="21" spans="1:8" s="140" customFormat="1" ht="25.5">
      <c r="A21" s="221" t="s">
        <v>64</v>
      </c>
      <c r="B21" s="235" t="s">
        <v>28</v>
      </c>
      <c r="C21" s="191"/>
      <c r="D21" s="277"/>
      <c r="E21" s="195"/>
      <c r="F21" s="277"/>
      <c r="G21" s="277"/>
      <c r="H21" s="277"/>
    </row>
    <row r="22" spans="1:8" s="141" customFormat="1" ht="18" customHeight="1">
      <c r="A22" s="221" t="s">
        <v>66</v>
      </c>
      <c r="B22" s="235" t="s">
        <v>18</v>
      </c>
      <c r="C22" s="191"/>
      <c r="D22" s="277"/>
      <c r="E22" s="195"/>
      <c r="F22" s="277"/>
      <c r="G22" s="277"/>
      <c r="H22" s="277"/>
    </row>
    <row r="23" spans="1:8" s="141" customFormat="1" ht="15" customHeight="1">
      <c r="A23" s="138" t="s">
        <v>278</v>
      </c>
      <c r="B23" s="139" t="s">
        <v>279</v>
      </c>
      <c r="C23" s="169" t="s">
        <v>235</v>
      </c>
      <c r="D23" s="277"/>
      <c r="E23" s="195"/>
      <c r="F23" s="277"/>
      <c r="G23" s="277"/>
      <c r="H23" s="277"/>
    </row>
    <row r="24" spans="1:8" ht="16.5" customHeight="1">
      <c r="A24" s="135">
        <v>2</v>
      </c>
      <c r="B24" s="142" t="s">
        <v>280</v>
      </c>
      <c r="C24" s="136"/>
    </row>
    <row r="25" spans="1:8" s="141" customFormat="1" ht="18" customHeight="1">
      <c r="A25" s="153" t="s">
        <v>281</v>
      </c>
      <c r="B25" s="235" t="s">
        <v>67</v>
      </c>
      <c r="C25" s="234">
        <f>+C26+C27</f>
        <v>0</v>
      </c>
      <c r="D25" s="277"/>
      <c r="E25" s="195"/>
      <c r="F25" s="277"/>
      <c r="G25" s="277"/>
      <c r="H25" s="277"/>
    </row>
    <row r="26" spans="1:8" s="141" customFormat="1" ht="18" customHeight="1">
      <c r="A26" s="153" t="s">
        <v>68</v>
      </c>
      <c r="B26" s="235" t="s">
        <v>69</v>
      </c>
      <c r="C26" s="191"/>
      <c r="D26" s="277"/>
      <c r="E26" s="195"/>
      <c r="F26" s="277"/>
      <c r="G26" s="277"/>
      <c r="H26" s="277"/>
    </row>
    <row r="27" spans="1:8" s="141" customFormat="1" ht="18" customHeight="1">
      <c r="A27" s="153" t="s">
        <v>64</v>
      </c>
      <c r="B27" s="235" t="s">
        <v>70</v>
      </c>
      <c r="C27" s="191"/>
      <c r="D27" s="277"/>
      <c r="E27" s="195"/>
      <c r="F27" s="277"/>
      <c r="G27" s="277"/>
      <c r="H27" s="277"/>
    </row>
    <row r="28" spans="1:8" s="141" customFormat="1" ht="18" customHeight="1">
      <c r="A28" s="153" t="s">
        <v>282</v>
      </c>
      <c r="B28" s="235" t="s">
        <v>283</v>
      </c>
      <c r="C28" s="191">
        <v>0</v>
      </c>
      <c r="D28" s="277"/>
      <c r="E28" s="195"/>
      <c r="F28" s="277"/>
      <c r="G28" s="277"/>
      <c r="H28" s="277"/>
    </row>
    <row r="29" spans="1:8">
      <c r="A29" s="143" t="s">
        <v>284</v>
      </c>
      <c r="B29" s="236" t="s">
        <v>285</v>
      </c>
      <c r="C29" s="166">
        <v>0</v>
      </c>
    </row>
    <row r="30" spans="1:8" s="141" customFormat="1" ht="29.25" customHeight="1">
      <c r="A30" s="153" t="s">
        <v>286</v>
      </c>
      <c r="B30" s="235" t="s">
        <v>27</v>
      </c>
      <c r="C30" s="191">
        <v>0</v>
      </c>
      <c r="D30" s="277"/>
      <c r="E30" s="195"/>
      <c r="F30" s="277"/>
      <c r="G30" s="277"/>
      <c r="H30" s="277"/>
    </row>
    <row r="31" spans="1:8" s="145" customFormat="1">
      <c r="A31" s="144" t="s">
        <v>75</v>
      </c>
      <c r="B31" s="199" t="s">
        <v>287</v>
      </c>
      <c r="C31" s="193">
        <f>+C25+C28+C29+C30</f>
        <v>0</v>
      </c>
      <c r="D31" s="278"/>
      <c r="E31" s="279"/>
      <c r="F31" s="280"/>
      <c r="G31" s="280"/>
      <c r="H31" s="280"/>
    </row>
    <row r="32" spans="1:8" s="145" customFormat="1" ht="16.5" customHeight="1">
      <c r="A32" s="144" t="s">
        <v>77</v>
      </c>
      <c r="B32" s="260" t="s">
        <v>288</v>
      </c>
      <c r="C32" s="169" t="s">
        <v>235</v>
      </c>
      <c r="D32" s="280"/>
      <c r="E32" s="279"/>
      <c r="F32" s="280"/>
      <c r="G32" s="280"/>
      <c r="H32" s="280"/>
    </row>
    <row r="33" spans="1:8" s="147" customFormat="1" ht="13.5" customHeight="1">
      <c r="A33" s="146"/>
      <c r="B33" s="146" t="s">
        <v>79</v>
      </c>
      <c r="C33" s="137"/>
      <c r="D33" s="281"/>
      <c r="E33" s="282"/>
      <c r="F33" s="281"/>
      <c r="G33" s="281"/>
      <c r="H33" s="283"/>
    </row>
    <row r="34" spans="1:8" s="141" customFormat="1" ht="18" customHeight="1">
      <c r="A34" s="153" t="s">
        <v>289</v>
      </c>
      <c r="B34" s="382" t="s">
        <v>771</v>
      </c>
      <c r="C34" s="191"/>
      <c r="D34" s="277"/>
      <c r="E34" s="195"/>
      <c r="F34" s="277"/>
      <c r="G34" s="277"/>
      <c r="H34" s="277"/>
    </row>
    <row r="35" spans="1:8" s="141" customFormat="1" ht="25.5">
      <c r="A35" s="153" t="s">
        <v>290</v>
      </c>
      <c r="B35" s="235" t="s">
        <v>29</v>
      </c>
      <c r="C35" s="367" t="e">
        <f>IF(#REF!&lt;(C43*1.25%),#REF!,(C43*1.25%))</f>
        <v>#REF!</v>
      </c>
      <c r="D35" s="277"/>
      <c r="E35" s="195"/>
      <c r="F35" s="277"/>
      <c r="G35" s="277"/>
      <c r="H35" s="277"/>
    </row>
    <row r="36" spans="1:8" s="141" customFormat="1" ht="18" customHeight="1">
      <c r="A36" s="153" t="s">
        <v>291</v>
      </c>
      <c r="B36" s="235" t="s">
        <v>19</v>
      </c>
      <c r="C36" s="191"/>
      <c r="D36" s="277"/>
      <c r="E36" s="195"/>
      <c r="F36" s="277"/>
      <c r="G36" s="277"/>
      <c r="H36" s="277"/>
    </row>
    <row r="37" spans="1:8" s="141" customFormat="1" ht="18" customHeight="1">
      <c r="A37" s="153" t="s">
        <v>292</v>
      </c>
      <c r="B37" s="235" t="s">
        <v>293</v>
      </c>
      <c r="C37" s="191"/>
      <c r="D37" s="277"/>
      <c r="E37" s="195"/>
      <c r="F37" s="277"/>
      <c r="G37" s="277"/>
      <c r="H37" s="277"/>
    </row>
    <row r="38" spans="1:8" s="141" customFormat="1" ht="18" customHeight="1">
      <c r="A38" s="153" t="s">
        <v>294</v>
      </c>
      <c r="B38" s="235" t="s">
        <v>20</v>
      </c>
      <c r="C38" s="191"/>
      <c r="D38" s="277"/>
      <c r="E38" s="195"/>
      <c r="F38" s="277"/>
      <c r="G38" s="277"/>
      <c r="H38" s="277"/>
    </row>
    <row r="39" spans="1:8" s="141" customFormat="1" ht="18" customHeight="1">
      <c r="A39" s="153" t="s">
        <v>295</v>
      </c>
      <c r="B39" s="235" t="s">
        <v>80</v>
      </c>
      <c r="C39" s="169" t="s">
        <v>235</v>
      </c>
      <c r="D39" s="277"/>
      <c r="E39" s="195"/>
      <c r="F39" s="277"/>
      <c r="G39" s="277"/>
      <c r="H39" s="277"/>
    </row>
    <row r="40" spans="1:8" ht="18.75" customHeight="1">
      <c r="A40" s="148"/>
      <c r="B40" s="149" t="s">
        <v>39</v>
      </c>
      <c r="C40" s="137" t="e">
        <f>SUM(C34:C38)</f>
        <v>#REF!</v>
      </c>
      <c r="D40" s="278"/>
    </row>
    <row r="41" spans="1:8" s="130" customFormat="1" ht="22.5" customHeight="1">
      <c r="A41" s="167" t="s">
        <v>78</v>
      </c>
      <c r="B41" s="150" t="s">
        <v>40</v>
      </c>
      <c r="C41" s="169" t="s">
        <v>235</v>
      </c>
      <c r="D41" s="284"/>
      <c r="E41" s="276"/>
      <c r="F41" s="275"/>
      <c r="G41" s="275"/>
      <c r="H41" s="275"/>
    </row>
    <row r="42" spans="1:8" s="130" customFormat="1" ht="15.75" customHeight="1">
      <c r="A42" s="146" t="s">
        <v>81</v>
      </c>
      <c r="B42" s="150" t="s">
        <v>296</v>
      </c>
      <c r="C42" s="169" t="s">
        <v>235</v>
      </c>
      <c r="D42" s="284"/>
      <c r="E42" s="276"/>
      <c r="F42" s="275"/>
      <c r="G42" s="275"/>
      <c r="H42" s="275"/>
    </row>
    <row r="43" spans="1:8" s="130" customFormat="1" ht="21.75" customHeight="1">
      <c r="A43" s="146" t="s">
        <v>25</v>
      </c>
      <c r="B43" s="139" t="s">
        <v>297</v>
      </c>
      <c r="C43" s="151" t="e">
        <f>+C44+C45+C46</f>
        <v>#REF!</v>
      </c>
      <c r="D43" s="275"/>
      <c r="E43" s="276"/>
      <c r="F43" s="275"/>
      <c r="G43" s="275"/>
      <c r="H43" s="275"/>
    </row>
    <row r="44" spans="1:8" s="141" customFormat="1" ht="18" customHeight="1">
      <c r="A44" s="153" t="s">
        <v>68</v>
      </c>
      <c r="B44" s="235" t="s">
        <v>30</v>
      </c>
      <c r="C44" s="234" t="e">
        <f>+#REF!</f>
        <v>#REF!</v>
      </c>
      <c r="D44" s="277"/>
      <c r="E44" s="195"/>
      <c r="F44" s="277"/>
      <c r="G44" s="277"/>
      <c r="H44" s="277"/>
    </row>
    <row r="45" spans="1:8" s="141" customFormat="1" ht="18" customHeight="1">
      <c r="A45" s="153" t="s">
        <v>64</v>
      </c>
      <c r="B45" s="235" t="s">
        <v>23</v>
      </c>
      <c r="C45" s="234" t="e">
        <f>+#REF!</f>
        <v>#REF!</v>
      </c>
      <c r="D45" s="277"/>
      <c r="E45" s="195"/>
      <c r="F45" s="277"/>
      <c r="G45" s="277"/>
      <c r="H45" s="277"/>
    </row>
    <row r="46" spans="1:8" s="141" customFormat="1" ht="18" customHeight="1">
      <c r="A46" s="153" t="s">
        <v>66</v>
      </c>
      <c r="B46" s="235" t="s">
        <v>24</v>
      </c>
      <c r="C46" s="234" t="e">
        <f>+#REF!</f>
        <v>#REF!</v>
      </c>
      <c r="D46" s="277"/>
      <c r="E46" s="195" t="e">
        <f>+#REF!</f>
        <v>#REF!</v>
      </c>
      <c r="F46" s="277"/>
      <c r="G46" s="277"/>
      <c r="H46" s="277"/>
    </row>
    <row r="47" spans="1:8" s="147" customFormat="1" ht="21.75" customHeight="1">
      <c r="A47" s="167" t="s">
        <v>26</v>
      </c>
      <c r="B47" s="168" t="s">
        <v>298</v>
      </c>
      <c r="C47" s="169" t="s">
        <v>235</v>
      </c>
      <c r="D47" s="281"/>
      <c r="E47" s="282"/>
      <c r="F47" s="281"/>
      <c r="G47" s="281"/>
      <c r="H47" s="281"/>
    </row>
    <row r="48" spans="1:8" s="147" customFormat="1" ht="21.75" customHeight="1">
      <c r="A48" s="167" t="s">
        <v>82</v>
      </c>
      <c r="B48" s="168" t="s">
        <v>299</v>
      </c>
      <c r="C48" s="169" t="s">
        <v>235</v>
      </c>
      <c r="D48" s="281"/>
      <c r="E48" s="282"/>
      <c r="F48" s="281"/>
      <c r="G48" s="281"/>
      <c r="H48" s="281"/>
    </row>
    <row r="49" spans="1:8" s="147" customFormat="1" ht="21.75" customHeight="1">
      <c r="A49" s="167" t="s">
        <v>41</v>
      </c>
      <c r="B49" s="168" t="s">
        <v>300</v>
      </c>
      <c r="C49" s="169" t="s">
        <v>235</v>
      </c>
      <c r="D49" s="281"/>
      <c r="E49" s="282"/>
      <c r="F49" s="281"/>
      <c r="G49" s="281"/>
      <c r="H49" s="281"/>
    </row>
    <row r="50" spans="1:8" s="152" customFormat="1" ht="21.75" customHeight="1">
      <c r="A50" s="146" t="s">
        <v>42</v>
      </c>
      <c r="B50" s="139" t="s">
        <v>33</v>
      </c>
      <c r="C50" s="169" t="s">
        <v>235</v>
      </c>
      <c r="D50" s="285"/>
      <c r="E50" s="286"/>
      <c r="F50" s="287"/>
      <c r="G50" s="285"/>
      <c r="H50" s="285"/>
    </row>
    <row r="51" spans="1:8" s="156" customFormat="1" ht="21.75" customHeight="1">
      <c r="A51" s="153" t="s">
        <v>68</v>
      </c>
      <c r="B51" s="154" t="s">
        <v>46</v>
      </c>
      <c r="C51" s="155" t="e">
        <f>+#REF!</f>
        <v>#REF!</v>
      </c>
      <c r="D51" s="288"/>
      <c r="E51" s="289"/>
      <c r="F51" s="290"/>
      <c r="G51" s="288"/>
      <c r="H51" s="288"/>
    </row>
    <row r="52" spans="1:8" s="156" customFormat="1" ht="21.75" customHeight="1">
      <c r="A52" s="153" t="s">
        <v>64</v>
      </c>
      <c r="B52" s="154" t="s">
        <v>301</v>
      </c>
      <c r="C52" s="312" t="e">
        <f>SUM(#REF!)</f>
        <v>#REF!</v>
      </c>
      <c r="D52" s="290" t="e">
        <f>+#REF!</f>
        <v>#REF!</v>
      </c>
      <c r="E52" s="289"/>
      <c r="F52" s="290"/>
      <c r="G52" s="288"/>
      <c r="H52" s="288"/>
    </row>
    <row r="53" spans="1:8" s="159" customFormat="1" ht="21.75" customHeight="1">
      <c r="A53" s="157" t="s">
        <v>66</v>
      </c>
      <c r="B53" s="158" t="s">
        <v>302</v>
      </c>
      <c r="C53" s="314" t="e">
        <f>SUM(#REF!)</f>
        <v>#REF!</v>
      </c>
      <c r="D53" s="311"/>
      <c r="E53" s="313"/>
      <c r="F53" s="291"/>
      <c r="G53" s="291"/>
      <c r="H53" s="291"/>
    </row>
    <row r="54" spans="1:8" s="159" customFormat="1" ht="21.75" customHeight="1">
      <c r="A54" s="157" t="s">
        <v>73</v>
      </c>
      <c r="B54" s="158" t="s">
        <v>303</v>
      </c>
      <c r="C54" s="204" t="str">
        <f>+C19</f>
        <v>Формула</v>
      </c>
      <c r="D54" s="291"/>
      <c r="E54" s="292"/>
      <c r="F54" s="291"/>
      <c r="G54" s="291"/>
      <c r="H54" s="291"/>
    </row>
    <row r="55" spans="1:8" s="147" customFormat="1" ht="21.75" customHeight="1">
      <c r="A55" s="167" t="s">
        <v>43</v>
      </c>
      <c r="B55" s="168" t="s">
        <v>47</v>
      </c>
      <c r="C55" s="169" t="s">
        <v>235</v>
      </c>
      <c r="D55" s="281"/>
      <c r="E55" s="282"/>
      <c r="F55" s="281"/>
      <c r="G55" s="281"/>
      <c r="H55" s="281"/>
    </row>
    <row r="56" spans="1:8">
      <c r="B56" s="160"/>
    </row>
    <row r="57" spans="1:8" s="1" customFormat="1">
      <c r="A57" s="57"/>
      <c r="B57" s="5" t="s">
        <v>0</v>
      </c>
      <c r="D57" s="124"/>
      <c r="E57" s="124"/>
      <c r="F57" s="124"/>
      <c r="G57" s="124"/>
      <c r="H57" s="124"/>
    </row>
    <row r="58" spans="1:8" s="1" customFormat="1">
      <c r="A58" s="57"/>
      <c r="B58" s="5"/>
      <c r="D58" s="124"/>
      <c r="E58" s="124"/>
      <c r="F58" s="124"/>
      <c r="G58" s="124"/>
      <c r="H58" s="124"/>
    </row>
    <row r="59" spans="1:8" s="1" customFormat="1">
      <c r="A59" s="57"/>
      <c r="B59" s="5" t="s">
        <v>1</v>
      </c>
      <c r="D59" s="124"/>
      <c r="E59" s="124"/>
      <c r="F59" s="124"/>
      <c r="G59" s="124"/>
      <c r="H59" s="124"/>
    </row>
    <row r="60" spans="1:8">
      <c r="B60" s="162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4">
    <pageSetUpPr fitToPage="1"/>
  </sheetPr>
  <dimension ref="A1:Z31"/>
  <sheetViews>
    <sheetView zoomScale="70" zoomScaleNormal="70" zoomScaleSheetLayoutView="80" workbookViewId="0">
      <pane xSplit="2" ySplit="7" topLeftCell="C10" activePane="bottomRight" state="frozen"/>
      <selection activeCell="C72" sqref="C72"/>
      <selection pane="topRight" activeCell="C72" sqref="C72"/>
      <selection pane="bottomLeft" activeCell="C72" sqref="C72"/>
      <selection pane="bottomRight" activeCell="O36" sqref="O36"/>
    </sheetView>
  </sheetViews>
  <sheetFormatPr defaultRowHeight="15.75"/>
  <cols>
    <col min="1" max="1" width="9.7109375" style="205" customWidth="1"/>
    <col min="2" max="2" width="31.140625" style="170" customWidth="1"/>
    <col min="3" max="3" width="17.140625" style="170" customWidth="1"/>
    <col min="4" max="4" width="16.5703125" style="170" customWidth="1"/>
    <col min="5" max="5" width="17.140625" style="170" customWidth="1"/>
    <col min="6" max="6" width="16.5703125" style="170" customWidth="1"/>
    <col min="7" max="7" width="17.140625" style="170" customWidth="1"/>
    <col min="8" max="8" width="16.5703125" style="170" customWidth="1"/>
    <col min="9" max="9" width="19" style="170" customWidth="1"/>
    <col min="10" max="10" width="16.5703125" style="170" customWidth="1"/>
    <col min="11" max="11" width="17.140625" style="170" customWidth="1"/>
    <col min="12" max="12" width="16.5703125" style="170" customWidth="1"/>
    <col min="13" max="13" width="19" style="170" customWidth="1"/>
    <col min="14" max="14" width="16.5703125" style="170" customWidth="1"/>
    <col min="15" max="15" width="9.140625" style="170"/>
    <col min="16" max="16" width="26" style="170" customWidth="1"/>
    <col min="17" max="17" width="13.5703125" style="170" customWidth="1"/>
    <col min="18" max="16384" width="9.140625" style="170"/>
  </cols>
  <sheetData>
    <row r="1" spans="1:26" s="175" customFormat="1" ht="48.75" customHeight="1">
      <c r="A1" s="741" t="s">
        <v>688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226" t="s">
        <v>687</v>
      </c>
    </row>
    <row r="2" spans="1:26" ht="18.75">
      <c r="B2" s="214" t="str">
        <f>+'Asset quality'!B3</f>
        <v>АКБ "Микрокредитбанк"</v>
      </c>
      <c r="K2" s="740">
        <f>+'loans_av rate'!F3</f>
        <v>44196</v>
      </c>
      <c r="L2" s="740"/>
      <c r="N2" s="206" t="s">
        <v>408</v>
      </c>
    </row>
    <row r="3" spans="1:26" s="171" customFormat="1" ht="38.25" customHeight="1">
      <c r="A3" s="739" t="s">
        <v>83</v>
      </c>
      <c r="B3" s="713" t="s">
        <v>744</v>
      </c>
      <c r="C3" s="739" t="s">
        <v>661</v>
      </c>
      <c r="D3" s="739"/>
      <c r="E3" s="739"/>
      <c r="F3" s="739"/>
      <c r="G3" s="739"/>
      <c r="H3" s="739"/>
      <c r="I3" s="739" t="s">
        <v>662</v>
      </c>
      <c r="J3" s="739"/>
      <c r="K3" s="739"/>
      <c r="L3" s="739"/>
      <c r="M3" s="739"/>
      <c r="N3" s="739"/>
    </row>
    <row r="4" spans="1:26" s="171" customFormat="1" ht="24" customHeight="1">
      <c r="A4" s="739"/>
      <c r="B4" s="714"/>
      <c r="C4" s="739" t="s">
        <v>663</v>
      </c>
      <c r="D4" s="739" t="s">
        <v>660</v>
      </c>
      <c r="E4" s="739" t="s">
        <v>668</v>
      </c>
      <c r="F4" s="739"/>
      <c r="G4" s="739"/>
      <c r="H4" s="739"/>
      <c r="I4" s="739" t="s">
        <v>663</v>
      </c>
      <c r="J4" s="739" t="s">
        <v>660</v>
      </c>
      <c r="K4" s="739" t="s">
        <v>668</v>
      </c>
      <c r="L4" s="739"/>
      <c r="M4" s="739"/>
      <c r="N4" s="739"/>
    </row>
    <row r="5" spans="1:26" s="171" customFormat="1" ht="54.75" customHeight="1">
      <c r="A5" s="739"/>
      <c r="B5" s="714"/>
      <c r="C5" s="739"/>
      <c r="D5" s="739"/>
      <c r="E5" s="739" t="s">
        <v>669</v>
      </c>
      <c r="F5" s="739"/>
      <c r="G5" s="739" t="s">
        <v>205</v>
      </c>
      <c r="H5" s="739"/>
      <c r="I5" s="739"/>
      <c r="J5" s="739"/>
      <c r="K5" s="739" t="s">
        <v>669</v>
      </c>
      <c r="L5" s="739"/>
      <c r="M5" s="739" t="s">
        <v>205</v>
      </c>
      <c r="N5" s="739"/>
    </row>
    <row r="6" spans="1:26" s="171" customFormat="1" ht="54.75" customHeight="1">
      <c r="A6" s="739"/>
      <c r="B6" s="715"/>
      <c r="C6" s="739"/>
      <c r="D6" s="739"/>
      <c r="E6" s="351" t="s">
        <v>666</v>
      </c>
      <c r="F6" s="351" t="s">
        <v>660</v>
      </c>
      <c r="G6" s="351" t="s">
        <v>666</v>
      </c>
      <c r="H6" s="351" t="s">
        <v>660</v>
      </c>
      <c r="I6" s="739"/>
      <c r="J6" s="739"/>
      <c r="K6" s="351" t="s">
        <v>666</v>
      </c>
      <c r="L6" s="351" t="s">
        <v>660</v>
      </c>
      <c r="M6" s="351" t="s">
        <v>666</v>
      </c>
      <c r="N6" s="351" t="s">
        <v>660</v>
      </c>
    </row>
    <row r="7" spans="1:26" s="171" customFormat="1" ht="22.5" customHeight="1">
      <c r="A7" s="739"/>
      <c r="B7" s="351" t="s">
        <v>182</v>
      </c>
      <c r="C7" s="351" t="s">
        <v>183</v>
      </c>
      <c r="D7" s="351" t="s">
        <v>200</v>
      </c>
      <c r="E7" s="351" t="s">
        <v>184</v>
      </c>
      <c r="F7" s="351" t="s">
        <v>185</v>
      </c>
      <c r="G7" s="351" t="s">
        <v>201</v>
      </c>
      <c r="H7" s="351" t="s">
        <v>186</v>
      </c>
      <c r="I7" s="351" t="s">
        <v>187</v>
      </c>
      <c r="J7" s="351" t="s">
        <v>188</v>
      </c>
      <c r="K7" s="351" t="s">
        <v>189</v>
      </c>
      <c r="L7" s="351" t="s">
        <v>190</v>
      </c>
      <c r="M7" s="351" t="s">
        <v>191</v>
      </c>
      <c r="N7" s="351" t="s">
        <v>192</v>
      </c>
    </row>
    <row r="8" spans="1:26" s="336" customFormat="1" ht="41.25" customHeight="1">
      <c r="A8" s="332">
        <v>1</v>
      </c>
      <c r="B8" s="333" t="s">
        <v>224</v>
      </c>
      <c r="C8" s="364">
        <f>+E8+G8</f>
        <v>163360536</v>
      </c>
      <c r="D8" s="334">
        <v>1.7811741997158027E-3</v>
      </c>
      <c r="E8" s="352">
        <v>155044502</v>
      </c>
      <c r="F8" s="334">
        <v>1.8743390209881214E-3</v>
      </c>
      <c r="G8" s="352">
        <v>8316034</v>
      </c>
      <c r="H8" s="334">
        <v>4.4205272103091518E-5</v>
      </c>
      <c r="I8" s="364">
        <f>+K8+M8</f>
        <v>460771917</v>
      </c>
      <c r="J8" s="334">
        <v>2.7194376359431231E-2</v>
      </c>
      <c r="K8" s="352">
        <v>391575154</v>
      </c>
      <c r="L8" s="334">
        <v>3.2702723079968715E-2</v>
      </c>
      <c r="M8" s="352">
        <v>69196763</v>
      </c>
      <c r="N8" s="334">
        <v>0</v>
      </c>
      <c r="O8" s="335"/>
      <c r="P8" s="365">
        <f>+'[8]Bank Liabilities Analysis'!$C$22</f>
        <v>624132453</v>
      </c>
      <c r="Q8" s="365">
        <f t="shared" ref="Q8:Q15" si="0">+P8-C8-I8</f>
        <v>0</v>
      </c>
      <c r="R8" s="335"/>
      <c r="S8" s="335"/>
      <c r="T8" s="335"/>
      <c r="U8" s="335"/>
      <c r="V8" s="335"/>
      <c r="W8" s="335"/>
      <c r="X8" s="335"/>
      <c r="Y8" s="335"/>
      <c r="Z8" s="335"/>
    </row>
    <row r="9" spans="1:26" s="336" customFormat="1" ht="41.25" customHeight="1">
      <c r="A9" s="332">
        <v>2</v>
      </c>
      <c r="B9" s="333" t="s">
        <v>745</v>
      </c>
      <c r="C9" s="364">
        <f>+E9+G9</f>
        <v>30163688</v>
      </c>
      <c r="D9" s="334">
        <v>0.19116888429118983</v>
      </c>
      <c r="E9" s="352">
        <v>29218647</v>
      </c>
      <c r="F9" s="334">
        <v>0.19557209202679662</v>
      </c>
      <c r="G9" s="352">
        <v>945041</v>
      </c>
      <c r="H9" s="334">
        <v>5.5031147799074753E-2</v>
      </c>
      <c r="I9" s="364">
        <f>+K9+M9</f>
        <v>203629201</v>
      </c>
      <c r="J9" s="334">
        <v>0.11000440015479117</v>
      </c>
      <c r="K9" s="352">
        <v>98860000</v>
      </c>
      <c r="L9" s="334">
        <v>0.15245498685009104</v>
      </c>
      <c r="M9" s="352">
        <v>104769201</v>
      </c>
      <c r="N9" s="334">
        <v>7.0000000000000007E-2</v>
      </c>
      <c r="O9" s="335"/>
      <c r="P9" s="365">
        <f>+'[8]Bank Liabilities Analysis'!$E$22</f>
        <v>233792889</v>
      </c>
      <c r="Q9" s="365">
        <f t="shared" si="0"/>
        <v>0</v>
      </c>
      <c r="R9" s="335"/>
      <c r="S9" s="335"/>
      <c r="T9" s="335"/>
      <c r="U9" s="335"/>
      <c r="V9" s="335"/>
      <c r="W9" s="335"/>
      <c r="X9" s="335"/>
      <c r="Y9" s="335"/>
      <c r="Z9" s="335"/>
    </row>
    <row r="10" spans="1:26" s="336" customFormat="1" ht="41.25" customHeight="1">
      <c r="A10" s="332">
        <v>3</v>
      </c>
      <c r="B10" s="333" t="s">
        <v>746</v>
      </c>
      <c r="C10" s="364">
        <f t="shared" ref="C10:C15" si="1">+E10+G10</f>
        <v>57214611</v>
      </c>
      <c r="D10" s="334">
        <v>0.20843786257553026</v>
      </c>
      <c r="E10" s="352">
        <v>54562317</v>
      </c>
      <c r="F10" s="334">
        <v>0.21609324798898988</v>
      </c>
      <c r="G10" s="352">
        <v>2652294</v>
      </c>
      <c r="H10" s="334">
        <v>5.095324099076378E-2</v>
      </c>
      <c r="I10" s="364">
        <f t="shared" ref="I10:I15" si="2">+K10+M10</f>
        <v>123797693</v>
      </c>
      <c r="J10" s="334">
        <v>0.16748261768886613</v>
      </c>
      <c r="K10" s="352">
        <v>122750002</v>
      </c>
      <c r="L10" s="334">
        <v>0.16840325865580452</v>
      </c>
      <c r="M10" s="352">
        <v>1047691</v>
      </c>
      <c r="N10" s="334">
        <v>0.06</v>
      </c>
      <c r="O10" s="335"/>
      <c r="P10" s="365">
        <f>+'[8]Bank Liabilities Analysis'!$G$22</f>
        <v>181012304</v>
      </c>
      <c r="Q10" s="365">
        <f t="shared" si="0"/>
        <v>0</v>
      </c>
      <c r="R10" s="335"/>
      <c r="S10" s="335"/>
      <c r="T10" s="335"/>
      <c r="U10" s="335"/>
      <c r="V10" s="335"/>
      <c r="W10" s="335"/>
      <c r="X10" s="335"/>
      <c r="Y10" s="335"/>
      <c r="Z10" s="335"/>
    </row>
    <row r="11" spans="1:26" s="336" customFormat="1" ht="41.25" customHeight="1">
      <c r="A11" s="332">
        <v>4</v>
      </c>
      <c r="B11" s="333" t="s">
        <v>621</v>
      </c>
      <c r="C11" s="364">
        <f t="shared" si="1"/>
        <v>112908752</v>
      </c>
      <c r="D11" s="334">
        <v>0.16066948659070882</v>
      </c>
      <c r="E11" s="352">
        <v>90550131</v>
      </c>
      <c r="F11" s="334">
        <v>0.18683587556160167</v>
      </c>
      <c r="G11" s="352">
        <v>22358621</v>
      </c>
      <c r="H11" s="334">
        <v>5.4698286280224835E-2</v>
      </c>
      <c r="I11" s="364">
        <f t="shared" si="2"/>
        <v>147422106</v>
      </c>
      <c r="J11" s="334">
        <v>0.14886400265259686</v>
      </c>
      <c r="K11" s="352">
        <v>135897494</v>
      </c>
      <c r="L11" s="334">
        <v>0.15649919677709012</v>
      </c>
      <c r="M11" s="352">
        <v>11524612</v>
      </c>
      <c r="N11" s="334">
        <v>0.06</v>
      </c>
      <c r="O11" s="335"/>
      <c r="P11" s="365">
        <f>+'[8]Bank Liabilities Analysis'!$I$22</f>
        <v>260330858</v>
      </c>
      <c r="Q11" s="365">
        <f t="shared" si="0"/>
        <v>0</v>
      </c>
      <c r="R11" s="335"/>
      <c r="S11" s="335"/>
      <c r="T11" s="335"/>
      <c r="U11" s="335"/>
      <c r="V11" s="335"/>
      <c r="W11" s="335"/>
      <c r="X11" s="335"/>
      <c r="Y11" s="335"/>
      <c r="Z11" s="335"/>
    </row>
    <row r="12" spans="1:26" s="336" customFormat="1" ht="41.25" customHeight="1">
      <c r="A12" s="332">
        <v>5</v>
      </c>
      <c r="B12" s="333" t="s">
        <v>622</v>
      </c>
      <c r="C12" s="364">
        <f t="shared" si="1"/>
        <v>100968787</v>
      </c>
      <c r="D12" s="334">
        <v>0.18119219406021114</v>
      </c>
      <c r="E12" s="352">
        <v>74196480</v>
      </c>
      <c r="F12" s="334">
        <v>0.22815082107216417</v>
      </c>
      <c r="G12" s="352">
        <v>26772307</v>
      </c>
      <c r="H12" s="334">
        <v>5.1051567808952966E-2</v>
      </c>
      <c r="I12" s="364">
        <f t="shared" si="2"/>
        <v>153561946</v>
      </c>
      <c r="J12" s="334">
        <v>0.1347690298931577</v>
      </c>
      <c r="K12" s="352">
        <v>152681885</v>
      </c>
      <c r="L12" s="334">
        <v>0.13523349420057543</v>
      </c>
      <c r="M12" s="352">
        <v>880061</v>
      </c>
      <c r="N12" s="334">
        <v>0.06</v>
      </c>
      <c r="O12" s="335"/>
      <c r="P12" s="365">
        <f>+'[8]Bank Liabilities Analysis'!$K$22</f>
        <v>254530733</v>
      </c>
      <c r="Q12" s="365">
        <f t="shared" si="0"/>
        <v>0</v>
      </c>
      <c r="R12" s="335"/>
      <c r="S12" s="335"/>
      <c r="T12" s="335"/>
      <c r="U12" s="335"/>
      <c r="V12" s="335"/>
      <c r="W12" s="335"/>
      <c r="X12" s="335"/>
      <c r="Y12" s="335"/>
      <c r="Z12" s="335"/>
    </row>
    <row r="13" spans="1:26" s="336" customFormat="1" ht="41.25" customHeight="1">
      <c r="A13" s="332">
        <v>6</v>
      </c>
      <c r="B13" s="333" t="s">
        <v>693</v>
      </c>
      <c r="C13" s="364">
        <f t="shared" si="1"/>
        <v>111359166</v>
      </c>
      <c r="D13" s="334">
        <v>0.18190388091103646</v>
      </c>
      <c r="E13" s="352">
        <v>102332684</v>
      </c>
      <c r="F13" s="334">
        <v>0.19332539032643944</v>
      </c>
      <c r="G13" s="352">
        <v>9026482</v>
      </c>
      <c r="H13" s="334">
        <v>5.2418909152441531E-2</v>
      </c>
      <c r="I13" s="364">
        <f t="shared" si="2"/>
        <v>399786907</v>
      </c>
      <c r="J13" s="334">
        <v>0.13907755801821572</v>
      </c>
      <c r="K13" s="352">
        <v>389938603</v>
      </c>
      <c r="L13" s="334">
        <v>0.14114981445207106</v>
      </c>
      <c r="M13" s="352">
        <v>9848304</v>
      </c>
      <c r="N13" s="334">
        <v>5.9095744680851055E-2</v>
      </c>
      <c r="O13" s="335"/>
      <c r="P13" s="365">
        <f>+'[8]Bank Liabilities Analysis'!$M$22</f>
        <v>511146073</v>
      </c>
      <c r="Q13" s="365">
        <f t="shared" si="0"/>
        <v>0</v>
      </c>
      <c r="R13" s="335"/>
      <c r="S13" s="335"/>
      <c r="T13" s="335"/>
      <c r="U13" s="335"/>
      <c r="V13" s="335"/>
      <c r="W13" s="335"/>
      <c r="X13" s="335"/>
      <c r="Y13" s="335"/>
      <c r="Z13" s="335"/>
    </row>
    <row r="14" spans="1:26" s="336" customFormat="1" ht="41.25" customHeight="1">
      <c r="A14" s="332">
        <v>7</v>
      </c>
      <c r="B14" s="333" t="s">
        <v>694</v>
      </c>
      <c r="C14" s="364">
        <f t="shared" si="1"/>
        <v>20208570</v>
      </c>
      <c r="D14" s="334">
        <v>0.1733458654979658</v>
      </c>
      <c r="E14" s="352">
        <v>18936528</v>
      </c>
      <c r="F14" s="334">
        <v>0.18112196362310981</v>
      </c>
      <c r="G14" s="352">
        <v>1272042</v>
      </c>
      <c r="H14" s="334">
        <v>5.7585259948848375E-2</v>
      </c>
      <c r="I14" s="364">
        <f t="shared" si="2"/>
        <v>43249999</v>
      </c>
      <c r="J14" s="334">
        <v>0.19773095852313366</v>
      </c>
      <c r="K14" s="352">
        <v>43249999</v>
      </c>
      <c r="L14" s="334">
        <v>0.19908670520231214</v>
      </c>
      <c r="M14" s="352">
        <v>0</v>
      </c>
      <c r="N14" s="334"/>
      <c r="O14" s="335"/>
      <c r="P14" s="365">
        <f>+'[8]Bank Liabilities Analysis'!$O$22</f>
        <v>63458569</v>
      </c>
      <c r="Q14" s="365">
        <f t="shared" si="0"/>
        <v>0</v>
      </c>
      <c r="R14" s="335"/>
      <c r="S14" s="335"/>
      <c r="T14" s="335"/>
      <c r="U14" s="335"/>
      <c r="V14" s="335"/>
      <c r="W14" s="335"/>
      <c r="X14" s="335"/>
      <c r="Y14" s="335"/>
      <c r="Z14" s="335"/>
    </row>
    <row r="15" spans="1:26" s="336" customFormat="1" ht="41.25" customHeight="1">
      <c r="A15" s="332">
        <v>8</v>
      </c>
      <c r="B15" s="333" t="s">
        <v>158</v>
      </c>
      <c r="C15" s="364">
        <f t="shared" si="1"/>
        <v>2174301</v>
      </c>
      <c r="D15" s="334">
        <v>0.18639352073975402</v>
      </c>
      <c r="E15" s="352">
        <v>2174301</v>
      </c>
      <c r="F15" s="334">
        <v>0.18639352073975402</v>
      </c>
      <c r="G15" s="352">
        <v>0</v>
      </c>
      <c r="H15" s="334">
        <v>0</v>
      </c>
      <c r="I15" s="364">
        <f t="shared" si="2"/>
        <v>252165645</v>
      </c>
      <c r="J15" s="334">
        <v>8.3776075003809791E-2</v>
      </c>
      <c r="K15" s="352">
        <v>95011845</v>
      </c>
      <c r="L15" s="334">
        <v>0.13226097429776576</v>
      </c>
      <c r="M15" s="352">
        <v>157153800</v>
      </c>
      <c r="N15" s="334">
        <v>5.4583333333333331E-2</v>
      </c>
      <c r="O15" s="335"/>
      <c r="P15" s="365">
        <f>+'[8]Bank Liabilities Analysis'!$Q$22</f>
        <v>254339946</v>
      </c>
      <c r="Q15" s="365">
        <f t="shared" si="0"/>
        <v>0</v>
      </c>
      <c r="R15" s="335"/>
      <c r="S15" s="335"/>
      <c r="T15" s="335"/>
      <c r="U15" s="335"/>
      <c r="V15" s="335"/>
      <c r="W15" s="335"/>
      <c r="X15" s="335"/>
      <c r="Y15" s="335"/>
      <c r="Z15" s="335"/>
    </row>
    <row r="16" spans="1:26" s="336" customFormat="1" ht="41.25" customHeight="1">
      <c r="A16" s="332">
        <v>9</v>
      </c>
      <c r="B16" s="337" t="s">
        <v>747</v>
      </c>
      <c r="C16" s="353">
        <f>SUM(C8:C15)</f>
        <v>598358411</v>
      </c>
      <c r="D16" s="354">
        <f>IFERROR(((C8*D8)/C16)+((C9*D9)/C16)+((C10*D10)/C16)+((C11*D11)/C16)+((C12*D12)/C16)+((C13*D13)/C16)+((C14*D14)/C16)+((C15*D15)/C16),0)</f>
        <v>0.13133229406149224</v>
      </c>
      <c r="E16" s="353">
        <f t="shared" ref="E16:M16" si="3">SUM(E8:E15)</f>
        <v>527015590</v>
      </c>
      <c r="F16" s="354">
        <f>IFERROR(((E8*F8)/E16)+((E9*F9)/E16)+((E10*F10)/E16)+((E11*F11)/E16)+((E12*F12)/E16)+((E13*F13)/E16)+((E14*F14)/E16)+((E15*F15)/E16),0)</f>
        <v>0.14280433307528329</v>
      </c>
      <c r="G16" s="353">
        <f t="shared" si="3"/>
        <v>71342821</v>
      </c>
      <c r="H16" s="354">
        <f>IFERROR(((G8*H8)/G16)+((G9*H9)/G16)+((G10*H10)/G16)+((G11*H11)/G16)+((G12*H12)/G16)+((G13*H13)/G16)+((G14*H14)/G16)+((G15*H15)/G16),0)</f>
        <v>4.6587350204654591E-2</v>
      </c>
      <c r="I16" s="353">
        <f t="shared" si="3"/>
        <v>1784385414</v>
      </c>
      <c r="J16" s="354">
        <f>IFERROR(((I8*J8)/I16)+((I9*J9)/I16)+((I10*J10)/I16)+((I11*J11)/I16)+((I12*J12)/I16)+((I13*J13)/I16)+((I14*J14)/I16)+((I15*J15)/I16),0)</f>
        <v>0.10288383387016226</v>
      </c>
      <c r="K16" s="353">
        <f t="shared" si="3"/>
        <v>1429964982</v>
      </c>
      <c r="L16" s="354">
        <f>IFERROR(((K8*L8)/K16)+((K9*L9)/K16)+((K10*L10)/K16)+((K11*L11)/K16)+((K12*L12)/K16)+((K13*L13)/K16)+((K14*L14)/K16)+((K15*L15)/K16),0)</f>
        <v>0.11656295795875363</v>
      </c>
      <c r="M16" s="353">
        <f t="shared" si="3"/>
        <v>354420432</v>
      </c>
      <c r="N16" s="354">
        <f>IFERROR(((M8*N8)/M16)+((M9*N9)/M16)+((M10*N10)/M16)+((M11*N11)/M16)+((M12*N12)/M16)+((M13*N13)/M16)+((M14*N14)/M16)+((M15*N15)/M16),0)</f>
        <v>4.8814784523267568E-2</v>
      </c>
      <c r="O16" s="335"/>
      <c r="P16" s="366">
        <f>+'[8]Bank Liabilities Analysis'!$S$22</f>
        <v>2382743825</v>
      </c>
      <c r="Q16" s="365">
        <f>+P16-C16-I16</f>
        <v>0</v>
      </c>
      <c r="R16" s="335"/>
      <c r="S16" s="335"/>
      <c r="T16" s="335"/>
      <c r="U16" s="335"/>
      <c r="V16" s="335"/>
      <c r="W16" s="335"/>
      <c r="X16" s="335"/>
      <c r="Y16" s="335"/>
      <c r="Z16" s="335"/>
    </row>
    <row r="17" spans="1:26" s="21" customFormat="1" ht="12" customHeight="1">
      <c r="B17" s="41"/>
      <c r="C17" s="104"/>
      <c r="I17" s="104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</row>
    <row r="18" spans="1:26" s="21" customFormat="1" ht="12.75">
      <c r="B18" s="41"/>
      <c r="C18" s="104"/>
      <c r="I18" s="104"/>
    </row>
    <row r="19" spans="1:26" s="25" customFormat="1">
      <c r="A19" s="113"/>
      <c r="B19" s="123" t="s">
        <v>0</v>
      </c>
      <c r="C19" s="362"/>
      <c r="J19" s="113"/>
    </row>
    <row r="20" spans="1:26" s="25" customFormat="1">
      <c r="A20" s="113"/>
      <c r="B20" s="123"/>
      <c r="J20" s="113"/>
    </row>
    <row r="21" spans="1:26" s="25" customFormat="1">
      <c r="A21" s="113"/>
      <c r="B21" s="123" t="s">
        <v>1</v>
      </c>
      <c r="J21" s="113"/>
    </row>
    <row r="24" spans="1:26" s="357" customFormat="1">
      <c r="A24" s="356"/>
      <c r="B24" s="357" t="s">
        <v>742</v>
      </c>
      <c r="C24" s="361">
        <f>+'[8]Deposits by Client'!$C$6+'[8]Deposits by Client'!$C$15</f>
        <v>598358411</v>
      </c>
      <c r="D24" s="361"/>
      <c r="E24" s="361"/>
      <c r="F24" s="361"/>
      <c r="G24" s="361">
        <f>+'[8]Deposits by Client'!$D$6+'[8]Deposits by Client'!$D$15</f>
        <v>71342821</v>
      </c>
      <c r="H24" s="361"/>
      <c r="I24" s="361"/>
      <c r="J24" s="361"/>
      <c r="K24" s="361"/>
      <c r="L24" s="361"/>
      <c r="M24" s="361"/>
      <c r="N24" s="359"/>
    </row>
    <row r="25" spans="1:26" s="357" customFormat="1">
      <c r="A25" s="356"/>
      <c r="C25" s="361">
        <f>+C16</f>
        <v>598358411</v>
      </c>
      <c r="D25" s="361"/>
      <c r="E25" s="361"/>
      <c r="F25" s="361"/>
      <c r="G25" s="361">
        <f>+G16</f>
        <v>71342821</v>
      </c>
      <c r="H25" s="361"/>
      <c r="I25" s="363"/>
      <c r="J25" s="363"/>
      <c r="K25" s="363"/>
      <c r="L25" s="363"/>
      <c r="M25" s="363"/>
      <c r="N25" s="359"/>
    </row>
    <row r="26" spans="1:26" s="357" customFormat="1">
      <c r="A26" s="356"/>
      <c r="C26" s="361">
        <f>+C24-C25</f>
        <v>0</v>
      </c>
      <c r="D26" s="361"/>
      <c r="E26" s="361"/>
      <c r="F26" s="361"/>
      <c r="G26" s="361">
        <f>+G24-G25</f>
        <v>0</v>
      </c>
      <c r="H26" s="361"/>
      <c r="I26" s="363"/>
      <c r="J26" s="363"/>
      <c r="K26" s="363"/>
      <c r="L26" s="363"/>
      <c r="M26" s="363"/>
      <c r="N26" s="359"/>
    </row>
    <row r="27" spans="1:26" s="357" customFormat="1">
      <c r="A27" s="356"/>
      <c r="B27" s="357" t="s">
        <v>743</v>
      </c>
      <c r="C27" s="363"/>
      <c r="D27" s="363"/>
      <c r="E27" s="363"/>
      <c r="F27" s="363"/>
      <c r="G27" s="363"/>
      <c r="H27" s="363"/>
      <c r="I27" s="361">
        <f>+'[8]Deposits by Client'!$C$22-'[8]Deposits by Client'!$C$6-'[8]Deposits by Client'!$C$15</f>
        <v>1784385414</v>
      </c>
      <c r="J27" s="361"/>
      <c r="K27" s="361"/>
      <c r="L27" s="361"/>
      <c r="M27" s="361">
        <f>+'[8]Deposits by Client'!$D$22-'[8]Deposits by Client'!$D$6-'[8]Deposits by Client'!$D$15</f>
        <v>354420432</v>
      </c>
    </row>
    <row r="28" spans="1:26" s="357" customFormat="1">
      <c r="A28" s="356"/>
      <c r="C28" s="363"/>
      <c r="D28" s="363"/>
      <c r="E28" s="363"/>
      <c r="F28" s="363"/>
      <c r="G28" s="363"/>
      <c r="H28" s="363"/>
      <c r="I28" s="361">
        <f>+I16</f>
        <v>1784385414</v>
      </c>
      <c r="J28" s="361"/>
      <c r="K28" s="361"/>
      <c r="L28" s="361"/>
      <c r="M28" s="361">
        <f>+M16</f>
        <v>354420432</v>
      </c>
    </row>
    <row r="29" spans="1:26" s="357" customFormat="1">
      <c r="A29" s="356"/>
      <c r="C29" s="363"/>
      <c r="D29" s="363"/>
      <c r="E29" s="363"/>
      <c r="F29" s="363"/>
      <c r="G29" s="363"/>
      <c r="H29" s="363"/>
      <c r="I29" s="361">
        <f>+I27-I28</f>
        <v>0</v>
      </c>
      <c r="J29" s="363"/>
      <c r="K29" s="363"/>
      <c r="L29" s="363"/>
      <c r="M29" s="361">
        <f>+M27-M28</f>
        <v>0</v>
      </c>
    </row>
    <row r="30" spans="1:26" s="357" customFormat="1">
      <c r="A30" s="356"/>
    </row>
    <row r="31" spans="1:26" s="357" customFormat="1">
      <c r="A31" s="356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0">
    <pageSetUpPr fitToPage="1"/>
  </sheetPr>
  <dimension ref="A1:K49"/>
  <sheetViews>
    <sheetView zoomScaleSheetLayoutView="70" workbookViewId="0">
      <pane xSplit="1" ySplit="5" topLeftCell="B19" activePane="bottomRight" state="frozen"/>
      <selection activeCell="C72" sqref="C72"/>
      <selection pane="topRight" activeCell="C72" sqref="C72"/>
      <selection pane="bottomLeft" activeCell="C72" sqref="C72"/>
      <selection pane="bottomRight" activeCell="I48" sqref="I48"/>
    </sheetView>
  </sheetViews>
  <sheetFormatPr defaultColWidth="9" defaultRowHeight="12.75"/>
  <cols>
    <col min="1" max="1" width="5" style="104" customWidth="1"/>
    <col min="2" max="3" width="9" style="105" customWidth="1"/>
    <col min="4" max="4" width="25.42578125" style="105" customWidth="1"/>
    <col min="5" max="5" width="42.140625" style="105" customWidth="1"/>
    <col min="6" max="6" width="15.42578125" style="105" bestFit="1" customWidth="1"/>
    <col min="7" max="7" width="9" style="105" customWidth="1"/>
    <col min="8" max="8" width="36.28515625" style="105" customWidth="1"/>
    <col min="9" max="9" width="18.42578125" style="105" customWidth="1"/>
    <col min="10" max="10" width="15" style="104" customWidth="1"/>
    <col min="11" max="11" width="15.5703125" style="105" customWidth="1"/>
    <col min="12" max="16384" width="9" style="105"/>
  </cols>
  <sheetData>
    <row r="1" spans="1:11" s="569" customFormat="1" ht="27" customHeight="1">
      <c r="A1" s="744" t="s">
        <v>815</v>
      </c>
      <c r="B1" s="744"/>
      <c r="C1" s="744"/>
      <c r="D1" s="744"/>
      <c r="E1" s="744"/>
      <c r="F1" s="744"/>
      <c r="G1" s="744"/>
      <c r="H1" s="744"/>
      <c r="I1" s="745" t="s">
        <v>689</v>
      </c>
      <c r="J1" s="745"/>
      <c r="K1" s="745"/>
    </row>
    <row r="2" spans="1:11" ht="21" customHeight="1">
      <c r="A2" s="480"/>
      <c r="B2" s="770" t="str">
        <f>+'Asset quality'!B3</f>
        <v>АКБ "Микрокредитбанк"</v>
      </c>
      <c r="C2" s="770"/>
      <c r="D2" s="770"/>
      <c r="E2" s="481"/>
      <c r="F2" s="481"/>
      <c r="G2" s="481"/>
      <c r="H2" s="481"/>
      <c r="I2" s="482">
        <f>+'Asset quality'!P3</f>
        <v>44196</v>
      </c>
      <c r="J2" s="223"/>
      <c r="K2" s="34"/>
    </row>
    <row r="3" spans="1:11" ht="6.75" customHeight="1">
      <c r="A3" s="746"/>
      <c r="B3" s="747"/>
      <c r="C3" s="747"/>
      <c r="D3" s="747"/>
      <c r="E3" s="747"/>
      <c r="F3" s="747"/>
      <c r="G3" s="747"/>
      <c r="H3" s="747"/>
      <c r="I3" s="747"/>
      <c r="J3" s="747"/>
      <c r="K3" s="748"/>
    </row>
    <row r="4" spans="1:11" s="570" customFormat="1" ht="41.25" customHeight="1">
      <c r="A4" s="759" t="s">
        <v>83</v>
      </c>
      <c r="B4" s="759" t="s">
        <v>234</v>
      </c>
      <c r="C4" s="759"/>
      <c r="D4" s="759"/>
      <c r="E4" s="759"/>
      <c r="F4" s="759" t="s">
        <v>235</v>
      </c>
      <c r="G4" s="759"/>
      <c r="H4" s="759"/>
      <c r="I4" s="528" t="s">
        <v>236</v>
      </c>
      <c r="J4" s="528" t="s">
        <v>237</v>
      </c>
      <c r="K4" s="528" t="s">
        <v>238</v>
      </c>
    </row>
    <row r="5" spans="1:11" s="570" customFormat="1" ht="14.25">
      <c r="A5" s="759"/>
      <c r="B5" s="759" t="s">
        <v>239</v>
      </c>
      <c r="C5" s="759"/>
      <c r="D5" s="759"/>
      <c r="E5" s="759"/>
      <c r="F5" s="759" t="s">
        <v>183</v>
      </c>
      <c r="G5" s="759"/>
      <c r="H5" s="759"/>
      <c r="I5" s="528" t="s">
        <v>200</v>
      </c>
      <c r="J5" s="528" t="s">
        <v>184</v>
      </c>
      <c r="K5" s="528" t="s">
        <v>185</v>
      </c>
    </row>
    <row r="6" spans="1:11" s="571" customFormat="1">
      <c r="A6" s="483">
        <v>1</v>
      </c>
      <c r="B6" s="754" t="s">
        <v>240</v>
      </c>
      <c r="C6" s="755"/>
      <c r="D6" s="755"/>
      <c r="E6" s="755"/>
      <c r="F6" s="755"/>
      <c r="G6" s="755"/>
      <c r="H6" s="755"/>
      <c r="I6" s="755"/>
      <c r="J6" s="755"/>
      <c r="K6" s="756"/>
    </row>
    <row r="7" spans="1:11" ht="24" customHeight="1">
      <c r="A7" s="760" t="s">
        <v>228</v>
      </c>
      <c r="B7" s="751" t="s">
        <v>241</v>
      </c>
      <c r="C7" s="762"/>
      <c r="D7" s="762"/>
      <c r="E7" s="763"/>
      <c r="F7" s="767" t="s">
        <v>242</v>
      </c>
      <c r="G7" s="768"/>
      <c r="H7" s="769"/>
      <c r="I7" s="749">
        <f>'[9]Bank Capital Calc'!$C$48</f>
        <v>0.14575899248799376</v>
      </c>
      <c r="J7" s="484" t="s">
        <v>243</v>
      </c>
      <c r="K7" s="757" t="str">
        <f>IF(I7="",0-J8,(IF((I7-J8)&gt;0,"",I7-J8)))</f>
        <v/>
      </c>
    </row>
    <row r="8" spans="1:11">
      <c r="A8" s="761"/>
      <c r="B8" s="764"/>
      <c r="C8" s="765"/>
      <c r="D8" s="765"/>
      <c r="E8" s="766"/>
      <c r="F8" s="751" t="s">
        <v>244</v>
      </c>
      <c r="G8" s="752"/>
      <c r="H8" s="753"/>
      <c r="I8" s="750"/>
      <c r="J8" s="485">
        <v>0.13</v>
      </c>
      <c r="K8" s="758"/>
    </row>
    <row r="9" spans="1:11">
      <c r="A9" s="760" t="s">
        <v>230</v>
      </c>
      <c r="B9" s="751" t="s">
        <v>245</v>
      </c>
      <c r="C9" s="762"/>
      <c r="D9" s="762"/>
      <c r="E9" s="763"/>
      <c r="F9" s="771" t="s">
        <v>246</v>
      </c>
      <c r="G9" s="772"/>
      <c r="H9" s="773"/>
      <c r="I9" s="749">
        <f>'[9]Bank Capital Calc'!$C$49</f>
        <v>0.1457718224101868</v>
      </c>
      <c r="J9" s="484" t="s">
        <v>243</v>
      </c>
      <c r="K9" s="757" t="str">
        <f>IF(I9="",0-J10,(IF((I9-J10)&gt;0,"",I9-J10)))</f>
        <v/>
      </c>
    </row>
    <row r="10" spans="1:11">
      <c r="A10" s="761"/>
      <c r="B10" s="777"/>
      <c r="C10" s="778"/>
      <c r="D10" s="778"/>
      <c r="E10" s="779"/>
      <c r="F10" s="784" t="s">
        <v>244</v>
      </c>
      <c r="G10" s="785"/>
      <c r="H10" s="786"/>
      <c r="I10" s="750"/>
      <c r="J10" s="485">
        <v>0.1</v>
      </c>
      <c r="K10" s="758"/>
    </row>
    <row r="11" spans="1:11">
      <c r="A11" s="760" t="s">
        <v>231</v>
      </c>
      <c r="B11" s="774" t="s">
        <v>610</v>
      </c>
      <c r="C11" s="775"/>
      <c r="D11" s="775"/>
      <c r="E11" s="776"/>
      <c r="F11" s="771" t="s">
        <v>611</v>
      </c>
      <c r="G11" s="772"/>
      <c r="H11" s="773"/>
      <c r="I11" s="749">
        <f>'[9]Bank Capital Calc'!$C$50</f>
        <v>0.15467293536066487</v>
      </c>
      <c r="J11" s="484" t="s">
        <v>243</v>
      </c>
      <c r="K11" s="757" t="str">
        <f>IF(I11="",0-J12,(IF((I11-J12)&gt;0,"",I11-J12)))</f>
        <v/>
      </c>
    </row>
    <row r="12" spans="1:11" ht="24.75" customHeight="1">
      <c r="A12" s="761"/>
      <c r="B12" s="764"/>
      <c r="C12" s="765"/>
      <c r="D12" s="765"/>
      <c r="E12" s="766"/>
      <c r="F12" s="767" t="s">
        <v>244</v>
      </c>
      <c r="G12" s="768"/>
      <c r="H12" s="769"/>
      <c r="I12" s="750"/>
      <c r="J12" s="485">
        <v>0.08</v>
      </c>
      <c r="K12" s="758"/>
    </row>
    <row r="13" spans="1:11">
      <c r="A13" s="760" t="s">
        <v>233</v>
      </c>
      <c r="B13" s="774" t="s">
        <v>247</v>
      </c>
      <c r="C13" s="775"/>
      <c r="D13" s="775"/>
      <c r="E13" s="776"/>
      <c r="F13" s="781" t="s">
        <v>246</v>
      </c>
      <c r="G13" s="782"/>
      <c r="H13" s="783"/>
      <c r="I13" s="749">
        <f>'[9]Bank Capital Calc'!$C$56</f>
        <v>0.14511606908670435</v>
      </c>
      <c r="J13" s="484" t="s">
        <v>243</v>
      </c>
      <c r="K13" s="757" t="str">
        <f>IF(I13="",0-J14,(IF((I13-J14)&gt;0,"",I13-J14)))</f>
        <v/>
      </c>
    </row>
    <row r="14" spans="1:11" ht="24.75" customHeight="1">
      <c r="A14" s="761"/>
      <c r="B14" s="764"/>
      <c r="C14" s="765"/>
      <c r="D14" s="765"/>
      <c r="E14" s="766"/>
      <c r="F14" s="767" t="s">
        <v>702</v>
      </c>
      <c r="G14" s="768"/>
      <c r="H14" s="769"/>
      <c r="I14" s="750"/>
      <c r="J14" s="485">
        <v>0.06</v>
      </c>
      <c r="K14" s="758"/>
    </row>
    <row r="15" spans="1:11" s="571" customFormat="1">
      <c r="A15" s="486">
        <v>2</v>
      </c>
      <c r="B15" s="780" t="s">
        <v>699</v>
      </c>
      <c r="C15" s="755"/>
      <c r="D15" s="755"/>
      <c r="E15" s="755"/>
      <c r="F15" s="755"/>
      <c r="G15" s="755"/>
      <c r="H15" s="755"/>
      <c r="I15" s="755"/>
      <c r="J15" s="755"/>
      <c r="K15" s="756"/>
    </row>
    <row r="16" spans="1:11" s="569" customFormat="1" ht="15.75" customHeight="1">
      <c r="A16" s="787" t="s">
        <v>248</v>
      </c>
      <c r="B16" s="791" t="s">
        <v>48</v>
      </c>
      <c r="C16" s="792"/>
      <c r="D16" s="792"/>
      <c r="E16" s="487" t="s">
        <v>152</v>
      </c>
      <c r="F16" s="797" t="s">
        <v>49</v>
      </c>
      <c r="G16" s="798"/>
      <c r="H16" s="799"/>
      <c r="I16" s="530">
        <f>IFERROR('[8]Liquidity Analysis'!$C$21,0)</f>
        <v>2.3646901308376709</v>
      </c>
      <c r="J16" s="742" t="s">
        <v>243</v>
      </c>
      <c r="K16" s="530" t="str">
        <f>IF(I16="",0-$J$18,(IF((I16-$J$18)&gt;0,"",I16-$J$18)))</f>
        <v/>
      </c>
    </row>
    <row r="17" spans="1:11" s="569" customFormat="1" ht="15.75" customHeight="1">
      <c r="A17" s="788"/>
      <c r="B17" s="793"/>
      <c r="C17" s="794"/>
      <c r="D17" s="794"/>
      <c r="E17" s="488" t="s">
        <v>306</v>
      </c>
      <c r="F17" s="800"/>
      <c r="G17" s="801"/>
      <c r="H17" s="802"/>
      <c r="I17" s="530">
        <f>IFERROR('[8]Liquidity Analysis'!$D$21,0)</f>
        <v>1.8285310571509492</v>
      </c>
      <c r="J17" s="743"/>
      <c r="K17" s="530" t="str">
        <f>IF(I17="",0-$J$18,(IF((I17-$J$18)&gt;0,"",I17-$J$18)))</f>
        <v/>
      </c>
    </row>
    <row r="18" spans="1:11" s="569" customFormat="1" ht="15.75" customHeight="1">
      <c r="A18" s="789"/>
      <c r="B18" s="795"/>
      <c r="C18" s="796"/>
      <c r="D18" s="796"/>
      <c r="E18" s="488" t="s">
        <v>205</v>
      </c>
      <c r="F18" s="790" t="s">
        <v>50</v>
      </c>
      <c r="G18" s="790"/>
      <c r="H18" s="790"/>
      <c r="I18" s="530">
        <f>IFERROR('[8]Liquidity Analysis'!$E$21,0)</f>
        <v>3.878602421255418</v>
      </c>
      <c r="J18" s="489">
        <v>1</v>
      </c>
      <c r="K18" s="530" t="str">
        <f>IF(I18="",0-$J$18,(IF((I18-$J$18)&gt;0,"",I18-$J$18)))</f>
        <v/>
      </c>
    </row>
    <row r="19" spans="1:11" s="569" customFormat="1" ht="15" customHeight="1">
      <c r="A19" s="787" t="s">
        <v>55</v>
      </c>
      <c r="B19" s="833" t="s">
        <v>53</v>
      </c>
      <c r="C19" s="815"/>
      <c r="D19" s="816"/>
      <c r="E19" s="487" t="s">
        <v>152</v>
      </c>
      <c r="F19" s="827" t="s">
        <v>52</v>
      </c>
      <c r="G19" s="828"/>
      <c r="H19" s="829"/>
      <c r="I19" s="530">
        <f>IFERROR('[8]Liquidity Analysis'!$C$31,0)</f>
        <v>1.1883969802898113</v>
      </c>
      <c r="J19" s="742" t="s">
        <v>243</v>
      </c>
      <c r="K19" s="530" t="str">
        <f>IF(I19="",0-$J$21,(IF((I19-$J$21)&gt;0,"",I19-$J$21)))</f>
        <v/>
      </c>
    </row>
    <row r="20" spans="1:11" s="569" customFormat="1" ht="15" customHeight="1">
      <c r="A20" s="788"/>
      <c r="B20" s="834"/>
      <c r="C20" s="804"/>
      <c r="D20" s="805"/>
      <c r="E20" s="488" t="s">
        <v>306</v>
      </c>
      <c r="F20" s="830"/>
      <c r="G20" s="831"/>
      <c r="H20" s="832"/>
      <c r="I20" s="530">
        <f>IFERROR('[8]Liquidity Analysis'!$D$31,0)</f>
        <v>1.2444544887374667</v>
      </c>
      <c r="J20" s="743"/>
      <c r="K20" s="530" t="str">
        <f>IF(I20="",0-$J$21,(IF((I20-$J$21)&gt;0,"",I20-$J$21)))</f>
        <v/>
      </c>
    </row>
    <row r="21" spans="1:11" s="569" customFormat="1" ht="15" customHeight="1">
      <c r="A21" s="789"/>
      <c r="B21" s="835"/>
      <c r="C21" s="836"/>
      <c r="D21" s="837"/>
      <c r="E21" s="488" t="s">
        <v>205</v>
      </c>
      <c r="F21" s="826" t="s">
        <v>51</v>
      </c>
      <c r="G21" s="826"/>
      <c r="H21" s="826"/>
      <c r="I21" s="530">
        <f>IFERROR('[8]Liquidity Analysis'!$E$31,0)</f>
        <v>1.08062764851128</v>
      </c>
      <c r="J21" s="527">
        <v>1</v>
      </c>
      <c r="K21" s="530" t="str">
        <f>IF(I21="",0-$J$21,(IF((I21-$J$21)&gt;0,"",I21-$J$21)))</f>
        <v/>
      </c>
    </row>
    <row r="22" spans="1:11" s="571" customFormat="1">
      <c r="A22" s="486">
        <v>3</v>
      </c>
      <c r="B22" s="823" t="s">
        <v>249</v>
      </c>
      <c r="C22" s="824"/>
      <c r="D22" s="824"/>
      <c r="E22" s="824"/>
      <c r="F22" s="824"/>
      <c r="G22" s="824"/>
      <c r="H22" s="824"/>
      <c r="I22" s="824"/>
      <c r="J22" s="824"/>
      <c r="K22" s="825"/>
    </row>
    <row r="23" spans="1:11" ht="24">
      <c r="A23" s="760" t="s">
        <v>250</v>
      </c>
      <c r="B23" s="814" t="s">
        <v>869</v>
      </c>
      <c r="C23" s="815"/>
      <c r="D23" s="815"/>
      <c r="E23" s="816"/>
      <c r="F23" s="490" t="s">
        <v>612</v>
      </c>
      <c r="G23" s="491"/>
      <c r="H23" s="492"/>
      <c r="I23" s="820">
        <f>+' Largest risk'!G8/'[9]Bank Capital Calc'!$C$33</f>
        <v>0.28089761485800341</v>
      </c>
      <c r="J23" s="526" t="s">
        <v>251</v>
      </c>
      <c r="K23" s="809">
        <f>IF(I23="","",IF(I23&lt;0,"ОТР",IF((I23-J24)&lt;0,"",I23-J24)))</f>
        <v>3.0897614858003408E-2</v>
      </c>
    </row>
    <row r="24" spans="1:11">
      <c r="A24" s="761"/>
      <c r="B24" s="817"/>
      <c r="C24" s="818"/>
      <c r="D24" s="818"/>
      <c r="E24" s="819"/>
      <c r="F24" s="811" t="s">
        <v>246</v>
      </c>
      <c r="G24" s="812"/>
      <c r="H24" s="813"/>
      <c r="I24" s="821"/>
      <c r="J24" s="489">
        <v>0.25</v>
      </c>
      <c r="K24" s="822"/>
    </row>
    <row r="25" spans="1:11" s="125" customFormat="1" ht="28.5" customHeight="1">
      <c r="A25" s="787" t="s">
        <v>252</v>
      </c>
      <c r="B25" s="833" t="s">
        <v>889</v>
      </c>
      <c r="C25" s="815"/>
      <c r="D25" s="815"/>
      <c r="E25" s="816"/>
      <c r="F25" s="490" t="s">
        <v>889</v>
      </c>
      <c r="G25" s="491"/>
      <c r="H25" s="492"/>
      <c r="I25" s="847">
        <v>0</v>
      </c>
      <c r="J25" s="511" t="s">
        <v>251</v>
      </c>
      <c r="K25" s="757" t="str">
        <f>IF(I25&lt;0,"ОТР",IF((I25-J26)&lt;0,"",I25-J26))</f>
        <v/>
      </c>
    </row>
    <row r="26" spans="1:11" s="125" customFormat="1">
      <c r="A26" s="789"/>
      <c r="B26" s="806"/>
      <c r="C26" s="807"/>
      <c r="D26" s="807"/>
      <c r="E26" s="808"/>
      <c r="F26" s="811" t="s">
        <v>246</v>
      </c>
      <c r="G26" s="812"/>
      <c r="H26" s="813"/>
      <c r="I26" s="848"/>
      <c r="J26" s="510">
        <v>0.25</v>
      </c>
      <c r="K26" s="758"/>
    </row>
    <row r="27" spans="1:11" s="125" customFormat="1" ht="24">
      <c r="A27" s="787" t="s">
        <v>31</v>
      </c>
      <c r="B27" s="814" t="s">
        <v>613</v>
      </c>
      <c r="C27" s="815"/>
      <c r="D27" s="815"/>
      <c r="E27" s="816"/>
      <c r="F27" s="490" t="s">
        <v>613</v>
      </c>
      <c r="G27" s="491"/>
      <c r="H27" s="492"/>
      <c r="I27" s="847">
        <v>0</v>
      </c>
      <c r="J27" s="511" t="s">
        <v>251</v>
      </c>
      <c r="K27" s="757" t="str">
        <f>IF(I27&lt;0,"ОТР",IF((I27-J28)&lt;0,"",I27-J28))</f>
        <v/>
      </c>
    </row>
    <row r="28" spans="1:11" s="125" customFormat="1">
      <c r="A28" s="789"/>
      <c r="B28" s="806"/>
      <c r="C28" s="807"/>
      <c r="D28" s="807"/>
      <c r="E28" s="808"/>
      <c r="F28" s="811" t="s">
        <v>246</v>
      </c>
      <c r="G28" s="812"/>
      <c r="H28" s="813"/>
      <c r="I28" s="848"/>
      <c r="J28" s="510">
        <v>0.05</v>
      </c>
      <c r="K28" s="758"/>
    </row>
    <row r="29" spans="1:11" s="125" customFormat="1" ht="14.25" customHeight="1">
      <c r="A29" s="787" t="s">
        <v>623</v>
      </c>
      <c r="B29" s="803" t="s">
        <v>614</v>
      </c>
      <c r="C29" s="804"/>
      <c r="D29" s="804"/>
      <c r="E29" s="805"/>
      <c r="F29" s="493" t="s">
        <v>615</v>
      </c>
      <c r="G29" s="494"/>
      <c r="H29" s="495"/>
      <c r="I29" s="809">
        <f>IFERROR((+' Largest risk'!G67/'[9]Bank Capital Calc'!$C$33),0)</f>
        <v>0.50820038621363495</v>
      </c>
      <c r="J29" s="509" t="s">
        <v>251</v>
      </c>
      <c r="K29" s="757" t="str">
        <f>IF(I29="","",IF(I29&lt;0,"ОТР",IF((I29-J30)&lt;0,"",I29-J30)))</f>
        <v/>
      </c>
    </row>
    <row r="30" spans="1:11" s="125" customFormat="1">
      <c r="A30" s="789"/>
      <c r="B30" s="806"/>
      <c r="C30" s="807"/>
      <c r="D30" s="807"/>
      <c r="E30" s="808"/>
      <c r="F30" s="811" t="s">
        <v>246</v>
      </c>
      <c r="G30" s="812"/>
      <c r="H30" s="813"/>
      <c r="I30" s="810"/>
      <c r="J30" s="509">
        <v>8</v>
      </c>
      <c r="K30" s="758"/>
    </row>
    <row r="31" spans="1:11" s="572" customFormat="1">
      <c r="A31" s="466">
        <v>4</v>
      </c>
      <c r="B31" s="838" t="s">
        <v>253</v>
      </c>
      <c r="C31" s="839"/>
      <c r="D31" s="839"/>
      <c r="E31" s="839"/>
      <c r="F31" s="839"/>
      <c r="G31" s="839"/>
      <c r="H31" s="839"/>
      <c r="I31" s="839"/>
      <c r="J31" s="839"/>
      <c r="K31" s="840"/>
    </row>
    <row r="32" spans="1:11" s="125" customFormat="1">
      <c r="A32" s="787" t="s">
        <v>254</v>
      </c>
      <c r="B32" s="833" t="s">
        <v>255</v>
      </c>
      <c r="C32" s="842"/>
      <c r="D32" s="842"/>
      <c r="E32" s="843"/>
      <c r="F32" s="490" t="s">
        <v>256</v>
      </c>
      <c r="G32" s="491"/>
      <c r="H32" s="492"/>
      <c r="I32" s="847"/>
      <c r="J32" s="511" t="s">
        <v>251</v>
      </c>
      <c r="K32" s="757" t="str">
        <f>IF(I32&lt;0,"ОТР",IF((I32-J33)&lt;0,"",I32-J33))</f>
        <v/>
      </c>
    </row>
    <row r="33" spans="1:11" s="125" customFormat="1">
      <c r="A33" s="789"/>
      <c r="B33" s="806"/>
      <c r="C33" s="807"/>
      <c r="D33" s="807"/>
      <c r="E33" s="808"/>
      <c r="F33" s="811" t="s">
        <v>246</v>
      </c>
      <c r="G33" s="812"/>
      <c r="H33" s="813"/>
      <c r="I33" s="849"/>
      <c r="J33" s="510">
        <v>0.15</v>
      </c>
      <c r="K33" s="758"/>
    </row>
    <row r="34" spans="1:11" s="125" customFormat="1" ht="24.75" customHeight="1">
      <c r="A34" s="787" t="s">
        <v>37</v>
      </c>
      <c r="B34" s="841" t="s">
        <v>257</v>
      </c>
      <c r="C34" s="842"/>
      <c r="D34" s="842"/>
      <c r="E34" s="843"/>
      <c r="F34" s="844" t="s">
        <v>258</v>
      </c>
      <c r="G34" s="853"/>
      <c r="H34" s="854"/>
      <c r="I34" s="847">
        <f>IFERROR((+(#REF!+#REF!+#REF!+#REF!-#REF!)/'[9]Bank Capital Calc'!$C$33),0)</f>
        <v>0</v>
      </c>
      <c r="J34" s="511" t="s">
        <v>251</v>
      </c>
      <c r="K34" s="757" t="str">
        <f>IF(I34="","",IF(I34&lt;0,"ОТР",IF((I34-J35)&lt;0,"",I34-J35)))</f>
        <v/>
      </c>
    </row>
    <row r="35" spans="1:11" s="125" customFormat="1">
      <c r="A35" s="789"/>
      <c r="B35" s="818"/>
      <c r="C35" s="818"/>
      <c r="D35" s="818"/>
      <c r="E35" s="819"/>
      <c r="F35" s="811" t="s">
        <v>246</v>
      </c>
      <c r="G35" s="812"/>
      <c r="H35" s="813"/>
      <c r="I35" s="849"/>
      <c r="J35" s="510">
        <v>0.25</v>
      </c>
      <c r="K35" s="758"/>
    </row>
    <row r="36" spans="1:11" s="125" customFormat="1" ht="36" customHeight="1">
      <c r="A36" s="787" t="s">
        <v>38</v>
      </c>
      <c r="B36" s="841" t="s">
        <v>259</v>
      </c>
      <c r="C36" s="842"/>
      <c r="D36" s="842"/>
      <c r="E36" s="843"/>
      <c r="F36" s="844" t="s">
        <v>260</v>
      </c>
      <c r="G36" s="853"/>
      <c r="H36" s="854"/>
      <c r="I36" s="847">
        <f>IFERROR((+(+#REF!-#REF!-#REF!+#REF!+#REF!+#REF!+#REF!-#REF!)/'[9]Bank Capital Calc'!$C$33),0)</f>
        <v>0</v>
      </c>
      <c r="J36" s="509" t="s">
        <v>251</v>
      </c>
      <c r="K36" s="757" t="str">
        <f>IF(I36="","",IF(I36&lt;0,"ОТР",IF((I36-J37)&lt;0,"",I36-J37)))</f>
        <v/>
      </c>
    </row>
    <row r="37" spans="1:11" s="125" customFormat="1">
      <c r="A37" s="789"/>
      <c r="B37" s="818"/>
      <c r="C37" s="818"/>
      <c r="D37" s="818"/>
      <c r="E37" s="819"/>
      <c r="F37" s="850" t="s">
        <v>246</v>
      </c>
      <c r="G37" s="851"/>
      <c r="H37" s="852"/>
      <c r="I37" s="848"/>
      <c r="J37" s="509">
        <v>0.5</v>
      </c>
      <c r="K37" s="758"/>
    </row>
    <row r="38" spans="1:11" s="572" customFormat="1">
      <c r="A38" s="466">
        <v>5</v>
      </c>
      <c r="B38" s="855" t="s">
        <v>261</v>
      </c>
      <c r="C38" s="856"/>
      <c r="D38" s="856"/>
      <c r="E38" s="856"/>
      <c r="F38" s="856"/>
      <c r="G38" s="856"/>
      <c r="H38" s="856"/>
      <c r="I38" s="856"/>
      <c r="J38" s="856"/>
      <c r="K38" s="857"/>
    </row>
    <row r="39" spans="1:11" s="125" customFormat="1" ht="23.25" customHeight="1">
      <c r="A39" s="787" t="s">
        <v>262</v>
      </c>
      <c r="B39" s="833" t="s">
        <v>704</v>
      </c>
      <c r="C39" s="842"/>
      <c r="D39" s="842"/>
      <c r="E39" s="843"/>
      <c r="F39" s="844" t="s">
        <v>617</v>
      </c>
      <c r="G39" s="845"/>
      <c r="H39" s="846"/>
      <c r="I39" s="847">
        <v>0</v>
      </c>
      <c r="J39" s="511" t="s">
        <v>251</v>
      </c>
      <c r="K39" s="757" t="str">
        <f>IF(I39="","",IF(I39&lt;0,"ОТР",IF((I39-J40)&lt;0,"",I39-J40)))</f>
        <v/>
      </c>
    </row>
    <row r="40" spans="1:11" s="125" customFormat="1">
      <c r="A40" s="789"/>
      <c r="B40" s="817"/>
      <c r="C40" s="818"/>
      <c r="D40" s="818"/>
      <c r="E40" s="819"/>
      <c r="F40" s="811" t="s">
        <v>246</v>
      </c>
      <c r="G40" s="812"/>
      <c r="H40" s="813"/>
      <c r="I40" s="848"/>
      <c r="J40" s="510">
        <v>0.25</v>
      </c>
      <c r="K40" s="758"/>
    </row>
    <row r="41" spans="1:11" s="125" customFormat="1" ht="23.25" customHeight="1">
      <c r="A41" s="787" t="s">
        <v>885</v>
      </c>
      <c r="B41" s="858" t="s">
        <v>616</v>
      </c>
      <c r="C41" s="859"/>
      <c r="D41" s="859"/>
      <c r="E41" s="859"/>
      <c r="F41" s="835" t="s">
        <v>618</v>
      </c>
      <c r="G41" s="860"/>
      <c r="H41" s="861"/>
      <c r="I41" s="809">
        <f>IFERROR((+'Loans to Affiliated P.'!G64/'[9]Bank Capital Calc'!$C$33),0)</f>
        <v>1.9097354210016518E-3</v>
      </c>
      <c r="J41" s="509" t="s">
        <v>251</v>
      </c>
      <c r="K41" s="757" t="str">
        <f>IF(I41="","",IF(I41&lt;0,"ОТР",IF((I41-J42)&lt;0,"",I41-J42)))</f>
        <v/>
      </c>
    </row>
    <row r="42" spans="1:11" s="125" customFormat="1">
      <c r="A42" s="789"/>
      <c r="B42" s="859"/>
      <c r="C42" s="859"/>
      <c r="D42" s="859"/>
      <c r="E42" s="859"/>
      <c r="F42" s="811" t="s">
        <v>246</v>
      </c>
      <c r="G42" s="812"/>
      <c r="H42" s="813"/>
      <c r="I42" s="810"/>
      <c r="J42" s="510">
        <v>1</v>
      </c>
      <c r="K42" s="758"/>
    </row>
    <row r="43" spans="1:11" s="572" customFormat="1">
      <c r="A43" s="466">
        <v>6</v>
      </c>
      <c r="B43" s="855" t="s">
        <v>830</v>
      </c>
      <c r="C43" s="856"/>
      <c r="D43" s="856"/>
      <c r="E43" s="856"/>
      <c r="F43" s="856"/>
      <c r="G43" s="856"/>
      <c r="H43" s="856"/>
      <c r="I43" s="856"/>
      <c r="J43" s="856"/>
      <c r="K43" s="857"/>
    </row>
    <row r="44" spans="1:11" s="125" customFormat="1" ht="23.25" customHeight="1">
      <c r="A44" s="787" t="s">
        <v>831</v>
      </c>
      <c r="B44" s="833" t="s">
        <v>832</v>
      </c>
      <c r="C44" s="842"/>
      <c r="D44" s="842"/>
      <c r="E44" s="843"/>
      <c r="F44" s="844" t="s">
        <v>833</v>
      </c>
      <c r="G44" s="845"/>
      <c r="H44" s="846"/>
      <c r="I44" s="847">
        <v>0</v>
      </c>
      <c r="J44" s="509" t="s">
        <v>251</v>
      </c>
      <c r="K44" s="757" t="str">
        <f>IF(I44="","",IF(I44&lt;0,"ОТР",IF((I44-J45)&lt;0,"",I44-J45)))</f>
        <v/>
      </c>
    </row>
    <row r="45" spans="1:11" s="125" customFormat="1">
      <c r="A45" s="789"/>
      <c r="B45" s="806"/>
      <c r="C45" s="807"/>
      <c r="D45" s="807"/>
      <c r="E45" s="808"/>
      <c r="F45" s="811" t="s">
        <v>246</v>
      </c>
      <c r="G45" s="812"/>
      <c r="H45" s="813"/>
      <c r="I45" s="848"/>
      <c r="J45" s="510">
        <v>1</v>
      </c>
      <c r="K45" s="758"/>
    </row>
    <row r="46" spans="1:11" s="125" customFormat="1">
      <c r="A46" s="512"/>
      <c r="J46" s="512"/>
    </row>
    <row r="47" spans="1:11" s="125" customFormat="1">
      <c r="A47" s="512"/>
      <c r="D47" s="513" t="s">
        <v>0</v>
      </c>
      <c r="J47" s="512"/>
    </row>
    <row r="48" spans="1:11" s="125" customFormat="1">
      <c r="A48" s="512"/>
      <c r="D48" s="513"/>
      <c r="J48" s="512"/>
    </row>
    <row r="49" spans="1:10" s="125" customFormat="1">
      <c r="A49" s="512"/>
      <c r="D49" s="513" t="s">
        <v>1</v>
      </c>
      <c r="J49" s="512"/>
    </row>
  </sheetData>
  <sheetProtection password="CACA" sheet="1" objects="1" scenarios="1"/>
  <mergeCells count="108">
    <mergeCell ref="I25:I26"/>
    <mergeCell ref="K25:K26"/>
    <mergeCell ref="F26:H26"/>
    <mergeCell ref="B43:K43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  <mergeCell ref="B19:D21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25:A26"/>
    <mergeCell ref="B25:E26"/>
    <mergeCell ref="A16:A18"/>
    <mergeCell ref="F18:H18"/>
    <mergeCell ref="K13:K14"/>
    <mergeCell ref="F14:H14"/>
    <mergeCell ref="B16:D18"/>
    <mergeCell ref="F16:H17"/>
    <mergeCell ref="A27:A28"/>
    <mergeCell ref="B29:E30"/>
    <mergeCell ref="I29:I30"/>
    <mergeCell ref="K29:K30"/>
    <mergeCell ref="F30:H30"/>
    <mergeCell ref="K27:K28"/>
    <mergeCell ref="F28:H28"/>
    <mergeCell ref="A19:A21"/>
    <mergeCell ref="A29:A30"/>
    <mergeCell ref="A23:A24"/>
    <mergeCell ref="B23:E24"/>
    <mergeCell ref="I23:I24"/>
    <mergeCell ref="K23:K24"/>
    <mergeCell ref="F24:H24"/>
    <mergeCell ref="B22:E22"/>
    <mergeCell ref="F22:K22"/>
    <mergeCell ref="F21:H21"/>
    <mergeCell ref="F19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J16:J17"/>
    <mergeCell ref="J19:J2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  <mergeCell ref="A9:A10"/>
  </mergeCells>
  <phoneticPr fontId="17" type="noConversion"/>
  <dataValidations xWindow="800" yWindow="714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6 I7:I14 I16:I21 I29:I30 I44:I45 I39:I42" xr:uid="{00000000-0002-0000-0E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3 I25:I28" xr:uid="{00000000-0002-0000-0E00-000001000000}"/>
  </dataValidations>
  <printOptions horizontalCentered="1" verticalCentered="1"/>
  <pageMargins left="0.16" right="0.18" top="0.22" bottom="0.15" header="0.51181102362204722" footer="0.51181102362204722"/>
  <pageSetup paperSize="9" scale="70" orientation="landscape" r:id="rId1"/>
  <headerFooter alignWithMargins="0"/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1">
    <pageSetUpPr fitToPage="1"/>
  </sheetPr>
  <dimension ref="A1:C30"/>
  <sheetViews>
    <sheetView view="pageBreakPreview" zoomScaleSheetLayoutView="100" workbookViewId="0">
      <pane xSplit="1" ySplit="2" topLeftCell="B3" activePane="bottomRight" state="frozen"/>
      <selection activeCell="C72" sqref="C72"/>
      <selection pane="topRight" activeCell="C72" sqref="C72"/>
      <selection pane="bottomLeft" activeCell="C72" sqref="C72"/>
      <selection pane="bottomRight" activeCell="C5" sqref="C5"/>
    </sheetView>
  </sheetViews>
  <sheetFormatPr defaultRowHeight="12.75"/>
  <cols>
    <col min="1" max="1" width="6" style="1" customWidth="1"/>
    <col min="2" max="2" width="71.85546875" style="24" customWidth="1"/>
    <col min="3" max="3" width="19.28515625" style="1" customWidth="1"/>
    <col min="4" max="16384" width="9.140625" style="1"/>
  </cols>
  <sheetData>
    <row r="1" spans="1:3" s="21" customFormat="1" ht="39.75" customHeight="1">
      <c r="B1" s="68" t="s">
        <v>263</v>
      </c>
      <c r="C1" s="69" t="s">
        <v>690</v>
      </c>
    </row>
    <row r="2" spans="1:3" s="21" customFormat="1" ht="35.25" customHeight="1">
      <c r="A2" s="499"/>
      <c r="B2" s="499" t="str">
        <f>+'Asset quality'!B3</f>
        <v>АКБ "Микрокредитбанк"</v>
      </c>
      <c r="C2" s="268" t="s">
        <v>408</v>
      </c>
    </row>
    <row r="3" spans="1:3" s="21" customFormat="1" ht="32.25" customHeight="1">
      <c r="A3" s="60" t="s">
        <v>598</v>
      </c>
      <c r="B3" s="82" t="s">
        <v>609</v>
      </c>
      <c r="C3" s="80"/>
    </row>
    <row r="4" spans="1:3" s="81" customFormat="1" ht="30" customHeight="1">
      <c r="A4" s="79" t="s">
        <v>68</v>
      </c>
      <c r="B4" s="84" t="s">
        <v>599</v>
      </c>
      <c r="C4" s="80">
        <v>3442</v>
      </c>
    </row>
    <row r="5" spans="1:3" s="81" customFormat="1" ht="30" customHeight="1">
      <c r="A5" s="79" t="s">
        <v>64</v>
      </c>
      <c r="B5" s="84" t="s">
        <v>600</v>
      </c>
      <c r="C5" s="80">
        <v>3015</v>
      </c>
    </row>
    <row r="6" spans="1:3" s="21" customFormat="1" ht="32.25" customHeight="1">
      <c r="A6" s="60" t="s">
        <v>505</v>
      </c>
      <c r="B6" s="82" t="s">
        <v>607</v>
      </c>
      <c r="C6" s="80"/>
    </row>
    <row r="7" spans="1:3" s="21" customFormat="1">
      <c r="A7" s="60"/>
      <c r="B7" s="83" t="s">
        <v>608</v>
      </c>
      <c r="C7" s="78"/>
    </row>
    <row r="8" spans="1:3" s="81" customFormat="1" ht="30" customHeight="1">
      <c r="A8" s="79" t="s">
        <v>68</v>
      </c>
      <c r="B8" s="84" t="s">
        <v>601</v>
      </c>
      <c r="C8" s="80">
        <v>71</v>
      </c>
    </row>
    <row r="9" spans="1:3" s="81" customFormat="1" ht="30" customHeight="1">
      <c r="A9" s="79" t="s">
        <v>64</v>
      </c>
      <c r="B9" s="84" t="s">
        <v>602</v>
      </c>
      <c r="C9" s="80">
        <v>31</v>
      </c>
    </row>
    <row r="10" spans="1:3" s="81" customFormat="1" ht="30" customHeight="1">
      <c r="A10" s="79" t="s">
        <v>66</v>
      </c>
      <c r="B10" s="84" t="s">
        <v>705</v>
      </c>
      <c r="C10" s="80">
        <v>23</v>
      </c>
    </row>
    <row r="11" spans="1:3" s="505" customFormat="1" ht="30" customHeight="1">
      <c r="A11" s="502" t="s">
        <v>73</v>
      </c>
      <c r="B11" s="503" t="s">
        <v>834</v>
      </c>
      <c r="C11" s="504">
        <v>78</v>
      </c>
    </row>
    <row r="12" spans="1:3" s="91" customFormat="1" ht="30" customHeight="1">
      <c r="A12" s="506" t="s">
        <v>506</v>
      </c>
      <c r="B12" s="507" t="s">
        <v>603</v>
      </c>
      <c r="C12" s="80">
        <f>+C14+C15+C16</f>
        <v>1067634</v>
      </c>
    </row>
    <row r="13" spans="1:3" s="91" customFormat="1">
      <c r="A13" s="506"/>
      <c r="B13" s="507" t="s">
        <v>608</v>
      </c>
      <c r="C13" s="508"/>
    </row>
    <row r="14" spans="1:3" s="505" customFormat="1" ht="30" customHeight="1">
      <c r="A14" s="502" t="s">
        <v>68</v>
      </c>
      <c r="B14" s="503" t="s">
        <v>164</v>
      </c>
      <c r="C14" s="504">
        <v>833712</v>
      </c>
    </row>
    <row r="15" spans="1:3" s="505" customFormat="1" ht="30" customHeight="1">
      <c r="A15" s="502" t="s">
        <v>64</v>
      </c>
      <c r="B15" s="503" t="s">
        <v>888</v>
      </c>
      <c r="C15" s="504">
        <v>123989</v>
      </c>
    </row>
    <row r="16" spans="1:3" s="505" customFormat="1" ht="30" customHeight="1">
      <c r="A16" s="502" t="s">
        <v>66</v>
      </c>
      <c r="B16" s="503" t="s">
        <v>812</v>
      </c>
      <c r="C16" s="504">
        <f>+C18+C19+C20+C22</f>
        <v>109933</v>
      </c>
    </row>
    <row r="17" spans="1:3" s="505" customFormat="1">
      <c r="A17" s="502"/>
      <c r="B17" s="503" t="s">
        <v>835</v>
      </c>
      <c r="C17" s="504"/>
    </row>
    <row r="18" spans="1:3" s="505" customFormat="1" ht="30" customHeight="1">
      <c r="A18" s="502" t="s">
        <v>887</v>
      </c>
      <c r="B18" s="503" t="s">
        <v>165</v>
      </c>
      <c r="C18" s="504">
        <v>1018</v>
      </c>
    </row>
    <row r="19" spans="1:3" s="505" customFormat="1" ht="29.25" customHeight="1">
      <c r="A19" s="502" t="s">
        <v>887</v>
      </c>
      <c r="B19" s="503" t="s">
        <v>167</v>
      </c>
      <c r="C19" s="504">
        <v>104141</v>
      </c>
    </row>
    <row r="20" spans="1:3" s="505" customFormat="1" ht="30" customHeight="1">
      <c r="A20" s="502" t="s">
        <v>887</v>
      </c>
      <c r="B20" s="503" t="s">
        <v>168</v>
      </c>
      <c r="C20" s="504">
        <v>4014</v>
      </c>
    </row>
    <row r="21" spans="1:3" s="505" customFormat="1" ht="30" customHeight="1">
      <c r="A21" s="502" t="s">
        <v>887</v>
      </c>
      <c r="B21" s="503" t="s">
        <v>163</v>
      </c>
      <c r="C21" s="504">
        <v>0</v>
      </c>
    </row>
    <row r="22" spans="1:3" s="505" customFormat="1" ht="30" customHeight="1">
      <c r="A22" s="502" t="s">
        <v>887</v>
      </c>
      <c r="B22" s="503" t="s">
        <v>172</v>
      </c>
      <c r="C22" s="504">
        <v>760</v>
      </c>
    </row>
    <row r="23" spans="1:3" s="21" customFormat="1" ht="32.25" customHeight="1">
      <c r="A23" s="60" t="s">
        <v>507</v>
      </c>
      <c r="B23" s="82" t="s">
        <v>604</v>
      </c>
      <c r="C23" s="649" t="s">
        <v>1009</v>
      </c>
    </row>
    <row r="24" spans="1:3" s="505" customFormat="1" ht="30" customHeight="1">
      <c r="A24" s="502" t="s">
        <v>68</v>
      </c>
      <c r="B24" s="503" t="s">
        <v>605</v>
      </c>
      <c r="C24" s="80" t="s">
        <v>1008</v>
      </c>
    </row>
    <row r="25" spans="1:3" s="505" customFormat="1" ht="30" customHeight="1">
      <c r="A25" s="502" t="s">
        <v>64</v>
      </c>
      <c r="B25" s="503" t="s">
        <v>606</v>
      </c>
      <c r="C25" s="80" t="s">
        <v>1009</v>
      </c>
    </row>
    <row r="26" spans="1:3" s="21" customFormat="1" ht="12" customHeight="1">
      <c r="B26" s="41"/>
    </row>
    <row r="27" spans="1:3" s="21" customFormat="1">
      <c r="B27" s="41"/>
    </row>
    <row r="28" spans="1:3">
      <c r="A28" s="21"/>
      <c r="B28" s="5" t="s">
        <v>0</v>
      </c>
    </row>
    <row r="29" spans="1:3">
      <c r="A29" s="21"/>
      <c r="B29" s="5"/>
    </row>
    <row r="30" spans="1:3">
      <c r="A30" s="21"/>
      <c r="B30" s="5" t="s">
        <v>1</v>
      </c>
    </row>
  </sheetData>
  <sheetProtection password="CACA" sheet="1" objects="1" scenarios="1"/>
  <phoneticPr fontId="17" type="noConversion"/>
  <dataValidations count="1">
    <dataValidation type="whole" operator="greaterThanOrEqual" allowBlank="1" showErrorMessage="1" error="Введите как целое положительное число." sqref="C8 C4:C5" xr:uid="{00000000-0002-0000-0F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31">
    <pageSetUpPr fitToPage="1"/>
  </sheetPr>
  <dimension ref="A1:AF54"/>
  <sheetViews>
    <sheetView view="pageBreakPreview" zoomScale="70" zoomScaleNormal="40" zoomScaleSheetLayoutView="70" workbookViewId="0">
      <pane xSplit="1" ySplit="3" topLeftCell="B13" activePane="bottomRight" state="frozen"/>
      <selection activeCell="C72" sqref="C72"/>
      <selection pane="topRight" activeCell="C72" sqref="C72"/>
      <selection pane="bottomLeft" activeCell="C72" sqref="C72"/>
      <selection pane="bottomRight" activeCell="B41" sqref="B41"/>
    </sheetView>
  </sheetViews>
  <sheetFormatPr defaultColWidth="97.7109375" defaultRowHeight="18.75"/>
  <cols>
    <col min="1" max="1" width="103.140625" style="452" customWidth="1"/>
    <col min="2" max="2" width="25.140625" style="453" customWidth="1"/>
    <col min="3" max="4" width="14.7109375" style="446" customWidth="1"/>
    <col min="5" max="5" width="8.5703125" style="453" bestFit="1" customWidth="1"/>
    <col min="6" max="6" width="9.7109375" style="453" customWidth="1"/>
    <col min="7" max="9" width="9.7109375" style="446" customWidth="1"/>
    <col min="10" max="10" width="15" style="446" customWidth="1"/>
    <col min="11" max="11" width="10.140625" style="453" customWidth="1"/>
    <col min="12" max="13" width="19.5703125" style="446" customWidth="1"/>
    <col min="14" max="14" width="3.85546875" style="446" bestFit="1" customWidth="1"/>
    <col min="15" max="16" width="19.5703125" style="446" customWidth="1"/>
    <col min="17" max="16384" width="97.7109375" style="446"/>
  </cols>
  <sheetData>
    <row r="1" spans="1:16" s="454" customFormat="1" ht="33.75" customHeight="1">
      <c r="A1" s="862" t="s">
        <v>836</v>
      </c>
      <c r="B1" s="862"/>
    </row>
    <row r="2" spans="1:16" ht="20.25" customHeight="1">
      <c r="A2" s="501" t="str">
        <f>+'Asset quality'!B3</f>
        <v>АКБ "Микрокредитбанк"</v>
      </c>
      <c r="B2" s="429" t="s">
        <v>408</v>
      </c>
      <c r="C2" s="456" t="s">
        <v>871</v>
      </c>
      <c r="D2" s="465"/>
      <c r="E2" s="467"/>
      <c r="F2" s="467"/>
      <c r="K2" s="446"/>
      <c r="M2" s="447"/>
    </row>
    <row r="3" spans="1:16" s="448" customFormat="1" ht="59.25" customHeight="1">
      <c r="A3" s="499" t="s">
        <v>837</v>
      </c>
      <c r="B3" s="500">
        <f>+'Asset quality'!P3</f>
        <v>44196</v>
      </c>
      <c r="C3" s="496"/>
      <c r="D3" s="465"/>
      <c r="E3" s="467"/>
      <c r="F3" s="467"/>
      <c r="K3" s="456" t="s">
        <v>871</v>
      </c>
      <c r="L3" s="458" t="s">
        <v>866</v>
      </c>
      <c r="M3" s="456" t="s">
        <v>867</v>
      </c>
      <c r="N3" s="467"/>
      <c r="O3" s="457" t="s">
        <v>851</v>
      </c>
      <c r="P3" s="459" t="s">
        <v>853</v>
      </c>
    </row>
    <row r="4" spans="1:16" ht="24" customHeight="1">
      <c r="A4" s="449" t="s">
        <v>838</v>
      </c>
      <c r="B4" s="472">
        <f>IFERROR((B5/B6),0)</f>
        <v>0.15467293536066487</v>
      </c>
      <c r="D4" s="465"/>
      <c r="E4" s="467"/>
      <c r="F4" s="467"/>
      <c r="J4" s="478" t="s">
        <v>872</v>
      </c>
      <c r="K4" s="479">
        <v>1</v>
      </c>
      <c r="L4" s="574">
        <v>5890272405</v>
      </c>
      <c r="M4" s="574">
        <v>1625105476</v>
      </c>
      <c r="N4" s="467"/>
      <c r="O4" s="448"/>
      <c r="P4" s="448"/>
    </row>
    <row r="5" spans="1:16" ht="24" customHeight="1">
      <c r="A5" s="450" t="s">
        <v>839</v>
      </c>
      <c r="B5" s="473">
        <f>'[9]Bank Capital Calc'!$C$43</f>
        <v>1738182312</v>
      </c>
      <c r="D5" s="465"/>
      <c r="E5" s="519"/>
      <c r="F5" s="519"/>
      <c r="J5" s="478" t="s">
        <v>873</v>
      </c>
      <c r="K5" s="479">
        <v>2</v>
      </c>
      <c r="L5" s="574">
        <v>5780265236</v>
      </c>
      <c r="M5" s="574">
        <v>1634342354</v>
      </c>
      <c r="N5" s="469">
        <v>1</v>
      </c>
      <c r="O5" s="470">
        <f>+(L4+L5)/2</f>
        <v>5835268820.5</v>
      </c>
      <c r="P5" s="470">
        <f>+(M4+M5)/2</f>
        <v>1629723915</v>
      </c>
    </row>
    <row r="6" spans="1:16" ht="24" customHeight="1">
      <c r="A6" s="451" t="s">
        <v>840</v>
      </c>
      <c r="B6" s="474">
        <f>'[9]Bank Capital Calc'!$C$44</f>
        <v>11237792235.253847</v>
      </c>
      <c r="D6" s="465"/>
      <c r="E6" s="519"/>
      <c r="F6" s="519"/>
      <c r="J6" s="478" t="s">
        <v>874</v>
      </c>
      <c r="K6" s="479">
        <v>3</v>
      </c>
      <c r="L6" s="574">
        <v>5739416696</v>
      </c>
      <c r="M6" s="574">
        <v>1612958003</v>
      </c>
      <c r="N6" s="469">
        <v>2</v>
      </c>
      <c r="O6" s="470">
        <f>+(L4+L5+L6)/3</f>
        <v>5803318112.333333</v>
      </c>
      <c r="P6" s="470">
        <f>+(M4+M5+M6)/3</f>
        <v>1624135277.6666667</v>
      </c>
    </row>
    <row r="7" spans="1:16" ht="24" customHeight="1">
      <c r="A7" s="449" t="s">
        <v>841</v>
      </c>
      <c r="B7" s="472">
        <f>IFERROR((B8/B9),0)</f>
        <v>0.1457718224101868</v>
      </c>
      <c r="D7" s="465"/>
      <c r="E7" s="467"/>
      <c r="F7" s="467"/>
      <c r="J7" s="478" t="s">
        <v>875</v>
      </c>
      <c r="K7" s="479">
        <v>4</v>
      </c>
      <c r="L7" s="574">
        <v>6400904753</v>
      </c>
      <c r="M7" s="574">
        <v>1565343475</v>
      </c>
      <c r="N7" s="469">
        <v>3</v>
      </c>
      <c r="O7" s="471">
        <f>+(L4+L7)/2</f>
        <v>6145588579</v>
      </c>
      <c r="P7" s="471">
        <f>+(M4+M7)/2</f>
        <v>1595224475.5</v>
      </c>
    </row>
    <row r="8" spans="1:16" ht="24" customHeight="1">
      <c r="A8" s="450" t="s">
        <v>842</v>
      </c>
      <c r="B8" s="473">
        <f>'[9]Bank Capital Calc'!$C$33</f>
        <v>1638153454</v>
      </c>
      <c r="D8" s="465"/>
      <c r="E8" s="519"/>
      <c r="F8" s="519"/>
      <c r="J8" s="478" t="s">
        <v>876</v>
      </c>
      <c r="K8" s="479">
        <v>5</v>
      </c>
      <c r="L8" s="574">
        <v>6698313888</v>
      </c>
      <c r="M8" s="574">
        <v>1612101194</v>
      </c>
      <c r="N8" s="469">
        <v>4</v>
      </c>
      <c r="O8" s="470">
        <f>+(+L4+L5+L6+L7+L8)/5</f>
        <v>6101834595.6000004</v>
      </c>
      <c r="P8" s="470">
        <f>+(+M4+M5+M6+M7+M8)/5</f>
        <v>1609970100.4000001</v>
      </c>
    </row>
    <row r="9" spans="1:16" ht="24" customHeight="1">
      <c r="A9" s="451" t="s">
        <v>840</v>
      </c>
      <c r="B9" s="474">
        <f>B6</f>
        <v>11237792235.253847</v>
      </c>
      <c r="D9" s="465"/>
      <c r="E9" s="519"/>
      <c r="F9" s="519"/>
      <c r="J9" s="478" t="s">
        <v>877</v>
      </c>
      <c r="K9" s="479">
        <v>6</v>
      </c>
      <c r="L9" s="574">
        <v>7102133905</v>
      </c>
      <c r="M9" s="574">
        <v>1644988073</v>
      </c>
      <c r="N9" s="469">
        <v>5</v>
      </c>
      <c r="O9" s="470">
        <f>+(+L4+L5+L6+L7+L8+L9)/6</f>
        <v>6268551147.166667</v>
      </c>
      <c r="P9" s="470">
        <f>+(+M4+M5+M6+M7+M8+M9)/6</f>
        <v>1615806429.1666667</v>
      </c>
    </row>
    <row r="10" spans="1:16" ht="24" customHeight="1">
      <c r="A10" s="449" t="s">
        <v>843</v>
      </c>
      <c r="B10" s="472">
        <f>IFERROR((B11/B12),0)</f>
        <v>2.5172434853044955E-2</v>
      </c>
      <c r="D10" s="465"/>
      <c r="E10" s="467"/>
      <c r="F10" s="467"/>
      <c r="J10" s="478" t="s">
        <v>878</v>
      </c>
      <c r="K10" s="479">
        <v>7</v>
      </c>
      <c r="L10" s="574">
        <v>7730755237</v>
      </c>
      <c r="M10" s="574">
        <v>1664824409</v>
      </c>
      <c r="N10" s="469">
        <v>6</v>
      </c>
      <c r="O10" s="471">
        <f>+(L4+L7+L10)/3</f>
        <v>6673977465</v>
      </c>
      <c r="P10" s="471">
        <f>+(M4+M7+M10)/3</f>
        <v>1618424453.3333333</v>
      </c>
    </row>
    <row r="11" spans="1:16" ht="24" customHeight="1">
      <c r="A11" s="450" t="s">
        <v>844</v>
      </c>
      <c r="B11" s="473">
        <f>+('Asset Classification'!M50-'Asset Classification'!O50+'Asset Classification'!Q50-'Asset Classification'!S50+'Asset Classification'!U50-'Asset Classification'!W50)</f>
        <v>43756980</v>
      </c>
      <c r="D11" s="465"/>
      <c r="E11" s="467"/>
      <c r="F11" s="467"/>
      <c r="J11" s="478" t="s">
        <v>879</v>
      </c>
      <c r="K11" s="479">
        <v>8</v>
      </c>
      <c r="L11" s="574">
        <v>8763112470</v>
      </c>
      <c r="M11" s="574">
        <v>1679311774</v>
      </c>
      <c r="N11" s="469">
        <v>7</v>
      </c>
      <c r="O11" s="470">
        <f>(L4+L5+L6+L7+L8+L9+L10+L11)/8</f>
        <v>6763146823.75</v>
      </c>
      <c r="P11" s="470">
        <f>(M4+M5+M6+M7+M8+M9+M10+M11)/8</f>
        <v>1629871844.75</v>
      </c>
    </row>
    <row r="12" spans="1:16" ht="24" customHeight="1">
      <c r="A12" s="451" t="s">
        <v>845</v>
      </c>
      <c r="B12" s="474">
        <f>+B35</f>
        <v>1738289532</v>
      </c>
      <c r="D12" s="465"/>
      <c r="E12" s="467"/>
      <c r="F12" s="467"/>
      <c r="J12" s="478" t="s">
        <v>880</v>
      </c>
      <c r="K12" s="479">
        <v>9</v>
      </c>
      <c r="L12" s="574">
        <v>8860704084</v>
      </c>
      <c r="M12" s="574">
        <v>1705833408</v>
      </c>
      <c r="N12" s="469">
        <v>8</v>
      </c>
      <c r="O12" s="470">
        <f>(L4+L5+L6+L7+L8+L9+L10+L11+L12)/9</f>
        <v>6996208741.5555553</v>
      </c>
      <c r="P12" s="470">
        <f>(M4+M5+M6+M7+M8+M9+M10+M11+M12)/9</f>
        <v>1638312018.4444444</v>
      </c>
    </row>
    <row r="13" spans="1:16" ht="24" customHeight="1">
      <c r="A13" s="449" t="s">
        <v>846</v>
      </c>
      <c r="B13" s="472">
        <f>IFERROR((B14/B15),0)</f>
        <v>1.0141567208180876E-2</v>
      </c>
      <c r="E13" s="446"/>
      <c r="F13" s="446"/>
      <c r="J13" s="478" t="s">
        <v>881</v>
      </c>
      <c r="K13" s="479">
        <v>10</v>
      </c>
      <c r="L13" s="574">
        <v>9271115800</v>
      </c>
      <c r="M13" s="574">
        <v>1722497556</v>
      </c>
      <c r="N13" s="469">
        <v>9</v>
      </c>
      <c r="O13" s="471">
        <f>+(L4+L7+L10+L13)/4</f>
        <v>7323262048.75</v>
      </c>
      <c r="P13" s="471">
        <f>+(M4+M7+M10+M13)/4</f>
        <v>1644442729</v>
      </c>
    </row>
    <row r="14" spans="1:16" ht="24" customHeight="1">
      <c r="A14" s="450" t="s">
        <v>847</v>
      </c>
      <c r="B14" s="473">
        <f>+('Asset Classification'!M50+'Asset Classification'!Q50+'Asset Classification'!U50)</f>
        <v>86606941</v>
      </c>
      <c r="E14" s="446"/>
      <c r="F14" s="446"/>
      <c r="J14" s="478" t="s">
        <v>882</v>
      </c>
      <c r="K14" s="479">
        <v>11</v>
      </c>
      <c r="L14" s="574">
        <v>9506619721</v>
      </c>
      <c r="M14" s="574">
        <v>1760055235</v>
      </c>
      <c r="N14" s="469">
        <v>10</v>
      </c>
      <c r="O14" s="470">
        <f>(+L4+L5+L6+L7+L8+L9+L10+L11+L12+L13+L14)/11</f>
        <v>7431237654.090909</v>
      </c>
      <c r="P14" s="470">
        <f>(+M4+M5+M6+M7+M8+M9+M10+M11+M12+M13+M14)/11</f>
        <v>1657032814.2727273</v>
      </c>
    </row>
    <row r="15" spans="1:16" ht="24" customHeight="1">
      <c r="A15" s="451" t="s">
        <v>848</v>
      </c>
      <c r="B15" s="474">
        <f>+'Loans Receivable'!C92</f>
        <v>8539798556</v>
      </c>
      <c r="E15" s="446"/>
      <c r="F15" s="446"/>
      <c r="J15" s="478" t="s">
        <v>883</v>
      </c>
      <c r="K15" s="479">
        <v>12</v>
      </c>
      <c r="L15" s="574">
        <v>9735843833</v>
      </c>
      <c r="M15" s="574">
        <v>1761881830</v>
      </c>
      <c r="N15" s="469">
        <v>11</v>
      </c>
      <c r="O15" s="470">
        <f>(+L4+L5+L6+L7+L8+L9+L10+L11+L12+L13+L14+L15)/12</f>
        <v>7623288169</v>
      </c>
      <c r="P15" s="470">
        <f>(+M4+M5+M6+M7+M8+M9+M10+M11+M12+M13+M14+M15)/12</f>
        <v>1665770232.25</v>
      </c>
    </row>
    <row r="16" spans="1:16" ht="24" customHeight="1">
      <c r="A16" s="449" t="s">
        <v>849</v>
      </c>
      <c r="B16" s="472">
        <f>IFERROR((B17/B18),0)</f>
        <v>1.560548410607933E-2</v>
      </c>
      <c r="E16" s="446"/>
      <c r="F16" s="446"/>
      <c r="J16" s="478" t="s">
        <v>884</v>
      </c>
      <c r="K16" s="479">
        <v>13</v>
      </c>
      <c r="L16" s="574">
        <v>10282915665</v>
      </c>
      <c r="M16" s="574">
        <v>1738289532</v>
      </c>
      <c r="N16" s="469">
        <v>12</v>
      </c>
      <c r="O16" s="471">
        <f>+(L4+L7+L10+L13+L16)/5</f>
        <v>7915192772</v>
      </c>
      <c r="P16" s="471">
        <f>+(M4+M7+M10+M13+M16)/5</f>
        <v>1663212089.5999999</v>
      </c>
    </row>
    <row r="17" spans="1:11" ht="24" customHeight="1">
      <c r="A17" s="450" t="s">
        <v>850</v>
      </c>
      <c r="B17" s="473">
        <f>(+'Income '!C69)/MONTH(B3)*12</f>
        <v>123520415</v>
      </c>
      <c r="C17" s="468"/>
      <c r="E17" s="446"/>
      <c r="F17" s="446"/>
      <c r="K17" s="446"/>
    </row>
    <row r="18" spans="1:11" ht="24" customHeight="1">
      <c r="A18" s="451" t="s">
        <v>851</v>
      </c>
      <c r="B18" s="474">
        <f>VLOOKUP(MONTH(B3),$N$4:$P$16,2,0)</f>
        <v>7915192772</v>
      </c>
      <c r="E18" s="446"/>
      <c r="F18" s="446"/>
      <c r="K18" s="446"/>
    </row>
    <row r="19" spans="1:11" ht="24" customHeight="1">
      <c r="A19" s="449" t="s">
        <v>852</v>
      </c>
      <c r="B19" s="472">
        <f>IFERROR((B20/B21),0)</f>
        <v>6.0141973850164107E-2</v>
      </c>
      <c r="E19" s="446"/>
      <c r="F19" s="446"/>
      <c r="K19" s="446"/>
    </row>
    <row r="20" spans="1:11" ht="24" customHeight="1">
      <c r="A20" s="450" t="s">
        <v>891</v>
      </c>
      <c r="B20" s="473">
        <f>(+'Income '!C76)/MONTH(B3)*12</f>
        <v>100028858</v>
      </c>
      <c r="E20" s="446"/>
      <c r="F20" s="446"/>
      <c r="K20" s="446"/>
    </row>
    <row r="21" spans="1:11" ht="24" customHeight="1">
      <c r="A21" s="451" t="s">
        <v>853</v>
      </c>
      <c r="B21" s="474">
        <f>VLOOKUP(MONTH(B3),$N$4:$P$16,3,0)</f>
        <v>1663212089.5999999</v>
      </c>
      <c r="E21" s="446"/>
      <c r="F21" s="446"/>
      <c r="K21" s="446"/>
    </row>
    <row r="22" spans="1:11" ht="24" customHeight="1">
      <c r="A22" s="449" t="s">
        <v>854</v>
      </c>
      <c r="B22" s="472">
        <f>IFERROR((B23/B24),0)</f>
        <v>0.61982931254237972</v>
      </c>
      <c r="E22" s="446"/>
      <c r="F22" s="446"/>
      <c r="K22" s="446"/>
    </row>
    <row r="23" spans="1:11" ht="24" customHeight="1">
      <c r="A23" s="450" t="s">
        <v>855</v>
      </c>
      <c r="B23" s="473">
        <f>+'Income '!C30</f>
        <v>526858696</v>
      </c>
      <c r="E23" s="446"/>
      <c r="F23" s="446"/>
      <c r="K23" s="446"/>
    </row>
    <row r="24" spans="1:11" ht="24" customHeight="1">
      <c r="A24" s="451" t="s">
        <v>856</v>
      </c>
      <c r="B24" s="474">
        <f>+B27</f>
        <v>850006099</v>
      </c>
      <c r="E24" s="446"/>
      <c r="F24" s="446"/>
      <c r="K24" s="446"/>
    </row>
    <row r="25" spans="1:11" ht="24" customHeight="1">
      <c r="A25" s="449" t="s">
        <v>857</v>
      </c>
      <c r="B25" s="472">
        <f>IFERROR((B26/B27),0)</f>
        <v>0.61812528594574234</v>
      </c>
      <c r="E25" s="446"/>
      <c r="F25" s="446"/>
      <c r="K25" s="446"/>
    </row>
    <row r="26" spans="1:11" ht="24" customHeight="1">
      <c r="A26" s="450" t="s">
        <v>858</v>
      </c>
      <c r="B26" s="473">
        <f>+'Income '!C51+'Income '!C67</f>
        <v>525410263</v>
      </c>
      <c r="E26" s="446"/>
      <c r="F26" s="446"/>
      <c r="K26" s="446"/>
    </row>
    <row r="27" spans="1:11" ht="24" customHeight="1">
      <c r="A27" s="451" t="s">
        <v>859</v>
      </c>
      <c r="B27" s="474">
        <f>+'Income '!C30+'Income '!C43</f>
        <v>850006099</v>
      </c>
      <c r="E27" s="446"/>
      <c r="F27" s="446"/>
      <c r="K27" s="446"/>
    </row>
    <row r="28" spans="1:11" ht="24" customHeight="1">
      <c r="A28" s="449" t="s">
        <v>860</v>
      </c>
      <c r="B28" s="472">
        <f>IFERROR((B29/B30),0)</f>
        <v>0.12074662512560828</v>
      </c>
      <c r="E28" s="446"/>
      <c r="F28" s="446"/>
      <c r="K28" s="446"/>
    </row>
    <row r="29" spans="1:11" ht="24" customHeight="1">
      <c r="A29" s="450" t="s">
        <v>741</v>
      </c>
      <c r="B29" s="473">
        <f>B54</f>
        <v>1241627363</v>
      </c>
      <c r="E29" s="446"/>
      <c r="F29" s="446"/>
      <c r="K29" s="446"/>
    </row>
    <row r="30" spans="1:11" ht="24" customHeight="1">
      <c r="A30" s="451" t="s">
        <v>861</v>
      </c>
      <c r="B30" s="474">
        <f>[8]Balance!$C$45</f>
        <v>10282915665</v>
      </c>
      <c r="E30" s="446"/>
      <c r="F30" s="446"/>
      <c r="K30" s="446"/>
    </row>
    <row r="31" spans="1:11" ht="24" customHeight="1">
      <c r="A31" s="449" t="s">
        <v>862</v>
      </c>
      <c r="B31" s="472">
        <f>IFERROR((B29/B33),0)</f>
        <v>0.33418878528462775</v>
      </c>
      <c r="E31" s="446"/>
      <c r="F31" s="446"/>
      <c r="K31" s="446"/>
    </row>
    <row r="32" spans="1:11" ht="24" customHeight="1">
      <c r="A32" s="450" t="s">
        <v>741</v>
      </c>
      <c r="B32" s="460">
        <f>+B54</f>
        <v>1241627363</v>
      </c>
      <c r="E32" s="446"/>
      <c r="F32" s="446"/>
      <c r="K32" s="446"/>
    </row>
    <row r="33" spans="1:32" ht="24" customHeight="1">
      <c r="A33" s="451" t="s">
        <v>829</v>
      </c>
      <c r="B33" s="474">
        <f>'[8]Bank Liabilities Analysis'!$C$39+'[8]Bank Liabilities Analysis'!$E$39+'[8]Bank Liabilities Analysis'!$G$39+'[8]Bank Liabilities Analysis'!$I$39+'[8]Bank Liabilities Analysis'!$K$39+'[8]Bank Liabilities Analysis'!$M$39</f>
        <v>3715347186</v>
      </c>
      <c r="E33" s="446"/>
      <c r="F33" s="446"/>
      <c r="K33" s="446"/>
    </row>
    <row r="34" spans="1:32" ht="24" customHeight="1">
      <c r="A34" s="449" t="s">
        <v>863</v>
      </c>
      <c r="B34" s="472">
        <f>IFERROR((B35/B36),0)</f>
        <v>0.16904636667561349</v>
      </c>
      <c r="E34" s="446"/>
      <c r="F34" s="446"/>
      <c r="K34" s="446"/>
    </row>
    <row r="35" spans="1:32" ht="24" customHeight="1">
      <c r="A35" s="450" t="s">
        <v>845</v>
      </c>
      <c r="B35" s="473">
        <f>[8]Balance!$C$77</f>
        <v>1738289532</v>
      </c>
      <c r="E35" s="446"/>
      <c r="F35" s="446"/>
      <c r="K35" s="446"/>
    </row>
    <row r="36" spans="1:32" ht="24" customHeight="1">
      <c r="A36" s="451" t="s">
        <v>861</v>
      </c>
      <c r="B36" s="474">
        <f>B30</f>
        <v>10282915665</v>
      </c>
      <c r="E36" s="446"/>
      <c r="F36" s="446"/>
      <c r="K36" s="446"/>
    </row>
    <row r="37" spans="1:32" ht="24" customHeight="1">
      <c r="A37" s="449" t="s">
        <v>864</v>
      </c>
      <c r="B37" s="472">
        <f>IFERROR((B38/B39),0)</f>
        <v>0.10846576909605413</v>
      </c>
      <c r="E37" s="446"/>
      <c r="F37" s="446"/>
      <c r="K37" s="446"/>
    </row>
    <row r="38" spans="1:32" ht="24" customHeight="1">
      <c r="A38" s="450" t="s">
        <v>865</v>
      </c>
      <c r="B38" s="473">
        <f>'[9]Calculation of Risk'!$C$26</f>
        <v>188544911</v>
      </c>
      <c r="E38" s="446"/>
      <c r="F38" s="446"/>
      <c r="K38" s="446"/>
    </row>
    <row r="39" spans="1:32" ht="24" customHeight="1">
      <c r="A39" s="451" t="s">
        <v>845</v>
      </c>
      <c r="B39" s="474">
        <f>+B35</f>
        <v>1738289532</v>
      </c>
      <c r="E39" s="446"/>
      <c r="F39" s="446"/>
      <c r="K39" s="446"/>
    </row>
    <row r="40" spans="1:32">
      <c r="E40" s="446"/>
      <c r="F40" s="446"/>
      <c r="K40" s="446"/>
    </row>
    <row r="42" spans="1:32" s="427" customFormat="1" ht="15.75">
      <c r="A42" s="426" t="s">
        <v>0</v>
      </c>
      <c r="J42" s="425"/>
      <c r="AB42" s="439"/>
      <c r="AC42" s="439"/>
      <c r="AD42" s="439"/>
      <c r="AE42" s="439"/>
      <c r="AF42" s="439"/>
    </row>
    <row r="43" spans="1:32" s="427" customFormat="1" ht="15.75">
      <c r="A43" s="426"/>
      <c r="J43" s="425"/>
      <c r="AB43" s="439"/>
      <c r="AC43" s="439"/>
      <c r="AD43" s="439"/>
      <c r="AE43" s="439"/>
      <c r="AF43" s="439"/>
    </row>
    <row r="44" spans="1:32" s="427" customFormat="1" ht="15.75">
      <c r="A44" s="426" t="s">
        <v>1</v>
      </c>
      <c r="J44" s="425"/>
      <c r="AB44" s="439"/>
      <c r="AC44" s="439"/>
      <c r="AD44" s="439"/>
      <c r="AE44" s="439"/>
      <c r="AF44" s="439"/>
    </row>
    <row r="46" spans="1:32">
      <c r="A46" s="249" t="s">
        <v>741</v>
      </c>
      <c r="B46" s="249" t="s">
        <v>620</v>
      </c>
      <c r="C46" s="381" t="s">
        <v>749</v>
      </c>
      <c r="D46" s="249" t="s">
        <v>750</v>
      </c>
      <c r="E46" s="452"/>
    </row>
    <row r="47" spans="1:32" s="125" customFormat="1" ht="13.5" customHeight="1">
      <c r="A47" s="455" t="s">
        <v>868</v>
      </c>
      <c r="B47" s="461">
        <f>'[8]Liquidity Analysis'!C57</f>
        <v>220312322</v>
      </c>
      <c r="C47" s="461">
        <f>'[8]Liquidity Analysis'!D57</f>
        <v>92534623</v>
      </c>
      <c r="D47" s="461">
        <f>'[8]Liquidity Analysis'!E57</f>
        <v>127777699</v>
      </c>
      <c r="E47" s="475" t="s">
        <v>329</v>
      </c>
      <c r="F47" s="462"/>
      <c r="G47" s="462"/>
      <c r="H47" s="463"/>
      <c r="I47" s="463"/>
      <c r="J47" s="462"/>
      <c r="K47" s="462"/>
      <c r="L47" s="462"/>
    </row>
    <row r="48" spans="1:32" s="125" customFormat="1" ht="13.5" customHeight="1">
      <c r="A48" s="455" t="s">
        <v>530</v>
      </c>
      <c r="B48" s="461">
        <f>'[8]Liquidity Analysis'!C58</f>
        <v>380783393</v>
      </c>
      <c r="C48" s="461">
        <f>'[8]Liquidity Analysis'!D58</f>
        <v>335334692</v>
      </c>
      <c r="D48" s="461">
        <f>'[8]Liquidity Analysis'!E58</f>
        <v>45448701</v>
      </c>
      <c r="E48" s="87" t="s">
        <v>341</v>
      </c>
      <c r="F48" s="462"/>
      <c r="G48" s="462"/>
      <c r="H48" s="463"/>
      <c r="I48" s="463"/>
      <c r="J48" s="462"/>
      <c r="K48" s="462"/>
      <c r="L48" s="462"/>
    </row>
    <row r="49" spans="1:12" s="125" customFormat="1" ht="13.5" customHeight="1">
      <c r="A49" s="455" t="s">
        <v>226</v>
      </c>
      <c r="B49" s="461">
        <f>'[8]Liquidity Analysis'!C59</f>
        <v>433866579</v>
      </c>
      <c r="C49" s="461">
        <f>'[8]Liquidity Analysis'!D59</f>
        <v>5226346</v>
      </c>
      <c r="D49" s="461">
        <f>'[8]Liquidity Analysis'!E59</f>
        <v>428640233</v>
      </c>
      <c r="E49" s="87" t="s">
        <v>556</v>
      </c>
      <c r="F49" s="462"/>
      <c r="G49" s="462"/>
      <c r="H49" s="463"/>
      <c r="I49" s="463"/>
      <c r="J49" s="462"/>
      <c r="K49" s="462"/>
      <c r="L49" s="462"/>
    </row>
    <row r="50" spans="1:12" s="125" customFormat="1" ht="13.5" customHeight="1">
      <c r="A50" s="455" t="s">
        <v>624</v>
      </c>
      <c r="B50" s="461">
        <f>'[8]Liquidity Analysis'!C60</f>
        <v>6665069</v>
      </c>
      <c r="C50" s="461">
        <f>'[8]Liquidity Analysis'!D60</f>
        <v>52007</v>
      </c>
      <c r="D50" s="461">
        <f>'[8]Liquidity Analysis'!E60</f>
        <v>6613062</v>
      </c>
      <c r="E50" s="87" t="s">
        <v>619</v>
      </c>
      <c r="F50" s="464" t="e">
        <f>+#REF!</f>
        <v>#REF!</v>
      </c>
      <c r="G50" s="464" t="e">
        <f>+#REF!</f>
        <v>#REF!</v>
      </c>
      <c r="H50" s="464" t="e">
        <f>+#REF!</f>
        <v>#REF!</v>
      </c>
      <c r="I50" s="463"/>
      <c r="J50" s="462"/>
      <c r="K50" s="462"/>
      <c r="L50" s="462"/>
    </row>
    <row r="51" spans="1:12" s="125" customFormat="1" ht="27.75" customHeight="1">
      <c r="A51" s="455" t="s">
        <v>32</v>
      </c>
      <c r="B51" s="461">
        <f>'[8]Liquidity Analysis'!C61</f>
        <v>200000000</v>
      </c>
      <c r="C51" s="461">
        <f>'[8]Liquidity Analysis'!D61</f>
        <v>200000000</v>
      </c>
      <c r="D51" s="461">
        <f>'[8]Liquidity Analysis'!E61</f>
        <v>0</v>
      </c>
      <c r="E51" s="87" t="s">
        <v>353</v>
      </c>
      <c r="F51" s="462"/>
      <c r="G51" s="462"/>
      <c r="H51" s="463"/>
      <c r="I51" s="463"/>
      <c r="J51" s="462"/>
      <c r="K51" s="462"/>
      <c r="L51" s="462"/>
    </row>
    <row r="52" spans="1:12" s="125" customFormat="1" ht="13.5" customHeight="1">
      <c r="A52" s="455" t="s">
        <v>625</v>
      </c>
      <c r="B52" s="461">
        <f>'[8]Liquidity Analysis'!C62</f>
        <v>0</v>
      </c>
      <c r="C52" s="461">
        <f>'[8]Liquidity Analysis'!D62</f>
        <v>0</v>
      </c>
      <c r="D52" s="461">
        <f>'[8]Liquidity Analysis'!E62</f>
        <v>0</v>
      </c>
      <c r="E52" s="475" t="s">
        <v>360</v>
      </c>
      <c r="F52" s="462"/>
      <c r="G52" s="462"/>
      <c r="H52" s="463"/>
      <c r="I52" s="463"/>
      <c r="J52" s="462"/>
      <c r="K52" s="462"/>
      <c r="L52" s="462"/>
    </row>
    <row r="53" spans="1:12" s="125" customFormat="1" ht="13.5" customHeight="1">
      <c r="A53" s="455" t="s">
        <v>626</v>
      </c>
      <c r="B53" s="461">
        <f>'[8]Liquidity Analysis'!C63</f>
        <v>0</v>
      </c>
      <c r="C53" s="461">
        <f>'[8]Liquidity Analysis'!D63</f>
        <v>0</v>
      </c>
      <c r="D53" s="461">
        <f>'[8]Liquidity Analysis'!E63</f>
        <v>0</v>
      </c>
      <c r="E53" s="475" t="s">
        <v>557</v>
      </c>
      <c r="F53" s="462"/>
      <c r="G53" s="462"/>
      <c r="H53" s="463"/>
      <c r="I53" s="463"/>
      <c r="J53" s="462"/>
      <c r="K53" s="462"/>
      <c r="L53" s="462"/>
    </row>
    <row r="54" spans="1:12" s="125" customFormat="1" ht="13.5" customHeight="1">
      <c r="A54" s="476" t="s">
        <v>627</v>
      </c>
      <c r="B54" s="461">
        <f>'[8]Liquidity Analysis'!C64</f>
        <v>1241627363</v>
      </c>
      <c r="C54" s="461">
        <f>'[8]Liquidity Analysis'!D64</f>
        <v>633147668</v>
      </c>
      <c r="D54" s="461">
        <f>'[8]Liquidity Analysis'!E64</f>
        <v>608479695</v>
      </c>
      <c r="E54" s="477" t="s">
        <v>362</v>
      </c>
      <c r="F54" s="462"/>
      <c r="G54" s="462"/>
      <c r="H54" s="463"/>
      <c r="I54" s="464"/>
      <c r="J54" s="462"/>
      <c r="K54" s="462"/>
      <c r="L54" s="462"/>
    </row>
  </sheetData>
  <sheetProtection password="CACA" sheet="1" objects="1" scenarios="1"/>
  <mergeCells count="1">
    <mergeCell ref="A1:B1"/>
  </mergeCells>
  <conditionalFormatting sqref="B34 B37 E4:F4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:D46" xr:uid="{00000000-0002-0000-1000-000000000000}"/>
  </dataValidations>
  <printOptions horizontalCentered="1"/>
  <pageMargins left="0" right="0" top="0.31496062992125984" bottom="0.39370078740157483" header="0.23622047244094491" footer="0.15748031496062992"/>
  <pageSetup paperSize="9" scale="76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Loans to Affiliated P.</vt:lpstr>
      <vt:lpstr> Largest risk</vt:lpstr>
      <vt:lpstr>Charge-offs and Recoveries</vt:lpstr>
      <vt:lpstr>loans_av rate</vt:lpstr>
      <vt:lpstr>loans type</vt:lpstr>
      <vt:lpstr>Bank Capital Calc (2)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to Affiliated P.'!Область_печати</vt:lpstr>
      <vt:lpstr>'loans type'!Область_печати</vt:lpstr>
      <vt:lpstr>'loans_av rate'!Область_печати</vt:lpstr>
      <vt:lpstr>Miscellaneous!Область_печати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Пользователь</cp:lastModifiedBy>
  <cp:lastPrinted>2020-11-09T11:46:34Z</cp:lastPrinted>
  <dcterms:created xsi:type="dcterms:W3CDTF">2014-01-27T05:06:32Z</dcterms:created>
  <dcterms:modified xsi:type="dcterms:W3CDTF">2024-12-11T10:00:36Z</dcterms:modified>
</cp:coreProperties>
</file>