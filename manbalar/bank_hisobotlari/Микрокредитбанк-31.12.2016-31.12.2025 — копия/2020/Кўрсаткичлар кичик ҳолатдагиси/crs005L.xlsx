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Tahlil va hisobotlar\4.С.Ахмедов\Азамат ака\01,01,2021\"/>
    </mc:Choice>
  </mc:AlternateContent>
  <workbookProtection workbookPassword="CB5C" lockStructure="1"/>
  <bookViews>
    <workbookView xWindow="0" yWindow="0" windowWidth="28800" windowHeight="12330" tabRatio="889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бал1">'[6]Баланс ташла'!$A:$IV</definedName>
    <definedName name="ддд" hidden="1">{"MONA",#N/A,FALSE,"S"}</definedName>
    <definedName name="Е" localSheetId="1">#REF!</definedName>
    <definedName name="_xlnm.Print_Area" localSheetId="0">Balance!$A$1:$E$82</definedName>
    <definedName name="_xlnm.Print_Area" localSheetId="3">'Bank Assets Analysis'!$A$1:$AE$55</definedName>
    <definedName name="_xlnm.Print_Area" localSheetId="4">'Bank Assets Analysis (нац)'!$A$1:$Q$55</definedName>
    <definedName name="_xlnm.Print_Area" localSheetId="1">'Bank Capital Calc (2)'!$A$1:$C$55</definedName>
    <definedName name="_xlnm.Print_Area" localSheetId="5">'Bank Liabilities Analysis'!$A$1:$AC$59</definedName>
    <definedName name="_xlnm.Print_Area" localSheetId="6">'Bank Liabilities Analysis (нац)'!$A$1:$O$60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Analysis'!$A$1:$E$52</definedName>
  </definedNames>
  <calcPr calcId="162913"/>
</workbook>
</file>

<file path=xl/calcChain.xml><?xml version="1.0" encoding="utf-8"?>
<calcChain xmlns="http://schemas.openxmlformats.org/spreadsheetml/2006/main">
  <c r="G35" i="17" l="1"/>
  <c r="F15" i="17"/>
  <c r="AD15" i="17" s="1"/>
  <c r="AE15" i="17" s="1"/>
  <c r="D19" i="17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J48" i="36"/>
  <c r="I48" i="36"/>
  <c r="H48" i="36"/>
  <c r="G48" i="36"/>
  <c r="F48" i="36"/>
  <c r="E48" i="36"/>
  <c r="D48" i="36"/>
  <c r="C48" i="36"/>
  <c r="J47" i="36"/>
  <c r="I47" i="36"/>
  <c r="H47" i="36"/>
  <c r="G47" i="36"/>
  <c r="F47" i="36"/>
  <c r="E47" i="36"/>
  <c r="D47" i="36"/>
  <c r="C47" i="36"/>
  <c r="E13" i="1"/>
  <c r="E12" i="1"/>
  <c r="D13" i="1"/>
  <c r="D12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50" i="17"/>
  <c r="S50" i="17"/>
  <c r="T50" i="17" s="1"/>
  <c r="U49" i="17"/>
  <c r="S49" i="17"/>
  <c r="U48" i="17"/>
  <c r="S48" i="17"/>
  <c r="T48" i="17" s="1"/>
  <c r="U47" i="17"/>
  <c r="S47" i="17"/>
  <c r="AD32" i="17"/>
  <c r="AE32" i="17" s="1"/>
  <c r="AB32" i="17"/>
  <c r="AC32" i="17" s="1"/>
  <c r="Y32" i="17"/>
  <c r="Z32" i="17" s="1"/>
  <c r="W32" i="17"/>
  <c r="X32" i="17" s="1"/>
  <c r="U32" i="17"/>
  <c r="S32" i="17"/>
  <c r="T32" i="17" s="1"/>
  <c r="AD21" i="17"/>
  <c r="AE21" i="17" s="1"/>
  <c r="AB21" i="17"/>
  <c r="AC21" i="17" s="1"/>
  <c r="Y21" i="17"/>
  <c r="Z21" i="17" s="1"/>
  <c r="W21" i="17"/>
  <c r="X21" i="17" s="1"/>
  <c r="U21" i="17"/>
  <c r="S21" i="17"/>
  <c r="B27" i="15"/>
  <c r="T21" i="17"/>
  <c r="C59" i="16"/>
  <c r="F15" i="16"/>
  <c r="C41" i="16"/>
  <c r="C73" i="1"/>
  <c r="C72" i="1"/>
  <c r="C69" i="1"/>
  <c r="C68" i="1"/>
  <c r="C67" i="1"/>
  <c r="C25" i="1"/>
  <c r="C7" i="19"/>
  <c r="C4" i="19"/>
  <c r="E59" i="16"/>
  <c r="D59" i="16" s="1"/>
  <c r="F60" i="16"/>
  <c r="C60" i="16" s="1"/>
  <c r="G60" i="16"/>
  <c r="D60" i="16" s="1"/>
  <c r="H60" i="16"/>
  <c r="E60" i="16" s="1"/>
  <c r="D61" i="16"/>
  <c r="E61" i="16"/>
  <c r="AB37" i="18"/>
  <c r="AC37" i="18"/>
  <c r="AD43" i="17"/>
  <c r="AE43" i="17" s="1"/>
  <c r="AB43" i="17"/>
  <c r="AC43" i="17" s="1"/>
  <c r="W31" i="17"/>
  <c r="X31" i="17" s="1"/>
  <c r="Y31" i="17"/>
  <c r="Y30" i="17"/>
  <c r="W30" i="17"/>
  <c r="X30" i="17" s="1"/>
  <c r="Y43" i="17"/>
  <c r="Z43" i="17" s="1"/>
  <c r="W43" i="17"/>
  <c r="X43" i="17" s="1"/>
  <c r="AD31" i="17"/>
  <c r="AE31" i="17" s="1"/>
  <c r="AB31" i="17"/>
  <c r="AC31" i="17" s="1"/>
  <c r="Z31" i="17"/>
  <c r="AD30" i="17"/>
  <c r="AE30" i="17" s="1"/>
  <c r="AB30" i="17"/>
  <c r="AC30" i="17" s="1"/>
  <c r="Z30" i="17"/>
  <c r="AD29" i="17"/>
  <c r="AE29" i="17" s="1"/>
  <c r="AB29" i="17"/>
  <c r="AC29" i="17" s="1"/>
  <c r="Y29" i="17"/>
  <c r="Z29" i="17" s="1"/>
  <c r="W29" i="17"/>
  <c r="X29" i="17" s="1"/>
  <c r="AD28" i="17"/>
  <c r="AE28" i="17" s="1"/>
  <c r="AB28" i="17"/>
  <c r="AC28" i="17" s="1"/>
  <c r="Y28" i="17"/>
  <c r="Z28" i="17" s="1"/>
  <c r="W28" i="17"/>
  <c r="X28" i="17" s="1"/>
  <c r="AD27" i="17"/>
  <c r="AE27" i="17" s="1"/>
  <c r="AB27" i="17"/>
  <c r="AC27" i="17" s="1"/>
  <c r="Y27" i="17"/>
  <c r="Z27" i="17" s="1"/>
  <c r="W27" i="17"/>
  <c r="X27" i="17" s="1"/>
  <c r="AD26" i="17"/>
  <c r="AE26" i="17" s="1"/>
  <c r="AB26" i="17"/>
  <c r="AC26" i="17" s="1"/>
  <c r="Y26" i="17"/>
  <c r="Z26" i="17" s="1"/>
  <c r="W26" i="17"/>
  <c r="X26" i="17" s="1"/>
  <c r="AD18" i="17"/>
  <c r="AE18" i="17" s="1"/>
  <c r="AB18" i="17"/>
  <c r="AC18" i="17" s="1"/>
  <c r="Y18" i="17"/>
  <c r="Z18" i="17" s="1"/>
  <c r="W18" i="17"/>
  <c r="X18" i="17" s="1"/>
  <c r="AD17" i="17"/>
  <c r="AE17" i="17" s="1"/>
  <c r="AB17" i="17"/>
  <c r="AC17" i="17" s="1"/>
  <c r="Y17" i="17"/>
  <c r="Z17" i="17" s="1"/>
  <c r="W17" i="17"/>
  <c r="X17" i="17" s="1"/>
  <c r="AB16" i="17"/>
  <c r="AC16" i="17" s="1"/>
  <c r="Y16" i="17"/>
  <c r="Z16" i="17" s="1"/>
  <c r="W16" i="17"/>
  <c r="X16" i="17" s="1"/>
  <c r="AB15" i="17"/>
  <c r="AC15" i="17" s="1"/>
  <c r="W15" i="17"/>
  <c r="X15" i="17" s="1"/>
  <c r="AD14" i="17"/>
  <c r="AE14" i="17" s="1"/>
  <c r="AB14" i="17"/>
  <c r="AC14" i="17" s="1"/>
  <c r="W14" i="17"/>
  <c r="X14" i="17" s="1"/>
  <c r="AD13" i="17"/>
  <c r="AE13" i="17" s="1"/>
  <c r="AB13" i="17"/>
  <c r="AC13" i="17" s="1"/>
  <c r="Y13" i="17"/>
  <c r="Z13" i="17" s="1"/>
  <c r="W13" i="17"/>
  <c r="X13" i="17" s="1"/>
  <c r="AD12" i="17"/>
  <c r="AE12" i="17" s="1"/>
  <c r="AB12" i="17"/>
  <c r="AC12" i="17" s="1"/>
  <c r="Y12" i="17"/>
  <c r="Z12" i="17" s="1"/>
  <c r="W12" i="17"/>
  <c r="X12" i="17" s="1"/>
  <c r="J26" i="37"/>
  <c r="I26" i="37"/>
  <c r="H26" i="37"/>
  <c r="G26" i="37"/>
  <c r="F26" i="37"/>
  <c r="E26" i="37"/>
  <c r="D26" i="37"/>
  <c r="C26" i="37"/>
  <c r="Q37" i="36"/>
  <c r="Q38" i="36"/>
  <c r="Q39" i="36"/>
  <c r="Q40" i="36"/>
  <c r="Q41" i="36"/>
  <c r="Q42" i="36"/>
  <c r="Q44" i="36"/>
  <c r="E9" i="16"/>
  <c r="AC23" i="18"/>
  <c r="AC34" i="18"/>
  <c r="AC33" i="18"/>
  <c r="AC32" i="18"/>
  <c r="AC30" i="18"/>
  <c r="AC29" i="18"/>
  <c r="AC28" i="18"/>
  <c r="AC27" i="18"/>
  <c r="AC26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B26" i="18"/>
  <c r="U25" i="18"/>
  <c r="S25" i="18"/>
  <c r="AB34" i="18"/>
  <c r="AB33" i="18"/>
  <c r="AB32" i="18"/>
  <c r="AB30" i="18"/>
  <c r="AB29" i="18"/>
  <c r="AB28" i="18"/>
  <c r="AB27" i="18"/>
  <c r="AB23" i="18"/>
  <c r="P41" i="37"/>
  <c r="Q3" i="36"/>
  <c r="Q19" i="36"/>
  <c r="Q11" i="36"/>
  <c r="U13" i="17"/>
  <c r="T13" i="17" s="1"/>
  <c r="S13" i="17"/>
  <c r="W9" i="18"/>
  <c r="U23" i="17"/>
  <c r="E11" i="16" s="1"/>
  <c r="S23" i="17"/>
  <c r="AB23" i="17" s="1"/>
  <c r="AC23" i="17" s="1"/>
  <c r="U15" i="17"/>
  <c r="T15" i="17" s="1"/>
  <c r="S15" i="17"/>
  <c r="U14" i="17"/>
  <c r="S14" i="17"/>
  <c r="S8" i="17"/>
  <c r="J23" i="36"/>
  <c r="I23" i="36"/>
  <c r="H23" i="36"/>
  <c r="G23" i="36"/>
  <c r="F23" i="36"/>
  <c r="E23" i="36"/>
  <c r="D23" i="36"/>
  <c r="C23" i="36"/>
  <c r="C9" i="16"/>
  <c r="J15" i="36"/>
  <c r="I15" i="36"/>
  <c r="H15" i="36"/>
  <c r="G15" i="36"/>
  <c r="F15" i="36"/>
  <c r="E15" i="36"/>
  <c r="C15" i="36"/>
  <c r="P15" i="36" s="1"/>
  <c r="Q15" i="36" s="1"/>
  <c r="J14" i="36"/>
  <c r="I14" i="36"/>
  <c r="H14" i="36"/>
  <c r="G14" i="36"/>
  <c r="F14" i="36"/>
  <c r="E14" i="36"/>
  <c r="D14" i="36"/>
  <c r="C14" i="36"/>
  <c r="J13" i="36"/>
  <c r="J11" i="36" s="1"/>
  <c r="I13" i="36"/>
  <c r="H13" i="36"/>
  <c r="G13" i="36"/>
  <c r="F13" i="36"/>
  <c r="E13" i="36"/>
  <c r="D13" i="36"/>
  <c r="C13" i="36"/>
  <c r="M13" i="36" s="1"/>
  <c r="N13" i="36" s="1"/>
  <c r="J8" i="36"/>
  <c r="I8" i="36"/>
  <c r="H8" i="36"/>
  <c r="G8" i="36"/>
  <c r="F8" i="36"/>
  <c r="E8" i="36"/>
  <c r="D8" i="36"/>
  <c r="C8" i="36"/>
  <c r="H15" i="16"/>
  <c r="C8" i="19"/>
  <c r="C5" i="19"/>
  <c r="C52" i="41"/>
  <c r="C25" i="41"/>
  <c r="C31" i="41" s="1"/>
  <c r="C54" i="41"/>
  <c r="C3" i="41"/>
  <c r="B3" i="41"/>
  <c r="C40" i="16"/>
  <c r="E40" i="16"/>
  <c r="Y38" i="18"/>
  <c r="Z38" i="18" s="1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/>
  <c r="Y28" i="18"/>
  <c r="Z28" i="18" s="1"/>
  <c r="Y27" i="18"/>
  <c r="Z27" i="18"/>
  <c r="Y26" i="18"/>
  <c r="Z26" i="18" s="1"/>
  <c r="Y23" i="18"/>
  <c r="Z23" i="18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9" i="18"/>
  <c r="Z9" i="18" s="1"/>
  <c r="E41" i="1"/>
  <c r="D41" i="1"/>
  <c r="J44" i="1"/>
  <c r="J56" i="37"/>
  <c r="I56" i="37"/>
  <c r="H56" i="37"/>
  <c r="G56" i="37"/>
  <c r="G54" i="37" s="1"/>
  <c r="F56" i="37"/>
  <c r="E56" i="37"/>
  <c r="D56" i="37"/>
  <c r="C56" i="37"/>
  <c r="J55" i="37"/>
  <c r="J54" i="37" s="1"/>
  <c r="I55" i="37"/>
  <c r="H55" i="37"/>
  <c r="G55" i="37"/>
  <c r="F55" i="37"/>
  <c r="E55" i="37"/>
  <c r="D55" i="37"/>
  <c r="D54" i="37" s="1"/>
  <c r="C55" i="37"/>
  <c r="J53" i="37"/>
  <c r="I53" i="37"/>
  <c r="H53" i="37"/>
  <c r="G53" i="37"/>
  <c r="F53" i="37"/>
  <c r="E53" i="37"/>
  <c r="D53" i="37"/>
  <c r="C53" i="37"/>
  <c r="J52" i="37"/>
  <c r="J51" i="37" s="1"/>
  <c r="I52" i="37"/>
  <c r="I51" i="37" s="1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F48" i="37" s="1"/>
  <c r="E49" i="37"/>
  <c r="D49" i="37"/>
  <c r="C49" i="37"/>
  <c r="J47" i="37"/>
  <c r="I47" i="37"/>
  <c r="I45" i="37" s="1"/>
  <c r="H47" i="37"/>
  <c r="G47" i="37"/>
  <c r="F47" i="37"/>
  <c r="E47" i="37"/>
  <c r="D47" i="37"/>
  <c r="C47" i="37"/>
  <c r="J46" i="37"/>
  <c r="J45" i="37" s="1"/>
  <c r="I46" i="37"/>
  <c r="H46" i="37"/>
  <c r="G46" i="37"/>
  <c r="F46" i="37"/>
  <c r="E46" i="37"/>
  <c r="E45" i="37" s="1"/>
  <c r="D46" i="37"/>
  <c r="D45" i="37" s="1"/>
  <c r="C46" i="37"/>
  <c r="J44" i="37"/>
  <c r="I44" i="37"/>
  <c r="H44" i="37"/>
  <c r="G44" i="37"/>
  <c r="K44" i="37" s="1"/>
  <c r="F44" i="37"/>
  <c r="E44" i="37"/>
  <c r="D44" i="37"/>
  <c r="C44" i="37"/>
  <c r="J43" i="37"/>
  <c r="I43" i="37"/>
  <c r="I42" i="37" s="1"/>
  <c r="H43" i="37"/>
  <c r="H42" i="37" s="1"/>
  <c r="G43" i="37"/>
  <c r="F43" i="37"/>
  <c r="E43" i="37"/>
  <c r="D43" i="37"/>
  <c r="D42" i="37" s="1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O38" i="37" s="1"/>
  <c r="F38" i="37"/>
  <c r="E38" i="37"/>
  <c r="D38" i="37"/>
  <c r="C38" i="37"/>
  <c r="J37" i="37"/>
  <c r="I37" i="37"/>
  <c r="H37" i="37"/>
  <c r="G37" i="37"/>
  <c r="F37" i="37"/>
  <c r="E37" i="37"/>
  <c r="D37" i="37"/>
  <c r="C37" i="37"/>
  <c r="M37" i="37" s="1"/>
  <c r="J36" i="37"/>
  <c r="I36" i="37"/>
  <c r="H36" i="37"/>
  <c r="G36" i="37"/>
  <c r="F36" i="37"/>
  <c r="E36" i="37"/>
  <c r="M36" i="37" s="1"/>
  <c r="D36" i="37"/>
  <c r="C36" i="37"/>
  <c r="J35" i="37"/>
  <c r="I35" i="37"/>
  <c r="H35" i="37"/>
  <c r="G35" i="37"/>
  <c r="K35" i="37" s="1"/>
  <c r="F35" i="37"/>
  <c r="E35" i="37"/>
  <c r="D35" i="37"/>
  <c r="C35" i="37"/>
  <c r="O35" i="37" s="1"/>
  <c r="J34" i="37"/>
  <c r="I34" i="37"/>
  <c r="H34" i="37"/>
  <c r="G34" i="37"/>
  <c r="F34" i="37"/>
  <c r="E34" i="37"/>
  <c r="D34" i="37"/>
  <c r="C34" i="37"/>
  <c r="K34" i="37" s="1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O31" i="37" s="1"/>
  <c r="J30" i="37"/>
  <c r="I30" i="37"/>
  <c r="H30" i="37"/>
  <c r="G30" i="37"/>
  <c r="F30" i="37"/>
  <c r="E30" i="37"/>
  <c r="D30" i="37"/>
  <c r="C30" i="37"/>
  <c r="J29" i="37"/>
  <c r="I29" i="37"/>
  <c r="H29" i="37"/>
  <c r="G29" i="37"/>
  <c r="K29" i="37" s="1"/>
  <c r="F29" i="37"/>
  <c r="E29" i="37"/>
  <c r="D29" i="37"/>
  <c r="C29" i="37"/>
  <c r="O29" i="37" s="1"/>
  <c r="J28" i="37"/>
  <c r="I28" i="37"/>
  <c r="H28" i="37"/>
  <c r="H25" i="37" s="1"/>
  <c r="G28" i="37"/>
  <c r="F28" i="37"/>
  <c r="E28" i="37"/>
  <c r="D28" i="37"/>
  <c r="C28" i="37"/>
  <c r="K28" i="37" s="1"/>
  <c r="J27" i="37"/>
  <c r="J25" i="37" s="1"/>
  <c r="I27" i="37"/>
  <c r="H27" i="37"/>
  <c r="G27" i="37"/>
  <c r="F27" i="37"/>
  <c r="F25" i="37" s="1"/>
  <c r="E27" i="37"/>
  <c r="D27" i="37"/>
  <c r="C27" i="37"/>
  <c r="O27" i="37" s="1"/>
  <c r="J24" i="37"/>
  <c r="I24" i="37"/>
  <c r="H24" i="37"/>
  <c r="G24" i="37"/>
  <c r="F24" i="37"/>
  <c r="E24" i="37"/>
  <c r="D24" i="37"/>
  <c r="C24" i="37"/>
  <c r="K24" i="37" s="1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M20" i="37" s="1"/>
  <c r="J19" i="37"/>
  <c r="I19" i="37"/>
  <c r="H19" i="37"/>
  <c r="G19" i="37"/>
  <c r="F19" i="37"/>
  <c r="E19" i="37"/>
  <c r="K19" i="37" s="1"/>
  <c r="D19" i="37"/>
  <c r="C19" i="37"/>
  <c r="J18" i="37"/>
  <c r="I18" i="37"/>
  <c r="H18" i="37"/>
  <c r="G18" i="37"/>
  <c r="G17" i="37" s="1"/>
  <c r="F18" i="37"/>
  <c r="E18" i="37"/>
  <c r="D18" i="37"/>
  <c r="C18" i="37"/>
  <c r="M18" i="37" s="1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M13" i="37" s="1"/>
  <c r="J12" i="37"/>
  <c r="I12" i="37"/>
  <c r="H12" i="37"/>
  <c r="G12" i="37"/>
  <c r="F12" i="37"/>
  <c r="E12" i="37"/>
  <c r="K12" i="37" s="1"/>
  <c r="D12" i="37"/>
  <c r="C12" i="37"/>
  <c r="J11" i="37"/>
  <c r="I11" i="37"/>
  <c r="H11" i="37"/>
  <c r="G11" i="37"/>
  <c r="F11" i="37"/>
  <c r="E11" i="37"/>
  <c r="D11" i="37"/>
  <c r="C11" i="37"/>
  <c r="K11" i="37" s="1"/>
  <c r="J10" i="37"/>
  <c r="I10" i="37"/>
  <c r="I9" i="37" s="1"/>
  <c r="H10" i="37"/>
  <c r="G10" i="37"/>
  <c r="F10" i="37"/>
  <c r="E10" i="37"/>
  <c r="D10" i="37"/>
  <c r="D9" i="37" s="1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K40" i="36" s="1"/>
  <c r="E40" i="36"/>
  <c r="D40" i="36"/>
  <c r="C40" i="36"/>
  <c r="J39" i="36"/>
  <c r="I39" i="36"/>
  <c r="H39" i="36"/>
  <c r="G39" i="36"/>
  <c r="F39" i="36"/>
  <c r="E39" i="36"/>
  <c r="D39" i="36"/>
  <c r="C39" i="36"/>
  <c r="K39" i="36" s="1"/>
  <c r="J38" i="36"/>
  <c r="I38" i="36"/>
  <c r="H38" i="36"/>
  <c r="G38" i="36"/>
  <c r="F38" i="36"/>
  <c r="E38" i="36"/>
  <c r="D38" i="36"/>
  <c r="K38" i="36" s="1"/>
  <c r="C38" i="36"/>
  <c r="J37" i="36"/>
  <c r="I37" i="36"/>
  <c r="H37" i="36"/>
  <c r="G37" i="36"/>
  <c r="G35" i="36" s="1"/>
  <c r="F37" i="36"/>
  <c r="F35" i="36" s="1"/>
  <c r="E37" i="36"/>
  <c r="D37" i="36"/>
  <c r="C37" i="36"/>
  <c r="J36" i="36"/>
  <c r="I36" i="36"/>
  <c r="H36" i="36"/>
  <c r="H35" i="36" s="1"/>
  <c r="G36" i="36"/>
  <c r="F36" i="36"/>
  <c r="E36" i="36"/>
  <c r="D36" i="36"/>
  <c r="C36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1" i="36"/>
  <c r="I31" i="36"/>
  <c r="H31" i="36"/>
  <c r="G31" i="36"/>
  <c r="F31" i="36"/>
  <c r="E31" i="36"/>
  <c r="D31" i="36"/>
  <c r="M31" i="36" s="1"/>
  <c r="N31" i="36" s="1"/>
  <c r="C31" i="36"/>
  <c r="J30" i="36"/>
  <c r="I30" i="36"/>
  <c r="H30" i="36"/>
  <c r="G30" i="36"/>
  <c r="F30" i="36"/>
  <c r="E30" i="36"/>
  <c r="D30" i="36"/>
  <c r="P30" i="36" s="1"/>
  <c r="Q30" i="36" s="1"/>
  <c r="C30" i="36"/>
  <c r="J29" i="36"/>
  <c r="I29" i="36"/>
  <c r="H29" i="36"/>
  <c r="G29" i="36"/>
  <c r="F29" i="36"/>
  <c r="E29" i="36"/>
  <c r="D29" i="36"/>
  <c r="C29" i="36"/>
  <c r="M29" i="36" s="1"/>
  <c r="N29" i="36" s="1"/>
  <c r="J28" i="36"/>
  <c r="I28" i="36"/>
  <c r="H28" i="36"/>
  <c r="G28" i="36"/>
  <c r="F28" i="36"/>
  <c r="E28" i="36"/>
  <c r="D28" i="36"/>
  <c r="P28" i="36" s="1"/>
  <c r="Q28" i="36" s="1"/>
  <c r="C28" i="36"/>
  <c r="J27" i="36"/>
  <c r="I27" i="36"/>
  <c r="H27" i="36"/>
  <c r="G27" i="36"/>
  <c r="F27" i="36"/>
  <c r="E27" i="36"/>
  <c r="D27" i="36"/>
  <c r="P27" i="36" s="1"/>
  <c r="Q27" i="36" s="1"/>
  <c r="C27" i="36"/>
  <c r="J26" i="36"/>
  <c r="I26" i="36"/>
  <c r="H26" i="36"/>
  <c r="G26" i="36"/>
  <c r="F26" i="36"/>
  <c r="E26" i="36"/>
  <c r="D26" i="36"/>
  <c r="M26" i="36" s="1"/>
  <c r="N26" i="36" s="1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P24" i="36" s="1"/>
  <c r="Q24" i="36" s="1"/>
  <c r="C24" i="36"/>
  <c r="J22" i="36"/>
  <c r="I22" i="36"/>
  <c r="H22" i="36"/>
  <c r="G22" i="36"/>
  <c r="F22" i="36"/>
  <c r="E22" i="36"/>
  <c r="D22" i="36"/>
  <c r="C22" i="36"/>
  <c r="J20" i="36"/>
  <c r="I20" i="36"/>
  <c r="H20" i="36"/>
  <c r="H19" i="36" s="1"/>
  <c r="G20" i="36"/>
  <c r="F20" i="36"/>
  <c r="E20" i="36"/>
  <c r="D20" i="36"/>
  <c r="C20" i="36"/>
  <c r="J18" i="36"/>
  <c r="I18" i="36"/>
  <c r="H18" i="36"/>
  <c r="G18" i="36"/>
  <c r="F18" i="36"/>
  <c r="E18" i="36"/>
  <c r="D18" i="36"/>
  <c r="C18" i="36"/>
  <c r="P18" i="36" s="1"/>
  <c r="Q18" i="36" s="1"/>
  <c r="J17" i="36"/>
  <c r="I17" i="36"/>
  <c r="H17" i="36"/>
  <c r="G17" i="36"/>
  <c r="F17" i="36"/>
  <c r="E17" i="36"/>
  <c r="D17" i="36"/>
  <c r="P17" i="36" s="1"/>
  <c r="Q17" i="36" s="1"/>
  <c r="C17" i="36"/>
  <c r="J16" i="36"/>
  <c r="I16" i="36"/>
  <c r="H16" i="36"/>
  <c r="G16" i="36"/>
  <c r="G11" i="36" s="1"/>
  <c r="F16" i="36"/>
  <c r="E16" i="36"/>
  <c r="D16" i="36"/>
  <c r="C16" i="36"/>
  <c r="J12" i="36"/>
  <c r="I12" i="36"/>
  <c r="I11" i="36" s="1"/>
  <c r="H12" i="36"/>
  <c r="G12" i="36"/>
  <c r="F12" i="36"/>
  <c r="E12" i="36"/>
  <c r="E11" i="36"/>
  <c r="D12" i="36"/>
  <c r="C12" i="36"/>
  <c r="M12" i="36" s="1"/>
  <c r="N12" i="36" s="1"/>
  <c r="J10" i="36"/>
  <c r="I10" i="36"/>
  <c r="H10" i="36"/>
  <c r="G10" i="36"/>
  <c r="F10" i="36"/>
  <c r="Q10" i="36"/>
  <c r="E10" i="36"/>
  <c r="D10" i="36"/>
  <c r="C10" i="36"/>
  <c r="N10" i="36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K7" i="36" s="1"/>
  <c r="E7" i="36"/>
  <c r="D7" i="36"/>
  <c r="C7" i="36"/>
  <c r="K41" i="37"/>
  <c r="O3" i="37"/>
  <c r="B3" i="37"/>
  <c r="N19" i="36"/>
  <c r="N11" i="36"/>
  <c r="B3" i="36"/>
  <c r="S20" i="17"/>
  <c r="D16" i="1"/>
  <c r="AB20" i="17"/>
  <c r="AC20" i="17" s="1"/>
  <c r="W20" i="17"/>
  <c r="X20" i="17" s="1"/>
  <c r="P43" i="36"/>
  <c r="Q43" i="36" s="1"/>
  <c r="H48" i="37"/>
  <c r="F54" i="37"/>
  <c r="M32" i="37"/>
  <c r="M35" i="37"/>
  <c r="M38" i="37"/>
  <c r="M21" i="37"/>
  <c r="D40" i="16"/>
  <c r="I54" i="37"/>
  <c r="K38" i="37"/>
  <c r="E42" i="37"/>
  <c r="K30" i="37"/>
  <c r="E54" i="37"/>
  <c r="K32" i="37"/>
  <c r="O32" i="37" s="1"/>
  <c r="E35" i="36"/>
  <c r="K41" i="36"/>
  <c r="M28" i="36"/>
  <c r="N28" i="36" s="1"/>
  <c r="M16" i="36"/>
  <c r="N16" i="36" s="1"/>
  <c r="K12" i="36"/>
  <c r="J35" i="36"/>
  <c r="I35" i="36"/>
  <c r="M43" i="36"/>
  <c r="N43" i="36" s="1"/>
  <c r="F17" i="37"/>
  <c r="H17" i="37"/>
  <c r="J17" i="37"/>
  <c r="K46" i="37"/>
  <c r="D17" i="37"/>
  <c r="F9" i="37"/>
  <c r="F23" i="37" s="1"/>
  <c r="H9" i="37"/>
  <c r="H23" i="37" s="1"/>
  <c r="J9" i="37"/>
  <c r="C50" i="18"/>
  <c r="W38" i="18"/>
  <c r="W37" i="18"/>
  <c r="W36" i="18"/>
  <c r="W35" i="18"/>
  <c r="X35" i="18" s="1"/>
  <c r="W34" i="18"/>
  <c r="W33" i="18"/>
  <c r="W32" i="18"/>
  <c r="W31" i="18"/>
  <c r="W30" i="18"/>
  <c r="W29" i="18"/>
  <c r="X29" i="18" s="1"/>
  <c r="W28" i="18"/>
  <c r="W27" i="18"/>
  <c r="W26" i="18"/>
  <c r="X26" i="18" s="1"/>
  <c r="W23" i="18"/>
  <c r="W21" i="18"/>
  <c r="W20" i="18"/>
  <c r="X20" i="18" s="1"/>
  <c r="W19" i="18"/>
  <c r="W18" i="18"/>
  <c r="W17" i="18"/>
  <c r="W13" i="18"/>
  <c r="W12" i="18"/>
  <c r="U55" i="18"/>
  <c r="S55" i="18"/>
  <c r="U54" i="18"/>
  <c r="S54" i="18"/>
  <c r="T54" i="18" s="1"/>
  <c r="U52" i="18"/>
  <c r="S52" i="18"/>
  <c r="U51" i="18"/>
  <c r="S51" i="18"/>
  <c r="T51" i="18" s="1"/>
  <c r="U49" i="18"/>
  <c r="S49" i="18"/>
  <c r="T49" i="18" s="1"/>
  <c r="U48" i="18"/>
  <c r="S48" i="18"/>
  <c r="U46" i="18"/>
  <c r="S46" i="18"/>
  <c r="T46" i="18" s="1"/>
  <c r="U45" i="18"/>
  <c r="S45" i="18"/>
  <c r="U43" i="18"/>
  <c r="S43" i="18"/>
  <c r="U42" i="18"/>
  <c r="S42" i="18"/>
  <c r="T42" i="18" s="1"/>
  <c r="U40" i="18"/>
  <c r="S40" i="18"/>
  <c r="T40" i="18" s="1"/>
  <c r="U38" i="18"/>
  <c r="AC38" i="18" s="1"/>
  <c r="S38" i="18"/>
  <c r="AB38" i="18" s="1"/>
  <c r="U37" i="18"/>
  <c r="S37" i="18"/>
  <c r="U36" i="18"/>
  <c r="AC36" i="18" s="1"/>
  <c r="S36" i="18"/>
  <c r="AB36" i="18" s="1"/>
  <c r="U35" i="18"/>
  <c r="AC35" i="18" s="1"/>
  <c r="S35" i="18"/>
  <c r="AB35" i="18" s="1"/>
  <c r="U34" i="18"/>
  <c r="S34" i="18"/>
  <c r="U33" i="18"/>
  <c r="S33" i="18"/>
  <c r="T33" i="18" s="1"/>
  <c r="U32" i="18"/>
  <c r="S32" i="18"/>
  <c r="T32" i="18" s="1"/>
  <c r="U31" i="18"/>
  <c r="AC31" i="18" s="1"/>
  <c r="S31" i="18"/>
  <c r="AB31" i="18" s="1"/>
  <c r="U30" i="18"/>
  <c r="S30" i="18"/>
  <c r="U29" i="18"/>
  <c r="S29" i="18"/>
  <c r="U28" i="18"/>
  <c r="S28" i="18"/>
  <c r="U27" i="18"/>
  <c r="S27" i="18"/>
  <c r="T27" i="18" s="1"/>
  <c r="U26" i="18"/>
  <c r="S26" i="18"/>
  <c r="U23" i="18"/>
  <c r="S23" i="18"/>
  <c r="U21" i="18"/>
  <c r="S21" i="18"/>
  <c r="T21" i="18" s="1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T12" i="18" s="1"/>
  <c r="U11" i="18"/>
  <c r="S11" i="18"/>
  <c r="T11" i="18" s="1"/>
  <c r="U10" i="18"/>
  <c r="S10" i="18"/>
  <c r="U9" i="18"/>
  <c r="S9" i="18"/>
  <c r="U44" i="17"/>
  <c r="S44" i="17"/>
  <c r="T44" i="17" s="1"/>
  <c r="U43" i="17"/>
  <c r="S43" i="17"/>
  <c r="U42" i="17"/>
  <c r="T42" i="17" s="1"/>
  <c r="S42" i="17"/>
  <c r="U41" i="17"/>
  <c r="S41" i="17"/>
  <c r="T41" i="17" s="1"/>
  <c r="U40" i="17"/>
  <c r="S40" i="17"/>
  <c r="T40" i="17" s="1"/>
  <c r="U39" i="17"/>
  <c r="S39" i="17"/>
  <c r="U38" i="17"/>
  <c r="E39" i="16" s="1"/>
  <c r="S38" i="17"/>
  <c r="C39" i="16" s="1"/>
  <c r="U37" i="17"/>
  <c r="S37" i="17"/>
  <c r="U36" i="17"/>
  <c r="S36" i="17"/>
  <c r="C8" i="16" s="1"/>
  <c r="U34" i="17"/>
  <c r="S34" i="17"/>
  <c r="T34" i="17" s="1"/>
  <c r="G15" i="15" s="1"/>
  <c r="U33" i="17"/>
  <c r="T33" i="17" s="1"/>
  <c r="S33" i="17"/>
  <c r="U31" i="17"/>
  <c r="S31" i="17"/>
  <c r="U30" i="17"/>
  <c r="S30" i="17"/>
  <c r="C23" i="1" s="1"/>
  <c r="U29" i="17"/>
  <c r="S29" i="17"/>
  <c r="T29" i="17" s="1"/>
  <c r="U28" i="17"/>
  <c r="E29" i="1" s="1"/>
  <c r="S28" i="17"/>
  <c r="T28" i="17" s="1"/>
  <c r="U27" i="17"/>
  <c r="S27" i="17"/>
  <c r="T27" i="17" s="1"/>
  <c r="U26" i="17"/>
  <c r="S26" i="17"/>
  <c r="T26" i="17" s="1"/>
  <c r="D26" i="1" s="1"/>
  <c r="U25" i="17"/>
  <c r="S25" i="17"/>
  <c r="T25" i="17" s="1"/>
  <c r="U24" i="17"/>
  <c r="T24" i="17" s="1"/>
  <c r="S24" i="17"/>
  <c r="AB24" i="17" s="1"/>
  <c r="AC24" i="17" s="1"/>
  <c r="U22" i="17"/>
  <c r="Y22" i="17" s="1"/>
  <c r="Z22" i="17" s="1"/>
  <c r="S22" i="17"/>
  <c r="AB22" i="17" s="1"/>
  <c r="AC22" i="17" s="1"/>
  <c r="U20" i="17"/>
  <c r="E8" i="16" s="1"/>
  <c r="U18" i="17"/>
  <c r="T18" i="17" s="1"/>
  <c r="S18" i="17"/>
  <c r="U17" i="17"/>
  <c r="S17" i="17"/>
  <c r="U16" i="17"/>
  <c r="T16" i="17" s="1"/>
  <c r="S16" i="17"/>
  <c r="U12" i="17"/>
  <c r="S12" i="17"/>
  <c r="U10" i="17"/>
  <c r="E6" i="1" s="1"/>
  <c r="S10" i="17"/>
  <c r="U9" i="17"/>
  <c r="S9" i="17"/>
  <c r="W9" i="17" s="1"/>
  <c r="X9" i="17" s="1"/>
  <c r="U7" i="17"/>
  <c r="S7" i="17"/>
  <c r="Y20" i="17"/>
  <c r="Z20" i="17" s="1"/>
  <c r="AD22" i="17"/>
  <c r="AE22" i="17" s="1"/>
  <c r="AD24" i="17"/>
  <c r="AE24" i="17" s="1"/>
  <c r="AD36" i="17"/>
  <c r="AE36" i="17" s="1"/>
  <c r="Y36" i="17"/>
  <c r="Z36" i="17" s="1"/>
  <c r="AB9" i="17"/>
  <c r="AC9" i="17" s="1"/>
  <c r="AB36" i="17"/>
  <c r="AC36" i="17" s="1"/>
  <c r="W36" i="17"/>
  <c r="X36" i="17" s="1"/>
  <c r="T20" i="17"/>
  <c r="E12" i="16"/>
  <c r="T48" i="18"/>
  <c r="T43" i="18"/>
  <c r="T15" i="18"/>
  <c r="T23" i="18"/>
  <c r="D52" i="1" s="1"/>
  <c r="T17" i="18"/>
  <c r="T20" i="18"/>
  <c r="T28" i="18"/>
  <c r="T34" i="18"/>
  <c r="D54" i="1" s="1"/>
  <c r="J54" i="1" s="1"/>
  <c r="T29" i="18"/>
  <c r="T31" i="18"/>
  <c r="T35" i="18"/>
  <c r="T37" i="17"/>
  <c r="T39" i="17"/>
  <c r="T43" i="17"/>
  <c r="T52" i="18"/>
  <c r="T13" i="18"/>
  <c r="D51" i="1" s="1"/>
  <c r="T9" i="18"/>
  <c r="T18" i="18"/>
  <c r="T55" i="18"/>
  <c r="T31" i="17"/>
  <c r="T12" i="17"/>
  <c r="F53" i="18"/>
  <c r="E53" i="18"/>
  <c r="F50" i="18"/>
  <c r="E50" i="18"/>
  <c r="S50" i="18" s="1"/>
  <c r="F47" i="18"/>
  <c r="E47" i="18"/>
  <c r="F44" i="18"/>
  <c r="E44" i="18"/>
  <c r="F41" i="18"/>
  <c r="E41" i="18"/>
  <c r="F16" i="18"/>
  <c r="E16" i="18"/>
  <c r="F8" i="18"/>
  <c r="E8" i="18"/>
  <c r="F35" i="17"/>
  <c r="F45" i="17" s="1"/>
  <c r="E35" i="17"/>
  <c r="X33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U44" i="18" s="1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U53" i="18" s="1"/>
  <c r="M53" i="18"/>
  <c r="L53" i="18"/>
  <c r="K53" i="18"/>
  <c r="J53" i="18"/>
  <c r="I53" i="18"/>
  <c r="H53" i="18"/>
  <c r="G53" i="18"/>
  <c r="D53" i="18"/>
  <c r="C53" i="18"/>
  <c r="S47" i="18"/>
  <c r="C56" i="1"/>
  <c r="J56" i="1" s="1"/>
  <c r="E10" i="19"/>
  <c r="D10" i="19"/>
  <c r="J35" i="17"/>
  <c r="H35" i="17"/>
  <c r="H45" i="17" s="1"/>
  <c r="D18" i="19"/>
  <c r="J65" i="1"/>
  <c r="X32" i="18"/>
  <c r="C8" i="1"/>
  <c r="J66" i="1"/>
  <c r="J64" i="1"/>
  <c r="J63" i="1"/>
  <c r="H18" i="16"/>
  <c r="U24" i="18"/>
  <c r="C35" i="17"/>
  <c r="D35" i="17"/>
  <c r="D45" i="17" s="1"/>
  <c r="C58" i="1"/>
  <c r="E60" i="1"/>
  <c r="C54" i="1"/>
  <c r="E53" i="1"/>
  <c r="C52" i="1"/>
  <c r="E34" i="1"/>
  <c r="C34" i="1"/>
  <c r="C37" i="1"/>
  <c r="H15" i="15"/>
  <c r="C26" i="1"/>
  <c r="E2" i="19"/>
  <c r="E2" i="15"/>
  <c r="G20" i="14"/>
  <c r="E51" i="1"/>
  <c r="D34" i="1"/>
  <c r="J34" i="1" s="1"/>
  <c r="B2" i="14"/>
  <c r="X28" i="18"/>
  <c r="X27" i="18"/>
  <c r="X19" i="18"/>
  <c r="X18" i="18"/>
  <c r="T7" i="17"/>
  <c r="D5" i="1" s="1"/>
  <c r="J73" i="1"/>
  <c r="J69" i="1"/>
  <c r="J68" i="1"/>
  <c r="E19" i="1"/>
  <c r="D19" i="1"/>
  <c r="E16" i="1"/>
  <c r="U11" i="17"/>
  <c r="E7" i="1" s="1"/>
  <c r="E37" i="1"/>
  <c r="E32" i="1"/>
  <c r="E26" i="1"/>
  <c r="E58" i="1"/>
  <c r="E54" i="1"/>
  <c r="E52" i="1"/>
  <c r="D37" i="1"/>
  <c r="J37" i="1" s="1"/>
  <c r="B39" i="15"/>
  <c r="B14" i="15"/>
  <c r="B28" i="15"/>
  <c r="R35" i="17"/>
  <c r="R45" i="17" s="1"/>
  <c r="Q35" i="17"/>
  <c r="Q45" i="17" s="1"/>
  <c r="P35" i="17"/>
  <c r="O35" i="17"/>
  <c r="O45" i="17" s="1"/>
  <c r="N35" i="17"/>
  <c r="N45" i="17" s="1"/>
  <c r="M35" i="17"/>
  <c r="L35" i="17"/>
  <c r="L45" i="17" s="1"/>
  <c r="K35" i="17"/>
  <c r="K45" i="17" s="1"/>
  <c r="I35" i="17"/>
  <c r="I45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J76" i="1" s="1"/>
  <c r="E18" i="19"/>
  <c r="C14" i="19"/>
  <c r="C23" i="19"/>
  <c r="C22" i="19"/>
  <c r="C21" i="19"/>
  <c r="C20" i="19"/>
  <c r="C19" i="19"/>
  <c r="C16" i="19"/>
  <c r="C13" i="19"/>
  <c r="C12" i="19"/>
  <c r="C11" i="19"/>
  <c r="U19" i="17"/>
  <c r="B37" i="15"/>
  <c r="B36" i="15"/>
  <c r="B35" i="15"/>
  <c r="C38" i="15"/>
  <c r="C40" i="15" s="1"/>
  <c r="B12" i="15"/>
  <c r="B11" i="15"/>
  <c r="B10" i="15"/>
  <c r="B9" i="15"/>
  <c r="B8" i="15"/>
  <c r="B7" i="15"/>
  <c r="B6" i="15"/>
  <c r="B25" i="15"/>
  <c r="B24" i="15"/>
  <c r="B23" i="15"/>
  <c r="B22" i="15"/>
  <c r="B21" i="15"/>
  <c r="B20" i="15"/>
  <c r="B19" i="15"/>
  <c r="C26" i="15"/>
  <c r="C29" i="15" s="1"/>
  <c r="D10" i="1" s="1"/>
  <c r="C13" i="15"/>
  <c r="D18" i="1" s="1"/>
  <c r="D77" i="1"/>
  <c r="D33" i="16" s="1"/>
  <c r="J72" i="1"/>
  <c r="E33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24" i="1" s="1"/>
  <c r="J8" i="1"/>
  <c r="D11" i="14"/>
  <c r="D20" i="14"/>
  <c r="D38" i="15"/>
  <c r="E15" i="1" s="1"/>
  <c r="D26" i="15"/>
  <c r="D29" i="15" s="1"/>
  <c r="D13" i="15"/>
  <c r="E18" i="1" s="1"/>
  <c r="P8" i="18"/>
  <c r="P22" i="18" s="1"/>
  <c r="P39" i="18" s="1"/>
  <c r="O8" i="18"/>
  <c r="J8" i="18"/>
  <c r="J22" i="18" s="1"/>
  <c r="J39" i="18" s="1"/>
  <c r="I8" i="18"/>
  <c r="I22" i="18" s="1"/>
  <c r="E5" i="1"/>
  <c r="D40" i="15"/>
  <c r="E57" i="16" s="1"/>
  <c r="E20" i="14"/>
  <c r="R8" i="18"/>
  <c r="Q8" i="18"/>
  <c r="Q22" i="18" s="1"/>
  <c r="Q39" i="18" s="1"/>
  <c r="N8" i="18"/>
  <c r="M8" i="18"/>
  <c r="M22" i="18" s="1"/>
  <c r="M39" i="18" s="1"/>
  <c r="L8" i="18"/>
  <c r="K8" i="18"/>
  <c r="K22" i="18" s="1"/>
  <c r="K39" i="18" s="1"/>
  <c r="H8" i="18"/>
  <c r="H22" i="18" s="1"/>
  <c r="G8" i="18"/>
  <c r="D8" i="18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J43" i="1" s="1"/>
  <c r="C31" i="1"/>
  <c r="J31" i="1" s="1"/>
  <c r="B2" i="1"/>
  <c r="C2" i="16" s="1"/>
  <c r="A2" i="15"/>
  <c r="C8" i="18"/>
  <c r="C22" i="18" s="1"/>
  <c r="E38" i="15"/>
  <c r="E26" i="15"/>
  <c r="C9" i="1"/>
  <c r="J9" i="1" s="1"/>
  <c r="E13" i="15"/>
  <c r="C20" i="14"/>
  <c r="C51" i="1" s="1"/>
  <c r="C11" i="14"/>
  <c r="C50" i="1" s="1"/>
  <c r="X36" i="18"/>
  <c r="X37" i="18"/>
  <c r="X38" i="18"/>
  <c r="B2" i="19"/>
  <c r="B2" i="18"/>
  <c r="C30" i="1"/>
  <c r="J30" i="1" s="1"/>
  <c r="B2" i="17"/>
  <c r="B2" i="16"/>
  <c r="C53" i="41"/>
  <c r="X9" i="18"/>
  <c r="X31" i="18"/>
  <c r="X23" i="18"/>
  <c r="X34" i="18"/>
  <c r="X17" i="18"/>
  <c r="X12" i="18"/>
  <c r="X30" i="18"/>
  <c r="X13" i="18"/>
  <c r="C27" i="1"/>
  <c r="J27" i="1" s="1"/>
  <c r="C19" i="1"/>
  <c r="J19" i="1" s="1"/>
  <c r="J25" i="1"/>
  <c r="E46" i="41"/>
  <c r="C45" i="41"/>
  <c r="C44" i="41"/>
  <c r="D52" i="41"/>
  <c r="C46" i="41"/>
  <c r="X21" i="18"/>
  <c r="P14" i="36" l="1"/>
  <c r="Q14" i="36" s="1"/>
  <c r="K23" i="36"/>
  <c r="P23" i="36" s="1"/>
  <c r="J45" i="17"/>
  <c r="K42" i="36"/>
  <c r="F20" i="14"/>
  <c r="F22" i="18"/>
  <c r="F39" i="18" s="1"/>
  <c r="T17" i="17"/>
  <c r="K13" i="37"/>
  <c r="K15" i="37"/>
  <c r="M22" i="37"/>
  <c r="O33" i="37"/>
  <c r="K39" i="37"/>
  <c r="O39" i="37" s="1"/>
  <c r="K50" i="37"/>
  <c r="F18" i="16"/>
  <c r="K22" i="36"/>
  <c r="P22" i="36" s="1"/>
  <c r="Q22" i="36" s="1"/>
  <c r="K34" i="36"/>
  <c r="Y24" i="17"/>
  <c r="Z24" i="17" s="1"/>
  <c r="K29" i="36"/>
  <c r="K44" i="36"/>
  <c r="K53" i="37"/>
  <c r="C16" i="1"/>
  <c r="J16" i="1" s="1"/>
  <c r="K16" i="36"/>
  <c r="K25" i="36"/>
  <c r="K31" i="36"/>
  <c r="H54" i="37"/>
  <c r="K26" i="37"/>
  <c r="O26" i="37" s="1"/>
  <c r="M29" i="37"/>
  <c r="S11" i="17"/>
  <c r="C7" i="1" s="1"/>
  <c r="M27" i="37"/>
  <c r="T14" i="18"/>
  <c r="T26" i="18"/>
  <c r="T45" i="18"/>
  <c r="C9" i="37"/>
  <c r="K16" i="37"/>
  <c r="C42" i="37"/>
  <c r="C51" i="37"/>
  <c r="C54" i="37"/>
  <c r="W7" i="17"/>
  <c r="X7" i="17" s="1"/>
  <c r="T30" i="17"/>
  <c r="D23" i="1" s="1"/>
  <c r="J23" i="1" s="1"/>
  <c r="K18" i="36"/>
  <c r="O30" i="37"/>
  <c r="K21" i="36"/>
  <c r="C58" i="16"/>
  <c r="K17" i="36"/>
  <c r="K20" i="36"/>
  <c r="C45" i="17"/>
  <c r="S45" i="17" s="1"/>
  <c r="F45" i="1" s="1"/>
  <c r="G19" i="36"/>
  <c r="G45" i="36" s="1"/>
  <c r="K14" i="37"/>
  <c r="K21" i="37"/>
  <c r="G48" i="37"/>
  <c r="G51" i="37"/>
  <c r="C5" i="1"/>
  <c r="J5" i="1" s="1"/>
  <c r="E45" i="17"/>
  <c r="K28" i="36"/>
  <c r="K43" i="36"/>
  <c r="H11" i="36"/>
  <c r="H45" i="36" s="1"/>
  <c r="C15" i="15"/>
  <c r="D17" i="1" s="1"/>
  <c r="G17" i="15" s="1"/>
  <c r="E43" i="16"/>
  <c r="AE64" i="17" s="1"/>
  <c r="C18" i="19"/>
  <c r="D29" i="1"/>
  <c r="C29" i="1" s="1"/>
  <c r="J29" i="1" s="1"/>
  <c r="T37" i="18"/>
  <c r="D58" i="1" s="1"/>
  <c r="J58" i="1" s="1"/>
  <c r="M17" i="36"/>
  <c r="N17" i="36" s="1"/>
  <c r="P31" i="36"/>
  <c r="Q31" i="36" s="1"/>
  <c r="E22" i="18"/>
  <c r="C7" i="16"/>
  <c r="J23" i="37"/>
  <c r="J40" i="37" s="1"/>
  <c r="K49" i="36"/>
  <c r="D15" i="15"/>
  <c r="E17" i="1" s="1"/>
  <c r="H17" i="15" s="1"/>
  <c r="S44" i="18"/>
  <c r="T44" i="18" s="1"/>
  <c r="T10" i="18"/>
  <c r="T19" i="18"/>
  <c r="D43" i="16" s="1"/>
  <c r="V57" i="36" s="1"/>
  <c r="T30" i="18"/>
  <c r="K27" i="36"/>
  <c r="C17" i="37"/>
  <c r="C23" i="37" s="1"/>
  <c r="C40" i="37" s="1"/>
  <c r="D35" i="16" s="1"/>
  <c r="K47" i="37"/>
  <c r="E23" i="1"/>
  <c r="K33" i="36"/>
  <c r="P20" i="36"/>
  <c r="Q20" i="36" s="1"/>
  <c r="M20" i="36"/>
  <c r="N20" i="36" s="1"/>
  <c r="R22" i="18"/>
  <c r="R39" i="18" s="1"/>
  <c r="I39" i="18"/>
  <c r="D11" i="1"/>
  <c r="G45" i="17"/>
  <c r="S24" i="18"/>
  <c r="S41" i="18"/>
  <c r="T10" i="17"/>
  <c r="W24" i="17"/>
  <c r="X24" i="17" s="1"/>
  <c r="AB7" i="17"/>
  <c r="AC7" i="17" s="1"/>
  <c r="AC60" i="17" s="1"/>
  <c r="K37" i="36"/>
  <c r="M27" i="36"/>
  <c r="N27" i="36" s="1"/>
  <c r="K26" i="36"/>
  <c r="K22" i="37"/>
  <c r="K36" i="37"/>
  <c r="O36" i="37" s="1"/>
  <c r="M19" i="37"/>
  <c r="M34" i="37"/>
  <c r="M28" i="37"/>
  <c r="O28" i="37"/>
  <c r="M30" i="36"/>
  <c r="N30" i="36" s="1"/>
  <c r="C19" i="36"/>
  <c r="I19" i="36"/>
  <c r="I45" i="36" s="1"/>
  <c r="E9" i="37"/>
  <c r="G25" i="37"/>
  <c r="D25" i="37"/>
  <c r="J42" i="37"/>
  <c r="K8" i="36"/>
  <c r="P7" i="36" s="1"/>
  <c r="Q7" i="36" s="1"/>
  <c r="U8" i="17"/>
  <c r="Y7" i="17" s="1"/>
  <c r="Z7" i="17" s="1"/>
  <c r="E10" i="16"/>
  <c r="C10" i="16" s="1"/>
  <c r="Y15" i="17"/>
  <c r="Z15" i="17" s="1"/>
  <c r="AD16" i="17"/>
  <c r="AE16" i="17" s="1"/>
  <c r="P21" i="36"/>
  <c r="Q21" i="36" s="1"/>
  <c r="K47" i="36"/>
  <c r="K50" i="36"/>
  <c r="K14" i="36"/>
  <c r="L22" i="18"/>
  <c r="L39" i="18" s="1"/>
  <c r="M45" i="17"/>
  <c r="C32" i="1"/>
  <c r="S53" i="18"/>
  <c r="T53" i="18" s="1"/>
  <c r="U50" i="18"/>
  <c r="T50" i="18" s="1"/>
  <c r="U41" i="18"/>
  <c r="W22" i="17"/>
  <c r="X22" i="17" s="1"/>
  <c r="F40" i="37"/>
  <c r="K30" i="36"/>
  <c r="K24" i="36"/>
  <c r="M24" i="36" s="1"/>
  <c r="N24" i="36" s="1"/>
  <c r="E17" i="37"/>
  <c r="K52" i="37"/>
  <c r="K49" i="37"/>
  <c r="G15" i="16"/>
  <c r="K33" i="37"/>
  <c r="M39" i="37"/>
  <c r="M33" i="37"/>
  <c r="O34" i="37"/>
  <c r="C11" i="36"/>
  <c r="K10" i="36"/>
  <c r="F11" i="36"/>
  <c r="F45" i="36" s="1"/>
  <c r="D19" i="36"/>
  <c r="J19" i="36"/>
  <c r="I17" i="37"/>
  <c r="C25" i="37"/>
  <c r="C48" i="37"/>
  <c r="I48" i="37"/>
  <c r="H51" i="37"/>
  <c r="D15" i="36"/>
  <c r="M15" i="36" s="1"/>
  <c r="N15" i="36" s="1"/>
  <c r="Y23" i="17"/>
  <c r="Z23" i="17" s="1"/>
  <c r="M21" i="36"/>
  <c r="N21" i="36" s="1"/>
  <c r="C39" i="18"/>
  <c r="C35" i="16" s="1"/>
  <c r="D22" i="14"/>
  <c r="T22" i="17"/>
  <c r="D12" i="16" s="1"/>
  <c r="C12" i="16"/>
  <c r="K10" i="37"/>
  <c r="K20" i="37"/>
  <c r="K55" i="37"/>
  <c r="K31" i="37"/>
  <c r="E48" i="37"/>
  <c r="M24" i="37"/>
  <c r="O24" i="37"/>
  <c r="P12" i="36"/>
  <c r="Q12" i="36" s="1"/>
  <c r="E19" i="36"/>
  <c r="E45" i="36" s="1"/>
  <c r="P29" i="36"/>
  <c r="Q29" i="36" s="1"/>
  <c r="M14" i="37"/>
  <c r="I25" i="37"/>
  <c r="F42" i="37"/>
  <c r="H45" i="37"/>
  <c r="D48" i="37"/>
  <c r="J48" i="37"/>
  <c r="F51" i="37"/>
  <c r="AD23" i="17"/>
  <c r="AE23" i="17" s="1"/>
  <c r="Y14" i="17"/>
  <c r="Z14" i="17" s="1"/>
  <c r="T49" i="17"/>
  <c r="C12" i="1"/>
  <c r="S19" i="17"/>
  <c r="T19" i="17" s="1"/>
  <c r="U8" i="18"/>
  <c r="N22" i="18"/>
  <c r="N39" i="18" s="1"/>
  <c r="D33" i="1"/>
  <c r="C38" i="16"/>
  <c r="C60" i="1"/>
  <c r="T38" i="17"/>
  <c r="D23" i="37"/>
  <c r="D40" i="37" s="1"/>
  <c r="K27" i="37"/>
  <c r="K36" i="36"/>
  <c r="K37" i="37"/>
  <c r="O37" i="37" s="1"/>
  <c r="K18" i="37"/>
  <c r="M31" i="37"/>
  <c r="K9" i="36"/>
  <c r="P9" i="36" s="1"/>
  <c r="Q9" i="36" s="1"/>
  <c r="F19" i="36"/>
  <c r="E25" i="37"/>
  <c r="G42" i="37"/>
  <c r="K32" i="36"/>
  <c r="C13" i="1"/>
  <c r="J13" i="1" s="1"/>
  <c r="K48" i="36"/>
  <c r="S35" i="17"/>
  <c r="C20" i="1" s="1"/>
  <c r="P45" i="17"/>
  <c r="E38" i="16" s="1"/>
  <c r="T36" i="18"/>
  <c r="D60" i="1" s="1"/>
  <c r="K56" i="37"/>
  <c r="K43" i="37"/>
  <c r="M30" i="37"/>
  <c r="D11" i="36"/>
  <c r="M18" i="36"/>
  <c r="N18" i="36" s="1"/>
  <c r="P26" i="36"/>
  <c r="Q26" i="36" s="1"/>
  <c r="H40" i="37"/>
  <c r="K54" i="37"/>
  <c r="T25" i="18"/>
  <c r="AB25" i="18" s="1"/>
  <c r="T47" i="17"/>
  <c r="W25" i="18"/>
  <c r="X25" i="18" s="1"/>
  <c r="X39" i="18" s="1"/>
  <c r="X63" i="17" s="1"/>
  <c r="E25" i="19"/>
  <c r="S16" i="18"/>
  <c r="U47" i="18"/>
  <c r="T47" i="18" s="1"/>
  <c r="I23" i="37"/>
  <c r="D51" i="37"/>
  <c r="K51" i="37" s="1"/>
  <c r="P13" i="36"/>
  <c r="Q13" i="36" s="1"/>
  <c r="T14" i="17"/>
  <c r="J45" i="36"/>
  <c r="C43" i="41"/>
  <c r="C35" i="41" s="1"/>
  <c r="C40" i="41" s="1"/>
  <c r="D22" i="18"/>
  <c r="D39" i="18" s="1"/>
  <c r="E35" i="16" s="1"/>
  <c r="E58" i="16"/>
  <c r="E64" i="16" s="1"/>
  <c r="C45" i="37"/>
  <c r="G45" i="37"/>
  <c r="K15" i="36"/>
  <c r="M14" i="36"/>
  <c r="N14" i="36" s="1"/>
  <c r="J51" i="1"/>
  <c r="E11" i="1"/>
  <c r="C41" i="1"/>
  <c r="J41" i="1" s="1"/>
  <c r="E14" i="1"/>
  <c r="G22" i="18"/>
  <c r="G39" i="18" s="1"/>
  <c r="O22" i="18"/>
  <c r="O39" i="18" s="1"/>
  <c r="C34" i="16" s="1"/>
  <c r="U16" i="18"/>
  <c r="G11" i="14" s="1"/>
  <c r="F15" i="15"/>
  <c r="C10" i="19"/>
  <c r="C25" i="19" s="1"/>
  <c r="T36" i="17"/>
  <c r="D8" i="16" s="1"/>
  <c r="T38" i="18"/>
  <c r="T9" i="17"/>
  <c r="M10" i="37"/>
  <c r="D35" i="36"/>
  <c r="G9" i="37"/>
  <c r="G23" i="37" s="1"/>
  <c r="F45" i="37"/>
  <c r="E51" i="37"/>
  <c r="C11" i="16"/>
  <c r="T23" i="17"/>
  <c r="D11" i="16" s="1"/>
  <c r="W23" i="17"/>
  <c r="X23" i="17" s="1"/>
  <c r="E39" i="18"/>
  <c r="C36" i="16" s="1"/>
  <c r="D57" i="16"/>
  <c r="D14" i="1"/>
  <c r="B40" i="15"/>
  <c r="C57" i="16" s="1"/>
  <c r="C18" i="1"/>
  <c r="J18" i="1" s="1"/>
  <c r="C2" i="19"/>
  <c r="J3" i="36"/>
  <c r="C77" i="1"/>
  <c r="C22" i="14"/>
  <c r="C2" i="14"/>
  <c r="S8" i="18"/>
  <c r="C33" i="1"/>
  <c r="J33" i="1" s="1"/>
  <c r="B15" i="15"/>
  <c r="C17" i="1" s="1"/>
  <c r="J17" i="1" s="1"/>
  <c r="B13" i="15"/>
  <c r="B45" i="15" s="1"/>
  <c r="B38" i="15"/>
  <c r="B49" i="15" s="1"/>
  <c r="D15" i="1"/>
  <c r="C15" i="1" s="1"/>
  <c r="C61" i="16"/>
  <c r="U35" i="17"/>
  <c r="J26" i="1"/>
  <c r="T11" i="17"/>
  <c r="D7" i="1" s="1"/>
  <c r="J7" i="1" s="1"/>
  <c r="J52" i="1"/>
  <c r="D25" i="19"/>
  <c r="C6" i="16"/>
  <c r="AD20" i="17"/>
  <c r="AE20" i="17" s="1"/>
  <c r="C35" i="36"/>
  <c r="K13" i="36"/>
  <c r="M23" i="36"/>
  <c r="N23" i="36" s="1"/>
  <c r="Q23" i="36"/>
  <c r="K35" i="36"/>
  <c r="E23" i="37"/>
  <c r="E40" i="37" s="1"/>
  <c r="K42" i="37"/>
  <c r="H39" i="18"/>
  <c r="E36" i="16" s="1"/>
  <c r="E10" i="1"/>
  <c r="C10" i="1" s="1"/>
  <c r="J10" i="1" s="1"/>
  <c r="B29" i="15"/>
  <c r="K9" i="37"/>
  <c r="E34" i="16"/>
  <c r="C2" i="15"/>
  <c r="T2" i="17"/>
  <c r="T2" i="18"/>
  <c r="J3" i="37"/>
  <c r="E6" i="16"/>
  <c r="E7" i="16"/>
  <c r="Y9" i="17"/>
  <c r="Z9" i="17" s="1"/>
  <c r="AD9" i="17"/>
  <c r="AE9" i="17" s="1"/>
  <c r="B26" i="15"/>
  <c r="B47" i="15" s="1"/>
  <c r="K17" i="37" l="1"/>
  <c r="X60" i="17"/>
  <c r="K11" i="36"/>
  <c r="C43" i="16"/>
  <c r="AC64" i="17" s="1"/>
  <c r="I40" i="37"/>
  <c r="D34" i="16" s="1"/>
  <c r="K19" i="36"/>
  <c r="T16" i="18"/>
  <c r="G40" i="37"/>
  <c r="M22" i="36"/>
  <c r="N22" i="36" s="1"/>
  <c r="J60" i="1"/>
  <c r="K48" i="37"/>
  <c r="K45" i="37"/>
  <c r="M40" i="37"/>
  <c r="S56" i="36" s="1"/>
  <c r="D24" i="16" s="1"/>
  <c r="G18" i="16"/>
  <c r="AC45" i="17"/>
  <c r="AC59" i="17" s="1"/>
  <c r="U22" i="18"/>
  <c r="U39" i="18" s="1"/>
  <c r="H62" i="1" s="1"/>
  <c r="U45" i="17"/>
  <c r="H45" i="1" s="1"/>
  <c r="M26" i="37"/>
  <c r="Y22" i="18"/>
  <c r="Z22" i="18" s="1"/>
  <c r="Z39" i="18" s="1"/>
  <c r="Z63" i="17" s="1"/>
  <c r="D38" i="16"/>
  <c r="M9" i="36"/>
  <c r="N9" i="36" s="1"/>
  <c r="M36" i="36"/>
  <c r="N36" i="36" s="1"/>
  <c r="P36" i="36"/>
  <c r="Q36" i="36" s="1"/>
  <c r="V53" i="36" s="1"/>
  <c r="AD7" i="17"/>
  <c r="AE7" i="17" s="1"/>
  <c r="AE60" i="17" s="1"/>
  <c r="T8" i="18"/>
  <c r="S22" i="18"/>
  <c r="E22" i="14" s="1"/>
  <c r="T41" i="18"/>
  <c r="P16" i="36"/>
  <c r="Q16" i="36" s="1"/>
  <c r="Q45" i="36" s="1"/>
  <c r="T8" i="17"/>
  <c r="D6" i="16" s="1"/>
  <c r="D13" i="16" s="1"/>
  <c r="C45" i="36"/>
  <c r="K45" i="36" s="1"/>
  <c r="E50" i="1"/>
  <c r="E62" i="1" s="1"/>
  <c r="E42" i="16"/>
  <c r="E37" i="16" s="1"/>
  <c r="F17" i="15"/>
  <c r="S57" i="36"/>
  <c r="C20" i="16"/>
  <c r="M7" i="36"/>
  <c r="N7" i="36" s="1"/>
  <c r="C53" i="1"/>
  <c r="T24" i="18"/>
  <c r="D53" i="1" s="1"/>
  <c r="J53" i="1" s="1"/>
  <c r="K25" i="37"/>
  <c r="X45" i="17"/>
  <c r="D45" i="36"/>
  <c r="C11" i="1"/>
  <c r="J11" i="1" s="1"/>
  <c r="D39" i="16"/>
  <c r="D32" i="1"/>
  <c r="J32" i="1" s="1"/>
  <c r="C14" i="1"/>
  <c r="J14" i="1" s="1"/>
  <c r="J15" i="1"/>
  <c r="D6" i="1"/>
  <c r="C6" i="1" s="1"/>
  <c r="J6" i="1" s="1"/>
  <c r="D58" i="16"/>
  <c r="D7" i="16"/>
  <c r="E20" i="16"/>
  <c r="T45" i="17"/>
  <c r="G45" i="1" s="1"/>
  <c r="N45" i="36"/>
  <c r="C13" i="16"/>
  <c r="C22" i="16" s="1"/>
  <c r="D64" i="16"/>
  <c r="E11" i="14"/>
  <c r="E20" i="1"/>
  <c r="E45" i="1" s="1"/>
  <c r="T35" i="17"/>
  <c r="D20" i="1" s="1"/>
  <c r="J77" i="1"/>
  <c r="C33" i="16"/>
  <c r="C32" i="16" s="1"/>
  <c r="E32" i="16"/>
  <c r="E31" i="16" s="1"/>
  <c r="C64" i="16"/>
  <c r="C42" i="16" s="1"/>
  <c r="C37" i="16" s="1"/>
  <c r="E24" i="16"/>
  <c r="E13" i="16"/>
  <c r="D36" i="16"/>
  <c r="D32" i="16" s="1"/>
  <c r="AE45" i="17"/>
  <c r="Z45" i="17"/>
  <c r="Z60" i="17"/>
  <c r="C24" i="16"/>
  <c r="F11" i="14"/>
  <c r="D50" i="1"/>
  <c r="X59" i="17"/>
  <c r="X64" i="17" s="1"/>
  <c r="C25" i="16" s="1"/>
  <c r="K23" i="37"/>
  <c r="T22" i="18" l="1"/>
  <c r="F22" i="14" s="1"/>
  <c r="AC22" i="18"/>
  <c r="AC39" i="18" s="1"/>
  <c r="AE63" i="17" s="1"/>
  <c r="AE59" i="17"/>
  <c r="G22" i="14"/>
  <c r="AB22" i="18"/>
  <c r="AB39" i="18" s="1"/>
  <c r="AC63" i="17" s="1"/>
  <c r="AC66" i="17" s="1"/>
  <c r="C30" i="16" s="1"/>
  <c r="S39" i="18"/>
  <c r="F62" i="1" s="1"/>
  <c r="V52" i="36"/>
  <c r="C19" i="16"/>
  <c r="C18" i="16" s="1"/>
  <c r="C16" i="16"/>
  <c r="C27" i="16"/>
  <c r="E78" i="1"/>
  <c r="AF39" i="18"/>
  <c r="S53" i="36"/>
  <c r="S52" i="36" s="1"/>
  <c r="S58" i="36" s="1"/>
  <c r="T39" i="18"/>
  <c r="G62" i="1" s="1"/>
  <c r="C31" i="16"/>
  <c r="D42" i="16"/>
  <c r="D37" i="16" s="1"/>
  <c r="D31" i="16" s="1"/>
  <c r="P45" i="36"/>
  <c r="D20" i="16"/>
  <c r="D27" i="16"/>
  <c r="D19" i="16"/>
  <c r="D18" i="16" s="1"/>
  <c r="D16" i="16"/>
  <c r="D22" i="16"/>
  <c r="Z59" i="17"/>
  <c r="Z64" i="17" s="1"/>
  <c r="E25" i="16" s="1"/>
  <c r="AE66" i="17"/>
  <c r="E30" i="16" s="1"/>
  <c r="J20" i="1"/>
  <c r="D45" i="1"/>
  <c r="O23" i="37"/>
  <c r="O40" i="37" s="1"/>
  <c r="V56" i="36" s="1"/>
  <c r="K40" i="37"/>
  <c r="C29" i="16"/>
  <c r="E22" i="16"/>
  <c r="E16" i="16"/>
  <c r="E19" i="16"/>
  <c r="E18" i="16" s="1"/>
  <c r="E27" i="16"/>
  <c r="E29" i="16"/>
  <c r="X61" i="17"/>
  <c r="C23" i="16" s="1"/>
  <c r="C21" i="16" s="1"/>
  <c r="D62" i="1"/>
  <c r="J50" i="1"/>
  <c r="E17" i="16"/>
  <c r="Y57" i="17"/>
  <c r="T45" i="36"/>
  <c r="AD57" i="17"/>
  <c r="Z61" i="17" l="1"/>
  <c r="E23" i="16" s="1"/>
  <c r="E15" i="16"/>
  <c r="D25" i="16"/>
  <c r="S54" i="36"/>
  <c r="D23" i="16" s="1"/>
  <c r="D21" i="16" s="1"/>
  <c r="E21" i="16"/>
  <c r="AE61" i="17"/>
  <c r="E28" i="16" s="1"/>
  <c r="E26" i="16" s="1"/>
  <c r="AC57" i="17"/>
  <c r="R45" i="36"/>
  <c r="D17" i="16"/>
  <c r="D15" i="16" s="1"/>
  <c r="X57" i="17"/>
  <c r="C45" i="1"/>
  <c r="D78" i="1"/>
  <c r="C78" i="1" s="1"/>
  <c r="P40" i="37"/>
  <c r="C62" i="1"/>
  <c r="AE39" i="18"/>
  <c r="D29" i="16"/>
  <c r="V58" i="36"/>
  <c r="D30" i="16" s="1"/>
  <c r="AC61" i="17"/>
  <c r="C28" i="16" s="1"/>
  <c r="C26" i="16" s="1"/>
  <c r="C51" i="41" l="1"/>
  <c r="C17" i="16"/>
  <c r="C15" i="16" s="1"/>
  <c r="W57" i="17"/>
  <c r="J45" i="1"/>
  <c r="AB57" i="17"/>
  <c r="U45" i="36"/>
  <c r="V45" i="36" s="1"/>
  <c r="S45" i="36"/>
  <c r="J62" i="1"/>
  <c r="AD39" i="18"/>
  <c r="J78" i="1"/>
  <c r="C84" i="1"/>
  <c r="V54" i="36"/>
  <c r="D28" i="16" s="1"/>
  <c r="D26" i="16" s="1"/>
</calcChain>
</file>

<file path=xl/sharedStrings.xml><?xml version="1.0" encoding="utf-8"?>
<sst xmlns="http://schemas.openxmlformats.org/spreadsheetml/2006/main" count="1017" uniqueCount="553">
  <si>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</si>
  <si>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</si>
  <si>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</si>
  <si>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</si>
  <si>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</si>
  <si>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</si>
  <si>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</si>
  <si>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</si>
  <si>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</si>
  <si>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</si>
  <si>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</si>
  <si>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</si>
  <si>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</si>
  <si>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</si>
  <si>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</si>
  <si>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</si>
  <si>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</si>
  <si>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</si>
  <si>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</si>
  <si>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</si>
  <si>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</si>
  <si>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</si>
  <si>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</si>
  <si>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</si>
  <si>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</si>
  <si>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</si>
  <si>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</si>
  <si>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</si>
  <si>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</si>
  <si>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</si>
  <si>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</si>
  <si>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</si>
  <si>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</si>
  <si>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</si>
  <si>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</si>
  <si>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</si>
  <si>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</si>
  <si>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</si>
  <si>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</si>
  <si>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</si>
  <si>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</si>
  <si>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</si>
  <si>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</si>
  <si>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</si>
  <si>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</si>
  <si>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</si>
  <si>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</si>
  <si>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</si>
  <si>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</si>
  <si>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</si>
  <si>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</si>
  <si>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</si>
  <si>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</si>
  <si>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</si>
  <si>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</si>
  <si>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</si>
  <si>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</si>
  <si>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</si>
  <si>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</si>
  <si>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</si>
  <si>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</si>
  <si>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</si>
  <si>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</si>
  <si>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</si>
  <si>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</si>
  <si>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</si>
  <si>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</si>
  <si>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</si>
  <si>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</si>
  <si>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</si>
  <si>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</si>
  <si>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</si>
  <si>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</si>
  <si>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</si>
  <si>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</si>
  <si>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</si>
  <si>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</si>
  <si>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</si>
  <si>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</si>
  <si>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</si>
  <si>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</si>
  <si>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</si>
  <si>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</si>
  <si>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</si>
  <si>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</si>
  <si>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</si>
  <si>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</si>
  <si>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</si>
  <si>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</si>
  <si>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</si>
  <si>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</si>
  <si>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</si>
  <si>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</si>
  <si>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</si>
  <si>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</si>
  <si>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</si>
  <si>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</si>
  <si>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</si>
  <si>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</si>
  <si>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</si>
  <si>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</si>
  <si>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</si>
  <si>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</si>
  <si>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</si>
  <si>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</si>
  <si>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</si>
  <si>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</si>
  <si>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</si>
  <si>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</si>
  <si>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</si>
  <si>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</si>
  <si>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</si>
  <si>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</si>
  <si>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</si>
  <si>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</si>
  <si>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</si>
  <si>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</si>
  <si>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</si>
  <si>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</si>
  <si>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</si>
  <si>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</si>
  <si>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</si>
  <si>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</si>
  <si>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</si>
  <si>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</si>
  <si>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</si>
  <si>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</si>
  <si>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</si>
  <si>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</si>
  <si>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</si>
  <si>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</si>
  <si>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</si>
  <si>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</si>
  <si>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</si>
  <si>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</si>
  <si>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</si>
  <si>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</si>
  <si>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</si>
  <si>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</si>
  <si>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</si>
  <si>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</si>
  <si>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</si>
  <si>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</si>
  <si>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</si>
  <si>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</si>
  <si>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</si>
  <si>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</si>
  <si>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</si>
  <si>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</si>
  <si>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</si>
  <si>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</si>
  <si>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</si>
  <si>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</si>
  <si>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</si>
  <si>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</si>
  <si>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</si>
  <si>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</si>
  <si>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</si>
  <si>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</si>
  <si>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</si>
  <si>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</si>
  <si>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</si>
  <si>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</si>
  <si>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</si>
  <si>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</si>
  <si>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</si>
  <si>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</si>
  <si>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</si>
  <si>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</si>
  <si>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</si>
  <si>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</si>
  <si>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</si>
  <si>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</si>
  <si>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</si>
  <si>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</si>
  <si>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</si>
  <si>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</si>
  <si>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</si>
  <si>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</si>
  <si>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</si>
  <si>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</si>
  <si>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</si>
  <si>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</si>
  <si>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</si>
  <si>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</si>
  <si>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</si>
  <si>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</si>
  <si>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</si>
  <si>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</si>
  <si>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</si>
  <si>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</si>
  <si>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</si>
  <si>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</si>
  <si>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</si>
  <si>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</si>
  <si>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</si>
  <si>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</si>
  <si>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</si>
  <si>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</si>
  <si>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</si>
  <si>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</si>
  <si>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</si>
  <si>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</si>
  <si>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</si>
  <si>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</si>
  <si>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</si>
  <si>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</si>
  <si>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</si>
  <si>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</si>
  <si>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</si>
  <si>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</si>
  <si>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</si>
  <si>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</si>
  <si>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</si>
  <si>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</si>
  <si>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</si>
  <si>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</si>
  <si>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</si>
  <si>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</si>
  <si>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</si>
  <si>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</si>
  <si>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</si>
  <si>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</si>
  <si>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</si>
  <si>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</si>
  <si>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</si>
  <si>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</si>
  <si>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</si>
  <si>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</si>
  <si>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</si>
  <si>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</si>
  <si>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</si>
  <si>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</si>
  <si>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</si>
  <si>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</si>
  <si>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</si>
  <si>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</si>
  <si>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</si>
  <si>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</si>
  <si>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</si>
  <si>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</si>
  <si>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</si>
  <si>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</si>
  <si>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</si>
  <si>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</si>
  <si>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</si>
  <si>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</si>
  <si>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</si>
  <si>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</si>
  <si>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</si>
  <si>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</si>
  <si>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</si>
  <si>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</si>
  <si>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</si>
  <si>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</si>
  <si>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</si>
  <si>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</si>
  <si>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</si>
  <si>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</si>
  <si>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</si>
  <si>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</si>
  <si>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</si>
  <si>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</si>
  <si>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</si>
  <si>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</si>
  <si>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</si>
  <si>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</si>
  <si>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</si>
  <si>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</si>
  <si>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</si>
  <si>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</si>
  <si>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</si>
  <si>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</si>
  <si>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</si>
  <si>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</si>
  <si>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</si>
  <si>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</si>
  <si>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</si>
  <si>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</si>
  <si>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</si>
  <si>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</si>
  <si>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</si>
  <si>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</si>
  <si>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</si>
  <si>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</si>
  <si>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</si>
  <si>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</si>
  <si>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</si>
  <si>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</si>
  <si>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</si>
  <si>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</si>
  <si>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</si>
  <si>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</si>
  <si>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</si>
  <si>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</si>
  <si>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</si>
  <si>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</si>
  <si>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</si>
  <si>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</si>
  <si>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</si>
  <si>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</si>
  <si>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</si>
  <si>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</si>
  <si>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</si>
  <si>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</si>
  <si>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</si>
  <si>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</si>
  <si>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</si>
  <si>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</si>
  <si>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</si>
  <si>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</si>
  <si>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</si>
  <si>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</si>
  <si>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</si>
  <si>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</si>
  <si>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</si>
  <si>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</si>
  <si>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</si>
  <si>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</si>
  <si>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</si>
  <si>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</si>
  <si>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</si>
  <si>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</si>
  <si>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</si>
  <si>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</si>
  <si>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</si>
  <si>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</si>
  <si>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</si>
  <si>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</si>
  <si>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</si>
  <si>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</si>
  <si>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</si>
  <si>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</si>
  <si>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</si>
  <si>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</si>
  <si>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</si>
  <si>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</si>
  <si>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</si>
  <si>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</si>
  <si>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</si>
  <si>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</si>
  <si>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</si>
  <si>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</si>
  <si>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</si>
  <si>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</si>
  <si>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</si>
  <si>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</si>
  <si>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</si>
  <si>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</si>
  <si>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</si>
  <si>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</si>
  <si>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</si>
  <si>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</si>
  <si>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</si>
  <si>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</si>
  <si>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</si>
  <si>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</si>
  <si>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</si>
  <si>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</si>
  <si>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</si>
  <si>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</si>
  <si>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</si>
  <si>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</si>
  <si>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</si>
  <si>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</si>
  <si>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</si>
  <si>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</si>
  <si>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</si>
  <si>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</si>
  <si>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</si>
  <si>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</si>
  <si>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</si>
  <si>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</si>
  <si>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</si>
  <si>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</si>
  <si>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</si>
  <si>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</si>
  <si>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</si>
  <si>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</si>
  <si>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</si>
  <si>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</si>
  <si>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</si>
  <si>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</si>
  <si>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</si>
  <si>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</si>
  <si>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</si>
  <si>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</si>
  <si>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</si>
  <si>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</si>
  <si>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</si>
  <si>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</si>
  <si>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</si>
  <si>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</si>
  <si>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</si>
  <si>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</si>
  <si>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</si>
  <si>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</si>
  <si>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</si>
  <si>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</si>
  <si>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</si>
  <si>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</si>
  <si>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</si>
  <si>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</si>
  <si>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</si>
  <si>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</si>
  <si>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</si>
  <si>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</si>
  <si>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</si>
  <si>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</si>
  <si>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</si>
  <si>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</si>
  <si>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</si>
  <si>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</si>
  <si>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</si>
  <si>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</si>
  <si>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</si>
  <si>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</si>
  <si>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</si>
  <si>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</si>
  <si>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</si>
  <si>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</si>
  <si>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</si>
  <si>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</si>
  <si>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</si>
  <si>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</si>
  <si>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</si>
  <si>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</si>
  <si>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</si>
  <si>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</si>
  <si>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</si>
  <si>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</si>
  <si>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</si>
  <si>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</si>
  <si>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</si>
  <si>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</si>
  <si>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</si>
  <si>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</si>
  <si>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</si>
  <si>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</si>
  <si>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</si>
  <si>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</si>
  <si>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</si>
  <si>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</si>
  <si>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</si>
  <si>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</si>
  <si>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</si>
  <si>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</si>
  <si>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</si>
  <si>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</si>
  <si>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</si>
  <si>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</si>
  <si>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</si>
  <si>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</si>
  <si>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</si>
  <si>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</si>
  <si>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</si>
  <si>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</si>
  <si>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</si>
  <si>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</si>
  <si>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</si>
  <si>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</si>
  <si>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</si>
  <si>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</si>
  <si>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</si>
  <si>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</si>
  <si>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</si>
  <si>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все расходы за 30 денй умноженная на коэффициенты</t>
  </si>
  <si>
    <t>Ликвидные активы за 30 дней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</si>
  <si>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</si>
  <si>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</si>
  <si>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</si>
  <si>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</si>
  <si>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</si>
  <si>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</si>
  <si>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</si>
  <si>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</si>
  <si>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</si>
  <si>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</si>
  <si>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</si>
  <si>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</si>
  <si>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</si>
  <si>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</si>
  <si>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</si>
  <si>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</si>
  <si>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</si>
  <si>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</si>
  <si>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</si>
  <si>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</si>
  <si>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>2.4.1.</t>
  </si>
  <si>
    <t>2.4.2.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</si>
  <si>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</si>
  <si>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</si>
  <si>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</si>
  <si>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</si>
  <si>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</si>
  <si>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</si>
  <si>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 xml:space="preserve">2.7. </t>
  </si>
  <si>
    <t xml:space="preserve">2.7.1. </t>
  </si>
  <si>
    <t xml:space="preserve">2.7.2. </t>
  </si>
  <si>
    <t xml:space="preserve">2.7.3. </t>
  </si>
  <si>
    <t xml:space="preserve">2.7.4. </t>
  </si>
  <si>
    <t xml:space="preserve">2.7.5. </t>
  </si>
  <si>
    <t xml:space="preserve">2.7.6. </t>
  </si>
  <si>
    <t>Депозиты размещенные в местных банках имеющие рейтинг не ниже В- или В3</t>
  </si>
  <si>
    <t>Примечание</t>
  </si>
  <si>
    <t>*Расчитывается по действующиму номативу, которая будет действовать до 1 июля 2020 года</t>
  </si>
  <si>
    <t xml:space="preserve">**Расчитывается для мониторинга по новому номативу, которая вступит в силу после 1 июля 2020 года 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</si>
  <si>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</si>
  <si>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</si>
  <si>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</si>
  <si>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</si>
  <si>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Активы в процессе судебного разбирательства или не взысканные в установленном порядке(не указанные в строке 2.7.4.)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</si>
  <si>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</si>
  <si>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</si>
  <si>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</si>
  <si>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</si>
  <si>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Сумма чистого оттока за 
30 дней</t>
  </si>
  <si>
    <t>Сумма чистого оттока за 
30 дней (в иностранной валюте)</t>
  </si>
  <si>
    <t>Приток</t>
  </si>
  <si>
    <t>Ин вал</t>
  </si>
  <si>
    <t>По действующим расчетам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</si>
  <si>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</si>
  <si>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</si>
  <si>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</si>
  <si>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</si>
  <si>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</si>
  <si>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</si>
  <si>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</si>
  <si>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</si>
  <si>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>Расчет коэффициента покрытия ликвидности 
(внедряемый норматив)</t>
  </si>
  <si>
    <t>Расчет коэффициента покрытия ликвидности 
(действующий норматив)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</si>
  <si>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</si>
  <si>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Коэффициент покрытия ликвидности
(действующий норматив)*</t>
  </si>
  <si>
    <t>Коэффициент покрытия ликвидности 
(внедряемый норматив)**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</si>
  <si>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</si>
  <si>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</si>
  <si>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</si>
  <si>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>№3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</si>
  <si>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</si>
  <si>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</si>
  <si>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</si>
  <si>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</si>
  <si>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</si>
  <si>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</si>
  <si>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</si>
  <si>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</si>
  <si>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Обязательства по выдаче кредита (91809)</t>
  </si>
  <si>
    <t>Гарантии и поручительства (90993)</t>
  </si>
  <si>
    <t>Аккредитивы (90908-90958)</t>
  </si>
  <si>
    <t>Форврдные котракты, свопы, опционы и подобные обязательства (92705,92716,92728,92736)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</si>
  <si>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</si>
  <si>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</si>
  <si>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АКБ"Микрокредитбанк"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</si>
</sst>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16"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b/>
      <sz val="10"/>
      <color indexed="9"/>
      <name val="Arial Cyr"/>
      <family val="2"/>
      <charset val="204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4"/>
      <name val="Times New Roman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b/>
      <sz val="12"/>
      <name val="Arial Cyr"/>
      <charset val="204"/>
    </font>
    <font>
      <sz val="11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2"/>
      <name val="Journal Uzbek"/>
      <family val="2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i/>
      <sz val="11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rgb="FF7030A0"/>
      <name val="Times New Roman"/>
      <family val="1"/>
    </font>
    <font>
      <b/>
      <sz val="10"/>
      <color theme="0" tint="-0.34998626667073579"/>
      <name val="Times New Roman Cyr"/>
      <family val="1"/>
      <charset val="204"/>
    </font>
    <font>
      <sz val="10"/>
      <color rgb="FFCC00CC"/>
      <name val="Arial Cyr"/>
      <family val="2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b/>
      <sz val="12"/>
      <color theme="0" tint="-0.499984740745262"/>
      <name val="Arial Cyr"/>
      <family val="2"/>
      <charset val="204"/>
    </font>
    <font>
      <sz val="12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8"/>
      <color rgb="FFFF0000"/>
      <name val="Arial Cyr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sz val="10"/>
      <color rgb="FFFF0000"/>
      <name val="Arial Cyr"/>
      <family val="2"/>
      <charset val="204"/>
    </font>
    <font>
      <sz val="12"/>
      <color rgb="FF7030A0"/>
      <name val="Arial Cyr"/>
      <family val="2"/>
      <charset val="204"/>
    </font>
    <font>
      <sz val="11"/>
      <color theme="0" tint="-0.34998626667073579"/>
      <name val="Arial Cyr"/>
      <family val="2"/>
      <charset val="204"/>
    </font>
    <font>
      <b/>
      <sz val="12"/>
      <color rgb="FF7030A0"/>
      <name val="Arial Cyr"/>
      <charset val="204"/>
    </font>
    <font>
      <b/>
      <sz val="20"/>
      <color rgb="FFFF000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gray125">
        <b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89">
    <xf numFmtId="0" fontId="0" fillId="0" borderId="0"/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6" fillId="0" borderId="1">
      <protection locked="0"/>
    </xf>
    <xf numFmtId="173" fontId="38" fillId="0" borderId="0">
      <protection locked="0"/>
    </xf>
    <xf numFmtId="174" fontId="38" fillId="0" borderId="1">
      <protection locked="0"/>
    </xf>
    <xf numFmtId="175" fontId="38" fillId="0" borderId="0">
      <protection locked="0"/>
    </xf>
    <xf numFmtId="4" fontId="38" fillId="0" borderId="0">
      <protection locked="0"/>
    </xf>
    <xf numFmtId="176" fontId="38" fillId="0" borderId="0">
      <protection locked="0"/>
    </xf>
    <xf numFmtId="174" fontId="39" fillId="0" borderId="0">
      <protection locked="0"/>
    </xf>
    <xf numFmtId="174" fontId="40" fillId="0" borderId="0">
      <protection locked="0"/>
    </xf>
    <xf numFmtId="182" fontId="52" fillId="0" borderId="0" applyFont="0" applyFill="0" applyBorder="0" applyAlignment="0" applyProtection="0"/>
    <xf numFmtId="183" fontId="52" fillId="0" borderId="0" applyFont="0" applyFill="0" applyBorder="0" applyAlignment="0" applyProtection="0"/>
    <xf numFmtId="0" fontId="45" fillId="2" borderId="0" applyNumberFormat="0" applyBorder="0" applyAlignment="0" applyProtection="0"/>
    <xf numFmtId="0" fontId="45" fillId="3" borderId="0" applyNumberFormat="0" applyBorder="0" applyAlignment="0" applyProtection="0"/>
    <xf numFmtId="0" fontId="45" fillId="4" borderId="0" applyNumberFormat="0" applyBorder="0" applyAlignment="0" applyProtection="0"/>
    <xf numFmtId="0" fontId="45" fillId="5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184" fontId="52" fillId="0" borderId="0" applyFont="0" applyFill="0" applyBorder="0" applyAlignment="0" applyProtection="0"/>
    <xf numFmtId="0" fontId="45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5" borderId="0" applyNumberFormat="0" applyBorder="0" applyAlignment="0" applyProtection="0"/>
    <xf numFmtId="0" fontId="45" fillId="8" borderId="0" applyNumberFormat="0" applyBorder="0" applyAlignment="0" applyProtection="0"/>
    <xf numFmtId="0" fontId="45" fillId="11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73" fillId="39" borderId="0" applyNumberFormat="0" applyBorder="0" applyAlignment="0" applyProtection="0"/>
    <xf numFmtId="0" fontId="53" fillId="12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9" borderId="0" applyNumberFormat="0" applyBorder="0" applyAlignment="0" applyProtection="0"/>
    <xf numFmtId="0" fontId="54" fillId="3" borderId="0" applyNumberFormat="0" applyBorder="0" applyAlignment="0" applyProtection="0"/>
    <xf numFmtId="0" fontId="55" fillId="20" borderId="2" applyNumberFormat="0" applyAlignment="0" applyProtection="0"/>
    <xf numFmtId="0" fontId="56" fillId="21" borderId="3" applyNumberFormat="0" applyAlignment="0" applyProtection="0"/>
    <xf numFmtId="0" fontId="41" fillId="0" borderId="4">
      <alignment horizontal="center"/>
    </xf>
    <xf numFmtId="166" fontId="27" fillId="0" borderId="0" applyFont="0" applyFill="0" applyBorder="0" applyAlignment="0" applyProtection="0"/>
    <xf numFmtId="177" fontId="57" fillId="0" borderId="0" applyFont="0" applyFill="0" applyBorder="0" applyAlignment="0" applyProtection="0"/>
    <xf numFmtId="167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13" fillId="0" borderId="0" applyNumberFormat="0" applyFont="0" applyFill="0" applyBorder="0" applyAlignment="0"/>
    <xf numFmtId="185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58" fillId="0" borderId="0"/>
    <xf numFmtId="0" fontId="59" fillId="0" borderId="0" applyNumberFormat="0" applyFill="0" applyBorder="0" applyAlignment="0" applyProtection="0"/>
    <xf numFmtId="2" fontId="27" fillId="0" borderId="0" applyFont="0" applyFill="0" applyBorder="0" applyAlignment="0" applyProtection="0"/>
    <xf numFmtId="0" fontId="60" fillId="4" borderId="0" applyNumberFormat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5" applyNumberFormat="0" applyFill="0" applyAlignment="0" applyProtection="0"/>
    <xf numFmtId="0" fontId="63" fillId="0" borderId="0" applyNumberFormat="0" applyFill="0" applyBorder="0" applyAlignment="0" applyProtection="0"/>
    <xf numFmtId="172" fontId="52" fillId="0" borderId="0" applyFont="0" applyFill="0" applyBorder="0" applyAlignment="0" applyProtection="0"/>
    <xf numFmtId="0" fontId="64" fillId="7" borderId="2" applyNumberFormat="0" applyAlignment="0" applyProtection="0"/>
    <xf numFmtId="0" fontId="65" fillId="0" borderId="6" applyNumberFormat="0" applyFill="0" applyAlignment="0" applyProtection="0"/>
    <xf numFmtId="189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2" fontId="66" fillId="0" borderId="0" applyFill="0" applyBorder="0"/>
    <xf numFmtId="0" fontId="67" fillId="22" borderId="0" applyNumberFormat="0" applyBorder="0" applyAlignment="0" applyProtection="0"/>
    <xf numFmtId="0" fontId="66" fillId="0" borderId="0"/>
    <xf numFmtId="0" fontId="42" fillId="0" borderId="0"/>
    <xf numFmtId="0" fontId="6" fillId="0" borderId="0">
      <alignment vertical="top"/>
    </xf>
    <xf numFmtId="0" fontId="27" fillId="0" borderId="0"/>
    <xf numFmtId="0" fontId="29" fillId="23" borderId="7" applyNumberFormat="0" applyFont="0" applyAlignment="0" applyProtection="0"/>
    <xf numFmtId="0" fontId="68" fillId="20" borderId="8" applyNumberFormat="0" applyAlignment="0" applyProtection="0"/>
    <xf numFmtId="9" fontId="29" fillId="0" borderId="0" applyFont="0" applyFill="0" applyBorder="0" applyAlignment="0" applyProtection="0"/>
    <xf numFmtId="9" fontId="27" fillId="0" borderId="0" applyFont="0" applyFill="0" applyBorder="0" applyAlignment="0" applyProtection="0"/>
    <xf numFmtId="192" fontId="52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27" fillId="0" borderId="9" applyNumberFormat="0" applyFont="0" applyFill="0" applyAlignment="0" applyProtection="0"/>
    <xf numFmtId="0" fontId="7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74" fillId="0" borderId="0"/>
    <xf numFmtId="0" fontId="73" fillId="0" borderId="0"/>
    <xf numFmtId="0" fontId="8" fillId="0" borderId="0"/>
    <xf numFmtId="0" fontId="73" fillId="0" borderId="0"/>
    <xf numFmtId="0" fontId="73" fillId="0" borderId="0"/>
    <xf numFmtId="0" fontId="29" fillId="0" borderId="0"/>
    <xf numFmtId="0" fontId="73" fillId="0" borderId="0"/>
    <xf numFmtId="0" fontId="73" fillId="0" borderId="0"/>
    <xf numFmtId="0" fontId="7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9" fillId="0" borderId="0"/>
    <xf numFmtId="0" fontId="73" fillId="0" borderId="0"/>
    <xf numFmtId="0" fontId="73" fillId="0" borderId="0"/>
    <xf numFmtId="0" fontId="73" fillId="0" borderId="0"/>
    <xf numFmtId="0" fontId="29" fillId="0" borderId="0"/>
    <xf numFmtId="0" fontId="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" fillId="0" borderId="0"/>
    <xf numFmtId="0" fontId="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3" fillId="0" borderId="0"/>
    <xf numFmtId="0" fontId="75" fillId="0" borderId="0"/>
    <xf numFmtId="0" fontId="73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4" fillId="0" borderId="0"/>
    <xf numFmtId="0" fontId="43" fillId="0" borderId="0"/>
    <xf numFmtId="0" fontId="73" fillId="0" borderId="0"/>
    <xf numFmtId="0" fontId="73" fillId="0" borderId="0"/>
    <xf numFmtId="0" fontId="75" fillId="0" borderId="0"/>
    <xf numFmtId="0" fontId="73" fillId="0" borderId="0"/>
    <xf numFmtId="0" fontId="74" fillId="0" borderId="0"/>
    <xf numFmtId="0" fontId="44" fillId="0" borderId="0"/>
    <xf numFmtId="0" fontId="4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3" fillId="0" borderId="0"/>
    <xf numFmtId="0" fontId="75" fillId="0" borderId="0"/>
    <xf numFmtId="0" fontId="74" fillId="0" borderId="0"/>
    <xf numFmtId="0" fontId="73" fillId="0" borderId="0"/>
    <xf numFmtId="0" fontId="7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5" fillId="0" borderId="0"/>
    <xf numFmtId="0" fontId="27" fillId="0" borderId="0"/>
    <xf numFmtId="0" fontId="74" fillId="0" borderId="0"/>
    <xf numFmtId="0" fontId="27" fillId="0" borderId="0"/>
    <xf numFmtId="0" fontId="4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3" fillId="0" borderId="0"/>
    <xf numFmtId="0" fontId="43" fillId="0" borderId="0"/>
    <xf numFmtId="0" fontId="73" fillId="0" borderId="0"/>
    <xf numFmtId="0" fontId="74" fillId="0" borderId="0"/>
    <xf numFmtId="0" fontId="4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3" fillId="0" borderId="0"/>
    <xf numFmtId="0" fontId="74" fillId="0" borderId="0"/>
    <xf numFmtId="0" fontId="73" fillId="0" borderId="0"/>
    <xf numFmtId="0" fontId="73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73" fillId="0" borderId="0"/>
    <xf numFmtId="0" fontId="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43" fillId="0" borderId="0"/>
    <xf numFmtId="0" fontId="73" fillId="0" borderId="0"/>
    <xf numFmtId="0" fontId="73" fillId="0" borderId="0"/>
    <xf numFmtId="0" fontId="73" fillId="0" borderId="0"/>
    <xf numFmtId="0" fontId="29" fillId="0" borderId="0"/>
    <xf numFmtId="0" fontId="27" fillId="0" borderId="0"/>
    <xf numFmtId="0" fontId="1" fillId="0" borderId="0"/>
    <xf numFmtId="0" fontId="29" fillId="0" borderId="0"/>
    <xf numFmtId="0" fontId="73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7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7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73" fillId="0" borderId="0"/>
    <xf numFmtId="0" fontId="43" fillId="0" borderId="0"/>
    <xf numFmtId="0" fontId="74" fillId="0" borderId="0"/>
    <xf numFmtId="0" fontId="76" fillId="0" borderId="0"/>
    <xf numFmtId="0" fontId="73" fillId="0" borderId="0"/>
    <xf numFmtId="0" fontId="74" fillId="0" borderId="0"/>
    <xf numFmtId="0" fontId="73" fillId="0" borderId="0"/>
    <xf numFmtId="0" fontId="7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27" fillId="0" borderId="0" applyNumberFormat="0" applyFont="0" applyFill="0" applyBorder="0" applyAlignment="0" applyProtection="0">
      <alignment vertical="top"/>
    </xf>
    <xf numFmtId="0" fontId="29" fillId="0" borderId="0"/>
    <xf numFmtId="0" fontId="73" fillId="0" borderId="0"/>
    <xf numFmtId="0" fontId="73" fillId="0" borderId="0"/>
    <xf numFmtId="0" fontId="46" fillId="0" borderId="0"/>
    <xf numFmtId="0" fontId="27" fillId="0" borderId="0"/>
    <xf numFmtId="0" fontId="73" fillId="0" borderId="0"/>
    <xf numFmtId="0" fontId="73" fillId="0" borderId="0"/>
    <xf numFmtId="0" fontId="27" fillId="0" borderId="0"/>
    <xf numFmtId="0" fontId="73" fillId="0" borderId="0"/>
    <xf numFmtId="0" fontId="77" fillId="0" borderId="0"/>
    <xf numFmtId="0" fontId="29" fillId="0" borderId="0"/>
    <xf numFmtId="0" fontId="43" fillId="0" borderId="0"/>
    <xf numFmtId="0" fontId="74" fillId="0" borderId="0"/>
    <xf numFmtId="0" fontId="73" fillId="0" borderId="0"/>
    <xf numFmtId="0" fontId="27" fillId="0" borderId="0" applyNumberFormat="0" applyFont="0" applyFill="0" applyBorder="0" applyAlignment="0" applyProtection="0">
      <alignment vertical="top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27" fillId="0" borderId="0" applyNumberFormat="0" applyFont="0" applyFill="0" applyBorder="0" applyAlignment="0" applyProtection="0">
      <alignment vertical="top"/>
    </xf>
    <xf numFmtId="0" fontId="27" fillId="0" borderId="0" applyNumberFormat="0" applyFont="0" applyFill="0" applyBorder="0" applyAlignment="0" applyProtection="0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29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74" fillId="0" borderId="0"/>
    <xf numFmtId="0" fontId="29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" fillId="0" borderId="0"/>
    <xf numFmtId="0" fontId="73" fillId="0" borderId="0"/>
    <xf numFmtId="0" fontId="8" fillId="0" borderId="0"/>
    <xf numFmtId="0" fontId="73" fillId="0" borderId="0"/>
    <xf numFmtId="0" fontId="8" fillId="0" borderId="0"/>
    <xf numFmtId="0" fontId="73" fillId="0" borderId="0"/>
    <xf numFmtId="0" fontId="8" fillId="0" borderId="0"/>
    <xf numFmtId="0" fontId="73" fillId="0" borderId="0"/>
    <xf numFmtId="0" fontId="8" fillId="0" borderId="0"/>
    <xf numFmtId="0" fontId="73" fillId="0" borderId="0"/>
    <xf numFmtId="0" fontId="8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43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9" fillId="0" borderId="0"/>
    <xf numFmtId="0" fontId="27" fillId="0" borderId="0"/>
    <xf numFmtId="0" fontId="74" fillId="0" borderId="0"/>
    <xf numFmtId="0" fontId="74" fillId="0" borderId="0"/>
    <xf numFmtId="0" fontId="2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9" fillId="0" borderId="0"/>
    <xf numFmtId="0" fontId="74" fillId="0" borderId="0"/>
    <xf numFmtId="0" fontId="7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73" fillId="0" borderId="0"/>
    <xf numFmtId="0" fontId="4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9" fillId="0" borderId="0"/>
    <xf numFmtId="0" fontId="74" fillId="0" borderId="0"/>
    <xf numFmtId="0" fontId="74" fillId="0" borderId="0"/>
    <xf numFmtId="0" fontId="29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73" fillId="0" borderId="0"/>
    <xf numFmtId="0" fontId="29" fillId="0" borderId="0"/>
    <xf numFmtId="0" fontId="2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9" fillId="0" borderId="0"/>
    <xf numFmtId="0" fontId="75" fillId="0" borderId="0"/>
    <xf numFmtId="0" fontId="75" fillId="0" borderId="0"/>
    <xf numFmtId="0" fontId="29" fillId="0" borderId="0"/>
    <xf numFmtId="0" fontId="75" fillId="0" borderId="0"/>
    <xf numFmtId="0" fontId="75" fillId="0" borderId="0"/>
    <xf numFmtId="0" fontId="29" fillId="0" borderId="0"/>
    <xf numFmtId="0" fontId="29" fillId="0" borderId="0"/>
    <xf numFmtId="0" fontId="28" fillId="0" borderId="0"/>
    <xf numFmtId="0" fontId="73" fillId="0" borderId="0"/>
    <xf numFmtId="0" fontId="29" fillId="0" borderId="0"/>
    <xf numFmtId="0" fontId="73" fillId="0" borderId="0"/>
    <xf numFmtId="0" fontId="73" fillId="0" borderId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0" fontId="45" fillId="40" borderId="24" applyNumberFormat="0" applyFont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7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3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78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70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2" fontId="4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9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5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79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4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48" fillId="0" borderId="0" applyFont="0" applyFill="0" applyBorder="0" applyAlignment="0" applyProtection="0"/>
    <xf numFmtId="181" fontId="43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77" fontId="27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36" fillId="0" borderId="0">
      <protection locked="0"/>
    </xf>
  </cellStyleXfs>
  <cellXfs count="600">
    <xf numFmtId="0" fontId="0" fillId="0" borderId="0" xfId="0"/>
    <xf numFmtId="0" fontId="2" fillId="0" borderId="0" xfId="0" applyFont="1"/>
    <xf numFmtId="0" fontId="2" fillId="0" borderId="0" xfId="0" applyFont="1" applyProtection="1">
      <protection hidden="1"/>
    </xf>
    <xf numFmtId="0" fontId="5" fillId="0" borderId="0" xfId="0" applyFont="1" applyBorder="1"/>
    <xf numFmtId="3" fontId="2" fillId="0" borderId="10" xfId="0" applyNumberFormat="1" applyFont="1" applyBorder="1" applyProtection="1"/>
    <xf numFmtId="0" fontId="5" fillId="0" borderId="0" xfId="0" applyFont="1" applyBorder="1" applyProtection="1"/>
    <xf numFmtId="3" fontId="2" fillId="0" borderId="11" xfId="0" applyNumberFormat="1" applyFont="1" applyBorder="1" applyProtection="1">
      <protection locked="0"/>
    </xf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Alignment="1">
      <alignment horizontal="centerContinuous"/>
    </xf>
    <xf numFmtId="0" fontId="2" fillId="0" borderId="0" xfId="0" applyFont="1" applyAlignment="1">
      <alignment vertical="center"/>
    </xf>
    <xf numFmtId="3" fontId="2" fillId="0" borderId="10" xfId="0" applyNumberFormat="1" applyFont="1" applyFill="1" applyBorder="1" applyProtection="1"/>
    <xf numFmtId="0" fontId="3" fillId="0" borderId="0" xfId="0" applyFont="1" applyBorder="1" applyAlignment="1">
      <alignment horizontal="center" vertical="center" shrinkToFit="1"/>
    </xf>
    <xf numFmtId="0" fontId="12" fillId="0" borderId="0" xfId="0" applyFont="1"/>
    <xf numFmtId="0" fontId="3" fillId="0" borderId="12" xfId="0" applyFont="1" applyBorder="1" applyAlignment="1">
      <alignment horizontal="center"/>
    </xf>
    <xf numFmtId="3" fontId="6" fillId="0" borderId="11" xfId="0" applyNumberFormat="1" applyFont="1" applyBorder="1" applyAlignment="1" applyProtection="1">
      <alignment horizontal="right"/>
      <protection locked="0"/>
    </xf>
    <xf numFmtId="0" fontId="4" fillId="0" borderId="0" xfId="0" applyFont="1" applyBorder="1"/>
    <xf numFmtId="49" fontId="2" fillId="0" borderId="0" xfId="0" applyNumberFormat="1" applyFont="1"/>
    <xf numFmtId="9" fontId="2" fillId="0" borderId="0" xfId="1109" applyFont="1"/>
    <xf numFmtId="3" fontId="6" fillId="0" borderId="11" xfId="0" applyNumberFormat="1" applyFont="1" applyBorder="1" applyAlignment="1" applyProtection="1">
      <alignment horizontal="right"/>
    </xf>
    <xf numFmtId="3" fontId="6" fillId="24" borderId="11" xfId="0" applyNumberFormat="1" applyFont="1" applyFill="1" applyBorder="1" applyAlignment="1" applyProtection="1">
      <alignment horizontal="right"/>
    </xf>
    <xf numFmtId="3" fontId="2" fillId="0" borderId="0" xfId="1109" applyNumberFormat="1" applyFont="1"/>
    <xf numFmtId="3" fontId="2" fillId="0" borderId="0" xfId="0" applyNumberFormat="1" applyFont="1" applyFill="1"/>
    <xf numFmtId="49" fontId="2" fillId="0" borderId="0" xfId="0" applyNumberFormat="1" applyFont="1" applyFill="1"/>
    <xf numFmtId="9" fontId="2" fillId="0" borderId="0" xfId="1109" applyFont="1" applyFill="1"/>
    <xf numFmtId="3" fontId="2" fillId="0" borderId="0" xfId="1109" applyNumberFormat="1" applyFont="1" applyFill="1"/>
    <xf numFmtId="170" fontId="5" fillId="0" borderId="0" xfId="0" applyNumberFormat="1" applyFont="1" applyAlignment="1">
      <alignment horizontal="centerContinuous"/>
    </xf>
    <xf numFmtId="3" fontId="2" fillId="0" borderId="0" xfId="0" applyNumberFormat="1" applyFont="1" applyProtection="1"/>
    <xf numFmtId="3" fontId="2" fillId="0" borderId="10" xfId="0" applyNumberFormat="1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3" fontId="2" fillId="0" borderId="10" xfId="0" applyNumberFormat="1" applyFont="1" applyBorder="1" applyAlignment="1" applyProtection="1">
      <alignment vertical="center"/>
    </xf>
    <xf numFmtId="3" fontId="2" fillId="0" borderId="10" xfId="0" applyNumberFormat="1" applyFont="1" applyFill="1" applyBorder="1" applyAlignment="1" applyProtection="1">
      <alignment vertical="center"/>
    </xf>
    <xf numFmtId="3" fontId="1" fillId="0" borderId="10" xfId="0" applyNumberFormat="1" applyFont="1" applyFill="1" applyBorder="1" applyAlignment="1" applyProtection="1">
      <alignment vertical="center"/>
      <protection locked="0"/>
    </xf>
    <xf numFmtId="3" fontId="1" fillId="0" borderId="10" xfId="0" applyNumberFormat="1" applyFont="1" applyBorder="1" applyAlignment="1" applyProtection="1">
      <alignment vertical="center"/>
      <protection locked="0"/>
    </xf>
    <xf numFmtId="3" fontId="5" fillId="0" borderId="0" xfId="0" applyNumberFormat="1" applyFont="1" applyBorder="1" applyAlignment="1">
      <alignment horizontal="centerContinuous" vertical="center"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3" fontId="2" fillId="0" borderId="10" xfId="0" quotePrefix="1" applyNumberFormat="1" applyFont="1" applyFill="1" applyBorder="1" applyAlignment="1" applyProtection="1">
      <alignment horizontal="left" vertical="center" wrapText="1" indent="2"/>
    </xf>
    <xf numFmtId="3" fontId="2" fillId="0" borderId="10" xfId="0" quotePrefix="1" applyNumberFormat="1" applyFont="1" applyFill="1" applyBorder="1" applyAlignment="1" applyProtection="1">
      <alignment horizontal="left" vertical="center" wrapText="1" indent="4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25" fillId="0" borderId="10" xfId="0" applyFont="1" applyFill="1" applyBorder="1" applyAlignment="1">
      <alignment vertical="center" wrapText="1"/>
    </xf>
    <xf numFmtId="3" fontId="1" fillId="0" borderId="10" xfId="0" applyNumberFormat="1" applyFont="1" applyFill="1" applyBorder="1" applyAlignment="1">
      <alignment vertical="center" wrapText="1"/>
    </xf>
    <xf numFmtId="3" fontId="0" fillId="0" borderId="10" xfId="0" applyNumberFormat="1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3" fontId="1" fillId="0" borderId="10" xfId="0" applyNumberFormat="1" applyFont="1" applyFill="1" applyBorder="1" applyAlignment="1">
      <alignment horizontal="center" vertical="center" wrapText="1"/>
    </xf>
    <xf numFmtId="3" fontId="0" fillId="0" borderId="10" xfId="0" applyNumberForma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9" fontId="1" fillId="0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0" fontId="2" fillId="0" borderId="0" xfId="0" applyFont="1" applyProtection="1"/>
    <xf numFmtId="0" fontId="1" fillId="0" borderId="13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left" vertical="center" wrapText="1" indent="2"/>
    </xf>
    <xf numFmtId="0" fontId="1" fillId="0" borderId="12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left" vertical="center" wrapText="1" indent="4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left" wrapText="1" indent="2"/>
    </xf>
    <xf numFmtId="0" fontId="2" fillId="0" borderId="0" xfId="0" applyFont="1" applyBorder="1" applyProtection="1"/>
    <xf numFmtId="0" fontId="4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5" fillId="0" borderId="0" xfId="0" applyFont="1" applyProtection="1"/>
    <xf numFmtId="0" fontId="25" fillId="0" borderId="13" xfId="0" applyFont="1" applyBorder="1" applyAlignment="1" applyProtection="1">
      <alignment horizontal="center" vertical="center"/>
    </xf>
    <xf numFmtId="0" fontId="25" fillId="0" borderId="12" xfId="0" applyFont="1" applyBorder="1" applyAlignment="1" applyProtection="1">
      <alignment horizontal="left" vertical="center" wrapText="1" indent="2"/>
    </xf>
    <xf numFmtId="3" fontId="25" fillId="0" borderId="10" xfId="0" applyNumberFormat="1" applyFont="1" applyBorder="1" applyAlignment="1" applyProtection="1">
      <alignment vertical="center"/>
    </xf>
    <xf numFmtId="3" fontId="25" fillId="0" borderId="10" xfId="0" applyNumberFormat="1" applyFont="1" applyBorder="1" applyAlignment="1" applyProtection="1">
      <alignment vertical="center"/>
      <protection locked="0"/>
    </xf>
    <xf numFmtId="9" fontId="2" fillId="0" borderId="10" xfId="1109" applyFont="1" applyBorder="1" applyAlignment="1" applyProtection="1">
      <alignment vertical="center"/>
    </xf>
    <xf numFmtId="3" fontId="2" fillId="0" borderId="10" xfId="1109" applyNumberFormat="1" applyFont="1" applyBorder="1" applyAlignment="1" applyProtection="1">
      <alignment vertical="center"/>
    </xf>
    <xf numFmtId="9" fontId="2" fillId="0" borderId="10" xfId="1109" applyFont="1" applyFill="1" applyBorder="1" applyAlignment="1" applyProtection="1">
      <alignment vertical="center"/>
    </xf>
    <xf numFmtId="3" fontId="2" fillId="0" borderId="10" xfId="1109" applyNumberFormat="1" applyFont="1" applyFill="1" applyBorder="1" applyAlignment="1" applyProtection="1">
      <alignment vertical="center"/>
    </xf>
    <xf numFmtId="3" fontId="5" fillId="0" borderId="10" xfId="0" applyNumberFormat="1" applyFont="1" applyBorder="1" applyAlignment="1" applyProtection="1">
      <alignment horizontal="left" vertical="center" wrapText="1" indent="2"/>
    </xf>
    <xf numFmtId="3" fontId="2" fillId="0" borderId="10" xfId="0" applyNumberFormat="1" applyFont="1" applyBorder="1" applyAlignment="1" applyProtection="1">
      <alignment horizontal="left" vertical="center" wrapText="1" indent="1"/>
    </xf>
    <xf numFmtId="3" fontId="2" fillId="0" borderId="10" xfId="0" applyNumberFormat="1" applyFont="1" applyFill="1" applyBorder="1" applyAlignment="1" applyProtection="1">
      <alignment horizontal="left" vertical="center" wrapText="1" indent="1"/>
    </xf>
    <xf numFmtId="3" fontId="5" fillId="0" borderId="10" xfId="0" applyNumberFormat="1" applyFont="1" applyFill="1" applyBorder="1" applyAlignment="1" applyProtection="1">
      <alignment horizontal="left" vertical="center" wrapText="1" indent="1"/>
    </xf>
    <xf numFmtId="3" fontId="2" fillId="0" borderId="10" xfId="0" quotePrefix="1" applyNumberFormat="1" applyFont="1" applyFill="1" applyBorder="1" applyAlignment="1" applyProtection="1">
      <alignment horizontal="left" vertical="center" wrapText="1" indent="1"/>
    </xf>
    <xf numFmtId="3" fontId="26" fillId="0" borderId="10" xfId="0" quotePrefix="1" applyNumberFormat="1" applyFont="1" applyFill="1" applyBorder="1" applyAlignment="1" applyProtection="1">
      <alignment horizontal="center" vertical="center" wrapText="1"/>
    </xf>
    <xf numFmtId="3" fontId="25" fillId="0" borderId="10" xfId="0" applyNumberFormat="1" applyFont="1" applyFill="1" applyBorder="1" applyAlignment="1" applyProtection="1">
      <alignment horizontal="left" vertical="center" wrapText="1" indent="1"/>
    </xf>
    <xf numFmtId="3" fontId="25" fillId="0" borderId="10" xfId="1109" applyNumberFormat="1" applyFont="1" applyFill="1" applyBorder="1" applyAlignment="1" applyProtection="1">
      <alignment vertical="center"/>
    </xf>
    <xf numFmtId="0" fontId="7" fillId="0" borderId="0" xfId="0" applyFont="1" applyAlignment="1">
      <alignment vertical="center"/>
    </xf>
    <xf numFmtId="0" fontId="79" fillId="0" borderId="0" xfId="0" applyFont="1" applyProtection="1">
      <protection hidden="1"/>
    </xf>
    <xf numFmtId="0" fontId="9" fillId="0" borderId="0" xfId="0" applyFont="1" applyAlignment="1" applyProtection="1">
      <alignment horizontal="center" vertical="center" wrapText="1"/>
    </xf>
    <xf numFmtId="0" fontId="1" fillId="0" borderId="0" xfId="0" applyFont="1" applyFill="1" applyProtection="1"/>
    <xf numFmtId="0" fontId="23" fillId="0" borderId="0" xfId="0" quotePrefix="1" applyNumberFormat="1" applyFont="1" applyFill="1" applyBorder="1" applyAlignment="1" applyProtection="1">
      <alignment horizontal="left"/>
    </xf>
    <xf numFmtId="0" fontId="1" fillId="0" borderId="12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left" vertical="center" indent="1"/>
    </xf>
    <xf numFmtId="3" fontId="6" fillId="0" borderId="11" xfId="0" applyNumberFormat="1" applyFont="1" applyBorder="1" applyProtection="1"/>
    <xf numFmtId="0" fontId="2" fillId="0" borderId="12" xfId="0" applyFont="1" applyBorder="1" applyAlignment="1" applyProtection="1">
      <alignment horizontal="left" vertical="center" indent="2"/>
    </xf>
    <xf numFmtId="0" fontId="1" fillId="0" borderId="0" xfId="0" applyFont="1" applyBorder="1" applyProtection="1"/>
    <xf numFmtId="0" fontId="1" fillId="0" borderId="0" xfId="0" applyFont="1" applyProtection="1"/>
    <xf numFmtId="0" fontId="1" fillId="0" borderId="12" xfId="0" applyFont="1" applyFill="1" applyBorder="1" applyAlignment="1" applyProtection="1">
      <alignment horizontal="center" vertical="center" wrapText="1"/>
    </xf>
    <xf numFmtId="3" fontId="80" fillId="0" borderId="11" xfId="0" applyNumberFormat="1" applyFont="1" applyBorder="1" applyAlignment="1" applyProtection="1">
      <alignment horizontal="right"/>
    </xf>
    <xf numFmtId="0" fontId="2" fillId="0" borderId="12" xfId="0" applyFont="1" applyBorder="1" applyAlignment="1" applyProtection="1">
      <alignment horizontal="left" vertical="center" indent="3"/>
    </xf>
    <xf numFmtId="3" fontId="6" fillId="0" borderId="10" xfId="0" applyNumberFormat="1" applyFont="1" applyBorder="1" applyAlignment="1" applyProtection="1">
      <alignment horizontal="right" wrapText="1"/>
    </xf>
    <xf numFmtId="0" fontId="4" fillId="0" borderId="12" xfId="0" applyFont="1" applyBorder="1" applyAlignment="1" applyProtection="1">
      <alignment horizontal="center"/>
    </xf>
    <xf numFmtId="3" fontId="16" fillId="0" borderId="10" xfId="0" applyNumberFormat="1" applyFont="1" applyBorder="1" applyAlignment="1" applyProtection="1">
      <alignment horizontal="right"/>
    </xf>
    <xf numFmtId="0" fontId="2" fillId="0" borderId="12" xfId="0" applyFont="1" applyBorder="1" applyProtection="1"/>
    <xf numFmtId="0" fontId="5" fillId="0" borderId="12" xfId="0" applyFont="1" applyBorder="1" applyAlignment="1" applyProtection="1">
      <alignment horizontal="left"/>
    </xf>
    <xf numFmtId="0" fontId="5" fillId="0" borderId="12" xfId="0" applyFont="1" applyBorder="1" applyProtection="1"/>
    <xf numFmtId="0" fontId="2" fillId="0" borderId="12" xfId="0" applyFont="1" applyBorder="1" applyAlignment="1" applyProtection="1">
      <alignment horizontal="left" vertical="center" wrapText="1" indent="1"/>
    </xf>
    <xf numFmtId="0" fontId="5" fillId="0" borderId="12" xfId="0" applyFont="1" applyBorder="1" applyAlignment="1" applyProtection="1">
      <alignment horizontal="left" vertical="center" indent="1"/>
    </xf>
    <xf numFmtId="3" fontId="16" fillId="24" borderId="11" xfId="0" applyNumberFormat="1" applyFont="1" applyFill="1" applyBorder="1" applyAlignment="1" applyProtection="1">
      <alignment horizontal="right"/>
    </xf>
    <xf numFmtId="0" fontId="1" fillId="0" borderId="12" xfId="383" applyNumberFormat="1" applyFont="1" applyFill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left" vertical="center" indent="1"/>
    </xf>
    <xf numFmtId="0" fontId="2" fillId="0" borderId="10" xfId="0" applyFont="1" applyBorder="1" applyAlignment="1" applyProtection="1">
      <alignment horizontal="left" vertical="center" indent="2"/>
    </xf>
    <xf numFmtId="0" fontId="4" fillId="0" borderId="12" xfId="0" applyFont="1" applyFill="1" applyBorder="1" applyAlignment="1" applyProtection="1">
      <alignment horizontal="center" vertical="center"/>
    </xf>
    <xf numFmtId="3" fontId="16" fillId="0" borderId="11" xfId="0" applyNumberFormat="1" applyFont="1" applyBorder="1" applyAlignment="1" applyProtection="1">
      <alignment horizontal="right"/>
    </xf>
    <xf numFmtId="0" fontId="5" fillId="0" borderId="13" xfId="0" applyFont="1" applyBorder="1" applyAlignment="1" applyProtection="1">
      <alignment horizontal="left" vertical="center" indent="1"/>
    </xf>
    <xf numFmtId="3" fontId="6" fillId="0" borderId="11" xfId="0" applyNumberFormat="1" applyFont="1" applyFill="1" applyBorder="1" applyAlignment="1" applyProtection="1">
      <alignment horizontal="right"/>
      <protection locked="0"/>
    </xf>
    <xf numFmtId="3" fontId="6" fillId="24" borderId="11" xfId="0" applyNumberFormat="1" applyFont="1" applyFill="1" applyBorder="1" applyAlignment="1" applyProtection="1">
      <alignment horizontal="right"/>
      <protection locked="0"/>
    </xf>
    <xf numFmtId="169" fontId="20" fillId="0" borderId="0" xfId="1122" applyNumberFormat="1" applyFont="1" applyBorder="1" applyAlignment="1" applyProtection="1">
      <alignment horizontal="center" vertical="center" wrapText="1"/>
    </xf>
    <xf numFmtId="0" fontId="18" fillId="0" borderId="0" xfId="0" applyFont="1" applyProtection="1"/>
    <xf numFmtId="0" fontId="18" fillId="0" borderId="0" xfId="0" applyFont="1" applyBorder="1" applyAlignment="1" applyProtection="1">
      <alignment wrapText="1"/>
    </xf>
    <xf numFmtId="0" fontId="18" fillId="0" borderId="0" xfId="0" applyFont="1" applyAlignment="1" applyProtection="1">
      <alignment vertical="center"/>
    </xf>
    <xf numFmtId="0" fontId="18" fillId="0" borderId="10" xfId="0" applyFont="1" applyBorder="1" applyAlignment="1" applyProtection="1">
      <alignment horizontal="center" wrapText="1"/>
    </xf>
    <xf numFmtId="0" fontId="17" fillId="0" borderId="10" xfId="0" applyFont="1" applyBorder="1" applyAlignment="1" applyProtection="1">
      <alignment horizontal="center" vertical="center"/>
    </xf>
    <xf numFmtId="169" fontId="17" fillId="0" borderId="10" xfId="1122" applyNumberFormat="1" applyFont="1" applyBorder="1" applyAlignment="1" applyProtection="1">
      <alignment horizontal="left" vertical="center"/>
    </xf>
    <xf numFmtId="3" fontId="17" fillId="0" borderId="10" xfId="1122" applyNumberFormat="1" applyFont="1" applyBorder="1" applyAlignment="1" applyProtection="1">
      <alignment horizontal="center" vertical="center"/>
    </xf>
    <xf numFmtId="0" fontId="18" fillId="0" borderId="10" xfId="0" applyFont="1" applyFill="1" applyBorder="1" applyAlignment="1" applyProtection="1">
      <alignment horizontal="center" wrapText="1"/>
    </xf>
    <xf numFmtId="3" fontId="18" fillId="0" borderId="10" xfId="1122" applyNumberFormat="1" applyFont="1" applyFill="1" applyBorder="1" applyAlignment="1" applyProtection="1">
      <alignment horizontal="center" wrapText="1"/>
    </xf>
    <xf numFmtId="3" fontId="24" fillId="0" borderId="10" xfId="1122" applyNumberFormat="1" applyFont="1" applyFill="1" applyBorder="1" applyAlignment="1" applyProtection="1">
      <alignment horizontal="center" wrapText="1"/>
    </xf>
    <xf numFmtId="0" fontId="17" fillId="0" borderId="10" xfId="0" applyFont="1" applyFill="1" applyBorder="1" applyAlignment="1" applyProtection="1">
      <alignment horizontal="center" vertical="center" wrapText="1"/>
    </xf>
    <xf numFmtId="0" fontId="17" fillId="0" borderId="10" xfId="0" applyFont="1" applyFill="1" applyBorder="1" applyAlignment="1" applyProtection="1">
      <alignment horizontal="left" vertical="center" wrapText="1" indent="2"/>
    </xf>
    <xf numFmtId="0" fontId="22" fillId="0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vertical="center"/>
    </xf>
    <xf numFmtId="0" fontId="17" fillId="0" borderId="10" xfId="0" applyFont="1" applyFill="1" applyBorder="1" applyAlignment="1" applyProtection="1">
      <alignment horizontal="left" vertical="center" indent="2"/>
    </xf>
    <xf numFmtId="0" fontId="18" fillId="0" borderId="10" xfId="0" applyFont="1" applyFill="1" applyBorder="1" applyAlignment="1" applyProtection="1">
      <alignment horizontal="center" vertical="center" wrapText="1"/>
    </xf>
    <xf numFmtId="0" fontId="24" fillId="0" borderId="10" xfId="0" applyFont="1" applyFill="1" applyBorder="1" applyAlignment="1" applyProtection="1">
      <alignment horizontal="center" wrapText="1"/>
    </xf>
    <xf numFmtId="0" fontId="24" fillId="0" borderId="0" xfId="0" applyFont="1" applyProtection="1"/>
    <xf numFmtId="0" fontId="24" fillId="0" borderId="10" xfId="0" applyFont="1" applyFill="1" applyBorder="1" applyAlignment="1" applyProtection="1">
      <alignment horizontal="center" vertical="center" wrapText="1"/>
    </xf>
    <xf numFmtId="0" fontId="24" fillId="0" borderId="0" xfId="0" applyFont="1" applyAlignment="1" applyProtection="1">
      <alignment vertical="center"/>
    </xf>
    <xf numFmtId="0" fontId="18" fillId="0" borderId="10" xfId="0" applyFont="1" applyBorder="1" applyAlignment="1" applyProtection="1">
      <alignment horizontal="center" vertical="center" wrapText="1"/>
    </xf>
    <xf numFmtId="0" fontId="17" fillId="0" borderId="10" xfId="0" applyFont="1" applyBorder="1" applyAlignment="1" applyProtection="1">
      <alignment horizontal="left" vertical="center" indent="2"/>
    </xf>
    <xf numFmtId="0" fontId="17" fillId="0" borderId="10" xfId="0" applyFont="1" applyBorder="1" applyAlignment="1" applyProtection="1">
      <alignment horizontal="left" vertical="center" wrapText="1" indent="2"/>
    </xf>
    <xf numFmtId="3" fontId="24" fillId="0" borderId="10" xfId="1122" applyNumberFormat="1" applyFont="1" applyBorder="1" applyAlignment="1" applyProtection="1">
      <alignment horizontal="center" vertical="center" wrapText="1"/>
    </xf>
    <xf numFmtId="0" fontId="18" fillId="0" borderId="0" xfId="0" applyFont="1" applyFill="1" applyAlignment="1" applyProtection="1">
      <alignment vertical="center"/>
    </xf>
    <xf numFmtId="0" fontId="28" fillId="0" borderId="10" xfId="0" applyFont="1" applyFill="1" applyBorder="1" applyAlignment="1" applyProtection="1">
      <alignment horizontal="center" vertical="center" wrapText="1"/>
    </xf>
    <xf numFmtId="0" fontId="28" fillId="0" borderId="10" xfId="0" applyFont="1" applyFill="1" applyBorder="1" applyAlignment="1" applyProtection="1">
      <alignment horizontal="left" vertical="center" wrapText="1" indent="2"/>
    </xf>
    <xf numFmtId="3" fontId="28" fillId="0" borderId="10" xfId="1122" applyNumberFormat="1" applyFont="1" applyFill="1" applyBorder="1" applyAlignment="1" applyProtection="1">
      <alignment horizontal="center"/>
    </xf>
    <xf numFmtId="0" fontId="28" fillId="0" borderId="0" xfId="0" applyFont="1" applyFill="1" applyAlignment="1" applyProtection="1">
      <alignment vertical="center"/>
    </xf>
    <xf numFmtId="0" fontId="28" fillId="0" borderId="10" xfId="0" applyFont="1" applyBorder="1" applyAlignment="1" applyProtection="1">
      <alignment horizontal="center" vertical="center" wrapText="1"/>
    </xf>
    <xf numFmtId="0" fontId="28" fillId="0" borderId="10" xfId="0" applyFont="1" applyBorder="1" applyAlignment="1" applyProtection="1">
      <alignment horizontal="left" vertical="center" wrapText="1" indent="2"/>
    </xf>
    <xf numFmtId="0" fontId="28" fillId="0" borderId="0" xfId="0" applyFont="1" applyAlignment="1" applyProtection="1">
      <alignment vertical="center"/>
    </xf>
    <xf numFmtId="0" fontId="17" fillId="0" borderId="0" xfId="0" applyFont="1" applyBorder="1" applyProtection="1"/>
    <xf numFmtId="169" fontId="18" fillId="0" borderId="0" xfId="1122" applyNumberFormat="1" applyFont="1" applyProtection="1"/>
    <xf numFmtId="0" fontId="17" fillId="0" borderId="0" xfId="0" applyFont="1" applyFill="1" applyBorder="1" applyAlignment="1" applyProtection="1">
      <alignment horizontal="right"/>
    </xf>
    <xf numFmtId="170" fontId="18" fillId="0" borderId="0" xfId="0" applyNumberFormat="1" applyFont="1" applyBorder="1" applyAlignment="1" applyProtection="1">
      <alignment wrapText="1"/>
    </xf>
    <xf numFmtId="3" fontId="28" fillId="0" borderId="10" xfId="1122" applyNumberFormat="1" applyFont="1" applyBorder="1" applyAlignment="1" applyProtection="1">
      <alignment horizontal="center" vertical="center"/>
      <protection locked="0"/>
    </xf>
    <xf numFmtId="3" fontId="17" fillId="0" borderId="10" xfId="1122" applyNumberFormat="1" applyFont="1" applyBorder="1" applyAlignment="1" applyProtection="1">
      <alignment horizontal="center" vertical="center"/>
      <protection locked="0"/>
    </xf>
    <xf numFmtId="3" fontId="18" fillId="0" borderId="10" xfId="1122" applyNumberFormat="1" applyFont="1" applyFill="1" applyBorder="1" applyAlignment="1" applyProtection="1">
      <alignment horizontal="center" wrapText="1"/>
      <protection locked="0"/>
    </xf>
    <xf numFmtId="0" fontId="24" fillId="0" borderId="10" xfId="0" applyFont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left" vertical="center" wrapText="1" indent="2"/>
    </xf>
    <xf numFmtId="10" fontId="24" fillId="0" borderId="10" xfId="1109" applyNumberFormat="1" applyFont="1" applyFill="1" applyBorder="1" applyAlignment="1" applyProtection="1">
      <alignment horizontal="center" vertical="center"/>
    </xf>
    <xf numFmtId="0" fontId="1" fillId="41" borderId="10" xfId="0" applyFont="1" applyFill="1" applyBorder="1" applyAlignment="1">
      <alignment vertical="center" wrapText="1"/>
    </xf>
    <xf numFmtId="9" fontId="1" fillId="41" borderId="10" xfId="0" applyNumberFormat="1" applyFont="1" applyFill="1" applyBorder="1" applyAlignment="1">
      <alignment vertical="center" wrapText="1"/>
    </xf>
    <xf numFmtId="3" fontId="0" fillId="0" borderId="10" xfId="0" applyNumberFormat="1" applyFont="1" applyFill="1" applyBorder="1" applyAlignment="1">
      <alignment vertical="center" wrapText="1"/>
    </xf>
    <xf numFmtId="3" fontId="25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vertical="center" wrapText="1"/>
    </xf>
    <xf numFmtId="0" fontId="7" fillId="0" borderId="10" xfId="0" applyFont="1" applyBorder="1" applyProtection="1"/>
    <xf numFmtId="3" fontId="2" fillId="0" borderId="10" xfId="0" applyNumberFormat="1" applyFont="1" applyFill="1" applyBorder="1" applyAlignment="1" applyProtection="1"/>
    <xf numFmtId="168" fontId="2" fillId="0" borderId="10" xfId="0" applyNumberFormat="1" applyFont="1" applyFill="1" applyBorder="1" applyAlignment="1" applyProtection="1"/>
    <xf numFmtId="3" fontId="2" fillId="25" borderId="4" xfId="0" applyNumberFormat="1" applyFont="1" applyFill="1" applyBorder="1" applyAlignment="1" applyProtection="1"/>
    <xf numFmtId="3" fontId="2" fillId="25" borderId="11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49" fontId="5" fillId="0" borderId="0" xfId="0" quotePrefix="1" applyNumberFormat="1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horizontal="left"/>
    </xf>
    <xf numFmtId="0" fontId="2" fillId="0" borderId="10" xfId="0" applyFont="1" applyBorder="1" applyProtection="1"/>
    <xf numFmtId="0" fontId="5" fillId="0" borderId="10" xfId="0" applyFont="1" applyBorder="1" applyProtection="1"/>
    <xf numFmtId="3" fontId="2" fillId="25" borderId="10" xfId="0" applyNumberFormat="1" applyFont="1" applyFill="1" applyBorder="1" applyAlignment="1" applyProtection="1"/>
    <xf numFmtId="0" fontId="2" fillId="0" borderId="10" xfId="0" quotePrefix="1" applyFont="1" applyBorder="1" applyAlignment="1" applyProtection="1">
      <alignment horizontal="left" wrapText="1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vertical="center" wrapText="1"/>
    </xf>
    <xf numFmtId="0" fontId="5" fillId="0" borderId="10" xfId="0" quotePrefix="1" applyFont="1" applyBorder="1" applyAlignment="1" applyProtection="1">
      <alignment horizontal="left" vertical="center" wrapText="1"/>
    </xf>
    <xf numFmtId="3" fontId="2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18" fillId="0" borderId="10" xfId="1122" applyNumberFormat="1" applyFont="1" applyFill="1" applyBorder="1" applyAlignment="1" applyProtection="1">
      <alignment horizontal="center" vertical="center" wrapText="1"/>
      <protection locked="0"/>
    </xf>
    <xf numFmtId="3" fontId="24" fillId="0" borderId="10" xfId="1122" applyNumberFormat="1" applyFont="1" applyFill="1" applyBorder="1" applyAlignment="1" applyProtection="1">
      <alignment horizontal="center" vertical="center" wrapText="1"/>
      <protection locked="0"/>
    </xf>
    <xf numFmtId="3" fontId="24" fillId="0" borderId="10" xfId="1122" applyNumberFormat="1" applyFont="1" applyFill="1" applyBorder="1" applyAlignment="1" applyProtection="1">
      <alignment horizontal="center" vertical="center" wrapText="1"/>
    </xf>
    <xf numFmtId="3" fontId="28" fillId="0" borderId="10" xfId="1122" applyNumberFormat="1" applyFont="1" applyFill="1" applyBorder="1" applyAlignment="1" applyProtection="1">
      <alignment horizontal="center" vertical="center" wrapText="1"/>
      <protection locked="0"/>
    </xf>
    <xf numFmtId="167" fontId="81" fillId="0" borderId="0" xfId="1122" applyFont="1" applyFill="1" applyBorder="1" applyAlignment="1" applyProtection="1">
      <alignment vertical="center"/>
    </xf>
    <xf numFmtId="0" fontId="82" fillId="0" borderId="0" xfId="0" applyFont="1" applyProtection="1"/>
    <xf numFmtId="0" fontId="82" fillId="0" borderId="0" xfId="0" applyFont="1" applyBorder="1" applyProtection="1"/>
    <xf numFmtId="0" fontId="1" fillId="0" borderId="10" xfId="0" applyFont="1" applyBorder="1" applyAlignment="1" applyProtection="1">
      <alignment horizontal="left" vertical="center" indent="2"/>
    </xf>
    <xf numFmtId="0" fontId="4" fillId="0" borderId="12" xfId="0" applyFont="1" applyBorder="1" applyAlignment="1" applyProtection="1">
      <alignment horizontal="left" vertical="center" indent="2"/>
    </xf>
    <xf numFmtId="0" fontId="1" fillId="0" borderId="12" xfId="383" applyNumberFormat="1" applyFont="1" applyBorder="1" applyAlignment="1" applyProtection="1">
      <alignment horizontal="left" vertical="center" indent="1"/>
    </xf>
    <xf numFmtId="0" fontId="24" fillId="0" borderId="10" xfId="0" applyFont="1" applyFill="1" applyBorder="1" applyAlignment="1" applyProtection="1">
      <alignment horizontal="left" vertical="center" indent="2"/>
    </xf>
    <xf numFmtId="0" fontId="3" fillId="0" borderId="0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left" vertical="center" indent="1"/>
    </xf>
    <xf numFmtId="3" fontId="83" fillId="0" borderId="10" xfId="1122" applyNumberFormat="1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28" fillId="0" borderId="0" xfId="0" applyNumberFormat="1" applyFont="1" applyBorder="1" applyAlignment="1" applyProtection="1">
      <alignment horizontal="left" wrapText="1" indent="3"/>
    </xf>
    <xf numFmtId="169" fontId="20" fillId="0" borderId="0" xfId="1122" applyNumberFormat="1" applyFont="1" applyBorder="1" applyAlignment="1" applyProtection="1">
      <alignment horizontal="left" indent="2"/>
    </xf>
    <xf numFmtId="0" fontId="31" fillId="0" borderId="0" xfId="0" applyFont="1" applyAlignment="1" applyProtection="1"/>
    <xf numFmtId="0" fontId="31" fillId="0" borderId="0" xfId="0" applyFont="1" applyProtection="1"/>
    <xf numFmtId="170" fontId="33" fillId="0" borderId="0" xfId="0" applyNumberFormat="1" applyFont="1" applyBorder="1" applyAlignment="1" applyProtection="1">
      <alignment horizontal="center"/>
    </xf>
    <xf numFmtId="0" fontId="31" fillId="0" borderId="0" xfId="0" quotePrefix="1" applyFont="1" applyAlignment="1" applyProtection="1">
      <alignment horizontal="left" indent="6"/>
    </xf>
    <xf numFmtId="0" fontId="33" fillId="0" borderId="10" xfId="0" applyFont="1" applyBorder="1" applyAlignment="1" applyProtection="1">
      <alignment horizontal="center" vertical="center"/>
    </xf>
    <xf numFmtId="0" fontId="33" fillId="0" borderId="10" xfId="0" applyFont="1" applyBorder="1" applyAlignment="1" applyProtection="1">
      <alignment horizontal="left" vertical="center" indent="2"/>
    </xf>
    <xf numFmtId="0" fontId="31" fillId="0" borderId="0" xfId="0" applyFont="1" applyAlignment="1" applyProtection="1">
      <alignment vertical="center"/>
    </xf>
    <xf numFmtId="3" fontId="33" fillId="0" borderId="10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1" fillId="0" borderId="10" xfId="0" applyFont="1" applyBorder="1" applyAlignment="1" applyProtection="1">
      <alignment vertical="center"/>
    </xf>
    <xf numFmtId="3" fontId="31" fillId="0" borderId="10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/>
    </xf>
    <xf numFmtId="0" fontId="34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5" fillId="0" borderId="0" xfId="0" applyNumberFormat="1" applyFont="1" applyBorder="1" applyProtection="1"/>
    <xf numFmtId="170" fontId="31" fillId="0" borderId="0" xfId="0" applyNumberFormat="1" applyFont="1" applyBorder="1" applyAlignment="1" applyProtection="1">
      <alignment horizontal="center"/>
    </xf>
    <xf numFmtId="49" fontId="5" fillId="0" borderId="10" xfId="0" applyNumberFormat="1" applyFont="1" applyBorder="1" applyAlignment="1" applyProtection="1">
      <alignment horizontal="center" vertical="center"/>
    </xf>
    <xf numFmtId="49" fontId="5" fillId="0" borderId="10" xfId="0" applyNumberFormat="1" applyFont="1" applyFill="1" applyBorder="1" applyAlignment="1" applyProtection="1">
      <alignment horizontal="center" vertical="center"/>
    </xf>
    <xf numFmtId="49" fontId="25" fillId="0" borderId="10" xfId="0" applyNumberFormat="1" applyFont="1" applyFill="1" applyBorder="1" applyAlignment="1" applyProtection="1">
      <alignment horizontal="center" vertical="center"/>
    </xf>
    <xf numFmtId="3" fontId="25" fillId="0" borderId="10" xfId="0" applyNumberFormat="1" applyFont="1" applyFill="1" applyBorder="1" applyAlignment="1" applyProtection="1">
      <alignment vertical="center"/>
    </xf>
    <xf numFmtId="49" fontId="5" fillId="0" borderId="10" xfId="0" applyNumberFormat="1" applyFont="1" applyFill="1" applyBorder="1" applyAlignment="1" applyProtection="1">
      <alignment horizontal="left" vertical="center"/>
    </xf>
    <xf numFmtId="0" fontId="31" fillId="0" borderId="10" xfId="0" applyFont="1" applyBorder="1" applyAlignment="1" applyProtection="1">
      <alignment horizontal="center" vertical="center"/>
    </xf>
    <xf numFmtId="0" fontId="31" fillId="0" borderId="10" xfId="0" applyFont="1" applyBorder="1" applyAlignment="1" applyProtection="1">
      <alignment horizontal="left" vertical="center" indent="2"/>
    </xf>
    <xf numFmtId="3" fontId="31" fillId="0" borderId="10" xfId="0" applyNumberFormat="1" applyFont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 indent="2"/>
    </xf>
    <xf numFmtId="0" fontId="84" fillId="0" borderId="10" xfId="0" applyFont="1" applyFill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center" wrapText="1"/>
    </xf>
    <xf numFmtId="3" fontId="2" fillId="0" borderId="11" xfId="0" applyNumberFormat="1" applyFont="1" applyBorder="1" applyProtection="1"/>
    <xf numFmtId="0" fontId="3" fillId="0" borderId="0" xfId="0" applyFont="1" applyBorder="1" applyAlignment="1" applyProtection="1">
      <alignment horizontal="center" vertical="center" wrapText="1" shrinkToFit="1"/>
    </xf>
    <xf numFmtId="3" fontId="1" fillId="0" borderId="10" xfId="0" applyNumberFormat="1" applyFont="1" applyBorder="1" applyProtection="1"/>
    <xf numFmtId="3" fontId="4" fillId="0" borderId="10" xfId="0" applyNumberFormat="1" applyFont="1" applyFill="1" applyBorder="1" applyProtection="1"/>
    <xf numFmtId="3" fontId="0" fillId="0" borderId="10" xfId="0" applyNumberFormat="1" applyFont="1" applyFill="1" applyBorder="1" applyProtection="1"/>
    <xf numFmtId="3" fontId="4" fillId="0" borderId="10" xfId="1109" applyNumberFormat="1" applyFont="1" applyFill="1" applyBorder="1" applyProtection="1"/>
    <xf numFmtId="0" fontId="25" fillId="0" borderId="0" xfId="0" applyFont="1" applyFill="1" applyAlignment="1" applyProtection="1">
      <alignment vertical="center"/>
    </xf>
    <xf numFmtId="3" fontId="18" fillId="0" borderId="10" xfId="1122" applyNumberFormat="1" applyFont="1" applyFill="1" applyBorder="1" applyAlignment="1" applyProtection="1">
      <alignment horizontal="center" vertical="center" wrapText="1"/>
    </xf>
    <xf numFmtId="171" fontId="4" fillId="0" borderId="11" xfId="1109" applyNumberFormat="1" applyFont="1" applyBorder="1" applyProtection="1"/>
    <xf numFmtId="0" fontId="28" fillId="0" borderId="10" xfId="0" applyFont="1" applyFill="1" applyBorder="1" applyAlignment="1" applyProtection="1">
      <alignment horizontal="left" vertical="center" wrapText="1" indent="1"/>
    </xf>
    <xf numFmtId="0" fontId="28" fillId="0" borderId="10" xfId="0" applyFont="1" applyFill="1" applyBorder="1" applyAlignment="1" applyProtection="1">
      <alignment horizontal="left" vertical="center" indent="1"/>
    </xf>
    <xf numFmtId="0" fontId="18" fillId="0" borderId="10" xfId="0" applyFont="1" applyBorder="1" applyAlignment="1" applyProtection="1">
      <alignment horizontal="left" vertical="center" wrapText="1" indent="1"/>
    </xf>
    <xf numFmtId="0" fontId="18" fillId="0" borderId="10" xfId="0" applyFont="1" applyFill="1" applyBorder="1" applyAlignment="1" applyProtection="1">
      <alignment horizontal="left" vertical="center" wrapText="1" indent="1"/>
    </xf>
    <xf numFmtId="0" fontId="3" fillId="0" borderId="10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vertical="center"/>
    </xf>
    <xf numFmtId="0" fontId="2" fillId="0" borderId="10" xfId="0" applyFont="1" applyFill="1" applyBorder="1" applyAlignment="1" applyProtection="1">
      <alignment horizontal="left" vertical="center"/>
    </xf>
    <xf numFmtId="0" fontId="5" fillId="0" borderId="10" xfId="0" applyFont="1" applyFill="1" applyBorder="1" applyAlignment="1" applyProtection="1">
      <alignment vertical="center"/>
    </xf>
    <xf numFmtId="0" fontId="2" fillId="0" borderId="10" xfId="0" quotePrefix="1" applyFont="1" applyFill="1" applyBorder="1" applyAlignment="1" applyProtection="1">
      <alignment horizontal="left" vertical="center"/>
    </xf>
    <xf numFmtId="168" fontId="2" fillId="0" borderId="10" xfId="0" applyNumberFormat="1" applyFont="1" applyFill="1" applyBorder="1" applyAlignment="1" applyProtection="1">
      <alignment vertical="center"/>
      <protection locked="0"/>
    </xf>
    <xf numFmtId="3" fontId="2" fillId="25" borderId="4" xfId="0" applyNumberFormat="1" applyFont="1" applyFill="1" applyBorder="1" applyAlignment="1" applyProtection="1">
      <alignment vertical="center"/>
    </xf>
    <xf numFmtId="3" fontId="2" fillId="25" borderId="11" xfId="0" applyNumberFormat="1" applyFont="1" applyFill="1" applyBorder="1" applyAlignment="1" applyProtection="1">
      <alignment vertical="center"/>
    </xf>
    <xf numFmtId="0" fontId="5" fillId="0" borderId="10" xfId="0" quotePrefix="1" applyFont="1" applyFill="1" applyBorder="1" applyAlignment="1" applyProtection="1">
      <alignment horizontal="left" vertical="center"/>
    </xf>
    <xf numFmtId="3" fontId="34" fillId="26" borderId="10" xfId="0" applyNumberFormat="1" applyFont="1" applyFill="1" applyBorder="1" applyAlignment="1" applyProtection="1">
      <alignment horizontal="center" vertical="center" wrapText="1"/>
    </xf>
    <xf numFmtId="3" fontId="25" fillId="26" borderId="10" xfId="0" applyNumberFormat="1" applyFont="1" applyFill="1" applyBorder="1" applyAlignment="1" applyProtection="1">
      <alignment horizontal="center" vertical="center" wrapText="1"/>
    </xf>
    <xf numFmtId="0" fontId="24" fillId="0" borderId="10" xfId="0" applyFont="1" applyFill="1" applyBorder="1" applyAlignment="1" applyProtection="1">
      <alignment horizontal="left" vertical="center" wrapText="1" indent="2"/>
    </xf>
    <xf numFmtId="3" fontId="1" fillId="0" borderId="10" xfId="0" applyNumberFormat="1" applyFont="1" applyFill="1" applyBorder="1" applyAlignment="1" applyProtection="1">
      <alignment horizontal="left" vertical="center" wrapText="1" indent="1"/>
    </xf>
    <xf numFmtId="3" fontId="1" fillId="0" borderId="10" xfId="0" applyNumberFormat="1" applyFont="1" applyFill="1" applyBorder="1" applyAlignment="1" applyProtection="1">
      <alignment horizontal="left" vertical="center" wrapText="1" indent="3"/>
    </xf>
    <xf numFmtId="49" fontId="10" fillId="0" borderId="0" xfId="0" applyNumberFormat="1" applyFont="1" applyAlignment="1">
      <alignment horizontal="centerContinuous" vertical="center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49" fontId="12" fillId="0" borderId="10" xfId="0" applyNumberFormat="1" applyFont="1" applyBorder="1" applyAlignment="1" applyProtection="1">
      <alignment horizontal="center"/>
    </xf>
    <xf numFmtId="3" fontId="9" fillId="0" borderId="10" xfId="0" applyNumberFormat="1" applyFont="1" applyBorder="1" applyAlignment="1" applyProtection="1">
      <alignment horizontal="center" vertical="center" wrapText="1"/>
    </xf>
    <xf numFmtId="3" fontId="12" fillId="0" borderId="10" xfId="0" applyNumberFormat="1" applyFont="1" applyBorder="1" applyProtection="1"/>
    <xf numFmtId="9" fontId="12" fillId="0" borderId="10" xfId="1109" applyFont="1" applyBorder="1" applyProtection="1"/>
    <xf numFmtId="3" fontId="12" fillId="0" borderId="10" xfId="1109" applyNumberFormat="1" applyFont="1" applyBorder="1" applyProtection="1"/>
    <xf numFmtId="3" fontId="0" fillId="0" borderId="10" xfId="0" applyNumberFormat="1" applyFont="1" applyFill="1" applyBorder="1" applyAlignment="1" applyProtection="1">
      <alignment horizontal="left" vertical="center" wrapText="1" indent="1"/>
    </xf>
    <xf numFmtId="3" fontId="2" fillId="0" borderId="10" xfId="0" applyNumberFormat="1" applyFont="1" applyFill="1" applyBorder="1" applyAlignment="1" applyProtection="1">
      <alignment horizontal="left" vertical="center" wrapText="1" indent="3"/>
    </xf>
    <xf numFmtId="3" fontId="32" fillId="26" borderId="10" xfId="0" applyNumberFormat="1" applyFont="1" applyFill="1" applyBorder="1" applyAlignment="1" applyProtection="1">
      <alignment horizontal="center" vertical="center" wrapText="1"/>
    </xf>
    <xf numFmtId="0" fontId="25" fillId="0" borderId="12" xfId="0" applyFont="1" applyBorder="1" applyAlignment="1" applyProtection="1">
      <alignment horizontal="center" vertical="center"/>
    </xf>
    <xf numFmtId="3" fontId="25" fillId="0" borderId="11" xfId="0" applyNumberFormat="1" applyFont="1" applyBorder="1" applyAlignment="1" applyProtection="1">
      <alignment vertical="center"/>
    </xf>
    <xf numFmtId="3" fontId="25" fillId="0" borderId="11" xfId="0" applyNumberFormat="1" applyFont="1" applyBorder="1" applyAlignment="1" applyProtection="1">
      <alignment vertical="center"/>
      <protection locked="0"/>
    </xf>
    <xf numFmtId="3" fontId="13" fillId="26" borderId="10" xfId="0" applyNumberFormat="1" applyFont="1" applyFill="1" applyBorder="1" applyAlignment="1" applyProtection="1">
      <alignment horizontal="center" vertical="center" wrapText="1"/>
    </xf>
    <xf numFmtId="3" fontId="15" fillId="26" borderId="4" xfId="0" applyNumberFormat="1" applyFont="1" applyFill="1" applyBorder="1" applyAlignment="1" applyProtection="1">
      <alignment horizontal="center" vertical="center" textRotation="90" wrapText="1"/>
    </xf>
    <xf numFmtId="49" fontId="2" fillId="0" borderId="10" xfId="0" applyNumberFormat="1" applyFont="1" applyBorder="1" applyAlignment="1" applyProtection="1">
      <alignment vertical="center"/>
    </xf>
    <xf numFmtId="49" fontId="10" fillId="0" borderId="0" xfId="0" applyNumberFormat="1" applyFont="1" applyBorder="1" applyAlignment="1">
      <alignment horizontal="centerContinuous" vertical="center"/>
    </xf>
    <xf numFmtId="3" fontId="30" fillId="0" borderId="0" xfId="0" applyNumberFormat="1" applyFont="1" applyBorder="1" applyAlignment="1">
      <alignment horizontal="centerContinuous" vertical="center"/>
    </xf>
    <xf numFmtId="3" fontId="10" fillId="0" borderId="0" xfId="0" applyNumberFormat="1" applyFont="1" applyBorder="1" applyAlignment="1">
      <alignment horizontal="centerContinuous" vertical="center"/>
    </xf>
    <xf numFmtId="3" fontId="30" fillId="0" borderId="0" xfId="0" applyNumberFormat="1" applyFont="1" applyBorder="1" applyAlignment="1">
      <alignment vertical="center"/>
    </xf>
    <xf numFmtId="3" fontId="85" fillId="0" borderId="0" xfId="0" applyNumberFormat="1" applyFont="1"/>
    <xf numFmtId="0" fontId="86" fillId="0" borderId="0" xfId="0" applyFont="1" applyProtection="1"/>
    <xf numFmtId="167" fontId="86" fillId="0" borderId="0" xfId="1122" applyFont="1" applyBorder="1" applyProtection="1"/>
    <xf numFmtId="0" fontId="86" fillId="0" borderId="0" xfId="0" applyFont="1" applyAlignment="1" applyProtection="1">
      <alignment vertical="center"/>
    </xf>
    <xf numFmtId="167" fontId="86" fillId="0" borderId="0" xfId="1122" applyFont="1" applyBorder="1" applyAlignment="1" applyProtection="1">
      <alignment vertical="center"/>
    </xf>
    <xf numFmtId="0" fontId="81" fillId="0" borderId="0" xfId="0" applyFont="1" applyFill="1" applyAlignment="1" applyProtection="1">
      <alignment vertical="center"/>
    </xf>
    <xf numFmtId="3" fontId="87" fillId="0" borderId="0" xfId="0" applyNumberFormat="1" applyFont="1" applyProtection="1"/>
    <xf numFmtId="167" fontId="87" fillId="0" borderId="0" xfId="1122" applyFont="1" applyBorder="1" applyProtection="1"/>
    <xf numFmtId="0" fontId="87" fillId="0" borderId="0" xfId="0" applyFont="1" applyProtection="1"/>
    <xf numFmtId="0" fontId="87" fillId="0" borderId="0" xfId="0" applyFont="1" applyAlignment="1" applyProtection="1">
      <alignment vertical="center"/>
    </xf>
    <xf numFmtId="167" fontId="87" fillId="0" borderId="0" xfId="1122" applyFont="1" applyBorder="1" applyAlignment="1" applyProtection="1">
      <alignment vertical="center"/>
    </xf>
    <xf numFmtId="169" fontId="87" fillId="0" borderId="0" xfId="1122" applyNumberFormat="1" applyFont="1" applyAlignment="1" applyProtection="1">
      <alignment vertical="center"/>
    </xf>
    <xf numFmtId="3" fontId="86" fillId="0" borderId="0" xfId="0" applyNumberFormat="1" applyFont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7" fontId="86" fillId="0" borderId="0" xfId="1122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vertical="center"/>
    </xf>
    <xf numFmtId="0" fontId="88" fillId="0" borderId="0" xfId="0" applyFont="1" applyFill="1" applyAlignment="1" applyProtection="1">
      <alignment vertical="center"/>
    </xf>
    <xf numFmtId="167" fontId="88" fillId="0" borderId="0" xfId="1122" applyFont="1" applyFill="1" applyBorder="1" applyAlignment="1" applyProtection="1">
      <alignment vertical="center"/>
    </xf>
    <xf numFmtId="3" fontId="88" fillId="0" borderId="0" xfId="0" applyNumberFormat="1" applyFont="1" applyFill="1" applyAlignment="1" applyProtection="1">
      <alignment vertical="center"/>
    </xf>
    <xf numFmtId="0" fontId="88" fillId="0" borderId="0" xfId="0" applyFont="1" applyAlignment="1" applyProtection="1">
      <alignment vertical="center"/>
    </xf>
    <xf numFmtId="167" fontId="88" fillId="0" borderId="0" xfId="1122" applyFont="1" applyBorder="1" applyAlignment="1" applyProtection="1">
      <alignment vertical="center"/>
    </xf>
    <xf numFmtId="0" fontId="89" fillId="0" borderId="0" xfId="0" applyFont="1" applyProtection="1"/>
    <xf numFmtId="0" fontId="89" fillId="0" borderId="0" xfId="0" applyFont="1" applyBorder="1" applyProtection="1"/>
    <xf numFmtId="3" fontId="89" fillId="0" borderId="0" xfId="0" applyNumberFormat="1" applyFont="1" applyBorder="1" applyProtection="1"/>
    <xf numFmtId="3" fontId="89" fillId="0" borderId="0" xfId="0" applyNumberFormat="1" applyFont="1" applyProtection="1"/>
    <xf numFmtId="0" fontId="90" fillId="0" borderId="0" xfId="0" applyFont="1" applyProtection="1"/>
    <xf numFmtId="0" fontId="90" fillId="0" borderId="0" xfId="0" applyFont="1" applyBorder="1" applyProtection="1"/>
    <xf numFmtId="3" fontId="90" fillId="0" borderId="0" xfId="0" applyNumberFormat="1" applyFont="1" applyBorder="1" applyProtection="1"/>
    <xf numFmtId="0" fontId="91" fillId="0" borderId="0" xfId="0" applyFont="1" applyProtection="1"/>
    <xf numFmtId="0" fontId="91" fillId="0" borderId="0" xfId="0" applyFont="1" applyAlignment="1" applyProtection="1">
      <alignment vertical="center"/>
    </xf>
    <xf numFmtId="3" fontId="92" fillId="0" borderId="0" xfId="0" applyNumberFormat="1" applyFont="1" applyAlignment="1" applyProtection="1">
      <alignment vertical="center"/>
    </xf>
    <xf numFmtId="0" fontId="90" fillId="0" borderId="0" xfId="0" applyFont="1" applyAlignment="1" applyProtection="1">
      <alignment vertical="center"/>
    </xf>
    <xf numFmtId="0" fontId="90" fillId="0" borderId="0" xfId="0" applyFont="1" applyBorder="1" applyAlignment="1" applyProtection="1">
      <alignment vertical="center"/>
    </xf>
    <xf numFmtId="3" fontId="90" fillId="0" borderId="0" xfId="0" applyNumberFormat="1" applyFont="1" applyBorder="1" applyAlignment="1" applyProtection="1">
      <alignment vertical="center"/>
    </xf>
    <xf numFmtId="3" fontId="90" fillId="0" borderId="0" xfId="0" applyNumberFormat="1" applyFont="1" applyAlignment="1" applyProtection="1">
      <alignment vertical="center"/>
    </xf>
    <xf numFmtId="0" fontId="90" fillId="0" borderId="0" xfId="0" applyFont="1" applyBorder="1" applyAlignment="1" applyProtection="1">
      <alignment vertical="center" wrapText="1"/>
    </xf>
    <xf numFmtId="0" fontId="90" fillId="0" borderId="0" xfId="0" applyFont="1" applyFill="1" applyBorder="1" applyProtection="1"/>
    <xf numFmtId="3" fontId="93" fillId="0" borderId="0" xfId="0" applyNumberFormat="1" applyFont="1" applyBorder="1" applyAlignment="1">
      <alignment vertical="center"/>
    </xf>
    <xf numFmtId="0" fontId="94" fillId="0" borderId="0" xfId="0" applyFont="1" applyAlignment="1">
      <alignment vertical="center"/>
    </xf>
    <xf numFmtId="3" fontId="95" fillId="0" borderId="0" xfId="0" applyNumberFormat="1" applyFont="1" applyBorder="1" applyAlignment="1">
      <alignment vertical="center"/>
    </xf>
    <xf numFmtId="49" fontId="9" fillId="0" borderId="10" xfId="0" applyNumberFormat="1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left" vertical="center" wrapText="1" indent="1"/>
    </xf>
    <xf numFmtId="3" fontId="12" fillId="0" borderId="10" xfId="0" applyNumberFormat="1" applyFont="1" applyFill="1" applyBorder="1" applyAlignment="1" applyProtection="1">
      <alignment vertical="center"/>
    </xf>
    <xf numFmtId="9" fontId="12" fillId="0" borderId="10" xfId="1109" applyFont="1" applyFill="1" applyBorder="1" applyAlignment="1" applyProtection="1">
      <alignment vertical="center"/>
    </xf>
    <xf numFmtId="3" fontId="12" fillId="0" borderId="10" xfId="1109" applyNumberFormat="1" applyFont="1" applyBorder="1" applyAlignment="1" applyProtection="1">
      <alignment vertical="center"/>
    </xf>
    <xf numFmtId="3" fontId="12" fillId="27" borderId="10" xfId="0" applyNumberFormat="1" applyFont="1" applyFill="1" applyBorder="1" applyAlignment="1" applyProtection="1">
      <alignment vertical="center"/>
    </xf>
    <xf numFmtId="3" fontId="9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3" fontId="3" fillId="0" borderId="10" xfId="0" applyNumberFormat="1" applyFont="1" applyFill="1" applyBorder="1" applyAlignment="1" applyProtection="1">
      <alignment horizontal="center" vertical="center"/>
    </xf>
    <xf numFmtId="0" fontId="12" fillId="0" borderId="0" xfId="0" applyFont="1" applyFill="1"/>
    <xf numFmtId="0" fontId="96" fillId="0" borderId="0" xfId="0" applyFont="1" applyAlignment="1" applyProtection="1">
      <alignment vertical="center"/>
    </xf>
    <xf numFmtId="3" fontId="28" fillId="0" borderId="10" xfId="1122" applyNumberFormat="1" applyFont="1" applyFill="1" applyBorder="1" applyAlignment="1" applyProtection="1">
      <alignment horizontal="center"/>
      <protection locked="0"/>
    </xf>
    <xf numFmtId="167" fontId="96" fillId="0" borderId="0" xfId="1122" applyFont="1" applyBorder="1" applyAlignment="1" applyProtection="1">
      <alignment vertical="center"/>
    </xf>
    <xf numFmtId="3" fontId="96" fillId="0" borderId="10" xfId="1122" applyNumberFormat="1" applyFont="1" applyFill="1" applyBorder="1" applyAlignment="1" applyProtection="1">
      <alignment horizontal="center"/>
    </xf>
    <xf numFmtId="9" fontId="25" fillId="0" borderId="10" xfId="1109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4" fillId="0" borderId="10" xfId="0" applyNumberFormat="1" applyFont="1" applyFill="1" applyBorder="1" applyAlignment="1" applyProtection="1">
      <alignment vertical="center"/>
    </xf>
    <xf numFmtId="0" fontId="79" fillId="0" borderId="0" xfId="0" applyFont="1" applyFill="1"/>
    <xf numFmtId="0" fontId="4" fillId="0" borderId="10" xfId="0" applyFont="1" applyBorder="1" applyProtection="1"/>
    <xf numFmtId="0" fontId="1" fillId="0" borderId="10" xfId="0" applyFont="1" applyBorder="1" applyAlignment="1" applyProtection="1">
      <alignment horizontal="left"/>
    </xf>
    <xf numFmtId="0" fontId="1" fillId="0" borderId="10" xfId="0" applyFont="1" applyFill="1" applyBorder="1" applyAlignment="1" applyProtection="1">
      <alignment wrapText="1"/>
    </xf>
    <xf numFmtId="3" fontId="8" fillId="0" borderId="10" xfId="1122" applyNumberFormat="1" applyFont="1" applyFill="1" applyBorder="1" applyAlignment="1" applyProtection="1">
      <alignment horizontal="center" vertical="center" wrapText="1"/>
    </xf>
    <xf numFmtId="49" fontId="3" fillId="0" borderId="10" xfId="0" applyNumberFormat="1" applyFont="1" applyFill="1" applyBorder="1" applyAlignment="1" applyProtection="1">
      <alignment horizontal="center" vertical="center"/>
    </xf>
    <xf numFmtId="0" fontId="7" fillId="0" borderId="10" xfId="0" applyFont="1" applyFill="1" applyBorder="1" applyAlignment="1" applyProtection="1">
      <alignment horizontal="left" vertical="center" wrapText="1" indent="1"/>
    </xf>
    <xf numFmtId="3" fontId="7" fillId="0" borderId="10" xfId="0" applyNumberFormat="1" applyFont="1" applyFill="1" applyBorder="1" applyAlignment="1" applyProtection="1">
      <alignment vertical="center"/>
    </xf>
    <xf numFmtId="9" fontId="7" fillId="0" borderId="10" xfId="1109" applyFont="1" applyFill="1" applyBorder="1" applyAlignment="1" applyProtection="1">
      <alignment vertical="center"/>
    </xf>
    <xf numFmtId="3" fontId="7" fillId="0" borderId="10" xfId="1109" applyNumberFormat="1" applyFont="1" applyBorder="1" applyAlignment="1" applyProtection="1">
      <alignment vertical="center"/>
    </xf>
    <xf numFmtId="3" fontId="7" fillId="27" borderId="10" xfId="0" applyNumberFormat="1" applyFont="1" applyFill="1" applyBorder="1" applyAlignment="1" applyProtection="1">
      <alignment vertical="center"/>
    </xf>
    <xf numFmtId="3" fontId="97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vertical="center"/>
    </xf>
    <xf numFmtId="49" fontId="3" fillId="0" borderId="10" xfId="0" quotePrefix="1" applyNumberFormat="1" applyFont="1" applyBorder="1" applyAlignment="1" applyProtection="1">
      <alignment horizontal="center" vertical="center"/>
    </xf>
    <xf numFmtId="3" fontId="3" fillId="0" borderId="10" xfId="0" applyNumberFormat="1" applyFont="1" applyBorder="1" applyAlignment="1" applyProtection="1">
      <alignment horizontal="left" vertical="center" indent="1"/>
    </xf>
    <xf numFmtId="3" fontId="3" fillId="0" borderId="10" xfId="0" applyNumberFormat="1" applyFont="1" applyFill="1" applyBorder="1" applyAlignment="1" applyProtection="1">
      <alignment vertical="center"/>
    </xf>
    <xf numFmtId="3" fontId="98" fillId="0" borderId="0" xfId="0" applyNumberFormat="1" applyFont="1" applyFill="1" applyBorder="1" applyAlignment="1">
      <alignment vertical="center"/>
    </xf>
    <xf numFmtId="3" fontId="11" fillId="0" borderId="10" xfId="0" applyNumberFormat="1" applyFont="1" applyFill="1" applyBorder="1" applyAlignment="1" applyProtection="1">
      <alignment horizontal="center" vertical="center"/>
    </xf>
    <xf numFmtId="3" fontId="94" fillId="0" borderId="0" xfId="0" applyNumberFormat="1" applyFont="1" applyFill="1" applyBorder="1" applyAlignment="1">
      <alignment vertical="center"/>
    </xf>
    <xf numFmtId="0" fontId="1" fillId="0" borderId="0" xfId="0" applyFont="1"/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 applyFill="1"/>
    <xf numFmtId="3" fontId="1" fillId="0" borderId="10" xfId="0" applyNumberFormat="1" applyFont="1" applyFill="1" applyBorder="1" applyAlignment="1" applyProtection="1">
      <alignment vertical="center"/>
    </xf>
    <xf numFmtId="3" fontId="1" fillId="0" borderId="0" xfId="1109" applyNumberFormat="1" applyFont="1"/>
    <xf numFmtId="3" fontId="1" fillId="0" borderId="0" xfId="0" applyNumberFormat="1" applyFont="1"/>
    <xf numFmtId="3" fontId="4" fillId="0" borderId="0" xfId="0" applyNumberFormat="1" applyFont="1" applyBorder="1" applyAlignment="1">
      <alignment vertical="center"/>
    </xf>
    <xf numFmtId="0" fontId="1" fillId="0" borderId="0" xfId="0" applyFont="1" applyFill="1"/>
    <xf numFmtId="3" fontId="1" fillId="0" borderId="0" xfId="0" applyNumberFormat="1" applyFont="1" applyBorder="1"/>
    <xf numFmtId="9" fontId="1" fillId="0" borderId="0" xfId="1109" applyFont="1"/>
    <xf numFmtId="3" fontId="1" fillId="0" borderId="10" xfId="1109" applyNumberFormat="1" applyFont="1" applyBorder="1" applyAlignment="1" applyProtection="1">
      <alignment vertical="center"/>
    </xf>
    <xf numFmtId="3" fontId="1" fillId="0" borderId="10" xfId="0" applyNumberFormat="1" applyFont="1" applyBorder="1" applyAlignment="1" applyProtection="1">
      <alignment vertical="center"/>
    </xf>
    <xf numFmtId="3" fontId="1" fillId="0" borderId="10" xfId="1109" applyNumberFormat="1" applyFont="1" applyFill="1" applyBorder="1" applyAlignment="1" applyProtection="1">
      <alignment vertical="center"/>
    </xf>
    <xf numFmtId="3" fontId="1" fillId="0" borderId="0" xfId="1109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3" fontId="99" fillId="0" borderId="0" xfId="0" applyNumberFormat="1" applyFont="1" applyFill="1" applyProtection="1"/>
    <xf numFmtId="3" fontId="99" fillId="0" borderId="0" xfId="0" applyNumberFormat="1" applyFont="1" applyFill="1" applyProtection="1">
      <protection hidden="1"/>
    </xf>
    <xf numFmtId="3" fontId="25" fillId="0" borderId="10" xfId="0" applyNumberFormat="1" applyFont="1" applyFill="1" applyBorder="1" applyProtection="1"/>
    <xf numFmtId="0" fontId="14" fillId="0" borderId="0" xfId="0" applyFont="1" applyBorder="1" applyProtection="1"/>
    <xf numFmtId="3" fontId="14" fillId="0" borderId="0" xfId="0" applyNumberFormat="1" applyFont="1" applyBorder="1" applyProtection="1"/>
    <xf numFmtId="0" fontId="100" fillId="0" borderId="0" xfId="0" applyFont="1" applyFill="1" applyProtection="1"/>
    <xf numFmtId="3" fontId="100" fillId="0" borderId="0" xfId="0" applyNumberFormat="1" applyFont="1" applyFill="1" applyAlignment="1" applyProtection="1">
      <alignment horizontal="center"/>
    </xf>
    <xf numFmtId="3" fontId="100" fillId="0" borderId="0" xfId="0" applyNumberFormat="1" applyFont="1" applyFill="1" applyAlignment="1" applyProtection="1">
      <alignment horizontal="center"/>
      <protection hidden="1"/>
    </xf>
    <xf numFmtId="3" fontId="101" fillId="0" borderId="0" xfId="0" applyNumberFormat="1" applyFont="1"/>
    <xf numFmtId="0" fontId="101" fillId="0" borderId="0" xfId="0" applyFont="1" applyFill="1"/>
    <xf numFmtId="0" fontId="101" fillId="0" borderId="0" xfId="0" applyFont="1" applyAlignment="1">
      <alignment vertical="center"/>
    </xf>
    <xf numFmtId="167" fontId="101" fillId="0" borderId="0" xfId="1122" applyFont="1" applyAlignment="1">
      <alignment vertical="center"/>
    </xf>
    <xf numFmtId="0" fontId="101" fillId="0" borderId="0" xfId="0" applyFont="1"/>
    <xf numFmtId="167" fontId="101" fillId="0" borderId="0" xfId="1122" applyFont="1"/>
    <xf numFmtId="0" fontId="102" fillId="0" borderId="0" xfId="0" applyFont="1"/>
    <xf numFmtId="167" fontId="102" fillId="0" borderId="0" xfId="1122" applyFont="1"/>
    <xf numFmtId="0" fontId="101" fillId="0" borderId="0" xfId="0" applyFont="1" applyFill="1" applyAlignment="1">
      <alignment vertical="center"/>
    </xf>
    <xf numFmtId="167" fontId="101" fillId="0" borderId="0" xfId="1122" applyFont="1" applyFill="1" applyAlignment="1">
      <alignment vertical="center"/>
    </xf>
    <xf numFmtId="3" fontId="103" fillId="0" borderId="0" xfId="0" applyNumberFormat="1" applyFont="1" applyFill="1" applyAlignment="1" applyProtection="1">
      <alignment vertical="center"/>
    </xf>
    <xf numFmtId="167" fontId="101" fillId="0" borderId="0" xfId="1122" applyFont="1" applyFill="1"/>
    <xf numFmtId="3" fontId="100" fillId="0" borderId="0" xfId="0" applyNumberFormat="1" applyFont="1" applyBorder="1" applyProtection="1"/>
    <xf numFmtId="3" fontId="104" fillId="0" borderId="0" xfId="0" applyNumberFormat="1" applyFont="1" applyBorder="1" applyAlignment="1">
      <alignment horizontal="center" vertical="center"/>
    </xf>
    <xf numFmtId="170" fontId="105" fillId="0" borderId="0" xfId="0" applyNumberFormat="1" applyFont="1" applyBorder="1" applyAlignment="1" applyProtection="1">
      <alignment horizontal="center"/>
    </xf>
    <xf numFmtId="3" fontId="106" fillId="26" borderId="10" xfId="0" applyNumberFormat="1" applyFont="1" applyFill="1" applyBorder="1" applyAlignment="1" applyProtection="1">
      <alignment horizontal="center" vertical="center" wrapText="1"/>
    </xf>
    <xf numFmtId="0" fontId="106" fillId="0" borderId="12" xfId="0" applyFont="1" applyBorder="1" applyAlignment="1">
      <alignment horizontal="center"/>
    </xf>
    <xf numFmtId="3" fontId="105" fillId="0" borderId="11" xfId="0" applyNumberFormat="1" applyFont="1" applyBorder="1" applyProtection="1">
      <protection locked="0"/>
    </xf>
    <xf numFmtId="171" fontId="107" fillId="0" borderId="11" xfId="1109" applyNumberFormat="1" applyFont="1" applyBorder="1" applyProtection="1"/>
    <xf numFmtId="3" fontId="107" fillId="0" borderId="10" xfId="0" applyNumberFormat="1" applyFont="1" applyFill="1" applyBorder="1" applyProtection="1"/>
    <xf numFmtId="3" fontId="105" fillId="0" borderId="10" xfId="0" applyNumberFormat="1" applyFont="1" applyFill="1" applyBorder="1" applyProtection="1"/>
    <xf numFmtId="3" fontId="107" fillId="0" borderId="10" xfId="1109" applyNumberFormat="1" applyFont="1" applyFill="1" applyBorder="1" applyProtection="1"/>
    <xf numFmtId="0" fontId="105" fillId="0" borderId="0" xfId="0" applyFont="1" applyProtection="1"/>
    <xf numFmtId="0" fontId="100" fillId="0" borderId="0" xfId="0" applyFont="1" applyProtection="1"/>
    <xf numFmtId="0" fontId="96" fillId="42" borderId="10" xfId="0" applyFont="1" applyFill="1" applyBorder="1" applyAlignment="1" applyProtection="1">
      <alignment horizontal="left" vertical="center" wrapText="1" indent="1"/>
    </xf>
    <xf numFmtId="0" fontId="108" fillId="0" borderId="0" xfId="0" applyFont="1" applyFill="1" applyProtection="1"/>
    <xf numFmtId="0" fontId="28" fillId="42" borderId="10" xfId="0" applyFont="1" applyFill="1" applyBorder="1" applyAlignment="1" applyProtection="1">
      <alignment horizontal="left" vertical="center" wrapText="1" indent="1"/>
    </xf>
    <xf numFmtId="3" fontId="25" fillId="0" borderId="11" xfId="0" applyNumberFormat="1" applyFont="1" applyFill="1" applyBorder="1" applyAlignment="1" applyProtection="1">
      <alignment vertical="center"/>
    </xf>
    <xf numFmtId="0" fontId="25" fillId="0" borderId="12" xfId="0" applyFont="1" applyFill="1" applyBorder="1" applyAlignment="1" applyProtection="1">
      <alignment horizontal="left" vertical="center" wrapText="1" indent="2"/>
    </xf>
    <xf numFmtId="3" fontId="25" fillId="0" borderId="11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</xf>
    <xf numFmtId="0" fontId="1" fillId="0" borderId="12" xfId="0" applyFont="1" applyFill="1" applyBorder="1" applyAlignment="1" applyProtection="1">
      <alignment horizontal="left" vertical="center" wrapText="1" indent="2"/>
    </xf>
    <xf numFmtId="0" fontId="25" fillId="0" borderId="13" xfId="0" applyFont="1" applyFill="1" applyBorder="1" applyAlignment="1" applyProtection="1">
      <alignment horizontal="center" vertical="center"/>
    </xf>
    <xf numFmtId="3" fontId="25" fillId="0" borderId="10" xfId="0" applyNumberFormat="1" applyFont="1" applyFill="1" applyBorder="1" applyAlignment="1" applyProtection="1">
      <alignment vertical="center"/>
      <protection locked="0"/>
    </xf>
    <xf numFmtId="3" fontId="108" fillId="0" borderId="0" xfId="0" applyNumberFormat="1" applyFont="1" applyFill="1" applyProtection="1"/>
    <xf numFmtId="3" fontId="29" fillId="0" borderId="10" xfId="1109" applyNumberFormat="1" applyFont="1" applyFill="1" applyBorder="1" applyProtection="1"/>
    <xf numFmtId="0" fontId="108" fillId="0" borderId="0" xfId="0" applyFont="1" applyFill="1" applyAlignment="1" applyProtection="1">
      <alignment vertical="center"/>
    </xf>
    <xf numFmtId="0" fontId="108" fillId="0" borderId="0" xfId="0" applyFont="1" applyFill="1" applyAlignment="1" applyProtection="1">
      <alignment horizontal="center" vertical="center"/>
    </xf>
    <xf numFmtId="0" fontId="108" fillId="0" borderId="0" xfId="0" applyFont="1" applyFill="1" applyAlignment="1" applyProtection="1">
      <alignment horizontal="center" vertical="center"/>
      <protection hidden="1"/>
    </xf>
    <xf numFmtId="0" fontId="108" fillId="0" borderId="0" xfId="0" applyFont="1" applyFill="1" applyAlignment="1" applyProtection="1">
      <alignment horizontal="center"/>
    </xf>
    <xf numFmtId="0" fontId="108" fillId="0" borderId="0" xfId="0" applyFont="1" applyFill="1" applyAlignment="1" applyProtection="1">
      <alignment horizontal="center"/>
      <protection hidden="1"/>
    </xf>
    <xf numFmtId="3" fontId="108" fillId="0" borderId="0" xfId="0" applyNumberFormat="1" applyFont="1" applyFill="1" applyAlignment="1" applyProtection="1">
      <alignment horizontal="center"/>
    </xf>
    <xf numFmtId="0" fontId="108" fillId="0" borderId="0" xfId="0" applyFont="1" applyFill="1" applyAlignment="1">
      <alignment horizontal="center"/>
    </xf>
    <xf numFmtId="0" fontId="1" fillId="0" borderId="10" xfId="0" applyFont="1" applyBorder="1" applyAlignment="1">
      <alignment horizontal="left" vertical="center" wrapText="1" indent="1"/>
    </xf>
    <xf numFmtId="3" fontId="105" fillId="0" borderId="10" xfId="0" applyNumberFormat="1" applyFont="1" applyBorder="1" applyAlignment="1" applyProtection="1">
      <alignment vertical="center"/>
    </xf>
    <xf numFmtId="3" fontId="12" fillId="0" borderId="10" xfId="1109" applyNumberFormat="1" applyFont="1" applyFill="1" applyBorder="1" applyAlignment="1" applyProtection="1">
      <alignment vertical="center"/>
    </xf>
    <xf numFmtId="0" fontId="51" fillId="0" borderId="0" xfId="0" applyFont="1" applyFill="1" applyProtection="1"/>
    <xf numFmtId="0" fontId="51" fillId="0" borderId="0" xfId="0" applyFont="1" applyFill="1" applyAlignment="1" applyProtection="1">
      <alignment wrapText="1"/>
    </xf>
    <xf numFmtId="0" fontId="51" fillId="0" borderId="0" xfId="0" applyFont="1" applyFill="1" applyAlignment="1" applyProtection="1">
      <alignment horizontal="center"/>
    </xf>
    <xf numFmtId="0" fontId="1" fillId="0" borderId="10" xfId="0" applyFont="1" applyFill="1" applyBorder="1" applyAlignment="1" applyProtection="1">
      <alignment horizontal="left" vertical="center" wrapText="1" indent="2"/>
    </xf>
    <xf numFmtId="0" fontId="26" fillId="0" borderId="0" xfId="0" applyFont="1"/>
    <xf numFmtId="0" fontId="26" fillId="0" borderId="0" xfId="0" applyFont="1" applyFill="1" applyBorder="1"/>
    <xf numFmtId="3" fontId="1" fillId="0" borderId="11" xfId="0" applyNumberFormat="1" applyFont="1" applyFill="1" applyBorder="1" applyProtection="1"/>
    <xf numFmtId="3" fontId="0" fillId="0" borderId="11" xfId="0" applyNumberFormat="1" applyFont="1" applyFill="1" applyBorder="1" applyProtection="1"/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14" fillId="0" borderId="0" xfId="0" applyNumberFormat="1" applyFont="1" applyFill="1" applyAlignment="1" applyProtection="1">
      <alignment horizontal="center"/>
    </xf>
    <xf numFmtId="3" fontId="3" fillId="0" borderId="0" xfId="0" applyNumberFormat="1" applyFont="1" applyAlignment="1">
      <alignment vertical="center" wrapText="1"/>
    </xf>
    <xf numFmtId="3" fontId="35" fillId="26" borderId="4" xfId="0" applyNumberFormat="1" applyFont="1" applyFill="1" applyBorder="1" applyAlignment="1" applyProtection="1">
      <alignment horizontal="center" vertical="center" wrapText="1"/>
    </xf>
    <xf numFmtId="49" fontId="4" fillId="0" borderId="10" xfId="0" applyNumberFormat="1" applyFont="1" applyFill="1" applyBorder="1" applyAlignment="1" applyProtection="1">
      <alignment horizontal="center" vertical="center"/>
    </xf>
    <xf numFmtId="3" fontId="15" fillId="26" borderId="4" xfId="0" applyNumberFormat="1" applyFont="1" applyFill="1" applyBorder="1" applyAlignment="1" applyProtection="1">
      <alignment horizontal="center" vertical="center" wrapText="1"/>
    </xf>
    <xf numFmtId="3" fontId="10" fillId="0" borderId="0" xfId="0" applyNumberFormat="1" applyFont="1" applyBorder="1" applyAlignment="1">
      <alignment vertical="center" wrapText="1"/>
    </xf>
    <xf numFmtId="3" fontId="7" fillId="0" borderId="10" xfId="1109" applyNumberFormat="1" applyFont="1" applyFill="1" applyBorder="1" applyAlignment="1" applyProtection="1">
      <alignment vertical="center"/>
    </xf>
    <xf numFmtId="0" fontId="109" fillId="0" borderId="0" xfId="0" applyFont="1" applyFill="1" applyProtection="1"/>
    <xf numFmtId="0" fontId="110" fillId="0" borderId="0" xfId="0" applyFont="1" applyFill="1" applyProtection="1"/>
    <xf numFmtId="3" fontId="110" fillId="0" borderId="0" xfId="0" applyNumberFormat="1" applyFont="1" applyFill="1" applyAlignment="1" applyProtection="1">
      <alignment horizontal="center"/>
    </xf>
    <xf numFmtId="0" fontId="110" fillId="0" borderId="0" xfId="0" applyFont="1" applyFill="1" applyAlignment="1" applyProtection="1">
      <alignment horizontal="center"/>
    </xf>
    <xf numFmtId="3" fontId="110" fillId="0" borderId="0" xfId="0" applyNumberFormat="1" applyFont="1" applyFill="1" applyAlignment="1" applyProtection="1">
      <alignment horizontal="center"/>
      <protection hidden="1"/>
    </xf>
    <xf numFmtId="0" fontId="1" fillId="0" borderId="10" xfId="0" applyFont="1" applyFill="1" applyBorder="1" applyAlignment="1" applyProtection="1">
      <alignment horizontal="center" vertical="center"/>
    </xf>
    <xf numFmtId="0" fontId="25" fillId="0" borderId="10" xfId="0" applyFont="1" applyFill="1" applyBorder="1" applyAlignment="1" applyProtection="1">
      <alignment horizontal="left" vertical="center" wrapText="1" indent="2"/>
    </xf>
    <xf numFmtId="0" fontId="25" fillId="0" borderId="10" xfId="0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3" fontId="0" fillId="0" borderId="12" xfId="0" applyNumberFormat="1" applyFill="1" applyBorder="1" applyAlignment="1">
      <alignment horizontal="left" vertical="center" wrapText="1" indent="1"/>
    </xf>
    <xf numFmtId="0" fontId="25" fillId="0" borderId="10" xfId="0" applyFont="1" applyFill="1" applyBorder="1" applyAlignment="1">
      <alignment horizontal="left" vertical="center" indent="1"/>
    </xf>
    <xf numFmtId="0" fontId="4" fillId="0" borderId="10" xfId="0" applyFont="1" applyFill="1" applyBorder="1" applyAlignment="1">
      <alignment horizontal="left" vertical="center" wrapText="1" indent="1"/>
    </xf>
    <xf numFmtId="0" fontId="1" fillId="0" borderId="10" xfId="0" applyFont="1" applyFill="1" applyBorder="1" applyAlignment="1">
      <alignment horizontal="left" vertical="center" wrapText="1" indent="1"/>
    </xf>
    <xf numFmtId="0" fontId="25" fillId="0" borderId="10" xfId="0" applyFont="1" applyFill="1" applyBorder="1" applyAlignment="1">
      <alignment horizontal="left" vertical="center" wrapText="1" indent="1"/>
    </xf>
    <xf numFmtId="3" fontId="15" fillId="26" borderId="13" xfId="0" applyNumberFormat="1" applyFont="1" applyFill="1" applyBorder="1" applyAlignment="1" applyProtection="1">
      <alignment horizontal="center" vertical="center" wrapText="1"/>
    </xf>
    <xf numFmtId="3" fontId="0" fillId="0" borderId="12" xfId="0" applyNumberFormat="1" applyFont="1" applyFill="1" applyBorder="1" applyAlignment="1">
      <alignment vertical="center" wrapText="1"/>
    </xf>
    <xf numFmtId="4" fontId="2" fillId="0" borderId="0" xfId="0" applyNumberFormat="1" applyFont="1" applyFill="1" applyBorder="1" applyProtection="1">
      <protection locked="0"/>
    </xf>
    <xf numFmtId="4" fontId="105" fillId="0" borderId="0" xfId="0" applyNumberFormat="1" applyFont="1" applyFill="1" applyBorder="1" applyProtection="1">
      <protection locked="0"/>
    </xf>
    <xf numFmtId="171" fontId="4" fillId="0" borderId="10" xfId="1109" applyNumberFormat="1" applyFont="1" applyFill="1" applyBorder="1" applyAlignment="1" applyProtection="1">
      <alignment vertical="center"/>
    </xf>
    <xf numFmtId="171" fontId="107" fillId="0" borderId="10" xfId="1109" applyNumberFormat="1" applyFont="1" applyFill="1" applyBorder="1" applyAlignment="1" applyProtection="1">
      <alignment vertical="center"/>
    </xf>
    <xf numFmtId="3" fontId="1" fillId="0" borderId="10" xfId="0" applyNumberFormat="1" applyFont="1" applyFill="1" applyBorder="1" applyProtection="1"/>
    <xf numFmtId="3" fontId="105" fillId="0" borderId="10" xfId="0" applyNumberFormat="1" applyFont="1" applyFill="1" applyBorder="1" applyAlignment="1" applyProtection="1">
      <alignment vertical="center"/>
    </xf>
    <xf numFmtId="3" fontId="25" fillId="0" borderId="14" xfId="0" applyNumberFormat="1" applyFont="1" applyFill="1" applyBorder="1" applyAlignment="1" applyProtection="1">
      <alignment vertical="center"/>
    </xf>
    <xf numFmtId="3" fontId="19" fillId="43" borderId="10" xfId="0" applyNumberFormat="1" applyFont="1" applyFill="1" applyBorder="1" applyAlignment="1" applyProtection="1">
      <alignment horizontal="right" vertical="center"/>
    </xf>
    <xf numFmtId="49" fontId="10" fillId="0" borderId="0" xfId="0" applyNumberFormat="1" applyFont="1" applyFill="1" applyBorder="1" applyAlignment="1">
      <alignment horizontal="centerContinuous" vertical="center"/>
    </xf>
    <xf numFmtId="0" fontId="3" fillId="0" borderId="0" xfId="0" applyFont="1" applyFill="1" applyBorder="1" applyAlignment="1" applyProtection="1">
      <alignment horizontal="center"/>
    </xf>
    <xf numFmtId="49" fontId="9" fillId="0" borderId="10" xfId="0" quotePrefix="1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Fill="1" applyBorder="1" applyAlignment="1" applyProtection="1">
      <alignment horizontal="left" vertical="center" indent="1"/>
    </xf>
    <xf numFmtId="170" fontId="4" fillId="0" borderId="0" xfId="0" applyNumberFormat="1" applyFont="1" applyFill="1" applyAlignment="1">
      <alignment horizontal="centerContinuous"/>
    </xf>
    <xf numFmtId="49" fontId="1" fillId="0" borderId="1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Protection="1"/>
    <xf numFmtId="3" fontId="1" fillId="0" borderId="0" xfId="0" applyNumberFormat="1" applyFont="1" applyFill="1" applyProtection="1"/>
    <xf numFmtId="49" fontId="1" fillId="0" borderId="0" xfId="0" applyNumberFormat="1" applyFont="1" applyFill="1"/>
    <xf numFmtId="3" fontId="1" fillId="0" borderId="0" xfId="0" applyNumberFormat="1" applyFont="1" applyFill="1" applyBorder="1"/>
    <xf numFmtId="0" fontId="4" fillId="0" borderId="0" xfId="0" applyFont="1" applyFill="1" applyBorder="1"/>
    <xf numFmtId="9" fontId="1" fillId="0" borderId="10" xfId="1109" applyFont="1" applyFill="1" applyBorder="1" applyAlignment="1" applyProtection="1">
      <alignment vertical="center"/>
    </xf>
    <xf numFmtId="3" fontId="1" fillId="0" borderId="0" xfId="0" applyNumberFormat="1" applyFont="1" applyBorder="1" applyAlignment="1">
      <alignment vertical="center"/>
    </xf>
    <xf numFmtId="3" fontId="1" fillId="0" borderId="0" xfId="0" applyNumberFormat="1" applyFont="1" applyProtection="1"/>
    <xf numFmtId="9" fontId="1" fillId="0" borderId="0" xfId="1109" applyFont="1" applyFill="1" applyBorder="1" applyProtection="1">
      <protection hidden="1"/>
    </xf>
    <xf numFmtId="3" fontId="1" fillId="0" borderId="0" xfId="1109" applyNumberFormat="1" applyFont="1" applyFill="1" applyBorder="1" applyProtection="1">
      <protection hidden="1"/>
    </xf>
    <xf numFmtId="3" fontId="1" fillId="0" borderId="0" xfId="0" applyNumberFormat="1" applyFont="1" applyFill="1" applyBorder="1" applyProtection="1">
      <protection hidden="1"/>
    </xf>
    <xf numFmtId="3" fontId="1" fillId="0" borderId="0" xfId="1109" applyNumberFormat="1" applyFont="1" applyAlignment="1">
      <alignment wrapText="1"/>
    </xf>
    <xf numFmtId="3" fontId="1" fillId="0" borderId="0" xfId="0" applyNumberFormat="1" applyFont="1" applyFill="1" applyAlignment="1">
      <alignment wrapText="1"/>
    </xf>
    <xf numFmtId="9" fontId="1" fillId="0" borderId="0" xfId="1109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center" vertical="center" wrapText="1"/>
    </xf>
    <xf numFmtId="3" fontId="9" fillId="0" borderId="10" xfId="0" applyNumberFormat="1" applyFont="1" applyFill="1" applyBorder="1" applyAlignment="1">
      <alignment horizontal="center" wrapText="1"/>
    </xf>
    <xf numFmtId="3" fontId="9" fillId="0" borderId="10" xfId="1109" applyNumberFormat="1" applyFont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3" fontId="4" fillId="0" borderId="10" xfId="0" applyNumberFormat="1" applyFont="1" applyFill="1" applyBorder="1" applyAlignment="1">
      <alignment horizontal="center" wrapText="1"/>
    </xf>
    <xf numFmtId="3" fontId="4" fillId="0" borderId="10" xfId="1109" applyNumberFormat="1" applyFont="1" applyBorder="1" applyAlignment="1">
      <alignment horizontal="center" wrapText="1"/>
    </xf>
    <xf numFmtId="3" fontId="1" fillId="0" borderId="10" xfId="0" applyNumberFormat="1" applyFont="1" applyFill="1" applyBorder="1" applyAlignment="1">
      <alignment wrapText="1"/>
    </xf>
    <xf numFmtId="9" fontId="1" fillId="0" borderId="10" xfId="1110" applyFont="1" applyFill="1" applyBorder="1" applyAlignment="1" applyProtection="1">
      <alignment wrapText="1"/>
      <protection hidden="1"/>
    </xf>
    <xf numFmtId="3" fontId="1" fillId="0" borderId="10" xfId="0" applyNumberFormat="1" applyFont="1" applyFill="1" applyBorder="1" applyAlignment="1" applyProtection="1">
      <alignment horizontal="center" wrapText="1"/>
    </xf>
    <xf numFmtId="0" fontId="1" fillId="0" borderId="10" xfId="0" applyFont="1" applyFill="1" applyBorder="1" applyAlignment="1" applyProtection="1">
      <alignment horizontal="center" wrapText="1"/>
    </xf>
    <xf numFmtId="9" fontId="1" fillId="0" borderId="0" xfId="1110" applyFont="1" applyFill="1" applyBorder="1" applyAlignment="1" applyProtection="1">
      <alignment wrapText="1"/>
      <protection hidden="1"/>
    </xf>
    <xf numFmtId="3" fontId="1" fillId="0" borderId="0" xfId="0" applyNumberFormat="1" applyFont="1" applyFill="1" applyBorder="1" applyAlignment="1" applyProtection="1">
      <alignment horizontal="center" wrapText="1"/>
    </xf>
    <xf numFmtId="3" fontId="1" fillId="0" borderId="10" xfId="0" applyNumberFormat="1" applyFont="1" applyBorder="1" applyAlignment="1">
      <alignment wrapText="1"/>
    </xf>
    <xf numFmtId="3" fontId="1" fillId="0" borderId="10" xfId="0" applyNumberFormat="1" applyFont="1" applyBorder="1" applyAlignment="1" applyProtection="1">
      <alignment horizontal="center" wrapText="1"/>
    </xf>
    <xf numFmtId="3" fontId="1" fillId="0" borderId="10" xfId="0" applyNumberFormat="1" applyFont="1" applyFill="1" applyBorder="1" applyAlignment="1" applyProtection="1">
      <alignment horizontal="left" wrapText="1"/>
    </xf>
    <xf numFmtId="3" fontId="71" fillId="0" borderId="0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centerContinuous"/>
    </xf>
    <xf numFmtId="49" fontId="1" fillId="0" borderId="10" xfId="0" applyNumberFormat="1" applyFont="1" applyBorder="1" applyAlignment="1" applyProtection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Protection="1"/>
    <xf numFmtId="49" fontId="1" fillId="0" borderId="0" xfId="0" applyNumberFormat="1" applyFont="1"/>
    <xf numFmtId="9" fontId="1" fillId="0" borderId="10" xfId="1110" applyFont="1" applyFill="1" applyBorder="1" applyProtection="1">
      <protection hidden="1"/>
    </xf>
    <xf numFmtId="3" fontId="1" fillId="0" borderId="10" xfId="0" applyNumberFormat="1" applyFont="1" applyBorder="1"/>
    <xf numFmtId="3" fontId="1" fillId="0" borderId="10" xfId="0" applyNumberFormat="1" applyFont="1" applyBorder="1" applyAlignment="1" applyProtection="1">
      <alignment wrapText="1"/>
    </xf>
    <xf numFmtId="3" fontId="1" fillId="0" borderId="0" xfId="0" applyNumberFormat="1" applyFont="1" applyAlignment="1">
      <alignment wrapText="1"/>
    </xf>
    <xf numFmtId="3" fontId="1" fillId="0" borderId="0" xfId="0" applyNumberFormat="1" applyFont="1" applyProtection="1">
      <protection hidden="1"/>
    </xf>
    <xf numFmtId="3" fontId="1" fillId="0" borderId="11" xfId="0" applyNumberFormat="1" applyFont="1" applyFill="1" applyBorder="1" applyProtection="1">
      <protection locked="0"/>
    </xf>
    <xf numFmtId="3" fontId="0" fillId="0" borderId="11" xfId="0" applyNumberFormat="1" applyFont="1" applyFill="1" applyBorder="1" applyProtection="1">
      <protection locked="0"/>
    </xf>
    <xf numFmtId="3" fontId="111" fillId="0" borderId="10" xfId="0" applyNumberFormat="1" applyFont="1" applyFill="1" applyBorder="1" applyAlignment="1" applyProtection="1">
      <alignment horizontal="left" wrapText="1"/>
    </xf>
    <xf numFmtId="3" fontId="111" fillId="0" borderId="10" xfId="0" applyNumberFormat="1" applyFont="1" applyFill="1" applyBorder="1" applyAlignment="1" applyProtection="1">
      <alignment horizontal="center" wrapText="1"/>
    </xf>
    <xf numFmtId="3" fontId="112" fillId="0" borderId="10" xfId="1109" applyNumberFormat="1" applyFont="1" applyBorder="1" applyAlignment="1" applyProtection="1">
      <alignment vertical="center"/>
    </xf>
    <xf numFmtId="0" fontId="79" fillId="0" borderId="0" xfId="0" applyFont="1" applyFill="1" applyAlignment="1">
      <alignment vertical="center"/>
    </xf>
    <xf numFmtId="0" fontId="113" fillId="0" borderId="0" xfId="0" applyFont="1" applyFill="1"/>
    <xf numFmtId="0" fontId="110" fillId="0" borderId="0" xfId="0" applyFont="1" applyFill="1" applyAlignment="1" applyProtection="1">
      <alignment horizontal="center"/>
      <protection hidden="1"/>
    </xf>
    <xf numFmtId="0" fontId="109" fillId="0" borderId="0" xfId="0" applyFont="1" applyFill="1" applyAlignment="1" applyProtection="1">
      <alignment horizontal="right"/>
    </xf>
    <xf numFmtId="0" fontId="3" fillId="0" borderId="11" xfId="0" applyFont="1" applyBorder="1" applyAlignment="1">
      <alignment horizontal="center"/>
    </xf>
    <xf numFmtId="3" fontId="0" fillId="0" borderId="11" xfId="0" applyNumberFormat="1" applyFont="1" applyFill="1" applyBorder="1" applyAlignment="1">
      <alignment vertical="center" wrapText="1"/>
    </xf>
    <xf numFmtId="3" fontId="0" fillId="0" borderId="14" xfId="0" quotePrefix="1" applyNumberForma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wrapText="1"/>
    </xf>
    <xf numFmtId="4" fontId="2" fillId="0" borderId="16" xfId="0" applyNumberFormat="1" applyFont="1" applyFill="1" applyBorder="1" applyProtection="1">
      <protection locked="0"/>
    </xf>
    <xf numFmtId="167" fontId="1" fillId="0" borderId="0" xfId="1122" applyFont="1" applyBorder="1" applyProtection="1"/>
    <xf numFmtId="167" fontId="2" fillId="0" borderId="0" xfId="1122" applyFont="1" applyBorder="1" applyProtection="1"/>
    <xf numFmtId="167" fontId="89" fillId="0" borderId="0" xfId="1122" applyFont="1" applyBorder="1" applyProtection="1"/>
    <xf numFmtId="167" fontId="82" fillId="0" borderId="0" xfId="1122" applyFont="1" applyBorder="1" applyProtection="1"/>
    <xf numFmtId="167" fontId="2" fillId="0" borderId="0" xfId="1122" applyFont="1" applyProtection="1"/>
    <xf numFmtId="0" fontId="114" fillId="0" borderId="0" xfId="0" applyFont="1" applyAlignment="1" applyProtection="1">
      <alignment horizontal="center"/>
    </xf>
    <xf numFmtId="0" fontId="108" fillId="0" borderId="0" xfId="0" applyFont="1" applyProtection="1"/>
    <xf numFmtId="0" fontId="1" fillId="0" borderId="10" xfId="0" applyFont="1" applyFill="1" applyBorder="1" applyAlignment="1" applyProtection="1">
      <alignment horizontal="left" vertical="center"/>
    </xf>
    <xf numFmtId="49" fontId="4" fillId="0" borderId="10" xfId="0" applyNumberFormat="1" applyFont="1" applyFill="1" applyBorder="1" applyAlignment="1" applyProtection="1">
      <alignment horizontal="left" vertical="center"/>
    </xf>
    <xf numFmtId="0" fontId="1" fillId="0" borderId="10" xfId="0" applyFont="1" applyFill="1" applyBorder="1" applyAlignment="1" applyProtection="1">
      <alignment vertical="center"/>
    </xf>
    <xf numFmtId="0" fontId="90" fillId="0" borderId="0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3" fontId="6" fillId="0" borderId="10" xfId="0" applyNumberFormat="1" applyFont="1" applyBorder="1" applyAlignment="1" applyProtection="1">
      <alignment horizontal="right" wrapText="1"/>
      <protection locked="0"/>
    </xf>
    <xf numFmtId="3" fontId="115" fillId="0" borderId="0" xfId="0" applyNumberFormat="1" applyFont="1" applyBorder="1" applyAlignment="1" applyProtection="1">
      <alignment horizontal="center" vertical="center"/>
    </xf>
    <xf numFmtId="167" fontId="101" fillId="0" borderId="0" xfId="1122" applyFont="1" applyFill="1" applyAlignment="1" applyProtection="1">
      <alignment vertical="center"/>
    </xf>
    <xf numFmtId="3" fontId="72" fillId="0" borderId="10" xfId="0" quotePrefix="1" applyNumberFormat="1" applyFont="1" applyFill="1" applyBorder="1" applyAlignment="1" applyProtection="1">
      <alignment horizontal="center" vertical="center" wrapText="1"/>
    </xf>
    <xf numFmtId="3" fontId="12" fillId="0" borderId="0" xfId="0" applyNumberFormat="1" applyFont="1" applyFill="1" applyBorder="1" applyAlignment="1">
      <alignment vertical="center"/>
    </xf>
    <xf numFmtId="168" fontId="1" fillId="0" borderId="10" xfId="0" applyNumberFormat="1" applyFont="1" applyFill="1" applyBorder="1" applyAlignment="1" applyProtection="1">
      <alignment vertical="center"/>
      <protection locked="0"/>
    </xf>
    <xf numFmtId="3" fontId="1" fillId="0" borderId="11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/>
    </xf>
    <xf numFmtId="0" fontId="20" fillId="0" borderId="0" xfId="0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7" xfId="0" applyFont="1" applyFill="1" applyBorder="1" applyAlignment="1" applyProtection="1">
      <alignment horizontal="center" vertical="center"/>
    </xf>
    <xf numFmtId="0" fontId="9" fillId="0" borderId="18" xfId="0" applyFont="1" applyFill="1" applyBorder="1" applyAlignment="1" applyProtection="1">
      <alignment horizontal="center" vertical="center"/>
    </xf>
    <xf numFmtId="3" fontId="4" fillId="0" borderId="0" xfId="1109" applyNumberFormat="1" applyFont="1" applyAlignment="1">
      <alignment horizontal="center" wrapText="1"/>
    </xf>
    <xf numFmtId="3" fontId="10" fillId="0" borderId="0" xfId="0" applyNumberFormat="1" applyFont="1" applyBorder="1" applyAlignment="1">
      <alignment horizontal="center" vertical="center" wrapText="1"/>
    </xf>
    <xf numFmtId="3" fontId="15" fillId="26" borderId="4" xfId="0" applyNumberFormat="1" applyFont="1" applyFill="1" applyBorder="1" applyAlignment="1" applyProtection="1">
      <alignment horizontal="center" vertical="center" wrapText="1"/>
    </xf>
    <xf numFmtId="3" fontId="15" fillId="26" borderId="19" xfId="0" applyNumberFormat="1" applyFont="1" applyFill="1" applyBorder="1" applyAlignment="1" applyProtection="1">
      <alignment horizontal="center" vertical="center" wrapText="1"/>
    </xf>
    <xf numFmtId="3" fontId="15" fillId="26" borderId="20" xfId="0" applyNumberFormat="1" applyFont="1" applyFill="1" applyBorder="1" applyAlignment="1" applyProtection="1">
      <alignment horizontal="center" vertical="center" wrapText="1"/>
    </xf>
    <xf numFmtId="3" fontId="15" fillId="26" borderId="21" xfId="0" applyNumberFormat="1" applyFont="1" applyFill="1" applyBorder="1" applyAlignment="1" applyProtection="1">
      <alignment horizontal="center" vertical="center" wrapText="1"/>
    </xf>
    <xf numFmtId="3" fontId="15" fillId="26" borderId="12" xfId="0" applyNumberFormat="1" applyFont="1" applyFill="1" applyBorder="1" applyAlignment="1" applyProtection="1">
      <alignment horizontal="center" vertical="center" wrapText="1"/>
    </xf>
    <xf numFmtId="3" fontId="15" fillId="26" borderId="14" xfId="0" applyNumberFormat="1" applyFont="1" applyFill="1" applyBorder="1" applyAlignment="1" applyProtection="1">
      <alignment horizontal="center" vertical="center" wrapText="1"/>
    </xf>
    <xf numFmtId="3" fontId="15" fillId="26" borderId="22" xfId="0" applyNumberFormat="1" applyFont="1" applyFill="1" applyBorder="1" applyAlignment="1" applyProtection="1">
      <alignment horizontal="center" vertical="center" wrapText="1"/>
    </xf>
    <xf numFmtId="3" fontId="15" fillId="26" borderId="23" xfId="0" applyNumberFormat="1" applyFont="1" applyFill="1" applyBorder="1" applyAlignment="1" applyProtection="1">
      <alignment horizontal="center" vertical="center" wrapText="1"/>
    </xf>
    <xf numFmtId="3" fontId="15" fillId="0" borderId="4" xfId="0" applyNumberFormat="1" applyFont="1" applyFill="1" applyBorder="1" applyAlignment="1" applyProtection="1">
      <alignment horizontal="center" vertical="center" wrapText="1"/>
    </xf>
    <xf numFmtId="3" fontId="15" fillId="0" borderId="19" xfId="0" applyNumberFormat="1" applyFont="1" applyFill="1" applyBorder="1" applyAlignment="1" applyProtection="1">
      <alignment horizontal="center" vertical="center" wrapText="1"/>
    </xf>
    <xf numFmtId="3" fontId="15" fillId="26" borderId="13" xfId="0" applyNumberFormat="1" applyFont="1" applyFill="1" applyBorder="1" applyAlignment="1" applyProtection="1">
      <alignment horizontal="center" vertical="center" wrapText="1"/>
    </xf>
    <xf numFmtId="3" fontId="15" fillId="26" borderId="18" xfId="0" applyNumberFormat="1" applyFont="1" applyFill="1" applyBorder="1" applyAlignment="1" applyProtection="1">
      <alignment horizontal="center" vertical="center" wrapText="1"/>
    </xf>
    <xf numFmtId="3" fontId="15" fillId="26" borderId="17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35" fillId="26" borderId="13" xfId="0" applyNumberFormat="1" applyFont="1" applyFill="1" applyBorder="1" applyAlignment="1" applyProtection="1">
      <alignment horizontal="center" vertical="center" wrapText="1"/>
    </xf>
    <xf numFmtId="3" fontId="35" fillId="26" borderId="17" xfId="0" applyNumberFormat="1" applyFont="1" applyFill="1" applyBorder="1" applyAlignment="1" applyProtection="1">
      <alignment horizontal="center" vertical="center" wrapText="1"/>
    </xf>
    <xf numFmtId="3" fontId="35" fillId="26" borderId="18" xfId="0" applyNumberFormat="1" applyFont="1" applyFill="1" applyBorder="1" applyAlignment="1" applyProtection="1">
      <alignment horizontal="center" vertical="center" wrapText="1"/>
    </xf>
    <xf numFmtId="3" fontId="35" fillId="26" borderId="4" xfId="0" applyNumberFormat="1" applyFont="1" applyFill="1" applyBorder="1" applyAlignment="1" applyProtection="1">
      <alignment horizontal="center" vertical="center" wrapText="1"/>
    </xf>
    <xf numFmtId="3" fontId="35" fillId="26" borderId="19" xfId="0" applyNumberFormat="1" applyFont="1" applyFill="1" applyBorder="1" applyAlignment="1" applyProtection="1">
      <alignment horizontal="center" vertical="center" wrapText="1"/>
    </xf>
    <xf numFmtId="3" fontId="35" fillId="26" borderId="20" xfId="0" applyNumberFormat="1" applyFont="1" applyFill="1" applyBorder="1" applyAlignment="1" applyProtection="1">
      <alignment horizontal="center" vertical="center" wrapText="1"/>
    </xf>
    <xf numFmtId="3" fontId="35" fillId="26" borderId="21" xfId="0" applyNumberFormat="1" applyFont="1" applyFill="1" applyBorder="1" applyAlignment="1" applyProtection="1">
      <alignment horizontal="center" vertical="center" wrapText="1"/>
    </xf>
    <xf numFmtId="3" fontId="35" fillId="26" borderId="12" xfId="0" applyNumberFormat="1" applyFont="1" applyFill="1" applyBorder="1" applyAlignment="1" applyProtection="1">
      <alignment horizontal="center" vertical="center" wrapText="1"/>
    </xf>
    <xf numFmtId="3" fontId="35" fillId="26" borderId="14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35" fillId="26" borderId="22" xfId="0" applyNumberFormat="1" applyFont="1" applyFill="1" applyBorder="1" applyAlignment="1" applyProtection="1">
      <alignment horizontal="center" vertical="center" wrapText="1"/>
    </xf>
    <xf numFmtId="3" fontId="35" fillId="26" borderId="23" xfId="0" applyNumberFormat="1" applyFont="1" applyFill="1" applyBorder="1" applyAlignment="1" applyProtection="1">
      <alignment horizontal="center" vertical="center" wrapText="1"/>
    </xf>
    <xf numFmtId="3" fontId="15" fillId="26" borderId="1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170" fontId="25" fillId="0" borderId="23" xfId="0" applyNumberFormat="1" applyFont="1" applyBorder="1" applyAlignment="1" applyProtection="1">
      <alignment horizontal="center"/>
    </xf>
    <xf numFmtId="0" fontId="33" fillId="0" borderId="0" xfId="0" applyFont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7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</cellXfs>
  <cellStyles count="1289">
    <cellStyle name="”ќђќ‘ћ‚›‰" xfId="1"/>
    <cellStyle name="”љ‘ђћ‚ђќќ›‰" xfId="2"/>
    <cellStyle name="„…ќ…†ќ›‰" xfId="3"/>
    <cellStyle name="‡ђѓћ‹ћ‚ћљ1" xfId="4"/>
    <cellStyle name="‡ђѓћ‹ћ‚ћљ2" xfId="5"/>
    <cellStyle name="’ћѓћ‚›‰" xfId="6"/>
    <cellStyle name="" xfId="7"/>
    <cellStyle name="" xfId="8"/>
    <cellStyle name="" xfId="9"/>
    <cellStyle name="" xfId="10"/>
    <cellStyle name="" xfId="11"/>
    <cellStyle name="1" xfId="12"/>
    <cellStyle name="2" xfId="13"/>
    <cellStyle name="1 indent" xfId="14"/>
    <cellStyle name="2 indents" xfId="15"/>
    <cellStyle name="20% - Accent1" xfId="16"/>
    <cellStyle name="20% - Accent2" xfId="17"/>
    <cellStyle name="20% - Accent3" xfId="18"/>
    <cellStyle name="20% - Accent4" xfId="19"/>
    <cellStyle name="20% - Accent5" xfId="20"/>
    <cellStyle name="20% - Accent6" xfId="21"/>
    <cellStyle name="20% - Акцент1 10" xfId="22"/>
    <cellStyle name="20% - Акцент1 11" xfId="23"/>
    <cellStyle name="20% - Акцент1 12" xfId="24"/>
    <cellStyle name="20% - Акцент1 13" xfId="25"/>
    <cellStyle name="20% - Акцент1 14" xfId="26"/>
    <cellStyle name="20% - Акцент1 15" xfId="27"/>
    <cellStyle name="20% - Акцент1 16" xfId="28"/>
    <cellStyle name="20% - Акцент1 17" xfId="29"/>
    <cellStyle name="20% - Акцент1 18" xfId="30"/>
    <cellStyle name="20% - Акцент1 19" xfId="31"/>
    <cellStyle name="20% - Акцент1 2" xfId="32"/>
    <cellStyle name="20% - Акцент1 20" xfId="33"/>
    <cellStyle name="20% - Акцент1 21" xfId="34"/>
    <cellStyle name="20% - Акцент1 22" xfId="35"/>
    <cellStyle name="20% - Акцент1 23" xfId="36"/>
    <cellStyle name="20% - Акцент1 24" xfId="37"/>
    <cellStyle name="20% - Акцент1 25" xfId="38"/>
    <cellStyle name="20% - Акцент1 26" xfId="39"/>
    <cellStyle name="20% - Акцент1 3" xfId="40"/>
    <cellStyle name="20% - Акцент1 4" xfId="41"/>
    <cellStyle name="20% - Акцент1 5" xfId="42"/>
    <cellStyle name="20% - Акцент1 6" xfId="43"/>
    <cellStyle name="20% - Акцент1 7" xfId="44"/>
    <cellStyle name="20% - Акцент1 8" xfId="45"/>
    <cellStyle name="20% - Акцент1 9" xfId="46"/>
    <cellStyle name="20% - Акцент2 10" xfId="47"/>
    <cellStyle name="20% - Акцент2 11" xfId="48"/>
    <cellStyle name="20% - Акцент2 12" xfId="49"/>
    <cellStyle name="20% - Акцент2 13" xfId="50"/>
    <cellStyle name="20% - Акцент2 14" xfId="51"/>
    <cellStyle name="20% - Акцент2 15" xfId="52"/>
    <cellStyle name="20% - Акцент2 16" xfId="53"/>
    <cellStyle name="20% - Акцент2 17" xfId="54"/>
    <cellStyle name="20% - Акцент2 18" xfId="55"/>
    <cellStyle name="20% - Акцент2 19" xfId="56"/>
    <cellStyle name="20% - Акцент2 2" xfId="57"/>
    <cellStyle name="20% - Акцент2 20" xfId="58"/>
    <cellStyle name="20% - Акцент2 21" xfId="59"/>
    <cellStyle name="20% - Акцент2 22" xfId="60"/>
    <cellStyle name="20% - Акцент2 23" xfId="61"/>
    <cellStyle name="20% - Акцент2 24" xfId="62"/>
    <cellStyle name="20% - Акцент2 25" xfId="63"/>
    <cellStyle name="20% - Акцент2 26" xfId="64"/>
    <cellStyle name="20% - Акцент2 3" xfId="65"/>
    <cellStyle name="20% - Акцент2 4" xfId="66"/>
    <cellStyle name="20% - Акцент2 5" xfId="67"/>
    <cellStyle name="20% - Акцент2 6" xfId="68"/>
    <cellStyle name="20% - Акцент2 7" xfId="69"/>
    <cellStyle name="20% - Акцент2 8" xfId="70"/>
    <cellStyle name="20% - Акцент2 9" xfId="71"/>
    <cellStyle name="20% - Акцент3 10" xfId="72"/>
    <cellStyle name="20% - Акцент3 11" xfId="73"/>
    <cellStyle name="20% - Акцент3 12" xfId="74"/>
    <cellStyle name="20% - Акцент3 13" xfId="75"/>
    <cellStyle name="20% - Акцент3 14" xfId="76"/>
    <cellStyle name="20% - Акцент3 15" xfId="77"/>
    <cellStyle name="20% - Акцент3 16" xfId="78"/>
    <cellStyle name="20% - Акцент3 17" xfId="79"/>
    <cellStyle name="20% - Акцент3 18" xfId="80"/>
    <cellStyle name="20% - Акцент3 19" xfId="81"/>
    <cellStyle name="20% - Акцент3 2" xfId="82"/>
    <cellStyle name="20% - Акцент3 20" xfId="83"/>
    <cellStyle name="20% - Акцент3 21" xfId="84"/>
    <cellStyle name="20% - Акцент3 22" xfId="85"/>
    <cellStyle name="20% - Акцент3 23" xfId="86"/>
    <cellStyle name="20% - Акцент3 24" xfId="87"/>
    <cellStyle name="20% - Акцент3 25" xfId="88"/>
    <cellStyle name="20% - Акцент3 26" xfId="89"/>
    <cellStyle name="20% - Акцент3 3" xfId="90"/>
    <cellStyle name="20% - Акцент3 4" xfId="91"/>
    <cellStyle name="20% - Акцент3 5" xfId="92"/>
    <cellStyle name="20% - Акцент3 6" xfId="93"/>
    <cellStyle name="20% - Акцент3 7" xfId="94"/>
    <cellStyle name="20% - Акцент3 8" xfId="95"/>
    <cellStyle name="20% - Акцент3 9" xfId="96"/>
    <cellStyle name="20% - Акцент4 10" xfId="97"/>
    <cellStyle name="20% - Акцент4 11" xfId="98"/>
    <cellStyle name="20% - Акцент4 12" xfId="99"/>
    <cellStyle name="20% - Акцент4 13" xfId="100"/>
    <cellStyle name="20% - Акцент4 14" xfId="101"/>
    <cellStyle name="20% - Акцент4 15" xfId="102"/>
    <cellStyle name="20% - Акцент4 16" xfId="103"/>
    <cellStyle name="20% - Акцент4 17" xfId="104"/>
    <cellStyle name="20% - Акцент4 18" xfId="105"/>
    <cellStyle name="20% - Акцент4 19" xfId="106"/>
    <cellStyle name="20% - Акцент4 2" xfId="107"/>
    <cellStyle name="20% - Акцент4 20" xfId="108"/>
    <cellStyle name="20% - Акцент4 21" xfId="109"/>
    <cellStyle name="20% - Акцент4 22" xfId="110"/>
    <cellStyle name="20% - Акцент4 23" xfId="111"/>
    <cellStyle name="20% - Акцент4 24" xfId="112"/>
    <cellStyle name="20% - Акцент4 25" xfId="113"/>
    <cellStyle name="20% - Акцент4 26" xfId="114"/>
    <cellStyle name="20% - Акцент4 3" xfId="115"/>
    <cellStyle name="20% - Акцент4 4" xfId="116"/>
    <cellStyle name="20% - Акцент4 5" xfId="117"/>
    <cellStyle name="20% - Акцент4 6" xfId="118"/>
    <cellStyle name="20% - Акцент4 7" xfId="119"/>
    <cellStyle name="20% - Акцент4 8" xfId="120"/>
    <cellStyle name="20% - Акцент4 9" xfId="121"/>
    <cellStyle name="20% - Акцент5 10" xfId="122"/>
    <cellStyle name="20% - Акцент5 11" xfId="123"/>
    <cellStyle name="20% - Акцент5 12" xfId="124"/>
    <cellStyle name="20% - Акцент5 13" xfId="125"/>
    <cellStyle name="20% - Акцент5 14" xfId="126"/>
    <cellStyle name="20% - Акцент5 15" xfId="127"/>
    <cellStyle name="20% - Акцент5 16" xfId="128"/>
    <cellStyle name="20% - Акцент5 17" xfId="129"/>
    <cellStyle name="20% - Акцент5 18" xfId="130"/>
    <cellStyle name="20% - Акцент5 19" xfId="131"/>
    <cellStyle name="20% - Акцент5 2" xfId="132"/>
    <cellStyle name="20% - Акцент5 20" xfId="133"/>
    <cellStyle name="20% - Акцент5 21" xfId="134"/>
    <cellStyle name="20% - Акцент5 22" xfId="135"/>
    <cellStyle name="20% - Акцент5 23" xfId="136"/>
    <cellStyle name="20% - Акцент5 24" xfId="137"/>
    <cellStyle name="20% - Акцент5 25" xfId="138"/>
    <cellStyle name="20% - Акцент5 26" xfId="139"/>
    <cellStyle name="20% - Акцент5 3" xfId="140"/>
    <cellStyle name="20% - Акцент5 4" xfId="141"/>
    <cellStyle name="20% - Акцент5 5" xfId="142"/>
    <cellStyle name="20% - Акцент5 6" xfId="143"/>
    <cellStyle name="20% - Акцент5 7" xfId="144"/>
    <cellStyle name="20% - Акцент5 8" xfId="145"/>
    <cellStyle name="20% - Акцент5 9" xfId="146"/>
    <cellStyle name="20% - Акцент6 10" xfId="147"/>
    <cellStyle name="20% - Акцент6 11" xfId="148"/>
    <cellStyle name="20% - Акцент6 12" xfId="149"/>
    <cellStyle name="20% - Акцент6 13" xfId="150"/>
    <cellStyle name="20% - Акцент6 14" xfId="151"/>
    <cellStyle name="20% - Акцент6 15" xfId="152"/>
    <cellStyle name="20% - Акцент6 16" xfId="153"/>
    <cellStyle name="20% - Акцент6 17" xfId="154"/>
    <cellStyle name="20% - Акцент6 18" xfId="155"/>
    <cellStyle name="20% - Акцент6 19" xfId="156"/>
    <cellStyle name="20% - Акцент6 2" xfId="157"/>
    <cellStyle name="20% - Акцент6 20" xfId="158"/>
    <cellStyle name="20% - Акцент6 21" xfId="159"/>
    <cellStyle name="20% - Акцент6 22" xfId="160"/>
    <cellStyle name="20% - Акцент6 23" xfId="161"/>
    <cellStyle name="20% - Акцент6 24" xfId="162"/>
    <cellStyle name="20% - Акцент6 25" xfId="163"/>
    <cellStyle name="20% - Акцент6 26" xfId="164"/>
    <cellStyle name="20% - Акцент6 3" xfId="165"/>
    <cellStyle name="20% - Акцент6 4" xfId="166"/>
    <cellStyle name="20% - Акцент6 5" xfId="167"/>
    <cellStyle name="20% - Акцент6 6" xfId="168"/>
    <cellStyle name="20% - Акцент6 7" xfId="169"/>
    <cellStyle name="20% - Акцент6 8" xfId="170"/>
    <cellStyle name="20% - Акцент6 9" xfId="171"/>
    <cellStyle name="4 indents" xfId="172"/>
    <cellStyle name="40% - Accent1" xfId="173"/>
    <cellStyle name="40% - Accent2" xfId="174"/>
    <cellStyle name="40% - Accent3" xfId="175"/>
    <cellStyle name="40% - Accent4" xfId="176"/>
    <cellStyle name="40% - Accent5" xfId="177"/>
    <cellStyle name="40% - Accent6" xfId="178"/>
    <cellStyle name="40% - Акцент1 10" xfId="179"/>
    <cellStyle name="40% - Акцент1 11" xfId="180"/>
    <cellStyle name="40% - Акцент1 12" xfId="181"/>
    <cellStyle name="40% - Акцент1 13" xfId="182"/>
    <cellStyle name="40% - Акцент1 14" xfId="183"/>
    <cellStyle name="40% - Акцент1 15" xfId="184"/>
    <cellStyle name="40% - Акцент1 16" xfId="185"/>
    <cellStyle name="40% - Акцент1 17" xfId="186"/>
    <cellStyle name="40% - Акцент1 18" xfId="187"/>
    <cellStyle name="40% - Акцент1 19" xfId="188"/>
    <cellStyle name="40% - Акцент1 2" xfId="189"/>
    <cellStyle name="40% - Акцент1 20" xfId="190"/>
    <cellStyle name="40% - Акцент1 21" xfId="191"/>
    <cellStyle name="40% - Акцент1 22" xfId="192"/>
    <cellStyle name="40% - Акцент1 23" xfId="193"/>
    <cellStyle name="40% - Акцент1 24" xfId="194"/>
    <cellStyle name="40% - Акцент1 25" xfId="195"/>
    <cellStyle name="40% - Акцент1 26" xfId="196"/>
    <cellStyle name="40% - Акцент1 3" xfId="197"/>
    <cellStyle name="40% - Акцент1 4" xfId="198"/>
    <cellStyle name="40% - Акцент1 5" xfId="199"/>
    <cellStyle name="40% - Акцент1 6" xfId="200"/>
    <cellStyle name="40% - Акцент1 7" xfId="201"/>
    <cellStyle name="40% - Акцент1 8" xfId="202"/>
    <cellStyle name="40% - Акцент1 9" xfId="203"/>
    <cellStyle name="40% - Акцент2 10" xfId="204"/>
    <cellStyle name="40% - Акцент2 11" xfId="205"/>
    <cellStyle name="40% - Акцент2 12" xfId="206"/>
    <cellStyle name="40% - Акцент2 13" xfId="207"/>
    <cellStyle name="40% - Акцент2 14" xfId="208"/>
    <cellStyle name="40% - Акцент2 15" xfId="209"/>
    <cellStyle name="40% - Акцент2 16" xfId="210"/>
    <cellStyle name="40% - Акцент2 17" xfId="211"/>
    <cellStyle name="40% - Акцент2 18" xfId="212"/>
    <cellStyle name="40% - Акцент2 19" xfId="213"/>
    <cellStyle name="40% - Акцент2 2" xfId="214"/>
    <cellStyle name="40% - Акцент2 20" xfId="215"/>
    <cellStyle name="40% - Акцент2 21" xfId="216"/>
    <cellStyle name="40% - Акцент2 22" xfId="217"/>
    <cellStyle name="40% - Акцент2 23" xfId="218"/>
    <cellStyle name="40% - Акцент2 24" xfId="219"/>
    <cellStyle name="40% - Акцент2 25" xfId="220"/>
    <cellStyle name="40% - Акцент2 26" xfId="221"/>
    <cellStyle name="40% - Акцент2 3" xfId="222"/>
    <cellStyle name="40% - Акцент2 4" xfId="223"/>
    <cellStyle name="40% - Акцент2 5" xfId="224"/>
    <cellStyle name="40% - Акцент2 6" xfId="225"/>
    <cellStyle name="40% - Акцент2 7" xfId="226"/>
    <cellStyle name="40% - Акцент2 8" xfId="227"/>
    <cellStyle name="40% - Акцент2 9" xfId="228"/>
    <cellStyle name="40% - Акцент3 10" xfId="229"/>
    <cellStyle name="40% - Акцент3 11" xfId="230"/>
    <cellStyle name="40% - Акцент3 12" xfId="231"/>
    <cellStyle name="40% - Акцент3 13" xfId="232"/>
    <cellStyle name="40% - Акцент3 14" xfId="233"/>
    <cellStyle name="40% - Акцент3 15" xfId="234"/>
    <cellStyle name="40% - Акцент3 16" xfId="235"/>
    <cellStyle name="40% - Акцент3 17" xfId="236"/>
    <cellStyle name="40% - Акцент3 18" xfId="237"/>
    <cellStyle name="40% - Акцент3 19" xfId="238"/>
    <cellStyle name="40% - Акцент3 2" xfId="239"/>
    <cellStyle name="40% - Акцент3 20" xfId="240"/>
    <cellStyle name="40% - Акцент3 21" xfId="241"/>
    <cellStyle name="40% - Акцент3 22" xfId="242"/>
    <cellStyle name="40% - Акцент3 23" xfId="243"/>
    <cellStyle name="40% - Акцент3 24" xfId="244"/>
    <cellStyle name="40% - Акцент3 25" xfId="245"/>
    <cellStyle name="40% - Акцент3 26" xfId="246"/>
    <cellStyle name="40% - Акцент3 3" xfId="247"/>
    <cellStyle name="40% - Акцент3 4" xfId="248"/>
    <cellStyle name="40% - Акцент3 5" xfId="249"/>
    <cellStyle name="40% - Акцент3 6" xfId="250"/>
    <cellStyle name="40% - Акцент3 7" xfId="251"/>
    <cellStyle name="40% - Акцент3 8" xfId="252"/>
    <cellStyle name="40% - Акцент3 9" xfId="253"/>
    <cellStyle name="40% - Акцент4 10" xfId="254"/>
    <cellStyle name="40% - Акцент4 11" xfId="255"/>
    <cellStyle name="40% - Акцент4 12" xfId="256"/>
    <cellStyle name="40% - Акцент4 13" xfId="257"/>
    <cellStyle name="40% - Акцент4 14" xfId="258"/>
    <cellStyle name="40% - Акцент4 15" xfId="259"/>
    <cellStyle name="40% - Акцент4 16" xfId="260"/>
    <cellStyle name="40% - Акцент4 17" xfId="261"/>
    <cellStyle name="40% - Акцент4 18" xfId="262"/>
    <cellStyle name="40% - Акцент4 19" xfId="263"/>
    <cellStyle name="40% - Акцент4 2" xfId="264"/>
    <cellStyle name="40% - Акцент4 20" xfId="265"/>
    <cellStyle name="40% - Акцент4 21" xfId="266"/>
    <cellStyle name="40% - Акцент4 22" xfId="267"/>
    <cellStyle name="40% - Акцент4 23" xfId="268"/>
    <cellStyle name="40% - Акцент4 24" xfId="269"/>
    <cellStyle name="40% - Акцент4 25" xfId="270"/>
    <cellStyle name="40% - Акцент4 26" xfId="271"/>
    <cellStyle name="40% - Акцент4 3" xfId="272"/>
    <cellStyle name="40% - Акцент4 4" xfId="273"/>
    <cellStyle name="40% - Акцент4 5" xfId="274"/>
    <cellStyle name="40% - Акцент4 6" xfId="275"/>
    <cellStyle name="40% - Акцент4 7" xfId="276"/>
    <cellStyle name="40% - Акцент4 8" xfId="277"/>
    <cellStyle name="40% - Акцент4 9" xfId="278"/>
    <cellStyle name="40% - Акцент5 10" xfId="279"/>
    <cellStyle name="40% - Акцент5 11" xfId="280"/>
    <cellStyle name="40% - Акцент5 12" xfId="281"/>
    <cellStyle name="40% - Акцент5 13" xfId="282"/>
    <cellStyle name="40% - Акцент5 14" xfId="283"/>
    <cellStyle name="40% - Акцент5 15" xfId="284"/>
    <cellStyle name="40% - Акцент5 16" xfId="285"/>
    <cellStyle name="40% - Акцент5 17" xfId="286"/>
    <cellStyle name="40% - Акцент5 18" xfId="287"/>
    <cellStyle name="40% - Акцент5 19" xfId="288"/>
    <cellStyle name="40% - Акцент5 2" xfId="289"/>
    <cellStyle name="40% - Акцент5 20" xfId="290"/>
    <cellStyle name="40% - Акцент5 21" xfId="291"/>
    <cellStyle name="40% - Акцент5 22" xfId="292"/>
    <cellStyle name="40% - Акцент5 23" xfId="293"/>
    <cellStyle name="40% - Акцент5 24" xfId="294"/>
    <cellStyle name="40% - Акцент5 25" xfId="295"/>
    <cellStyle name="40% - Акцент5 26" xfId="296"/>
    <cellStyle name="40% - Акцент5 3" xfId="297"/>
    <cellStyle name="40% - Акцент5 4" xfId="298"/>
    <cellStyle name="40% - Акцент5 5" xfId="299"/>
    <cellStyle name="40% - Акцент5 6" xfId="300"/>
    <cellStyle name="40% - Акцент5 7" xfId="301"/>
    <cellStyle name="40% - Акцент5 8" xfId="302"/>
    <cellStyle name="40% - Акцент5 9" xfId="303"/>
    <cellStyle name="40% - Акцент6 10" xfId="304"/>
    <cellStyle name="40% - Акцент6 11" xfId="305"/>
    <cellStyle name="40% - Акцент6 12" xfId="306"/>
    <cellStyle name="40% - Акцент6 13" xfId="307"/>
    <cellStyle name="40% - Акцент6 14" xfId="308"/>
    <cellStyle name="40% - Акцент6 15" xfId="309"/>
    <cellStyle name="40% - Акцент6 16" xfId="310"/>
    <cellStyle name="40% - Акцент6 17" xfId="311"/>
    <cellStyle name="40% - Акцент6 18" xfId="312"/>
    <cellStyle name="40% - Акцент6 19" xfId="313"/>
    <cellStyle name="40% - Акцент6 2" xfId="314"/>
    <cellStyle name="40% - Акцент6 20" xfId="315"/>
    <cellStyle name="40% - Акцент6 21" xfId="316"/>
    <cellStyle name="40% - Акцент6 22" xfId="317"/>
    <cellStyle name="40% - Акцент6 23" xfId="318"/>
    <cellStyle name="40% - Акцент6 24" xfId="319"/>
    <cellStyle name="40% - Акцент6 25" xfId="320"/>
    <cellStyle name="40% - Акцент6 26" xfId="321"/>
    <cellStyle name="40% - Акцент6 3" xfId="322"/>
    <cellStyle name="40% - Акцент6 4" xfId="323"/>
    <cellStyle name="40% - Акцент6 5" xfId="324"/>
    <cellStyle name="40% - Акцент6 6" xfId="325"/>
    <cellStyle name="40% - Акцент6 7" xfId="326"/>
    <cellStyle name="40% - Акцент6 8" xfId="327"/>
    <cellStyle name="40% - Акцент6 9" xfId="328"/>
    <cellStyle name="60% - Accent1" xfId="329"/>
    <cellStyle name="60% - Accent2" xfId="330"/>
    <cellStyle name="60% - Accent3" xfId="331"/>
    <cellStyle name="60% - Accent4" xfId="332"/>
    <cellStyle name="60% - Accent5" xfId="333"/>
    <cellStyle name="60% - Accent6" xfId="334"/>
    <cellStyle name="Accent1" xfId="335"/>
    <cellStyle name="Accent2" xfId="336"/>
    <cellStyle name="Accent3" xfId="337"/>
    <cellStyle name="Accent4" xfId="338"/>
    <cellStyle name="Accent5" xfId="339"/>
    <cellStyle name="Accent6" xfId="340"/>
    <cellStyle name="Bad" xfId="341"/>
    <cellStyle name="Calculation" xfId="342"/>
    <cellStyle name="Check Cell" xfId="343"/>
    <cellStyle name="Column_Title" xfId="344"/>
    <cellStyle name="Comma [0]_1 MAIN" xfId="345"/>
    <cellStyle name="Comma 2" xfId="346"/>
    <cellStyle name="Comma_1 MAIN" xfId="347"/>
    <cellStyle name="Comma0" xfId="348"/>
    <cellStyle name="common" xfId="349"/>
    <cellStyle name="Currency_Copy of SEI1098d" xfId="350"/>
    <cellStyle name="Currency0" xfId="351"/>
    <cellStyle name="Date" xfId="352"/>
    <cellStyle name="Euro" xfId="353"/>
    <cellStyle name="Excel.Chart" xfId="354"/>
    <cellStyle name="Explanatory Text" xfId="355"/>
    <cellStyle name="Fixed" xfId="356"/>
    <cellStyle name="Good" xfId="357"/>
    <cellStyle name="Heading 1" xfId="358"/>
    <cellStyle name="Heading 2" xfId="359"/>
    <cellStyle name="Heading 3" xfId="360"/>
    <cellStyle name="Heading 4" xfId="361"/>
    <cellStyle name="imf-one decimal" xfId="362"/>
    <cellStyle name="Input" xfId="363"/>
    <cellStyle name="Linked Cell" xfId="364"/>
    <cellStyle name="Millares [0]_11.1.3. bis" xfId="365"/>
    <cellStyle name="Millares_11.1.3. bis" xfId="366"/>
    <cellStyle name="Moneda [0]_11.1.3. bis" xfId="367"/>
    <cellStyle name="Moneda_11.1.3. bis" xfId="368"/>
    <cellStyle name="mystyle" xfId="369"/>
    <cellStyle name="Neutral" xfId="370"/>
    <cellStyle name="Normal - Style1" xfId="371"/>
    <cellStyle name="Normal 2" xfId="372"/>
    <cellStyle name="Normal 2 2" xfId="373"/>
    <cellStyle name="Normal_1 MAIN" xfId="374"/>
    <cellStyle name="Note" xfId="375"/>
    <cellStyle name="Output" xfId="376"/>
    <cellStyle name="Percent 2" xfId="377"/>
    <cellStyle name="Percent_Copy of SEI1098d" xfId="378"/>
    <cellStyle name="percentage difference" xfId="379"/>
    <cellStyle name="Title" xfId="380"/>
    <cellStyle name="Total" xfId="381"/>
    <cellStyle name="Warning Text" xfId="382"/>
    <cellStyle name="Денежный [0]" xfId="383" builtinId="7"/>
    <cellStyle name="Обычный" xfId="0" builtinId="0"/>
    <cellStyle name="Обычный 10" xfId="384"/>
    <cellStyle name="Обычный 10 10" xfId="385"/>
    <cellStyle name="Обычный 10 11" xfId="386"/>
    <cellStyle name="Обычный 10 2" xfId="387"/>
    <cellStyle name="Обычный 10 2 2" xfId="388"/>
    <cellStyle name="Обычный 10 2 2 2" xfId="389"/>
    <cellStyle name="Обычный 10 2 3" xfId="390"/>
    <cellStyle name="Обычный 10 3" xfId="391"/>
    <cellStyle name="Обычный 10 3 2" xfId="392"/>
    <cellStyle name="Обычный 10 3 3" xfId="393"/>
    <cellStyle name="Обычный 10 4" xfId="394"/>
    <cellStyle name="Обычный 10 5" xfId="395"/>
    <cellStyle name="Обычный 10 6" xfId="396"/>
    <cellStyle name="Обычный 10 7" xfId="397"/>
    <cellStyle name="Обычный 10 8" xfId="398"/>
    <cellStyle name="Обычный 10 9" xfId="399"/>
    <cellStyle name="Обычный 100" xfId="400"/>
    <cellStyle name="Обычный 100 2" xfId="401"/>
    <cellStyle name="Обычный 100 2 2" xfId="402"/>
    <cellStyle name="Обычный 101" xfId="403"/>
    <cellStyle name="Обычный 102" xfId="404"/>
    <cellStyle name="Обычный 103" xfId="405"/>
    <cellStyle name="Обычный 104" xfId="406"/>
    <cellStyle name="Обычный 106" xfId="407"/>
    <cellStyle name="Обычный 107" xfId="408"/>
    <cellStyle name="Обычный 109" xfId="409"/>
    <cellStyle name="Обычный 11" xfId="410"/>
    <cellStyle name="Обычный 11 2" xfId="411"/>
    <cellStyle name="Обычный 11 2 2" xfId="412"/>
    <cellStyle name="Обычный 11 3" xfId="413"/>
    <cellStyle name="Обычный 11 4" xfId="414"/>
    <cellStyle name="Обычный 11 6" xfId="415"/>
    <cellStyle name="Обычный 110" xfId="416"/>
    <cellStyle name="Обычный 112" xfId="417"/>
    <cellStyle name="Обычный 113" xfId="418"/>
    <cellStyle name="Обычный 115" xfId="419"/>
    <cellStyle name="Обычный 116" xfId="420"/>
    <cellStyle name="Обычный 118" xfId="421"/>
    <cellStyle name="Обычный 12" xfId="422"/>
    <cellStyle name="Обычный 12 2" xfId="423"/>
    <cellStyle name="Обычный 12 2 2" xfId="424"/>
    <cellStyle name="Обычный 12 3" xfId="425"/>
    <cellStyle name="Обычный 12 4" xfId="426"/>
    <cellStyle name="Обычный 12 5" xfId="427"/>
    <cellStyle name="Обычный 12 6" xfId="428"/>
    <cellStyle name="Обычный 12 7" xfId="429"/>
    <cellStyle name="Обычный 12 8" xfId="430"/>
    <cellStyle name="Обычный 120" xfId="431"/>
    <cellStyle name="Обычный 121" xfId="432"/>
    <cellStyle name="Обычный 122" xfId="433"/>
    <cellStyle name="Обычный 123" xfId="434"/>
    <cellStyle name="Обычный 13" xfId="435"/>
    <cellStyle name="Обычный 13 2" xfId="436"/>
    <cellStyle name="Обычный 13 2 2" xfId="437"/>
    <cellStyle name="Обычный 14" xfId="438"/>
    <cellStyle name="Обычный 14 2" xfId="439"/>
    <cellStyle name="Обычный 14 2 2" xfId="440"/>
    <cellStyle name="Обычный 14 3" xfId="441"/>
    <cellStyle name="Обычный 14 4" xfId="442"/>
    <cellStyle name="Обычный 14 5" xfId="443"/>
    <cellStyle name="Обычный 144" xfId="444"/>
    <cellStyle name="Обычный 147" xfId="445"/>
    <cellStyle name="Обычный 148" xfId="446"/>
    <cellStyle name="Обычный 15" xfId="447"/>
    <cellStyle name="Обычный 15 2" xfId="448"/>
    <cellStyle name="Обычный 15 2 2" xfId="449"/>
    <cellStyle name="Обычный 15 2 3" xfId="450"/>
    <cellStyle name="Обычный 15 2 4" xfId="451"/>
    <cellStyle name="Обычный 15 2 5" xfId="452"/>
    <cellStyle name="Обычный 15 2 6" xfId="453"/>
    <cellStyle name="Обычный 15 3" xfId="454"/>
    <cellStyle name="Обычный 15 4" xfId="455"/>
    <cellStyle name="Обычный 15 5" xfId="456"/>
    <cellStyle name="Обычный 16" xfId="457"/>
    <cellStyle name="Обычный 16 10" xfId="458"/>
    <cellStyle name="Обычный 16 11" xfId="459"/>
    <cellStyle name="Обычный 16 12" xfId="460"/>
    <cellStyle name="Обычный 16 13" xfId="461"/>
    <cellStyle name="Обычный 16 14" xfId="462"/>
    <cellStyle name="Обычный 16 2" xfId="463"/>
    <cellStyle name="Обычный 16 2 2" xfId="464"/>
    <cellStyle name="Обычный 16 3" xfId="465"/>
    <cellStyle name="Обычный 16 3 2" xfId="466"/>
    <cellStyle name="Обычный 16 4" xfId="467"/>
    <cellStyle name="Обычный 16 4 2" xfId="468"/>
    <cellStyle name="Обычный 16 5" xfId="469"/>
    <cellStyle name="Обычный 16 6" xfId="470"/>
    <cellStyle name="Обычный 16 7" xfId="471"/>
    <cellStyle name="Обычный 16 8" xfId="472"/>
    <cellStyle name="Обычный 16 9" xfId="473"/>
    <cellStyle name="Обычный 17" xfId="474"/>
    <cellStyle name="Обычный 17 2" xfId="475"/>
    <cellStyle name="Обычный 17 2 2" xfId="476"/>
    <cellStyle name="Обычный 17 3" xfId="477"/>
    <cellStyle name="Обычный 17 4" xfId="478"/>
    <cellStyle name="Обычный 18" xfId="479"/>
    <cellStyle name="Обычный 18 2" xfId="480"/>
    <cellStyle name="Обычный 18 2 2" xfId="481"/>
    <cellStyle name="Обычный 18 2 2 2" xfId="482"/>
    <cellStyle name="Обычный 18 2 3" xfId="483"/>
    <cellStyle name="Обычный 18 2 4" xfId="484"/>
    <cellStyle name="Обычный 18 3" xfId="485"/>
    <cellStyle name="Обычный 18 3 2" xfId="486"/>
    <cellStyle name="Обычный 18 4" xfId="487"/>
    <cellStyle name="Обычный 18 5" xfId="488"/>
    <cellStyle name="Обычный 18 6" xfId="489"/>
    <cellStyle name="Обычный 188" xfId="490"/>
    <cellStyle name="Обычный 19" xfId="491"/>
    <cellStyle name="Обычный 19 2" xfId="492"/>
    <cellStyle name="Обычный 19 2 2" xfId="493"/>
    <cellStyle name="Обычный 19 2 3" xfId="494"/>
    <cellStyle name="Обычный 19 3" xfId="495"/>
    <cellStyle name="Обычный 190" xfId="496"/>
    <cellStyle name="Обычный 2" xfId="497"/>
    <cellStyle name="Обычный 2 10" xfId="498"/>
    <cellStyle name="Обычный 2 11" xfId="499"/>
    <cellStyle name="Обычный 2 12" xfId="500"/>
    <cellStyle name="Обычный 2 13" xfId="501"/>
    <cellStyle name="Обычный 2 14" xfId="502"/>
    <cellStyle name="Обычный 2 15" xfId="503"/>
    <cellStyle name="Обычный 2 16" xfId="504"/>
    <cellStyle name="Обычный 2 17" xfId="505"/>
    <cellStyle name="Обычный 2 18" xfId="506"/>
    <cellStyle name="Обычный 2 19" xfId="507"/>
    <cellStyle name="Обычный 2 2" xfId="508"/>
    <cellStyle name="Обычный 2 2 10" xfId="509"/>
    <cellStyle name="Обычный 2 2 10 2" xfId="510"/>
    <cellStyle name="Обычный 2 2 11" xfId="511"/>
    <cellStyle name="Обычный 2 2 11 2" xfId="512"/>
    <cellStyle name="Обычный 2 2 12" xfId="513"/>
    <cellStyle name="Обычный 2 2 12 2" xfId="514"/>
    <cellStyle name="Обычный 2 2 13" xfId="515"/>
    <cellStyle name="Обычный 2 2 13 2" xfId="516"/>
    <cellStyle name="Обычный 2 2 14" xfId="517"/>
    <cellStyle name="Обычный 2 2 14 2" xfId="518"/>
    <cellStyle name="Обычный 2 2 15" xfId="519"/>
    <cellStyle name="Обычный 2 2 15 2" xfId="520"/>
    <cellStyle name="Обычный 2 2 16" xfId="521"/>
    <cellStyle name="Обычный 2 2 16 2" xfId="522"/>
    <cellStyle name="Обычный 2 2 17" xfId="523"/>
    <cellStyle name="Обычный 2 2 17 2" xfId="524"/>
    <cellStyle name="Обычный 2 2 18" xfId="525"/>
    <cellStyle name="Обычный 2 2 18 2" xfId="526"/>
    <cellStyle name="Обычный 2 2 19" xfId="527"/>
    <cellStyle name="Обычный 2 2 19 2" xfId="528"/>
    <cellStyle name="Обычный 2 2 2" xfId="529"/>
    <cellStyle name="Обычный 2 2 2 10" xfId="530"/>
    <cellStyle name="Обычный 2 2 2 11" xfId="531"/>
    <cellStyle name="Обычный 2 2 2 12" xfId="532"/>
    <cellStyle name="Обычный 2 2 2 13" xfId="533"/>
    <cellStyle name="Обычный 2 2 2 14" xfId="534"/>
    <cellStyle name="Обычный 2 2 2 15" xfId="535"/>
    <cellStyle name="Обычный 2 2 2 16" xfId="536"/>
    <cellStyle name="Обычный 2 2 2 17" xfId="537"/>
    <cellStyle name="Обычный 2 2 2 18" xfId="538"/>
    <cellStyle name="Обычный 2 2 2 19" xfId="539"/>
    <cellStyle name="Обычный 2 2 2 2" xfId="540"/>
    <cellStyle name="Обычный 2 2 2 2 10" xfId="541"/>
    <cellStyle name="Обычный 2 2 2 2 11" xfId="542"/>
    <cellStyle name="Обычный 2 2 2 2 12" xfId="543"/>
    <cellStyle name="Обычный 2 2 2 2 13" xfId="544"/>
    <cellStyle name="Обычный 2 2 2 2 14" xfId="545"/>
    <cellStyle name="Обычный 2 2 2 2 15" xfId="546"/>
    <cellStyle name="Обычный 2 2 2 2 16" xfId="547"/>
    <cellStyle name="Обычный 2 2 2 2 17" xfId="548"/>
    <cellStyle name="Обычный 2 2 2 2 18" xfId="549"/>
    <cellStyle name="Обычный 2 2 2 2 19" xfId="550"/>
    <cellStyle name="Обычный 2 2 2 2 2" xfId="551"/>
    <cellStyle name="Обычный 2 2 2 2 20" xfId="552"/>
    <cellStyle name="Обычный 2 2 2 2 21" xfId="553"/>
    <cellStyle name="Обычный 2 2 2 2 22" xfId="554"/>
    <cellStyle name="Обычный 2 2 2 2 23" xfId="555"/>
    <cellStyle name="Обычный 2 2 2 2 24" xfId="556"/>
    <cellStyle name="Обычный 2 2 2 2 25" xfId="557"/>
    <cellStyle name="Обычный 2 2 2 2 26" xfId="558"/>
    <cellStyle name="Обычный 2 2 2 2 27" xfId="559"/>
    <cellStyle name="Обычный 2 2 2 2 28" xfId="560"/>
    <cellStyle name="Обычный 2 2 2 2 29" xfId="561"/>
    <cellStyle name="Обычный 2 2 2 2 3" xfId="562"/>
    <cellStyle name="Обычный 2 2 2 2 30" xfId="563"/>
    <cellStyle name="Обычный 2 2 2 2 4" xfId="564"/>
    <cellStyle name="Обычный 2 2 2 2 5" xfId="565"/>
    <cellStyle name="Обычный 2 2 2 2 6" xfId="566"/>
    <cellStyle name="Обычный 2 2 2 2 7" xfId="567"/>
    <cellStyle name="Обычный 2 2 2 2 8" xfId="568"/>
    <cellStyle name="Обычный 2 2 2 2 9" xfId="569"/>
    <cellStyle name="Обычный 2 2 2 20" xfId="570"/>
    <cellStyle name="Обычный 2 2 2 21" xfId="571"/>
    <cellStyle name="Обычный 2 2 2 22" xfId="572"/>
    <cellStyle name="Обычный 2 2 2 23" xfId="573"/>
    <cellStyle name="Обычный 2 2 2 24" xfId="574"/>
    <cellStyle name="Обычный 2 2 2 25" xfId="575"/>
    <cellStyle name="Обычный 2 2 2 26" xfId="576"/>
    <cellStyle name="Обычный 2 2 2 27" xfId="577"/>
    <cellStyle name="Обычный 2 2 2 28" xfId="578"/>
    <cellStyle name="Обычный 2 2 2 29" xfId="579"/>
    <cellStyle name="Обычный 2 2 2 3" xfId="580"/>
    <cellStyle name="Обычный 2 2 2 30" xfId="581"/>
    <cellStyle name="Обычный 2 2 2 31" xfId="582"/>
    <cellStyle name="Обычный 2 2 2 4" xfId="583"/>
    <cellStyle name="Обычный 2 2 2 5" xfId="584"/>
    <cellStyle name="Обычный 2 2 2 6" xfId="585"/>
    <cellStyle name="Обычный 2 2 2 7" xfId="586"/>
    <cellStyle name="Обычный 2 2 2 8" xfId="587"/>
    <cellStyle name="Обычный 2 2 2 9" xfId="588"/>
    <cellStyle name="Обычный 2 2 20" xfId="589"/>
    <cellStyle name="Обычный 2 2 20 2" xfId="590"/>
    <cellStyle name="Обычный 2 2 21" xfId="591"/>
    <cellStyle name="Обычный 2 2 21 2" xfId="592"/>
    <cellStyle name="Обычный 2 2 22" xfId="593"/>
    <cellStyle name="Обычный 2 2 22 2" xfId="594"/>
    <cellStyle name="Обычный 2 2 23" xfId="595"/>
    <cellStyle name="Обычный 2 2 23 2" xfId="596"/>
    <cellStyle name="Обычный 2 2 24" xfId="597"/>
    <cellStyle name="Обычный 2 2 24 2" xfId="598"/>
    <cellStyle name="Обычный 2 2 25" xfId="599"/>
    <cellStyle name="Обычный 2 2 25 2" xfId="600"/>
    <cellStyle name="Обычный 2 2 26" xfId="601"/>
    <cellStyle name="Обычный 2 2 26 2" xfId="602"/>
    <cellStyle name="Обычный 2 2 27" xfId="603"/>
    <cellStyle name="Обычный 2 2 27 2" xfId="604"/>
    <cellStyle name="Обычный 2 2 28" xfId="605"/>
    <cellStyle name="Обычный 2 2 28 2" xfId="606"/>
    <cellStyle name="Обычный 2 2 29" xfId="607"/>
    <cellStyle name="Обычный 2 2 29 2" xfId="608"/>
    <cellStyle name="Обычный 2 2 3" xfId="609"/>
    <cellStyle name="Обычный 2 2 3 2" xfId="610"/>
    <cellStyle name="Обычный 2 2 30" xfId="611"/>
    <cellStyle name="Обычный 2 2 30 2" xfId="612"/>
    <cellStyle name="Обычный 2 2 31" xfId="613"/>
    <cellStyle name="Обычный 2 2 31 2" xfId="614"/>
    <cellStyle name="Обычный 2 2 32" xfId="615"/>
    <cellStyle name="Обычный 2 2 4" xfId="616"/>
    <cellStyle name="Обычный 2 2 4 2" xfId="617"/>
    <cellStyle name="Обычный 2 2 5" xfId="618"/>
    <cellStyle name="Обычный 2 2 5 2" xfId="619"/>
    <cellStyle name="Обычный 2 2 6" xfId="620"/>
    <cellStyle name="Обычный 2 2 6 2" xfId="621"/>
    <cellStyle name="Обычный 2 2 7" xfId="622"/>
    <cellStyle name="Обычный 2 2 7 2" xfId="623"/>
    <cellStyle name="Обычный 2 2 8" xfId="624"/>
    <cellStyle name="Обычный 2 2 8 2" xfId="625"/>
    <cellStyle name="Обычный 2 2 9" xfId="626"/>
    <cellStyle name="Обычный 2 2 9 2" xfId="627"/>
    <cellStyle name="Обычный 2 20" xfId="628"/>
    <cellStyle name="Обычный 2 21" xfId="629"/>
    <cellStyle name="Обычный 2 22" xfId="630"/>
    <cellStyle name="Обычный 2 23" xfId="631"/>
    <cellStyle name="Обычный 2 24" xfId="632"/>
    <cellStyle name="Обычный 2 25" xfId="633"/>
    <cellStyle name="Обычный 2 26" xfId="634"/>
    <cellStyle name="Обычный 2 27" xfId="635"/>
    <cellStyle name="Обычный 2 28" xfId="636"/>
    <cellStyle name="Обычный 2 29" xfId="637"/>
    <cellStyle name="Обычный 2 3" xfId="638"/>
    <cellStyle name="Обычный 2 3 2" xfId="639"/>
    <cellStyle name="Обычный 2 3 3" xfId="640"/>
    <cellStyle name="Обычный 2 30" xfId="641"/>
    <cellStyle name="Обычный 2 31" xfId="642"/>
    <cellStyle name="Обычный 2 32" xfId="643"/>
    <cellStyle name="Обычный 2 33" xfId="644"/>
    <cellStyle name="Обычный 2 34" xfId="645"/>
    <cellStyle name="Обычный 2 34 2" xfId="646"/>
    <cellStyle name="Обычный 2 35" xfId="647"/>
    <cellStyle name="Обычный 2 36" xfId="648"/>
    <cellStyle name="Обычный 2 4" xfId="649"/>
    <cellStyle name="Обычный 2 4 2" xfId="650"/>
    <cellStyle name="Обычный 2 4 3" xfId="651"/>
    <cellStyle name="Обычный 2 5" xfId="652"/>
    <cellStyle name="Обычный 2 5 2" xfId="653"/>
    <cellStyle name="Обычный 2 5 3" xfId="654"/>
    <cellStyle name="Обычный 2 6" xfId="655"/>
    <cellStyle name="Обычный 2 7" xfId="656"/>
    <cellStyle name="Обычный 2 8" xfId="657"/>
    <cellStyle name="Обычный 2 9" xfId="658"/>
    <cellStyle name="Обычный 20" xfId="659"/>
    <cellStyle name="Обычный 20 10" xfId="660"/>
    <cellStyle name="Обычный 20 11" xfId="661"/>
    <cellStyle name="Обычный 20 12" xfId="662"/>
    <cellStyle name="Обычный 20 13" xfId="663"/>
    <cellStyle name="Обычный 20 14" xfId="664"/>
    <cellStyle name="Обычный 20 15" xfId="665"/>
    <cellStyle name="Обычный 20 16" xfId="666"/>
    <cellStyle name="Обычный 20 17" xfId="667"/>
    <cellStyle name="Обычный 20 18" xfId="668"/>
    <cellStyle name="Обычный 20 19" xfId="669"/>
    <cellStyle name="Обычный 20 2" xfId="670"/>
    <cellStyle name="Обычный 20 2 2" xfId="671"/>
    <cellStyle name="Обычный 20 2 2 2" xfId="672"/>
    <cellStyle name="Обычный 20 2 3" xfId="673"/>
    <cellStyle name="Обычный 20 2 4" xfId="674"/>
    <cellStyle name="Обычный 20 20" xfId="675"/>
    <cellStyle name="Обычный 20 21" xfId="676"/>
    <cellStyle name="Обычный 20 22" xfId="677"/>
    <cellStyle name="Обычный 20 23" xfId="678"/>
    <cellStyle name="Обычный 20 24" xfId="679"/>
    <cellStyle name="Обычный 20 25" xfId="680"/>
    <cellStyle name="Обычный 20 26" xfId="681"/>
    <cellStyle name="Обычный 20 27" xfId="682"/>
    <cellStyle name="Обычный 20 28" xfId="683"/>
    <cellStyle name="Обычный 20 29" xfId="684"/>
    <cellStyle name="Обычный 20 3" xfId="685"/>
    <cellStyle name="Обычный 20 3 2" xfId="686"/>
    <cellStyle name="Обычный 20 30" xfId="687"/>
    <cellStyle name="Обычный 20 31" xfId="688"/>
    <cellStyle name="Обычный 20 32" xfId="689"/>
    <cellStyle name="Обычный 20 4" xfId="690"/>
    <cellStyle name="Обычный 20 5" xfId="691"/>
    <cellStyle name="Обычный 20 6" xfId="692"/>
    <cellStyle name="Обычный 20 7" xfId="693"/>
    <cellStyle name="Обычный 20 8" xfId="694"/>
    <cellStyle name="Обычный 20 9" xfId="695"/>
    <cellStyle name="Обычный 21" xfId="696"/>
    <cellStyle name="Обычный 21 2" xfId="697"/>
    <cellStyle name="Обычный 21 2 2" xfId="698"/>
    <cellStyle name="Обычный 21 2 3" xfId="699"/>
    <cellStyle name="Обычный 21 2 4" xfId="700"/>
    <cellStyle name="Обычный 22" xfId="701"/>
    <cellStyle name="Обычный 22 10" xfId="702"/>
    <cellStyle name="Обычный 22 11" xfId="703"/>
    <cellStyle name="Обычный 22 12" xfId="704"/>
    <cellStyle name="Обычный 22 13" xfId="705"/>
    <cellStyle name="Обычный 22 14" xfId="706"/>
    <cellStyle name="Обычный 22 15" xfId="707"/>
    <cellStyle name="Обычный 22 16" xfId="708"/>
    <cellStyle name="Обычный 22 17" xfId="709"/>
    <cellStyle name="Обычный 22 18" xfId="710"/>
    <cellStyle name="Обычный 22 19" xfId="711"/>
    <cellStyle name="Обычный 22 2" xfId="712"/>
    <cellStyle name="Обычный 22 2 2" xfId="713"/>
    <cellStyle name="Обычный 22 2 3" xfId="714"/>
    <cellStyle name="Обычный 22 20" xfId="715"/>
    <cellStyle name="Обычный 22 21" xfId="716"/>
    <cellStyle name="Обычный 22 22" xfId="717"/>
    <cellStyle name="Обычный 22 23" xfId="718"/>
    <cellStyle name="Обычный 22 24" xfId="719"/>
    <cellStyle name="Обычный 22 25" xfId="720"/>
    <cellStyle name="Обычный 22 26" xfId="721"/>
    <cellStyle name="Обычный 22 27" xfId="722"/>
    <cellStyle name="Обычный 22 28" xfId="723"/>
    <cellStyle name="Обычный 22 29" xfId="724"/>
    <cellStyle name="Обычный 22 3" xfId="725"/>
    <cellStyle name="Обычный 22 30" xfId="726"/>
    <cellStyle name="Обычный 22 31" xfId="727"/>
    <cellStyle name="Обычный 22 32" xfId="728"/>
    <cellStyle name="Обычный 22 4" xfId="729"/>
    <cellStyle name="Обычный 22 5" xfId="730"/>
    <cellStyle name="Обычный 22 6" xfId="731"/>
    <cellStyle name="Обычный 22 7" xfId="732"/>
    <cellStyle name="Обычный 22 8" xfId="733"/>
    <cellStyle name="Обычный 22 9" xfId="734"/>
    <cellStyle name="Обычный 23" xfId="735"/>
    <cellStyle name="Обычный 24" xfId="736"/>
    <cellStyle name="Обычный 24 2" xfId="737"/>
    <cellStyle name="Обычный 24 3" xfId="738"/>
    <cellStyle name="Обычный 24 4" xfId="739"/>
    <cellStyle name="Обычный 25" xfId="740"/>
    <cellStyle name="Обычный 25 2" xfId="741"/>
    <cellStyle name="Обычный 256" xfId="742"/>
    <cellStyle name="Обычный 256 2" xfId="743"/>
    <cellStyle name="Обычный 26" xfId="744"/>
    <cellStyle name="Обычный 26 10" xfId="745"/>
    <cellStyle name="Обычный 26 11" xfId="746"/>
    <cellStyle name="Обычный 26 12" xfId="747"/>
    <cellStyle name="Обычный 26 13" xfId="748"/>
    <cellStyle name="Обычный 26 14" xfId="749"/>
    <cellStyle name="Обычный 26 15" xfId="750"/>
    <cellStyle name="Обычный 26 16" xfId="751"/>
    <cellStyle name="Обычный 26 17" xfId="752"/>
    <cellStyle name="Обычный 26 18" xfId="753"/>
    <cellStyle name="Обычный 26 19" xfId="754"/>
    <cellStyle name="Обычный 26 2" xfId="755"/>
    <cellStyle name="Обычный 26 20" xfId="756"/>
    <cellStyle name="Обычный 26 21" xfId="757"/>
    <cellStyle name="Обычный 26 22" xfId="758"/>
    <cellStyle name="Обычный 26 23" xfId="759"/>
    <cellStyle name="Обычный 26 24" xfId="760"/>
    <cellStyle name="Обычный 26 25" xfId="761"/>
    <cellStyle name="Обычный 26 26" xfId="762"/>
    <cellStyle name="Обычный 26 27" xfId="763"/>
    <cellStyle name="Обычный 26 28" xfId="764"/>
    <cellStyle name="Обычный 26 29" xfId="765"/>
    <cellStyle name="Обычный 26 3" xfId="766"/>
    <cellStyle name="Обычный 26 3 2" xfId="767"/>
    <cellStyle name="Обычный 26 30" xfId="768"/>
    <cellStyle name="Обычный 26 31" xfId="769"/>
    <cellStyle name="Обычный 26 32" xfId="770"/>
    <cellStyle name="Обычный 26 4" xfId="771"/>
    <cellStyle name="Обычный 26 5" xfId="772"/>
    <cellStyle name="Обычный 26 6" xfId="773"/>
    <cellStyle name="Обычный 26 7" xfId="774"/>
    <cellStyle name="Обычный 26 8" xfId="775"/>
    <cellStyle name="Обычный 26 9" xfId="776"/>
    <cellStyle name="Обычный 27" xfId="777"/>
    <cellStyle name="Обычный 27 2" xfId="778"/>
    <cellStyle name="Обычный 28" xfId="779"/>
    <cellStyle name="Обычный 29" xfId="780"/>
    <cellStyle name="Обычный 3" xfId="781"/>
    <cellStyle name="Обычный 3 2" xfId="782"/>
    <cellStyle name="Обычный 3 2 2" xfId="783"/>
    <cellStyle name="Обычный 3 2 2 2" xfId="784"/>
    <cellStyle name="Обычный 3 2 3" xfId="785"/>
    <cellStyle name="Обычный 3 2 4" xfId="786"/>
    <cellStyle name="Обычный 3 3" xfId="787"/>
    <cellStyle name="Обычный 3 3 2" xfId="788"/>
    <cellStyle name="Обычный 3 3 2 2" xfId="789"/>
    <cellStyle name="Обычный 3 3 3" xfId="790"/>
    <cellStyle name="Обычный 3 4" xfId="791"/>
    <cellStyle name="Обычный 3 5" xfId="792"/>
    <cellStyle name="Обычный 3 5 2" xfId="793"/>
    <cellStyle name="Обычный 3 6" xfId="794"/>
    <cellStyle name="Обычный 3 7" xfId="795"/>
    <cellStyle name="Обычный 3 8" xfId="796"/>
    <cellStyle name="Обычный 30" xfId="797"/>
    <cellStyle name="Обычный 30 2" xfId="798"/>
    <cellStyle name="Обычный 31" xfId="799"/>
    <cellStyle name="Обычный 31 2" xfId="800"/>
    <cellStyle name="Обычный 32" xfId="801"/>
    <cellStyle name="Обычный 32 2" xfId="802"/>
    <cellStyle name="Обычный 33" xfId="803"/>
    <cellStyle name="Обычный 33 2" xfId="804"/>
    <cellStyle name="Обычный 34" xfId="805"/>
    <cellStyle name="Обычный 34 2" xfId="806"/>
    <cellStyle name="Обычный 35" xfId="807"/>
    <cellStyle name="Обычный 35 10" xfId="808"/>
    <cellStyle name="Обычный 35 11" xfId="809"/>
    <cellStyle name="Обычный 35 12" xfId="810"/>
    <cellStyle name="Обычный 35 13" xfId="811"/>
    <cellStyle name="Обычный 35 14" xfId="812"/>
    <cellStyle name="Обычный 35 15" xfId="813"/>
    <cellStyle name="Обычный 35 16" xfId="814"/>
    <cellStyle name="Обычный 35 17" xfId="815"/>
    <cellStyle name="Обычный 35 18" xfId="816"/>
    <cellStyle name="Обычный 35 19" xfId="817"/>
    <cellStyle name="Обычный 35 2" xfId="818"/>
    <cellStyle name="Обычный 35 2 2" xfId="819"/>
    <cellStyle name="Обычный 35 20" xfId="820"/>
    <cellStyle name="Обычный 35 21" xfId="821"/>
    <cellStyle name="Обычный 35 22" xfId="822"/>
    <cellStyle name="Обычный 35 23" xfId="823"/>
    <cellStyle name="Обычный 35 24" xfId="824"/>
    <cellStyle name="Обычный 35 25" xfId="825"/>
    <cellStyle name="Обычный 35 26" xfId="826"/>
    <cellStyle name="Обычный 35 27" xfId="827"/>
    <cellStyle name="Обычный 35 28" xfId="828"/>
    <cellStyle name="Обычный 35 29" xfId="829"/>
    <cellStyle name="Обычный 35 3" xfId="830"/>
    <cellStyle name="Обычный 35 30" xfId="831"/>
    <cellStyle name="Обычный 35 31" xfId="832"/>
    <cellStyle name="Обычный 35 4" xfId="833"/>
    <cellStyle name="Обычный 35 5" xfId="834"/>
    <cellStyle name="Обычный 35 6" xfId="835"/>
    <cellStyle name="Обычный 35 7" xfId="836"/>
    <cellStyle name="Обычный 35 8" xfId="837"/>
    <cellStyle name="Обычный 35 9" xfId="838"/>
    <cellStyle name="Обычный 36" xfId="839"/>
    <cellStyle name="Обычный 36 2" xfId="840"/>
    <cellStyle name="Обычный 37" xfId="841"/>
    <cellStyle name="Обычный 37 2" xfId="842"/>
    <cellStyle name="Обычный 38" xfId="843"/>
    <cellStyle name="Обычный 38 2" xfId="844"/>
    <cellStyle name="Обычный 39" xfId="845"/>
    <cellStyle name="Обычный 39 2" xfId="846"/>
    <cellStyle name="Обычный 4" xfId="847"/>
    <cellStyle name="Обычный 4 2" xfId="848"/>
    <cellStyle name="Обычный 4 2 2" xfId="849"/>
    <cellStyle name="Обычный 4 2 3" xfId="850"/>
    <cellStyle name="Обычный 4 3" xfId="851"/>
    <cellStyle name="Обычный 4 3 2" xfId="852"/>
    <cellStyle name="Обычный 4 4" xfId="853"/>
    <cellStyle name="Обычный 4 4 2" xfId="854"/>
    <cellStyle name="Обычный 4 5" xfId="855"/>
    <cellStyle name="Обычный 40" xfId="856"/>
    <cellStyle name="Обычный 40 10" xfId="857"/>
    <cellStyle name="Обычный 40 11" xfId="858"/>
    <cellStyle name="Обычный 40 12" xfId="859"/>
    <cellStyle name="Обычный 40 13" xfId="860"/>
    <cellStyle name="Обычный 40 14" xfId="861"/>
    <cellStyle name="Обычный 40 15" xfId="862"/>
    <cellStyle name="Обычный 40 16" xfId="863"/>
    <cellStyle name="Обычный 40 17" xfId="864"/>
    <cellStyle name="Обычный 40 18" xfId="865"/>
    <cellStyle name="Обычный 40 19" xfId="866"/>
    <cellStyle name="Обычный 40 2" xfId="867"/>
    <cellStyle name="Обычный 40 2 2" xfId="868"/>
    <cellStyle name="Обычный 40 20" xfId="869"/>
    <cellStyle name="Обычный 40 21" xfId="870"/>
    <cellStyle name="Обычный 40 22" xfId="871"/>
    <cellStyle name="Обычный 40 23" xfId="872"/>
    <cellStyle name="Обычный 40 24" xfId="873"/>
    <cellStyle name="Обычный 40 25" xfId="874"/>
    <cellStyle name="Обычный 40 26" xfId="875"/>
    <cellStyle name="Обычный 40 27" xfId="876"/>
    <cellStyle name="Обычный 40 28" xfId="877"/>
    <cellStyle name="Обычный 40 29" xfId="878"/>
    <cellStyle name="Обычный 40 3" xfId="879"/>
    <cellStyle name="Обычный 40 30" xfId="880"/>
    <cellStyle name="Обычный 40 31" xfId="881"/>
    <cellStyle name="Обычный 40 32" xfId="882"/>
    <cellStyle name="Обычный 40 4" xfId="883"/>
    <cellStyle name="Обычный 40 5" xfId="884"/>
    <cellStyle name="Обычный 40 6" xfId="885"/>
    <cellStyle name="Обычный 40 7" xfId="886"/>
    <cellStyle name="Обычный 40 8" xfId="887"/>
    <cellStyle name="Обычный 40 9" xfId="888"/>
    <cellStyle name="Обычный 41" xfId="889"/>
    <cellStyle name="Обычный 41 10" xfId="890"/>
    <cellStyle name="Обычный 41 11" xfId="891"/>
    <cellStyle name="Обычный 41 12" xfId="892"/>
    <cellStyle name="Обычный 41 13" xfId="893"/>
    <cellStyle name="Обычный 41 14" xfId="894"/>
    <cellStyle name="Обычный 41 15" xfId="895"/>
    <cellStyle name="Обычный 41 16" xfId="896"/>
    <cellStyle name="Обычный 41 17" xfId="897"/>
    <cellStyle name="Обычный 41 18" xfId="898"/>
    <cellStyle name="Обычный 41 19" xfId="899"/>
    <cellStyle name="Обычный 41 2" xfId="900"/>
    <cellStyle name="Обычный 41 2 2" xfId="901"/>
    <cellStyle name="Обычный 41 20" xfId="902"/>
    <cellStyle name="Обычный 41 21" xfId="903"/>
    <cellStyle name="Обычный 41 22" xfId="904"/>
    <cellStyle name="Обычный 41 23" xfId="905"/>
    <cellStyle name="Обычный 41 24" xfId="906"/>
    <cellStyle name="Обычный 41 25" xfId="907"/>
    <cellStyle name="Обычный 41 26" xfId="908"/>
    <cellStyle name="Обычный 41 27" xfId="909"/>
    <cellStyle name="Обычный 41 28" xfId="910"/>
    <cellStyle name="Обычный 41 29" xfId="911"/>
    <cellStyle name="Обычный 41 3" xfId="912"/>
    <cellStyle name="Обычный 41 30" xfId="913"/>
    <cellStyle name="Обычный 41 31" xfId="914"/>
    <cellStyle name="Обычный 41 32" xfId="915"/>
    <cellStyle name="Обычный 41 4" xfId="916"/>
    <cellStyle name="Обычный 41 5" xfId="917"/>
    <cellStyle name="Обычный 41 6" xfId="918"/>
    <cellStyle name="Обычный 41 7" xfId="919"/>
    <cellStyle name="Обычный 41 8" xfId="920"/>
    <cellStyle name="Обычный 41 9" xfId="921"/>
    <cellStyle name="Обычный 42" xfId="922"/>
    <cellStyle name="Обычный 43" xfId="923"/>
    <cellStyle name="Обычный 44" xfId="924"/>
    <cellStyle name="Обычный 45" xfId="925"/>
    <cellStyle name="Обычный 46" xfId="926"/>
    <cellStyle name="Обычный 47" xfId="927"/>
    <cellStyle name="Обычный 47 2" xfId="928"/>
    <cellStyle name="Обычный 47 3" xfId="929"/>
    <cellStyle name="Обычный 47 4" xfId="930"/>
    <cellStyle name="Обычный 47 5" xfId="931"/>
    <cellStyle name="Обычный 47 6" xfId="932"/>
    <cellStyle name="Обычный 47 7" xfId="933"/>
    <cellStyle name="Обычный 48" xfId="934"/>
    <cellStyle name="Обычный 48 2" xfId="935"/>
    <cellStyle name="Обычный 48 3" xfId="936"/>
    <cellStyle name="Обычный 49" xfId="937"/>
    <cellStyle name="Обычный 5" xfId="938"/>
    <cellStyle name="Обычный 5 2" xfId="939"/>
    <cellStyle name="Обычный 5 2 2" xfId="940"/>
    <cellStyle name="Обычный 5 2 2 2" xfId="941"/>
    <cellStyle name="Обычный 5 2 3" xfId="942"/>
    <cellStyle name="Обычный 5 3" xfId="943"/>
    <cellStyle name="Обычный 5 3 2" xfId="944"/>
    <cellStyle name="Обычный 5 3 2 2" xfId="945"/>
    <cellStyle name="Обычный 5 3 3" xfId="946"/>
    <cellStyle name="Обычный 5 3 4" xfId="947"/>
    <cellStyle name="Обычный 5 4" xfId="948"/>
    <cellStyle name="Обычный 5 4 2" xfId="949"/>
    <cellStyle name="Обычный 5 5" xfId="950"/>
    <cellStyle name="Обычный 5 5 2" xfId="951"/>
    <cellStyle name="Обычный 5 6" xfId="952"/>
    <cellStyle name="Обычный 5 6 2" xfId="953"/>
    <cellStyle name="Обычный 5 7" xfId="954"/>
    <cellStyle name="Обычный 5 7 2" xfId="955"/>
    <cellStyle name="Обычный 5 8" xfId="956"/>
    <cellStyle name="Обычный 5 8 2" xfId="957"/>
    <cellStyle name="Обычный 50" xfId="958"/>
    <cellStyle name="Обычный 51" xfId="959"/>
    <cellStyle name="Обычный 52" xfId="960"/>
    <cellStyle name="Обычный 53" xfId="961"/>
    <cellStyle name="Обычный 54" xfId="962"/>
    <cellStyle name="Обычный 55" xfId="963"/>
    <cellStyle name="Обычный 56" xfId="964"/>
    <cellStyle name="Обычный 57" xfId="965"/>
    <cellStyle name="Обычный 58" xfId="966"/>
    <cellStyle name="Обычный 59" xfId="967"/>
    <cellStyle name="Обычный 6" xfId="968"/>
    <cellStyle name="Обычный 6 2" xfId="969"/>
    <cellStyle name="Обычный 6 2 2" xfId="970"/>
    <cellStyle name="Обычный 6 2 3" xfId="971"/>
    <cellStyle name="Обычный 6 3" xfId="972"/>
    <cellStyle name="Обычный 6 3 2" xfId="973"/>
    <cellStyle name="Обычный 6 4" xfId="974"/>
    <cellStyle name="Обычный 6 5" xfId="975"/>
    <cellStyle name="Обычный 6 6" xfId="976"/>
    <cellStyle name="Обычный 60" xfId="977"/>
    <cellStyle name="Обычный 61" xfId="978"/>
    <cellStyle name="Обычный 62" xfId="979"/>
    <cellStyle name="Обычный 63" xfId="980"/>
    <cellStyle name="Обычный 64" xfId="981"/>
    <cellStyle name="Обычный 65" xfId="982"/>
    <cellStyle name="Обычный 65 2" xfId="983"/>
    <cellStyle name="Обычный 66" xfId="984"/>
    <cellStyle name="Обычный 66 2" xfId="985"/>
    <cellStyle name="Обычный 66 3" xfId="986"/>
    <cellStyle name="Обычный 67" xfId="987"/>
    <cellStyle name="Обычный 68" xfId="988"/>
    <cellStyle name="Обычный 69" xfId="989"/>
    <cellStyle name="Обычный 7" xfId="990"/>
    <cellStyle name="Обычный 7 2" xfId="991"/>
    <cellStyle name="Обычный 7 2 2" xfId="992"/>
    <cellStyle name="Обычный 7 2 3" xfId="993"/>
    <cellStyle name="Обычный 7 3" xfId="994"/>
    <cellStyle name="Обычный 7 3 2" xfId="995"/>
    <cellStyle name="Обычный 7 4" xfId="996"/>
    <cellStyle name="Обычный 7 4 2" xfId="997"/>
    <cellStyle name="Обычный 7 5" xfId="998"/>
    <cellStyle name="Обычный 70" xfId="999"/>
    <cellStyle name="Обычный 71" xfId="1000"/>
    <cellStyle name="Обычный 72" xfId="1001"/>
    <cellStyle name="Обычный 73" xfId="1002"/>
    <cellStyle name="Обычный 73 2" xfId="1003"/>
    <cellStyle name="Обычный 73 3" xfId="1004"/>
    <cellStyle name="Обычный 73 4" xfId="1005"/>
    <cellStyle name="Обычный 74" xfId="1006"/>
    <cellStyle name="Обычный 75" xfId="1007"/>
    <cellStyle name="Обычный 75 2" xfId="1008"/>
    <cellStyle name="Обычный 76" xfId="1009"/>
    <cellStyle name="Обычный 77" xfId="1010"/>
    <cellStyle name="Обычный 78" xfId="1011"/>
    <cellStyle name="Обычный 78 2" xfId="1012"/>
    <cellStyle name="Обычный 78 3" xfId="1013"/>
    <cellStyle name="Обычный 79" xfId="1014"/>
    <cellStyle name="Обычный 8" xfId="1015"/>
    <cellStyle name="Обычный 8 2" xfId="1016"/>
    <cellStyle name="Обычный 8 2 2" xfId="1017"/>
    <cellStyle name="Обычный 8 2 3" xfId="1018"/>
    <cellStyle name="Обычный 8 3" xfId="1019"/>
    <cellStyle name="Обычный 8 3 2" xfId="1020"/>
    <cellStyle name="Обычный 8 4" xfId="1021"/>
    <cellStyle name="Обычный 8 5" xfId="1022"/>
    <cellStyle name="Обычный 8 6" xfId="1023"/>
    <cellStyle name="Обычный 80" xfId="1024"/>
    <cellStyle name="Обычный 81" xfId="1025"/>
    <cellStyle name="Обычный 82" xfId="1026"/>
    <cellStyle name="Обычный 83" xfId="1027"/>
    <cellStyle name="Обычный 84" xfId="1028"/>
    <cellStyle name="Обычный 85" xfId="1029"/>
    <cellStyle name="Обычный 86" xfId="1030"/>
    <cellStyle name="Обычный 87" xfId="1031"/>
    <cellStyle name="Обычный 87 2" xfId="1032"/>
    <cellStyle name="Обычный 87 3" xfId="1033"/>
    <cellStyle name="Обычный 88" xfId="1034"/>
    <cellStyle name="Обычный 88 2" xfId="1035"/>
    <cellStyle name="Обычный 88 3" xfId="1036"/>
    <cellStyle name="Обычный 89" xfId="1037"/>
    <cellStyle name="Обычный 9" xfId="1038"/>
    <cellStyle name="Обычный 9 2" xfId="1039"/>
    <cellStyle name="Обычный 9 2 2" xfId="1040"/>
    <cellStyle name="Обычный 9 2 3" xfId="1041"/>
    <cellStyle name="Обычный 9 3" xfId="1042"/>
    <cellStyle name="Обычный 9 3 2" xfId="1043"/>
    <cellStyle name="Обычный 9 4" xfId="1044"/>
    <cellStyle name="Обычный 90" xfId="1045"/>
    <cellStyle name="Обычный 90 2" xfId="1046"/>
    <cellStyle name="Обычный 91" xfId="1047"/>
    <cellStyle name="Обычный 92" xfId="1048"/>
    <cellStyle name="Обычный 92 2" xfId="1049"/>
    <cellStyle name="Обычный 93" xfId="1050"/>
    <cellStyle name="Обычный 93 2" xfId="1051"/>
    <cellStyle name="Обычный 93 3" xfId="1052"/>
    <cellStyle name="Обычный 94" xfId="1053"/>
    <cellStyle name="Обычный 94 2" xfId="1054"/>
    <cellStyle name="Обычный 94 3" xfId="1055"/>
    <cellStyle name="Обычный 95" xfId="1056"/>
    <cellStyle name="Обычный 95 2" xfId="1057"/>
    <cellStyle name="Обычный 96" xfId="1058"/>
    <cellStyle name="Обычный 97" xfId="1059"/>
    <cellStyle name="Обычный 97 2" xfId="1060"/>
    <cellStyle name="Обычный 98" xfId="1061"/>
    <cellStyle name="Обычный 99" xfId="1062"/>
    <cellStyle name="Обычный 99 2" xfId="1063"/>
    <cellStyle name="Обычный 99 2 2" xfId="1064"/>
    <cellStyle name="Примечание 10" xfId="1065"/>
    <cellStyle name="Примечание 11" xfId="1066"/>
    <cellStyle name="Примечание 12" xfId="1067"/>
    <cellStyle name="Примечание 13" xfId="1068"/>
    <cellStyle name="Примечание 14" xfId="1069"/>
    <cellStyle name="Примечание 15" xfId="1070"/>
    <cellStyle name="Примечание 16" xfId="1071"/>
    <cellStyle name="Примечание 17" xfId="1072"/>
    <cellStyle name="Примечание 18" xfId="1073"/>
    <cellStyle name="Примечание 19" xfId="1074"/>
    <cellStyle name="Примечание 2" xfId="1075"/>
    <cellStyle name="Примечание 2 2" xfId="1076"/>
    <cellStyle name="Примечание 2 3" xfId="1077"/>
    <cellStyle name="Примечание 20" xfId="1078"/>
    <cellStyle name="Примечание 21" xfId="1079"/>
    <cellStyle name="Примечание 22" xfId="1080"/>
    <cellStyle name="Примечание 23" xfId="1081"/>
    <cellStyle name="Примечание 24" xfId="1082"/>
    <cellStyle name="Примечание 25" xfId="1083"/>
    <cellStyle name="Примечание 26" xfId="1084"/>
    <cellStyle name="Примечание 27" xfId="1085"/>
    <cellStyle name="Примечание 28" xfId="1086"/>
    <cellStyle name="Примечание 29" xfId="1087"/>
    <cellStyle name="Примечание 3" xfId="1088"/>
    <cellStyle name="Примечание 3 2" xfId="1089"/>
    <cellStyle name="Примечание 3 3" xfId="1090"/>
    <cellStyle name="Примечание 30" xfId="1091"/>
    <cellStyle name="Примечание 4" xfId="1092"/>
    <cellStyle name="Примечание 4 2" xfId="1093"/>
    <cellStyle name="Примечание 4 3" xfId="1094"/>
    <cellStyle name="Примечание 5" xfId="1095"/>
    <cellStyle name="Примечание 5 2" xfId="1096"/>
    <cellStyle name="Примечание 5 3" xfId="1097"/>
    <cellStyle name="Примечание 6" xfId="1098"/>
    <cellStyle name="Примечание 6 2" xfId="1099"/>
    <cellStyle name="Примечание 6 3" xfId="1100"/>
    <cellStyle name="Примечание 7" xfId="1101"/>
    <cellStyle name="Примечание 7 2" xfId="1102"/>
    <cellStyle name="Примечание 7 3" xfId="1103"/>
    <cellStyle name="Примечание 8" xfId="1104"/>
    <cellStyle name="Примечание 8 2" xfId="1105"/>
    <cellStyle name="Примечание 8 3" xfId="1106"/>
    <cellStyle name="Примечание 9" xfId="1107"/>
    <cellStyle name="Примечание 9 2" xfId="1108"/>
    <cellStyle name="Процентный" xfId="1109" builtinId="5"/>
    <cellStyle name="Процентный 2" xfId="1110"/>
    <cellStyle name="Процентный 2 2" xfId="1111"/>
    <cellStyle name="Процентный 2 2 2" xfId="1112"/>
    <cellStyle name="Процентный 2 2 3" xfId="1113"/>
    <cellStyle name="Процентный 2 3" xfId="1114"/>
    <cellStyle name="Процентный 2 4" xfId="1115"/>
    <cellStyle name="Процентный 2 5" xfId="1116"/>
    <cellStyle name="Процентный 2 6" xfId="1117"/>
    <cellStyle name="Процентный 2 7" xfId="1118"/>
    <cellStyle name="Процентный 3" xfId="1119"/>
    <cellStyle name="Процентный 4" xfId="1120"/>
    <cellStyle name="Стиль 1" xfId="1121"/>
    <cellStyle name="Финансовый" xfId="1122" builtinId="3"/>
    <cellStyle name="Финансовый [0] 2" xfId="1123"/>
    <cellStyle name="Финансовый [0] 2 2" xfId="1124"/>
    <cellStyle name="Финансовый [0] 67" xfId="1125"/>
    <cellStyle name="Финансовый 10" xfId="1126"/>
    <cellStyle name="Финансовый 10 2" xfId="1127"/>
    <cellStyle name="Финансовый 11" xfId="1128"/>
    <cellStyle name="Финансовый 11 2" xfId="1129"/>
    <cellStyle name="Финансовый 13" xfId="1130"/>
    <cellStyle name="Финансовый 13 2" xfId="1131"/>
    <cellStyle name="Финансовый 13 3" xfId="1132"/>
    <cellStyle name="Финансовый 17" xfId="1133"/>
    <cellStyle name="Финансовый 19" xfId="1134"/>
    <cellStyle name="Финансовый 19 2" xfId="1135"/>
    <cellStyle name="Финансовый 19 3" xfId="1136"/>
    <cellStyle name="Финансовый 2" xfId="1137"/>
    <cellStyle name="Финансовый 2 10" xfId="1138"/>
    <cellStyle name="Финансовый 2 11" xfId="1139"/>
    <cellStyle name="Финансовый 2 12" xfId="1140"/>
    <cellStyle name="Финансовый 2 13" xfId="1141"/>
    <cellStyle name="Финансовый 2 14" xfId="1142"/>
    <cellStyle name="Финансовый 2 15" xfId="1143"/>
    <cellStyle name="Финансовый 2 16" xfId="1144"/>
    <cellStyle name="Финансовый 2 17" xfId="1145"/>
    <cellStyle name="Финансовый 2 18" xfId="1146"/>
    <cellStyle name="Финансовый 2 19" xfId="1147"/>
    <cellStyle name="Финансовый 2 2" xfId="1148"/>
    <cellStyle name="Финансовый 2 2 2" xfId="1149"/>
    <cellStyle name="Финансовый 2 2 2 2" xfId="1150"/>
    <cellStyle name="Финансовый 2 2 2 3" xfId="1151"/>
    <cellStyle name="Финансовый 2 2 3" xfId="1152"/>
    <cellStyle name="Финансовый 2 2 4" xfId="1153"/>
    <cellStyle name="Финансовый 2 20" xfId="1154"/>
    <cellStyle name="Финансовый 2 21" xfId="1155"/>
    <cellStyle name="Финансовый 2 22" xfId="1156"/>
    <cellStyle name="Финансовый 2 23" xfId="1157"/>
    <cellStyle name="Финансовый 2 24" xfId="1158"/>
    <cellStyle name="Финансовый 2 25" xfId="1159"/>
    <cellStyle name="Финансовый 2 26" xfId="1160"/>
    <cellStyle name="Финансовый 2 27" xfId="1161"/>
    <cellStyle name="Финансовый 2 28" xfId="1162"/>
    <cellStyle name="Финансовый 2 29" xfId="1163"/>
    <cellStyle name="Финансовый 2 3" xfId="1164"/>
    <cellStyle name="Финансовый 2 3 2" xfId="1165"/>
    <cellStyle name="Финансовый 2 3 3" xfId="1166"/>
    <cellStyle name="Финансовый 2 3 4" xfId="1167"/>
    <cellStyle name="Финансовый 2 30" xfId="1168"/>
    <cellStyle name="Финансовый 2 4" xfId="1169"/>
    <cellStyle name="Финансовый 2 4 2" xfId="1170"/>
    <cellStyle name="Финансовый 2 4 3" xfId="1171"/>
    <cellStyle name="Финансовый 2 4 4" xfId="1172"/>
    <cellStyle name="Финансовый 2 5" xfId="1173"/>
    <cellStyle name="Финансовый 2 5 2" xfId="1174"/>
    <cellStyle name="Финансовый 2 6" xfId="1175"/>
    <cellStyle name="Финансовый 2 6 2" xfId="1176"/>
    <cellStyle name="Финансовый 2 7" xfId="1177"/>
    <cellStyle name="Финансовый 2 8" xfId="1178"/>
    <cellStyle name="Финансовый 2 9" xfId="1179"/>
    <cellStyle name="Финансовый 20" xfId="1180"/>
    <cellStyle name="Финансовый 21" xfId="1181"/>
    <cellStyle name="Финансовый 23" xfId="1182"/>
    <cellStyle name="Финансовый 24" xfId="1183"/>
    <cellStyle name="Финансовый 25" xfId="1184"/>
    <cellStyle name="Финансовый 26" xfId="1185"/>
    <cellStyle name="Финансовый 27" xfId="1186"/>
    <cellStyle name="Финансовый 28" xfId="1187"/>
    <cellStyle name="Финансовый 3" xfId="1188"/>
    <cellStyle name="Финансовый 3 10" xfId="1189"/>
    <cellStyle name="Финансовый 3 11" xfId="1190"/>
    <cellStyle name="Финансовый 3 12" xfId="1191"/>
    <cellStyle name="Финансовый 3 13" xfId="1192"/>
    <cellStyle name="Финансовый 3 14" xfId="1193"/>
    <cellStyle name="Финансовый 3 15" xfId="1194"/>
    <cellStyle name="Финансовый 3 16" xfId="1195"/>
    <cellStyle name="Финансовый 3 17" xfId="1196"/>
    <cellStyle name="Финансовый 3 18" xfId="1197"/>
    <cellStyle name="Финансовый 3 19" xfId="1198"/>
    <cellStyle name="Финансовый 3 2" xfId="1199"/>
    <cellStyle name="Финансовый 3 2 2" xfId="1200"/>
    <cellStyle name="Финансовый 3 2 2 2" xfId="1201"/>
    <cellStyle name="Финансовый 3 2 2 3" xfId="1202"/>
    <cellStyle name="Финансовый 3 2 3" xfId="1203"/>
    <cellStyle name="Финансовый 3 2 3 2" xfId="1204"/>
    <cellStyle name="Финансовый 3 2 4" xfId="1205"/>
    <cellStyle name="Финансовый 3 2 5" xfId="1206"/>
    <cellStyle name="Финансовый 3 2 6" xfId="1207"/>
    <cellStyle name="Финансовый 3 20" xfId="1208"/>
    <cellStyle name="Финансовый 3 21" xfId="1209"/>
    <cellStyle name="Финансовый 3 22" xfId="1210"/>
    <cellStyle name="Финансовый 3 3" xfId="1211"/>
    <cellStyle name="Финансовый 3 3 2" xfId="1212"/>
    <cellStyle name="Финансовый 3 3 3" xfId="1213"/>
    <cellStyle name="Финансовый 3 4" xfId="1214"/>
    <cellStyle name="Финансовый 3 4 2" xfId="1215"/>
    <cellStyle name="Финансовый 3 4 3" xfId="1216"/>
    <cellStyle name="Финансовый 3 5" xfId="1217"/>
    <cellStyle name="Финансовый 3 5 2" xfId="1218"/>
    <cellStyle name="Финансовый 3 5 3" xfId="1219"/>
    <cellStyle name="Финансовый 3 5 4" xfId="1220"/>
    <cellStyle name="Финансовый 3 6" xfId="1221"/>
    <cellStyle name="Финансовый 3 6 2" xfId="1222"/>
    <cellStyle name="Финансовый 3 7" xfId="1223"/>
    <cellStyle name="Финансовый 3 7 2" xfId="1224"/>
    <cellStyle name="Финансовый 3 8" xfId="1225"/>
    <cellStyle name="Финансовый 3 9" xfId="1226"/>
    <cellStyle name="Финансовый 30" xfId="1227"/>
    <cellStyle name="Финансовый 31" xfId="1228"/>
    <cellStyle name="Финансовый 31 2" xfId="1229"/>
    <cellStyle name="Финансовый 32" xfId="1230"/>
    <cellStyle name="Финансовый 32 2" xfId="1231"/>
    <cellStyle name="Финансовый 33" xfId="1232"/>
    <cellStyle name="Финансовый 33 2" xfId="1233"/>
    <cellStyle name="Финансовый 34" xfId="1234"/>
    <cellStyle name="Финансовый 34 2" xfId="1235"/>
    <cellStyle name="Финансовый 35" xfId="1236"/>
    <cellStyle name="Финансовый 35 2" xfId="1237"/>
    <cellStyle name="Финансовый 36" xfId="1238"/>
    <cellStyle name="Финансовый 36 2" xfId="1239"/>
    <cellStyle name="Финансовый 37" xfId="1240"/>
    <cellStyle name="Финансовый 37 2" xfId="1241"/>
    <cellStyle name="Финансовый 38" xfId="1242"/>
    <cellStyle name="Финансовый 38 2" xfId="1243"/>
    <cellStyle name="Финансовый 39" xfId="1244"/>
    <cellStyle name="Финансовый 4" xfId="1245"/>
    <cellStyle name="Финансовый 4 2" xfId="1246"/>
    <cellStyle name="Финансовый 4 2 2" xfId="1247"/>
    <cellStyle name="Финансовый 4 2 2 2" xfId="1248"/>
    <cellStyle name="Финансовый 4 2 3" xfId="1249"/>
    <cellStyle name="Финансовый 4 3" xfId="1250"/>
    <cellStyle name="Финансовый 4 3 2" xfId="1251"/>
    <cellStyle name="Финансовый 4 4" xfId="1252"/>
    <cellStyle name="Финансовый 4 4 2" xfId="1253"/>
    <cellStyle name="Финансовый 4 5" xfId="1254"/>
    <cellStyle name="Финансовый 4 6" xfId="1255"/>
    <cellStyle name="Финансовый 4 7" xfId="1256"/>
    <cellStyle name="Финансовый 4 8" xfId="1257"/>
    <cellStyle name="Финансовый 4 9" xfId="1258"/>
    <cellStyle name="Финансовый 40" xfId="1259"/>
    <cellStyle name="Финансовый 41" xfId="1260"/>
    <cellStyle name="Финансовый 42" xfId="1261"/>
    <cellStyle name="Финансовый 42 2" xfId="1262"/>
    <cellStyle name="Финансовый 44" xfId="1263"/>
    <cellStyle name="Финансовый 46" xfId="1264"/>
    <cellStyle name="Финансовый 47" xfId="1265"/>
    <cellStyle name="Финансовый 5" xfId="1266"/>
    <cellStyle name="Финансовый 5 2" xfId="1267"/>
    <cellStyle name="Финансовый 5 2 2" xfId="1268"/>
    <cellStyle name="Финансовый 5 3" xfId="1269"/>
    <cellStyle name="Финансовый 5 3 2" xfId="1270"/>
    <cellStyle name="Финансовый 5 3 3" xfId="1271"/>
    <cellStyle name="Финансовый 5 4" xfId="1272"/>
    <cellStyle name="Финансовый 5 5" xfId="1273"/>
    <cellStyle name="Финансовый 6" xfId="1274"/>
    <cellStyle name="Финансовый 6 2" xfId="1275"/>
    <cellStyle name="Финансовый 6 2 2" xfId="1276"/>
    <cellStyle name="Финансовый 6 2 3" xfId="1277"/>
    <cellStyle name="Финансовый 6 3" xfId="1278"/>
    <cellStyle name="Финансовый 6 4" xfId="1279"/>
    <cellStyle name="Финансовый 7" xfId="1280"/>
    <cellStyle name="Финансовый 7 2" xfId="1281"/>
    <cellStyle name="Финансовый 7 2 2" xfId="1282"/>
    <cellStyle name="Финансовый 7 2 3" xfId="1283"/>
    <cellStyle name="Финансовый 7 3" xfId="1284"/>
    <cellStyle name="Финансовый 8" xfId="1285"/>
    <cellStyle name="Финансовый 8 2" xfId="1286"/>
    <cellStyle name="Финансовый 9" xfId="1287"/>
    <cellStyle name="Џђћ–…ќ’ќ›‰" xfId="1288"/>
  </cellStyles>
  <dxfs count="397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48;&#1040;&#1051;&#1050;&#1040;/2-&#1054;&#1081;&#1083;&#1080;&#1082;%20&#1093;&#1080;&#1089;&#1086;&#1073;&#1086;&#1090;/01.05.2020/&#1043;&#1072;&#1079;&#1085;&#1072;&#1095;&#1080;&#1083;&#1080;&#1082;/&#1086;&#1088;&#1080;&#1075;&#1080;&#1085;&#1072;&#1083;%2021-&#1089;&#1091;&#1084;-&#1074;&#1072;&#1083;&#1102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алю баланс"/>
      <sheetName val="Баланс"/>
      <sheetName val="Баланс ташла"/>
    </sheetNames>
    <sheetDataSet>
      <sheetData sheetId="0"/>
      <sheetData sheetId="1"/>
      <sheetData sheetId="2">
        <row r="1">
          <cell r="A1" t="str">
            <v>IABS</v>
          </cell>
          <cell r="E1">
            <v>43952.418067129627</v>
          </cell>
        </row>
        <row r="2">
          <cell r="A2" t="str">
            <v>БАНК 09005-АТБ "MIKROKREDITBANK"</v>
          </cell>
        </row>
        <row r="3">
          <cell r="A3" t="str">
            <v>Банк: ""МИКРОКРЕДИТБАНК" АТ БАНКИ"</v>
          </cell>
          <cell r="E3" t="str">
            <v>Форма 0106BS</v>
          </cell>
        </row>
        <row r="4">
          <cell r="A4" t="str">
            <v>КОНСОЛИДИРОВАННЫЙ БАЛАНСОВЫЙ ОТЧЕТ за 30.04.2020</v>
          </cell>
        </row>
        <row r="5">
          <cell r="A5" t="str">
            <v>Ед.изм. сум/тийин</v>
          </cell>
          <cell r="D5" t="str">
            <v>АКТИВЫ И ОБЯЗАТЕЛЬСТВА</v>
          </cell>
        </row>
        <row r="6">
          <cell r="A6" t="str">
            <v>Счет</v>
          </cell>
          <cell r="B6" t="str">
            <v>Наименование</v>
          </cell>
          <cell r="C6" t="str">
            <v>Итого в сумах</v>
          </cell>
          <cell r="D6" t="str">
            <v>НЕРЕЗИДЕНТ</v>
          </cell>
          <cell r="F6" t="str">
            <v>РЕЗИДЕНТ</v>
          </cell>
        </row>
        <row r="7">
          <cell r="D7" t="str">
            <v>В нац. валюте</v>
          </cell>
          <cell r="E7" t="str">
            <v>Инвалюта в эквивал. на сумы</v>
          </cell>
          <cell r="F7" t="str">
            <v>В нац. валюте</v>
          </cell>
          <cell r="G7" t="str">
            <v>Инвалюта в эквивал. на сумы</v>
          </cell>
        </row>
        <row r="8">
          <cell r="A8" t="str">
            <v>1 АКТИВЛАР</v>
          </cell>
        </row>
        <row r="9">
          <cell r="A9" t="str">
            <v>10100</v>
          </cell>
          <cell r="B9" t="str">
            <v>Кассадаги накд пул ва бошка тулов хужжатлари</v>
          </cell>
        </row>
        <row r="10">
          <cell r="A10" t="str">
            <v>10101</v>
          </cell>
          <cell r="B10" t="str">
            <v>Айланма кассадаги накд пуллар</v>
          </cell>
          <cell r="C10">
            <v>92888885993.119995</v>
          </cell>
          <cell r="D10">
            <v>0</v>
          </cell>
          <cell r="E10">
            <v>0</v>
          </cell>
          <cell r="F10">
            <v>708766039.80999994</v>
          </cell>
          <cell r="G10">
            <v>92180119953.309998</v>
          </cell>
        </row>
        <row r="11">
          <cell r="A11" t="str">
            <v>10102</v>
          </cell>
          <cell r="B11" t="str">
            <v>Накд пуллар захираси</v>
          </cell>
          <cell r="C11">
            <v>29264930110</v>
          </cell>
          <cell r="D11">
            <v>0</v>
          </cell>
          <cell r="E11">
            <v>0</v>
          </cell>
          <cell r="F11">
            <v>29264930110</v>
          </cell>
          <cell r="G11">
            <v>0</v>
          </cell>
        </row>
        <row r="12">
          <cell r="A12" t="str">
            <v>10103</v>
          </cell>
          <cell r="B12" t="str">
            <v>Пул алмаштириш шахобчаларидаги накд пуллар</v>
          </cell>
          <cell r="C12">
            <v>320161247</v>
          </cell>
          <cell r="D12">
            <v>0</v>
          </cell>
          <cell r="E12">
            <v>0</v>
          </cell>
          <cell r="F12">
            <v>109533660</v>
          </cell>
          <cell r="G12">
            <v>210627587</v>
          </cell>
        </row>
        <row r="13">
          <cell r="A13" t="str">
            <v>10107</v>
          </cell>
          <cell r="B13" t="str">
            <v>Банкоматлардаги накд пуллар</v>
          </cell>
          <cell r="C13">
            <v>16141930065.5</v>
          </cell>
          <cell r="D13">
            <v>0</v>
          </cell>
          <cell r="E13">
            <v>0</v>
          </cell>
          <cell r="F13">
            <v>16141930065.5</v>
          </cell>
          <cell r="G13">
            <v>0</v>
          </cell>
        </row>
        <row r="14">
          <cell r="A14" t="str">
            <v>10109</v>
          </cell>
          <cell r="B14" t="str">
            <v>Йулдаги накд пуллар</v>
          </cell>
          <cell r="C14">
            <v>4934999489</v>
          </cell>
          <cell r="D14">
            <v>0</v>
          </cell>
          <cell r="E14">
            <v>0</v>
          </cell>
          <cell r="F14">
            <v>3404165900</v>
          </cell>
          <cell r="G14">
            <v>1530833589</v>
          </cell>
        </row>
        <row r="15">
          <cell r="A15" t="str">
            <v>10111</v>
          </cell>
          <cell r="B15" t="str">
            <v>Амалиёт (операцион) кассалардаги накд пуллар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10198</v>
          </cell>
          <cell r="B16" t="str">
            <v>Марказий банкка топширилиши лозим булган накд пул захираси</v>
          </cell>
          <cell r="C16">
            <v>1364139050</v>
          </cell>
          <cell r="D16">
            <v>0</v>
          </cell>
          <cell r="E16">
            <v>0</v>
          </cell>
          <cell r="F16">
            <v>1364139050</v>
          </cell>
          <cell r="G16">
            <v>0</v>
          </cell>
        </row>
        <row r="17">
          <cell r="A17" t="str">
            <v>Итого</v>
          </cell>
          <cell r="B17" t="str">
            <v>10100</v>
          </cell>
          <cell r="C17">
            <v>144915045954.62</v>
          </cell>
          <cell r="D17">
            <v>0</v>
          </cell>
          <cell r="E17">
            <v>0</v>
          </cell>
          <cell r="F17">
            <v>50993464825.309998</v>
          </cell>
          <cell r="G17">
            <v>93921581129.309998</v>
          </cell>
        </row>
        <row r="18">
          <cell r="A18" t="str">
            <v>10300</v>
          </cell>
          <cell r="B18" t="str">
            <v>Банкнинг Узбекистон Республикаси Марказий банкидаги (УзРМБ) хисобвараклари</v>
          </cell>
        </row>
        <row r="19">
          <cell r="A19" t="str">
            <v>10301</v>
          </cell>
          <cell r="B19" t="str">
            <v>Марказий банкдаги вакиллик хисобвараги - Ностро</v>
          </cell>
          <cell r="C19">
            <v>130275892421.16</v>
          </cell>
          <cell r="D19">
            <v>0</v>
          </cell>
          <cell r="E19">
            <v>0</v>
          </cell>
          <cell r="F19">
            <v>130275892421.16</v>
          </cell>
          <cell r="G19">
            <v>0</v>
          </cell>
        </row>
        <row r="20">
          <cell r="A20" t="str">
            <v>10307</v>
          </cell>
          <cell r="B20" t="str">
            <v>Марказий банкдан олиниши лозим булган маблаглар - Накд пуллар</v>
          </cell>
          <cell r="C20">
            <v>7091000000</v>
          </cell>
          <cell r="D20">
            <v>0</v>
          </cell>
          <cell r="E20">
            <v>0</v>
          </cell>
          <cell r="F20">
            <v>0</v>
          </cell>
          <cell r="G20">
            <v>7091000000</v>
          </cell>
        </row>
        <row r="21">
          <cell r="A21" t="str">
            <v>10309</v>
          </cell>
          <cell r="B21" t="str">
            <v>Марказий банкдаги мажбурий захира хисобвараги</v>
          </cell>
          <cell r="C21">
            <v>43778105771.360001</v>
          </cell>
          <cell r="D21">
            <v>0</v>
          </cell>
          <cell r="E21">
            <v>0</v>
          </cell>
          <cell r="F21">
            <v>43778105771.360001</v>
          </cell>
          <cell r="G21">
            <v>0</v>
          </cell>
        </row>
        <row r="22">
          <cell r="A22" t="str">
            <v>10311</v>
          </cell>
          <cell r="B22" t="str">
            <v>Марказий банкдан олишини лозим булган маблаглар - топширилган накд пуллар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Итого</v>
          </cell>
          <cell r="B23" t="str">
            <v>10300</v>
          </cell>
          <cell r="C23">
            <v>181144998192.51999</v>
          </cell>
          <cell r="D23">
            <v>0</v>
          </cell>
          <cell r="E23">
            <v>0</v>
          </cell>
          <cell r="F23">
            <v>174053998192.51999</v>
          </cell>
          <cell r="G23">
            <v>7091000000</v>
          </cell>
        </row>
        <row r="24">
          <cell r="A24" t="str">
            <v>10500</v>
          </cell>
          <cell r="B24" t="str">
            <v>Банкнинг бошка банклардаги хисобвараклари</v>
          </cell>
        </row>
        <row r="25">
          <cell r="A25" t="str">
            <v>10501</v>
          </cell>
          <cell r="B25" t="str">
            <v>Бошка банклардаги вакиллик хисобвараклари - Ностро</v>
          </cell>
          <cell r="C25">
            <v>211358903280.35001</v>
          </cell>
          <cell r="D25">
            <v>0</v>
          </cell>
          <cell r="E25">
            <v>21532907122.099998</v>
          </cell>
          <cell r="F25">
            <v>0</v>
          </cell>
          <cell r="G25">
            <v>189825996158.25</v>
          </cell>
          <cell r="H25">
            <v>575055208001.27002</v>
          </cell>
          <cell r="I25">
            <v>575055208.00127006</v>
          </cell>
          <cell r="J25">
            <v>211358903280.35001</v>
          </cell>
        </row>
        <row r="26">
          <cell r="A26" t="str">
            <v>10507</v>
          </cell>
          <cell r="B26" t="str">
            <v>Бошка банклардан олишини лозим булган маблаглар - Накд пуллар</v>
          </cell>
          <cell r="C26">
            <v>149732000</v>
          </cell>
          <cell r="D26">
            <v>0</v>
          </cell>
          <cell r="E26">
            <v>0</v>
          </cell>
          <cell r="F26">
            <v>149732000</v>
          </cell>
          <cell r="G26">
            <v>0</v>
          </cell>
          <cell r="H26">
            <v>64778085096.110001</v>
          </cell>
          <cell r="I26">
            <v>64778085.096110001</v>
          </cell>
          <cell r="J26">
            <v>0</v>
          </cell>
        </row>
        <row r="27">
          <cell r="A27" t="str">
            <v>10511</v>
          </cell>
          <cell r="B27" t="str">
            <v>Жисм.шахсларнинг пластик карталаридан берилган накд пул маблаглари учун бошка банклардан олинадиган маблаглар</v>
          </cell>
          <cell r="C27">
            <v>238695842</v>
          </cell>
          <cell r="D27">
            <v>0</v>
          </cell>
          <cell r="E27">
            <v>0</v>
          </cell>
          <cell r="F27">
            <v>161116250</v>
          </cell>
          <cell r="G27">
            <v>77579592</v>
          </cell>
          <cell r="J27">
            <v>77579592</v>
          </cell>
        </row>
        <row r="28">
          <cell r="A28" t="str">
            <v>10513</v>
          </cell>
          <cell r="B28" t="str">
            <v>Пластик карталардан амалга оширилган туловлар буйича бошка банклардан олинадиган маблаглар</v>
          </cell>
          <cell r="C28">
            <v>937623026.49000001</v>
          </cell>
          <cell r="D28">
            <v>0</v>
          </cell>
          <cell r="E28">
            <v>0</v>
          </cell>
          <cell r="F28">
            <v>937623026.49000001</v>
          </cell>
          <cell r="G28">
            <v>0</v>
          </cell>
          <cell r="J28">
            <v>0</v>
          </cell>
        </row>
        <row r="29">
          <cell r="A29" t="str">
            <v>10597</v>
          </cell>
          <cell r="B29" t="str">
            <v>Бошка банклардаги хисобвараклар - Депозитлар</v>
          </cell>
          <cell r="C29">
            <v>362370253852.42999</v>
          </cell>
          <cell r="D29">
            <v>0</v>
          </cell>
          <cell r="E29">
            <v>0</v>
          </cell>
          <cell r="F29">
            <v>296334436460.63</v>
          </cell>
          <cell r="G29">
            <v>66035817391.800003</v>
          </cell>
          <cell r="J29">
            <v>66035817391.800003</v>
          </cell>
        </row>
        <row r="30">
          <cell r="A30" t="str">
            <v>10599</v>
          </cell>
          <cell r="B30" t="str">
            <v>Банкнинг бошка банклардаги хисобвараклари буйича курилиши мумкин булган зарарларни коплаш захирас(контр-актив)</v>
          </cell>
          <cell r="C30">
            <v>-1335311887.6900001</v>
          </cell>
          <cell r="D30">
            <v>0</v>
          </cell>
          <cell r="E30">
            <v>-1335311887.6900001</v>
          </cell>
          <cell r="F30">
            <v>0</v>
          </cell>
          <cell r="G30">
            <v>0</v>
          </cell>
          <cell r="H30">
            <v>-1335311887.6900001</v>
          </cell>
          <cell r="I30">
            <v>-1335311.88769</v>
          </cell>
          <cell r="J30">
            <v>277472300264.15002</v>
          </cell>
        </row>
        <row r="31">
          <cell r="A31" t="str">
            <v>Итого</v>
          </cell>
          <cell r="B31" t="str">
            <v>10500</v>
          </cell>
          <cell r="C31">
            <v>573719896113.57996</v>
          </cell>
          <cell r="D31">
            <v>0</v>
          </cell>
          <cell r="E31">
            <v>20197595234.41</v>
          </cell>
          <cell r="F31">
            <v>297582907737.12</v>
          </cell>
          <cell r="G31">
            <v>255939393142.04999</v>
          </cell>
        </row>
        <row r="32">
          <cell r="A32" t="str">
            <v>10700</v>
          </cell>
          <cell r="B32" t="str">
            <v>Олди-сотди кимматли когозлари</v>
          </cell>
        </row>
        <row r="33">
          <cell r="A33" t="str">
            <v>10705</v>
          </cell>
          <cell r="B33" t="str">
            <v>Давлат облигациялари</v>
          </cell>
          <cell r="C33">
            <v>135000000000</v>
          </cell>
          <cell r="D33">
            <v>0</v>
          </cell>
          <cell r="E33">
            <v>0</v>
          </cell>
          <cell r="F33">
            <v>135000000000</v>
          </cell>
          <cell r="G33">
            <v>0</v>
          </cell>
        </row>
        <row r="34">
          <cell r="A34" t="str">
            <v>10793</v>
          </cell>
          <cell r="B34" t="str">
            <v>Олди-сотди кимматли когозлар буйича мукофот</v>
          </cell>
          <cell r="C34">
            <v>11874000000</v>
          </cell>
          <cell r="D34">
            <v>0</v>
          </cell>
          <cell r="E34">
            <v>0</v>
          </cell>
          <cell r="F34">
            <v>11874000000</v>
          </cell>
          <cell r="G34">
            <v>0</v>
          </cell>
        </row>
        <row r="35">
          <cell r="A35" t="str">
            <v>Итого</v>
          </cell>
          <cell r="B35" t="str">
            <v>10700</v>
          </cell>
          <cell r="C35">
            <v>146874000000</v>
          </cell>
          <cell r="D35">
            <v>0</v>
          </cell>
          <cell r="E35">
            <v>0</v>
          </cell>
          <cell r="F35">
            <v>146874000000</v>
          </cell>
          <cell r="G35">
            <v>0</v>
          </cell>
        </row>
        <row r="36">
          <cell r="A36" t="str">
            <v>10900</v>
          </cell>
          <cell r="B36" t="str">
            <v>Олди-сотдига мулжалланган киммабахо металлар, тошлар ва тангалар</v>
          </cell>
        </row>
        <row r="37">
          <cell r="A37" t="str">
            <v>10909</v>
          </cell>
          <cell r="B37" t="str">
            <v>Кимматбахо тангалар</v>
          </cell>
          <cell r="C37">
            <v>174702</v>
          </cell>
          <cell r="D37">
            <v>0</v>
          </cell>
          <cell r="E37">
            <v>0</v>
          </cell>
          <cell r="F37">
            <v>174702</v>
          </cell>
          <cell r="G37">
            <v>0</v>
          </cell>
        </row>
        <row r="38">
          <cell r="A38" t="str">
            <v>Итого</v>
          </cell>
          <cell r="B38" t="str">
            <v>10900</v>
          </cell>
          <cell r="C38">
            <v>174702</v>
          </cell>
          <cell r="D38">
            <v>0</v>
          </cell>
          <cell r="E38">
            <v>0</v>
          </cell>
          <cell r="F38">
            <v>174702</v>
          </cell>
          <cell r="G38">
            <v>0</v>
          </cell>
        </row>
        <row r="39">
          <cell r="A39" t="str">
            <v>11100</v>
          </cell>
          <cell r="B39" t="str">
            <v>Сотиб олинган дебиторлик карзлари - Факторинг</v>
          </cell>
        </row>
        <row r="40">
          <cell r="A40" t="str">
            <v>11101</v>
          </cell>
          <cell r="B40" t="str">
            <v>Сотиб олинган дебиторлик карзлари - Факторинг</v>
          </cell>
          <cell r="C40">
            <v>4591839434.21</v>
          </cell>
          <cell r="D40">
            <v>0</v>
          </cell>
          <cell r="E40">
            <v>0</v>
          </cell>
          <cell r="F40">
            <v>4591839434.21</v>
          </cell>
          <cell r="G40">
            <v>0</v>
          </cell>
        </row>
        <row r="41">
          <cell r="A41" t="str">
            <v>11103</v>
          </cell>
          <cell r="B41" t="str">
            <v>Муддати утган сотиб олинган дебиторлик карзлари - Факторинг</v>
          </cell>
          <cell r="C41">
            <v>484950479.82999998</v>
          </cell>
          <cell r="D41">
            <v>0</v>
          </cell>
          <cell r="E41">
            <v>0</v>
          </cell>
          <cell r="F41">
            <v>484950479.82999998</v>
          </cell>
          <cell r="G41">
            <v>0</v>
          </cell>
        </row>
        <row r="42">
          <cell r="A42" t="str">
            <v>11195</v>
          </cell>
          <cell r="B42" t="str">
            <v>Сотиб олинган дебиторлик карзлари - Факторинг - буйича дисконт (контр-актив)</v>
          </cell>
          <cell r="C42">
            <v>-775110000</v>
          </cell>
          <cell r="D42">
            <v>0</v>
          </cell>
          <cell r="E42">
            <v>0</v>
          </cell>
          <cell r="F42">
            <v>-775110000</v>
          </cell>
          <cell r="G42">
            <v>0</v>
          </cell>
        </row>
        <row r="43">
          <cell r="A43" t="str">
            <v>11199</v>
          </cell>
          <cell r="B43" t="str">
            <v>Сотиб олинган дебиторлик карзлари-Факторинг-буйича курилиши мумкин булган зарарларни коплаш захираси(контр-ак)</v>
          </cell>
          <cell r="C43">
            <v>-233729999.90000001</v>
          </cell>
          <cell r="D43">
            <v>0</v>
          </cell>
          <cell r="E43">
            <v>0</v>
          </cell>
          <cell r="F43">
            <v>-233729999.90000001</v>
          </cell>
          <cell r="G43">
            <v>0</v>
          </cell>
          <cell r="H43">
            <v>5417798510380.7295</v>
          </cell>
          <cell r="I43">
            <v>5417798510.3807297</v>
          </cell>
        </row>
        <row r="44">
          <cell r="A44" t="str">
            <v>Итого</v>
          </cell>
          <cell r="B44" t="str">
            <v>11100</v>
          </cell>
          <cell r="C44">
            <v>4067949914.1399999</v>
          </cell>
          <cell r="D44">
            <v>0</v>
          </cell>
          <cell r="E44">
            <v>0</v>
          </cell>
          <cell r="F44">
            <v>4067949914.1399999</v>
          </cell>
          <cell r="G44">
            <v>0</v>
          </cell>
        </row>
        <row r="45">
          <cell r="A45" t="str">
            <v>12500</v>
          </cell>
          <cell r="B45" t="str">
            <v>Жисмоний шахсларга берилган киска муддатли кредитлар</v>
          </cell>
          <cell r="H45">
            <v>-194285375352.07001</v>
          </cell>
          <cell r="I45">
            <v>-154758221163.03998</v>
          </cell>
          <cell r="J45">
            <v>-39527154189.030029</v>
          </cell>
        </row>
        <row r="46">
          <cell r="A46" t="str">
            <v>12501</v>
          </cell>
          <cell r="B46" t="str">
            <v>Жисмоний шахсларга берилган киска муддатли кредитлар</v>
          </cell>
          <cell r="C46">
            <v>88929231972.139999</v>
          </cell>
          <cell r="D46">
            <v>0</v>
          </cell>
          <cell r="E46">
            <v>0</v>
          </cell>
          <cell r="F46">
            <v>88929231972.139999</v>
          </cell>
          <cell r="G46">
            <v>0</v>
          </cell>
          <cell r="H46">
            <v>-194285375.35207</v>
          </cell>
          <cell r="I46">
            <v>-154758221.16303998</v>
          </cell>
          <cell r="J46">
            <v>-39527154.189030029</v>
          </cell>
        </row>
        <row r="47">
          <cell r="A47" t="str">
            <v>12503</v>
          </cell>
          <cell r="B47" t="str">
            <v>Жисмоний шахсларга пластик карточкалар оркали берилган киска муддатли кредитлар</v>
          </cell>
          <cell r="C47">
            <v>2498623976.3600001</v>
          </cell>
          <cell r="D47">
            <v>0</v>
          </cell>
          <cell r="E47">
            <v>0</v>
          </cell>
          <cell r="F47">
            <v>2498623976.3600001</v>
          </cell>
          <cell r="G47">
            <v>0</v>
          </cell>
        </row>
        <row r="48">
          <cell r="A48" t="str">
            <v>12505</v>
          </cell>
          <cell r="B48" t="str">
            <v>Жисмоний шахсларга берилган муддати утган кредитлар</v>
          </cell>
          <cell r="C48">
            <v>3491224710.0799999</v>
          </cell>
          <cell r="D48">
            <v>0</v>
          </cell>
          <cell r="E48">
            <v>0</v>
          </cell>
          <cell r="F48">
            <v>3491224710.0799999</v>
          </cell>
          <cell r="G48">
            <v>0</v>
          </cell>
        </row>
        <row r="49">
          <cell r="A49" t="str">
            <v>12521</v>
          </cell>
          <cell r="B49" t="str">
            <v>Жисмоний шахсларга махсус дастурлар буйича берилган киска муддатли кредитлар</v>
          </cell>
          <cell r="C49">
            <v>1589221702.76</v>
          </cell>
          <cell r="D49">
            <v>0</v>
          </cell>
          <cell r="E49">
            <v>0</v>
          </cell>
          <cell r="F49">
            <v>1589221702.76</v>
          </cell>
          <cell r="G49">
            <v>0</v>
          </cell>
        </row>
        <row r="50">
          <cell r="A50" t="str">
            <v>12599</v>
          </cell>
          <cell r="B50" t="str">
            <v>Жисмоний шахсларга берилган киска муддатли кредитлар буйича курилиши мумкин булган зарарл.коплаш зах(контр-акт</v>
          </cell>
          <cell r="C50">
            <v>-45416028.670000002</v>
          </cell>
          <cell r="D50">
            <v>0</v>
          </cell>
          <cell r="E50">
            <v>0</v>
          </cell>
          <cell r="F50">
            <v>-45416028.670000002</v>
          </cell>
          <cell r="G50">
            <v>0</v>
          </cell>
        </row>
        <row r="51">
          <cell r="A51" t="str">
            <v>Итого</v>
          </cell>
          <cell r="B51" t="str">
            <v>12500</v>
          </cell>
          <cell r="C51">
            <v>96462886332.669998</v>
          </cell>
          <cell r="D51">
            <v>0</v>
          </cell>
          <cell r="E51">
            <v>0</v>
          </cell>
          <cell r="F51">
            <v>96462886332.669998</v>
          </cell>
          <cell r="G51">
            <v>0</v>
          </cell>
        </row>
        <row r="52">
          <cell r="A52" t="str">
            <v>12600</v>
          </cell>
          <cell r="B52" t="str">
            <v>Якка тартибдаги тадбиркорларга берилган киска муддатли кредитлар</v>
          </cell>
        </row>
        <row r="53">
          <cell r="A53" t="str">
            <v>12601</v>
          </cell>
          <cell r="B53" t="str">
            <v>Якка тартибдаги тадбиркорларга берилган киска муддатли кредитлар</v>
          </cell>
          <cell r="C53">
            <v>19320919684.5</v>
          </cell>
          <cell r="D53">
            <v>0</v>
          </cell>
          <cell r="E53">
            <v>0</v>
          </cell>
          <cell r="F53">
            <v>19320919684.5</v>
          </cell>
          <cell r="G53">
            <v>0</v>
          </cell>
        </row>
        <row r="54">
          <cell r="A54" t="str">
            <v>12605</v>
          </cell>
          <cell r="B54" t="str">
            <v>Якка тартибдаги тадбиркорларга берилган муддати утган кредитлар</v>
          </cell>
          <cell r="C54">
            <v>1430512893.1199999</v>
          </cell>
          <cell r="D54">
            <v>0</v>
          </cell>
          <cell r="E54">
            <v>0</v>
          </cell>
          <cell r="F54">
            <v>1430512893.1199999</v>
          </cell>
          <cell r="G54">
            <v>0</v>
          </cell>
        </row>
        <row r="55">
          <cell r="A55" t="str">
            <v>12621</v>
          </cell>
          <cell r="B55" t="str">
            <v>Якка тартибдаги тадбиркорларга махсус дастурлар буйича берилган киска муддатли кредитлар</v>
          </cell>
          <cell r="C55">
            <v>100000000</v>
          </cell>
          <cell r="D55">
            <v>0</v>
          </cell>
          <cell r="E55">
            <v>0</v>
          </cell>
          <cell r="F55">
            <v>100000000</v>
          </cell>
          <cell r="G55">
            <v>0</v>
          </cell>
        </row>
        <row r="56">
          <cell r="A56" t="str">
            <v>12699</v>
          </cell>
          <cell r="B56" t="str">
            <v>Якка тартибдаги тадбиркорларга берилган киска муддатли кредитлар буйича курилиши мумкин булган зарар.копл(к-а)</v>
          </cell>
          <cell r="C56">
            <v>-217820303.86000001</v>
          </cell>
          <cell r="D56">
            <v>0</v>
          </cell>
          <cell r="E56">
            <v>0</v>
          </cell>
          <cell r="F56">
            <v>-217820303.86000001</v>
          </cell>
          <cell r="G56">
            <v>0</v>
          </cell>
        </row>
        <row r="57">
          <cell r="A57" t="str">
            <v>Итого</v>
          </cell>
          <cell r="B57" t="str">
            <v>12600</v>
          </cell>
          <cell r="C57">
            <v>20633612273.759998</v>
          </cell>
          <cell r="D57">
            <v>0</v>
          </cell>
          <cell r="E57">
            <v>0</v>
          </cell>
          <cell r="F57">
            <v>20633612273.759998</v>
          </cell>
          <cell r="G57">
            <v>0</v>
          </cell>
        </row>
        <row r="58">
          <cell r="A58" t="str">
            <v>12700</v>
          </cell>
          <cell r="B58" t="str">
            <v>Давлат корхона, ташкилот ва мауссасаларига берилган киска муддатли кредитлар</v>
          </cell>
        </row>
        <row r="59">
          <cell r="A59" t="str">
            <v>12701</v>
          </cell>
          <cell r="B59" t="str">
            <v>Давлат корхона, ташкилот ва мауссасаларига берилган киска муддатли кредитлар</v>
          </cell>
          <cell r="C59">
            <v>5379792317.6099997</v>
          </cell>
          <cell r="D59">
            <v>0</v>
          </cell>
          <cell r="E59">
            <v>0</v>
          </cell>
          <cell r="F59">
            <v>5379792317.6099997</v>
          </cell>
          <cell r="G59">
            <v>0</v>
          </cell>
        </row>
        <row r="60">
          <cell r="A60" t="str">
            <v>12705</v>
          </cell>
          <cell r="B60" t="str">
            <v>Давлат корхона, ташкилот ва мауссасаларига берилган муддати утган кредитлар</v>
          </cell>
          <cell r="C60">
            <v>536990798.10000002</v>
          </cell>
          <cell r="D60">
            <v>0</v>
          </cell>
          <cell r="E60">
            <v>0</v>
          </cell>
          <cell r="F60">
            <v>536990798.10000002</v>
          </cell>
          <cell r="G60">
            <v>0</v>
          </cell>
        </row>
        <row r="61">
          <cell r="A61" t="str">
            <v>12799</v>
          </cell>
          <cell r="B61" t="str">
            <v>Давлат корхона, ташкилот ва мауссасаларига берилган киска муддатли кредитлар буйича курилиши мумкин булган(к-а</v>
          </cell>
          <cell r="C61">
            <v>-506816485.62</v>
          </cell>
          <cell r="D61">
            <v>0</v>
          </cell>
          <cell r="E61">
            <v>0</v>
          </cell>
          <cell r="F61">
            <v>-506816485.62</v>
          </cell>
          <cell r="G61">
            <v>0</v>
          </cell>
        </row>
        <row r="62">
          <cell r="A62" t="str">
            <v>Итого</v>
          </cell>
          <cell r="B62" t="str">
            <v>12700</v>
          </cell>
          <cell r="C62">
            <v>5409966630.0900002</v>
          </cell>
          <cell r="D62">
            <v>0</v>
          </cell>
          <cell r="E62">
            <v>0</v>
          </cell>
          <cell r="F62">
            <v>5409966630.0900002</v>
          </cell>
          <cell r="G62">
            <v>0</v>
          </cell>
        </row>
        <row r="63">
          <cell r="A63" t="str">
            <v>12900</v>
          </cell>
          <cell r="B63" t="str">
            <v>Чет эл капитали иштирокидаги корхоналарга берилган киска муддатли кредитлар</v>
          </cell>
        </row>
        <row r="64">
          <cell r="A64" t="str">
            <v>12901</v>
          </cell>
          <cell r="B64" t="str">
            <v>Чет эл капитали иштирокидаги корхоналарга берилган киска муддатли кредитлар</v>
          </cell>
          <cell r="C64">
            <v>28125000000</v>
          </cell>
          <cell r="D64">
            <v>0</v>
          </cell>
          <cell r="E64">
            <v>0</v>
          </cell>
          <cell r="F64">
            <v>2800000000</v>
          </cell>
          <cell r="G64">
            <v>25325000000</v>
          </cell>
        </row>
        <row r="65">
          <cell r="A65" t="str">
            <v>12905</v>
          </cell>
          <cell r="B65" t="str">
            <v>Чет эл капитали иштирокидаги корхоналарга берилган муддати утган кредитлар</v>
          </cell>
          <cell r="C65">
            <v>180178840.06</v>
          </cell>
          <cell r="D65">
            <v>0</v>
          </cell>
          <cell r="E65">
            <v>0</v>
          </cell>
          <cell r="F65">
            <v>60451458.359999999</v>
          </cell>
          <cell r="G65">
            <v>119727381.7</v>
          </cell>
        </row>
        <row r="66">
          <cell r="A66" t="str">
            <v>12999</v>
          </cell>
          <cell r="B66" t="str">
            <v>Чет эл капитали корхоналарга берилган киска муддатли кредитлар буйича курилиши мумкин булган зарарл(контр-акт)</v>
          </cell>
          <cell r="C66">
            <v>-1548917520</v>
          </cell>
          <cell r="D66">
            <v>0</v>
          </cell>
          <cell r="E66">
            <v>0</v>
          </cell>
          <cell r="F66">
            <v>0</v>
          </cell>
          <cell r="G66">
            <v>-1548917520</v>
          </cell>
        </row>
        <row r="67">
          <cell r="A67" t="str">
            <v>Итого</v>
          </cell>
          <cell r="B67" t="str">
            <v>12900</v>
          </cell>
          <cell r="C67">
            <v>26756261320.060001</v>
          </cell>
          <cell r="D67">
            <v>0</v>
          </cell>
          <cell r="E67">
            <v>0</v>
          </cell>
          <cell r="F67">
            <v>2860451458.3600001</v>
          </cell>
          <cell r="G67">
            <v>23895809861.700001</v>
          </cell>
        </row>
        <row r="68">
          <cell r="A68" t="str">
            <v>13000</v>
          </cell>
          <cell r="B68" t="str">
            <v>Нодавлат нотижорат ташкилотларига берилган киска муддатли кредитлар</v>
          </cell>
        </row>
        <row r="69">
          <cell r="A69" t="str">
            <v>13005</v>
          </cell>
          <cell r="B69" t="str">
            <v>Нодавлат нотижорат ташкилотларига берилган муддати утган кредитлар</v>
          </cell>
          <cell r="C69">
            <v>631187678.38</v>
          </cell>
          <cell r="D69">
            <v>0</v>
          </cell>
          <cell r="E69">
            <v>0</v>
          </cell>
          <cell r="F69">
            <v>631187678.38</v>
          </cell>
          <cell r="G69">
            <v>0</v>
          </cell>
        </row>
        <row r="70">
          <cell r="A70" t="str">
            <v>13099</v>
          </cell>
          <cell r="B70" t="str">
            <v>Нодавлат нотижорат ташкилотларига берилган киска муддатли кредитлар буйича курилиши мумкин булган(контр-актив)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Итого</v>
          </cell>
          <cell r="B71" t="str">
            <v>13000</v>
          </cell>
          <cell r="C71">
            <v>631187678.38</v>
          </cell>
          <cell r="D71">
            <v>0</v>
          </cell>
          <cell r="E71">
            <v>0</v>
          </cell>
          <cell r="F71">
            <v>631187678.38</v>
          </cell>
          <cell r="G71">
            <v>0</v>
          </cell>
        </row>
        <row r="72">
          <cell r="A72" t="str">
            <v>13100</v>
          </cell>
          <cell r="B72" t="str">
            <v>Хусусий корхоналар, хужалик ширкатлари ва жамиятларга берилган киска муддатли кредитлар</v>
          </cell>
        </row>
        <row r="73">
          <cell r="A73" t="str">
            <v>13101</v>
          </cell>
          <cell r="B73" t="str">
            <v>Хусусий корхоналар, хужалик ширкатлари ва жамиятларга берилган киска муддатли кредитлар</v>
          </cell>
          <cell r="C73">
            <v>230772466777.79001</v>
          </cell>
          <cell r="D73">
            <v>0</v>
          </cell>
          <cell r="E73">
            <v>0</v>
          </cell>
          <cell r="F73">
            <v>159528176777.79001</v>
          </cell>
          <cell r="G73">
            <v>71244290000</v>
          </cell>
        </row>
        <row r="74">
          <cell r="A74" t="str">
            <v>13105</v>
          </cell>
          <cell r="B74" t="str">
            <v>Хусусий корхоналар, хужалик ширкатлари ва жамиятларга берилган муддати утган кредитлар</v>
          </cell>
          <cell r="C74">
            <v>36005830367.279999</v>
          </cell>
          <cell r="D74">
            <v>0</v>
          </cell>
          <cell r="E74">
            <v>0</v>
          </cell>
          <cell r="F74">
            <v>13724865227.290001</v>
          </cell>
          <cell r="G74">
            <v>22280965139.990002</v>
          </cell>
        </row>
        <row r="75">
          <cell r="A75" t="str">
            <v>13199</v>
          </cell>
          <cell r="B75" t="str">
            <v>Хусусий корхоналар, хужалик ширкатлари ва жамиятларга берилган киска муддатли кредитлар буйича курил(контр-акт</v>
          </cell>
          <cell r="C75">
            <v>-8652842413.3899994</v>
          </cell>
          <cell r="D75">
            <v>0</v>
          </cell>
          <cell r="E75">
            <v>0</v>
          </cell>
          <cell r="F75">
            <v>-8652842413.3899994</v>
          </cell>
          <cell r="G75">
            <v>0</v>
          </cell>
        </row>
        <row r="76">
          <cell r="A76" t="str">
            <v>Итого</v>
          </cell>
          <cell r="B76" t="str">
            <v>13100</v>
          </cell>
          <cell r="C76">
            <v>258125454731.67999</v>
          </cell>
          <cell r="D76">
            <v>0</v>
          </cell>
          <cell r="E76">
            <v>0</v>
          </cell>
          <cell r="F76">
            <v>164600199591.69</v>
          </cell>
          <cell r="G76">
            <v>93525255139.990005</v>
          </cell>
        </row>
        <row r="77">
          <cell r="A77" t="str">
            <v>13200</v>
          </cell>
          <cell r="B77" t="str">
            <v>Банк булмаган молиявий муассасаларга берилган киска муддатли кредитлар</v>
          </cell>
        </row>
        <row r="78">
          <cell r="A78" t="str">
            <v>13201</v>
          </cell>
          <cell r="B78" t="str">
            <v>Банк булмаган молиявий муассасаларга берилган киска муддатли кредитлар</v>
          </cell>
          <cell r="C78">
            <v>4962699.6500000004</v>
          </cell>
          <cell r="D78">
            <v>0</v>
          </cell>
          <cell r="E78">
            <v>0</v>
          </cell>
          <cell r="F78">
            <v>4962699.6500000004</v>
          </cell>
          <cell r="G78">
            <v>0</v>
          </cell>
        </row>
        <row r="79">
          <cell r="A79" t="str">
            <v>13205</v>
          </cell>
          <cell r="B79" t="str">
            <v>Банк булмаган молиявий муассасаларга берилган муддати утга кредитлар</v>
          </cell>
          <cell r="C79">
            <v>569932.75</v>
          </cell>
          <cell r="D79">
            <v>0</v>
          </cell>
          <cell r="E79">
            <v>0</v>
          </cell>
          <cell r="F79">
            <v>569932.75</v>
          </cell>
          <cell r="G79">
            <v>0</v>
          </cell>
        </row>
        <row r="80">
          <cell r="A80" t="str">
            <v>13299</v>
          </cell>
          <cell r="B80" t="str">
            <v>Банк булмаган молиявий муассасаларга берилган киска муддатли кредитлар буйича курилиши мумкин булган(контр-акт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Итого</v>
          </cell>
          <cell r="B81" t="str">
            <v>13200</v>
          </cell>
          <cell r="C81">
            <v>5532632.4000000004</v>
          </cell>
          <cell r="D81">
            <v>0</v>
          </cell>
          <cell r="E81">
            <v>0</v>
          </cell>
          <cell r="F81">
            <v>5532632.4000000004</v>
          </cell>
          <cell r="G81">
            <v>0</v>
          </cell>
        </row>
        <row r="82">
          <cell r="A82" t="str">
            <v>13300</v>
          </cell>
          <cell r="B82" t="str">
            <v>Давлат эхтиёжлари учун харид килинадиган кишлок хужал.махсул.етиштириш учун берилган киска муддатли кредитлар</v>
          </cell>
        </row>
        <row r="83">
          <cell r="A83" t="str">
            <v>13305</v>
          </cell>
          <cell r="B83" t="str">
            <v>Давлат эхтиёжлари учун харид килинадиган кишлок хужал.махсул.етиштириш учун берилган муддати утган кредитлар</v>
          </cell>
          <cell r="C83">
            <v>1250000</v>
          </cell>
          <cell r="D83">
            <v>0</v>
          </cell>
          <cell r="E83">
            <v>0</v>
          </cell>
          <cell r="F83">
            <v>1250000</v>
          </cell>
          <cell r="G83">
            <v>0</v>
          </cell>
        </row>
        <row r="84">
          <cell r="A84" t="str">
            <v>Итого</v>
          </cell>
          <cell r="B84" t="str">
            <v>13300</v>
          </cell>
          <cell r="C84">
            <v>1250000</v>
          </cell>
          <cell r="D84">
            <v>0</v>
          </cell>
          <cell r="E84">
            <v>0</v>
          </cell>
          <cell r="F84">
            <v>1250000</v>
          </cell>
          <cell r="G84">
            <v>0</v>
          </cell>
        </row>
        <row r="85">
          <cell r="A85" t="str">
            <v>14400</v>
          </cell>
          <cell r="B85" t="str">
            <v>Тадбиркорлик фаол.ни ривож.ни куллаб-кувватлаш давлат жамгармаси кумагида берилган узок муддатли кредитлар</v>
          </cell>
        </row>
        <row r="86">
          <cell r="A86" t="str">
            <v>14402</v>
          </cell>
          <cell r="B86" t="str">
            <v>Тад.фаол.ривож.куллаб-кув.дав.жамг.кумаг.тад.суб.- юр.шахс т/этмасдан фаол.юр. ЯТТ га б-н узок муд. кредитлар</v>
          </cell>
          <cell r="C86">
            <v>4444448</v>
          </cell>
          <cell r="D86">
            <v>0</v>
          </cell>
          <cell r="E86">
            <v>0</v>
          </cell>
          <cell r="F86">
            <v>4444448</v>
          </cell>
          <cell r="G86">
            <v>0</v>
          </cell>
        </row>
        <row r="87">
          <cell r="A87" t="str">
            <v>14403</v>
          </cell>
          <cell r="B87" t="str">
            <v>Тад. фаол. ривож. куллаб-кув. давлат жамг. кумагида тад. суб. - юр.шахсларга берилган узок муддатли кредитлар</v>
          </cell>
          <cell r="C87">
            <v>2089008257.45</v>
          </cell>
          <cell r="D87">
            <v>0</v>
          </cell>
          <cell r="E87">
            <v>0</v>
          </cell>
          <cell r="F87">
            <v>2089008257.45</v>
          </cell>
          <cell r="G87">
            <v>0</v>
          </cell>
        </row>
        <row r="88">
          <cell r="A88" t="str">
            <v>14499</v>
          </cell>
          <cell r="B88" t="str">
            <v>Тад.фаол.рив.куллаб-кув.дав.жамг.кум.б-ган, узок муд.кр-т б-ча кур-ши мум.булган зарарни коп.зах.(к-актив)</v>
          </cell>
          <cell r="C88">
            <v>-53853992.670000002</v>
          </cell>
          <cell r="D88">
            <v>0</v>
          </cell>
          <cell r="E88">
            <v>0</v>
          </cell>
          <cell r="F88">
            <v>-53853992.670000002</v>
          </cell>
          <cell r="G88">
            <v>0</v>
          </cell>
        </row>
        <row r="89">
          <cell r="A89" t="str">
            <v>Итого</v>
          </cell>
          <cell r="B89" t="str">
            <v>14400</v>
          </cell>
          <cell r="C89">
            <v>2039598712.78</v>
          </cell>
          <cell r="D89">
            <v>0</v>
          </cell>
          <cell r="E89">
            <v>0</v>
          </cell>
          <cell r="F89">
            <v>2039598712.78</v>
          </cell>
          <cell r="G89">
            <v>0</v>
          </cell>
        </row>
        <row r="90">
          <cell r="A90" t="str">
            <v>14900</v>
          </cell>
          <cell r="B90" t="str">
            <v>Жисмоний шахсларга берилган узок муддатли кредитлар</v>
          </cell>
        </row>
        <row r="91">
          <cell r="A91" t="str">
            <v>14901</v>
          </cell>
          <cell r="B91" t="str">
            <v>Жисмоний шахсларга берилган узок муддатли кредитлар</v>
          </cell>
          <cell r="C91">
            <v>520012420863.94</v>
          </cell>
          <cell r="D91">
            <v>0</v>
          </cell>
          <cell r="E91">
            <v>0</v>
          </cell>
          <cell r="F91">
            <v>520012420863.94</v>
          </cell>
          <cell r="G91">
            <v>0</v>
          </cell>
        </row>
        <row r="92">
          <cell r="A92" t="str">
            <v>14902</v>
          </cell>
          <cell r="B92" t="str">
            <v>Ахолининг кам таъминланган катламига берилган узок муддатли кредитлар</v>
          </cell>
          <cell r="C92">
            <v>40107008660.309998</v>
          </cell>
          <cell r="D92">
            <v>0</v>
          </cell>
          <cell r="E92">
            <v>0</v>
          </cell>
          <cell r="F92">
            <v>40107008660.309998</v>
          </cell>
          <cell r="G92">
            <v>0</v>
          </cell>
        </row>
        <row r="93">
          <cell r="A93" t="str">
            <v>14903</v>
          </cell>
          <cell r="B93" t="str">
            <v>Давлат дастурлари буйича уй-жой сотиб олиш учун жисмоний шахсларга берилган узок муддатли ипотека кредитлари</v>
          </cell>
          <cell r="C93">
            <v>166744977487.39001</v>
          </cell>
          <cell r="D93">
            <v>0</v>
          </cell>
          <cell r="E93">
            <v>0</v>
          </cell>
          <cell r="F93">
            <v>166744977487.39001</v>
          </cell>
          <cell r="G93">
            <v>0</v>
          </cell>
        </row>
        <row r="94">
          <cell r="A94" t="str">
            <v>14921</v>
          </cell>
          <cell r="B94" t="str">
            <v>Жисмоний шахсларга махсус дастурлар буйича берилган узок муддатли кредитлар</v>
          </cell>
          <cell r="C94">
            <v>662550682742.90002</v>
          </cell>
          <cell r="D94">
            <v>0</v>
          </cell>
          <cell r="E94">
            <v>0</v>
          </cell>
          <cell r="F94">
            <v>662550682742.90002</v>
          </cell>
          <cell r="G94">
            <v>0</v>
          </cell>
        </row>
        <row r="95">
          <cell r="A95" t="str">
            <v>14999</v>
          </cell>
          <cell r="B95" t="str">
            <v>Жисмоний шахсларга берилган узок муддатли кредитлар буйича курилиши мумкин булган зарарларни коплаш(контр-акт)</v>
          </cell>
          <cell r="C95">
            <v>-2782980184.98</v>
          </cell>
          <cell r="D95">
            <v>0</v>
          </cell>
          <cell r="E95">
            <v>0</v>
          </cell>
          <cell r="F95">
            <v>-2782980184.98</v>
          </cell>
          <cell r="G95">
            <v>0</v>
          </cell>
        </row>
        <row r="96">
          <cell r="A96" t="str">
            <v>Итого</v>
          </cell>
          <cell r="B96" t="str">
            <v>14900</v>
          </cell>
          <cell r="C96">
            <v>1386632109569.5601</v>
          </cell>
          <cell r="D96">
            <v>0</v>
          </cell>
          <cell r="E96">
            <v>0</v>
          </cell>
          <cell r="F96">
            <v>1386632109569.5601</v>
          </cell>
          <cell r="G96">
            <v>0</v>
          </cell>
        </row>
        <row r="97">
          <cell r="A97" t="str">
            <v>15000</v>
          </cell>
          <cell r="B97" t="str">
            <v>Якка тартибдаги тадбиркорларга берилган узок муддатли кредитлар</v>
          </cell>
        </row>
        <row r="98">
          <cell r="A98" t="str">
            <v>15001</v>
          </cell>
          <cell r="B98" t="str">
            <v>Якка тартибдаги тадбиркорларга берилган узок муддатли кредитлар</v>
          </cell>
          <cell r="C98">
            <v>40244173276.029999</v>
          </cell>
          <cell r="D98">
            <v>0</v>
          </cell>
          <cell r="E98">
            <v>0</v>
          </cell>
          <cell r="F98">
            <v>40244173276.029999</v>
          </cell>
          <cell r="G98">
            <v>0</v>
          </cell>
        </row>
        <row r="99">
          <cell r="A99" t="str">
            <v>15021</v>
          </cell>
          <cell r="B99" t="str">
            <v>Якка тартибдаги тадбиркорларга махсус дастурлар буйича берилган узок муддатли кредитлар</v>
          </cell>
          <cell r="C99">
            <v>106869851545.14</v>
          </cell>
          <cell r="D99">
            <v>54999876.710000001</v>
          </cell>
          <cell r="E99">
            <v>0</v>
          </cell>
          <cell r="F99">
            <v>106814851668.42999</v>
          </cell>
          <cell r="G99">
            <v>0</v>
          </cell>
        </row>
        <row r="100">
          <cell r="A100" t="str">
            <v>15099</v>
          </cell>
          <cell r="B100" t="str">
            <v>Якка тартибдаги тадбиркорларга берилган узок муддатли кредитлар буйича курилиши мумкин булган зарарл(контр-акт</v>
          </cell>
          <cell r="C100">
            <v>-530163547.39999998</v>
          </cell>
          <cell r="D100">
            <v>0</v>
          </cell>
          <cell r="E100">
            <v>0</v>
          </cell>
          <cell r="F100">
            <v>-530163547.39999998</v>
          </cell>
          <cell r="G100">
            <v>0</v>
          </cell>
        </row>
        <row r="101">
          <cell r="A101" t="str">
            <v>Итого</v>
          </cell>
          <cell r="B101" t="str">
            <v>15000</v>
          </cell>
          <cell r="C101">
            <v>146583861273.76999</v>
          </cell>
          <cell r="D101">
            <v>54999876.710000001</v>
          </cell>
          <cell r="E101">
            <v>0</v>
          </cell>
          <cell r="F101">
            <v>146528861397.06</v>
          </cell>
          <cell r="G101">
            <v>0</v>
          </cell>
        </row>
        <row r="102">
          <cell r="A102" t="str">
            <v>15100</v>
          </cell>
          <cell r="B102" t="str">
            <v>Давлат корхона, ташкилот ва муассасаларига берилган узок муддатли кредитлар</v>
          </cell>
        </row>
        <row r="103">
          <cell r="A103" t="str">
            <v>15101</v>
          </cell>
          <cell r="B103" t="str">
            <v>Давлат корхона, ташкилот ва муассасаларига берилган узок муддатли кредитлар</v>
          </cell>
          <cell r="C103">
            <v>94107012845.240005</v>
          </cell>
          <cell r="D103">
            <v>0</v>
          </cell>
          <cell r="E103">
            <v>0</v>
          </cell>
          <cell r="F103">
            <v>94107012845.240005</v>
          </cell>
          <cell r="G103">
            <v>0</v>
          </cell>
        </row>
        <row r="104">
          <cell r="A104" t="str">
            <v>15199</v>
          </cell>
          <cell r="B104" t="str">
            <v>Давлат корхона, ташкилот ва муассасаларига берилган узок муддатли кредитлар буйича курилиши мумкин (контр-акт)</v>
          </cell>
          <cell r="C104">
            <v>-5225409033.4399996</v>
          </cell>
          <cell r="D104">
            <v>0</v>
          </cell>
          <cell r="E104">
            <v>0</v>
          </cell>
          <cell r="F104">
            <v>-5225409033.4399996</v>
          </cell>
          <cell r="G104">
            <v>0</v>
          </cell>
        </row>
        <row r="105">
          <cell r="A105" t="str">
            <v>Итого</v>
          </cell>
          <cell r="B105" t="str">
            <v>15100</v>
          </cell>
          <cell r="C105">
            <v>88881603811.800003</v>
          </cell>
          <cell r="D105">
            <v>0</v>
          </cell>
          <cell r="E105">
            <v>0</v>
          </cell>
          <cell r="F105">
            <v>88881603811.800003</v>
          </cell>
          <cell r="G105">
            <v>0</v>
          </cell>
        </row>
        <row r="106">
          <cell r="A106" t="str">
            <v>15200</v>
          </cell>
          <cell r="B106" t="str">
            <v>Нодавлат нотижорат ташкилотларига берилган узок муддатли кредитлар</v>
          </cell>
        </row>
        <row r="107">
          <cell r="A107" t="str">
            <v>15201</v>
          </cell>
          <cell r="B107" t="str">
            <v>Нодавлат нотижорат ташкилотларига берилган узок муддатли кредитлар</v>
          </cell>
          <cell r="C107">
            <v>40604218805.510002</v>
          </cell>
          <cell r="D107">
            <v>0</v>
          </cell>
          <cell r="E107">
            <v>0</v>
          </cell>
          <cell r="F107">
            <v>40604218805.510002</v>
          </cell>
          <cell r="G107">
            <v>0</v>
          </cell>
        </row>
        <row r="108">
          <cell r="A108" t="str">
            <v>15299</v>
          </cell>
          <cell r="B108" t="str">
            <v>Нодавлат нотижорат ташкилотларига берилган узок муддатли кредитлар буйича курилиши мумкин булган зар(контр-акт</v>
          </cell>
          <cell r="C108">
            <v>-8754061774.25</v>
          </cell>
          <cell r="D108">
            <v>0</v>
          </cell>
          <cell r="E108">
            <v>0</v>
          </cell>
          <cell r="F108">
            <v>-8754061774.25</v>
          </cell>
          <cell r="G108">
            <v>0</v>
          </cell>
        </row>
        <row r="109">
          <cell r="A109" t="str">
            <v>Итого</v>
          </cell>
          <cell r="B109" t="str">
            <v>15200</v>
          </cell>
          <cell r="C109">
            <v>31850157031.259998</v>
          </cell>
          <cell r="D109">
            <v>0</v>
          </cell>
          <cell r="E109">
            <v>0</v>
          </cell>
          <cell r="F109">
            <v>31850157031.259998</v>
          </cell>
          <cell r="G109">
            <v>0</v>
          </cell>
        </row>
        <row r="110">
          <cell r="A110" t="str">
            <v>15300</v>
          </cell>
          <cell r="B110" t="str">
            <v>Чет эл капитали иштирокидаги корхоналарга берилган узок муддатли кредитлар</v>
          </cell>
        </row>
        <row r="111">
          <cell r="A111" t="str">
            <v>15301</v>
          </cell>
          <cell r="B111" t="str">
            <v>Чет эл капитали иштирокидаги корхоналарга берилган узок муддатли кредитлар</v>
          </cell>
          <cell r="C111">
            <v>146507061932.07001</v>
          </cell>
          <cell r="D111">
            <v>0</v>
          </cell>
          <cell r="E111">
            <v>0</v>
          </cell>
          <cell r="F111">
            <v>91565558342.070007</v>
          </cell>
          <cell r="G111">
            <v>54941503590</v>
          </cell>
        </row>
        <row r="112">
          <cell r="A112" t="str">
            <v>15321</v>
          </cell>
          <cell r="B112" t="str">
            <v>Чет эл капитали иштирокидаги корхоналарга махсус дастурлар буйича берилган узок муддатли кредитлар</v>
          </cell>
          <cell r="C112">
            <v>146161877.86000001</v>
          </cell>
          <cell r="D112">
            <v>0</v>
          </cell>
          <cell r="E112">
            <v>0</v>
          </cell>
          <cell r="F112">
            <v>146161877.86000001</v>
          </cell>
          <cell r="G112">
            <v>0</v>
          </cell>
        </row>
        <row r="113">
          <cell r="A113" t="str">
            <v>15399</v>
          </cell>
          <cell r="B113" t="str">
            <v>Чет эл капитали иштирокидаги корхоналарга берилган узок муддатли кредитлар буйича курилиши мумкин(контр-актив)</v>
          </cell>
          <cell r="C113">
            <v>-1167257188.8499999</v>
          </cell>
          <cell r="D113">
            <v>0</v>
          </cell>
          <cell r="E113">
            <v>0</v>
          </cell>
          <cell r="F113">
            <v>-875446128.25</v>
          </cell>
          <cell r="G113">
            <v>-291811060.60000002</v>
          </cell>
        </row>
        <row r="114">
          <cell r="A114" t="str">
            <v>Итого</v>
          </cell>
          <cell r="B114" t="str">
            <v>15300</v>
          </cell>
          <cell r="C114">
            <v>145485966621.07999</v>
          </cell>
          <cell r="D114">
            <v>0</v>
          </cell>
          <cell r="E114">
            <v>0</v>
          </cell>
          <cell r="F114">
            <v>90836274091.679993</v>
          </cell>
          <cell r="G114">
            <v>54649692529.400002</v>
          </cell>
        </row>
        <row r="115">
          <cell r="A115" t="str">
            <v>15500</v>
          </cell>
          <cell r="B115" t="str">
            <v>Хусусий корхоналар, хужалик ширкатлари ва жамиятларга берилган узок муддатли кредитлар</v>
          </cell>
        </row>
        <row r="116">
          <cell r="A116" t="str">
            <v>15501</v>
          </cell>
          <cell r="B116" t="str">
            <v>Хусусий корхоналар, хужалик ширкатлари ва жамиятларга берилган узок муддатли кредитлар</v>
          </cell>
          <cell r="C116">
            <v>2758268392217.4199</v>
          </cell>
          <cell r="D116">
            <v>0</v>
          </cell>
          <cell r="E116">
            <v>0</v>
          </cell>
          <cell r="F116">
            <v>987584375475.71997</v>
          </cell>
          <cell r="G116">
            <v>1770684016741.7</v>
          </cell>
        </row>
        <row r="117">
          <cell r="A117" t="str">
            <v>15521</v>
          </cell>
          <cell r="B117" t="str">
            <v>Хусусий корхоналар,хужалик ширкатлари ва жамиятларга махсус дастурлар буйича берилган узок муддатли кредитлар</v>
          </cell>
          <cell r="C117">
            <v>353830072086.78003</v>
          </cell>
          <cell r="D117">
            <v>0</v>
          </cell>
          <cell r="E117">
            <v>0</v>
          </cell>
          <cell r="F117">
            <v>353830072086.78003</v>
          </cell>
          <cell r="G117">
            <v>0</v>
          </cell>
        </row>
        <row r="118">
          <cell r="A118" t="str">
            <v>15599</v>
          </cell>
          <cell r="B118" t="str">
            <v>Хусусий корхоналар, хужалик ширкатлари ва жамиятларга берилган узок муддатли ссудалар буйича курили(контр-акт)</v>
          </cell>
          <cell r="C118">
            <v>-131002796073.34</v>
          </cell>
          <cell r="D118">
            <v>0</v>
          </cell>
          <cell r="E118">
            <v>0</v>
          </cell>
          <cell r="F118">
            <v>-102990241127.03999</v>
          </cell>
          <cell r="G118">
            <v>-28012554946.299999</v>
          </cell>
        </row>
        <row r="119">
          <cell r="A119" t="str">
            <v>Итого</v>
          </cell>
          <cell r="B119" t="str">
            <v>15500</v>
          </cell>
          <cell r="C119">
            <v>2981095668230.8599</v>
          </cell>
          <cell r="D119">
            <v>0</v>
          </cell>
          <cell r="E119">
            <v>0</v>
          </cell>
          <cell r="F119">
            <v>1238424206435.46</v>
          </cell>
          <cell r="G119">
            <v>1742671461795.3999</v>
          </cell>
        </row>
        <row r="120">
          <cell r="A120" t="str">
            <v>15600</v>
          </cell>
          <cell r="B120" t="str">
            <v>Лизинг (молиявий ижара)</v>
          </cell>
        </row>
        <row r="121">
          <cell r="A121" t="str">
            <v>15613</v>
          </cell>
          <cell r="B121" t="str">
            <v>Хусусий корхоналар, хужалик ширкатлари ва жамиятларга берилган лизинг</v>
          </cell>
          <cell r="C121">
            <v>6068672336.0699997</v>
          </cell>
          <cell r="D121">
            <v>0</v>
          </cell>
          <cell r="E121">
            <v>0</v>
          </cell>
          <cell r="F121">
            <v>3749226394.77</v>
          </cell>
          <cell r="G121">
            <v>2319445941.3000002</v>
          </cell>
        </row>
        <row r="122">
          <cell r="A122" t="str">
            <v>15617</v>
          </cell>
          <cell r="B122" t="str">
            <v>Муддати утган лизинг</v>
          </cell>
          <cell r="C122">
            <v>69061941.379999995</v>
          </cell>
          <cell r="D122">
            <v>0</v>
          </cell>
          <cell r="E122">
            <v>0</v>
          </cell>
          <cell r="F122">
            <v>69061941.379999995</v>
          </cell>
          <cell r="G122">
            <v>0</v>
          </cell>
        </row>
        <row r="123">
          <cell r="A123" t="str">
            <v>15699</v>
          </cell>
          <cell r="B123" t="str">
            <v>Лизинг буйича курилиши мумкин булган зарарларни коплаш захираси (контр-актив)</v>
          </cell>
          <cell r="C123">
            <v>-329226249.64999998</v>
          </cell>
          <cell r="D123">
            <v>0</v>
          </cell>
          <cell r="E123">
            <v>0</v>
          </cell>
          <cell r="F123">
            <v>-329226249.64999998</v>
          </cell>
          <cell r="G123">
            <v>0</v>
          </cell>
        </row>
        <row r="124">
          <cell r="A124" t="str">
            <v>Итого</v>
          </cell>
          <cell r="B124" t="str">
            <v>15600</v>
          </cell>
          <cell r="C124">
            <v>5808508027.8000002</v>
          </cell>
          <cell r="D124">
            <v>0</v>
          </cell>
          <cell r="E124">
            <v>0</v>
          </cell>
          <cell r="F124">
            <v>3489062086.5</v>
          </cell>
          <cell r="G124">
            <v>2319445941.3000002</v>
          </cell>
        </row>
        <row r="125">
          <cell r="A125" t="str">
            <v>15700</v>
          </cell>
          <cell r="B125" t="str">
            <v>Суд жараёнидаги кредитлар ва лизинг</v>
          </cell>
        </row>
        <row r="126">
          <cell r="A126" t="str">
            <v>15701</v>
          </cell>
          <cell r="B126" t="str">
            <v>Юридик шахсларга берилган суд жараёнидаги кредитлар</v>
          </cell>
          <cell r="C126">
            <v>52720836130.089996</v>
          </cell>
          <cell r="D126">
            <v>0</v>
          </cell>
          <cell r="E126">
            <v>0</v>
          </cell>
          <cell r="F126">
            <v>43104872850.089996</v>
          </cell>
          <cell r="G126">
            <v>9615963280</v>
          </cell>
        </row>
        <row r="127">
          <cell r="A127" t="str">
            <v>15703</v>
          </cell>
          <cell r="B127" t="str">
            <v>Жисмоний шахсларга берилган суд жараёнидаги кредитлар</v>
          </cell>
          <cell r="C127">
            <v>1875257110.9000001</v>
          </cell>
          <cell r="D127">
            <v>0</v>
          </cell>
          <cell r="E127">
            <v>0</v>
          </cell>
          <cell r="F127">
            <v>1875257110.9000001</v>
          </cell>
          <cell r="G127">
            <v>0</v>
          </cell>
        </row>
        <row r="128">
          <cell r="A128" t="str">
            <v>15705</v>
          </cell>
          <cell r="B128" t="str">
            <v>Суд жараёнидаги лизинг</v>
          </cell>
          <cell r="C128">
            <v>355948235.55000001</v>
          </cell>
          <cell r="D128">
            <v>0</v>
          </cell>
          <cell r="E128">
            <v>0</v>
          </cell>
          <cell r="F128">
            <v>355948235.55000001</v>
          </cell>
          <cell r="G128">
            <v>0</v>
          </cell>
        </row>
        <row r="129">
          <cell r="A129" t="str">
            <v>15707</v>
          </cell>
          <cell r="B129" t="str">
            <v>Якка тартибдаги тадбиркорларга берилган суд жараёнидаги кредитлар</v>
          </cell>
          <cell r="C129">
            <v>548493316.08000004</v>
          </cell>
          <cell r="D129">
            <v>0</v>
          </cell>
          <cell r="E129">
            <v>0</v>
          </cell>
          <cell r="F129">
            <v>548493316.08000004</v>
          </cell>
          <cell r="G129">
            <v>0</v>
          </cell>
        </row>
        <row r="130">
          <cell r="A130" t="str">
            <v>15799</v>
          </cell>
          <cell r="B130" t="str">
            <v>Суд жараёнидаги кредитлар ва лизинг буйича курилиши мумкин булган зарарларни коплаш захираси (контр-актив)</v>
          </cell>
          <cell r="C130">
            <v>-33451904859.91</v>
          </cell>
          <cell r="D130">
            <v>0</v>
          </cell>
          <cell r="E130">
            <v>0</v>
          </cell>
          <cell r="F130">
            <v>-32213056307.310001</v>
          </cell>
          <cell r="G130">
            <v>-1238848552.5999999</v>
          </cell>
        </row>
        <row r="131">
          <cell r="A131" t="str">
            <v>Итого</v>
          </cell>
          <cell r="B131" t="str">
            <v>15700</v>
          </cell>
          <cell r="C131">
            <v>22048629932.709999</v>
          </cell>
          <cell r="D131">
            <v>0</v>
          </cell>
          <cell r="E131">
            <v>0</v>
          </cell>
          <cell r="F131">
            <v>13671515205.309999</v>
          </cell>
          <cell r="G131">
            <v>8377114727.3999996</v>
          </cell>
        </row>
        <row r="132">
          <cell r="A132" t="str">
            <v>15800</v>
          </cell>
          <cell r="B132" t="str">
            <v>Карам хужалик жамиятларига, кушма корхоналарга ва шуъба хужалик жамиятларига килинган инвестициялар</v>
          </cell>
        </row>
        <row r="133">
          <cell r="A133" t="str">
            <v>15801</v>
          </cell>
          <cell r="B133" t="str">
            <v>Карам хужалик жамиятларига килинган инвестициялар - Молиявий институтлар</v>
          </cell>
          <cell r="C133">
            <v>378923880.19999999</v>
          </cell>
          <cell r="D133">
            <v>0</v>
          </cell>
          <cell r="E133">
            <v>0</v>
          </cell>
          <cell r="F133">
            <v>378923880.19999999</v>
          </cell>
          <cell r="G133">
            <v>0</v>
          </cell>
        </row>
        <row r="134">
          <cell r="A134" t="str">
            <v>15899</v>
          </cell>
          <cell r="B134" t="str">
            <v>Карам хужалик жамиятларига, кушма корхоналарга ва шуъба хужалик жамиятларига килинган инвестициялар(контр-акт)</v>
          </cell>
          <cell r="C134">
            <v>-271704100</v>
          </cell>
          <cell r="D134">
            <v>0</v>
          </cell>
          <cell r="E134">
            <v>0</v>
          </cell>
          <cell r="F134">
            <v>-271704100</v>
          </cell>
          <cell r="G134">
            <v>0</v>
          </cell>
        </row>
        <row r="135">
          <cell r="A135" t="str">
            <v>Итого</v>
          </cell>
          <cell r="B135" t="str">
            <v>15800</v>
          </cell>
          <cell r="C135">
            <v>107219780.2</v>
          </cell>
          <cell r="D135">
            <v>0</v>
          </cell>
          <cell r="E135">
            <v>0</v>
          </cell>
          <cell r="F135">
            <v>107219780.2</v>
          </cell>
          <cell r="G135">
            <v>0</v>
          </cell>
        </row>
        <row r="136">
          <cell r="A136" t="str">
            <v>15900</v>
          </cell>
          <cell r="B136" t="str">
            <v>Сундириш муддатигача сакланадиган карз кимматли когозларга килинган инвестициялар</v>
          </cell>
        </row>
        <row r="137">
          <cell r="A137" t="str">
            <v>15979</v>
          </cell>
          <cell r="B137" t="str">
            <v>Бошка карз кимматли когозлар</v>
          </cell>
          <cell r="C137">
            <v>6600000000</v>
          </cell>
          <cell r="D137">
            <v>0</v>
          </cell>
          <cell r="E137">
            <v>0</v>
          </cell>
          <cell r="F137">
            <v>6600000000</v>
          </cell>
          <cell r="G137">
            <v>0</v>
          </cell>
        </row>
        <row r="138">
          <cell r="A138" t="str">
            <v>Итого</v>
          </cell>
          <cell r="B138" t="str">
            <v>15900</v>
          </cell>
          <cell r="C138">
            <v>6600000000</v>
          </cell>
          <cell r="D138">
            <v>0</v>
          </cell>
          <cell r="E138">
            <v>0</v>
          </cell>
          <cell r="F138">
            <v>6600000000</v>
          </cell>
          <cell r="G138">
            <v>0</v>
          </cell>
        </row>
        <row r="139">
          <cell r="A139" t="str">
            <v>16100</v>
          </cell>
          <cell r="B139" t="str">
            <v>Бош банк/филиаллардан олинадиган маблаглар</v>
          </cell>
        </row>
        <row r="140">
          <cell r="A140" t="str">
            <v>16101</v>
          </cell>
          <cell r="B140" t="str">
            <v>Бош банк/филиаллардан олинадиган маблаглар - Накд пуллар</v>
          </cell>
          <cell r="C140">
            <v>22909749202.5</v>
          </cell>
          <cell r="D140">
            <v>0</v>
          </cell>
          <cell r="E140">
            <v>0</v>
          </cell>
          <cell r="F140">
            <v>0</v>
          </cell>
          <cell r="G140">
            <v>22909749202.5</v>
          </cell>
        </row>
        <row r="141">
          <cell r="A141" t="str">
            <v>16102</v>
          </cell>
          <cell r="B141" t="str">
            <v>Бош банк/филиаллардан олинадиган маблаглар - Накдинасиз маблаглар</v>
          </cell>
          <cell r="C141">
            <v>2755296821727.23</v>
          </cell>
          <cell r="D141">
            <v>0</v>
          </cell>
          <cell r="E141">
            <v>0</v>
          </cell>
          <cell r="F141">
            <v>1576808739251.8301</v>
          </cell>
          <cell r="G141">
            <v>1178488082475.3999</v>
          </cell>
        </row>
        <row r="142">
          <cell r="A142" t="str">
            <v>16103</v>
          </cell>
          <cell r="B142" t="str">
            <v>Бош банк/филиаллардан филиаллар ва банклараро хисоб-китоблар буйича олинадиган маблаглар</v>
          </cell>
          <cell r="C142">
            <v>376167858299.26001</v>
          </cell>
          <cell r="D142">
            <v>0</v>
          </cell>
          <cell r="E142">
            <v>0</v>
          </cell>
          <cell r="F142">
            <v>182799765837.70001</v>
          </cell>
          <cell r="G142">
            <v>193368092461.56</v>
          </cell>
        </row>
        <row r="143">
          <cell r="A143" t="str">
            <v>16104</v>
          </cell>
          <cell r="B143" t="str">
            <v>Бош банк/филиаллардан олинадиган маблаглар - Товар-моддий кимматликлар ва хизматлар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16111</v>
          </cell>
          <cell r="B144" t="str">
            <v>Жисмоний шахсларнинг пластик к-таларидан берилган накд маблаглар б-ча Бош банк/фил-лардан олин-ган маблаглар</v>
          </cell>
          <cell r="C144">
            <v>178386200</v>
          </cell>
          <cell r="D144">
            <v>0</v>
          </cell>
          <cell r="E144">
            <v>0</v>
          </cell>
          <cell r="F144">
            <v>178386200</v>
          </cell>
          <cell r="G144">
            <v>0</v>
          </cell>
        </row>
        <row r="145">
          <cell r="A145" t="str">
            <v>16113</v>
          </cell>
          <cell r="B145" t="str">
            <v>Пластик карталардан амалга оширилган туловлар буйича Бош банк/филиаллардан олинадиган маблаглар</v>
          </cell>
          <cell r="C145">
            <v>1889689656.1300001</v>
          </cell>
          <cell r="D145">
            <v>0</v>
          </cell>
          <cell r="E145">
            <v>0</v>
          </cell>
          <cell r="F145">
            <v>1889689656.1300001</v>
          </cell>
          <cell r="G145">
            <v>0</v>
          </cell>
        </row>
        <row r="146">
          <cell r="A146" t="str">
            <v>16115</v>
          </cell>
          <cell r="B146" t="str">
            <v>Бош банк/филиаллардан олинадиган маблаглар - Давлат дастурлари буйича ресурслар</v>
          </cell>
          <cell r="C146">
            <v>1671596312446.6399</v>
          </cell>
          <cell r="D146">
            <v>0</v>
          </cell>
          <cell r="E146">
            <v>0</v>
          </cell>
          <cell r="F146">
            <v>1671596312446.6399</v>
          </cell>
          <cell r="G146">
            <v>0</v>
          </cell>
        </row>
        <row r="147">
          <cell r="A147" t="str">
            <v>Итого</v>
          </cell>
          <cell r="B147" t="str">
            <v>16100</v>
          </cell>
          <cell r="C147">
            <v>4828038817531.7598</v>
          </cell>
          <cell r="D147">
            <v>0</v>
          </cell>
          <cell r="E147">
            <v>0</v>
          </cell>
          <cell r="F147">
            <v>3433272893392.2998</v>
          </cell>
          <cell r="G147">
            <v>1394765924139.46</v>
          </cell>
        </row>
        <row r="148">
          <cell r="A148" t="str">
            <v>16300</v>
          </cell>
          <cell r="B148" t="str">
            <v>Активлар буйича хисобланган фоизлар</v>
          </cell>
        </row>
        <row r="149">
          <cell r="A149" t="str">
            <v>16303</v>
          </cell>
          <cell r="B149" t="str">
            <v>Бошка банклардан олиниши лозим булган хисобланган фоизлар</v>
          </cell>
          <cell r="C149">
            <v>1941446601.1300001</v>
          </cell>
          <cell r="D149">
            <v>0</v>
          </cell>
          <cell r="E149">
            <v>0</v>
          </cell>
          <cell r="F149">
            <v>1502106849.3299999</v>
          </cell>
          <cell r="G149">
            <v>439339751.80000001</v>
          </cell>
        </row>
        <row r="150">
          <cell r="A150" t="str">
            <v>16304</v>
          </cell>
          <cell r="B150" t="str">
            <v>Бош офис/филиалдан олиниши лозим булган хисобланган фоизлар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16305</v>
          </cell>
          <cell r="B151" t="str">
            <v>Олди-сотди кимматли когозлари буйича хисобланган фоизлар</v>
          </cell>
          <cell r="C151">
            <v>1831808219.1600001</v>
          </cell>
          <cell r="D151">
            <v>0</v>
          </cell>
          <cell r="E151">
            <v>0</v>
          </cell>
          <cell r="F151">
            <v>1831808219.1600001</v>
          </cell>
          <cell r="G151">
            <v>0</v>
          </cell>
        </row>
        <row r="152">
          <cell r="A152" t="str">
            <v>16309</v>
          </cell>
          <cell r="B152" t="str">
            <v>Кредитлар буйича хисобланган фоизлар</v>
          </cell>
          <cell r="C152">
            <v>103148592570.63</v>
          </cell>
          <cell r="D152">
            <v>24109.54</v>
          </cell>
          <cell r="E152">
            <v>0</v>
          </cell>
          <cell r="F152">
            <v>68892087626.050003</v>
          </cell>
          <cell r="G152">
            <v>34256480835.040001</v>
          </cell>
        </row>
        <row r="153">
          <cell r="A153" t="str">
            <v>16311</v>
          </cell>
          <cell r="B153" t="str">
            <v>Сундириш муддатигача сакланадиган карз кимматли когозларга килинган инвестициялар буйича хисобланган фоизлар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16323</v>
          </cell>
          <cell r="B154" t="str">
            <v>Лизинг буйича хисобланган фоизлар (Молиявий ижара)</v>
          </cell>
          <cell r="C154">
            <v>147991215.08000001</v>
          </cell>
          <cell r="D154">
            <v>0</v>
          </cell>
          <cell r="E154">
            <v>0</v>
          </cell>
          <cell r="F154">
            <v>108690360.58</v>
          </cell>
          <cell r="G154">
            <v>39300854.5</v>
          </cell>
        </row>
        <row r="155">
          <cell r="A155" t="str">
            <v>16377</v>
          </cell>
          <cell r="B155" t="str">
            <v>Олиш учун хисобланган, шартнома муддатида туланмаган фоизлар</v>
          </cell>
          <cell r="C155">
            <v>27705692698.310001</v>
          </cell>
          <cell r="D155">
            <v>0</v>
          </cell>
          <cell r="E155">
            <v>0</v>
          </cell>
          <cell r="F155">
            <v>11782274381.280001</v>
          </cell>
          <cell r="G155">
            <v>15923418317.030001</v>
          </cell>
        </row>
        <row r="156">
          <cell r="A156" t="str">
            <v>16397</v>
          </cell>
          <cell r="B156" t="str">
            <v>Мижозларнинг бошка мажбуриятлари буйича хисобланган фоизлар</v>
          </cell>
          <cell r="C156">
            <v>366238051.48000002</v>
          </cell>
          <cell r="D156">
            <v>0</v>
          </cell>
          <cell r="E156">
            <v>0</v>
          </cell>
          <cell r="F156">
            <v>366238051.48000002</v>
          </cell>
          <cell r="G156">
            <v>0</v>
          </cell>
        </row>
        <row r="157">
          <cell r="A157" t="str">
            <v>Итого</v>
          </cell>
          <cell r="B157" t="str">
            <v>16300</v>
          </cell>
          <cell r="C157">
            <v>135141769355.78999</v>
          </cell>
          <cell r="D157">
            <v>24109.54</v>
          </cell>
          <cell r="E157">
            <v>0</v>
          </cell>
          <cell r="F157">
            <v>84483205487.880005</v>
          </cell>
          <cell r="G157">
            <v>50658539758.370003</v>
          </cell>
        </row>
        <row r="158">
          <cell r="A158" t="str">
            <v>16400</v>
          </cell>
          <cell r="B158" t="str">
            <v>Хисобланган фоизсиз даромадлар</v>
          </cell>
        </row>
        <row r="159">
          <cell r="A159" t="str">
            <v>16401</v>
          </cell>
          <cell r="B159" t="str">
            <v>Хисобланган воситачилик хаки ва курсатилган хизматлар учун туловлар</v>
          </cell>
          <cell r="C159">
            <v>30843.63</v>
          </cell>
          <cell r="D159">
            <v>0</v>
          </cell>
          <cell r="E159">
            <v>0</v>
          </cell>
          <cell r="F159">
            <v>30843.63</v>
          </cell>
          <cell r="G159">
            <v>0</v>
          </cell>
        </row>
        <row r="160">
          <cell r="A160" t="str">
            <v>16405</v>
          </cell>
          <cell r="B160" t="str">
            <v>Хисобланган жарима ва пенялар</v>
          </cell>
          <cell r="C160">
            <v>7281708.9400000004</v>
          </cell>
          <cell r="D160">
            <v>0</v>
          </cell>
          <cell r="E160">
            <v>0</v>
          </cell>
          <cell r="F160">
            <v>7281708.9400000004</v>
          </cell>
          <cell r="G160">
            <v>0</v>
          </cell>
        </row>
        <row r="161">
          <cell r="A161" t="str">
            <v>16409</v>
          </cell>
          <cell r="B161" t="str">
            <v>Операцион ижара буйича хисобланган даромад</v>
          </cell>
          <cell r="C161">
            <v>9620585</v>
          </cell>
          <cell r="D161">
            <v>0</v>
          </cell>
          <cell r="E161">
            <v>0</v>
          </cell>
          <cell r="F161">
            <v>9620585</v>
          </cell>
          <cell r="G161">
            <v>0</v>
          </cell>
        </row>
        <row r="162">
          <cell r="A162" t="str">
            <v>16413</v>
          </cell>
          <cell r="B162" t="str">
            <v>Хисобланган бошка фоизсиз даромадлар</v>
          </cell>
          <cell r="C162">
            <v>18863067.210000001</v>
          </cell>
          <cell r="D162">
            <v>0</v>
          </cell>
          <cell r="E162">
            <v>0</v>
          </cell>
          <cell r="F162">
            <v>18863067.210000001</v>
          </cell>
          <cell r="G162">
            <v>0</v>
          </cell>
        </row>
        <row r="163">
          <cell r="A163" t="str">
            <v>Итого</v>
          </cell>
          <cell r="B163" t="str">
            <v>16400</v>
          </cell>
          <cell r="C163">
            <v>35796204.780000001</v>
          </cell>
          <cell r="D163">
            <v>0</v>
          </cell>
          <cell r="E163">
            <v>0</v>
          </cell>
          <cell r="F163">
            <v>35796204.780000001</v>
          </cell>
          <cell r="G163">
            <v>0</v>
          </cell>
        </row>
        <row r="164">
          <cell r="A164" t="str">
            <v>16500</v>
          </cell>
          <cell r="B164" t="str">
            <v>Асосий воситалар</v>
          </cell>
        </row>
        <row r="165">
          <cell r="A165" t="str">
            <v>16505</v>
          </cell>
          <cell r="B165" t="str">
            <v>Тугалланмаган курилишлар</v>
          </cell>
          <cell r="C165">
            <v>13368499058.74</v>
          </cell>
          <cell r="D165">
            <v>0</v>
          </cell>
          <cell r="E165">
            <v>0</v>
          </cell>
          <cell r="F165">
            <v>13368499058.74</v>
          </cell>
          <cell r="G165">
            <v>0</v>
          </cell>
        </row>
        <row r="166">
          <cell r="A166" t="str">
            <v>16509</v>
          </cell>
          <cell r="B166" t="str">
            <v>Банкнинг иморатлари - Бинолар ва бошка иморатлар</v>
          </cell>
          <cell r="C166">
            <v>81739898580.100006</v>
          </cell>
          <cell r="D166">
            <v>0</v>
          </cell>
          <cell r="E166">
            <v>0</v>
          </cell>
          <cell r="F166">
            <v>81739898580.100006</v>
          </cell>
          <cell r="G166">
            <v>0</v>
          </cell>
        </row>
        <row r="167">
          <cell r="A167" t="str">
            <v>16511</v>
          </cell>
          <cell r="B167" t="str">
            <v>Бинолар ва бошка иморатларнинг йигилган эскириш суммаси (контр-актив)</v>
          </cell>
          <cell r="C167">
            <v>-20914281606.48</v>
          </cell>
          <cell r="D167">
            <v>0</v>
          </cell>
          <cell r="E167">
            <v>0</v>
          </cell>
          <cell r="F167">
            <v>-20914281606.48</v>
          </cell>
          <cell r="G167">
            <v>0</v>
          </cell>
        </row>
        <row r="168">
          <cell r="A168" t="str">
            <v>16515</v>
          </cell>
          <cell r="B168" t="str">
            <v>Объектларни ижарага олиш ва уни такомиллаштириш хукуки</v>
          </cell>
          <cell r="C168">
            <v>1141626688.5999999</v>
          </cell>
          <cell r="D168">
            <v>0</v>
          </cell>
          <cell r="E168">
            <v>0</v>
          </cell>
          <cell r="F168">
            <v>1141626688.5999999</v>
          </cell>
          <cell r="G168">
            <v>0</v>
          </cell>
        </row>
        <row r="169">
          <cell r="A169" t="str">
            <v>16519</v>
          </cell>
          <cell r="B169" t="str">
            <v>Объектларни ижарага олиш ва уни такомиллаштириш хукуки буйича йигилган эскириш суммаси (контр-актив)</v>
          </cell>
          <cell r="C169">
            <v>-304342891.19</v>
          </cell>
          <cell r="D169">
            <v>0</v>
          </cell>
          <cell r="E169">
            <v>0</v>
          </cell>
          <cell r="F169">
            <v>-304342891.19</v>
          </cell>
          <cell r="G169">
            <v>0</v>
          </cell>
        </row>
        <row r="170">
          <cell r="A170" t="str">
            <v>16529</v>
          </cell>
          <cell r="B170" t="str">
            <v>Транспорт воситалари</v>
          </cell>
          <cell r="C170">
            <v>14119076900.58</v>
          </cell>
          <cell r="D170">
            <v>0</v>
          </cell>
          <cell r="E170">
            <v>0</v>
          </cell>
          <cell r="F170">
            <v>14119076900.58</v>
          </cell>
          <cell r="G170">
            <v>0</v>
          </cell>
        </row>
        <row r="171">
          <cell r="A171" t="str">
            <v>16531</v>
          </cell>
          <cell r="B171" t="str">
            <v>Транспорт воситаларининг йигилган эскириш суммаси (контр-актив)</v>
          </cell>
          <cell r="C171">
            <v>-5662971474.9399996</v>
          </cell>
          <cell r="D171">
            <v>0</v>
          </cell>
          <cell r="E171">
            <v>0</v>
          </cell>
          <cell r="F171">
            <v>-5662971474.9399996</v>
          </cell>
          <cell r="G171">
            <v>0</v>
          </cell>
        </row>
        <row r="172">
          <cell r="A172" t="str">
            <v>16535</v>
          </cell>
          <cell r="B172" t="str">
            <v>Мебель, мослама ва жихозлар</v>
          </cell>
          <cell r="C172">
            <v>84028426781.960007</v>
          </cell>
          <cell r="D172">
            <v>0</v>
          </cell>
          <cell r="E172">
            <v>0</v>
          </cell>
          <cell r="F172">
            <v>84028426781.960007</v>
          </cell>
          <cell r="G172">
            <v>0</v>
          </cell>
        </row>
        <row r="173">
          <cell r="A173" t="str">
            <v>16539</v>
          </cell>
          <cell r="B173" t="str">
            <v>Мебель, мослама ва жихозларнинг йигилган эскириш суммаси (контр-актив)</v>
          </cell>
          <cell r="C173">
            <v>-42438765620.610001</v>
          </cell>
          <cell r="D173">
            <v>0</v>
          </cell>
          <cell r="E173">
            <v>0</v>
          </cell>
          <cell r="F173">
            <v>-42438765620.610001</v>
          </cell>
          <cell r="G173">
            <v>0</v>
          </cell>
        </row>
        <row r="174">
          <cell r="A174" t="str">
            <v>16541</v>
          </cell>
          <cell r="B174" t="str">
            <v>Тулов карточкалари билан хисоб-китобларни амалга ошириш ускуналари</v>
          </cell>
          <cell r="C174">
            <v>34198388973.689999</v>
          </cell>
          <cell r="D174">
            <v>0</v>
          </cell>
          <cell r="E174">
            <v>0</v>
          </cell>
          <cell r="F174">
            <v>34198388973.689999</v>
          </cell>
          <cell r="G174">
            <v>0</v>
          </cell>
        </row>
        <row r="175">
          <cell r="A175" t="str">
            <v>16543</v>
          </cell>
          <cell r="B175" t="str">
            <v>Тулов карточкалари билан хисоб-китобларни амалга ошириш ускуналарининг йигилган эскириш суммаси (контр-актив)</v>
          </cell>
          <cell r="C175">
            <v>-8596341966.3400002</v>
          </cell>
          <cell r="D175">
            <v>0</v>
          </cell>
          <cell r="E175">
            <v>0</v>
          </cell>
          <cell r="F175">
            <v>-8596341966.3400002</v>
          </cell>
          <cell r="G175">
            <v>0</v>
          </cell>
        </row>
        <row r="176">
          <cell r="A176" t="str">
            <v>16549</v>
          </cell>
          <cell r="B176" t="str">
            <v>Бошкаларга операцион ижарага берилган асосий воситалар</v>
          </cell>
          <cell r="C176">
            <v>20428528048.689999</v>
          </cell>
          <cell r="D176">
            <v>1345430.18</v>
          </cell>
          <cell r="E176">
            <v>0</v>
          </cell>
          <cell r="F176">
            <v>20427182618.509998</v>
          </cell>
          <cell r="G176">
            <v>0</v>
          </cell>
        </row>
        <row r="177">
          <cell r="A177" t="str">
            <v>16551</v>
          </cell>
          <cell r="B177" t="str">
            <v>Бошкаларга операцион ижарага берилган асосий воситаларнинг йигилган эскириш суммаси (контр-актив)</v>
          </cell>
          <cell r="C177">
            <v>-7933128194.4099998</v>
          </cell>
          <cell r="D177">
            <v>-269086.03999999998</v>
          </cell>
          <cell r="E177">
            <v>0</v>
          </cell>
          <cell r="F177">
            <v>-7932859108.3699999</v>
          </cell>
          <cell r="G177">
            <v>0</v>
          </cell>
        </row>
        <row r="178">
          <cell r="A178" t="str">
            <v>16561</v>
          </cell>
          <cell r="B178" t="str">
            <v>Омбордаги асосий воситалар</v>
          </cell>
          <cell r="C178">
            <v>2135937023.5599999</v>
          </cell>
          <cell r="D178">
            <v>0</v>
          </cell>
          <cell r="E178">
            <v>0</v>
          </cell>
          <cell r="F178">
            <v>2135937023.5599999</v>
          </cell>
          <cell r="G178">
            <v>0</v>
          </cell>
        </row>
        <row r="179">
          <cell r="A179" t="str">
            <v>16563</v>
          </cell>
          <cell r="B179" t="str">
            <v>Омбордаги асосий воситаларнинг йигилган эскириш суммаси (контр-актив)</v>
          </cell>
          <cell r="C179">
            <v>-92171699.209999993</v>
          </cell>
          <cell r="D179">
            <v>0</v>
          </cell>
          <cell r="E179">
            <v>0</v>
          </cell>
          <cell r="F179">
            <v>-92171699.209999993</v>
          </cell>
          <cell r="G179">
            <v>0</v>
          </cell>
        </row>
        <row r="180">
          <cell r="A180" t="str">
            <v>Итого</v>
          </cell>
          <cell r="B180" t="str">
            <v>16500</v>
          </cell>
          <cell r="C180">
            <v>165218378602.73999</v>
          </cell>
          <cell r="D180">
            <v>1076344.1399999999</v>
          </cell>
          <cell r="E180">
            <v>0</v>
          </cell>
          <cell r="F180">
            <v>165217302258.60001</v>
          </cell>
          <cell r="G180">
            <v>0</v>
          </cell>
        </row>
        <row r="181">
          <cell r="A181" t="str">
            <v>16600</v>
          </cell>
          <cell r="B181" t="str">
            <v>Номоддий активлар</v>
          </cell>
        </row>
        <row r="182">
          <cell r="A182" t="str">
            <v>16601</v>
          </cell>
          <cell r="B182" t="str">
            <v>Номоддий активлар</v>
          </cell>
          <cell r="C182">
            <v>5572775451.0500002</v>
          </cell>
          <cell r="D182">
            <v>0</v>
          </cell>
          <cell r="E182">
            <v>0</v>
          </cell>
          <cell r="F182">
            <v>5572775451.0500002</v>
          </cell>
          <cell r="G182">
            <v>0</v>
          </cell>
        </row>
        <row r="183">
          <cell r="A183" t="str">
            <v>16605</v>
          </cell>
          <cell r="B183" t="str">
            <v>Номоддий активларнинг йигилган эскириш суммаси (контр-актив)</v>
          </cell>
          <cell r="C183">
            <v>-4424806611.6400003</v>
          </cell>
          <cell r="D183">
            <v>0</v>
          </cell>
          <cell r="E183">
            <v>0</v>
          </cell>
          <cell r="F183">
            <v>-4424806611.6400003</v>
          </cell>
          <cell r="G183">
            <v>0</v>
          </cell>
        </row>
        <row r="184">
          <cell r="A184" t="str">
            <v>Итого</v>
          </cell>
          <cell r="B184" t="str">
            <v>16600</v>
          </cell>
          <cell r="C184">
            <v>1147968839.4100001</v>
          </cell>
          <cell r="D184">
            <v>0</v>
          </cell>
          <cell r="E184">
            <v>0</v>
          </cell>
          <cell r="F184">
            <v>1147968839.4100001</v>
          </cell>
          <cell r="G184">
            <v>0</v>
          </cell>
        </row>
        <row r="185">
          <cell r="A185" t="str">
            <v>16700</v>
          </cell>
          <cell r="B185" t="str">
            <v>Банкнинг бошка хусусий мулклари</v>
          </cell>
        </row>
        <row r="186">
          <cell r="A186" t="str">
            <v>16701</v>
          </cell>
          <cell r="B186" t="str">
            <v>Кредит ва лизинг буйича гаров хисобидан ундирилган мулк</v>
          </cell>
          <cell r="C186">
            <v>3756918318.5300002</v>
          </cell>
          <cell r="D186">
            <v>0</v>
          </cell>
          <cell r="E186">
            <v>0</v>
          </cell>
          <cell r="F186">
            <v>3756918318.5300002</v>
          </cell>
          <cell r="G186">
            <v>0</v>
          </cell>
        </row>
        <row r="187">
          <cell r="A187" t="str">
            <v>Итого</v>
          </cell>
          <cell r="B187" t="str">
            <v>16700</v>
          </cell>
          <cell r="C187">
            <v>3756918318.5300002</v>
          </cell>
          <cell r="D187">
            <v>0</v>
          </cell>
          <cell r="E187">
            <v>0</v>
          </cell>
          <cell r="F187">
            <v>3756918318.5300002</v>
          </cell>
          <cell r="G187">
            <v>0</v>
          </cell>
        </row>
        <row r="188">
          <cell r="A188" t="str">
            <v>16800</v>
          </cell>
          <cell r="B188" t="str">
            <v>Муддати узайтирилган дебитор карздорлик</v>
          </cell>
        </row>
        <row r="189">
          <cell r="A189" t="str">
            <v>16803</v>
          </cell>
          <cell r="B189" t="str">
            <v>Булиб-булиб тулаш учун сотилган банкнинг активлари</v>
          </cell>
          <cell r="C189">
            <v>6795801648.9700003</v>
          </cell>
          <cell r="D189">
            <v>0</v>
          </cell>
          <cell r="E189">
            <v>0</v>
          </cell>
          <cell r="F189">
            <v>6795801648.9700003</v>
          </cell>
          <cell r="G189">
            <v>0</v>
          </cell>
        </row>
        <row r="190">
          <cell r="A190" t="str">
            <v>16899</v>
          </cell>
          <cell r="B190" t="str">
            <v>Курилиши мумкин булган зарарларни коплаш захираси - Муддати узайтирилган дебитор карздорлик (контр-актив)</v>
          </cell>
          <cell r="C190">
            <v>-3228695278.7600002</v>
          </cell>
          <cell r="D190">
            <v>0</v>
          </cell>
          <cell r="E190">
            <v>0</v>
          </cell>
          <cell r="F190">
            <v>-3228695278.7600002</v>
          </cell>
          <cell r="G190">
            <v>0</v>
          </cell>
        </row>
        <row r="191">
          <cell r="A191" t="str">
            <v>Итого</v>
          </cell>
          <cell r="B191" t="str">
            <v>16800</v>
          </cell>
          <cell r="C191">
            <v>3567106370.21</v>
          </cell>
          <cell r="D191">
            <v>0</v>
          </cell>
          <cell r="E191">
            <v>0</v>
          </cell>
          <cell r="F191">
            <v>3567106370.21</v>
          </cell>
          <cell r="G191">
            <v>0</v>
          </cell>
        </row>
        <row r="192">
          <cell r="A192" t="str">
            <v>17100</v>
          </cell>
          <cell r="B192" t="str">
            <v>Валюта савдоси ва валюта позициялари</v>
          </cell>
        </row>
        <row r="193">
          <cell r="A193" t="str">
            <v>17101</v>
          </cell>
          <cell r="B193" t="str">
            <v>Валюта позицияси хисобвараклари</v>
          </cell>
          <cell r="C193">
            <v>0</v>
          </cell>
          <cell r="D193">
            <v>0</v>
          </cell>
          <cell r="E193">
            <v>0</v>
          </cell>
          <cell r="F193">
            <v>137762946409.64001</v>
          </cell>
          <cell r="G193">
            <v>-137762946409.64001</v>
          </cell>
        </row>
        <row r="194">
          <cell r="A194" t="str">
            <v>Итого</v>
          </cell>
          <cell r="B194" t="str">
            <v>17100</v>
          </cell>
          <cell r="C194">
            <v>0</v>
          </cell>
          <cell r="D194">
            <v>0</v>
          </cell>
          <cell r="E194">
            <v>0</v>
          </cell>
          <cell r="F194">
            <v>137762946409.64001</v>
          </cell>
          <cell r="G194">
            <v>-137762946409.64001</v>
          </cell>
        </row>
        <row r="195">
          <cell r="A195" t="str">
            <v>17300</v>
          </cell>
          <cell r="B195" t="str">
            <v>Транзит хисобвараклари</v>
          </cell>
        </row>
        <row r="196">
          <cell r="A196" t="str">
            <v>17301</v>
          </cell>
          <cell r="B196" t="str">
            <v>Транзит хисобвараклари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 t="str">
            <v>17305</v>
          </cell>
          <cell r="B197" t="str">
            <v>Аникланиш жараёнидаги трансакциялар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 t="str">
            <v>Итого</v>
          </cell>
          <cell r="B198" t="str">
            <v>17300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17400</v>
          </cell>
          <cell r="B199" t="str">
            <v>Мижозларнинг пластик карталаридан утказилиши лозим булган маблаглар транзит хисобвараклари</v>
          </cell>
        </row>
        <row r="200">
          <cell r="A200" t="str">
            <v>17401</v>
          </cell>
          <cell r="B200" t="str">
            <v>Жисмоний шахсларнинг пластик к-таларидан олинган накд пул буйича ут-ши лозим булган маблаглар транзит х/клари</v>
          </cell>
          <cell r="C200">
            <v>626869834.85000002</v>
          </cell>
          <cell r="D200">
            <v>0</v>
          </cell>
          <cell r="E200">
            <v>0</v>
          </cell>
          <cell r="F200">
            <v>626869834.85000002</v>
          </cell>
          <cell r="G200">
            <v>0</v>
          </cell>
        </row>
        <row r="201">
          <cell r="A201" t="str">
            <v>17403</v>
          </cell>
          <cell r="B201" t="str">
            <v>Жис ш-ларнинг пл-к к-таларидан бошка пл-к к-талар ёки ом-тлар х/вларига ут-ши л/б-н маблаглар тр-т х/влари</v>
          </cell>
          <cell r="C201">
            <v>11644286639.389999</v>
          </cell>
          <cell r="D201">
            <v>0</v>
          </cell>
          <cell r="E201">
            <v>0</v>
          </cell>
          <cell r="F201">
            <v>11644286639.389999</v>
          </cell>
          <cell r="G201">
            <v>0</v>
          </cell>
        </row>
        <row r="202">
          <cell r="A202" t="str">
            <v>17405</v>
          </cell>
          <cell r="B202" t="str">
            <v>Пластик карталардан коммунал туловлар буйича утказилиши лозим булган маблаглар транзит хисобвараклари</v>
          </cell>
          <cell r="C202">
            <v>80247439.819999993</v>
          </cell>
          <cell r="D202">
            <v>0</v>
          </cell>
          <cell r="E202">
            <v>0</v>
          </cell>
          <cell r="F202">
            <v>80247439.819999993</v>
          </cell>
          <cell r="G202">
            <v>0</v>
          </cell>
        </row>
        <row r="203">
          <cell r="A203" t="str">
            <v>17409</v>
          </cell>
          <cell r="B203" t="str">
            <v>Пл-к к-талардан конунчиликда кузда тутилган бошка туловлар буйича ут-ши л/б-н маблаглар транзит х/влари</v>
          </cell>
          <cell r="C203">
            <v>3978834355.0100002</v>
          </cell>
          <cell r="D203">
            <v>0</v>
          </cell>
          <cell r="E203">
            <v>0</v>
          </cell>
          <cell r="F203">
            <v>3978834355.0100002</v>
          </cell>
          <cell r="G203">
            <v>0</v>
          </cell>
        </row>
        <row r="204">
          <cell r="A204" t="str">
            <v>Итого</v>
          </cell>
          <cell r="B204" t="str">
            <v>17400</v>
          </cell>
          <cell r="C204">
            <v>16330238269.07</v>
          </cell>
          <cell r="D204">
            <v>0</v>
          </cell>
          <cell r="E204">
            <v>0</v>
          </cell>
          <cell r="F204">
            <v>16330238269.07</v>
          </cell>
          <cell r="G204">
            <v>0</v>
          </cell>
        </row>
        <row r="205">
          <cell r="A205" t="str">
            <v>19900</v>
          </cell>
          <cell r="B205" t="str">
            <v>Бошка активлар</v>
          </cell>
        </row>
        <row r="206">
          <cell r="A206" t="str">
            <v>19903</v>
          </cell>
          <cell r="B206" t="str">
            <v>Инкассо килинган пул тушумлари ва чеклар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19907</v>
          </cell>
          <cell r="B207" t="str">
            <v>Хизматлар учун олдиндан килинган харажатлар</v>
          </cell>
          <cell r="C207">
            <v>7139395097.9200001</v>
          </cell>
          <cell r="D207">
            <v>0</v>
          </cell>
          <cell r="E207">
            <v>0</v>
          </cell>
          <cell r="F207">
            <v>7139395097.9200001</v>
          </cell>
          <cell r="G207">
            <v>0</v>
          </cell>
        </row>
        <row r="208">
          <cell r="A208" t="str">
            <v>19908</v>
          </cell>
          <cell r="B208" t="str">
            <v>Банк ходимлари билан хисоб-китоблардаги олиниши лозим булган маблаглар</v>
          </cell>
          <cell r="C208">
            <v>413028697.47000003</v>
          </cell>
          <cell r="D208">
            <v>8378.6</v>
          </cell>
          <cell r="E208">
            <v>0</v>
          </cell>
          <cell r="F208">
            <v>368520039.26999998</v>
          </cell>
          <cell r="G208">
            <v>44500279.600000001</v>
          </cell>
        </row>
        <row r="209">
          <cell r="A209" t="str">
            <v>19909</v>
          </cell>
          <cell r="B209" t="str">
            <v>Товар-моддий кимматликлар учун туланган маблаглар</v>
          </cell>
          <cell r="C209">
            <v>16494883952.799999</v>
          </cell>
          <cell r="D209">
            <v>0</v>
          </cell>
          <cell r="E209">
            <v>0</v>
          </cell>
          <cell r="F209">
            <v>6195712952.8000002</v>
          </cell>
          <cell r="G209">
            <v>10299171000</v>
          </cell>
        </row>
        <row r="210">
          <cell r="A210" t="str">
            <v>19910</v>
          </cell>
          <cell r="B210" t="str">
            <v>Банкнинг жавобгар ходимларига берилган корпоратив пластик карталар буйича хисоб-китоблар учун маблаглар</v>
          </cell>
          <cell r="C210">
            <v>30544637.84</v>
          </cell>
          <cell r="D210">
            <v>0</v>
          </cell>
          <cell r="E210">
            <v>0</v>
          </cell>
          <cell r="F210">
            <v>30544637.84</v>
          </cell>
          <cell r="G210">
            <v>0</v>
          </cell>
        </row>
        <row r="211">
          <cell r="A211" t="str">
            <v>19921</v>
          </cell>
          <cell r="B211" t="str">
            <v>Омбордаги кам бахоли ва тез эскирувчи буюмлар хамда бошка кимматликлар</v>
          </cell>
          <cell r="C211">
            <v>1904609032.28</v>
          </cell>
          <cell r="D211">
            <v>0</v>
          </cell>
          <cell r="E211">
            <v>0</v>
          </cell>
          <cell r="F211">
            <v>1904609032.28</v>
          </cell>
          <cell r="G211">
            <v>0</v>
          </cell>
        </row>
        <row r="212">
          <cell r="A212" t="str">
            <v>19925</v>
          </cell>
          <cell r="B212" t="str">
            <v>Олдиндан туланган харажатлар</v>
          </cell>
          <cell r="C212">
            <v>1554875346.6300001</v>
          </cell>
          <cell r="D212">
            <v>0</v>
          </cell>
          <cell r="E212">
            <v>0</v>
          </cell>
          <cell r="F212">
            <v>1554875346.6300001</v>
          </cell>
          <cell r="G212">
            <v>0</v>
          </cell>
        </row>
        <row r="213">
          <cell r="A213" t="str">
            <v>19934</v>
          </cell>
          <cell r="B213" t="str">
            <v>Жмсмоний шахсларнинг пул утказмалари буйича хисоб-китоблар</v>
          </cell>
          <cell r="C213">
            <v>35506747180.300003</v>
          </cell>
          <cell r="D213">
            <v>0</v>
          </cell>
          <cell r="E213">
            <v>0</v>
          </cell>
          <cell r="F213">
            <v>0</v>
          </cell>
          <cell r="G213">
            <v>35506747180.300003</v>
          </cell>
        </row>
        <row r="214">
          <cell r="A214" t="str">
            <v>19995</v>
          </cell>
          <cell r="B214" t="str">
            <v>Суд жараёнидаги бошка активлар</v>
          </cell>
          <cell r="C214">
            <v>349951516.39999998</v>
          </cell>
          <cell r="D214">
            <v>0</v>
          </cell>
          <cell r="E214">
            <v>0</v>
          </cell>
          <cell r="F214">
            <v>349951516.39999998</v>
          </cell>
          <cell r="G214">
            <v>0</v>
          </cell>
        </row>
        <row r="215">
          <cell r="A215" t="str">
            <v>19997</v>
          </cell>
          <cell r="B215" t="str">
            <v>Бошка активлар</v>
          </cell>
          <cell r="C215">
            <v>42133539513.279999</v>
          </cell>
          <cell r="D215">
            <v>0</v>
          </cell>
          <cell r="E215">
            <v>0</v>
          </cell>
          <cell r="F215">
            <v>13648550136.18</v>
          </cell>
          <cell r="G215">
            <v>28484989377.099998</v>
          </cell>
        </row>
        <row r="216">
          <cell r="A216" t="str">
            <v>19999</v>
          </cell>
          <cell r="B216" t="str">
            <v>Бошка активлар буйича курилиши мумкин булган зарарларни коплаш захираси (контр-актив)</v>
          </cell>
          <cell r="C216">
            <v>-8634466950.6000004</v>
          </cell>
          <cell r="D216">
            <v>0</v>
          </cell>
          <cell r="E216">
            <v>0</v>
          </cell>
          <cell r="F216">
            <v>-755608834.39999998</v>
          </cell>
          <cell r="G216">
            <v>-7878858116.1999998</v>
          </cell>
        </row>
        <row r="217">
          <cell r="A217" t="str">
            <v>Итого</v>
          </cell>
          <cell r="B217" t="str">
            <v>19900</v>
          </cell>
          <cell r="C217">
            <v>96893108024.320007</v>
          </cell>
          <cell r="D217">
            <v>8378.6</v>
          </cell>
          <cell r="E217">
            <v>0</v>
          </cell>
          <cell r="F217">
            <v>30436549924.919998</v>
          </cell>
          <cell r="G217">
            <v>66456549720.800003</v>
          </cell>
        </row>
        <row r="218">
          <cell r="A218" t="str">
            <v>Итого</v>
          </cell>
          <cell r="B218" t="str">
            <v>АКТИВЛАР</v>
          </cell>
          <cell r="C218">
            <v>11526011640984.301</v>
          </cell>
          <cell r="D218">
            <v>56108708.990000002</v>
          </cell>
          <cell r="E218">
            <v>20197595234.41</v>
          </cell>
          <cell r="F218">
            <v>7849249115565.3896</v>
          </cell>
          <cell r="G218">
            <v>3656508821475.54</v>
          </cell>
        </row>
        <row r="220">
          <cell r="A220" t="str">
            <v>2 МАЖБУРИЯТЛАР</v>
          </cell>
        </row>
        <row r="221">
          <cell r="A221" t="str">
            <v>20200</v>
          </cell>
          <cell r="B221" t="str">
            <v>Талаб килиб олингунча сакланадиган депозитлар</v>
          </cell>
        </row>
        <row r="222">
          <cell r="A222" t="str">
            <v>20203</v>
          </cell>
          <cell r="B222" t="str">
            <v>Республика карамогидаги бюджет ташкилотларининг бюджетдан ташкари маблаглари буйича талаб килиб олингунча сакл</v>
          </cell>
          <cell r="C222">
            <v>1227243123.74</v>
          </cell>
          <cell r="D222">
            <v>0</v>
          </cell>
          <cell r="E222">
            <v>0</v>
          </cell>
          <cell r="F222">
            <v>1227237450.9400001</v>
          </cell>
          <cell r="G222">
            <v>5672.8</v>
          </cell>
        </row>
        <row r="223">
          <cell r="A223" t="str">
            <v>20204</v>
          </cell>
          <cell r="B223" t="str">
            <v>Махаллий бюджет карамогидаги бюджет ташкилотларининг бюджетдан ташкари маблаглари буйича талаб килиб олингунча</v>
          </cell>
          <cell r="C223">
            <v>30609773.449999999</v>
          </cell>
          <cell r="D223">
            <v>0</v>
          </cell>
          <cell r="E223">
            <v>0</v>
          </cell>
          <cell r="F223">
            <v>13885953.85</v>
          </cell>
          <cell r="G223">
            <v>16723819.6</v>
          </cell>
        </row>
        <row r="224">
          <cell r="A224" t="str">
            <v>20206</v>
          </cell>
          <cell r="B224" t="str">
            <v>Жисмоний шахсларнинг талаб килиб олингунча сакланадиган депозитлари</v>
          </cell>
          <cell r="C224">
            <v>21092687866.529999</v>
          </cell>
          <cell r="D224">
            <v>0</v>
          </cell>
          <cell r="E224">
            <v>581765.9</v>
          </cell>
          <cell r="F224">
            <v>19484813292.709999</v>
          </cell>
          <cell r="G224">
            <v>1607292807.9200001</v>
          </cell>
        </row>
        <row r="225">
          <cell r="A225" t="str">
            <v>20208</v>
          </cell>
          <cell r="B225" t="str">
            <v>Хусусий корхоналар, хужалик ширкатлари ва жамиятларнинг талаб килиб олингунча сакланадиган депозитлари</v>
          </cell>
          <cell r="C225">
            <v>113064355221.61</v>
          </cell>
          <cell r="D225">
            <v>0</v>
          </cell>
          <cell r="E225">
            <v>0</v>
          </cell>
          <cell r="F225">
            <v>106161705944.10001</v>
          </cell>
          <cell r="G225">
            <v>6902649277.5100002</v>
          </cell>
        </row>
        <row r="226">
          <cell r="A226" t="str">
            <v>20210</v>
          </cell>
          <cell r="B226" t="str">
            <v>Давлат корхона, ташкилот ва муассасаларининг талаб килиб олингунча сакланадиган депозитлари</v>
          </cell>
          <cell r="C226">
            <v>24242916268.599998</v>
          </cell>
          <cell r="D226">
            <v>0</v>
          </cell>
          <cell r="E226">
            <v>0</v>
          </cell>
          <cell r="F226">
            <v>21660176462.580002</v>
          </cell>
          <cell r="G226">
            <v>2582739806.02</v>
          </cell>
        </row>
        <row r="227">
          <cell r="A227" t="str">
            <v>20212</v>
          </cell>
          <cell r="B227" t="str">
            <v>Нодавлат нотижорат ташкилотларининг талаб килиб олингунча сакланадиган депозитлари</v>
          </cell>
          <cell r="C227">
            <v>8913476324.3099995</v>
          </cell>
          <cell r="D227">
            <v>0</v>
          </cell>
          <cell r="E227">
            <v>0</v>
          </cell>
          <cell r="F227">
            <v>8913476324.3099995</v>
          </cell>
          <cell r="G227">
            <v>0</v>
          </cell>
        </row>
        <row r="228">
          <cell r="A228" t="str">
            <v>20214</v>
          </cell>
          <cell r="B228" t="str">
            <v>Чет эл капитали иштирокидаги корхоналарнинг талаб килиб олингунча сакланадиган депозитлари</v>
          </cell>
          <cell r="C228">
            <v>4140971248.9000001</v>
          </cell>
          <cell r="D228">
            <v>0</v>
          </cell>
          <cell r="E228">
            <v>0</v>
          </cell>
          <cell r="F228">
            <v>2504773142.4000001</v>
          </cell>
          <cell r="G228">
            <v>1636198106.5</v>
          </cell>
        </row>
        <row r="229">
          <cell r="A229" t="str">
            <v>20216</v>
          </cell>
          <cell r="B229" t="str">
            <v>Банк булмаган молиявий муассасаларнинг талаб килиб олингунча сакланадиган депозитлари</v>
          </cell>
          <cell r="C229">
            <v>1306752800.25</v>
          </cell>
          <cell r="D229">
            <v>0</v>
          </cell>
          <cell r="E229">
            <v>0</v>
          </cell>
          <cell r="F229">
            <v>1306752800.25</v>
          </cell>
          <cell r="G229">
            <v>0</v>
          </cell>
        </row>
        <row r="230">
          <cell r="A230" t="str">
            <v>20218</v>
          </cell>
          <cell r="B230" t="str">
            <v>Якка тартибдаги тадбиркорларнинг талаб килиб олингунча сакланадиган депозитлари</v>
          </cell>
          <cell r="C230">
            <v>14451402424.27</v>
          </cell>
          <cell r="D230">
            <v>7722345.4100000001</v>
          </cell>
          <cell r="E230">
            <v>0</v>
          </cell>
          <cell r="F230">
            <v>14441494531.360001</v>
          </cell>
          <cell r="G230">
            <v>2185547.5</v>
          </cell>
        </row>
        <row r="231">
          <cell r="A231" t="str">
            <v>20296</v>
          </cell>
          <cell r="B231" t="str">
            <v>Бошка мижозларнинг талаб килиб олингунча сакланадиган депозитлари</v>
          </cell>
          <cell r="C231">
            <v>6786678605.5900002</v>
          </cell>
          <cell r="D231">
            <v>1700936066.3900001</v>
          </cell>
          <cell r="E231">
            <v>5085582539.1999998</v>
          </cell>
          <cell r="F231">
            <v>160000</v>
          </cell>
          <cell r="G231">
            <v>0</v>
          </cell>
        </row>
        <row r="232">
          <cell r="A232" t="str">
            <v>Итого</v>
          </cell>
          <cell r="B232" t="str">
            <v>20200</v>
          </cell>
          <cell r="C232">
            <v>195257093657.25</v>
          </cell>
          <cell r="D232">
            <v>1708658411.8</v>
          </cell>
          <cell r="E232">
            <v>5086164305.1000004</v>
          </cell>
          <cell r="F232">
            <v>175714475902.5</v>
          </cell>
          <cell r="G232">
            <v>12747795037.85</v>
          </cell>
        </row>
        <row r="233">
          <cell r="A233" t="str">
            <v>20400</v>
          </cell>
          <cell r="B233" t="str">
            <v>Жамгарма депозитлар</v>
          </cell>
        </row>
        <row r="234">
          <cell r="A234" t="str">
            <v>20403</v>
          </cell>
          <cell r="B234" t="str">
            <v>Республика карамогидаги бюджет ташкилотларининг бюджетдан ташкари маблаглари буйича жамгарма депозитлари</v>
          </cell>
          <cell r="C234">
            <v>19085810000</v>
          </cell>
          <cell r="D234">
            <v>0</v>
          </cell>
          <cell r="E234">
            <v>0</v>
          </cell>
          <cell r="F234">
            <v>19085810000</v>
          </cell>
          <cell r="G234">
            <v>0</v>
          </cell>
        </row>
        <row r="235">
          <cell r="A235" t="str">
            <v>20406</v>
          </cell>
          <cell r="B235" t="str">
            <v>Жисмоний шахсларнинг жамгарма депозитлари</v>
          </cell>
          <cell r="C235">
            <v>71071308823.089996</v>
          </cell>
          <cell r="D235">
            <v>13000038.359999999</v>
          </cell>
          <cell r="E235">
            <v>0</v>
          </cell>
          <cell r="F235">
            <v>69556185178.929993</v>
          </cell>
          <cell r="G235">
            <v>1502123605.8</v>
          </cell>
        </row>
        <row r="236">
          <cell r="A236" t="str">
            <v>20408</v>
          </cell>
          <cell r="B236" t="str">
            <v>Хусусий корхоналар, хужалик ширкатлари ва жамиятларнинг жамгарма депозитлари</v>
          </cell>
          <cell r="C236">
            <v>1551134310.71</v>
          </cell>
          <cell r="D236">
            <v>0</v>
          </cell>
          <cell r="E236">
            <v>0</v>
          </cell>
          <cell r="F236">
            <v>1551134310.71</v>
          </cell>
          <cell r="G236">
            <v>0</v>
          </cell>
        </row>
        <row r="237">
          <cell r="A237" t="str">
            <v>20410</v>
          </cell>
          <cell r="B237" t="str">
            <v>Давлат корхона, ташкилот ва муассасаларининг жамгарма депозитлари</v>
          </cell>
          <cell r="C237">
            <v>163412.89000000001</v>
          </cell>
          <cell r="D237">
            <v>0</v>
          </cell>
          <cell r="E237">
            <v>0</v>
          </cell>
          <cell r="F237">
            <v>163412.89000000001</v>
          </cell>
          <cell r="G237">
            <v>0</v>
          </cell>
        </row>
        <row r="238">
          <cell r="A238" t="str">
            <v>20412</v>
          </cell>
          <cell r="B238" t="str">
            <v>Нодавлат нотижорат ташкилотларининг жамгарма депозитлари</v>
          </cell>
          <cell r="C238">
            <v>168700014.56</v>
          </cell>
          <cell r="D238">
            <v>0</v>
          </cell>
          <cell r="E238">
            <v>0</v>
          </cell>
          <cell r="F238">
            <v>168700014.56</v>
          </cell>
          <cell r="G238">
            <v>0</v>
          </cell>
        </row>
        <row r="239">
          <cell r="A239" t="str">
            <v>20418</v>
          </cell>
          <cell r="B239" t="str">
            <v>Якка тартибдаги тадбиркорларнинг жамгарма депозитлари</v>
          </cell>
          <cell r="C239">
            <v>1118454145.3399999</v>
          </cell>
          <cell r="D239">
            <v>0</v>
          </cell>
          <cell r="E239">
            <v>0</v>
          </cell>
          <cell r="F239">
            <v>1118454145.3399999</v>
          </cell>
          <cell r="G239">
            <v>0</v>
          </cell>
        </row>
        <row r="240">
          <cell r="A240" t="str">
            <v>Итого</v>
          </cell>
          <cell r="B240" t="str">
            <v>20400</v>
          </cell>
          <cell r="C240">
            <v>92995570706.589996</v>
          </cell>
          <cell r="D240">
            <v>13000038.359999999</v>
          </cell>
          <cell r="E240">
            <v>0</v>
          </cell>
          <cell r="F240">
            <v>91480447062.429993</v>
          </cell>
          <cell r="G240">
            <v>1502123605.8</v>
          </cell>
        </row>
        <row r="241">
          <cell r="A241" t="str">
            <v>20600</v>
          </cell>
          <cell r="B241" t="str">
            <v>Муддатли депозитлар</v>
          </cell>
        </row>
        <row r="242">
          <cell r="A242" t="str">
            <v>20602</v>
          </cell>
          <cell r="B242" t="str">
            <v>Хукуматнинг бюджетдан ташкари маблаглари буйича муддатли депозитлари</v>
          </cell>
          <cell r="C242">
            <v>202350000000</v>
          </cell>
          <cell r="D242">
            <v>0</v>
          </cell>
          <cell r="E242">
            <v>0</v>
          </cell>
          <cell r="F242">
            <v>50400000000</v>
          </cell>
          <cell r="G242">
            <v>151950000000</v>
          </cell>
        </row>
        <row r="243">
          <cell r="A243" t="str">
            <v>20603</v>
          </cell>
          <cell r="B243" t="str">
            <v>Республика карамогидаги бюджет ташкилотларининг бюджетдан ташкари маблаглари буйича муддатли депозитлари</v>
          </cell>
          <cell r="C243">
            <v>85800000000</v>
          </cell>
          <cell r="D243">
            <v>0</v>
          </cell>
          <cell r="E243">
            <v>0</v>
          </cell>
          <cell r="F243">
            <v>85800000000</v>
          </cell>
          <cell r="G243">
            <v>0</v>
          </cell>
        </row>
        <row r="244">
          <cell r="A244" t="str">
            <v>20604</v>
          </cell>
          <cell r="B244" t="str">
            <v>Махаллий бюджет карамогидаги бюджет ташкилотларининг бюджетдан ташкари маблаглари буйича муддатли депозитлари</v>
          </cell>
          <cell r="C244">
            <v>5982341083.6999998</v>
          </cell>
          <cell r="D244">
            <v>0</v>
          </cell>
          <cell r="E244">
            <v>0</v>
          </cell>
          <cell r="F244">
            <v>5982341083.6999998</v>
          </cell>
          <cell r="G244">
            <v>0</v>
          </cell>
        </row>
        <row r="245">
          <cell r="A245" t="str">
            <v>20605</v>
          </cell>
          <cell r="B245" t="str">
            <v>Бюджетдан ташкари фондларнинг муддатли депозитлари</v>
          </cell>
          <cell r="C245">
            <v>84830900000</v>
          </cell>
          <cell r="D245">
            <v>0</v>
          </cell>
          <cell r="E245">
            <v>0</v>
          </cell>
          <cell r="F245">
            <v>84830900000</v>
          </cell>
          <cell r="G245">
            <v>0</v>
          </cell>
        </row>
        <row r="246">
          <cell r="A246" t="str">
            <v>20606</v>
          </cell>
          <cell r="B246" t="str">
            <v>Жисмоний шахсларнинг муддатли депозитлари</v>
          </cell>
          <cell r="C246">
            <v>227158581697.54001</v>
          </cell>
          <cell r="D246">
            <v>451292307.58999997</v>
          </cell>
          <cell r="E246">
            <v>0</v>
          </cell>
          <cell r="F246">
            <v>207856577623.75</v>
          </cell>
          <cell r="G246">
            <v>18850711766.200001</v>
          </cell>
        </row>
        <row r="247">
          <cell r="A247" t="str">
            <v>20608</v>
          </cell>
          <cell r="B247" t="str">
            <v>Хусусий корхоналар, хужалик ширкатлари ва жамиятларнинг муддатли депозитлари</v>
          </cell>
          <cell r="C247">
            <v>35963552500</v>
          </cell>
          <cell r="D247">
            <v>0</v>
          </cell>
          <cell r="E247">
            <v>0</v>
          </cell>
          <cell r="F247">
            <v>35963552500</v>
          </cell>
          <cell r="G247">
            <v>0</v>
          </cell>
        </row>
        <row r="248">
          <cell r="A248" t="str">
            <v>20610</v>
          </cell>
          <cell r="B248" t="str">
            <v>Давлат корхона, ташкилот ва муассасаларининг муддатли депозитлари</v>
          </cell>
          <cell r="C248">
            <v>218583269182.70001</v>
          </cell>
          <cell r="D248">
            <v>0</v>
          </cell>
          <cell r="E248">
            <v>0</v>
          </cell>
          <cell r="F248">
            <v>103070000000</v>
          </cell>
          <cell r="G248">
            <v>115513269182.7</v>
          </cell>
        </row>
        <row r="249">
          <cell r="A249" t="str">
            <v>20612</v>
          </cell>
          <cell r="B249" t="str">
            <v>Нодавлат нотижорат ташкилотларининг муддатли депозитлари</v>
          </cell>
          <cell r="C249">
            <v>11100000000</v>
          </cell>
          <cell r="D249">
            <v>0</v>
          </cell>
          <cell r="E249">
            <v>0</v>
          </cell>
          <cell r="F249">
            <v>11100000000</v>
          </cell>
          <cell r="G249">
            <v>0</v>
          </cell>
        </row>
        <row r="250">
          <cell r="A250" t="str">
            <v>20614</v>
          </cell>
          <cell r="B250" t="str">
            <v>Чет эл капитали иштирокидаги корхоналарнинг муддатли депозитлари</v>
          </cell>
          <cell r="C250">
            <v>6375000000</v>
          </cell>
          <cell r="D250">
            <v>0</v>
          </cell>
          <cell r="E250">
            <v>0</v>
          </cell>
          <cell r="F250">
            <v>6375000000</v>
          </cell>
          <cell r="G250">
            <v>0</v>
          </cell>
        </row>
        <row r="251">
          <cell r="A251" t="str">
            <v>20616</v>
          </cell>
          <cell r="B251" t="str">
            <v>Банк булмаган молиявий муассасаларнинг муддатли депозитлари</v>
          </cell>
          <cell r="C251">
            <v>31811345200</v>
          </cell>
          <cell r="D251">
            <v>0</v>
          </cell>
          <cell r="E251">
            <v>0</v>
          </cell>
          <cell r="F251">
            <v>29400000000</v>
          </cell>
          <cell r="G251">
            <v>2411345200</v>
          </cell>
        </row>
        <row r="252">
          <cell r="A252" t="str">
            <v>Итого</v>
          </cell>
          <cell r="B252" t="str">
            <v>20600</v>
          </cell>
          <cell r="C252">
            <v>909954989663.93994</v>
          </cell>
          <cell r="D252">
            <v>451292307.58999997</v>
          </cell>
          <cell r="E252">
            <v>0</v>
          </cell>
          <cell r="F252">
            <v>620778371207.44995</v>
          </cell>
          <cell r="G252">
            <v>288725326148.90002</v>
          </cell>
        </row>
        <row r="253">
          <cell r="A253" t="str">
            <v>21000</v>
          </cell>
          <cell r="B253" t="str">
            <v>Бошка банкларнинг хисобвараклари</v>
          </cell>
        </row>
        <row r="254">
          <cell r="A254" t="str">
            <v>21008</v>
          </cell>
          <cell r="B254" t="str">
            <v>Бошка банкларга туланиши лозим булган маблаглар - Накд пуллар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21010</v>
          </cell>
          <cell r="B255" t="str">
            <v>Бошка банкларнинг хисобвараклари - Депозитлар</v>
          </cell>
          <cell r="C255">
            <v>733842809442.81995</v>
          </cell>
          <cell r="D255">
            <v>0</v>
          </cell>
          <cell r="E255">
            <v>0</v>
          </cell>
          <cell r="F255">
            <v>425789509442.82001</v>
          </cell>
          <cell r="G255">
            <v>308053300000</v>
          </cell>
        </row>
        <row r="256">
          <cell r="A256" t="str">
            <v>21012</v>
          </cell>
          <cell r="B256" t="str">
            <v>Жисм.шахсларнинг пластик карталаридан берилган накд пул маблаглари учун бошка банкларга туланадиган маблаглар</v>
          </cell>
          <cell r="C256">
            <v>395616317.56</v>
          </cell>
          <cell r="D256">
            <v>0</v>
          </cell>
          <cell r="E256">
            <v>0</v>
          </cell>
          <cell r="F256">
            <v>395616317.56</v>
          </cell>
          <cell r="G256">
            <v>0</v>
          </cell>
        </row>
        <row r="257">
          <cell r="A257" t="str">
            <v>21014</v>
          </cell>
          <cell r="B257" t="str">
            <v>Пластик карталардан амалга оширилган туловлар буйича бошка банкларга туланадиган маблаглар</v>
          </cell>
          <cell r="C257">
            <v>1017500864.15</v>
          </cell>
          <cell r="D257">
            <v>0</v>
          </cell>
          <cell r="E257">
            <v>0</v>
          </cell>
          <cell r="F257">
            <v>1017500864.15</v>
          </cell>
          <cell r="G257">
            <v>0</v>
          </cell>
        </row>
        <row r="258">
          <cell r="A258" t="str">
            <v>Итого</v>
          </cell>
          <cell r="B258" t="str">
            <v>21000</v>
          </cell>
          <cell r="C258">
            <v>735255926624.53003</v>
          </cell>
          <cell r="D258">
            <v>0</v>
          </cell>
          <cell r="E258">
            <v>0</v>
          </cell>
          <cell r="F258">
            <v>427202626624.53003</v>
          </cell>
          <cell r="G258">
            <v>308053300000</v>
          </cell>
        </row>
        <row r="259">
          <cell r="A259" t="str">
            <v>21400</v>
          </cell>
          <cell r="B259" t="str">
            <v>Банкнинг туланмаган акцептлари</v>
          </cell>
        </row>
        <row r="260">
          <cell r="A260" t="str">
            <v>21406</v>
          </cell>
          <cell r="B260" t="str">
            <v>Банкнинг туланмаган хорижий акцептлари</v>
          </cell>
          <cell r="C260">
            <v>129911779.8</v>
          </cell>
          <cell r="D260">
            <v>0</v>
          </cell>
          <cell r="E260">
            <v>0</v>
          </cell>
          <cell r="F260">
            <v>0</v>
          </cell>
          <cell r="G260">
            <v>129911779.8</v>
          </cell>
        </row>
        <row r="261">
          <cell r="A261" t="str">
            <v>Итого</v>
          </cell>
          <cell r="B261" t="str">
            <v>21400</v>
          </cell>
          <cell r="C261">
            <v>129911779.8</v>
          </cell>
          <cell r="D261">
            <v>0</v>
          </cell>
          <cell r="E261">
            <v>0</v>
          </cell>
          <cell r="F261">
            <v>0</v>
          </cell>
          <cell r="G261">
            <v>129911779.8</v>
          </cell>
        </row>
        <row r="262">
          <cell r="A262" t="str">
            <v>21600</v>
          </cell>
          <cell r="B262" t="str">
            <v>Олинган киска муддатли кредитлар</v>
          </cell>
        </row>
        <row r="263">
          <cell r="A263" t="str">
            <v>21606</v>
          </cell>
          <cell r="B263" t="str">
            <v>Бошка банклардан олинган киска муддатли кредитлар</v>
          </cell>
          <cell r="C263">
            <v>20260000000</v>
          </cell>
          <cell r="D263">
            <v>0</v>
          </cell>
          <cell r="E263">
            <v>0</v>
          </cell>
          <cell r="F263">
            <v>0</v>
          </cell>
          <cell r="G263">
            <v>20260000000</v>
          </cell>
        </row>
        <row r="264">
          <cell r="A264" t="str">
            <v>21696</v>
          </cell>
          <cell r="B264" t="str">
            <v>Бошка кредиторлардан олинган киска муддатли кредитлар</v>
          </cell>
          <cell r="C264">
            <v>427465740000</v>
          </cell>
          <cell r="D264">
            <v>0</v>
          </cell>
          <cell r="E264">
            <v>0</v>
          </cell>
          <cell r="F264">
            <v>0</v>
          </cell>
          <cell r="G264">
            <v>427465740000</v>
          </cell>
        </row>
        <row r="265">
          <cell r="A265" t="str">
            <v>Итого</v>
          </cell>
          <cell r="B265" t="str">
            <v>21600</v>
          </cell>
          <cell r="C265">
            <v>447725740000</v>
          </cell>
          <cell r="D265">
            <v>0</v>
          </cell>
          <cell r="E265">
            <v>0</v>
          </cell>
          <cell r="F265">
            <v>0</v>
          </cell>
          <cell r="G265">
            <v>447725740000</v>
          </cell>
        </row>
        <row r="266">
          <cell r="A266" t="str">
            <v>22000</v>
          </cell>
          <cell r="B266" t="str">
            <v>Олинган узок муддатли кредитлар</v>
          </cell>
        </row>
        <row r="267">
          <cell r="A267" t="str">
            <v>22005</v>
          </cell>
          <cell r="B267" t="str">
            <v>Бюджетдан ташкари фондлардан олинган узок муддатли кредитлар</v>
          </cell>
          <cell r="C267">
            <v>168888845398.67001</v>
          </cell>
          <cell r="D267">
            <v>0</v>
          </cell>
          <cell r="E267">
            <v>0</v>
          </cell>
          <cell r="F267">
            <v>168888845398.67001</v>
          </cell>
          <cell r="G267">
            <v>0</v>
          </cell>
        </row>
        <row r="268">
          <cell r="A268" t="str">
            <v>22006</v>
          </cell>
          <cell r="B268" t="str">
            <v>Бошка банклардан олинган узок муддатли кредитлар</v>
          </cell>
          <cell r="C268">
            <v>1106682240000</v>
          </cell>
          <cell r="D268">
            <v>0</v>
          </cell>
          <cell r="E268">
            <v>0</v>
          </cell>
          <cell r="F268">
            <v>0</v>
          </cell>
          <cell r="G268">
            <v>1106682240000</v>
          </cell>
        </row>
        <row r="269">
          <cell r="A269" t="str">
            <v>22010</v>
          </cell>
          <cell r="B269" t="str">
            <v>Хукуматдан олинган узок муддатли кредитлар</v>
          </cell>
          <cell r="C269">
            <v>94493850000</v>
          </cell>
          <cell r="D269">
            <v>0</v>
          </cell>
          <cell r="E269">
            <v>0</v>
          </cell>
          <cell r="F269">
            <v>94493850000</v>
          </cell>
          <cell r="G269">
            <v>0</v>
          </cell>
        </row>
        <row r="270">
          <cell r="A270" t="str">
            <v>22012</v>
          </cell>
          <cell r="B270" t="str">
            <v>Ахолининг кам таъмин. катламига б-ган кредитларини молия-ш у-н Марказий банкдан олинган узок муд. кредитлар</v>
          </cell>
          <cell r="C270">
            <v>39799061953.300003</v>
          </cell>
          <cell r="D270">
            <v>0</v>
          </cell>
          <cell r="E270">
            <v>0</v>
          </cell>
          <cell r="F270">
            <v>39799061953.300003</v>
          </cell>
          <cell r="G270">
            <v>0</v>
          </cell>
        </row>
        <row r="271">
          <cell r="A271" t="str">
            <v>22024</v>
          </cell>
          <cell r="B271" t="str">
            <v>Банк булмаган молиявий муассасалардан олинган узок муддатли кредитлар</v>
          </cell>
          <cell r="C271">
            <v>664548506485.28003</v>
          </cell>
          <cell r="D271">
            <v>0</v>
          </cell>
          <cell r="E271">
            <v>0</v>
          </cell>
          <cell r="F271">
            <v>664548506485.28003</v>
          </cell>
          <cell r="G271">
            <v>0</v>
          </cell>
        </row>
        <row r="272">
          <cell r="A272" t="str">
            <v>22096</v>
          </cell>
          <cell r="B272" t="str">
            <v>Бошка кредиторлардан олинган узок муддатли кредитлар</v>
          </cell>
          <cell r="C272">
            <v>136902722382.97</v>
          </cell>
          <cell r="D272">
            <v>0</v>
          </cell>
          <cell r="E272">
            <v>0</v>
          </cell>
          <cell r="F272">
            <v>84333640987.470001</v>
          </cell>
          <cell r="G272">
            <v>52569081395.5</v>
          </cell>
        </row>
        <row r="273">
          <cell r="A273" t="str">
            <v>Итого</v>
          </cell>
          <cell r="B273" t="str">
            <v>22000</v>
          </cell>
          <cell r="C273">
            <v>2211315226220.2202</v>
          </cell>
          <cell r="D273">
            <v>0</v>
          </cell>
          <cell r="E273">
            <v>0</v>
          </cell>
          <cell r="F273">
            <v>1052063904824.72</v>
          </cell>
          <cell r="G273">
            <v>1159251321395.5</v>
          </cell>
        </row>
        <row r="274">
          <cell r="A274" t="str">
            <v>22200</v>
          </cell>
          <cell r="B274" t="str">
            <v>Бош банк/филиалларга туланадиган маблаглар</v>
          </cell>
        </row>
        <row r="275">
          <cell r="A275" t="str">
            <v>22202</v>
          </cell>
          <cell r="B275" t="str">
            <v>Бош банк/филиалларга туланадиган маблаглар - Накд пуллар</v>
          </cell>
          <cell r="C275">
            <v>22910233893</v>
          </cell>
          <cell r="D275">
            <v>0</v>
          </cell>
          <cell r="E275">
            <v>0</v>
          </cell>
          <cell r="F275">
            <v>484690.5</v>
          </cell>
          <cell r="G275">
            <v>22909749202.5</v>
          </cell>
        </row>
        <row r="276">
          <cell r="A276" t="str">
            <v>22203</v>
          </cell>
          <cell r="B276" t="str">
            <v>Бош банк/филиалларга туланадиган маблаглар - Накдинасиз пуллар</v>
          </cell>
          <cell r="C276">
            <v>2755296821727.23</v>
          </cell>
          <cell r="D276">
            <v>0</v>
          </cell>
          <cell r="E276">
            <v>0</v>
          </cell>
          <cell r="F276">
            <v>1576808739251.8301</v>
          </cell>
          <cell r="G276">
            <v>1178488082475.3999</v>
          </cell>
        </row>
        <row r="277">
          <cell r="A277" t="str">
            <v>22204</v>
          </cell>
          <cell r="B277" t="str">
            <v>Бош банк/филиалларга филиаллар ва банклараро хисоб-китоблар буйича туланадиган маблаглар</v>
          </cell>
          <cell r="C277">
            <v>376167858299.26001</v>
          </cell>
          <cell r="D277">
            <v>0</v>
          </cell>
          <cell r="E277">
            <v>0</v>
          </cell>
          <cell r="F277">
            <v>182799765837.70001</v>
          </cell>
          <cell r="G277">
            <v>193368092461.56</v>
          </cell>
        </row>
        <row r="278">
          <cell r="A278" t="str">
            <v>22205</v>
          </cell>
          <cell r="B278" t="str">
            <v>Бош банк/филиалларга туланадиган маблаглар - Товар-моддий кимматликлар ва хизматлар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A279" t="str">
            <v>22212</v>
          </cell>
          <cell r="B279" t="str">
            <v>Жис ш-ларнинг пл-к к-таларидан берилган накд маблаглар буйича Бош банк/ф-лларга туланадиган маблаглар</v>
          </cell>
          <cell r="C279">
            <v>167086050</v>
          </cell>
          <cell r="D279">
            <v>0</v>
          </cell>
          <cell r="E279">
            <v>0</v>
          </cell>
          <cell r="F279">
            <v>167086050</v>
          </cell>
          <cell r="G279">
            <v>0</v>
          </cell>
        </row>
        <row r="280">
          <cell r="A280" t="str">
            <v>22214</v>
          </cell>
          <cell r="B280" t="str">
            <v>Пластик карталардан амалга оширилган туловлар буйича Бош банк/филиалларга туланадиган маблаглар</v>
          </cell>
          <cell r="C280">
            <v>1559440140.5699999</v>
          </cell>
          <cell r="D280">
            <v>0</v>
          </cell>
          <cell r="E280">
            <v>0</v>
          </cell>
          <cell r="F280">
            <v>1559440140.5699999</v>
          </cell>
          <cell r="G280">
            <v>0</v>
          </cell>
        </row>
        <row r="281">
          <cell r="A281" t="str">
            <v>22216</v>
          </cell>
          <cell r="B281" t="str">
            <v>Бош банк/филиалларга туланадиган маблаглар - Давлат дастурлари бвйича ресурслар</v>
          </cell>
          <cell r="C281">
            <v>1671596312446.6399</v>
          </cell>
          <cell r="D281">
            <v>0</v>
          </cell>
          <cell r="E281">
            <v>0</v>
          </cell>
          <cell r="F281">
            <v>1671596312446.6399</v>
          </cell>
          <cell r="G281">
            <v>0</v>
          </cell>
        </row>
        <row r="282">
          <cell r="A282" t="str">
            <v>Итого</v>
          </cell>
          <cell r="B282" t="str">
            <v>22200</v>
          </cell>
          <cell r="C282">
            <v>4827697752556.7002</v>
          </cell>
          <cell r="D282">
            <v>0</v>
          </cell>
          <cell r="E282">
            <v>0</v>
          </cell>
          <cell r="F282">
            <v>3432931828417.2402</v>
          </cell>
          <cell r="G282">
            <v>1394765924139.46</v>
          </cell>
        </row>
        <row r="283">
          <cell r="A283" t="str">
            <v>22300</v>
          </cell>
          <cell r="B283" t="str">
            <v>РЕПО битимлари буйича сотилган кимматли когозлар</v>
          </cell>
        </row>
        <row r="284">
          <cell r="A284" t="str">
            <v>22302</v>
          </cell>
          <cell r="B284" t="str">
            <v>РЕПО битимлари буйича УзРМБга сотилган кимматли когозлар</v>
          </cell>
          <cell r="C284">
            <v>135000000000</v>
          </cell>
          <cell r="D284">
            <v>0</v>
          </cell>
          <cell r="E284">
            <v>0</v>
          </cell>
          <cell r="F284">
            <v>135000000000</v>
          </cell>
          <cell r="G284">
            <v>0</v>
          </cell>
        </row>
        <row r="285">
          <cell r="A285" t="str">
            <v>Итого</v>
          </cell>
          <cell r="B285" t="str">
            <v>22300</v>
          </cell>
          <cell r="C285">
            <v>135000000000</v>
          </cell>
          <cell r="D285">
            <v>0</v>
          </cell>
          <cell r="E285">
            <v>0</v>
          </cell>
          <cell r="F285">
            <v>135000000000</v>
          </cell>
          <cell r="G285">
            <v>0</v>
          </cell>
        </row>
        <row r="286">
          <cell r="A286" t="str">
            <v>22400</v>
          </cell>
          <cell r="B286" t="str">
            <v>Туланиши лозим булган хисобланган фоизлар</v>
          </cell>
        </row>
        <row r="287">
          <cell r="A287" t="str">
            <v>22402</v>
          </cell>
          <cell r="B287" t="str">
            <v>Талаб килиб олингунча сакланадиган депозитлар буйича хисобланган фоизлар</v>
          </cell>
          <cell r="C287">
            <v>216494374.28999999</v>
          </cell>
          <cell r="D287">
            <v>0</v>
          </cell>
          <cell r="E287">
            <v>0</v>
          </cell>
          <cell r="F287">
            <v>216494374.28999999</v>
          </cell>
          <cell r="G287">
            <v>0</v>
          </cell>
        </row>
        <row r="288">
          <cell r="A288" t="str">
            <v>22403</v>
          </cell>
          <cell r="B288" t="str">
            <v>Жамгарма депозитлар буйича хисобланган фоизлар</v>
          </cell>
          <cell r="C288">
            <v>1457083029.26</v>
          </cell>
          <cell r="D288">
            <v>359014.56</v>
          </cell>
          <cell r="E288">
            <v>0</v>
          </cell>
          <cell r="F288">
            <v>1453446351.9000001</v>
          </cell>
          <cell r="G288">
            <v>3277662.8</v>
          </cell>
        </row>
        <row r="289">
          <cell r="A289" t="str">
            <v>22405</v>
          </cell>
          <cell r="B289" t="str">
            <v>Муддатли депозитлар буйича хисобланган фоизлар</v>
          </cell>
          <cell r="C289">
            <v>7166166106.6999998</v>
          </cell>
          <cell r="D289">
            <v>1714683.63</v>
          </cell>
          <cell r="E289">
            <v>0</v>
          </cell>
          <cell r="F289">
            <v>5332780606.8900003</v>
          </cell>
          <cell r="G289">
            <v>1831670816.1800001</v>
          </cell>
        </row>
        <row r="290">
          <cell r="A290" t="str">
            <v>22407</v>
          </cell>
          <cell r="B290" t="str">
            <v>Бошка банкларнинг хисобвараклари буйича хисобланган фоизлар</v>
          </cell>
          <cell r="C290">
            <v>2657037243.8299999</v>
          </cell>
          <cell r="D290">
            <v>0</v>
          </cell>
          <cell r="E290">
            <v>21647708.699999999</v>
          </cell>
          <cell r="F290">
            <v>151506849.33000001</v>
          </cell>
          <cell r="G290">
            <v>2483882685.8000002</v>
          </cell>
        </row>
        <row r="291">
          <cell r="A291" t="str">
            <v>22409</v>
          </cell>
          <cell r="B291" t="str">
            <v>Бош банк/филиалдан олинган маблаглар буйича хисобланган фоизлар</v>
          </cell>
          <cell r="C291">
            <v>31721780.140000001</v>
          </cell>
          <cell r="D291">
            <v>0</v>
          </cell>
          <cell r="E291">
            <v>0</v>
          </cell>
          <cell r="F291">
            <v>31637295.940000001</v>
          </cell>
          <cell r="G291">
            <v>84484.2</v>
          </cell>
        </row>
        <row r="292">
          <cell r="A292" t="str">
            <v>22410</v>
          </cell>
          <cell r="B292" t="str">
            <v>Олинган кредитлар буйича хисобланган фоизлар</v>
          </cell>
          <cell r="C292">
            <v>17216443720.09</v>
          </cell>
          <cell r="D292">
            <v>0</v>
          </cell>
          <cell r="E292">
            <v>0</v>
          </cell>
          <cell r="F292">
            <v>6729959104.8299999</v>
          </cell>
          <cell r="G292">
            <v>10486484615.26</v>
          </cell>
        </row>
        <row r="293">
          <cell r="A293" t="str">
            <v>22412</v>
          </cell>
          <cell r="B293" t="str">
            <v>Бошка мажбуриятлар буйича хисобланган фоизлар</v>
          </cell>
          <cell r="C293">
            <v>14130106.34</v>
          </cell>
          <cell r="D293">
            <v>0</v>
          </cell>
          <cell r="E293">
            <v>0</v>
          </cell>
          <cell r="F293">
            <v>14130106.34</v>
          </cell>
          <cell r="G293">
            <v>0</v>
          </cell>
        </row>
        <row r="294">
          <cell r="A294" t="str">
            <v>22414</v>
          </cell>
          <cell r="B294" t="str">
            <v>Чикарилган кимматли когозлар буйича хисобланган фоизлар</v>
          </cell>
          <cell r="C294">
            <v>52605525.100000001</v>
          </cell>
          <cell r="D294">
            <v>0</v>
          </cell>
          <cell r="E294">
            <v>0</v>
          </cell>
          <cell r="F294">
            <v>52605525.100000001</v>
          </cell>
          <cell r="G294">
            <v>0</v>
          </cell>
        </row>
        <row r="295">
          <cell r="A295" t="str">
            <v>Итого</v>
          </cell>
          <cell r="B295" t="str">
            <v>22400</v>
          </cell>
          <cell r="C295">
            <v>28811681885.75</v>
          </cell>
          <cell r="D295">
            <v>2073698.19</v>
          </cell>
          <cell r="E295">
            <v>21647708.699999999</v>
          </cell>
          <cell r="F295">
            <v>13982560214.620001</v>
          </cell>
          <cell r="G295">
            <v>14805400264.24</v>
          </cell>
        </row>
        <row r="296">
          <cell r="A296" t="str">
            <v>22500</v>
          </cell>
          <cell r="B296" t="str">
            <v>Хисобланган соликлар</v>
          </cell>
        </row>
        <row r="297">
          <cell r="A297" t="str">
            <v>22502</v>
          </cell>
          <cell r="B297" t="str">
            <v>Хисобланган даромад(фойда) соликлари</v>
          </cell>
          <cell r="C297">
            <v>50183785.030000001</v>
          </cell>
          <cell r="D297">
            <v>0</v>
          </cell>
          <cell r="E297">
            <v>0</v>
          </cell>
          <cell r="F297">
            <v>50183785.030000001</v>
          </cell>
          <cell r="G297">
            <v>0</v>
          </cell>
        </row>
        <row r="298">
          <cell r="A298" t="str">
            <v>22504</v>
          </cell>
          <cell r="B298" t="str">
            <v>Хисобланган бошка соликлар</v>
          </cell>
          <cell r="C298">
            <v>1910496181.9000001</v>
          </cell>
          <cell r="D298">
            <v>0</v>
          </cell>
          <cell r="E298">
            <v>0</v>
          </cell>
          <cell r="F298">
            <v>1910496181.9000001</v>
          </cell>
          <cell r="G298">
            <v>0</v>
          </cell>
        </row>
        <row r="299">
          <cell r="A299" t="str">
            <v>22506</v>
          </cell>
          <cell r="B299" t="str">
            <v>Тулаш учун ушлаб колинган соликлар</v>
          </cell>
          <cell r="C299">
            <v>1711041104.5999999</v>
          </cell>
          <cell r="D299">
            <v>0</v>
          </cell>
          <cell r="E299">
            <v>0</v>
          </cell>
          <cell r="F299">
            <v>1711041104.5999999</v>
          </cell>
          <cell r="G299">
            <v>0</v>
          </cell>
        </row>
        <row r="300">
          <cell r="A300" t="str">
            <v>22510</v>
          </cell>
          <cell r="B300" t="str">
            <v>Нафака (пенсия) фонди билан хисоб-китоблар</v>
          </cell>
          <cell r="C300">
            <v>1660678808.9200001</v>
          </cell>
          <cell r="D300">
            <v>0</v>
          </cell>
          <cell r="E300">
            <v>0</v>
          </cell>
          <cell r="F300">
            <v>1660678808.9200001</v>
          </cell>
          <cell r="G300">
            <v>0</v>
          </cell>
        </row>
        <row r="301">
          <cell r="A301" t="str">
            <v>22512</v>
          </cell>
          <cell r="B301" t="str">
            <v>Бандликка кумаклашиш давлат жамгармаси ва бошка фондлар билан хисоб-китоблар</v>
          </cell>
          <cell r="C301">
            <v>240789048</v>
          </cell>
          <cell r="D301">
            <v>0</v>
          </cell>
          <cell r="E301">
            <v>0</v>
          </cell>
          <cell r="F301">
            <v>240789048</v>
          </cell>
          <cell r="G301">
            <v>0</v>
          </cell>
        </row>
        <row r="302">
          <cell r="A302" t="str">
            <v>Итого</v>
          </cell>
          <cell r="B302" t="str">
            <v>22500</v>
          </cell>
          <cell r="C302">
            <v>5573188928.4499998</v>
          </cell>
          <cell r="D302">
            <v>0</v>
          </cell>
          <cell r="E302">
            <v>0</v>
          </cell>
          <cell r="F302">
            <v>5573188928.4499998</v>
          </cell>
          <cell r="G302">
            <v>0</v>
          </cell>
        </row>
        <row r="303">
          <cell r="A303" t="str">
            <v>22600</v>
          </cell>
          <cell r="B303" t="str">
            <v>Мижозларнинг бошка депозитлари</v>
          </cell>
        </row>
        <row r="304">
          <cell r="A304" t="str">
            <v>22602</v>
          </cell>
          <cell r="B304" t="str">
            <v>Мижозларнинг аккредитивлар буйича депозитлари</v>
          </cell>
          <cell r="C304">
            <v>4484505415</v>
          </cell>
          <cell r="D304">
            <v>0</v>
          </cell>
          <cell r="E304">
            <v>0</v>
          </cell>
          <cell r="F304">
            <v>0</v>
          </cell>
          <cell r="G304">
            <v>4484505415</v>
          </cell>
        </row>
        <row r="305">
          <cell r="A305" t="str">
            <v>22604</v>
          </cell>
          <cell r="B305" t="str">
            <v>Мижозларнинг бошка депозитлари - Жамгарма - Максадли</v>
          </cell>
          <cell r="C305">
            <v>30661560.219999999</v>
          </cell>
          <cell r="D305">
            <v>0</v>
          </cell>
          <cell r="E305">
            <v>0</v>
          </cell>
          <cell r="F305">
            <v>30661560.219999999</v>
          </cell>
          <cell r="G305">
            <v>0</v>
          </cell>
        </row>
        <row r="306">
          <cell r="A306" t="str">
            <v>22612</v>
          </cell>
          <cell r="B306" t="str">
            <v>"Узб.почтаси" ОАЖ таркибий булинмалари томонидан амалга ошириладиган пул утказмалари ва даврий нашрларга обуна</v>
          </cell>
          <cell r="C306">
            <v>158770434.56</v>
          </cell>
          <cell r="D306">
            <v>0</v>
          </cell>
          <cell r="E306">
            <v>0</v>
          </cell>
          <cell r="F306">
            <v>158770434.56</v>
          </cell>
          <cell r="G306">
            <v>0</v>
          </cell>
        </row>
        <row r="307">
          <cell r="A307" t="str">
            <v>22613</v>
          </cell>
          <cell r="B307" t="str">
            <v>Валюта бозорида конвертация килиш учун мижозларнинг захираланган маблаглари</v>
          </cell>
          <cell r="C307">
            <v>8242827212.3400002</v>
          </cell>
          <cell r="D307">
            <v>0</v>
          </cell>
          <cell r="E307">
            <v>0</v>
          </cell>
          <cell r="F307">
            <v>8242827212.3400002</v>
          </cell>
          <cell r="G307">
            <v>0</v>
          </cell>
        </row>
        <row r="308">
          <cell r="A308" t="str">
            <v>22614</v>
          </cell>
          <cell r="B308" t="str">
            <v>Мижозларнинг валюта бозорида конвертация килинган маблаглари</v>
          </cell>
          <cell r="C308">
            <v>6990918001.0200005</v>
          </cell>
          <cell r="D308">
            <v>0</v>
          </cell>
          <cell r="E308">
            <v>0</v>
          </cell>
          <cell r="F308">
            <v>0</v>
          </cell>
          <cell r="G308">
            <v>6990918001.0200005</v>
          </cell>
        </row>
        <row r="309">
          <cell r="A309" t="str">
            <v>22617</v>
          </cell>
          <cell r="B309" t="str">
            <v>Пенсионерларнинг пластик карточкалари буйича мажбуриятлар</v>
          </cell>
          <cell r="C309">
            <v>18590446199.25</v>
          </cell>
          <cell r="D309">
            <v>1944764.65</v>
          </cell>
          <cell r="E309">
            <v>0</v>
          </cell>
          <cell r="F309">
            <v>18588501434.599998</v>
          </cell>
          <cell r="G309">
            <v>0</v>
          </cell>
        </row>
        <row r="310">
          <cell r="A310" t="str">
            <v>22618</v>
          </cell>
          <cell r="B310" t="str">
            <v>Жисмоний шахсларнинг пластик карточкалари буйича мажбуриятлар</v>
          </cell>
          <cell r="C310">
            <v>142825799765.20999</v>
          </cell>
          <cell r="D310">
            <v>212758547.88999999</v>
          </cell>
          <cell r="E310">
            <v>83300509.5</v>
          </cell>
          <cell r="F310">
            <v>136327395970.82001</v>
          </cell>
          <cell r="G310">
            <v>6202344737</v>
          </cell>
        </row>
        <row r="311">
          <cell r="A311" t="str">
            <v>22619</v>
          </cell>
          <cell r="B311" t="str">
            <v>Якка тартибдаги тадбиркорларнинг пластик карточкалари буйича мажбуриятлар</v>
          </cell>
          <cell r="C311">
            <v>3390368363.7199998</v>
          </cell>
          <cell r="D311">
            <v>2171999</v>
          </cell>
          <cell r="E311">
            <v>0</v>
          </cell>
          <cell r="F311">
            <v>3306577333.9200001</v>
          </cell>
          <cell r="G311">
            <v>81619030.799999997</v>
          </cell>
        </row>
        <row r="312">
          <cell r="A312" t="str">
            <v>22620</v>
          </cell>
          <cell r="B312" t="str">
            <v>Корпоратив пластик карточкалар буйича мажбуриятлар</v>
          </cell>
          <cell r="C312">
            <v>5065386500.71</v>
          </cell>
          <cell r="D312">
            <v>9661650</v>
          </cell>
          <cell r="E312">
            <v>0</v>
          </cell>
          <cell r="F312">
            <v>5055724850.71</v>
          </cell>
          <cell r="G312">
            <v>0</v>
          </cell>
        </row>
        <row r="313">
          <cell r="A313" t="str">
            <v>22622</v>
          </cell>
          <cell r="B313" t="str">
            <v>Юридик шахсларнинг уз ваколатхоналари ва филиалларини таъминоти учун ажратган маблаглари</v>
          </cell>
          <cell r="C313">
            <v>27654422.699999999</v>
          </cell>
          <cell r="D313">
            <v>0</v>
          </cell>
          <cell r="E313">
            <v>0</v>
          </cell>
          <cell r="F313">
            <v>27654422.699999999</v>
          </cell>
          <cell r="G313">
            <v>0</v>
          </cell>
        </row>
        <row r="314">
          <cell r="A314" t="str">
            <v>22624</v>
          </cell>
          <cell r="B314" t="str">
            <v>Айрим турдаги акцизли товарларни сотадиган юридик шахсларнинг максадли маблаглари</v>
          </cell>
          <cell r="C314">
            <v>397737171.26999998</v>
          </cell>
          <cell r="D314">
            <v>0</v>
          </cell>
          <cell r="E314">
            <v>0</v>
          </cell>
          <cell r="F314">
            <v>397737171.26999998</v>
          </cell>
          <cell r="G314">
            <v>0</v>
          </cell>
        </row>
        <row r="315">
          <cell r="A315" t="str">
            <v>22626</v>
          </cell>
          <cell r="B315" t="str">
            <v>Корхона ва ташкилотларнинг максадли маблаглари</v>
          </cell>
          <cell r="C315">
            <v>5044379599.1099997</v>
          </cell>
          <cell r="D315">
            <v>0</v>
          </cell>
          <cell r="E315">
            <v>0</v>
          </cell>
          <cell r="F315">
            <v>5044379599.1099997</v>
          </cell>
          <cell r="G315">
            <v>0</v>
          </cell>
        </row>
        <row r="316">
          <cell r="A316" t="str">
            <v>22696</v>
          </cell>
          <cell r="B316" t="str">
            <v>Бошка депозит мажбуриятлари</v>
          </cell>
          <cell r="C316">
            <v>55450</v>
          </cell>
          <cell r="D316">
            <v>0</v>
          </cell>
          <cell r="E316">
            <v>0</v>
          </cell>
          <cell r="F316">
            <v>55450</v>
          </cell>
          <cell r="G316">
            <v>0</v>
          </cell>
        </row>
        <row r="317">
          <cell r="A317" t="str">
            <v>Итого</v>
          </cell>
          <cell r="B317" t="str">
            <v>22600</v>
          </cell>
          <cell r="C317">
            <v>195249510095.10999</v>
          </cell>
          <cell r="D317">
            <v>226536961.53999999</v>
          </cell>
          <cell r="E317">
            <v>83300509.5</v>
          </cell>
          <cell r="F317">
            <v>177180285440.25</v>
          </cell>
          <cell r="G317">
            <v>17759387183.82</v>
          </cell>
        </row>
        <row r="318">
          <cell r="A318" t="str">
            <v>22800</v>
          </cell>
          <cell r="B318" t="str">
            <v>Хосилавий инструментлар буйича ревальвация натижасида амалга ошмаган зарарлар ва бошка муддати узайтирилган да</v>
          </cell>
        </row>
        <row r="319">
          <cell r="A319" t="str">
            <v>22812</v>
          </cell>
          <cell r="B319" t="str">
            <v>Ишлаб топилмаган фоизли даромадлари</v>
          </cell>
          <cell r="C319">
            <v>20000</v>
          </cell>
          <cell r="D319">
            <v>0</v>
          </cell>
          <cell r="E319">
            <v>0</v>
          </cell>
          <cell r="F319">
            <v>20000</v>
          </cell>
          <cell r="G319">
            <v>0</v>
          </cell>
        </row>
        <row r="320">
          <cell r="A320" t="str">
            <v>22896</v>
          </cell>
          <cell r="B320" t="str">
            <v>Бошка муддати узайтирилган даромадлар</v>
          </cell>
          <cell r="C320">
            <v>5405762.1100000003</v>
          </cell>
          <cell r="D320">
            <v>0</v>
          </cell>
          <cell r="E320">
            <v>0</v>
          </cell>
          <cell r="F320">
            <v>5405762.1100000003</v>
          </cell>
          <cell r="G320">
            <v>0</v>
          </cell>
        </row>
        <row r="321">
          <cell r="A321" t="str">
            <v>Итого</v>
          </cell>
          <cell r="B321" t="str">
            <v>22800</v>
          </cell>
          <cell r="C321">
            <v>5425762.1100000003</v>
          </cell>
          <cell r="D321">
            <v>0</v>
          </cell>
          <cell r="E321">
            <v>0</v>
          </cell>
          <cell r="F321">
            <v>5425762.1100000003</v>
          </cell>
          <cell r="G321">
            <v>0</v>
          </cell>
        </row>
        <row r="322">
          <cell r="A322" t="str">
            <v>23100</v>
          </cell>
          <cell r="B322" t="str">
            <v>Банк мижозларнинг пластик карталарига утказилиши лозим булган маблаглар транзит хисобвараклари</v>
          </cell>
        </row>
        <row r="323">
          <cell r="A323" t="str">
            <v>23102</v>
          </cell>
          <cell r="B323" t="str">
            <v>Юридик шахсларнинг корпоратив пластик карталарига утказилиши лозим булган маблаглар транзит хисобвараклари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 t="str">
            <v>23104</v>
          </cell>
          <cell r="B324" t="str">
            <v>ЯТТларнинг корпоратив пластик карталарига утказилиши лозим булган маблаглар транзит хисобвараклари</v>
          </cell>
          <cell r="C324">
            <v>1300000</v>
          </cell>
          <cell r="D324">
            <v>0</v>
          </cell>
          <cell r="E324">
            <v>0</v>
          </cell>
          <cell r="F324">
            <v>1300000</v>
          </cell>
          <cell r="G324">
            <v>0</v>
          </cell>
        </row>
        <row r="325">
          <cell r="A325" t="str">
            <v>23106</v>
          </cell>
          <cell r="B325" t="str">
            <v>ХЮСлар ходим. П/Кларига и/х ва утт, пенс ком ва бошка иж-й т-влар б-ча ут-ши л/б-н маблаглар тр-т х/влари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A326" t="str">
            <v>23108</v>
          </cell>
          <cell r="B326" t="str">
            <v>Бюд.таш. ход. п/кларига и/х ва утт, ш-дек, пен, ком-я ва б. иж т-влар б-ча ут-ши л/б-н маб-глар тр-т х/влари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A327" t="str">
            <v>23110</v>
          </cell>
          <cell r="B327" t="str">
            <v>ДХХ ИИВ МудВ ФВВ ДБК ход.П/Кига и/х ва утт, пенс ком-я ва бош иж.т-влар б-ча ут-ши л/б-н маб-р тр-т х/в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 t="str">
            <v>23116</v>
          </cell>
          <cell r="B328" t="str">
            <v>Жис шахсларнинг пл-к к-таларига накд пуллар буйича утказилиши лозим булган маблаглар транзит хисобвараклари</v>
          </cell>
          <cell r="C328">
            <v>3603950.1</v>
          </cell>
          <cell r="D328">
            <v>0</v>
          </cell>
          <cell r="E328">
            <v>0</v>
          </cell>
          <cell r="F328">
            <v>0</v>
          </cell>
          <cell r="G328">
            <v>3603950.1</v>
          </cell>
        </row>
        <row r="329">
          <cell r="A329" t="str">
            <v>23118</v>
          </cell>
          <cell r="B329" t="str">
            <v>Жис.шахсларнинг П/Кларига П/Клар ва омонат х/вларидан ут-ши л/б-н маблаглар тр-т х/влари</v>
          </cell>
          <cell r="C329">
            <v>27581418.760000002</v>
          </cell>
          <cell r="D329">
            <v>0</v>
          </cell>
          <cell r="E329">
            <v>0</v>
          </cell>
          <cell r="F329">
            <v>27581418.760000002</v>
          </cell>
          <cell r="G329">
            <v>0</v>
          </cell>
        </row>
        <row r="330">
          <cell r="A330" t="str">
            <v>23120</v>
          </cell>
          <cell r="B330" t="str">
            <v>Жис. шахсларнинг П/Кларига накд пулсиз ут-ши лозим булган бошка маблаглар транзит хисобвараклари</v>
          </cell>
          <cell r="C330">
            <v>13057582.880000001</v>
          </cell>
          <cell r="D330">
            <v>0</v>
          </cell>
          <cell r="E330">
            <v>0</v>
          </cell>
          <cell r="F330">
            <v>13057582.880000001</v>
          </cell>
          <cell r="G330">
            <v>0</v>
          </cell>
        </row>
        <row r="331">
          <cell r="A331" t="str">
            <v>23122</v>
          </cell>
          <cell r="B331" t="str">
            <v>Чет эл валютасини сотиб олиш учун банк кассасига топш.накд пуллар буйича жисм.шахсларнинг П/Кларига...тр-т х/в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Итого</v>
          </cell>
          <cell r="B332" t="str">
            <v>23100</v>
          </cell>
          <cell r="C332">
            <v>45542951.740000002</v>
          </cell>
          <cell r="D332">
            <v>0</v>
          </cell>
          <cell r="E332">
            <v>0</v>
          </cell>
          <cell r="F332">
            <v>41939001.640000001</v>
          </cell>
          <cell r="G332">
            <v>3603950.1</v>
          </cell>
          <cell r="H332">
            <v>35736814492.379997</v>
          </cell>
        </row>
        <row r="333">
          <cell r="A333" t="str">
            <v>23200</v>
          </cell>
          <cell r="B333" t="str">
            <v>Клиринг трансакциялари</v>
          </cell>
        </row>
        <row r="334">
          <cell r="A334" t="str">
            <v>23202</v>
          </cell>
          <cell r="B334" t="str">
            <v>Клиринг трансакциялари</v>
          </cell>
          <cell r="C334">
            <v>53810348.420000002</v>
          </cell>
          <cell r="D334">
            <v>0</v>
          </cell>
          <cell r="E334">
            <v>0</v>
          </cell>
          <cell r="F334">
            <v>53810348.420000002</v>
          </cell>
          <cell r="G334">
            <v>0</v>
          </cell>
        </row>
        <row r="335">
          <cell r="A335" t="str">
            <v>23206</v>
          </cell>
          <cell r="B335" t="str">
            <v>Аникланиш жараёнидаги трансакциялар</v>
          </cell>
          <cell r="C335">
            <v>397128887.80000001</v>
          </cell>
          <cell r="D335">
            <v>0</v>
          </cell>
          <cell r="E335">
            <v>0</v>
          </cell>
          <cell r="F335">
            <v>397128887.80000001</v>
          </cell>
          <cell r="G335">
            <v>0</v>
          </cell>
        </row>
        <row r="336">
          <cell r="A336" t="str">
            <v>23210</v>
          </cell>
          <cell r="B336" t="str">
            <v>Молия вазирлиги хузуридаги Фондлардан кишлок хужалиги махсулотлари учун ажратилган максадли маблаглар</v>
          </cell>
          <cell r="C336">
            <v>1060704796.9299999</v>
          </cell>
          <cell r="D336">
            <v>0</v>
          </cell>
          <cell r="E336">
            <v>0</v>
          </cell>
          <cell r="F336">
            <v>1060704796.9299999</v>
          </cell>
          <cell r="G336">
            <v>0</v>
          </cell>
        </row>
        <row r="337">
          <cell r="A337" t="str">
            <v>23212</v>
          </cell>
          <cell r="B337" t="str">
            <v>Молия вазирлиги Газначилиги маблаглари</v>
          </cell>
          <cell r="C337">
            <v>124795522</v>
          </cell>
          <cell r="D337">
            <v>0</v>
          </cell>
          <cell r="E337">
            <v>0</v>
          </cell>
          <cell r="F337">
            <v>0</v>
          </cell>
          <cell r="G337">
            <v>124795522</v>
          </cell>
        </row>
        <row r="338">
          <cell r="A338" t="str">
            <v>23214</v>
          </cell>
          <cell r="B338" t="str">
            <v>Газначиликнинг худудий булинмалари маблаглари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23222</v>
          </cell>
          <cell r="B339" t="str">
            <v>Молия вазирлиги хузуридаги Фонднинг максадли маблаглари</v>
          </cell>
          <cell r="C339">
            <v>124851131.05</v>
          </cell>
          <cell r="D339">
            <v>0</v>
          </cell>
          <cell r="E339">
            <v>0</v>
          </cell>
          <cell r="F339">
            <v>124851131.05</v>
          </cell>
          <cell r="G339">
            <v>0</v>
          </cell>
        </row>
        <row r="340">
          <cell r="A340" t="str">
            <v>Итого</v>
          </cell>
          <cell r="B340" t="str">
            <v>23200</v>
          </cell>
          <cell r="C340">
            <v>1761290686.2</v>
          </cell>
          <cell r="D340">
            <v>0</v>
          </cell>
          <cell r="E340">
            <v>0</v>
          </cell>
          <cell r="F340">
            <v>1636495164.2</v>
          </cell>
          <cell r="G340">
            <v>124795522</v>
          </cell>
        </row>
        <row r="341">
          <cell r="A341" t="str">
            <v>23500</v>
          </cell>
          <cell r="B341" t="str">
            <v>Мижозларнинг пластик карталаридан келиб тушган тушум</v>
          </cell>
        </row>
        <row r="342">
          <cell r="A342" t="str">
            <v>23502</v>
          </cell>
          <cell r="B342" t="str">
            <v>Пластик карталардан инфокиоскалар оркали келиб тушган тушум</v>
          </cell>
          <cell r="C342">
            <v>1227200</v>
          </cell>
          <cell r="D342">
            <v>0</v>
          </cell>
          <cell r="E342">
            <v>0</v>
          </cell>
          <cell r="F342">
            <v>1227200</v>
          </cell>
          <cell r="G342">
            <v>0</v>
          </cell>
        </row>
        <row r="343">
          <cell r="A343" t="str">
            <v>23504</v>
          </cell>
          <cell r="B343" t="str">
            <v>Жис шахсларнинг П/Кларидан берилган накд пуллар, п/к ёки омонат х/вларига ут-ган маблаглар тр-т х/влари</v>
          </cell>
          <cell r="C343">
            <v>2106585806.3900001</v>
          </cell>
          <cell r="D343">
            <v>0</v>
          </cell>
          <cell r="E343">
            <v>0</v>
          </cell>
          <cell r="F343">
            <v>2106585806.3900001</v>
          </cell>
          <cell r="G343">
            <v>0</v>
          </cell>
        </row>
        <row r="344">
          <cell r="A344" t="str">
            <v>23506</v>
          </cell>
          <cell r="B344" t="str">
            <v>Хуж юр суб-тларнинг х/вларига коммунал туловлар буйича ут-ши л/б-н пластик карталардан келиб тушган тушум</v>
          </cell>
          <cell r="C344">
            <v>1155095966.5799999</v>
          </cell>
          <cell r="D344">
            <v>0</v>
          </cell>
          <cell r="E344">
            <v>0</v>
          </cell>
          <cell r="F344">
            <v>1155095966.5799999</v>
          </cell>
          <cell r="G344">
            <v>0</v>
          </cell>
        </row>
        <row r="345">
          <cell r="A345" t="str">
            <v>23508</v>
          </cell>
          <cell r="B345" t="str">
            <v>Хуж юр суб-тларнинг х/вларига пуллик хизматлар буйича ут-ши л/б-н пластик карталардан келиб тушган тушум</v>
          </cell>
          <cell r="C345">
            <v>7870479.6100000003</v>
          </cell>
          <cell r="D345">
            <v>0</v>
          </cell>
          <cell r="E345">
            <v>0</v>
          </cell>
          <cell r="F345">
            <v>7870479.6100000003</v>
          </cell>
          <cell r="G345">
            <v>0</v>
          </cell>
        </row>
        <row r="346">
          <cell r="A346" t="str">
            <v>23510</v>
          </cell>
          <cell r="B346" t="str">
            <v>Савдо ташкилотининг хисобваракларига утказилиши лозим булган пластик карталардан келиб тушган тушум</v>
          </cell>
          <cell r="C346">
            <v>9172032.5999999996</v>
          </cell>
          <cell r="D346">
            <v>0</v>
          </cell>
          <cell r="E346">
            <v>0</v>
          </cell>
          <cell r="F346">
            <v>9172032.5999999996</v>
          </cell>
          <cell r="G346">
            <v>0</v>
          </cell>
        </row>
        <row r="347">
          <cell r="A347" t="str">
            <v>23514</v>
          </cell>
          <cell r="B347" t="str">
            <v>Олувчи. х/вларига конунчиликда кузда тутилган бошка т-влар б-ча ут-ши л/б-н п/клардан келиб т-ган маблаглар</v>
          </cell>
          <cell r="C347">
            <v>3703305595.21</v>
          </cell>
          <cell r="D347">
            <v>0</v>
          </cell>
          <cell r="E347">
            <v>0</v>
          </cell>
          <cell r="F347">
            <v>3703305595.21</v>
          </cell>
          <cell r="G347">
            <v>0</v>
          </cell>
        </row>
        <row r="348">
          <cell r="A348" t="str">
            <v>23516</v>
          </cell>
          <cell r="B348" t="str">
            <v>Чет эл валютасини сотиб олиш учун жисмоний шахсларнинг пластик карталаридан утказилган пул маблаглари</v>
          </cell>
          <cell r="C348">
            <v>249186632.40000001</v>
          </cell>
          <cell r="D348">
            <v>0</v>
          </cell>
          <cell r="E348">
            <v>0</v>
          </cell>
          <cell r="F348">
            <v>249186632.40000001</v>
          </cell>
          <cell r="G348">
            <v>0</v>
          </cell>
        </row>
        <row r="349">
          <cell r="A349" t="str">
            <v>Итого</v>
          </cell>
          <cell r="B349" t="str">
            <v>23500</v>
          </cell>
          <cell r="C349">
            <v>7232443712.79</v>
          </cell>
          <cell r="D349">
            <v>0</v>
          </cell>
          <cell r="E349">
            <v>0</v>
          </cell>
          <cell r="F349">
            <v>7232443712.79</v>
          </cell>
          <cell r="G349">
            <v>0</v>
          </cell>
        </row>
        <row r="350">
          <cell r="A350" t="str">
            <v>23600</v>
          </cell>
          <cell r="B350" t="str">
            <v>Банк томонидан чикарилган кимматли когозлар</v>
          </cell>
        </row>
        <row r="351">
          <cell r="A351" t="str">
            <v>23606</v>
          </cell>
          <cell r="B351" t="str">
            <v>Чикарилган депозит сертификатлари</v>
          </cell>
          <cell r="C351">
            <v>49500000000</v>
          </cell>
          <cell r="D351">
            <v>0</v>
          </cell>
          <cell r="E351">
            <v>0</v>
          </cell>
          <cell r="F351">
            <v>49500000000</v>
          </cell>
          <cell r="G351">
            <v>0</v>
          </cell>
        </row>
        <row r="352">
          <cell r="A352" t="str">
            <v>Итого</v>
          </cell>
          <cell r="B352" t="str">
            <v>23600</v>
          </cell>
          <cell r="C352">
            <v>49500000000</v>
          </cell>
          <cell r="D352">
            <v>0</v>
          </cell>
          <cell r="E352">
            <v>0</v>
          </cell>
          <cell r="F352">
            <v>49500000000</v>
          </cell>
          <cell r="G352">
            <v>0</v>
          </cell>
        </row>
        <row r="353">
          <cell r="A353" t="str">
            <v>29800</v>
          </cell>
          <cell r="B353" t="str">
            <v>Бошка мажбуриятлар</v>
          </cell>
        </row>
        <row r="354">
          <cell r="A354" t="str">
            <v>29801</v>
          </cell>
          <cell r="B354" t="str">
            <v>Мижозлар билан хисоб-китоблар</v>
          </cell>
          <cell r="C354">
            <v>13043139208.49</v>
          </cell>
          <cell r="D354">
            <v>585714.81000000006</v>
          </cell>
          <cell r="E354">
            <v>0</v>
          </cell>
          <cell r="F354">
            <v>6053437314.8299999</v>
          </cell>
          <cell r="G354">
            <v>6989116178.8500004</v>
          </cell>
        </row>
        <row r="355">
          <cell r="A355" t="str">
            <v>29802</v>
          </cell>
          <cell r="B355" t="str">
            <v>Курсатилган хизматлар ва моддий товар кимматликлари учун туланадиган маблаглар</v>
          </cell>
          <cell r="C355">
            <v>15331441397.18</v>
          </cell>
          <cell r="D355">
            <v>0</v>
          </cell>
          <cell r="E355">
            <v>0</v>
          </cell>
          <cell r="F355">
            <v>15329047678.18</v>
          </cell>
          <cell r="G355">
            <v>2393719</v>
          </cell>
        </row>
        <row r="356">
          <cell r="A356" t="str">
            <v>29803</v>
          </cell>
          <cell r="B356" t="str">
            <v>Банк ходимлари билан хисоб-китоблардаги туланиши лозим булган маблаглар</v>
          </cell>
          <cell r="C356">
            <v>47623060.960000001</v>
          </cell>
          <cell r="D356">
            <v>0</v>
          </cell>
          <cell r="E356">
            <v>0</v>
          </cell>
          <cell r="F356">
            <v>47623060.960000001</v>
          </cell>
          <cell r="G356">
            <v>0</v>
          </cell>
        </row>
        <row r="357">
          <cell r="A357" t="str">
            <v>29804</v>
          </cell>
          <cell r="B357" t="str">
            <v>Бошка банк мижозларининг инкассо килинган пул тушумлари ва чеклари</v>
          </cell>
          <cell r="C357">
            <v>458030</v>
          </cell>
          <cell r="D357">
            <v>0</v>
          </cell>
          <cell r="E357">
            <v>0</v>
          </cell>
          <cell r="F357">
            <v>458030</v>
          </cell>
          <cell r="G357">
            <v>0</v>
          </cell>
        </row>
        <row r="358">
          <cell r="A358" t="str">
            <v>29805</v>
          </cell>
          <cell r="B358" t="str">
            <v>Ижара (операцион ижара) буйича туланиши лозим булган маблаглар</v>
          </cell>
          <cell r="C358">
            <v>1000</v>
          </cell>
          <cell r="D358">
            <v>0</v>
          </cell>
          <cell r="E358">
            <v>0</v>
          </cell>
          <cell r="F358">
            <v>1000</v>
          </cell>
          <cell r="G358">
            <v>0</v>
          </cell>
        </row>
        <row r="359">
          <cell r="A359" t="str">
            <v>29810</v>
          </cell>
          <cell r="B359" t="str">
            <v>Банкнинг жавобгар ходимларига берилган корпоратив п/клар б-ча ут-ши лозим булган маблаглар</v>
          </cell>
          <cell r="C359">
            <v>36165131.219999999</v>
          </cell>
          <cell r="D359">
            <v>0</v>
          </cell>
          <cell r="E359">
            <v>0</v>
          </cell>
          <cell r="F359">
            <v>36165131.219999999</v>
          </cell>
        </row>
        <row r="360">
          <cell r="A360" t="str">
            <v>29814</v>
          </cell>
          <cell r="B360" t="str">
            <v>Мижозларнинг хисобваракларига кирим килиниши лозим булган терминаллар оркали тушган тушумлар</v>
          </cell>
          <cell r="C360">
            <v>20200</v>
          </cell>
          <cell r="D360">
            <v>0</v>
          </cell>
          <cell r="E360">
            <v>0</v>
          </cell>
          <cell r="F360">
            <v>20200</v>
          </cell>
          <cell r="G360">
            <v>0</v>
          </cell>
        </row>
        <row r="361">
          <cell r="A361" t="str">
            <v>29816</v>
          </cell>
          <cell r="B361" t="str">
            <v>Кайта санаш вактида аникланган ортикча накд пуллар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>29822</v>
          </cell>
          <cell r="B362" t="str">
            <v>Туланиши лозим булган дивидендлар</v>
          </cell>
          <cell r="C362">
            <v>92396812.930000007</v>
          </cell>
          <cell r="D362">
            <v>0</v>
          </cell>
          <cell r="E362">
            <v>0</v>
          </cell>
          <cell r="F362">
            <v>92396812.930000007</v>
          </cell>
          <cell r="G362">
            <v>0</v>
          </cell>
        </row>
        <row r="363">
          <cell r="A363" t="str">
            <v>29824</v>
          </cell>
          <cell r="B363" t="str">
            <v>Жисмоний шахсларнинг накд пул маблаглари хисобидан максадли хисоб-китоблар</v>
          </cell>
          <cell r="C363">
            <v>4827745591.4700003</v>
          </cell>
          <cell r="D363">
            <v>0</v>
          </cell>
          <cell r="E363">
            <v>0</v>
          </cell>
          <cell r="F363">
            <v>4827745591.4700003</v>
          </cell>
          <cell r="G363">
            <v>0</v>
          </cell>
        </row>
        <row r="364">
          <cell r="A364" t="str">
            <v>29830</v>
          </cell>
          <cell r="B364" t="str">
            <v>Акцияларга обуна бадалларини тулаш буйича депозитлар</v>
          </cell>
          <cell r="C364">
            <v>1370483177.71</v>
          </cell>
          <cell r="D364">
            <v>0</v>
          </cell>
          <cell r="E364">
            <v>0</v>
          </cell>
          <cell r="F364">
            <v>1370483177.71</v>
          </cell>
          <cell r="G364">
            <v>0</v>
          </cell>
        </row>
        <row r="365">
          <cell r="A365" t="str">
            <v>29834</v>
          </cell>
          <cell r="B365" t="str">
            <v>Жисмоний шахсларнинг пул утказмалари буйича мажбуриятлар</v>
          </cell>
          <cell r="C365">
            <v>16389255712.879999</v>
          </cell>
          <cell r="D365">
            <v>0</v>
          </cell>
          <cell r="E365">
            <v>0</v>
          </cell>
          <cell r="F365">
            <v>29573752.68</v>
          </cell>
          <cell r="G365">
            <v>16359681960.200001</v>
          </cell>
        </row>
        <row r="366">
          <cell r="A366" t="str">
            <v>29840</v>
          </cell>
          <cell r="B366" t="str">
            <v>Молия вазирлигига утказиладиган талаб килиб олинмаган депозитлар</v>
          </cell>
          <cell r="C366">
            <v>4761391.74</v>
          </cell>
          <cell r="D366">
            <v>0</v>
          </cell>
          <cell r="E366">
            <v>0</v>
          </cell>
          <cell r="F366">
            <v>4761391.74</v>
          </cell>
          <cell r="G366">
            <v>0</v>
          </cell>
        </row>
        <row r="367">
          <cell r="A367" t="str">
            <v>29842</v>
          </cell>
          <cell r="B367" t="str">
            <v>Харакатсиз депозит мажбуриятлари</v>
          </cell>
          <cell r="C367">
            <v>315458416.18000001</v>
          </cell>
          <cell r="D367">
            <v>0</v>
          </cell>
          <cell r="E367">
            <v>53081.2</v>
          </cell>
          <cell r="F367">
            <v>252046654.15000001</v>
          </cell>
          <cell r="G367">
            <v>63358680.829999998</v>
          </cell>
        </row>
        <row r="368">
          <cell r="A368" t="str">
            <v>29896</v>
          </cell>
          <cell r="B368" t="str">
            <v>Бошка мажбуриятлар</v>
          </cell>
          <cell r="C368">
            <v>18940203078.650002</v>
          </cell>
          <cell r="D368">
            <v>0</v>
          </cell>
          <cell r="E368">
            <v>0</v>
          </cell>
          <cell r="F368">
            <v>16434131539.549999</v>
          </cell>
          <cell r="G368">
            <v>2506071539.0999999</v>
          </cell>
        </row>
        <row r="369">
          <cell r="A369" t="str">
            <v>Итого</v>
          </cell>
          <cell r="B369" t="str">
            <v>29800</v>
          </cell>
          <cell r="C369">
            <v>70399152209.410004</v>
          </cell>
          <cell r="D369">
            <v>585714.81000000006</v>
          </cell>
          <cell r="E369">
            <v>53081.2</v>
          </cell>
          <cell r="F369">
            <v>44477891335.419998</v>
          </cell>
          <cell r="G369">
            <v>25920622077.98</v>
          </cell>
        </row>
        <row r="370">
          <cell r="A370" t="str">
            <v>Итого</v>
          </cell>
          <cell r="B370" t="str">
            <v>МАЖБУРИЯТЛАР</v>
          </cell>
          <cell r="C370">
            <v>9913910447440.5898</v>
          </cell>
          <cell r="D370">
            <v>2402147132.29</v>
          </cell>
          <cell r="E370">
            <v>5191165604.5</v>
          </cell>
          <cell r="F370">
            <v>6234801883598.3496</v>
          </cell>
          <cell r="G370">
            <v>3671515251105.4502</v>
          </cell>
        </row>
        <row r="371">
          <cell r="A371" t="str">
            <v>3 ХУСУСИЙ КАПИТАЛ</v>
          </cell>
        </row>
        <row r="372">
          <cell r="A372" t="str">
            <v>30300</v>
          </cell>
          <cell r="B372" t="str">
            <v>Устав капитали</v>
          </cell>
        </row>
        <row r="373">
          <cell r="A373" t="str">
            <v>30315</v>
          </cell>
          <cell r="B373" t="str">
            <v>Чикарилган устав капитали - Имтиёзли</v>
          </cell>
          <cell r="C373">
            <v>144180000</v>
          </cell>
          <cell r="D373">
            <v>0</v>
          </cell>
          <cell r="E373">
            <v>0</v>
          </cell>
          <cell r="F373">
            <v>144180000</v>
          </cell>
          <cell r="G373">
            <v>0</v>
          </cell>
        </row>
        <row r="374">
          <cell r="A374" t="str">
            <v>30318</v>
          </cell>
          <cell r="B374" t="str">
            <v>Чикарилган устав капитали - Оддий</v>
          </cell>
          <cell r="C374">
            <v>1641584276172</v>
          </cell>
          <cell r="D374">
            <v>0</v>
          </cell>
          <cell r="E374">
            <v>0</v>
          </cell>
          <cell r="F374">
            <v>1641584276172</v>
          </cell>
          <cell r="G374">
            <v>0</v>
          </cell>
        </row>
        <row r="375">
          <cell r="A375" t="str">
            <v>Итого</v>
          </cell>
          <cell r="B375" t="str">
            <v>30300</v>
          </cell>
          <cell r="C375">
            <v>1641728456172</v>
          </cell>
          <cell r="D375">
            <v>0</v>
          </cell>
          <cell r="E375">
            <v>0</v>
          </cell>
          <cell r="F375">
            <v>1641728456172</v>
          </cell>
          <cell r="G375">
            <v>0</v>
          </cell>
        </row>
        <row r="376">
          <cell r="A376" t="str">
            <v>30900</v>
          </cell>
          <cell r="B376" t="str">
            <v>Захира капитали</v>
          </cell>
        </row>
        <row r="377">
          <cell r="A377" t="str">
            <v>30903</v>
          </cell>
          <cell r="B377" t="str">
            <v>Умумий захира фонди</v>
          </cell>
          <cell r="C377">
            <v>51500363618.879997</v>
          </cell>
          <cell r="D377">
            <v>0</v>
          </cell>
          <cell r="E377">
            <v>0</v>
          </cell>
          <cell r="F377">
            <v>51500363618.879997</v>
          </cell>
          <cell r="G377">
            <v>0</v>
          </cell>
        </row>
        <row r="378">
          <cell r="A378" t="str">
            <v>30904</v>
          </cell>
          <cell r="B378" t="str">
            <v>Кичик бизнес корхоналарини имтиёзли кредитлаш захира фонди</v>
          </cell>
          <cell r="C378">
            <v>775975026.76999998</v>
          </cell>
          <cell r="D378">
            <v>0</v>
          </cell>
          <cell r="E378">
            <v>0</v>
          </cell>
          <cell r="F378">
            <v>775975026.76999998</v>
          </cell>
          <cell r="G378">
            <v>0</v>
          </cell>
        </row>
        <row r="379">
          <cell r="A379" t="str">
            <v>30908</v>
          </cell>
          <cell r="B379" t="str">
            <v>Бошлангич кийматга нисбатан бахолаш кийматининг ошган микдори</v>
          </cell>
          <cell r="C379">
            <v>12338722654.24</v>
          </cell>
          <cell r="D379">
            <v>0</v>
          </cell>
          <cell r="E379">
            <v>0</v>
          </cell>
          <cell r="F379">
            <v>12338722654.24</v>
          </cell>
          <cell r="G379">
            <v>0</v>
          </cell>
        </row>
        <row r="380">
          <cell r="A380" t="str">
            <v>Итого</v>
          </cell>
          <cell r="B380" t="str">
            <v>30900</v>
          </cell>
          <cell r="C380">
            <v>64615061299.889999</v>
          </cell>
          <cell r="D380">
            <v>0</v>
          </cell>
          <cell r="E380">
            <v>0</v>
          </cell>
          <cell r="F380">
            <v>64615061299.889999</v>
          </cell>
          <cell r="G380">
            <v>0</v>
          </cell>
        </row>
        <row r="381">
          <cell r="A381" t="str">
            <v>31200</v>
          </cell>
          <cell r="B381" t="str">
            <v>Таксимланмаган фойда</v>
          </cell>
        </row>
        <row r="382">
          <cell r="A382" t="str">
            <v>31203</v>
          </cell>
          <cell r="B382" t="str">
            <v>Таксимланмаган фойда (актив-пассив)</v>
          </cell>
          <cell r="C382">
            <v>-67998399430.260002</v>
          </cell>
          <cell r="D382">
            <v>0</v>
          </cell>
          <cell r="E382">
            <v>0</v>
          </cell>
          <cell r="F382">
            <v>-67998399430.260002</v>
          </cell>
          <cell r="G382">
            <v>0</v>
          </cell>
        </row>
        <row r="383">
          <cell r="A383" t="str">
            <v>31206</v>
          </cell>
          <cell r="B383" t="str">
            <v>Соф фойда (зарар) (актив-пассив)</v>
          </cell>
          <cell r="C383">
            <v>-26243924497.889999</v>
          </cell>
          <cell r="D383">
            <v>0</v>
          </cell>
          <cell r="E383">
            <v>0</v>
          </cell>
          <cell r="F383">
            <v>-26243924497.889999</v>
          </cell>
          <cell r="G383">
            <v>0</v>
          </cell>
        </row>
        <row r="384">
          <cell r="A384" t="str">
            <v>Итого</v>
          </cell>
          <cell r="B384" t="str">
            <v>31200</v>
          </cell>
          <cell r="C384">
            <v>-94242323928.149994</v>
          </cell>
          <cell r="D384">
            <v>0</v>
          </cell>
          <cell r="E384">
            <v>0</v>
          </cell>
          <cell r="F384">
            <v>-94242323928.149994</v>
          </cell>
          <cell r="G384">
            <v>0</v>
          </cell>
        </row>
        <row r="385">
          <cell r="A385" t="str">
            <v>Итого</v>
          </cell>
          <cell r="B385" t="str">
            <v>ХУСУСИЙ КАПИТАЛ</v>
          </cell>
          <cell r="C385">
            <v>1612101193543.74</v>
          </cell>
          <cell r="D385">
            <v>0</v>
          </cell>
          <cell r="E385">
            <v>0</v>
          </cell>
          <cell r="F385">
            <v>1612101193543.74</v>
          </cell>
          <cell r="G385">
            <v>0</v>
          </cell>
        </row>
        <row r="387">
          <cell r="A387" t="str">
            <v>4 ДАРОМАДЛАР</v>
          </cell>
        </row>
        <row r="388">
          <cell r="A388" t="str">
            <v>40200</v>
          </cell>
          <cell r="B388" t="str">
            <v>УзРМБидаги хисобвараклар буйича фоизли даромадлар</v>
          </cell>
        </row>
        <row r="389">
          <cell r="A389" t="str">
            <v>40205</v>
          </cell>
          <cell r="B389" t="str">
            <v>Марказий банкдаги депозитлар буйича фоизли даромадлар</v>
          </cell>
          <cell r="C389">
            <v>133561643.8</v>
          </cell>
          <cell r="D389">
            <v>0</v>
          </cell>
          <cell r="E389">
            <v>0</v>
          </cell>
          <cell r="F389">
            <v>133561643.8</v>
          </cell>
          <cell r="G389">
            <v>0</v>
          </cell>
          <cell r="H389" t="str">
            <v>40205</v>
          </cell>
        </row>
        <row r="390">
          <cell r="A390" t="str">
            <v>Итого</v>
          </cell>
          <cell r="B390" t="str">
            <v>40200</v>
          </cell>
          <cell r="C390">
            <v>133561643.8</v>
          </cell>
          <cell r="D390">
            <v>0</v>
          </cell>
          <cell r="E390">
            <v>0</v>
          </cell>
          <cell r="F390">
            <v>133561643.8</v>
          </cell>
          <cell r="G390">
            <v>0</v>
          </cell>
          <cell r="H390" t="str">
            <v>40200</v>
          </cell>
        </row>
        <row r="391">
          <cell r="A391" t="str">
            <v>40400</v>
          </cell>
          <cell r="B391" t="str">
            <v>Бошка банклардаги хисобвараклар буйича фоизли даромадлар</v>
          </cell>
        </row>
        <row r="392">
          <cell r="A392" t="str">
            <v>40401</v>
          </cell>
          <cell r="B392" t="str">
            <v>Бошка банклардаги вакиллик хисобвараклари буйича фоизли даромадлар - Ностро</v>
          </cell>
          <cell r="C392">
            <v>55092313.390000001</v>
          </cell>
          <cell r="D392">
            <v>0</v>
          </cell>
          <cell r="E392">
            <v>0</v>
          </cell>
          <cell r="F392">
            <v>55092313.390000001</v>
          </cell>
          <cell r="G392">
            <v>0</v>
          </cell>
          <cell r="H392" t="str">
            <v>40401</v>
          </cell>
        </row>
        <row r="393">
          <cell r="A393" t="str">
            <v>40409</v>
          </cell>
          <cell r="B393" t="str">
            <v>Бошка банклардаги депозитлар буйича фоизли даромадлар</v>
          </cell>
          <cell r="C393">
            <v>14431049098</v>
          </cell>
          <cell r="D393">
            <v>0</v>
          </cell>
          <cell r="E393">
            <v>0</v>
          </cell>
          <cell r="F393">
            <v>14431049098</v>
          </cell>
          <cell r="G393">
            <v>0</v>
          </cell>
          <cell r="H393" t="str">
            <v>40409</v>
          </cell>
        </row>
        <row r="394">
          <cell r="A394" t="str">
            <v>Итого</v>
          </cell>
          <cell r="B394" t="str">
            <v>40400</v>
          </cell>
          <cell r="C394">
            <v>14486141411.389999</v>
          </cell>
          <cell r="D394">
            <v>0</v>
          </cell>
          <cell r="E394">
            <v>0</v>
          </cell>
          <cell r="F394">
            <v>14486141411.389999</v>
          </cell>
          <cell r="G394">
            <v>0</v>
          </cell>
          <cell r="H394" t="str">
            <v>40400</v>
          </cell>
        </row>
        <row r="395">
          <cell r="A395" t="str">
            <v>40600</v>
          </cell>
          <cell r="B395" t="str">
            <v>Олди-сотди кимматли когозлар буйича фоизли даромадлар</v>
          </cell>
        </row>
        <row r="396">
          <cell r="A396" t="str">
            <v>40605</v>
          </cell>
          <cell r="B396" t="str">
            <v>Давлат облигациялари буйича фоизли даромадлар</v>
          </cell>
          <cell r="C396">
            <v>7110748767.1400003</v>
          </cell>
          <cell r="D396">
            <v>0</v>
          </cell>
          <cell r="E396">
            <v>0</v>
          </cell>
          <cell r="F396">
            <v>7110748767.1400003</v>
          </cell>
          <cell r="G396">
            <v>0</v>
          </cell>
          <cell r="H396" t="str">
            <v>40605</v>
          </cell>
        </row>
        <row r="397">
          <cell r="A397" t="str">
            <v>Итого</v>
          </cell>
          <cell r="B397" t="str">
            <v>40600</v>
          </cell>
          <cell r="C397">
            <v>7110748767.1400003</v>
          </cell>
          <cell r="D397">
            <v>0</v>
          </cell>
          <cell r="E397">
            <v>0</v>
          </cell>
          <cell r="F397">
            <v>7110748767.1400003</v>
          </cell>
          <cell r="G397">
            <v>0</v>
          </cell>
          <cell r="H397" t="str">
            <v>40600</v>
          </cell>
        </row>
        <row r="398">
          <cell r="A398" t="str">
            <v>42000</v>
          </cell>
          <cell r="B398" t="str">
            <v>Жисмоний шахсларга берилган киска муддатли кредитлар буйича фоизли даромадлар</v>
          </cell>
        </row>
        <row r="399">
          <cell r="A399" t="str">
            <v>42001</v>
          </cell>
          <cell r="B399" t="str">
            <v>Жисмоний шахсларга берилган киска муддатли кредитлар буйича фоизли даромадлар</v>
          </cell>
          <cell r="C399">
            <v>6873962178.1499996</v>
          </cell>
          <cell r="D399">
            <v>0</v>
          </cell>
          <cell r="E399">
            <v>0</v>
          </cell>
          <cell r="F399">
            <v>6873962178.1499996</v>
          </cell>
          <cell r="G399">
            <v>0</v>
          </cell>
          <cell r="H399" t="str">
            <v>42001</v>
          </cell>
        </row>
        <row r="400">
          <cell r="A400" t="str">
            <v>42005</v>
          </cell>
          <cell r="B400" t="str">
            <v>Жисмоний шахсларга берилган муддати утган кредитлар буйича фоизли даромадлар</v>
          </cell>
          <cell r="C400">
            <v>1676904494.03</v>
          </cell>
          <cell r="D400">
            <v>0</v>
          </cell>
          <cell r="E400">
            <v>0</v>
          </cell>
          <cell r="F400">
            <v>1676904494.03</v>
          </cell>
          <cell r="G400">
            <v>0</v>
          </cell>
          <cell r="H400" t="str">
            <v>42005</v>
          </cell>
        </row>
        <row r="401">
          <cell r="A401" t="str">
            <v>Итого</v>
          </cell>
          <cell r="B401" t="str">
            <v>42000</v>
          </cell>
          <cell r="C401">
            <v>8550866672.1800003</v>
          </cell>
          <cell r="D401">
            <v>0</v>
          </cell>
          <cell r="E401">
            <v>0</v>
          </cell>
          <cell r="F401">
            <v>8550866672.1800003</v>
          </cell>
          <cell r="G401">
            <v>0</v>
          </cell>
          <cell r="H401" t="str">
            <v>42000</v>
          </cell>
        </row>
        <row r="402">
          <cell r="A402" t="str">
            <v>42100</v>
          </cell>
          <cell r="B402" t="str">
            <v>Якка тартибдаги тадбиркорларга берилган киска муддатли кредитлар буйича фоизли даромадлар</v>
          </cell>
        </row>
        <row r="403">
          <cell r="A403" t="str">
            <v>42101</v>
          </cell>
          <cell r="B403" t="str">
            <v>Якка тартибдаги тадбиркорларга берилган киска муддатли кредитлар буйича фоизли даромадлар</v>
          </cell>
          <cell r="C403">
            <v>1740871502.8</v>
          </cell>
          <cell r="D403">
            <v>0</v>
          </cell>
          <cell r="E403">
            <v>0</v>
          </cell>
          <cell r="F403">
            <v>1740871502.8</v>
          </cell>
          <cell r="G403">
            <v>0</v>
          </cell>
          <cell r="H403" t="str">
            <v>42101</v>
          </cell>
        </row>
        <row r="404">
          <cell r="A404" t="str">
            <v>42105</v>
          </cell>
          <cell r="B404" t="str">
            <v>Якка тартибдаги тадбиркорларга берилган муддати утган кредитлар буйича фоизли даромадлар</v>
          </cell>
          <cell r="C404">
            <v>341781734.75999999</v>
          </cell>
          <cell r="D404">
            <v>0</v>
          </cell>
          <cell r="E404">
            <v>0</v>
          </cell>
          <cell r="F404">
            <v>341781734.75999999</v>
          </cell>
          <cell r="G404">
            <v>0</v>
          </cell>
          <cell r="H404" t="str">
            <v>42105</v>
          </cell>
        </row>
        <row r="405">
          <cell r="A405" t="str">
            <v>Итого</v>
          </cell>
          <cell r="B405" t="str">
            <v>42100</v>
          </cell>
          <cell r="C405">
            <v>2082653237.5599999</v>
          </cell>
          <cell r="D405">
            <v>0</v>
          </cell>
          <cell r="E405">
            <v>0</v>
          </cell>
          <cell r="F405">
            <v>2082653237.5599999</v>
          </cell>
          <cell r="G405">
            <v>0</v>
          </cell>
          <cell r="H405" t="str">
            <v>42100</v>
          </cell>
        </row>
        <row r="406">
          <cell r="A406" t="str">
            <v>42200</v>
          </cell>
          <cell r="B406" t="str">
            <v>Давлат корхона, ташкилот ва муассасаларига берилган киска муддатли кредитлар буйича фоизли даромадлар</v>
          </cell>
        </row>
        <row r="407">
          <cell r="A407" t="str">
            <v>42201</v>
          </cell>
          <cell r="B407" t="str">
            <v>Давлат корхона, ташкилот ва муассасаларига берилган киска муддатли кредитлар буйича фоизли даромадлар</v>
          </cell>
          <cell r="C407">
            <v>388772037.58999997</v>
          </cell>
          <cell r="D407">
            <v>0</v>
          </cell>
          <cell r="E407">
            <v>0</v>
          </cell>
          <cell r="F407">
            <v>388772037.58999997</v>
          </cell>
          <cell r="G407">
            <v>0</v>
          </cell>
          <cell r="H407" t="str">
            <v>42201</v>
          </cell>
        </row>
        <row r="408">
          <cell r="A408" t="str">
            <v>42205</v>
          </cell>
          <cell r="B408" t="str">
            <v>Давлат корхона, ташкилот ва муассасаларига берилган муддати утган кредитлар буйича фоизли даромадлар</v>
          </cell>
          <cell r="C408">
            <v>97967939.439999998</v>
          </cell>
          <cell r="D408">
            <v>0</v>
          </cell>
          <cell r="E408">
            <v>0</v>
          </cell>
          <cell r="F408">
            <v>97967939.439999998</v>
          </cell>
          <cell r="G408">
            <v>0</v>
          </cell>
          <cell r="H408" t="str">
            <v>42205</v>
          </cell>
        </row>
        <row r="409">
          <cell r="A409" t="str">
            <v>Итого</v>
          </cell>
          <cell r="B409" t="str">
            <v>42200</v>
          </cell>
          <cell r="C409">
            <v>486739977.02999997</v>
          </cell>
          <cell r="D409">
            <v>0</v>
          </cell>
          <cell r="E409">
            <v>0</v>
          </cell>
          <cell r="F409">
            <v>486739977.02999997</v>
          </cell>
          <cell r="G409">
            <v>0</v>
          </cell>
          <cell r="H409" t="str">
            <v>42200</v>
          </cell>
        </row>
        <row r="410">
          <cell r="A410" t="str">
            <v>42300</v>
          </cell>
          <cell r="B410" t="str">
            <v>Нодавлат нотижорат ташкилотларига берилган киска муддатли кредитлар буйича фоизли даромадлар</v>
          </cell>
        </row>
        <row r="411">
          <cell r="A411" t="str">
            <v>42301</v>
          </cell>
          <cell r="B411" t="str">
            <v>Нодавлат нотижорат ташкилотларига берилган киска муддатли кредитлар буйича фоизли даромадлар</v>
          </cell>
          <cell r="C411">
            <v>1847211.56</v>
          </cell>
          <cell r="D411">
            <v>0</v>
          </cell>
          <cell r="E411">
            <v>0</v>
          </cell>
          <cell r="F411">
            <v>1847211.56</v>
          </cell>
          <cell r="G411">
            <v>0</v>
          </cell>
          <cell r="H411" t="str">
            <v>42301</v>
          </cell>
        </row>
        <row r="412">
          <cell r="A412" t="str">
            <v>42305</v>
          </cell>
          <cell r="B412" t="str">
            <v>Нодавлат нотижорат ташкилотларига берилган муддати утган кредитлар буйича фоизли даромадлар</v>
          </cell>
          <cell r="C412">
            <v>115025343.31</v>
          </cell>
          <cell r="D412">
            <v>0</v>
          </cell>
          <cell r="E412">
            <v>0</v>
          </cell>
          <cell r="F412">
            <v>115025343.31</v>
          </cell>
          <cell r="G412">
            <v>0</v>
          </cell>
          <cell r="H412" t="str">
            <v>42305</v>
          </cell>
        </row>
        <row r="413">
          <cell r="A413" t="str">
            <v>Итого</v>
          </cell>
          <cell r="B413" t="str">
            <v>42300</v>
          </cell>
          <cell r="C413">
            <v>116872554.87</v>
          </cell>
          <cell r="D413">
            <v>0</v>
          </cell>
          <cell r="E413">
            <v>0</v>
          </cell>
          <cell r="F413">
            <v>116872554.87</v>
          </cell>
          <cell r="G413">
            <v>0</v>
          </cell>
          <cell r="H413" t="str">
            <v>42300</v>
          </cell>
        </row>
        <row r="414">
          <cell r="A414" t="str">
            <v>42400</v>
          </cell>
          <cell r="B414" t="str">
            <v>Чет эл капитали иштирокидаги корхоналарга берилган киска муддатли кредитлар буйича фоизли даромадлар</v>
          </cell>
        </row>
        <row r="415">
          <cell r="A415" t="str">
            <v>42401</v>
          </cell>
          <cell r="B415" t="str">
            <v>Чет эл капитали иштирокидаги корхоналарга берилган киска муддатли кредитлар буйича фоизли даромадлар</v>
          </cell>
          <cell r="C415">
            <v>1087742351.52</v>
          </cell>
          <cell r="D415">
            <v>0</v>
          </cell>
          <cell r="E415">
            <v>0</v>
          </cell>
          <cell r="F415">
            <v>1087742351.52</v>
          </cell>
          <cell r="G415">
            <v>0</v>
          </cell>
          <cell r="H415" t="str">
            <v>42401</v>
          </cell>
        </row>
        <row r="416">
          <cell r="A416" t="str">
            <v>42405</v>
          </cell>
          <cell r="B416" t="str">
            <v>Чет эл капитали иштирокидаги корхораларга берилган муддати утган кредитлар буйича фоизли даромадлар</v>
          </cell>
          <cell r="C416">
            <v>184451489.97999999</v>
          </cell>
          <cell r="D416">
            <v>0</v>
          </cell>
          <cell r="E416">
            <v>0</v>
          </cell>
          <cell r="F416">
            <v>184451489.97999999</v>
          </cell>
          <cell r="G416">
            <v>0</v>
          </cell>
          <cell r="H416" t="str">
            <v>42405</v>
          </cell>
        </row>
        <row r="417">
          <cell r="A417" t="str">
            <v>Итого</v>
          </cell>
          <cell r="B417" t="str">
            <v>42400</v>
          </cell>
          <cell r="C417">
            <v>1272193841.5</v>
          </cell>
          <cell r="D417">
            <v>0</v>
          </cell>
          <cell r="E417">
            <v>0</v>
          </cell>
          <cell r="F417">
            <v>1272193841.5</v>
          </cell>
          <cell r="G417">
            <v>0</v>
          </cell>
          <cell r="H417" t="str">
            <v>42400</v>
          </cell>
        </row>
        <row r="418">
          <cell r="A418" t="str">
            <v>42500</v>
          </cell>
          <cell r="B418" t="str">
            <v>Банк булмаган молиявий муассасаларга берилган киска муддатли кредитлар буйича фоизли даромадлар</v>
          </cell>
        </row>
        <row r="419">
          <cell r="A419" t="str">
            <v>42501</v>
          </cell>
          <cell r="B419" t="str">
            <v>Банк булмаган молиявий муассасаларга берилган киска муддатли кредитлар буйича фоизли даромадлар</v>
          </cell>
          <cell r="C419">
            <v>465886.94</v>
          </cell>
          <cell r="D419">
            <v>0</v>
          </cell>
          <cell r="E419">
            <v>0</v>
          </cell>
          <cell r="F419">
            <v>465886.94</v>
          </cell>
          <cell r="G419">
            <v>0</v>
          </cell>
          <cell r="H419" t="str">
            <v>42501</v>
          </cell>
        </row>
        <row r="420">
          <cell r="A420" t="str">
            <v>42505</v>
          </cell>
          <cell r="B420" t="str">
            <v>Банк булмаган молиявий муассасаларга берилган муддати утган кредитлар буйича фоизли даромадлар</v>
          </cell>
          <cell r="C420">
            <v>48068.98</v>
          </cell>
          <cell r="D420">
            <v>0</v>
          </cell>
          <cell r="E420">
            <v>0</v>
          </cell>
          <cell r="F420">
            <v>48068.98</v>
          </cell>
          <cell r="G420">
            <v>0</v>
          </cell>
          <cell r="H420" t="str">
            <v>42505</v>
          </cell>
        </row>
        <row r="421">
          <cell r="A421" t="str">
            <v>Итого</v>
          </cell>
          <cell r="B421" t="str">
            <v>42500</v>
          </cell>
          <cell r="C421">
            <v>513955.92</v>
          </cell>
          <cell r="D421">
            <v>0</v>
          </cell>
          <cell r="E421">
            <v>0</v>
          </cell>
          <cell r="F421">
            <v>513955.92</v>
          </cell>
          <cell r="G421">
            <v>0</v>
          </cell>
          <cell r="H421" t="str">
            <v>42500</v>
          </cell>
        </row>
        <row r="422">
          <cell r="A422" t="str">
            <v>42600</v>
          </cell>
          <cell r="B422" t="str">
            <v>Хусусий корхоналар, хужалик ширкатлари ва жамиятларга берилган киска муддатли кредитлар буйича фоизли даромадл</v>
          </cell>
        </row>
        <row r="423">
          <cell r="A423" t="str">
            <v>42601</v>
          </cell>
          <cell r="B423" t="str">
            <v>Хусусий корхоналар, хужалик ширкатлари ва жамиятларга берилган киска муддатли кредитлар буйича фоизли даромадл</v>
          </cell>
          <cell r="C423">
            <v>11337075430.68</v>
          </cell>
          <cell r="D423">
            <v>0</v>
          </cell>
          <cell r="E423">
            <v>0</v>
          </cell>
          <cell r="F423">
            <v>11337075430.68</v>
          </cell>
          <cell r="G423">
            <v>0</v>
          </cell>
          <cell r="H423" t="str">
            <v>42601</v>
          </cell>
        </row>
        <row r="424">
          <cell r="A424" t="str">
            <v>42605</v>
          </cell>
          <cell r="B424" t="str">
            <v>Хусусий корхоналар, хужалик ширкатлари ва жамиятларга берилган муддати утган кредитлар буйича фоизли даромадла</v>
          </cell>
          <cell r="C424">
            <v>3093173823.1399999</v>
          </cell>
          <cell r="D424">
            <v>0</v>
          </cell>
          <cell r="E424">
            <v>0</v>
          </cell>
          <cell r="F424">
            <v>3093173823.1399999</v>
          </cell>
          <cell r="G424">
            <v>0</v>
          </cell>
          <cell r="H424" t="str">
            <v>42605</v>
          </cell>
        </row>
        <row r="425">
          <cell r="A425" t="str">
            <v>Итого</v>
          </cell>
          <cell r="B425" t="str">
            <v>42600</v>
          </cell>
          <cell r="C425">
            <v>14430249253.82</v>
          </cell>
          <cell r="D425">
            <v>0</v>
          </cell>
          <cell r="E425">
            <v>0</v>
          </cell>
          <cell r="F425">
            <v>14430249253.82</v>
          </cell>
          <cell r="G425">
            <v>0</v>
          </cell>
          <cell r="H425" t="str">
            <v>42600</v>
          </cell>
        </row>
        <row r="426">
          <cell r="A426" t="str">
            <v>43700</v>
          </cell>
          <cell r="B426" t="str">
            <v>Банк булмаган молиявий муассасаларга берилган узок муддатли кредитлар буйича фоизли даромадлар</v>
          </cell>
        </row>
        <row r="427">
          <cell r="A427" t="str">
            <v>43705</v>
          </cell>
          <cell r="B427" t="str">
            <v>Банк булмаган молиявиё муассасаларга берилган шартлари кайта куриб чикилган узок муддатли кредитлар буйича фои</v>
          </cell>
          <cell r="C427">
            <v>347143.96</v>
          </cell>
          <cell r="D427">
            <v>0</v>
          </cell>
          <cell r="E427">
            <v>0</v>
          </cell>
          <cell r="F427">
            <v>347143.96</v>
          </cell>
          <cell r="G427">
            <v>0</v>
          </cell>
          <cell r="H427" t="str">
            <v>43705</v>
          </cell>
        </row>
        <row r="428">
          <cell r="A428" t="str">
            <v>Итого</v>
          </cell>
          <cell r="B428" t="str">
            <v>43700</v>
          </cell>
          <cell r="C428">
            <v>347143.96</v>
          </cell>
          <cell r="D428">
            <v>0</v>
          </cell>
          <cell r="E428">
            <v>0</v>
          </cell>
          <cell r="F428">
            <v>347143.96</v>
          </cell>
          <cell r="G428">
            <v>0</v>
          </cell>
          <cell r="H428" t="str">
            <v>43700</v>
          </cell>
        </row>
        <row r="429">
          <cell r="A429" t="str">
            <v>43900</v>
          </cell>
          <cell r="B429" t="str">
            <v>Нодавлат нотижорат ташкилотларига берилган узок муддатли кредитлар буйича фоизли даромадлар</v>
          </cell>
        </row>
        <row r="430">
          <cell r="A430" t="str">
            <v>43901</v>
          </cell>
          <cell r="B430" t="str">
            <v>Нодавлат нотижорат ташкилотларига берилган узок муддатли кредитлар буйича фоизли даромадлар</v>
          </cell>
          <cell r="C430">
            <v>6233470811.3800001</v>
          </cell>
          <cell r="D430">
            <v>0</v>
          </cell>
          <cell r="E430">
            <v>0</v>
          </cell>
          <cell r="F430">
            <v>6233470811.3800001</v>
          </cell>
          <cell r="G430">
            <v>0</v>
          </cell>
          <cell r="H430" t="str">
            <v>43901</v>
          </cell>
        </row>
        <row r="431">
          <cell r="A431" t="str">
            <v>43905</v>
          </cell>
          <cell r="B431" t="str">
            <v>Нодавлат нотижорат ташкилотларига берилган шартлари кайта куриб чикилган узок муддатли кредитлар буйича фоизли</v>
          </cell>
          <cell r="C431">
            <v>2262224.33</v>
          </cell>
          <cell r="D431">
            <v>0</v>
          </cell>
          <cell r="E431">
            <v>0</v>
          </cell>
          <cell r="F431">
            <v>2262224.33</v>
          </cell>
          <cell r="G431">
            <v>0</v>
          </cell>
          <cell r="H431" t="str">
            <v>43905</v>
          </cell>
        </row>
        <row r="432">
          <cell r="A432" t="str">
            <v>Итого</v>
          </cell>
          <cell r="B432" t="str">
            <v>43900</v>
          </cell>
          <cell r="C432">
            <v>6235733035.71</v>
          </cell>
          <cell r="D432">
            <v>0</v>
          </cell>
          <cell r="E432">
            <v>0</v>
          </cell>
          <cell r="F432">
            <v>6235733035.71</v>
          </cell>
          <cell r="G432">
            <v>0</v>
          </cell>
          <cell r="H432" t="str">
            <v>43900</v>
          </cell>
        </row>
        <row r="433">
          <cell r="A433" t="str">
            <v>44000</v>
          </cell>
          <cell r="B433" t="str">
            <v>Бошка банкларга берилган узок муддатли кредитлар буйича фоизли даромадлар</v>
          </cell>
        </row>
        <row r="434">
          <cell r="A434" t="str">
            <v>44001</v>
          </cell>
          <cell r="B434" t="str">
            <v>Бошка банкларга берилган узок муддатли кредитлар буйича фоизли даромадлар</v>
          </cell>
          <cell r="C434">
            <v>2796655.5</v>
          </cell>
          <cell r="D434">
            <v>0</v>
          </cell>
          <cell r="E434">
            <v>0</v>
          </cell>
          <cell r="F434">
            <v>2796655.5</v>
          </cell>
          <cell r="G434">
            <v>0</v>
          </cell>
          <cell r="H434" t="str">
            <v>44001</v>
          </cell>
        </row>
        <row r="435">
          <cell r="A435" t="str">
            <v>Итого</v>
          </cell>
          <cell r="B435" t="str">
            <v>44000</v>
          </cell>
          <cell r="C435">
            <v>2796655.5</v>
          </cell>
          <cell r="D435">
            <v>0</v>
          </cell>
          <cell r="E435">
            <v>0</v>
          </cell>
          <cell r="F435">
            <v>2796655.5</v>
          </cell>
          <cell r="G435">
            <v>0</v>
          </cell>
          <cell r="H435" t="str">
            <v>44000</v>
          </cell>
        </row>
        <row r="436">
          <cell r="A436" t="str">
            <v>44100</v>
          </cell>
          <cell r="B436" t="str">
            <v>Якка тартибдаги тадбиркорларга берилган узок муддатли кредитлар буйича фоизли даромадлар</v>
          </cell>
        </row>
        <row r="437">
          <cell r="A437" t="str">
            <v>44101</v>
          </cell>
          <cell r="B437" t="str">
            <v>Якка тартибдаги тадбиркорларга берилган узок муддатли кредитлар буйича фоизли даромадлар</v>
          </cell>
          <cell r="C437">
            <v>5803832796.5900002</v>
          </cell>
          <cell r="D437">
            <v>0</v>
          </cell>
          <cell r="E437">
            <v>0</v>
          </cell>
          <cell r="F437">
            <v>5803832796.5900002</v>
          </cell>
          <cell r="G437">
            <v>0</v>
          </cell>
          <cell r="H437" t="str">
            <v>44101</v>
          </cell>
        </row>
        <row r="438">
          <cell r="A438" t="str">
            <v>44105</v>
          </cell>
          <cell r="B438" t="str">
            <v>Якка тартибдаги тадбиркорларга берилган шартлари кайта куриб чикилган узок муддатли кредитлар буйича фоизли да</v>
          </cell>
          <cell r="C438">
            <v>762551.87</v>
          </cell>
          <cell r="D438">
            <v>0</v>
          </cell>
          <cell r="E438">
            <v>0</v>
          </cell>
          <cell r="F438">
            <v>762551.87</v>
          </cell>
          <cell r="G438">
            <v>0</v>
          </cell>
          <cell r="H438" t="str">
            <v>44105</v>
          </cell>
        </row>
        <row r="439">
          <cell r="A439" t="str">
            <v>Итого</v>
          </cell>
          <cell r="B439" t="str">
            <v>44100</v>
          </cell>
          <cell r="C439">
            <v>5804595348.46</v>
          </cell>
          <cell r="D439">
            <v>0</v>
          </cell>
          <cell r="E439">
            <v>0</v>
          </cell>
          <cell r="F439">
            <v>5804595348.46</v>
          </cell>
          <cell r="G439">
            <v>0</v>
          </cell>
          <cell r="H439" t="str">
            <v>44100</v>
          </cell>
        </row>
        <row r="440">
          <cell r="A440" t="str">
            <v>44300</v>
          </cell>
          <cell r="B440" t="str">
            <v>Жисмоний шахсларга берилган узок муддатли кредитлар буйича фоизли даромадлар</v>
          </cell>
        </row>
        <row r="441">
          <cell r="A441" t="str">
            <v>44301</v>
          </cell>
          <cell r="B441" t="str">
            <v>Жисмоний шахсларга берилган узок муддатли кредитлар буйича фоизли даромадлар</v>
          </cell>
          <cell r="C441">
            <v>68487052938.849998</v>
          </cell>
          <cell r="D441">
            <v>0</v>
          </cell>
          <cell r="E441">
            <v>0</v>
          </cell>
          <cell r="F441">
            <v>68487052938.849998</v>
          </cell>
          <cell r="G441">
            <v>0</v>
          </cell>
          <cell r="H441" t="str">
            <v>44301</v>
          </cell>
        </row>
        <row r="442">
          <cell r="A442" t="str">
            <v>44305</v>
          </cell>
          <cell r="B442" t="str">
            <v>Жисмоний шахсларга берилган шартлари кайта куриб чикилган узок муддатли кредитлар буйича фоизли даромадлар</v>
          </cell>
          <cell r="C442">
            <v>19370151.100000001</v>
          </cell>
          <cell r="D442">
            <v>0</v>
          </cell>
          <cell r="E442">
            <v>0</v>
          </cell>
          <cell r="F442">
            <v>19370151.100000001</v>
          </cell>
          <cell r="G442">
            <v>0</v>
          </cell>
          <cell r="H442" t="str">
            <v>44305</v>
          </cell>
        </row>
        <row r="443">
          <cell r="A443" t="str">
            <v>Итого</v>
          </cell>
          <cell r="B443" t="str">
            <v>44300</v>
          </cell>
          <cell r="C443">
            <v>68506423089.949997</v>
          </cell>
          <cell r="D443">
            <v>0</v>
          </cell>
          <cell r="E443">
            <v>0</v>
          </cell>
          <cell r="F443">
            <v>68506423089.949997</v>
          </cell>
          <cell r="G443">
            <v>0</v>
          </cell>
          <cell r="H443" t="str">
            <v>44300</v>
          </cell>
        </row>
        <row r="444">
          <cell r="A444" t="str">
            <v>44400</v>
          </cell>
          <cell r="B444" t="str">
            <v>Давлат корхона, ташкилот ва муассасаларига берилган узок муддатли кредитлар буйича фоизли даромадлар</v>
          </cell>
        </row>
        <row r="445">
          <cell r="A445" t="str">
            <v>44401</v>
          </cell>
          <cell r="B445" t="str">
            <v>Давлат корхона, ташкилот ва муассасаларига берилган узок муддатли кредитлар буйича фоизли даромадлар</v>
          </cell>
          <cell r="C445">
            <v>4025848434.1599998</v>
          </cell>
          <cell r="D445">
            <v>0</v>
          </cell>
          <cell r="E445">
            <v>0</v>
          </cell>
          <cell r="F445">
            <v>4025848434.1599998</v>
          </cell>
          <cell r="G445">
            <v>0</v>
          </cell>
          <cell r="H445" t="str">
            <v>44401</v>
          </cell>
        </row>
        <row r="446">
          <cell r="A446" t="str">
            <v>Итого</v>
          </cell>
          <cell r="B446" t="str">
            <v>44400</v>
          </cell>
          <cell r="C446">
            <v>4025848434.1599998</v>
          </cell>
          <cell r="D446">
            <v>0</v>
          </cell>
          <cell r="E446">
            <v>0</v>
          </cell>
          <cell r="F446">
            <v>4025848434.1599998</v>
          </cell>
          <cell r="G446">
            <v>0</v>
          </cell>
          <cell r="H446" t="str">
            <v>44400</v>
          </cell>
        </row>
        <row r="447">
          <cell r="A447" t="str">
            <v>44500</v>
          </cell>
          <cell r="B447" t="str">
            <v>Чет эл капитали иштирокидаги корхоналарга берилган узок муддатли кредитлар буйича фоизли даромадлар</v>
          </cell>
        </row>
        <row r="448">
          <cell r="A448" t="str">
            <v>44501</v>
          </cell>
          <cell r="B448" t="str">
            <v>Чет эл капитали иштирокидаги корхоналарга берилган узок муддатли кредитлар буйича фоизли даромадлар</v>
          </cell>
          <cell r="C448">
            <v>7462770605.3100004</v>
          </cell>
          <cell r="D448">
            <v>0</v>
          </cell>
          <cell r="E448">
            <v>0</v>
          </cell>
          <cell r="F448">
            <v>7462770605.3100004</v>
          </cell>
          <cell r="G448">
            <v>0</v>
          </cell>
          <cell r="H448" t="str">
            <v>44501</v>
          </cell>
        </row>
        <row r="449">
          <cell r="A449" t="str">
            <v>44505</v>
          </cell>
          <cell r="B449" t="str">
            <v>Чет эл капитали иштирокидаги корхоналарга берилган шартлари кайта куриб чикилган узок муддатли кредитлар буйич</v>
          </cell>
          <cell r="C449">
            <v>22502283.18</v>
          </cell>
          <cell r="D449">
            <v>0</v>
          </cell>
          <cell r="E449">
            <v>0</v>
          </cell>
          <cell r="F449">
            <v>22502283.18</v>
          </cell>
          <cell r="G449">
            <v>0</v>
          </cell>
          <cell r="H449" t="str">
            <v>44500</v>
          </cell>
          <cell r="I449">
            <v>22502.283179999999</v>
          </cell>
        </row>
        <row r="450">
          <cell r="A450" t="str">
            <v>Итого</v>
          </cell>
          <cell r="B450" t="str">
            <v>44500</v>
          </cell>
          <cell r="C450">
            <v>7485272888.4899998</v>
          </cell>
          <cell r="D450">
            <v>0</v>
          </cell>
          <cell r="E450">
            <v>0</v>
          </cell>
          <cell r="F450">
            <v>7485272888.4899998</v>
          </cell>
          <cell r="G450">
            <v>0</v>
          </cell>
          <cell r="H450" t="str">
            <v>44601</v>
          </cell>
        </row>
        <row r="451">
          <cell r="A451" t="str">
            <v>44600</v>
          </cell>
          <cell r="B451" t="str">
            <v>Хусусий корхоналар, хужалик ширкатлари ва жамиятларга берилган узок муддатли кредитлар буйича фоизли даромадла</v>
          </cell>
          <cell r="H451" t="str">
            <v>44605</v>
          </cell>
        </row>
        <row r="452">
          <cell r="A452" t="str">
            <v>44601</v>
          </cell>
          <cell r="B452" t="str">
            <v>Хусусий корхоналар, хужалик ширкатлари ва жамиятларга берилган узок муддатли кредитлар буйича фоизли даромадла</v>
          </cell>
          <cell r="C452">
            <v>118971756765.09</v>
          </cell>
          <cell r="D452">
            <v>0</v>
          </cell>
          <cell r="E452">
            <v>0</v>
          </cell>
          <cell r="F452">
            <v>118971756765.09</v>
          </cell>
          <cell r="G452">
            <v>0</v>
          </cell>
          <cell r="H452" t="str">
            <v>44600</v>
          </cell>
        </row>
        <row r="453">
          <cell r="A453" t="str">
            <v>44605</v>
          </cell>
          <cell r="B453" t="str">
            <v>Хусусий корхоналар, хужалик ширкатлари ва жамиятларга берилган узок муддатли, шартлари кайта куриб чикилган кр</v>
          </cell>
          <cell r="C453">
            <v>882464.63</v>
          </cell>
          <cell r="D453">
            <v>0</v>
          </cell>
          <cell r="E453">
            <v>0</v>
          </cell>
          <cell r="F453">
            <v>882464.63</v>
          </cell>
          <cell r="G453">
            <v>0</v>
          </cell>
          <cell r="H453" t="str">
            <v>44701</v>
          </cell>
        </row>
        <row r="454">
          <cell r="A454" t="str">
            <v>Итого</v>
          </cell>
          <cell r="B454" t="str">
            <v>44600</v>
          </cell>
          <cell r="C454">
            <v>118972639229.72</v>
          </cell>
          <cell r="D454">
            <v>0</v>
          </cell>
          <cell r="E454">
            <v>0</v>
          </cell>
          <cell r="F454">
            <v>118972639229.72</v>
          </cell>
          <cell r="G454">
            <v>0</v>
          </cell>
          <cell r="H454" t="str">
            <v>44700</v>
          </cell>
        </row>
        <row r="455">
          <cell r="A455" t="str">
            <v>44700</v>
          </cell>
          <cell r="B455" t="str">
            <v>Суд жараёнидаги кредитлар буйича фоизли даромадлар</v>
          </cell>
          <cell r="H455" t="str">
            <v>44894</v>
          </cell>
        </row>
        <row r="456">
          <cell r="A456" t="str">
            <v>44701</v>
          </cell>
          <cell r="B456" t="str">
            <v>Суд жараёнидаги кредитлар буйича фоизли даромадлар</v>
          </cell>
          <cell r="C456">
            <v>443420733.45999998</v>
          </cell>
          <cell r="D456">
            <v>0</v>
          </cell>
          <cell r="E456">
            <v>0</v>
          </cell>
          <cell r="F456">
            <v>443420733.45999998</v>
          </cell>
          <cell r="G456">
            <v>0</v>
          </cell>
          <cell r="H456" t="str">
            <v>44800</v>
          </cell>
        </row>
        <row r="457">
          <cell r="A457" t="str">
            <v>Итого</v>
          </cell>
          <cell r="B457" t="str">
            <v>44700</v>
          </cell>
          <cell r="C457">
            <v>443420733.45999998</v>
          </cell>
          <cell r="D457">
            <v>0</v>
          </cell>
          <cell r="E457">
            <v>0</v>
          </cell>
          <cell r="F457">
            <v>443420733.45999998</v>
          </cell>
          <cell r="G457">
            <v>0</v>
          </cell>
          <cell r="H457" t="str">
            <v>44901</v>
          </cell>
        </row>
        <row r="458">
          <cell r="A458" t="str">
            <v>44800</v>
          </cell>
          <cell r="B458" t="str">
            <v>Сундириш муддатигача сакланадиган карз кимматли когозларга килинган инвестициялар буйича фоизли даромадлар</v>
          </cell>
          <cell r="H458" t="str">
            <v>44905</v>
          </cell>
        </row>
        <row r="459">
          <cell r="A459" t="str">
            <v>44894</v>
          </cell>
          <cell r="B459" t="str">
            <v>Бошка карз кимматли когозларга килинган инвестициялар буйича фоизли даромадлар</v>
          </cell>
          <cell r="C459">
            <v>352964383.56</v>
          </cell>
          <cell r="D459">
            <v>0</v>
          </cell>
          <cell r="E459">
            <v>0</v>
          </cell>
          <cell r="F459">
            <v>352964383.56</v>
          </cell>
          <cell r="G459">
            <v>0</v>
          </cell>
          <cell r="H459" t="str">
            <v>44900</v>
          </cell>
        </row>
        <row r="460">
          <cell r="A460" t="str">
            <v>Итого</v>
          </cell>
          <cell r="B460" t="str">
            <v>44800</v>
          </cell>
          <cell r="C460">
            <v>352964383.56</v>
          </cell>
          <cell r="D460">
            <v>0</v>
          </cell>
          <cell r="E460">
            <v>0</v>
          </cell>
          <cell r="F460">
            <v>352964383.56</v>
          </cell>
          <cell r="G460">
            <v>0</v>
          </cell>
          <cell r="H460" t="str">
            <v>45105</v>
          </cell>
        </row>
        <row r="461">
          <cell r="A461" t="str">
            <v>44900</v>
          </cell>
          <cell r="B461" t="str">
            <v>Бошка фоизли даромадлар</v>
          </cell>
          <cell r="H461" t="str">
            <v>45107</v>
          </cell>
        </row>
        <row r="462">
          <cell r="A462" t="str">
            <v>44901</v>
          </cell>
          <cell r="B462" t="str">
            <v>Бошка фоизли даромадлар</v>
          </cell>
          <cell r="C462">
            <v>776552515.28999996</v>
          </cell>
          <cell r="D462">
            <v>0</v>
          </cell>
          <cell r="E462">
            <v>0</v>
          </cell>
          <cell r="F462">
            <v>776552515.28999996</v>
          </cell>
          <cell r="G462">
            <v>0</v>
          </cell>
          <cell r="H462" t="str">
            <v>45113</v>
          </cell>
        </row>
        <row r="463">
          <cell r="A463" t="str">
            <v>44905</v>
          </cell>
          <cell r="B463" t="str">
            <v>Бош банк/филиалга берилган маблаглар буйича фоизли даромадлар</v>
          </cell>
          <cell r="C463">
            <v>69695702249.699997</v>
          </cell>
          <cell r="D463">
            <v>0</v>
          </cell>
          <cell r="E463">
            <v>0</v>
          </cell>
          <cell r="F463">
            <v>69695702249.699997</v>
          </cell>
          <cell r="G463">
            <v>0</v>
          </cell>
          <cell r="H463" t="str">
            <v>45117</v>
          </cell>
        </row>
        <row r="464">
          <cell r="A464" t="str">
            <v>Итого</v>
          </cell>
          <cell r="B464" t="str">
            <v>44900</v>
          </cell>
          <cell r="C464">
            <v>70472254764.990005</v>
          </cell>
          <cell r="D464">
            <v>0</v>
          </cell>
          <cell r="E464">
            <v>0</v>
          </cell>
          <cell r="F464">
            <v>70472254764.990005</v>
          </cell>
          <cell r="G464">
            <v>0</v>
          </cell>
          <cell r="H464" t="str">
            <v>45121</v>
          </cell>
        </row>
        <row r="465">
          <cell r="A465" t="str">
            <v>45100</v>
          </cell>
          <cell r="B465" t="str">
            <v>Лизинг (молиявий ижара) буйича фоизли даромадлар</v>
          </cell>
          <cell r="H465" t="str">
            <v>45100</v>
          </cell>
        </row>
        <row r="466">
          <cell r="A466" t="str">
            <v>45105</v>
          </cell>
          <cell r="B466" t="str">
            <v>Якка тартибдаги тадбиркорларга берилган лизинг буйича фоизли даромадлар</v>
          </cell>
          <cell r="C466">
            <v>10079021.109999999</v>
          </cell>
          <cell r="D466">
            <v>0</v>
          </cell>
          <cell r="E466">
            <v>0</v>
          </cell>
          <cell r="F466">
            <v>10079021.109999999</v>
          </cell>
          <cell r="G466">
            <v>0</v>
          </cell>
          <cell r="H466" t="str">
            <v>45205</v>
          </cell>
        </row>
        <row r="467">
          <cell r="A467" t="str">
            <v>45107</v>
          </cell>
          <cell r="B467" t="str">
            <v>Давлат корхона, ташкилот ва мауссасаларига берилган лизинг буйича фоизли даромадлар</v>
          </cell>
          <cell r="C467">
            <v>7114</v>
          </cell>
          <cell r="D467">
            <v>0</v>
          </cell>
          <cell r="E467">
            <v>0</v>
          </cell>
          <cell r="F467">
            <v>7114</v>
          </cell>
          <cell r="G467">
            <v>0</v>
          </cell>
          <cell r="H467" t="str">
            <v>45217</v>
          </cell>
        </row>
        <row r="468">
          <cell r="A468" t="str">
            <v>45113</v>
          </cell>
          <cell r="B468" t="str">
            <v>Хусусий корхоналар, хужалик ширкатлари ва жамиятларга берилган лизинг буйича фоизли даромадлар</v>
          </cell>
          <cell r="C468">
            <v>385521121.85000002</v>
          </cell>
          <cell r="D468">
            <v>0</v>
          </cell>
          <cell r="E468">
            <v>0</v>
          </cell>
          <cell r="F468">
            <v>385521121.85000002</v>
          </cell>
          <cell r="G468">
            <v>0</v>
          </cell>
          <cell r="H468" t="str">
            <v>45221</v>
          </cell>
        </row>
        <row r="469">
          <cell r="A469" t="str">
            <v>45117</v>
          </cell>
          <cell r="B469" t="str">
            <v>Муддати утган лизинг буйича фоизли даромадлар</v>
          </cell>
          <cell r="C469">
            <v>232056.69</v>
          </cell>
          <cell r="D469">
            <v>0</v>
          </cell>
          <cell r="E469">
            <v>0</v>
          </cell>
          <cell r="F469">
            <v>232056.69</v>
          </cell>
          <cell r="G469">
            <v>0</v>
          </cell>
          <cell r="H469" t="str">
            <v>45225</v>
          </cell>
        </row>
        <row r="470">
          <cell r="A470" t="str">
            <v>45121</v>
          </cell>
          <cell r="B470" t="str">
            <v>Суд жараёнидаги лизинг буйича фоизли даромадлар</v>
          </cell>
          <cell r="C470">
            <v>1278236.24</v>
          </cell>
          <cell r="D470">
            <v>0</v>
          </cell>
          <cell r="E470">
            <v>0</v>
          </cell>
          <cell r="F470">
            <v>1278236.24</v>
          </cell>
          <cell r="G470">
            <v>0</v>
          </cell>
          <cell r="H470" t="str">
            <v>45233</v>
          </cell>
        </row>
        <row r="471">
          <cell r="A471" t="str">
            <v>Итого</v>
          </cell>
          <cell r="B471" t="str">
            <v>45100</v>
          </cell>
          <cell r="C471">
            <v>397117549.88999999</v>
          </cell>
          <cell r="D471">
            <v>0</v>
          </cell>
          <cell r="E471">
            <v>0</v>
          </cell>
          <cell r="F471">
            <v>397117549.88999999</v>
          </cell>
          <cell r="G471">
            <v>0</v>
          </cell>
          <cell r="H471" t="str">
            <v>45241</v>
          </cell>
        </row>
        <row r="472">
          <cell r="A472" t="str">
            <v>45200</v>
          </cell>
          <cell r="B472" t="str">
            <v>Фоизсиз даромадлар</v>
          </cell>
          <cell r="H472" t="str">
            <v>45249</v>
          </cell>
        </row>
        <row r="473">
          <cell r="A473" t="str">
            <v>45205</v>
          </cell>
          <cell r="B473" t="str">
            <v>Бошка банкларга курсатилган хизматлар ва воситачилик учун олинган даромадлар</v>
          </cell>
          <cell r="C473">
            <v>6419337.54</v>
          </cell>
          <cell r="D473">
            <v>0</v>
          </cell>
          <cell r="E473">
            <v>0</v>
          </cell>
          <cell r="F473">
            <v>6419337.54</v>
          </cell>
          <cell r="G473">
            <v>0</v>
          </cell>
          <cell r="H473" t="str">
            <v>45253</v>
          </cell>
        </row>
        <row r="474">
          <cell r="A474" t="str">
            <v>45217</v>
          </cell>
          <cell r="B474" t="str">
            <v>Сотиб олинган дебиторлик карзлари буйича даромадлар - Факторинг</v>
          </cell>
          <cell r="C474">
            <v>1017720000</v>
          </cell>
          <cell r="D474">
            <v>0</v>
          </cell>
          <cell r="E474">
            <v>0</v>
          </cell>
          <cell r="F474">
            <v>1017720000</v>
          </cell>
          <cell r="G474">
            <v>0</v>
          </cell>
          <cell r="H474" t="str">
            <v>45257</v>
          </cell>
        </row>
        <row r="475">
          <cell r="A475" t="str">
            <v>45221</v>
          </cell>
          <cell r="B475" t="str">
            <v>Банкнинг траст операциялари буйича даромадлари</v>
          </cell>
          <cell r="C475">
            <v>6500</v>
          </cell>
          <cell r="D475">
            <v>0</v>
          </cell>
          <cell r="E475">
            <v>0</v>
          </cell>
          <cell r="F475">
            <v>6500</v>
          </cell>
          <cell r="G475">
            <v>0</v>
          </cell>
          <cell r="H475" t="str">
            <v>45261</v>
          </cell>
        </row>
        <row r="476">
          <cell r="A476" t="str">
            <v>45225</v>
          </cell>
          <cell r="B476" t="str">
            <v>Аккредитивлар ва акцептлар буйича воситачилик ва бошка хизматлар учун олинган даромадлар</v>
          </cell>
          <cell r="C476">
            <v>34301327</v>
          </cell>
          <cell r="D476">
            <v>0</v>
          </cell>
          <cell r="E476">
            <v>0</v>
          </cell>
          <cell r="F476">
            <v>34301327</v>
          </cell>
          <cell r="G476">
            <v>0</v>
          </cell>
          <cell r="H476" t="str">
            <v>45294</v>
          </cell>
        </row>
        <row r="477">
          <cell r="A477" t="str">
            <v>45233</v>
          </cell>
          <cell r="B477" t="str">
            <v>Кредитлар буйича воситачилик даромадлари</v>
          </cell>
          <cell r="C477">
            <v>39779025.390000001</v>
          </cell>
          <cell r="D477">
            <v>0</v>
          </cell>
          <cell r="E477">
            <v>0</v>
          </cell>
          <cell r="F477">
            <v>39779025.390000001</v>
          </cell>
          <cell r="G477">
            <v>0</v>
          </cell>
          <cell r="H477" t="str">
            <v>45200</v>
          </cell>
        </row>
        <row r="478">
          <cell r="A478" t="str">
            <v>45241</v>
          </cell>
          <cell r="B478" t="str">
            <v>Менежмент хизмати буйича даромадлар</v>
          </cell>
          <cell r="C478">
            <v>11525365</v>
          </cell>
          <cell r="D478">
            <v>0</v>
          </cell>
          <cell r="E478">
            <v>0</v>
          </cell>
          <cell r="F478">
            <v>11525365</v>
          </cell>
          <cell r="G478">
            <v>0</v>
          </cell>
          <cell r="H478" t="str">
            <v>45401</v>
          </cell>
        </row>
        <row r="479">
          <cell r="A479" t="str">
            <v>45249</v>
          </cell>
          <cell r="B479" t="str">
            <v>Махаллий туловлар буйича воситачилик хизматлари учун олинган даромадлар</v>
          </cell>
          <cell r="C479">
            <v>11832862805.77</v>
          </cell>
          <cell r="D479">
            <v>0</v>
          </cell>
          <cell r="E479">
            <v>0</v>
          </cell>
          <cell r="F479">
            <v>11832862805.77</v>
          </cell>
          <cell r="G479">
            <v>0</v>
          </cell>
          <cell r="H479" t="str">
            <v>45400</v>
          </cell>
        </row>
        <row r="480">
          <cell r="A480" t="str">
            <v>45253</v>
          </cell>
          <cell r="B480" t="str">
            <v>Жорижий туловлар буйича воситачилик хизматлари учун олинган даромадлар</v>
          </cell>
          <cell r="C480">
            <v>2922506481.1399999</v>
          </cell>
          <cell r="D480">
            <v>0</v>
          </cell>
          <cell r="E480">
            <v>0</v>
          </cell>
          <cell r="F480">
            <v>2922506481.1399999</v>
          </cell>
          <cell r="G480">
            <v>0</v>
          </cell>
          <cell r="H480" t="str">
            <v>45701</v>
          </cell>
        </row>
        <row r="481">
          <cell r="A481" t="str">
            <v>45257</v>
          </cell>
          <cell r="B481" t="str">
            <v>Мижозларнинг инкассо операциялари буйича курсатилган хизматлар учун олинган даромадлар</v>
          </cell>
          <cell r="C481">
            <v>38042.78</v>
          </cell>
          <cell r="D481">
            <v>0</v>
          </cell>
          <cell r="E481">
            <v>0</v>
          </cell>
          <cell r="F481">
            <v>38042.78</v>
          </cell>
          <cell r="G481">
            <v>0</v>
          </cell>
          <cell r="H481" t="str">
            <v>45700</v>
          </cell>
        </row>
        <row r="482">
          <cell r="A482" t="str">
            <v>45261</v>
          </cell>
          <cell r="B482" t="str">
            <v>Кафолатлар ва кафилликлар буйича операцияларни амалга оширишда курсатилган хизматлар учун олинган даромадлар</v>
          </cell>
          <cell r="C482">
            <v>96240888.469999999</v>
          </cell>
          <cell r="D482">
            <v>0</v>
          </cell>
          <cell r="E482">
            <v>0</v>
          </cell>
          <cell r="F482">
            <v>96240888.469999999</v>
          </cell>
          <cell r="G482">
            <v>0</v>
          </cell>
          <cell r="H482" t="str">
            <v>45901</v>
          </cell>
        </row>
        <row r="483">
          <cell r="A483" t="str">
            <v>45294</v>
          </cell>
          <cell r="B483" t="str">
            <v>Бошка курсатилган хизматлар ва воситачилик учун олинган даромадлар</v>
          </cell>
          <cell r="C483">
            <v>6375708665.6199999</v>
          </cell>
          <cell r="D483">
            <v>0</v>
          </cell>
          <cell r="E483">
            <v>0</v>
          </cell>
          <cell r="F483">
            <v>6375708665.6199999</v>
          </cell>
          <cell r="G483">
            <v>0</v>
          </cell>
          <cell r="H483" t="str">
            <v>45909</v>
          </cell>
        </row>
        <row r="484">
          <cell r="A484" t="str">
            <v>Итого</v>
          </cell>
          <cell r="B484" t="str">
            <v>45200</v>
          </cell>
          <cell r="C484">
            <v>22337108438.709999</v>
          </cell>
          <cell r="D484">
            <v>0</v>
          </cell>
          <cell r="E484">
            <v>0</v>
          </cell>
          <cell r="F484">
            <v>22337108438.709999</v>
          </cell>
          <cell r="G484">
            <v>0</v>
          </cell>
          <cell r="H484" t="str">
            <v>45921</v>
          </cell>
        </row>
        <row r="485">
          <cell r="A485" t="str">
            <v>45400</v>
          </cell>
          <cell r="B485" t="str">
            <v>Хорижий валюталардаги фойда</v>
          </cell>
          <cell r="H485" t="str">
            <v>45994</v>
          </cell>
        </row>
        <row r="486">
          <cell r="A486" t="str">
            <v>45401</v>
          </cell>
          <cell r="B486" t="str">
            <v>"Спот" битими буйича хорижий валюталардаги фойда</v>
          </cell>
          <cell r="C486">
            <v>24437280051.799999</v>
          </cell>
          <cell r="D486">
            <v>0</v>
          </cell>
          <cell r="E486">
            <v>0</v>
          </cell>
          <cell r="F486">
            <v>24437280051.799999</v>
          </cell>
          <cell r="G486">
            <v>0</v>
          </cell>
          <cell r="H486" t="str">
            <v>45900</v>
          </cell>
        </row>
        <row r="487">
          <cell r="A487" t="str">
            <v>Итого</v>
          </cell>
          <cell r="B487" t="str">
            <v>45400</v>
          </cell>
          <cell r="C487">
            <v>24437280051.799999</v>
          </cell>
          <cell r="D487">
            <v>0</v>
          </cell>
          <cell r="E487">
            <v>0</v>
          </cell>
          <cell r="F487">
            <v>24437280051.799999</v>
          </cell>
          <cell r="G487">
            <v>0</v>
          </cell>
          <cell r="H487" t="str">
            <v>40000</v>
          </cell>
        </row>
        <row r="488">
          <cell r="A488" t="str">
            <v>45700</v>
          </cell>
          <cell r="B488" t="str">
            <v>Карам хуж.жамиятларига,кушма корхоналарга ва шуъба хужалик жам.килинган инвестициялардан олинган фойда ва диви</v>
          </cell>
          <cell r="H488" t="str">
            <v>50103</v>
          </cell>
        </row>
        <row r="489">
          <cell r="A489" t="str">
            <v>45701</v>
          </cell>
          <cell r="B489" t="str">
            <v>Карам хужалик жамиятларига килинган инвестициялардан олинган фойда - Молиявий институтлар</v>
          </cell>
          <cell r="C489">
            <v>37000000</v>
          </cell>
          <cell r="D489">
            <v>0</v>
          </cell>
          <cell r="E489">
            <v>0</v>
          </cell>
          <cell r="F489">
            <v>37000000</v>
          </cell>
          <cell r="G489">
            <v>0</v>
          </cell>
          <cell r="H489" t="str">
            <v>50106</v>
          </cell>
        </row>
        <row r="490">
          <cell r="A490" t="str">
            <v>Итого</v>
          </cell>
          <cell r="B490" t="str">
            <v>45700</v>
          </cell>
          <cell r="C490">
            <v>37000000</v>
          </cell>
          <cell r="D490">
            <v>0</v>
          </cell>
          <cell r="E490">
            <v>0</v>
          </cell>
          <cell r="F490">
            <v>37000000</v>
          </cell>
          <cell r="G490">
            <v>0</v>
          </cell>
          <cell r="H490" t="str">
            <v>50116</v>
          </cell>
        </row>
        <row r="491">
          <cell r="A491" t="str">
            <v>45900</v>
          </cell>
          <cell r="B491" t="str">
            <v>Бошка фоизсиз даромадлар</v>
          </cell>
          <cell r="H491" t="str">
            <v>50100</v>
          </cell>
        </row>
        <row r="492">
          <cell r="A492" t="str">
            <v>45901</v>
          </cell>
          <cell r="B492" t="str">
            <v>Банк асосий воситаларининг ижарасидан олинган даромадлар</v>
          </cell>
          <cell r="C492">
            <v>1178486217.9100001</v>
          </cell>
          <cell r="D492">
            <v>0</v>
          </cell>
          <cell r="E492">
            <v>0</v>
          </cell>
          <cell r="F492">
            <v>1178486217.9100001</v>
          </cell>
          <cell r="G492">
            <v>0</v>
          </cell>
          <cell r="H492" t="str">
            <v>50603</v>
          </cell>
        </row>
        <row r="493">
          <cell r="A493" t="str">
            <v>45909</v>
          </cell>
          <cell r="B493" t="str">
            <v>Банк асосий воситаларини сотиш ёки диспозиция килишдан олинган фойда</v>
          </cell>
          <cell r="C493">
            <v>12462220.199999999</v>
          </cell>
          <cell r="D493">
            <v>0</v>
          </cell>
          <cell r="E493">
            <v>0</v>
          </cell>
          <cell r="F493">
            <v>12462220.199999999</v>
          </cell>
          <cell r="G493">
            <v>0</v>
          </cell>
          <cell r="H493" t="str">
            <v>50606</v>
          </cell>
        </row>
        <row r="494">
          <cell r="A494" t="str">
            <v>45921</v>
          </cell>
          <cell r="B494" t="str">
            <v>Хисобдан чикарилган маблагларнинг кайтарилиши</v>
          </cell>
          <cell r="C494">
            <v>48781159084.650002</v>
          </cell>
          <cell r="D494">
            <v>0</v>
          </cell>
          <cell r="E494">
            <v>0</v>
          </cell>
          <cell r="F494">
            <v>48781159084.650002</v>
          </cell>
          <cell r="G494">
            <v>0</v>
          </cell>
          <cell r="H494" t="str">
            <v>50616</v>
          </cell>
        </row>
        <row r="495">
          <cell r="A495" t="str">
            <v>45994</v>
          </cell>
          <cell r="B495" t="str">
            <v>Бошка фоизсиз даромадлар</v>
          </cell>
          <cell r="C495">
            <v>1413482574.53</v>
          </cell>
          <cell r="D495">
            <v>0</v>
          </cell>
          <cell r="E495">
            <v>0</v>
          </cell>
          <cell r="F495">
            <v>1413482574.53</v>
          </cell>
          <cell r="G495">
            <v>0</v>
          </cell>
          <cell r="H495" t="str">
            <v>50600</v>
          </cell>
        </row>
        <row r="496">
          <cell r="A496" t="str">
            <v>Итого</v>
          </cell>
          <cell r="B496" t="str">
            <v>45900</v>
          </cell>
          <cell r="C496">
            <v>51385590097.290001</v>
          </cell>
          <cell r="D496">
            <v>0</v>
          </cell>
          <cell r="E496">
            <v>0</v>
          </cell>
          <cell r="F496">
            <v>51385590097.290001</v>
          </cell>
          <cell r="G496">
            <v>0</v>
          </cell>
          <cell r="H496" t="str">
            <v>51101</v>
          </cell>
        </row>
        <row r="497">
          <cell r="A497" t="str">
            <v>Итого</v>
          </cell>
          <cell r="B497" t="str">
            <v>ДАРОМАДЛАР</v>
          </cell>
          <cell r="C497">
            <v>429566933160.85999</v>
          </cell>
          <cell r="D497">
            <v>0</v>
          </cell>
          <cell r="E497">
            <v>0</v>
          </cell>
          <cell r="F497">
            <v>429566933160.85999</v>
          </cell>
          <cell r="G497">
            <v>0</v>
          </cell>
          <cell r="H497" t="str">
            <v>51103</v>
          </cell>
        </row>
        <row r="498">
          <cell r="H498" t="str">
            <v>51104</v>
          </cell>
        </row>
        <row r="499">
          <cell r="A499" t="str">
            <v>5 ХАРАЖАТЛАР</v>
          </cell>
          <cell r="H499" t="str">
            <v>51105</v>
          </cell>
        </row>
        <row r="500">
          <cell r="A500" t="str">
            <v>50100</v>
          </cell>
          <cell r="B500" t="str">
            <v>Талаб килиб олингунча сакланадиган депозитлар буйича фоизли харажатлар</v>
          </cell>
          <cell r="H500" t="str">
            <v>51106</v>
          </cell>
        </row>
        <row r="501">
          <cell r="A501" t="str">
            <v>50103</v>
          </cell>
          <cell r="B501" t="str">
            <v>Республика карамогидаги бюджет ташкилотларининг бюджетдан ташкари маблаглари асосидаги талаб килиб олингунча..</v>
          </cell>
          <cell r="C501">
            <v>-84888651.969999999</v>
          </cell>
          <cell r="D501">
            <v>0</v>
          </cell>
          <cell r="E501">
            <v>0</v>
          </cell>
          <cell r="F501">
            <v>-84888651.969999999</v>
          </cell>
          <cell r="G501">
            <v>0</v>
          </cell>
          <cell r="H501" t="str">
            <v>51108</v>
          </cell>
        </row>
        <row r="502">
          <cell r="A502" t="str">
            <v>50106</v>
          </cell>
          <cell r="B502" t="str">
            <v>Жисмоний шахсларнинг талаб килиб олингунча сакланадиган депозитлари буйича фоизли харажатлар</v>
          </cell>
          <cell r="C502">
            <v>-18181251.57</v>
          </cell>
          <cell r="D502">
            <v>0</v>
          </cell>
          <cell r="E502">
            <v>0</v>
          </cell>
          <cell r="F502">
            <v>-18181251.57</v>
          </cell>
          <cell r="G502">
            <v>0</v>
          </cell>
          <cell r="H502" t="str">
            <v>51111</v>
          </cell>
        </row>
        <row r="503">
          <cell r="A503" t="str">
            <v>50116</v>
          </cell>
          <cell r="B503" t="str">
            <v>Нодавлат нотижорат ташкилотларининг талаб килиб олингунча сакланадиган депозитлари буйича фоизли харажатлар</v>
          </cell>
          <cell r="C503">
            <v>-1870829038.8099999</v>
          </cell>
          <cell r="D503">
            <v>0</v>
          </cell>
          <cell r="E503">
            <v>0</v>
          </cell>
          <cell r="F503">
            <v>-1870829038.8099999</v>
          </cell>
          <cell r="G503">
            <v>0</v>
          </cell>
          <cell r="H503" t="str">
            <v>51114</v>
          </cell>
        </row>
        <row r="504">
          <cell r="A504" t="str">
            <v>Итого</v>
          </cell>
          <cell r="B504" t="str">
            <v>50100</v>
          </cell>
          <cell r="C504">
            <v>-1973898942.3499999</v>
          </cell>
          <cell r="D504">
            <v>0</v>
          </cell>
          <cell r="E504">
            <v>0</v>
          </cell>
          <cell r="F504">
            <v>-1973898942.3499999</v>
          </cell>
          <cell r="G504">
            <v>0</v>
          </cell>
          <cell r="H504" t="str">
            <v>51116</v>
          </cell>
        </row>
        <row r="505">
          <cell r="A505" t="str">
            <v>50600</v>
          </cell>
          <cell r="B505" t="str">
            <v>Жамгарма депозитлар буйича фоизли харажатлар</v>
          </cell>
          <cell r="H505" t="str">
            <v>51121</v>
          </cell>
        </row>
        <row r="506">
          <cell r="A506" t="str">
            <v>50603</v>
          </cell>
          <cell r="B506" t="str">
            <v>Республика карамогидаги бюджет ташкилотларининг бюджетдан ташкари маблаглари асосидаги жамгарма депозитлари бу</v>
          </cell>
          <cell r="C506">
            <v>-1516217379.54</v>
          </cell>
          <cell r="D506">
            <v>0</v>
          </cell>
          <cell r="E506">
            <v>0</v>
          </cell>
          <cell r="F506">
            <v>-1516217379.54</v>
          </cell>
          <cell r="G506">
            <v>0</v>
          </cell>
          <cell r="H506" t="str">
            <v>51100</v>
          </cell>
        </row>
        <row r="507">
          <cell r="A507" t="str">
            <v>50606</v>
          </cell>
          <cell r="B507" t="str">
            <v>Жисмоний шахсларнинг жамгарма депозитлари буйича фоизли харажатлар</v>
          </cell>
          <cell r="C507">
            <v>-3308847657.02</v>
          </cell>
          <cell r="D507">
            <v>0</v>
          </cell>
          <cell r="E507">
            <v>0</v>
          </cell>
          <cell r="F507">
            <v>-3308847657.02</v>
          </cell>
          <cell r="G507">
            <v>0</v>
          </cell>
          <cell r="H507" t="str">
            <v>52111</v>
          </cell>
        </row>
        <row r="508">
          <cell r="A508" t="str">
            <v>50616</v>
          </cell>
          <cell r="B508" t="str">
            <v>Нодавлат нотижорат ташкилотларининг жамгарма депозитлари буйича фоизли харажатлар</v>
          </cell>
          <cell r="C508">
            <v>-701917.81</v>
          </cell>
          <cell r="D508">
            <v>0</v>
          </cell>
          <cell r="E508">
            <v>0</v>
          </cell>
          <cell r="F508">
            <v>-701917.81</v>
          </cell>
          <cell r="G508">
            <v>0</v>
          </cell>
          <cell r="H508" t="str">
            <v>52100</v>
          </cell>
        </row>
        <row r="509">
          <cell r="A509" t="str">
            <v>Итого</v>
          </cell>
          <cell r="B509" t="str">
            <v>50600</v>
          </cell>
          <cell r="C509">
            <v>-4825766954.3699999</v>
          </cell>
          <cell r="D509">
            <v>0</v>
          </cell>
          <cell r="E509">
            <v>0</v>
          </cell>
          <cell r="F509">
            <v>-4825766954.3699999</v>
          </cell>
          <cell r="G509">
            <v>0</v>
          </cell>
          <cell r="H509" t="str">
            <v>53101</v>
          </cell>
        </row>
        <row r="510">
          <cell r="A510" t="str">
            <v>51100</v>
          </cell>
          <cell r="B510" t="str">
            <v>Муддатли депозитлар буйича фоизли харажатлар</v>
          </cell>
          <cell r="H510" t="str">
            <v>53106</v>
          </cell>
        </row>
        <row r="511">
          <cell r="A511" t="str">
            <v>51101</v>
          </cell>
          <cell r="B511" t="str">
            <v>Хукуматнинг бюджетдан ташкари маблаглари асосидаги муддатли депозитлари буйича фоизли харажатлар</v>
          </cell>
          <cell r="C511">
            <v>-3486795754.9200001</v>
          </cell>
          <cell r="D511">
            <v>0</v>
          </cell>
          <cell r="E511">
            <v>0</v>
          </cell>
          <cell r="F511">
            <v>-3486795754.9200001</v>
          </cell>
          <cell r="G511">
            <v>0</v>
          </cell>
          <cell r="H511" t="str">
            <v>53195</v>
          </cell>
        </row>
        <row r="512">
          <cell r="A512" t="str">
            <v>51103</v>
          </cell>
          <cell r="B512" t="str">
            <v>Республика карамогидаги бюджет ташкилотларининг бюджетдан ташкари маблаглари асосидаги муддатли депозитлари бу</v>
          </cell>
          <cell r="C512">
            <v>-6336731661.3800001</v>
          </cell>
          <cell r="D512">
            <v>0</v>
          </cell>
          <cell r="E512">
            <v>0</v>
          </cell>
          <cell r="F512">
            <v>-6336731661.3800001</v>
          </cell>
          <cell r="G512">
            <v>0</v>
          </cell>
          <cell r="H512" t="str">
            <v>53100</v>
          </cell>
        </row>
        <row r="513">
          <cell r="A513" t="str">
            <v>51104</v>
          </cell>
          <cell r="B513" t="str">
            <v>Махаллий бюджет карамогидаги бюджет ташкилотларининг бюджетдан ташкари маблаглари асосидаги муддатли депозитла</v>
          </cell>
          <cell r="C513">
            <v>-382455805.76999998</v>
          </cell>
          <cell r="D513">
            <v>0</v>
          </cell>
          <cell r="E513">
            <v>0</v>
          </cell>
          <cell r="F513">
            <v>-382455805.76999998</v>
          </cell>
          <cell r="G513">
            <v>0</v>
          </cell>
          <cell r="H513" t="str">
            <v>54106</v>
          </cell>
        </row>
        <row r="514">
          <cell r="A514" t="str">
            <v>51105</v>
          </cell>
          <cell r="B514" t="str">
            <v>Бюджетдан ташкари фондларнинг муддатли депозитлари буйича фоизли харажатлар</v>
          </cell>
          <cell r="C514">
            <v>-4554472266.2600002</v>
          </cell>
          <cell r="D514">
            <v>0</v>
          </cell>
          <cell r="E514">
            <v>0</v>
          </cell>
          <cell r="F514">
            <v>-4554472266.2600002</v>
          </cell>
          <cell r="G514">
            <v>0</v>
          </cell>
          <cell r="H514" t="str">
            <v>54111</v>
          </cell>
        </row>
        <row r="515">
          <cell r="A515" t="str">
            <v>51106</v>
          </cell>
          <cell r="B515" t="str">
            <v>Жисмоний шахсларнинг муддатли депозитлари буйича фоизли харажатлар</v>
          </cell>
          <cell r="C515">
            <v>-13653004491.92</v>
          </cell>
          <cell r="D515">
            <v>0</v>
          </cell>
          <cell r="E515">
            <v>0</v>
          </cell>
          <cell r="F515">
            <v>-13653004491.92</v>
          </cell>
          <cell r="G515">
            <v>0</v>
          </cell>
          <cell r="H515" t="str">
            <v>54125</v>
          </cell>
        </row>
        <row r="516">
          <cell r="A516" t="str">
            <v>51108</v>
          </cell>
          <cell r="B516" t="str">
            <v>Хусусий корхоналар, хужалик ширкатлари ва жамиятларнинг муддатли депозитлари буйича фоизли харажатлар</v>
          </cell>
          <cell r="C516">
            <v>-2025386490.1199999</v>
          </cell>
          <cell r="D516">
            <v>0</v>
          </cell>
          <cell r="E516">
            <v>0</v>
          </cell>
          <cell r="F516">
            <v>-2025386490.1199999</v>
          </cell>
          <cell r="G516">
            <v>0</v>
          </cell>
          <cell r="H516" t="str">
            <v>54128</v>
          </cell>
        </row>
        <row r="517">
          <cell r="A517" t="str">
            <v>51111</v>
          </cell>
          <cell r="B517" t="str">
            <v>Давлат корхона, ташкилот ва муассасаларининг муддатли депозитлари буйича фоизли харажатлар</v>
          </cell>
          <cell r="C517">
            <v>-9075355471.3700008</v>
          </cell>
          <cell r="D517">
            <v>0</v>
          </cell>
          <cell r="E517">
            <v>0</v>
          </cell>
          <cell r="F517">
            <v>-9075355471.3700008</v>
          </cell>
          <cell r="G517">
            <v>0</v>
          </cell>
          <cell r="H517" t="str">
            <v>54195</v>
          </cell>
        </row>
        <row r="518">
          <cell r="A518" t="str">
            <v>51114</v>
          </cell>
          <cell r="B518" t="str">
            <v>Чет эл капитали иштирокидаги корхоналарнинг муддатли депозитлари буйича фоизли харажатлар</v>
          </cell>
          <cell r="C518">
            <v>-182268493.13999999</v>
          </cell>
          <cell r="D518">
            <v>0</v>
          </cell>
          <cell r="E518">
            <v>0</v>
          </cell>
          <cell r="F518">
            <v>-182268493.13999999</v>
          </cell>
          <cell r="G518">
            <v>0</v>
          </cell>
          <cell r="H518" t="str">
            <v>54100</v>
          </cell>
        </row>
        <row r="519">
          <cell r="A519" t="str">
            <v>51116</v>
          </cell>
          <cell r="B519" t="str">
            <v>Нодавлат нотижорат ташкилотларининг муддатли депозитлари буйича фоизли харажатлар</v>
          </cell>
          <cell r="C519">
            <v>-659079452.08000004</v>
          </cell>
          <cell r="D519">
            <v>0</v>
          </cell>
          <cell r="E519">
            <v>0</v>
          </cell>
          <cell r="F519">
            <v>-659079452.08000004</v>
          </cell>
          <cell r="G519">
            <v>0</v>
          </cell>
          <cell r="H519" t="str">
            <v>54206</v>
          </cell>
        </row>
        <row r="520">
          <cell r="A520" t="str">
            <v>51121</v>
          </cell>
          <cell r="B520" t="str">
            <v>Банк булмаган молиявий муассасаларнинг муддатли депозитлари буйича фоизли харажатлар</v>
          </cell>
          <cell r="C520">
            <v>-1558390052.9200001</v>
          </cell>
          <cell r="D520">
            <v>0</v>
          </cell>
          <cell r="E520">
            <v>0</v>
          </cell>
          <cell r="F520">
            <v>-1558390052.9200001</v>
          </cell>
          <cell r="G520">
            <v>0</v>
          </cell>
          <cell r="H520" t="str">
            <v>54200</v>
          </cell>
        </row>
        <row r="521">
          <cell r="A521" t="str">
            <v>Итого</v>
          </cell>
          <cell r="B521" t="str">
            <v>51100</v>
          </cell>
          <cell r="C521">
            <v>-41913939939.879997</v>
          </cell>
          <cell r="D521">
            <v>0</v>
          </cell>
          <cell r="E521">
            <v>0</v>
          </cell>
          <cell r="F521">
            <v>-41913939939.879997</v>
          </cell>
          <cell r="G521">
            <v>0</v>
          </cell>
          <cell r="H521" t="str">
            <v>54302</v>
          </cell>
        </row>
        <row r="522">
          <cell r="A522" t="str">
            <v>52100</v>
          </cell>
          <cell r="B522" t="str">
            <v>Бошка банкларнинг хисобвараклари буйича фоизли харажатлар</v>
          </cell>
          <cell r="H522" t="str">
            <v>54300</v>
          </cell>
        </row>
        <row r="523">
          <cell r="A523" t="str">
            <v>52111</v>
          </cell>
          <cell r="B523" t="str">
            <v>Бошка банкларнинг депозитлари буйича фоизли харажатлар</v>
          </cell>
          <cell r="C523">
            <v>-29844643547.68</v>
          </cell>
          <cell r="D523">
            <v>0</v>
          </cell>
          <cell r="E523">
            <v>0</v>
          </cell>
          <cell r="F523">
            <v>-29844643547.68</v>
          </cell>
          <cell r="G523">
            <v>0</v>
          </cell>
          <cell r="H523" t="str">
            <v>54902</v>
          </cell>
        </row>
        <row r="524">
          <cell r="A524" t="str">
            <v>Итого</v>
          </cell>
          <cell r="B524" t="str">
            <v>52100</v>
          </cell>
          <cell r="C524">
            <v>-29844643547.68</v>
          </cell>
          <cell r="D524">
            <v>0</v>
          </cell>
          <cell r="E524">
            <v>0</v>
          </cell>
          <cell r="F524">
            <v>-29844643547.68</v>
          </cell>
          <cell r="G524">
            <v>0</v>
          </cell>
          <cell r="H524" t="str">
            <v>54904</v>
          </cell>
        </row>
        <row r="525">
          <cell r="A525" t="str">
            <v>53100</v>
          </cell>
          <cell r="B525" t="str">
            <v>Киска муддатли кредиталар буйича фоизли харажатлар</v>
          </cell>
          <cell r="H525" t="str">
            <v>54900</v>
          </cell>
        </row>
        <row r="526">
          <cell r="A526" t="str">
            <v>53101</v>
          </cell>
          <cell r="B526" t="str">
            <v>УзРМБидан олинган киска муддатли кредитлар буйича фоизли харажатлар</v>
          </cell>
          <cell r="C526">
            <v>-41591263.57</v>
          </cell>
          <cell r="D526">
            <v>0</v>
          </cell>
          <cell r="E526">
            <v>0</v>
          </cell>
          <cell r="F526">
            <v>-41591263.57</v>
          </cell>
          <cell r="G526">
            <v>0</v>
          </cell>
          <cell r="H526" t="str">
            <v>55106</v>
          </cell>
        </row>
        <row r="527">
          <cell r="A527" t="str">
            <v>53106</v>
          </cell>
          <cell r="B527" t="str">
            <v>Бошка банклардан олинган киска муддатли кредитлар буйича фоизли харажатлар</v>
          </cell>
          <cell r="C527">
            <v>-262719849.03</v>
          </cell>
          <cell r="D527">
            <v>0</v>
          </cell>
          <cell r="E527">
            <v>0</v>
          </cell>
          <cell r="F527">
            <v>-262719849.03</v>
          </cell>
          <cell r="G527">
            <v>0</v>
          </cell>
          <cell r="H527" t="str">
            <v>55110</v>
          </cell>
        </row>
        <row r="528">
          <cell r="A528" t="str">
            <v>53195</v>
          </cell>
          <cell r="B528" t="str">
            <v>Бошка кредиторлардан олинган киска муддатли кредитлар буйича фоизли харажатлар</v>
          </cell>
          <cell r="C528">
            <v>-17761371179.689999</v>
          </cell>
          <cell r="D528">
            <v>0</v>
          </cell>
          <cell r="E528">
            <v>0</v>
          </cell>
          <cell r="F528">
            <v>-17761371179.689999</v>
          </cell>
          <cell r="G528">
            <v>0</v>
          </cell>
          <cell r="H528" t="str">
            <v>55142</v>
          </cell>
        </row>
        <row r="529">
          <cell r="A529" t="str">
            <v>Итого</v>
          </cell>
          <cell r="B529" t="str">
            <v>53100</v>
          </cell>
          <cell r="C529">
            <v>-18065682292.290001</v>
          </cell>
          <cell r="D529">
            <v>0</v>
          </cell>
          <cell r="E529">
            <v>0</v>
          </cell>
          <cell r="F529">
            <v>-18065682292.290001</v>
          </cell>
          <cell r="G529">
            <v>0</v>
          </cell>
          <cell r="H529" t="str">
            <v>55154</v>
          </cell>
        </row>
        <row r="530">
          <cell r="A530" t="str">
            <v>54100</v>
          </cell>
          <cell r="B530" t="str">
            <v>Узок муддатли кредитлар буйича фоизли харажатлар</v>
          </cell>
          <cell r="H530" t="str">
            <v>55195</v>
          </cell>
        </row>
        <row r="531">
          <cell r="A531" t="str">
            <v>54106</v>
          </cell>
          <cell r="B531" t="str">
            <v>Бошка банклардан олинган узок муддатли кредитлар буйича фоизли харажатлар</v>
          </cell>
          <cell r="C531">
            <v>-7662624179.8299999</v>
          </cell>
          <cell r="D531">
            <v>0</v>
          </cell>
          <cell r="E531">
            <v>0</v>
          </cell>
          <cell r="F531">
            <v>-7662624179.8299999</v>
          </cell>
          <cell r="G531">
            <v>0</v>
          </cell>
          <cell r="H531" t="str">
            <v>55100</v>
          </cell>
        </row>
        <row r="532">
          <cell r="A532" t="str">
            <v>54111</v>
          </cell>
          <cell r="B532" t="str">
            <v>Хукуматдан олинган узок муддатли кредитлар буйича фоизли харажатлар</v>
          </cell>
          <cell r="C532">
            <v>-209589041.09999999</v>
          </cell>
          <cell r="D532">
            <v>0</v>
          </cell>
          <cell r="E532">
            <v>0</v>
          </cell>
          <cell r="F532">
            <v>-209589041.09999999</v>
          </cell>
          <cell r="G532">
            <v>0</v>
          </cell>
          <cell r="H532" t="str">
            <v>55302</v>
          </cell>
        </row>
        <row r="533">
          <cell r="A533" t="str">
            <v>54125</v>
          </cell>
          <cell r="B533" t="str">
            <v>Бюджетдан ташкари фондлардан олинган узок муддатли кредитлар буйича фоизли харажатлар</v>
          </cell>
          <cell r="C533">
            <v>-2176899989.77</v>
          </cell>
          <cell r="D533">
            <v>0</v>
          </cell>
          <cell r="E533">
            <v>0</v>
          </cell>
          <cell r="F533">
            <v>-2176899989.77</v>
          </cell>
          <cell r="G533">
            <v>0</v>
          </cell>
          <cell r="H533" t="str">
            <v>55306</v>
          </cell>
        </row>
        <row r="534">
          <cell r="A534" t="str">
            <v>54128</v>
          </cell>
          <cell r="B534" t="str">
            <v>Банк булмаган молиявий муассасалардан олинган узок муддатли кредитлар буйича фоизли харажатлар</v>
          </cell>
          <cell r="C534">
            <v>-10558504452.280001</v>
          </cell>
          <cell r="D534">
            <v>0</v>
          </cell>
          <cell r="E534">
            <v>0</v>
          </cell>
          <cell r="F534">
            <v>-10558504452.280001</v>
          </cell>
          <cell r="G534">
            <v>0</v>
          </cell>
          <cell r="H534" t="str">
            <v>55300</v>
          </cell>
        </row>
        <row r="535">
          <cell r="A535" t="str">
            <v>54195</v>
          </cell>
          <cell r="B535" t="str">
            <v>Бошка кредиторлардан олинган узок муддатли кредитлар буйича фоизли харажатлар</v>
          </cell>
          <cell r="C535">
            <v>-1855353798.6400001</v>
          </cell>
          <cell r="D535">
            <v>0</v>
          </cell>
          <cell r="E535">
            <v>0</v>
          </cell>
          <cell r="F535">
            <v>-1855353798.6400001</v>
          </cell>
          <cell r="G535">
            <v>0</v>
          </cell>
          <cell r="H535" t="str">
            <v>55614</v>
          </cell>
        </row>
        <row r="536">
          <cell r="A536" t="str">
            <v>Итого</v>
          </cell>
          <cell r="B536" t="str">
            <v>54100</v>
          </cell>
          <cell r="C536">
            <v>-22462971461.619999</v>
          </cell>
          <cell r="D536">
            <v>0</v>
          </cell>
          <cell r="E536">
            <v>0</v>
          </cell>
          <cell r="F536">
            <v>-22462971461.619999</v>
          </cell>
          <cell r="G536">
            <v>0</v>
          </cell>
          <cell r="H536" t="str">
            <v>55600</v>
          </cell>
        </row>
        <row r="537">
          <cell r="A537" t="str">
            <v>54200</v>
          </cell>
          <cell r="B537" t="str">
            <v>Чикарилган кимматли когозлар буйича фоизли харажатлар</v>
          </cell>
          <cell r="H537" t="str">
            <v>55902</v>
          </cell>
        </row>
        <row r="538">
          <cell r="A538" t="str">
            <v>54206</v>
          </cell>
          <cell r="B538" t="str">
            <v>Чикарилган депозит сертификатлар буйича фоизли харажатлар</v>
          </cell>
          <cell r="C538">
            <v>-3494893150.6999998</v>
          </cell>
          <cell r="D538">
            <v>0</v>
          </cell>
          <cell r="E538">
            <v>0</v>
          </cell>
          <cell r="F538">
            <v>-3494893150.6999998</v>
          </cell>
          <cell r="G538">
            <v>0</v>
          </cell>
          <cell r="H538" t="str">
            <v>55995</v>
          </cell>
        </row>
        <row r="539">
          <cell r="A539" t="str">
            <v>Итого</v>
          </cell>
          <cell r="B539" t="str">
            <v>54200</v>
          </cell>
          <cell r="C539">
            <v>-3494893150.6999998</v>
          </cell>
          <cell r="D539">
            <v>0</v>
          </cell>
          <cell r="E539">
            <v>0</v>
          </cell>
          <cell r="F539">
            <v>-3494893150.6999998</v>
          </cell>
          <cell r="G539">
            <v>0</v>
          </cell>
          <cell r="H539" t="str">
            <v>55900</v>
          </cell>
        </row>
        <row r="540">
          <cell r="A540" t="str">
            <v>54300</v>
          </cell>
          <cell r="B540" t="str">
            <v>Кимматли когозлар билан амалга оширилган РЕПО битимлари буйича фоизли харажатлар</v>
          </cell>
          <cell r="H540" t="str">
            <v>56102</v>
          </cell>
        </row>
        <row r="541">
          <cell r="A541" t="str">
            <v>54302</v>
          </cell>
          <cell r="B541" t="str">
            <v>РЕПО битимлари буйича УзРМБига сотилган кимматли когозлар буйича фоизли харажатлар</v>
          </cell>
          <cell r="C541">
            <v>-595808219.20000005</v>
          </cell>
          <cell r="D541">
            <v>0</v>
          </cell>
          <cell r="E541">
            <v>0</v>
          </cell>
          <cell r="F541">
            <v>-595808219.20000005</v>
          </cell>
          <cell r="G541">
            <v>0</v>
          </cell>
          <cell r="H541" t="str">
            <v>56106</v>
          </cell>
        </row>
        <row r="542">
          <cell r="A542" t="str">
            <v>Итого</v>
          </cell>
          <cell r="B542" t="str">
            <v>54300</v>
          </cell>
          <cell r="C542">
            <v>-595808219.20000005</v>
          </cell>
          <cell r="D542">
            <v>0</v>
          </cell>
          <cell r="E542">
            <v>0</v>
          </cell>
          <cell r="F542">
            <v>-595808219.20000005</v>
          </cell>
          <cell r="G542">
            <v>0</v>
          </cell>
          <cell r="H542" t="str">
            <v>56110</v>
          </cell>
        </row>
        <row r="543">
          <cell r="A543" t="str">
            <v>54900</v>
          </cell>
          <cell r="B543" t="str">
            <v>Бошка фоизли харажатлар</v>
          </cell>
          <cell r="H543" t="str">
            <v>56114</v>
          </cell>
        </row>
        <row r="544">
          <cell r="A544" t="str">
            <v>54902</v>
          </cell>
          <cell r="B544" t="str">
            <v>Бошка фоизли харажатлар</v>
          </cell>
          <cell r="C544">
            <v>-1641928981.8499999</v>
          </cell>
          <cell r="D544">
            <v>0</v>
          </cell>
          <cell r="E544">
            <v>0</v>
          </cell>
          <cell r="F544">
            <v>-1641928981.8499999</v>
          </cell>
          <cell r="G544">
            <v>0</v>
          </cell>
          <cell r="H544" t="str">
            <v>56118</v>
          </cell>
        </row>
        <row r="545">
          <cell r="A545" t="str">
            <v>54904</v>
          </cell>
          <cell r="B545" t="str">
            <v>Бош банк/филиалдан олинган маблаглар буйича фоизли харажатлар</v>
          </cell>
          <cell r="C545">
            <v>-70596910204.110001</v>
          </cell>
          <cell r="D545">
            <v>0</v>
          </cell>
          <cell r="E545">
            <v>0</v>
          </cell>
          <cell r="F545">
            <v>-70596910204.110001</v>
          </cell>
          <cell r="G545">
            <v>0</v>
          </cell>
          <cell r="H545" t="str">
            <v>56195</v>
          </cell>
        </row>
        <row r="546">
          <cell r="A546" t="str">
            <v>Итого</v>
          </cell>
          <cell r="B546" t="str">
            <v>54900</v>
          </cell>
          <cell r="C546">
            <v>-72238839185.960007</v>
          </cell>
          <cell r="D546">
            <v>0</v>
          </cell>
          <cell r="E546">
            <v>0</v>
          </cell>
          <cell r="F546">
            <v>-72238839185.960007</v>
          </cell>
          <cell r="G546">
            <v>0</v>
          </cell>
          <cell r="H546" t="str">
            <v>56100</v>
          </cell>
        </row>
        <row r="547">
          <cell r="A547" t="str">
            <v>55100</v>
          </cell>
          <cell r="B547" t="str">
            <v>Фоизсиз харажатлар</v>
          </cell>
          <cell r="H547" t="str">
            <v>56202</v>
          </cell>
        </row>
        <row r="548">
          <cell r="A548" t="str">
            <v>55106</v>
          </cell>
          <cell r="B548" t="str">
            <v>Бошка банкларга туланадиган хизмат ва воситачилик харажатлари</v>
          </cell>
          <cell r="C548">
            <v>-588769159.38</v>
          </cell>
          <cell r="D548">
            <v>0</v>
          </cell>
          <cell r="E548">
            <v>0</v>
          </cell>
          <cell r="F548">
            <v>-588769159.38</v>
          </cell>
          <cell r="G548">
            <v>0</v>
          </cell>
          <cell r="H548" t="str">
            <v>56206</v>
          </cell>
        </row>
        <row r="549">
          <cell r="A549" t="str">
            <v>55110</v>
          </cell>
          <cell r="B549" t="str">
            <v>Кимматли когозларнинг олди-сотди операциялари буйича туланадиган хизмат ва воситачилик харажатлари</v>
          </cell>
          <cell r="C549">
            <v>-37950448.549999997</v>
          </cell>
          <cell r="D549">
            <v>0</v>
          </cell>
          <cell r="E549">
            <v>0</v>
          </cell>
          <cell r="F549">
            <v>-37950448.549999997</v>
          </cell>
          <cell r="G549">
            <v>0</v>
          </cell>
          <cell r="H549" t="str">
            <v>56210</v>
          </cell>
        </row>
        <row r="550">
          <cell r="A550" t="str">
            <v>55142</v>
          </cell>
          <cell r="B550" t="str">
            <v>Менежмент буйича харажатлар</v>
          </cell>
          <cell r="C550">
            <v>-305961685.5</v>
          </cell>
          <cell r="D550">
            <v>0</v>
          </cell>
          <cell r="E550">
            <v>0</v>
          </cell>
          <cell r="F550">
            <v>-305961685.5</v>
          </cell>
          <cell r="G550">
            <v>0</v>
          </cell>
          <cell r="H550" t="str">
            <v>56214</v>
          </cell>
        </row>
        <row r="551">
          <cell r="A551" t="str">
            <v>55154</v>
          </cell>
          <cell r="B551" t="str">
            <v>Хорижий туловлар буйича воситачилик харажатлари</v>
          </cell>
          <cell r="C551">
            <v>-14758477.189999999</v>
          </cell>
          <cell r="D551">
            <v>0</v>
          </cell>
          <cell r="E551">
            <v>0</v>
          </cell>
          <cell r="F551">
            <v>-14758477.189999999</v>
          </cell>
          <cell r="G551">
            <v>0</v>
          </cell>
          <cell r="H551" t="str">
            <v>56218</v>
          </cell>
        </row>
        <row r="552">
          <cell r="A552" t="str">
            <v>55195</v>
          </cell>
          <cell r="B552" t="str">
            <v>Бошка воситачилик ва хизмат харажатлари</v>
          </cell>
          <cell r="C552">
            <v>-6902547155.6099997</v>
          </cell>
          <cell r="D552">
            <v>0</v>
          </cell>
          <cell r="E552">
            <v>0</v>
          </cell>
          <cell r="F552">
            <v>-6902547155.6099997</v>
          </cell>
          <cell r="G552">
            <v>0</v>
          </cell>
          <cell r="H552" t="str">
            <v>56200</v>
          </cell>
        </row>
        <row r="553">
          <cell r="A553" t="str">
            <v>Итого</v>
          </cell>
          <cell r="B553" t="str">
            <v>55100</v>
          </cell>
          <cell r="C553">
            <v>-7849986926.2299995</v>
          </cell>
          <cell r="D553">
            <v>0</v>
          </cell>
          <cell r="E553">
            <v>0</v>
          </cell>
          <cell r="F553">
            <v>-7849986926.2299995</v>
          </cell>
          <cell r="G553">
            <v>0</v>
          </cell>
          <cell r="H553" t="str">
            <v>56302</v>
          </cell>
        </row>
        <row r="554">
          <cell r="A554" t="str">
            <v>55300</v>
          </cell>
          <cell r="B554" t="str">
            <v>Хорижий валюталарда курилган зарарлар</v>
          </cell>
          <cell r="H554" t="str">
            <v>56306</v>
          </cell>
        </row>
        <row r="555">
          <cell r="A555" t="str">
            <v>55302</v>
          </cell>
          <cell r="B555" t="str">
            <v>"Спот" битимлари буйича хорижий валюталарда курилган зарарлар</v>
          </cell>
          <cell r="C555">
            <v>-13518368102.26</v>
          </cell>
          <cell r="D555">
            <v>0</v>
          </cell>
          <cell r="E555">
            <v>0</v>
          </cell>
          <cell r="F555">
            <v>-13518368102.26</v>
          </cell>
          <cell r="G555">
            <v>0</v>
          </cell>
          <cell r="H555" t="str">
            <v>56310</v>
          </cell>
        </row>
        <row r="556">
          <cell r="A556" t="str">
            <v>55306</v>
          </cell>
          <cell r="B556" t="str">
            <v>Хосилавий инструментлар билан тузилган битимлари буйича хорижий валюталарда курилган зарарлар</v>
          </cell>
          <cell r="C556">
            <v>-513310000</v>
          </cell>
          <cell r="D556">
            <v>0</v>
          </cell>
          <cell r="E556">
            <v>0</v>
          </cell>
          <cell r="F556">
            <v>-513310000</v>
          </cell>
          <cell r="G556">
            <v>0</v>
          </cell>
          <cell r="H556" t="str">
            <v>56314</v>
          </cell>
        </row>
        <row r="557">
          <cell r="A557" t="str">
            <v>Итого</v>
          </cell>
          <cell r="B557" t="str">
            <v>55300</v>
          </cell>
          <cell r="C557">
            <v>-14031678102.26</v>
          </cell>
          <cell r="D557">
            <v>0</v>
          </cell>
          <cell r="E557">
            <v>0</v>
          </cell>
          <cell r="F557">
            <v>-14031678102.26</v>
          </cell>
          <cell r="G557">
            <v>0</v>
          </cell>
          <cell r="H557" t="str">
            <v>56300</v>
          </cell>
        </row>
        <row r="558">
          <cell r="A558" t="str">
            <v>55600</v>
          </cell>
          <cell r="B558" t="str">
            <v>Тижорат операцияларидан курилган зарарлар</v>
          </cell>
          <cell r="H558" t="str">
            <v>56402</v>
          </cell>
        </row>
        <row r="559">
          <cell r="A559" t="str">
            <v>55614</v>
          </cell>
          <cell r="B559" t="str">
            <v>Олди-сотди кимматли когозлар хакикий кийматининг узгариши натижасида курилган зар(Савдога мулжал.ким.когоз.таш</v>
          </cell>
          <cell r="C559">
            <v>-232827000</v>
          </cell>
          <cell r="D559">
            <v>0</v>
          </cell>
          <cell r="E559">
            <v>0</v>
          </cell>
          <cell r="F559">
            <v>-232827000</v>
          </cell>
          <cell r="G559">
            <v>0</v>
          </cell>
          <cell r="H559" t="str">
            <v>56406</v>
          </cell>
        </row>
        <row r="560">
          <cell r="A560" t="str">
            <v>Итого</v>
          </cell>
          <cell r="B560" t="str">
            <v>55600</v>
          </cell>
          <cell r="C560">
            <v>-232827000</v>
          </cell>
          <cell r="D560">
            <v>0</v>
          </cell>
          <cell r="E560">
            <v>0</v>
          </cell>
          <cell r="F560">
            <v>-232827000</v>
          </cell>
          <cell r="G560">
            <v>0</v>
          </cell>
          <cell r="H560" t="str">
            <v>56410</v>
          </cell>
        </row>
        <row r="561">
          <cell r="A561" t="str">
            <v>55900</v>
          </cell>
          <cell r="B561" t="str">
            <v>Бошка фоизсиз харажатлар</v>
          </cell>
          <cell r="H561" t="str">
            <v>56414</v>
          </cell>
        </row>
        <row r="562">
          <cell r="A562" t="str">
            <v>55902</v>
          </cell>
          <cell r="B562" t="str">
            <v>Банк асосий воситаларини сотиш ёки диспозиция килишдан курилган зарарлар</v>
          </cell>
          <cell r="C562">
            <v>-28123141.100000001</v>
          </cell>
          <cell r="D562">
            <v>0</v>
          </cell>
          <cell r="E562">
            <v>0</v>
          </cell>
          <cell r="F562">
            <v>-28123141.100000001</v>
          </cell>
          <cell r="G562">
            <v>0</v>
          </cell>
          <cell r="H562" t="str">
            <v>56418</v>
          </cell>
        </row>
        <row r="563">
          <cell r="A563" t="str">
            <v>55995</v>
          </cell>
          <cell r="B563" t="str">
            <v>Бошка фоизсиз харажатлар</v>
          </cell>
          <cell r="C563">
            <v>-46974339.969999999</v>
          </cell>
          <cell r="D563">
            <v>0</v>
          </cell>
          <cell r="E563">
            <v>0</v>
          </cell>
          <cell r="F563">
            <v>-46974339.969999999</v>
          </cell>
          <cell r="G563">
            <v>0</v>
          </cell>
          <cell r="H563" t="str">
            <v>56400</v>
          </cell>
        </row>
        <row r="564">
          <cell r="A564" t="str">
            <v>Итого</v>
          </cell>
          <cell r="B564" t="str">
            <v>55900</v>
          </cell>
          <cell r="C564">
            <v>-75097481.069999993</v>
          </cell>
          <cell r="D564">
            <v>0</v>
          </cell>
          <cell r="E564">
            <v>0</v>
          </cell>
          <cell r="F564">
            <v>-75097481.069999993</v>
          </cell>
          <cell r="G564">
            <v>0</v>
          </cell>
          <cell r="H564" t="str">
            <v>56502</v>
          </cell>
        </row>
        <row r="565">
          <cell r="A565" t="str">
            <v>56100</v>
          </cell>
          <cell r="B565" t="str">
            <v>Банк хизматчиларининг иш хаки ва улар учун килинган бошка харажатлар</v>
          </cell>
          <cell r="H565" t="str">
            <v>56506</v>
          </cell>
        </row>
        <row r="566">
          <cell r="A566" t="str">
            <v>56102</v>
          </cell>
          <cell r="B566" t="str">
            <v>Иш хаки</v>
          </cell>
          <cell r="C566">
            <v>-55339750025.959999</v>
          </cell>
          <cell r="D566">
            <v>0</v>
          </cell>
          <cell r="E566">
            <v>0</v>
          </cell>
          <cell r="F566">
            <v>-55339750025.959999</v>
          </cell>
          <cell r="G566">
            <v>0</v>
          </cell>
          <cell r="H566" t="str">
            <v>56510</v>
          </cell>
        </row>
        <row r="567">
          <cell r="A567" t="str">
            <v>56106</v>
          </cell>
          <cell r="B567" t="str">
            <v>Банк хизматчилари учун имтиёзлар</v>
          </cell>
          <cell r="C567">
            <v>-6586552910.1999998</v>
          </cell>
          <cell r="D567">
            <v>0</v>
          </cell>
          <cell r="E567">
            <v>0</v>
          </cell>
          <cell r="F567">
            <v>-6586552910.1999998</v>
          </cell>
          <cell r="G567">
            <v>0</v>
          </cell>
          <cell r="H567" t="str">
            <v>56500</v>
          </cell>
        </row>
        <row r="568">
          <cell r="A568" t="str">
            <v>56110</v>
          </cell>
          <cell r="B568" t="str">
            <v>Тиббий, стоматологик хизматлар учун ва шифохонада даволаш харажатлари</v>
          </cell>
          <cell r="C568">
            <v>-6527555.25</v>
          </cell>
          <cell r="D568">
            <v>0</v>
          </cell>
          <cell r="E568">
            <v>0</v>
          </cell>
          <cell r="F568">
            <v>-6527555.25</v>
          </cell>
          <cell r="G568">
            <v>0</v>
          </cell>
          <cell r="H568" t="str">
            <v>56602</v>
          </cell>
        </row>
        <row r="569">
          <cell r="A569" t="str">
            <v>56114</v>
          </cell>
          <cell r="B569" t="str">
            <v>Ижтимоий сугурта буйича бадаллар</v>
          </cell>
          <cell r="C569">
            <v>-7784882267.2799997</v>
          </cell>
          <cell r="D569">
            <v>0</v>
          </cell>
          <cell r="E569">
            <v>0</v>
          </cell>
          <cell r="F569">
            <v>-7784882267.2799997</v>
          </cell>
          <cell r="G569">
            <v>0</v>
          </cell>
          <cell r="H569" t="str">
            <v>56610</v>
          </cell>
        </row>
        <row r="570">
          <cell r="A570" t="str">
            <v>56118</v>
          </cell>
          <cell r="B570" t="str">
            <v>Ижтимой химоя буйича харажатлар</v>
          </cell>
          <cell r="C570">
            <v>-4718997895</v>
          </cell>
          <cell r="D570">
            <v>0</v>
          </cell>
          <cell r="E570">
            <v>0</v>
          </cell>
          <cell r="F570">
            <v>-4718997895</v>
          </cell>
          <cell r="G570">
            <v>0</v>
          </cell>
          <cell r="H570" t="str">
            <v>56614</v>
          </cell>
        </row>
        <row r="571">
          <cell r="A571" t="str">
            <v>56195</v>
          </cell>
          <cell r="B571" t="str">
            <v>Банк хизматчилари учун килинган бошка харажатлар</v>
          </cell>
          <cell r="C571">
            <v>-368332610.39999998</v>
          </cell>
          <cell r="D571">
            <v>0</v>
          </cell>
          <cell r="E571">
            <v>0</v>
          </cell>
          <cell r="F571">
            <v>-368332610.39999998</v>
          </cell>
          <cell r="G571">
            <v>0</v>
          </cell>
          <cell r="H571" t="str">
            <v>56616</v>
          </cell>
        </row>
        <row r="572">
          <cell r="A572" t="str">
            <v>Итого</v>
          </cell>
          <cell r="B572" t="str">
            <v>56100</v>
          </cell>
          <cell r="C572">
            <v>-74805043264.089996</v>
          </cell>
          <cell r="D572">
            <v>0</v>
          </cell>
          <cell r="E572">
            <v>0</v>
          </cell>
          <cell r="F572">
            <v>-74805043264.089996</v>
          </cell>
          <cell r="G572">
            <v>0</v>
          </cell>
          <cell r="H572" t="str">
            <v>56618</v>
          </cell>
        </row>
        <row r="573">
          <cell r="A573" t="str">
            <v>56200</v>
          </cell>
          <cell r="B573" t="str">
            <v>Ижара ва таъминот харажатлари</v>
          </cell>
          <cell r="H573" t="str">
            <v>56622</v>
          </cell>
        </row>
        <row r="574">
          <cell r="A574" t="str">
            <v>56202</v>
          </cell>
          <cell r="B574" t="str">
            <v>Ижара тулови</v>
          </cell>
          <cell r="C574">
            <v>-588534613</v>
          </cell>
          <cell r="D574">
            <v>0</v>
          </cell>
          <cell r="E574">
            <v>0</v>
          </cell>
          <cell r="F574">
            <v>-588534613</v>
          </cell>
          <cell r="G574">
            <v>0</v>
          </cell>
          <cell r="H574" t="str">
            <v>56626</v>
          </cell>
        </row>
        <row r="575">
          <cell r="A575" t="str">
            <v>56206</v>
          </cell>
          <cell r="B575" t="str">
            <v>Сув тулови</v>
          </cell>
          <cell r="C575">
            <v>-42908541.009999998</v>
          </cell>
          <cell r="D575">
            <v>0</v>
          </cell>
          <cell r="E575">
            <v>0</v>
          </cell>
          <cell r="F575">
            <v>-42908541.009999998</v>
          </cell>
          <cell r="G575">
            <v>0</v>
          </cell>
          <cell r="H575" t="str">
            <v>56630</v>
          </cell>
        </row>
        <row r="576">
          <cell r="A576" t="str">
            <v>56210</v>
          </cell>
          <cell r="B576" t="str">
            <v>Электр энергияси ва иситиш тармоклари харажатлари</v>
          </cell>
          <cell r="C576">
            <v>-822239916.91999996</v>
          </cell>
          <cell r="D576">
            <v>0</v>
          </cell>
          <cell r="E576">
            <v>0</v>
          </cell>
          <cell r="F576">
            <v>-822239916.91999996</v>
          </cell>
          <cell r="G576">
            <v>0</v>
          </cell>
          <cell r="H576" t="str">
            <v>56600</v>
          </cell>
        </row>
        <row r="577">
          <cell r="A577" t="str">
            <v>56214</v>
          </cell>
          <cell r="B577" t="str">
            <v>Таъмирлаш ва таъминот харажатлари</v>
          </cell>
          <cell r="C577">
            <v>-1094752422.27</v>
          </cell>
          <cell r="D577">
            <v>0</v>
          </cell>
          <cell r="E577">
            <v>0</v>
          </cell>
          <cell r="F577">
            <v>-1094752422.27</v>
          </cell>
          <cell r="G577">
            <v>0</v>
          </cell>
          <cell r="H577" t="str">
            <v>56702</v>
          </cell>
        </row>
        <row r="578">
          <cell r="A578" t="str">
            <v>56218</v>
          </cell>
          <cell r="B578" t="str">
            <v>Куриклаш хизмати харажатлари</v>
          </cell>
          <cell r="C578">
            <v>-9132690868.0300007</v>
          </cell>
          <cell r="D578">
            <v>0</v>
          </cell>
          <cell r="E578">
            <v>0</v>
          </cell>
          <cell r="F578">
            <v>-9132690868.0300007</v>
          </cell>
          <cell r="G578">
            <v>0</v>
          </cell>
          <cell r="H578" t="str">
            <v>56706</v>
          </cell>
        </row>
        <row r="579">
          <cell r="A579" t="str">
            <v>Итого</v>
          </cell>
          <cell r="B579" t="str">
            <v>56200</v>
          </cell>
          <cell r="C579">
            <v>-11681126361.23</v>
          </cell>
          <cell r="D579">
            <v>0</v>
          </cell>
          <cell r="E579">
            <v>0</v>
          </cell>
          <cell r="F579">
            <v>-11681126361.23</v>
          </cell>
          <cell r="G579">
            <v>0</v>
          </cell>
          <cell r="H579" t="str">
            <v>56710</v>
          </cell>
        </row>
        <row r="580">
          <cell r="A580" t="str">
            <v>56300</v>
          </cell>
          <cell r="B580" t="str">
            <v>Хизмат сафари ва транспорт харажатлари</v>
          </cell>
          <cell r="H580" t="str">
            <v>56714</v>
          </cell>
        </row>
        <row r="581">
          <cell r="A581" t="str">
            <v>56302</v>
          </cell>
          <cell r="B581" t="str">
            <v>Хизмат сафари харажатлари</v>
          </cell>
          <cell r="C581">
            <v>-291028269.06999999</v>
          </cell>
          <cell r="D581">
            <v>0</v>
          </cell>
          <cell r="E581">
            <v>0</v>
          </cell>
          <cell r="F581">
            <v>-291028269.06999999</v>
          </cell>
          <cell r="G581">
            <v>0</v>
          </cell>
          <cell r="H581" t="str">
            <v>56718</v>
          </cell>
        </row>
        <row r="582">
          <cell r="A582" t="str">
            <v>56306</v>
          </cell>
          <cell r="B582" t="str">
            <v>Хизмат сафаридаги кунлик харажатлари</v>
          </cell>
          <cell r="C582">
            <v>-490191117.35000002</v>
          </cell>
          <cell r="D582">
            <v>0</v>
          </cell>
          <cell r="E582">
            <v>0</v>
          </cell>
          <cell r="F582">
            <v>-490191117.35000002</v>
          </cell>
          <cell r="G582">
            <v>0</v>
          </cell>
          <cell r="H582" t="str">
            <v>56722</v>
          </cell>
        </row>
        <row r="583">
          <cell r="A583" t="str">
            <v>56310</v>
          </cell>
          <cell r="B583" t="str">
            <v>Банк мулкини кучириш билан боглик булган (Фрахт) харажатлар</v>
          </cell>
          <cell r="C583">
            <v>-11800000</v>
          </cell>
          <cell r="D583">
            <v>0</v>
          </cell>
          <cell r="E583">
            <v>0</v>
          </cell>
          <cell r="F583">
            <v>-11800000</v>
          </cell>
          <cell r="G583">
            <v>0</v>
          </cell>
          <cell r="H583" t="str">
            <v>56795</v>
          </cell>
        </row>
        <row r="584">
          <cell r="A584" t="str">
            <v>56314</v>
          </cell>
          <cell r="B584" t="str">
            <v>Ёкилги харажатлари</v>
          </cell>
          <cell r="C584">
            <v>-667358080</v>
          </cell>
          <cell r="D584">
            <v>0</v>
          </cell>
          <cell r="E584">
            <v>0</v>
          </cell>
          <cell r="F584">
            <v>-667358080</v>
          </cell>
          <cell r="G584">
            <v>0</v>
          </cell>
          <cell r="H584" t="str">
            <v>56700</v>
          </cell>
        </row>
        <row r="585">
          <cell r="A585" t="str">
            <v>Итого</v>
          </cell>
          <cell r="B585" t="str">
            <v>56300</v>
          </cell>
          <cell r="C585">
            <v>-1460377466.4200001</v>
          </cell>
          <cell r="D585">
            <v>0</v>
          </cell>
          <cell r="E585">
            <v>0</v>
          </cell>
          <cell r="F585">
            <v>-1460377466.4200001</v>
          </cell>
          <cell r="G585">
            <v>0</v>
          </cell>
          <cell r="H585" t="str">
            <v>56802</v>
          </cell>
        </row>
        <row r="586">
          <cell r="A586" t="str">
            <v>56400</v>
          </cell>
          <cell r="B586" t="str">
            <v>Маъмурий харажатлар</v>
          </cell>
          <cell r="H586" t="str">
            <v>56803</v>
          </cell>
        </row>
        <row r="587">
          <cell r="A587" t="str">
            <v>56402</v>
          </cell>
          <cell r="B587" t="str">
            <v>Реклама ва эълон харажатлари</v>
          </cell>
          <cell r="C587">
            <v>-18488400</v>
          </cell>
          <cell r="D587">
            <v>0</v>
          </cell>
          <cell r="E587">
            <v>0</v>
          </cell>
          <cell r="F587">
            <v>-18488400</v>
          </cell>
          <cell r="G587">
            <v>0</v>
          </cell>
          <cell r="H587" t="str">
            <v>56804</v>
          </cell>
        </row>
        <row r="588">
          <cell r="A588" t="str">
            <v>56406</v>
          </cell>
          <cell r="B588" t="str">
            <v>Девонхона, офис ва бошка буюмлар харажатлари</v>
          </cell>
          <cell r="C588">
            <v>-1960690684.74</v>
          </cell>
          <cell r="D588">
            <v>0</v>
          </cell>
          <cell r="E588">
            <v>0</v>
          </cell>
          <cell r="F588">
            <v>-1960690684.74</v>
          </cell>
          <cell r="G588">
            <v>0</v>
          </cell>
          <cell r="H588" t="str">
            <v>56895</v>
          </cell>
        </row>
        <row r="589">
          <cell r="A589" t="str">
            <v>56410</v>
          </cell>
          <cell r="B589" t="str">
            <v>Почта, телефон, факс буйича харажатлар</v>
          </cell>
          <cell r="C589">
            <v>-920969603.48000002</v>
          </cell>
          <cell r="D589">
            <v>0</v>
          </cell>
          <cell r="E589">
            <v>0</v>
          </cell>
          <cell r="F589">
            <v>-920969603.48000002</v>
          </cell>
          <cell r="G589">
            <v>0</v>
          </cell>
          <cell r="H589" t="str">
            <v>56800</v>
          </cell>
        </row>
        <row r="590">
          <cell r="A590" t="str">
            <v>56414</v>
          </cell>
          <cell r="B590" t="str">
            <v>Хужжат маркалари учун харажатлар</v>
          </cell>
          <cell r="C590">
            <v>-34485555</v>
          </cell>
          <cell r="D590">
            <v>0</v>
          </cell>
          <cell r="E590">
            <v>0</v>
          </cell>
          <cell r="F590">
            <v>-34485555</v>
          </cell>
          <cell r="G590">
            <v>0</v>
          </cell>
          <cell r="H590" t="str">
            <v>56902</v>
          </cell>
        </row>
        <row r="591">
          <cell r="A591" t="str">
            <v>56418</v>
          </cell>
          <cell r="B591" t="str">
            <v>Китоб, газета ва бошка даврий нашриётлар буйича харажатлар</v>
          </cell>
          <cell r="C591">
            <v>-493636705.25999999</v>
          </cell>
          <cell r="D591">
            <v>0</v>
          </cell>
          <cell r="E591">
            <v>0</v>
          </cell>
          <cell r="F591">
            <v>-493636705.25999999</v>
          </cell>
          <cell r="G591">
            <v>0</v>
          </cell>
          <cell r="H591" t="str">
            <v>56900</v>
          </cell>
        </row>
        <row r="592">
          <cell r="A592" t="str">
            <v>Итого</v>
          </cell>
          <cell r="B592" t="str">
            <v>56400</v>
          </cell>
          <cell r="C592">
            <v>-3428270948.48</v>
          </cell>
          <cell r="D592">
            <v>0</v>
          </cell>
          <cell r="E592">
            <v>0</v>
          </cell>
          <cell r="F592">
            <v>-3428270948.48</v>
          </cell>
          <cell r="G592">
            <v>0</v>
          </cell>
          <cell r="H592" t="str">
            <v>50000</v>
          </cell>
        </row>
        <row r="593">
          <cell r="A593" t="str">
            <v>56500</v>
          </cell>
          <cell r="B593" t="str">
            <v>Репрезентация ва хайрия</v>
          </cell>
        </row>
        <row r="594">
          <cell r="A594" t="str">
            <v>56502</v>
          </cell>
          <cell r="B594" t="str">
            <v>Репрезентация ва кунгил очар тадбирлар харажатлари</v>
          </cell>
          <cell r="C594">
            <v>-47533582</v>
          </cell>
          <cell r="D594">
            <v>0</v>
          </cell>
          <cell r="E594">
            <v>0</v>
          </cell>
          <cell r="F594">
            <v>-47533582</v>
          </cell>
          <cell r="G594">
            <v>0</v>
          </cell>
        </row>
        <row r="595">
          <cell r="A595" t="str">
            <v>56506</v>
          </cell>
          <cell r="B595" t="str">
            <v>Аъзолик бадаллари</v>
          </cell>
          <cell r="C595">
            <v>-1817180240.3499999</v>
          </cell>
          <cell r="D595">
            <v>0</v>
          </cell>
          <cell r="E595">
            <v>0</v>
          </cell>
          <cell r="F595">
            <v>-1817180240.3499999</v>
          </cell>
          <cell r="G595">
            <v>0</v>
          </cell>
        </row>
        <row r="596">
          <cell r="A596" t="str">
            <v>56510</v>
          </cell>
          <cell r="B596" t="str">
            <v>Хайр-эхсон ва хайрия харажатлари</v>
          </cell>
          <cell r="C596">
            <v>-169933799.66</v>
          </cell>
          <cell r="D596">
            <v>0</v>
          </cell>
          <cell r="E596">
            <v>0</v>
          </cell>
          <cell r="F596">
            <v>-169933799.66</v>
          </cell>
          <cell r="G596">
            <v>0</v>
          </cell>
        </row>
        <row r="597">
          <cell r="A597" t="str">
            <v>Итого</v>
          </cell>
          <cell r="B597" t="str">
            <v>56500</v>
          </cell>
          <cell r="C597">
            <v>-2034647622.01</v>
          </cell>
          <cell r="D597">
            <v>0</v>
          </cell>
          <cell r="E597">
            <v>0</v>
          </cell>
          <cell r="F597">
            <v>-2034647622.01</v>
          </cell>
          <cell r="G597">
            <v>0</v>
          </cell>
        </row>
        <row r="598">
          <cell r="A598" t="str">
            <v>56600</v>
          </cell>
          <cell r="B598" t="str">
            <v>Эскириш харажатлари</v>
          </cell>
        </row>
        <row r="599">
          <cell r="A599" t="str">
            <v>56602</v>
          </cell>
          <cell r="B599" t="str">
            <v>Банк биноси ва бошка иморатларнинг эскириш суммаси</v>
          </cell>
          <cell r="C599">
            <v>-815736545.37</v>
          </cell>
          <cell r="D599">
            <v>0</v>
          </cell>
          <cell r="E599">
            <v>0</v>
          </cell>
          <cell r="F599">
            <v>-815736545.37</v>
          </cell>
          <cell r="G599">
            <v>0</v>
          </cell>
        </row>
        <row r="600">
          <cell r="A600" t="str">
            <v>56610</v>
          </cell>
          <cell r="B600" t="str">
            <v>Транспорт воситаларининг эскириш суммаси</v>
          </cell>
          <cell r="C600">
            <v>-861956781.17999995</v>
          </cell>
          <cell r="D600">
            <v>0</v>
          </cell>
          <cell r="E600">
            <v>0</v>
          </cell>
          <cell r="F600">
            <v>-861956781.17999995</v>
          </cell>
          <cell r="G600">
            <v>0</v>
          </cell>
        </row>
        <row r="601">
          <cell r="A601" t="str">
            <v>56614</v>
          </cell>
          <cell r="B601" t="str">
            <v>Мебел ва жихозларнинг эскириш суммаси</v>
          </cell>
          <cell r="C601">
            <v>-4006506173.77</v>
          </cell>
          <cell r="D601">
            <v>0</v>
          </cell>
          <cell r="E601">
            <v>0</v>
          </cell>
          <cell r="F601">
            <v>-4006506173.77</v>
          </cell>
          <cell r="G601">
            <v>0</v>
          </cell>
        </row>
        <row r="602">
          <cell r="A602" t="str">
            <v>56616</v>
          </cell>
          <cell r="B602" t="str">
            <v>Тулов карточкалари билан хисоб-китоблари амалга ошириш ускуналарининг эскириш суммаси</v>
          </cell>
          <cell r="C602">
            <v>-1817946331.8599999</v>
          </cell>
          <cell r="D602">
            <v>0</v>
          </cell>
          <cell r="E602">
            <v>0</v>
          </cell>
          <cell r="F602">
            <v>-1817946331.8599999</v>
          </cell>
          <cell r="G602">
            <v>0</v>
          </cell>
        </row>
        <row r="603">
          <cell r="A603" t="str">
            <v>56618</v>
          </cell>
          <cell r="B603" t="str">
            <v>Номоддий активларнинг эскириш суммаси</v>
          </cell>
          <cell r="C603">
            <v>-706424239.52999997</v>
          </cell>
          <cell r="D603">
            <v>0</v>
          </cell>
          <cell r="E603">
            <v>0</v>
          </cell>
          <cell r="F603">
            <v>-706424239.52999997</v>
          </cell>
          <cell r="G603">
            <v>0</v>
          </cell>
        </row>
        <row r="604">
          <cell r="A604" t="str">
            <v>56622</v>
          </cell>
          <cell r="B604" t="str">
            <v>Операцион ижарага берилган асосий воситаларнинг эскириш суммаси</v>
          </cell>
          <cell r="C604">
            <v>-1278227019.5899999</v>
          </cell>
          <cell r="D604">
            <v>0</v>
          </cell>
          <cell r="E604">
            <v>0</v>
          </cell>
          <cell r="F604">
            <v>-1278227019.5899999</v>
          </cell>
          <cell r="G604">
            <v>0</v>
          </cell>
        </row>
        <row r="605">
          <cell r="A605" t="str">
            <v>56626</v>
          </cell>
          <cell r="B605" t="str">
            <v>Объектларни ижарага олиш ва уни такомиллаштириш хукуки буйича эскириш суммаси</v>
          </cell>
          <cell r="C605">
            <v>-10977800.73</v>
          </cell>
          <cell r="D605">
            <v>0</v>
          </cell>
          <cell r="E605">
            <v>0</v>
          </cell>
          <cell r="F605">
            <v>-10977800.73</v>
          </cell>
          <cell r="G605">
            <v>0</v>
          </cell>
        </row>
        <row r="606">
          <cell r="A606" t="str">
            <v>56630</v>
          </cell>
          <cell r="B606" t="str">
            <v>Омбордаги асосий воситаларнинг эскириш суммаси</v>
          </cell>
          <cell r="C606">
            <v>-255867.12</v>
          </cell>
          <cell r="D606">
            <v>0</v>
          </cell>
          <cell r="E606">
            <v>0</v>
          </cell>
          <cell r="F606">
            <v>-255867.12</v>
          </cell>
          <cell r="G606">
            <v>0</v>
          </cell>
        </row>
        <row r="607">
          <cell r="A607" t="str">
            <v>Итого</v>
          </cell>
          <cell r="B607" t="str">
            <v>56600</v>
          </cell>
          <cell r="C607">
            <v>-9498030759.1499996</v>
          </cell>
          <cell r="D607">
            <v>0</v>
          </cell>
          <cell r="E607">
            <v>0</v>
          </cell>
          <cell r="F607">
            <v>-9498030759.1499996</v>
          </cell>
          <cell r="G607">
            <v>0</v>
          </cell>
        </row>
        <row r="608">
          <cell r="A608" t="str">
            <v>56700</v>
          </cell>
          <cell r="B608" t="str">
            <v>Сугурта, солик ва бошка харажатлар</v>
          </cell>
        </row>
        <row r="609">
          <cell r="A609" t="str">
            <v>56702</v>
          </cell>
          <cell r="B609" t="str">
            <v>Юридик ва аудиторлик хизмати харажатлари</v>
          </cell>
          <cell r="C609">
            <v>-124128163.93000001</v>
          </cell>
          <cell r="D609">
            <v>0</v>
          </cell>
          <cell r="E609">
            <v>0</v>
          </cell>
          <cell r="F609">
            <v>-124128163.93000001</v>
          </cell>
          <cell r="G609">
            <v>0</v>
          </cell>
        </row>
        <row r="610">
          <cell r="A610" t="str">
            <v>56706</v>
          </cell>
          <cell r="B610" t="str">
            <v>Маслахатчи(консалтинг)лар хизмати учун тулов харажатлари</v>
          </cell>
          <cell r="C610">
            <v>-477851685.49000001</v>
          </cell>
          <cell r="D610">
            <v>0</v>
          </cell>
          <cell r="E610">
            <v>0</v>
          </cell>
          <cell r="F610">
            <v>-477851685.49000001</v>
          </cell>
          <cell r="G610">
            <v>0</v>
          </cell>
        </row>
        <row r="611">
          <cell r="A611" t="str">
            <v>56710</v>
          </cell>
          <cell r="B611" t="str">
            <v>Сугута харажатлари</v>
          </cell>
          <cell r="C611">
            <v>-1147878221.98</v>
          </cell>
          <cell r="D611">
            <v>0</v>
          </cell>
          <cell r="E611">
            <v>0</v>
          </cell>
          <cell r="F611">
            <v>-1147878221.98</v>
          </cell>
          <cell r="G611">
            <v>0</v>
          </cell>
        </row>
        <row r="612">
          <cell r="A612" t="str">
            <v>56714</v>
          </cell>
          <cell r="B612" t="str">
            <v>Солик (фойда солигидан ташкари) ва лицензиялар</v>
          </cell>
          <cell r="C612">
            <v>-738239357.90999997</v>
          </cell>
          <cell r="D612">
            <v>0</v>
          </cell>
          <cell r="E612">
            <v>0</v>
          </cell>
          <cell r="F612">
            <v>-738239357.90999997</v>
          </cell>
          <cell r="G612">
            <v>0</v>
          </cell>
        </row>
        <row r="613">
          <cell r="A613" t="str">
            <v>56718</v>
          </cell>
          <cell r="B613" t="str">
            <v>Жарима ва пеня харажатлари</v>
          </cell>
          <cell r="C613">
            <v>-16500000</v>
          </cell>
          <cell r="D613">
            <v>0</v>
          </cell>
          <cell r="E613">
            <v>0</v>
          </cell>
          <cell r="F613">
            <v>-16500000</v>
          </cell>
          <cell r="G613">
            <v>0</v>
          </cell>
        </row>
        <row r="614">
          <cell r="A614" t="str">
            <v>56722</v>
          </cell>
          <cell r="B614" t="str">
            <v>Суд жараёни/активни сотиб олиш билан боглик булган харажатлар</v>
          </cell>
          <cell r="C614">
            <v>-975272644.5</v>
          </cell>
          <cell r="D614">
            <v>0</v>
          </cell>
          <cell r="E614">
            <v>0</v>
          </cell>
          <cell r="F614">
            <v>-975272644.5</v>
          </cell>
          <cell r="G614">
            <v>0</v>
          </cell>
        </row>
        <row r="615">
          <cell r="A615" t="str">
            <v>56795</v>
          </cell>
          <cell r="B615" t="str">
            <v>Бошка операцион харажатлар</v>
          </cell>
          <cell r="C615">
            <v>-1628927409.0999999</v>
          </cell>
          <cell r="D615">
            <v>0</v>
          </cell>
          <cell r="E615">
            <v>0</v>
          </cell>
          <cell r="F615">
            <v>-1628927409.0999999</v>
          </cell>
          <cell r="G615">
            <v>0</v>
          </cell>
        </row>
        <row r="616">
          <cell r="A616" t="str">
            <v>Итого</v>
          </cell>
          <cell r="B616" t="str">
            <v>56700</v>
          </cell>
          <cell r="C616">
            <v>-5108797482.9099998</v>
          </cell>
          <cell r="D616">
            <v>0</v>
          </cell>
          <cell r="E616">
            <v>0</v>
          </cell>
          <cell r="F616">
            <v>-5108797482.9099998</v>
          </cell>
          <cell r="G616">
            <v>0</v>
          </cell>
        </row>
        <row r="617">
          <cell r="A617" t="str">
            <v>56800</v>
          </cell>
          <cell r="B617" t="str">
            <v>Курилиши мумкин булган зарарларни бахолаш</v>
          </cell>
        </row>
        <row r="618">
          <cell r="A618" t="str">
            <v>56802</v>
          </cell>
          <cell r="B618" t="str">
            <v>Кредитлар буйича курилиши мумкин булган зарарларни бахолаш</v>
          </cell>
          <cell r="C618">
            <v>-115121942912.85001</v>
          </cell>
          <cell r="D618">
            <v>0</v>
          </cell>
          <cell r="E618">
            <v>0</v>
          </cell>
          <cell r="F618">
            <v>-115121942912.85001</v>
          </cell>
          <cell r="G618">
            <v>0</v>
          </cell>
        </row>
        <row r="619">
          <cell r="A619" t="str">
            <v>56803</v>
          </cell>
          <cell r="B619" t="str">
            <v>Инвестицион кредитлар буйича курилиши мумкин булган зарарларни бахолаш</v>
          </cell>
          <cell r="C619">
            <v>-12715071123.07</v>
          </cell>
          <cell r="D619">
            <v>0</v>
          </cell>
          <cell r="E619">
            <v>0</v>
          </cell>
          <cell r="F619">
            <v>-12715071123.07</v>
          </cell>
          <cell r="G619">
            <v>0</v>
          </cell>
        </row>
        <row r="620">
          <cell r="A620" t="str">
            <v>56804</v>
          </cell>
          <cell r="B620" t="str">
            <v>Бошка банклардаги хисобвараклар буйича курилиши мумкин булган зарарларни бахолаш</v>
          </cell>
          <cell r="C620">
            <v>-1244816409.4400001</v>
          </cell>
          <cell r="D620">
            <v>0</v>
          </cell>
          <cell r="E620">
            <v>0</v>
          </cell>
          <cell r="F620">
            <v>-1244816409.4400001</v>
          </cell>
          <cell r="G620">
            <v>0</v>
          </cell>
        </row>
        <row r="621">
          <cell r="A621" t="str">
            <v>56895</v>
          </cell>
          <cell r="B621" t="str">
            <v>Бошка активлар буйича курилиши мумкин булган зарарларни бахолаш</v>
          </cell>
          <cell r="C621">
            <v>-1104282470.3699999</v>
          </cell>
          <cell r="D621">
            <v>0</v>
          </cell>
          <cell r="E621">
            <v>0</v>
          </cell>
          <cell r="F621">
            <v>-1104282470.3699999</v>
          </cell>
          <cell r="G621">
            <v>0</v>
          </cell>
        </row>
        <row r="622">
          <cell r="A622" t="str">
            <v>Итого</v>
          </cell>
          <cell r="B622" t="str">
            <v>56800</v>
          </cell>
          <cell r="C622">
            <v>-130186112915.73</v>
          </cell>
          <cell r="D622">
            <v>0</v>
          </cell>
          <cell r="E622">
            <v>0</v>
          </cell>
          <cell r="F622">
            <v>-130186112915.73</v>
          </cell>
          <cell r="G622">
            <v>0</v>
          </cell>
        </row>
        <row r="623">
          <cell r="A623" t="str">
            <v>56900</v>
          </cell>
          <cell r="B623" t="str">
            <v>Фойда солигини бахолаш</v>
          </cell>
        </row>
        <row r="624">
          <cell r="A624" t="str">
            <v>56902</v>
          </cell>
          <cell r="B624" t="str">
            <v>Фойда солигини бахолаш</v>
          </cell>
          <cell r="C624">
            <v>-2417635.12</v>
          </cell>
          <cell r="D624">
            <v>0</v>
          </cell>
          <cell r="E624">
            <v>0</v>
          </cell>
          <cell r="F624">
            <v>-2417635.12</v>
          </cell>
          <cell r="G624">
            <v>0</v>
          </cell>
        </row>
        <row r="625">
          <cell r="A625" t="str">
            <v>Итого</v>
          </cell>
          <cell r="B625" t="str">
            <v>56900</v>
          </cell>
          <cell r="C625">
            <v>-2417635.12</v>
          </cell>
          <cell r="D625">
            <v>0</v>
          </cell>
          <cell r="E625">
            <v>0</v>
          </cell>
          <cell r="F625">
            <v>-2417635.12</v>
          </cell>
          <cell r="G625">
            <v>0</v>
          </cell>
        </row>
        <row r="626">
          <cell r="A626" t="str">
            <v>Итого</v>
          </cell>
          <cell r="B626" t="str">
            <v>ХАРАЖАТЛАР</v>
          </cell>
          <cell r="C626">
            <v>-455810857658.75</v>
          </cell>
          <cell r="D626">
            <v>0</v>
          </cell>
          <cell r="E626">
            <v>0</v>
          </cell>
          <cell r="F626">
            <v>-455810857658.75</v>
          </cell>
          <cell r="G626">
            <v>0</v>
          </cell>
        </row>
        <row r="627">
          <cell r="A627" t="str">
            <v>9 КУЗДА ТУТИЛМАГАН ХОЛАТЛАР</v>
          </cell>
        </row>
        <row r="628">
          <cell r="A628" t="str">
            <v>90100</v>
          </cell>
          <cell r="B628" t="str">
            <v>Туловга яроксиз ва экспертизага кабул килинган банкнот ва тангалар</v>
          </cell>
        </row>
        <row r="629">
          <cell r="A629" t="str">
            <v>90145</v>
          </cell>
          <cell r="B629" t="str">
            <v>Туловга яроксиз банкнот ва тангалар</v>
          </cell>
          <cell r="C629">
            <v>-3941</v>
          </cell>
          <cell r="D629">
            <v>0</v>
          </cell>
          <cell r="E629">
            <v>0</v>
          </cell>
          <cell r="F629">
            <v>-3941</v>
          </cell>
          <cell r="G629">
            <v>0</v>
          </cell>
        </row>
        <row r="630">
          <cell r="A630" t="str">
            <v>Итого</v>
          </cell>
          <cell r="B630" t="str">
            <v>90100</v>
          </cell>
          <cell r="C630">
            <v>-3941</v>
          </cell>
          <cell r="D630">
            <v>0</v>
          </cell>
          <cell r="E630">
            <v>0</v>
          </cell>
          <cell r="F630">
            <v>-3941</v>
          </cell>
          <cell r="G630">
            <v>0</v>
          </cell>
        </row>
        <row r="631">
          <cell r="A631" t="str">
            <v>90300</v>
          </cell>
          <cell r="B631" t="str">
            <v>Хужжатли кимматли когозлар бланкалари ва хужжатсиз кимматли когозлар</v>
          </cell>
        </row>
        <row r="632">
          <cell r="A632" t="str">
            <v>90327</v>
          </cell>
          <cell r="B632" t="str">
            <v>Банкнинг кимматли когозлари бланкалари</v>
          </cell>
          <cell r="C632">
            <v>-8640</v>
          </cell>
          <cell r="D632">
            <v>0</v>
          </cell>
          <cell r="E632">
            <v>0</v>
          </cell>
          <cell r="F632">
            <v>-8640</v>
          </cell>
          <cell r="G632">
            <v>0</v>
          </cell>
        </row>
        <row r="633">
          <cell r="A633" t="str">
            <v>90337</v>
          </cell>
          <cell r="B633" t="str">
            <v>Банкнинг сотиб олинган кимматли когозлари</v>
          </cell>
          <cell r="C633">
            <v>-1</v>
          </cell>
          <cell r="D633">
            <v>0</v>
          </cell>
          <cell r="E633">
            <v>0</v>
          </cell>
          <cell r="F633">
            <v>-1</v>
          </cell>
          <cell r="G633">
            <v>0</v>
          </cell>
        </row>
        <row r="634">
          <cell r="A634" t="str">
            <v>Итого</v>
          </cell>
          <cell r="B634" t="str">
            <v>90300</v>
          </cell>
          <cell r="C634">
            <v>-8641</v>
          </cell>
          <cell r="D634">
            <v>0</v>
          </cell>
          <cell r="E634">
            <v>0</v>
          </cell>
          <cell r="F634">
            <v>-8641</v>
          </cell>
          <cell r="G634">
            <v>0</v>
          </cell>
        </row>
        <row r="635">
          <cell r="A635" t="str">
            <v>90400</v>
          </cell>
          <cell r="B635" t="str">
            <v>Банкнинг пластик карталари, терминаллари, банкоматлари ва инфокиоскалари</v>
          </cell>
        </row>
        <row r="636">
          <cell r="A636" t="str">
            <v>90402</v>
          </cell>
          <cell r="B636" t="str">
            <v>Банк томонидан муомалага чикарилган жисмоний шахсларнинг пластик карталари</v>
          </cell>
          <cell r="C636">
            <v>-890816</v>
          </cell>
          <cell r="D636">
            <v>0</v>
          </cell>
          <cell r="E636">
            <v>0</v>
          </cell>
          <cell r="F636">
            <v>-890816</v>
          </cell>
          <cell r="G636">
            <v>0</v>
          </cell>
        </row>
        <row r="637">
          <cell r="A637" t="str">
            <v>90404</v>
          </cell>
          <cell r="B637" t="str">
            <v>Банк томонидан муомалага чикарилган юридик шахсларнинг корпоратив пластик карталари</v>
          </cell>
          <cell r="C637">
            <v>-7752</v>
          </cell>
          <cell r="D637">
            <v>0</v>
          </cell>
          <cell r="E637">
            <v>0</v>
          </cell>
          <cell r="F637">
            <v>-7752</v>
          </cell>
          <cell r="G637">
            <v>0</v>
          </cell>
        </row>
        <row r="638">
          <cell r="A638" t="str">
            <v>90406</v>
          </cell>
          <cell r="B638" t="str">
            <v>Банк томонидан муомалага чикарилган якка тартибдаги тадбиркорларнинг корпоратив пластик карталари</v>
          </cell>
          <cell r="C638">
            <v>-8312</v>
          </cell>
          <cell r="D638">
            <v>0</v>
          </cell>
          <cell r="E638">
            <v>0</v>
          </cell>
          <cell r="F638">
            <v>-8312</v>
          </cell>
          <cell r="G638">
            <v>0</v>
          </cell>
        </row>
        <row r="639">
          <cell r="A639" t="str">
            <v>90410</v>
          </cell>
          <cell r="B639" t="str">
            <v>Банк томонидан урнатилган терминаллар</v>
          </cell>
          <cell r="C639">
            <v>-23023</v>
          </cell>
          <cell r="D639">
            <v>-1</v>
          </cell>
          <cell r="E639">
            <v>0</v>
          </cell>
          <cell r="F639">
            <v>-23022</v>
          </cell>
          <cell r="G639">
            <v>0</v>
          </cell>
        </row>
        <row r="640">
          <cell r="A640" t="str">
            <v>90412</v>
          </cell>
          <cell r="B640" t="str">
            <v>Банк томонидан урнатилган банкоматлар</v>
          </cell>
          <cell r="C640">
            <v>-146</v>
          </cell>
          <cell r="D640">
            <v>0</v>
          </cell>
          <cell r="E640">
            <v>0</v>
          </cell>
          <cell r="F640">
            <v>-146</v>
          </cell>
          <cell r="G640">
            <v>0</v>
          </cell>
        </row>
        <row r="641">
          <cell r="A641" t="str">
            <v>90414</v>
          </cell>
          <cell r="B641" t="str">
            <v>Банк томонидан урнатилган инфокиоскалар</v>
          </cell>
          <cell r="C641">
            <v>-20</v>
          </cell>
          <cell r="D641">
            <v>0</v>
          </cell>
          <cell r="E641">
            <v>0</v>
          </cell>
          <cell r="F641">
            <v>-20</v>
          </cell>
          <cell r="G641">
            <v>0</v>
          </cell>
        </row>
        <row r="642">
          <cell r="A642" t="str">
            <v>Итого</v>
          </cell>
          <cell r="B642" t="str">
            <v>90400</v>
          </cell>
          <cell r="C642">
            <v>-930069</v>
          </cell>
          <cell r="D642">
            <v>-1</v>
          </cell>
          <cell r="E642">
            <v>0</v>
          </cell>
          <cell r="F642">
            <v>-930068</v>
          </cell>
          <cell r="G642">
            <v>0</v>
          </cell>
        </row>
        <row r="643">
          <cell r="A643" t="str">
            <v>90900</v>
          </cell>
          <cell r="B643" t="str">
            <v>Савдога оид молиялашлар</v>
          </cell>
        </row>
        <row r="644">
          <cell r="A644" t="str">
            <v>90908</v>
          </cell>
          <cell r="B644" t="str">
            <v>Туловчи томонидан банкларда очилган копланган аккредитив</v>
          </cell>
          <cell r="C644">
            <v>-7394900000</v>
          </cell>
          <cell r="D644">
            <v>0</v>
          </cell>
          <cell r="E644">
            <v>0</v>
          </cell>
          <cell r="F644">
            <v>0</v>
          </cell>
          <cell r="G644">
            <v>-7394900000</v>
          </cell>
        </row>
        <row r="645">
          <cell r="A645" t="str">
            <v>90962</v>
          </cell>
          <cell r="B645" t="str">
            <v>Тулов муддатини кутаётган хисоб-китоб хужжатлари</v>
          </cell>
          <cell r="C645">
            <v>-61472615.469999999</v>
          </cell>
          <cell r="D645">
            <v>0</v>
          </cell>
          <cell r="E645">
            <v>0</v>
          </cell>
          <cell r="F645">
            <v>-61472615.469999999</v>
          </cell>
          <cell r="G645">
            <v>0</v>
          </cell>
        </row>
        <row r="646">
          <cell r="A646" t="str">
            <v>90963</v>
          </cell>
          <cell r="B646" t="str">
            <v>Муддатида туланмаган хисоб-китоб хужжатлари</v>
          </cell>
          <cell r="C646">
            <v>-2094685698459.6899</v>
          </cell>
          <cell r="D646">
            <v>-36488876.890000001</v>
          </cell>
          <cell r="E646">
            <v>0</v>
          </cell>
          <cell r="F646">
            <v>-2094649209582.8</v>
          </cell>
          <cell r="G646">
            <v>0</v>
          </cell>
        </row>
        <row r="647">
          <cell r="A647" t="str">
            <v>90966</v>
          </cell>
          <cell r="B647" t="str">
            <v>Сотиб олинган дебиторлик карзлари - Факторинг</v>
          </cell>
          <cell r="C647">
            <v>-2299998999</v>
          </cell>
          <cell r="D647">
            <v>0</v>
          </cell>
          <cell r="E647">
            <v>0</v>
          </cell>
          <cell r="F647">
            <v>-2299998999</v>
          </cell>
          <cell r="G647">
            <v>0</v>
          </cell>
        </row>
        <row r="648">
          <cell r="A648" t="str">
            <v>90969</v>
          </cell>
          <cell r="B648" t="str">
            <v>Бартер шартномалари</v>
          </cell>
          <cell r="C648">
            <v>-1352235.38</v>
          </cell>
          <cell r="D648">
            <v>0</v>
          </cell>
          <cell r="E648">
            <v>0</v>
          </cell>
          <cell r="F648">
            <v>-1352235.38</v>
          </cell>
          <cell r="G648">
            <v>0</v>
          </cell>
        </row>
        <row r="649">
          <cell r="A649" t="str">
            <v>90993</v>
          </cell>
          <cell r="B649" t="str">
            <v>Кафолат ва кафилликлар</v>
          </cell>
          <cell r="C649">
            <v>-123810302013.75999</v>
          </cell>
          <cell r="D649">
            <v>0</v>
          </cell>
          <cell r="E649">
            <v>0</v>
          </cell>
          <cell r="F649">
            <v>-6700468957.3599997</v>
          </cell>
          <cell r="G649">
            <v>-117109833056.39999</v>
          </cell>
        </row>
        <row r="650">
          <cell r="A650" t="str">
            <v>Итого</v>
          </cell>
          <cell r="B650" t="str">
            <v>90900</v>
          </cell>
          <cell r="C650">
            <v>-2228253724323.2998</v>
          </cell>
          <cell r="D650">
            <v>-36488876.890000001</v>
          </cell>
          <cell r="E650">
            <v>0</v>
          </cell>
          <cell r="F650">
            <v>-2103712502390.01</v>
          </cell>
          <cell r="G650">
            <v>-124504733056.39999</v>
          </cell>
        </row>
        <row r="651">
          <cell r="A651" t="str">
            <v>91500</v>
          </cell>
          <cell r="B651" t="str">
            <v>Активлар буйича фоизлар ва воситачилик хаклари</v>
          </cell>
        </row>
        <row r="652">
          <cell r="A652" t="str">
            <v>91501</v>
          </cell>
          <cell r="B652" t="str">
            <v>Берилган кредитлар ва лизинглар буйича хисобланган фоизлар</v>
          </cell>
          <cell r="C652">
            <v>-50065620294.839996</v>
          </cell>
          <cell r="D652">
            <v>0</v>
          </cell>
          <cell r="E652">
            <v>0</v>
          </cell>
          <cell r="F652">
            <v>-48518970274.040001</v>
          </cell>
          <cell r="G652">
            <v>-1546650020.8</v>
          </cell>
        </row>
        <row r="653">
          <cell r="A653" t="str">
            <v>91505</v>
          </cell>
          <cell r="B653" t="str">
            <v>Бошка активлар буйча фоизлар ва воситачилик хаклари</v>
          </cell>
          <cell r="C653">
            <v>-513695769.61000001</v>
          </cell>
          <cell r="D653">
            <v>0</v>
          </cell>
          <cell r="E653">
            <v>0</v>
          </cell>
          <cell r="F653">
            <v>-513695769.61000001</v>
          </cell>
          <cell r="G653">
            <v>0</v>
          </cell>
        </row>
        <row r="654">
          <cell r="A654" t="str">
            <v>Итого</v>
          </cell>
          <cell r="B654" t="str">
            <v>91500</v>
          </cell>
          <cell r="C654">
            <v>-50579316064.449997</v>
          </cell>
          <cell r="D654">
            <v>0</v>
          </cell>
          <cell r="E654">
            <v>0</v>
          </cell>
          <cell r="F654">
            <v>-49032666043.650002</v>
          </cell>
          <cell r="G654">
            <v>-1546650020.8</v>
          </cell>
        </row>
        <row r="655">
          <cell r="A655" t="str">
            <v>91800</v>
          </cell>
          <cell r="B655" t="str">
            <v>Банкнинг кредит ва лизинг мажбуриятлари</v>
          </cell>
        </row>
        <row r="656">
          <cell r="A656" t="str">
            <v>91809</v>
          </cell>
          <cell r="B656" t="str">
            <v>Банкнинг кредит ва лизинг бериш мажбурияти</v>
          </cell>
          <cell r="C656">
            <v>-694167298350.84998</v>
          </cell>
          <cell r="D656">
            <v>0</v>
          </cell>
          <cell r="E656">
            <v>0</v>
          </cell>
          <cell r="F656">
            <v>-246667479839.45001</v>
          </cell>
          <cell r="G656">
            <v>-447499818511.40002</v>
          </cell>
        </row>
        <row r="657">
          <cell r="A657" t="str">
            <v>Итого</v>
          </cell>
          <cell r="B657" t="str">
            <v>91800</v>
          </cell>
          <cell r="C657">
            <v>-694167298350.84998</v>
          </cell>
          <cell r="D657">
            <v>0</v>
          </cell>
          <cell r="E657">
            <v>0</v>
          </cell>
          <cell r="F657">
            <v>-246667479839.45001</v>
          </cell>
          <cell r="G657">
            <v>-447499818511.40002</v>
          </cell>
        </row>
        <row r="658">
          <cell r="A658" t="str">
            <v>91900</v>
          </cell>
          <cell r="B658" t="str">
            <v>Карздорларнинг кредит ва лизинг мажбуриятлари</v>
          </cell>
        </row>
        <row r="659">
          <cell r="A659" t="str">
            <v>91901</v>
          </cell>
          <cell r="B659" t="str">
            <v>Карздорларнинг киска муддатли кредитлар буйича мажбуриятлари</v>
          </cell>
          <cell r="C659">
            <v>-405843528372.12</v>
          </cell>
          <cell r="D659">
            <v>0</v>
          </cell>
          <cell r="E659">
            <v>0</v>
          </cell>
          <cell r="F659">
            <v>-308689063119.32001</v>
          </cell>
          <cell r="G659">
            <v>-97154465252.800003</v>
          </cell>
        </row>
        <row r="660">
          <cell r="A660" t="str">
            <v>91905</v>
          </cell>
          <cell r="B660" t="str">
            <v>Карздорларнинг узок муддатли кредитлар ва лизинглар буйича мажбуриятлари</v>
          </cell>
          <cell r="C660">
            <v>-5013471524365.0303</v>
          </cell>
          <cell r="D660">
            <v>-54999876.710000001</v>
          </cell>
          <cell r="E660">
            <v>0</v>
          </cell>
          <cell r="F660">
            <v>-3154040077666.4302</v>
          </cell>
          <cell r="G660">
            <v>-1859376446821.8899</v>
          </cell>
        </row>
        <row r="661">
          <cell r="A661" t="str">
            <v>91907</v>
          </cell>
          <cell r="B661" t="str">
            <v>Карздорларнинг Хукуматдан олинган узок муддатли кредитлари ва лизинглар буйича мажбуриятлари</v>
          </cell>
          <cell r="C661">
            <v>-219190100</v>
          </cell>
          <cell r="D661">
            <v>0</v>
          </cell>
          <cell r="E661">
            <v>0</v>
          </cell>
          <cell r="F661">
            <v>-219190100</v>
          </cell>
          <cell r="G661">
            <v>0</v>
          </cell>
        </row>
        <row r="662">
          <cell r="A662" t="str">
            <v>Итого</v>
          </cell>
          <cell r="B662" t="str">
            <v>91900</v>
          </cell>
          <cell r="C662">
            <v>-5419534242837.1504</v>
          </cell>
          <cell r="D662">
            <v>-54999876.710000001</v>
          </cell>
          <cell r="E662">
            <v>0</v>
          </cell>
          <cell r="F662">
            <v>-3462948330885.75</v>
          </cell>
          <cell r="G662">
            <v>-1956530912074.6899</v>
          </cell>
        </row>
        <row r="663">
          <cell r="A663" t="str">
            <v>92800</v>
          </cell>
          <cell r="B663" t="str">
            <v>Кимматли когозларни буйича муддатли битимлар</v>
          </cell>
        </row>
        <row r="664">
          <cell r="A664" t="str">
            <v>92802</v>
          </cell>
          <cell r="B664" t="str">
            <v>Кимматли когозларни сотиб олиш буйича муддатли битимлар</v>
          </cell>
          <cell r="C664">
            <v>-135000000000</v>
          </cell>
          <cell r="D664">
            <v>0</v>
          </cell>
          <cell r="E664">
            <v>0</v>
          </cell>
          <cell r="F664">
            <v>-135000000000</v>
          </cell>
          <cell r="G664">
            <v>0</v>
          </cell>
        </row>
        <row r="665">
          <cell r="A665" t="str">
            <v>Итого</v>
          </cell>
          <cell r="B665" t="str">
            <v>92800</v>
          </cell>
          <cell r="C665">
            <v>-135000000000</v>
          </cell>
          <cell r="D665">
            <v>0</v>
          </cell>
          <cell r="E665">
            <v>0</v>
          </cell>
          <cell r="F665">
            <v>-135000000000</v>
          </cell>
          <cell r="G665">
            <v>0</v>
          </cell>
        </row>
        <row r="666">
          <cell r="A666" t="str">
            <v>93600</v>
          </cell>
          <cell r="B666" t="str">
            <v>Сакланаётган кимматли когозлар ва бошка кимматбохо буюмлар</v>
          </cell>
        </row>
        <row r="667">
          <cell r="A667" t="str">
            <v>93609</v>
          </cell>
          <cell r="B667" t="str">
            <v>Сакланаётган кимматбахо буюмлар</v>
          </cell>
          <cell r="C667">
            <v>-23358334</v>
          </cell>
          <cell r="D667">
            <v>0</v>
          </cell>
          <cell r="E667">
            <v>0</v>
          </cell>
          <cell r="F667">
            <v>-23358334</v>
          </cell>
          <cell r="G667">
            <v>0</v>
          </cell>
        </row>
        <row r="668">
          <cell r="A668" t="str">
            <v>Итого</v>
          </cell>
          <cell r="B668" t="str">
            <v>93600</v>
          </cell>
          <cell r="C668">
            <v>-23358334</v>
          </cell>
          <cell r="D668">
            <v>0</v>
          </cell>
          <cell r="E668">
            <v>0</v>
          </cell>
          <cell r="F668">
            <v>-23358334</v>
          </cell>
          <cell r="G668">
            <v>0</v>
          </cell>
        </row>
        <row r="669">
          <cell r="A669" t="str">
            <v>94500</v>
          </cell>
          <cell r="B669" t="str">
            <v>Гаров сифатидаги кимматли когозлар, мулклар ва мулкий хукук(талаб)лар</v>
          </cell>
        </row>
        <row r="670">
          <cell r="A670" t="str">
            <v>94502</v>
          </cell>
          <cell r="B670" t="str">
            <v>Гаров сифатида олинган мулклар ва мулкий хукук(талаб)лар</v>
          </cell>
          <cell r="C670">
            <v>-12508325183625.301</v>
          </cell>
          <cell r="D670">
            <v>0</v>
          </cell>
          <cell r="E670">
            <v>0</v>
          </cell>
          <cell r="F670">
            <v>-4204258841484.3599</v>
          </cell>
          <cell r="G670">
            <v>-8304066342141</v>
          </cell>
        </row>
        <row r="671">
          <cell r="A671" t="str">
            <v>94503</v>
          </cell>
          <cell r="B671" t="str">
            <v>Гаров сифатида олинган кафолат ва кафилликлар</v>
          </cell>
          <cell r="C671">
            <v>-6067614663879.5303</v>
          </cell>
          <cell r="D671">
            <v>-68750000</v>
          </cell>
          <cell r="E671">
            <v>0</v>
          </cell>
          <cell r="F671">
            <v>-6049841020797.9297</v>
          </cell>
          <cell r="G671">
            <v>-17704893081.599998</v>
          </cell>
        </row>
        <row r="672">
          <cell r="A672" t="str">
            <v>Итого</v>
          </cell>
          <cell r="B672" t="str">
            <v>94500</v>
          </cell>
          <cell r="C672">
            <v>-18575939847504.801</v>
          </cell>
          <cell r="D672">
            <v>-68750000</v>
          </cell>
          <cell r="E672">
            <v>0</v>
          </cell>
          <cell r="F672">
            <v>-10254099862282.199</v>
          </cell>
          <cell r="G672">
            <v>-8321771235222.5996</v>
          </cell>
        </row>
        <row r="673">
          <cell r="A673" t="str">
            <v>95400</v>
          </cell>
          <cell r="B673" t="str">
            <v>Бошка кузда тутилмаган холатлар хисобвараклари</v>
          </cell>
        </row>
        <row r="674">
          <cell r="A674" t="str">
            <v>95409</v>
          </cell>
          <cell r="B674" t="str">
            <v>Карздорга билдирилган даъволар буйича олинадиган маблаглар</v>
          </cell>
          <cell r="C674">
            <v>-21791691.620000001</v>
          </cell>
          <cell r="D674">
            <v>0</v>
          </cell>
          <cell r="E674">
            <v>0</v>
          </cell>
          <cell r="F674">
            <v>-21791691.620000001</v>
          </cell>
          <cell r="G674">
            <v>0</v>
          </cell>
        </row>
        <row r="675">
          <cell r="A675" t="str">
            <v>95413</v>
          </cell>
          <cell r="B675" t="str">
            <v>Хисобдан чикарилган кредитлар</v>
          </cell>
          <cell r="C675">
            <v>-92554419676.699997</v>
          </cell>
          <cell r="D675">
            <v>0</v>
          </cell>
          <cell r="E675">
            <v>0</v>
          </cell>
          <cell r="F675">
            <v>-92554419676.699997</v>
          </cell>
          <cell r="G675">
            <v>0</v>
          </cell>
        </row>
        <row r="676">
          <cell r="A676" t="str">
            <v>95497</v>
          </cell>
          <cell r="B676" t="str">
            <v>Бошка кузда тутилмаган холатлар хисобвараклари</v>
          </cell>
          <cell r="C676">
            <v>-25741561266.41</v>
          </cell>
          <cell r="D676">
            <v>0</v>
          </cell>
          <cell r="E676">
            <v>0</v>
          </cell>
          <cell r="F676">
            <v>-23602696858.41</v>
          </cell>
          <cell r="G676">
            <v>-2138864408</v>
          </cell>
        </row>
        <row r="677">
          <cell r="A677" t="str">
            <v>Итого</v>
          </cell>
          <cell r="B677" t="str">
            <v>95400</v>
          </cell>
          <cell r="C677">
            <v>-118317772634.73</v>
          </cell>
          <cell r="D677">
            <v>0</v>
          </cell>
          <cell r="E677">
            <v>0</v>
          </cell>
          <cell r="F677">
            <v>-116178908226.73</v>
          </cell>
          <cell r="G677">
            <v>-2138864408</v>
          </cell>
        </row>
        <row r="678">
          <cell r="A678" t="str">
            <v>96300</v>
          </cell>
          <cell r="B678" t="str">
            <v>Кузда тутилмаган холатлар контр-хисобвараклари</v>
          </cell>
        </row>
        <row r="679">
          <cell r="A679" t="str">
            <v>96303</v>
          </cell>
          <cell r="B679" t="str">
            <v>Банкнотлар, тангалар ва бошка кимматликлар харакати буйича контр-хисобварак</v>
          </cell>
          <cell r="C679">
            <v>3941</v>
          </cell>
          <cell r="D679">
            <v>0</v>
          </cell>
          <cell r="E679">
            <v>0</v>
          </cell>
          <cell r="F679">
            <v>3941</v>
          </cell>
          <cell r="G679">
            <v>0</v>
          </cell>
        </row>
        <row r="680">
          <cell r="A680" t="str">
            <v>96308</v>
          </cell>
          <cell r="B680" t="str">
            <v>Копланган аккредитив буйича контр-хисобварак</v>
          </cell>
          <cell r="C680">
            <v>7394900000</v>
          </cell>
          <cell r="D680">
            <v>0</v>
          </cell>
          <cell r="E680">
            <v>0</v>
          </cell>
          <cell r="F680">
            <v>0</v>
          </cell>
          <cell r="G680">
            <v>7394900000</v>
          </cell>
        </row>
        <row r="681">
          <cell r="A681" t="str">
            <v>96311</v>
          </cell>
          <cell r="B681" t="str">
            <v>Банк томонидан муомалага чикарилган пластик карталар буйича контр-хисобварак</v>
          </cell>
          <cell r="C681">
            <v>906880</v>
          </cell>
          <cell r="D681">
            <v>0</v>
          </cell>
          <cell r="E681">
            <v>0</v>
          </cell>
          <cell r="F681">
            <v>906880</v>
          </cell>
          <cell r="G681">
            <v>0</v>
          </cell>
        </row>
        <row r="682">
          <cell r="A682" t="str">
            <v>96313</v>
          </cell>
          <cell r="B682" t="str">
            <v>Банк томонидан урнатилган терминаллар, банкоматлар ва инфокиоскалар буйича контр-хисобварак</v>
          </cell>
          <cell r="C682">
            <v>23189</v>
          </cell>
          <cell r="D682">
            <v>1</v>
          </cell>
          <cell r="E682">
            <v>0</v>
          </cell>
          <cell r="F682">
            <v>23188</v>
          </cell>
          <cell r="G682">
            <v>0</v>
          </cell>
        </row>
        <row r="683">
          <cell r="A683" t="str">
            <v>96314</v>
          </cell>
          <cell r="B683" t="str">
            <v>Банкнинг кимматли когозлари буйича контр-хисобварак</v>
          </cell>
          <cell r="C683">
            <v>8639</v>
          </cell>
          <cell r="D683">
            <v>0</v>
          </cell>
          <cell r="E683">
            <v>0</v>
          </cell>
          <cell r="F683">
            <v>8639</v>
          </cell>
          <cell r="G683">
            <v>0</v>
          </cell>
        </row>
        <row r="684">
          <cell r="A684" t="str">
            <v>96317</v>
          </cell>
          <cell r="B684" t="str">
            <v>Бартер шартномалари буйича контр-хисобварак</v>
          </cell>
          <cell r="C684">
            <v>1352235.38</v>
          </cell>
          <cell r="D684">
            <v>0</v>
          </cell>
          <cell r="E684">
            <v>0</v>
          </cell>
          <cell r="F684">
            <v>1352235.38</v>
          </cell>
          <cell r="G684">
            <v>0</v>
          </cell>
        </row>
        <row r="685">
          <cell r="A685" t="str">
            <v>96319</v>
          </cell>
          <cell r="B685" t="str">
            <v>Тулов муддатини кутаётган хисоб-китоб хужжатлари буйича контр-хисобварак</v>
          </cell>
          <cell r="C685">
            <v>61472615.469999999</v>
          </cell>
          <cell r="D685">
            <v>0</v>
          </cell>
          <cell r="E685">
            <v>0</v>
          </cell>
          <cell r="F685">
            <v>61472615.469999999</v>
          </cell>
          <cell r="G685">
            <v>0</v>
          </cell>
        </row>
        <row r="686">
          <cell r="A686" t="str">
            <v>96321</v>
          </cell>
          <cell r="B686" t="str">
            <v>Муддатида туланмаган хисоб-китоб хужжатлари буйича контр-хисобварак</v>
          </cell>
          <cell r="C686">
            <v>2094685698459.6899</v>
          </cell>
          <cell r="D686">
            <v>36488876.890000001</v>
          </cell>
          <cell r="E686">
            <v>0</v>
          </cell>
          <cell r="F686">
            <v>2094649209582.8</v>
          </cell>
          <cell r="G686">
            <v>0</v>
          </cell>
        </row>
        <row r="687">
          <cell r="A687" t="str">
            <v>96331</v>
          </cell>
          <cell r="B687" t="str">
            <v>Сотиб олинган дебиторлик карзлари - Факторинг буйича контр-хисобварак</v>
          </cell>
          <cell r="C687">
            <v>2299998999</v>
          </cell>
          <cell r="D687">
            <v>0</v>
          </cell>
          <cell r="E687">
            <v>0</v>
          </cell>
          <cell r="F687">
            <v>2299998999</v>
          </cell>
          <cell r="G687">
            <v>0</v>
          </cell>
        </row>
        <row r="688">
          <cell r="A688" t="str">
            <v>96335</v>
          </cell>
          <cell r="B688" t="str">
            <v>Активлар буйича фоизлар ва воситачилик хаклари контр-хисобвараги</v>
          </cell>
          <cell r="C688">
            <v>50579316064.449997</v>
          </cell>
          <cell r="D688">
            <v>0</v>
          </cell>
          <cell r="E688">
            <v>0</v>
          </cell>
          <cell r="F688">
            <v>49032666043.650002</v>
          </cell>
          <cell r="G688">
            <v>1546650020.8</v>
          </cell>
        </row>
        <row r="689">
          <cell r="A689" t="str">
            <v>96337</v>
          </cell>
          <cell r="B689" t="str">
            <v>Кафолат ва кафилликлар буйича контр-хисобварак</v>
          </cell>
          <cell r="C689">
            <v>123817692065.78</v>
          </cell>
          <cell r="D689">
            <v>0</v>
          </cell>
          <cell r="E689">
            <v>0</v>
          </cell>
          <cell r="F689">
            <v>6707859009.3800001</v>
          </cell>
          <cell r="G689">
            <v>117109833056.39999</v>
          </cell>
        </row>
        <row r="690">
          <cell r="A690" t="str">
            <v>96345</v>
          </cell>
          <cell r="B690" t="str">
            <v>Карздорларнинг киска муддатли кредитлар буйича мажбуриятлари контр-хисобвараги</v>
          </cell>
          <cell r="C690">
            <v>405843528372.12</v>
          </cell>
          <cell r="D690">
            <v>0</v>
          </cell>
          <cell r="E690">
            <v>0</v>
          </cell>
          <cell r="F690">
            <v>308689063119.32001</v>
          </cell>
          <cell r="G690">
            <v>97154465252.800003</v>
          </cell>
        </row>
        <row r="691">
          <cell r="A691" t="str">
            <v>96349</v>
          </cell>
          <cell r="B691" t="str">
            <v>Карздорларнинг узок муддатли кредитлар ва лизинглар буйича мажбуриятлари контр-хисобвараги</v>
          </cell>
          <cell r="C691">
            <v>5013690714465.0303</v>
          </cell>
          <cell r="D691">
            <v>54999876.710000001</v>
          </cell>
          <cell r="E691">
            <v>0</v>
          </cell>
          <cell r="F691">
            <v>3154259267766.4302</v>
          </cell>
          <cell r="G691">
            <v>1859376446821.8899</v>
          </cell>
        </row>
        <row r="692">
          <cell r="A692" t="str">
            <v>96351</v>
          </cell>
          <cell r="B692" t="str">
            <v>Банкнинг кредит ва лизинг бериш мажбурияти буйича контр-хисобварак</v>
          </cell>
          <cell r="C692">
            <v>694167298350.84998</v>
          </cell>
          <cell r="D692">
            <v>0</v>
          </cell>
          <cell r="E692">
            <v>0</v>
          </cell>
          <cell r="F692">
            <v>246667479839.45001</v>
          </cell>
          <cell r="G692">
            <v>447499818511.40002</v>
          </cell>
        </row>
        <row r="693">
          <cell r="A693" t="str">
            <v>96374</v>
          </cell>
          <cell r="B693" t="str">
            <v>Кимматли когозларни сотиб олиш буйича муддатли битимлар контр-хисобвараги</v>
          </cell>
          <cell r="C693">
            <v>135000000000</v>
          </cell>
          <cell r="D693">
            <v>0</v>
          </cell>
          <cell r="E693">
            <v>0</v>
          </cell>
          <cell r="F693">
            <v>135000000000</v>
          </cell>
          <cell r="G693">
            <v>0</v>
          </cell>
        </row>
        <row r="694">
          <cell r="A694" t="str">
            <v>96379</v>
          </cell>
          <cell r="B694" t="str">
            <v>Сакланаётган кимматли когозлар ва бошка кимматбахо буюмлар буйича контр-хисобварак</v>
          </cell>
          <cell r="C694">
            <v>23358336</v>
          </cell>
          <cell r="D694">
            <v>0</v>
          </cell>
          <cell r="E694">
            <v>0</v>
          </cell>
          <cell r="F694">
            <v>23358336</v>
          </cell>
          <cell r="G694">
            <v>0</v>
          </cell>
        </row>
        <row r="695">
          <cell r="A695" t="str">
            <v>96381</v>
          </cell>
          <cell r="B695" t="str">
            <v>Гаров сифатидаги кимматли когозлар, мулклар ва мулкий хукук(талаб)лар буйича контр-хисобварак</v>
          </cell>
          <cell r="C695">
            <v>18575939847504.801</v>
          </cell>
          <cell r="D695">
            <v>68750000</v>
          </cell>
          <cell r="E695">
            <v>0</v>
          </cell>
          <cell r="F695">
            <v>10254099862282.199</v>
          </cell>
          <cell r="G695">
            <v>8321771235222.5996</v>
          </cell>
        </row>
        <row r="696">
          <cell r="A696" t="str">
            <v>96397</v>
          </cell>
          <cell r="B696" t="str">
            <v>Бошка кузда тутилмаган холатлар хисобвараклари буйича контр-хисобварак</v>
          </cell>
          <cell r="C696">
            <v>118310382582.71001</v>
          </cell>
          <cell r="D696">
            <v>0</v>
          </cell>
          <cell r="E696">
            <v>0</v>
          </cell>
          <cell r="F696">
            <v>116171518174.71001</v>
          </cell>
          <cell r="G696">
            <v>2138864408</v>
          </cell>
        </row>
        <row r="697">
          <cell r="A697" t="str">
            <v>Итого</v>
          </cell>
          <cell r="B697" t="str">
            <v>96300</v>
          </cell>
          <cell r="C697">
            <v>27221816502700.301</v>
          </cell>
          <cell r="D697">
            <v>160238754.59999999</v>
          </cell>
          <cell r="E697">
            <v>0</v>
          </cell>
          <cell r="F697">
            <v>16367664050651.801</v>
          </cell>
          <cell r="G697">
            <v>10853992213293.801</v>
          </cell>
        </row>
        <row r="698">
          <cell r="A698" t="str">
            <v>Итого</v>
          </cell>
          <cell r="B698" t="str">
            <v>КУЗДА ТУТИЛМАГАН ХОЛАТЛАР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D90"/>
  <sheetViews>
    <sheetView tabSelected="1" zoomScale="70" zoomScaleNormal="70" zoomScaleSheetLayoutView="100" workbookViewId="0">
      <pane xSplit="2" ySplit="4" topLeftCell="C5" activePane="bottomRight" state="frozen"/>
      <selection activeCell="B3" sqref="B3:B6"/>
      <selection pane="topRight" activeCell="B3" sqref="B3:B6"/>
      <selection pane="bottomLeft" activeCell="B3" sqref="B3:B6"/>
      <selection pane="bottomRight" activeCell="C3" sqref="C3"/>
    </sheetView>
  </sheetViews>
  <sheetFormatPr defaultRowHeight="15" customHeight="1"/>
  <cols>
    <col min="1" max="1" width="7" style="89" customWidth="1"/>
    <col min="2" max="2" width="77.85546875" style="59" customWidth="1"/>
    <col min="3" max="5" width="20" style="59" customWidth="1"/>
    <col min="6" max="8" width="12.5703125" style="303" customWidth="1"/>
    <col min="9" max="9" width="5.85546875" style="303" customWidth="1"/>
    <col min="10" max="13" width="6.140625" style="303" customWidth="1"/>
    <col min="14" max="20" width="6.140625" style="190" customWidth="1"/>
    <col min="21" max="22" width="9.140625" style="190"/>
    <col min="23" max="16384" width="9.140625" style="59"/>
  </cols>
  <sheetData>
    <row r="1" spans="1:22" ht="15" customHeight="1">
      <c r="A1" s="555" t="s">
        <v>426</v>
      </c>
      <c r="B1" s="555"/>
      <c r="C1" s="555"/>
      <c r="D1" s="555"/>
      <c r="E1" s="88" t="s">
        <v>400</v>
      </c>
      <c r="F1" s="409"/>
      <c r="G1" s="541" t="s">
        <v>537</v>
      </c>
      <c r="H1" s="542"/>
    </row>
    <row r="2" spans="1:22" ht="15" customHeight="1">
      <c r="B2" s="90" t="str">
        <f>IF(C3&gt;0," "&amp;TEXT(C3,"д ММММ, гггг"),"Число,Месяц,Год")</f>
        <v xml:space="preserve"> 31 Декабрь, 2020</v>
      </c>
      <c r="C2" s="67"/>
      <c r="D2" s="549"/>
      <c r="E2" s="67"/>
    </row>
    <row r="3" spans="1:22" ht="15" customHeight="1">
      <c r="B3" s="199" t="s">
        <v>552</v>
      </c>
      <c r="C3" s="337">
        <v>44196</v>
      </c>
      <c r="D3" s="184"/>
      <c r="E3" s="200" t="s">
        <v>250</v>
      </c>
    </row>
    <row r="4" spans="1:22" ht="43.5" customHeight="1">
      <c r="A4" s="256" t="s">
        <v>79</v>
      </c>
      <c r="B4" s="256" t="s">
        <v>0</v>
      </c>
      <c r="C4" s="256" t="s">
        <v>236</v>
      </c>
      <c r="D4" s="256" t="s">
        <v>237</v>
      </c>
      <c r="E4" s="256" t="s">
        <v>238</v>
      </c>
      <c r="F4" s="304"/>
      <c r="G4" s="304"/>
      <c r="H4" s="304"/>
      <c r="I4" s="304"/>
      <c r="J4" s="304"/>
      <c r="K4" s="304"/>
      <c r="L4" s="304"/>
      <c r="M4" s="304"/>
      <c r="N4" s="191"/>
      <c r="O4" s="191"/>
      <c r="P4" s="191"/>
      <c r="Q4" s="191"/>
      <c r="R4" s="191"/>
      <c r="S4" s="191"/>
      <c r="T4" s="191"/>
      <c r="U4" s="191"/>
    </row>
    <row r="5" spans="1:22" ht="15" customHeight="1">
      <c r="A5" s="91">
        <v>1</v>
      </c>
      <c r="B5" s="92" t="s">
        <v>289</v>
      </c>
      <c r="C5" s="19">
        <f>+D5+E5</f>
        <v>149272179</v>
      </c>
      <c r="D5" s="19">
        <f>+'Bank Assets Analysis'!T7</f>
        <v>68880720</v>
      </c>
      <c r="E5" s="19">
        <f>+'Bank Assets Analysis'!U7</f>
        <v>80391459</v>
      </c>
      <c r="F5" s="304"/>
      <c r="G5" s="304"/>
      <c r="I5" s="304"/>
      <c r="J5" s="305">
        <f t="shared" ref="J5:J45" si="0">+C5-D5-E5</f>
        <v>0</v>
      </c>
      <c r="K5" s="304"/>
      <c r="L5" s="304"/>
      <c r="M5" s="304"/>
      <c r="N5" s="191"/>
      <c r="O5" s="191"/>
      <c r="P5" s="191"/>
      <c r="Q5" s="191"/>
      <c r="R5" s="191"/>
      <c r="S5" s="191"/>
      <c r="T5" s="191"/>
      <c r="U5" s="191"/>
    </row>
    <row r="6" spans="1:22" ht="15" customHeight="1">
      <c r="A6" s="91">
        <v>2</v>
      </c>
      <c r="B6" s="92" t="s">
        <v>251</v>
      </c>
      <c r="C6" s="93">
        <f>+D6+E6</f>
        <v>105262662</v>
      </c>
      <c r="D6" s="19">
        <f>+'Bank Assets Analysis'!T9+'Bank Assets Analysis'!T10</f>
        <v>105262662</v>
      </c>
      <c r="E6" s="19">
        <f>+'Bank Assets Analysis'!U9+'Bank Assets Analysis'!U10</f>
        <v>0</v>
      </c>
      <c r="F6" s="304"/>
      <c r="G6" s="304"/>
      <c r="I6" s="304"/>
      <c r="J6" s="305">
        <f t="shared" si="0"/>
        <v>0</v>
      </c>
      <c r="K6" s="304"/>
      <c r="L6" s="304"/>
      <c r="M6" s="304"/>
      <c r="N6" s="191"/>
      <c r="O6" s="191"/>
      <c r="P6" s="191"/>
      <c r="Q6" s="191"/>
      <c r="R6" s="191"/>
      <c r="S6" s="191"/>
      <c r="T6" s="191"/>
      <c r="U6" s="191"/>
    </row>
    <row r="7" spans="1:22" ht="15" customHeight="1">
      <c r="A7" s="91">
        <v>3</v>
      </c>
      <c r="B7" s="92" t="s">
        <v>290</v>
      </c>
      <c r="C7" s="98">
        <f>+'Bank Assets Analysis'!S11</f>
        <v>580224504</v>
      </c>
      <c r="D7" s="98">
        <f>+'Bank Assets Analysis'!T11</f>
        <v>324137587</v>
      </c>
      <c r="E7" s="98">
        <f>+'Bank Assets Analysis'!U11</f>
        <v>256086917</v>
      </c>
      <c r="F7" s="304"/>
      <c r="G7" s="304"/>
      <c r="I7" s="304"/>
      <c r="J7" s="305">
        <f t="shared" si="0"/>
        <v>0</v>
      </c>
      <c r="K7" s="304"/>
      <c r="L7" s="304"/>
      <c r="M7" s="304"/>
      <c r="N7" s="191"/>
      <c r="O7" s="191"/>
      <c r="P7" s="191"/>
      <c r="Q7" s="191"/>
      <c r="R7" s="191"/>
      <c r="S7" s="191"/>
      <c r="T7" s="191"/>
      <c r="U7" s="191"/>
    </row>
    <row r="8" spans="1:22" ht="15" customHeight="1">
      <c r="A8" s="91" t="s">
        <v>220</v>
      </c>
      <c r="B8" s="94" t="s">
        <v>291</v>
      </c>
      <c r="C8" s="19">
        <f t="shared" ref="C8:C13" si="1">+D8+E8</f>
        <v>581570089</v>
      </c>
      <c r="D8" s="15">
        <v>324137587</v>
      </c>
      <c r="E8" s="15">
        <v>257432502</v>
      </c>
      <c r="F8" s="304"/>
      <c r="G8" s="304"/>
      <c r="I8" s="304"/>
      <c r="J8" s="305">
        <f t="shared" si="0"/>
        <v>0</v>
      </c>
      <c r="K8" s="304"/>
      <c r="L8" s="304"/>
      <c r="M8" s="304"/>
      <c r="N8" s="191"/>
      <c r="O8" s="191"/>
      <c r="P8" s="191"/>
      <c r="Q8" s="191"/>
      <c r="R8" s="191"/>
      <c r="S8" s="191"/>
      <c r="T8" s="191"/>
      <c r="U8" s="191"/>
    </row>
    <row r="9" spans="1:22" ht="15" customHeight="1">
      <c r="A9" s="91" t="s">
        <v>221</v>
      </c>
      <c r="B9" s="94" t="s">
        <v>292</v>
      </c>
      <c r="C9" s="19">
        <f t="shared" si="1"/>
        <v>1345585</v>
      </c>
      <c r="D9" s="15">
        <v>0</v>
      </c>
      <c r="E9" s="15">
        <v>1345585</v>
      </c>
      <c r="F9" s="304"/>
      <c r="G9" s="304"/>
      <c r="I9" s="304"/>
      <c r="J9" s="305">
        <f t="shared" si="0"/>
        <v>0</v>
      </c>
      <c r="K9" s="304"/>
      <c r="L9" s="304"/>
      <c r="M9" s="304"/>
      <c r="N9" s="191"/>
      <c r="O9" s="191"/>
      <c r="P9" s="191"/>
      <c r="Q9" s="191"/>
      <c r="R9" s="191"/>
      <c r="S9" s="191"/>
      <c r="T9" s="191"/>
      <c r="U9" s="191"/>
    </row>
    <row r="10" spans="1:22" s="96" customFormat="1" ht="15" customHeight="1">
      <c r="A10" s="91">
        <v>4</v>
      </c>
      <c r="B10" s="197" t="s">
        <v>134</v>
      </c>
      <c r="C10" s="98">
        <f t="shared" si="1"/>
        <v>146874000</v>
      </c>
      <c r="D10" s="98">
        <f>+'Investment Securities'!C29</f>
        <v>146874000</v>
      </c>
      <c r="E10" s="98">
        <f>+'Investment Securities'!D29</f>
        <v>0</v>
      </c>
      <c r="F10" s="304"/>
      <c r="G10" s="303"/>
      <c r="H10" s="303"/>
      <c r="I10" s="304"/>
      <c r="J10" s="305">
        <f t="shared" si="0"/>
        <v>0</v>
      </c>
      <c r="K10" s="304"/>
      <c r="L10" s="304"/>
      <c r="M10" s="304"/>
      <c r="N10" s="191"/>
      <c r="O10" s="191"/>
      <c r="P10" s="191"/>
      <c r="Q10" s="191"/>
      <c r="R10" s="191"/>
      <c r="S10" s="191"/>
      <c r="T10" s="191"/>
      <c r="U10" s="191"/>
      <c r="V10" s="190"/>
    </row>
    <row r="11" spans="1:22" s="96" customFormat="1" ht="15" customHeight="1">
      <c r="A11" s="91" t="s">
        <v>255</v>
      </c>
      <c r="B11" s="230" t="s">
        <v>422</v>
      </c>
      <c r="C11" s="19">
        <f t="shared" si="1"/>
        <v>135000000</v>
      </c>
      <c r="D11" s="19">
        <f>+'Investment Securities'!C26</f>
        <v>135000000</v>
      </c>
      <c r="E11" s="19">
        <f>+'Investment Securities'!D26</f>
        <v>0</v>
      </c>
      <c r="F11" s="304"/>
      <c r="G11" s="304"/>
      <c r="H11" s="303"/>
      <c r="I11" s="304"/>
      <c r="J11" s="305">
        <f t="shared" si="0"/>
        <v>0</v>
      </c>
      <c r="K11" s="304"/>
      <c r="L11" s="304"/>
      <c r="M11" s="304"/>
      <c r="N11" s="191"/>
      <c r="O11" s="191"/>
      <c r="P11" s="191"/>
      <c r="Q11" s="191"/>
      <c r="R11" s="191"/>
      <c r="S11" s="191"/>
      <c r="T11" s="191"/>
      <c r="U11" s="191"/>
      <c r="V11" s="190"/>
    </row>
    <row r="12" spans="1:22" s="96" customFormat="1" ht="15" customHeight="1">
      <c r="A12" s="91" t="s">
        <v>256</v>
      </c>
      <c r="B12" s="230" t="s">
        <v>538</v>
      </c>
      <c r="C12" s="19">
        <f t="shared" si="1"/>
        <v>11874000</v>
      </c>
      <c r="D12" s="19">
        <f>+'Investment Securities'!C27</f>
        <v>11874000</v>
      </c>
      <c r="E12" s="19">
        <f>+'Investment Securities'!D27</f>
        <v>0</v>
      </c>
      <c r="F12" s="304"/>
      <c r="G12" s="304"/>
      <c r="H12" s="303"/>
      <c r="I12" s="304"/>
      <c r="J12" s="305"/>
      <c r="K12" s="304"/>
      <c r="L12" s="304"/>
      <c r="M12" s="304"/>
      <c r="N12" s="191"/>
      <c r="O12" s="191"/>
      <c r="P12" s="191"/>
      <c r="Q12" s="191"/>
      <c r="R12" s="191"/>
      <c r="S12" s="191"/>
      <c r="T12" s="191"/>
      <c r="U12" s="191"/>
      <c r="V12" s="190"/>
    </row>
    <row r="13" spans="1:22" s="96" customFormat="1" ht="15" customHeight="1">
      <c r="A13" s="91" t="s">
        <v>539</v>
      </c>
      <c r="B13" s="230" t="s">
        <v>292</v>
      </c>
      <c r="C13" s="19">
        <f t="shared" si="1"/>
        <v>0</v>
      </c>
      <c r="D13" s="19">
        <f>+'Investment Securities'!C28</f>
        <v>0</v>
      </c>
      <c r="E13" s="19">
        <f>+'Investment Securities'!D28</f>
        <v>0</v>
      </c>
      <c r="F13" s="304"/>
      <c r="G13" s="304"/>
      <c r="H13" s="303"/>
      <c r="I13" s="304"/>
      <c r="J13" s="305">
        <f t="shared" si="0"/>
        <v>0</v>
      </c>
      <c r="K13" s="304"/>
      <c r="L13" s="304"/>
      <c r="M13" s="304"/>
      <c r="N13" s="191"/>
      <c r="O13" s="191"/>
      <c r="P13" s="191"/>
      <c r="Q13" s="191"/>
      <c r="R13" s="191"/>
      <c r="S13" s="191"/>
      <c r="T13" s="191"/>
      <c r="U13" s="191"/>
      <c r="V13" s="190"/>
    </row>
    <row r="14" spans="1:22" s="96" customFormat="1" ht="15" customHeight="1">
      <c r="A14" s="91">
        <v>5</v>
      </c>
      <c r="B14" s="92" t="s">
        <v>363</v>
      </c>
      <c r="C14" s="98">
        <f>+C15-C16</f>
        <v>175</v>
      </c>
      <c r="D14" s="98">
        <f>+'Investment Securities'!C40</f>
        <v>175</v>
      </c>
      <c r="E14" s="98">
        <f>+'Investment Securities'!D40</f>
        <v>0</v>
      </c>
      <c r="F14" s="304"/>
      <c r="G14" s="304"/>
      <c r="H14" s="303"/>
      <c r="I14" s="304"/>
      <c r="J14" s="305">
        <f t="shared" si="0"/>
        <v>0</v>
      </c>
      <c r="K14" s="304"/>
      <c r="L14" s="304"/>
      <c r="M14" s="304"/>
      <c r="N14" s="191"/>
      <c r="O14" s="191"/>
      <c r="P14" s="191"/>
      <c r="Q14" s="191"/>
      <c r="R14" s="191"/>
      <c r="S14" s="191"/>
      <c r="T14" s="191"/>
      <c r="U14" s="191"/>
      <c r="V14" s="190"/>
    </row>
    <row r="15" spans="1:22" s="96" customFormat="1" ht="15" customHeight="1">
      <c r="A15" s="91" t="s">
        <v>257</v>
      </c>
      <c r="B15" s="230" t="s">
        <v>421</v>
      </c>
      <c r="C15" s="19">
        <f>+D15+E15</f>
        <v>175</v>
      </c>
      <c r="D15" s="19">
        <f>+'Investment Securities'!C38</f>
        <v>175</v>
      </c>
      <c r="E15" s="19">
        <f>+'Investment Securities'!D38</f>
        <v>0</v>
      </c>
      <c r="F15" s="304"/>
      <c r="G15" s="304"/>
      <c r="H15" s="303"/>
      <c r="I15" s="304"/>
      <c r="J15" s="305">
        <f t="shared" si="0"/>
        <v>0</v>
      </c>
      <c r="K15" s="304"/>
      <c r="L15" s="304"/>
      <c r="M15" s="304"/>
      <c r="N15" s="191"/>
      <c r="O15" s="191"/>
      <c r="P15" s="191"/>
      <c r="Q15" s="191"/>
      <c r="R15" s="191"/>
      <c r="S15" s="191"/>
      <c r="T15" s="191"/>
      <c r="U15" s="191"/>
      <c r="V15" s="190"/>
    </row>
    <row r="16" spans="1:22" s="96" customFormat="1" ht="15" customHeight="1">
      <c r="A16" s="91" t="s">
        <v>258</v>
      </c>
      <c r="B16" s="94" t="s">
        <v>292</v>
      </c>
      <c r="C16" s="19">
        <f>+D16+E16</f>
        <v>0</v>
      </c>
      <c r="D16" s="19">
        <f>+'Investment Securities'!C39</f>
        <v>0</v>
      </c>
      <c r="E16" s="19">
        <f>+'Investment Securities'!D39</f>
        <v>0</v>
      </c>
      <c r="F16" s="304"/>
      <c r="G16" s="304"/>
      <c r="H16" s="303"/>
      <c r="I16" s="304"/>
      <c r="J16" s="305">
        <f t="shared" si="0"/>
        <v>0</v>
      </c>
      <c r="K16" s="304"/>
      <c r="L16" s="304"/>
      <c r="M16" s="304"/>
      <c r="N16" s="191"/>
      <c r="O16" s="191"/>
      <c r="P16" s="191"/>
      <c r="Q16" s="191"/>
      <c r="R16" s="191"/>
      <c r="S16" s="191"/>
      <c r="T16" s="191"/>
      <c r="U16" s="191"/>
      <c r="V16" s="190"/>
    </row>
    <row r="17" spans="1:21" ht="15" customHeight="1">
      <c r="A17" s="91">
        <v>6</v>
      </c>
      <c r="B17" s="92" t="s">
        <v>148</v>
      </c>
      <c r="C17" s="98">
        <f>+'Investment Securities'!B15</f>
        <v>6707220</v>
      </c>
      <c r="D17" s="19">
        <f>+'Investment Securities'!C15</f>
        <v>6707220</v>
      </c>
      <c r="E17" s="19">
        <f>+'Investment Securities'!D15</f>
        <v>0</v>
      </c>
      <c r="F17" s="304"/>
      <c r="G17" s="304"/>
      <c r="I17" s="304"/>
      <c r="J17" s="305">
        <f t="shared" si="0"/>
        <v>0</v>
      </c>
      <c r="K17" s="304"/>
      <c r="L17" s="304"/>
      <c r="M17" s="304"/>
      <c r="N17" s="191"/>
      <c r="O17" s="191"/>
      <c r="P17" s="191"/>
      <c r="Q17" s="191"/>
      <c r="R17" s="191"/>
      <c r="S17" s="191"/>
      <c r="T17" s="191"/>
      <c r="U17" s="191"/>
    </row>
    <row r="18" spans="1:21" ht="15" customHeight="1">
      <c r="A18" s="91" t="s">
        <v>259</v>
      </c>
      <c r="B18" s="94" t="s">
        <v>364</v>
      </c>
      <c r="C18" s="19">
        <f>+D18+E18</f>
        <v>6978924</v>
      </c>
      <c r="D18" s="19">
        <f>+'Investment Securities'!C13</f>
        <v>6978924</v>
      </c>
      <c r="E18" s="19">
        <f>+'Investment Securities'!D13</f>
        <v>0</v>
      </c>
      <c r="F18" s="304"/>
      <c r="G18" s="304"/>
      <c r="I18" s="304"/>
      <c r="J18" s="305">
        <f t="shared" si="0"/>
        <v>0</v>
      </c>
      <c r="K18" s="304"/>
      <c r="L18" s="304"/>
      <c r="M18" s="304"/>
      <c r="N18" s="191"/>
      <c r="O18" s="191"/>
      <c r="P18" s="191"/>
      <c r="Q18" s="191"/>
      <c r="R18" s="191"/>
      <c r="S18" s="191"/>
      <c r="T18" s="191"/>
      <c r="U18" s="191"/>
    </row>
    <row r="19" spans="1:21" ht="15" customHeight="1">
      <c r="A19" s="97" t="s">
        <v>260</v>
      </c>
      <c r="B19" s="94" t="s">
        <v>292</v>
      </c>
      <c r="C19" s="19">
        <f>+D19+E19</f>
        <v>271704</v>
      </c>
      <c r="D19" s="19">
        <f>+'Investment Securities'!C14</f>
        <v>271704</v>
      </c>
      <c r="E19" s="19">
        <f>+'Investment Securities'!D14</f>
        <v>0</v>
      </c>
      <c r="F19" s="304"/>
      <c r="G19" s="304"/>
      <c r="I19" s="304"/>
      <c r="J19" s="305">
        <f t="shared" si="0"/>
        <v>0</v>
      </c>
      <c r="K19" s="304"/>
      <c r="L19" s="304"/>
      <c r="M19" s="304"/>
      <c r="N19" s="191"/>
      <c r="O19" s="191"/>
      <c r="P19" s="191"/>
      <c r="Q19" s="191"/>
      <c r="R19" s="191"/>
      <c r="S19" s="191"/>
      <c r="T19" s="191"/>
      <c r="U19" s="191"/>
    </row>
    <row r="20" spans="1:21" ht="15" customHeight="1">
      <c r="A20" s="91">
        <v>7</v>
      </c>
      <c r="B20" s="92" t="s">
        <v>365</v>
      </c>
      <c r="C20" s="19">
        <f>+'Bank Assets Analysis'!S35</f>
        <v>0</v>
      </c>
      <c r="D20" s="19">
        <f>+'Bank Assets Analysis'!T35</f>
        <v>0</v>
      </c>
      <c r="E20" s="19">
        <f>+'Bank Assets Analysis'!U35</f>
        <v>0</v>
      </c>
      <c r="F20" s="304"/>
      <c r="G20" s="304"/>
      <c r="I20" s="304"/>
      <c r="J20" s="305">
        <f t="shared" si="0"/>
        <v>0</v>
      </c>
      <c r="K20" s="304"/>
      <c r="L20" s="304"/>
      <c r="M20" s="304"/>
      <c r="N20" s="191"/>
      <c r="O20" s="191"/>
      <c r="P20" s="191"/>
      <c r="Q20" s="191"/>
      <c r="R20" s="191"/>
      <c r="S20" s="191"/>
      <c r="T20" s="191"/>
      <c r="U20" s="191"/>
    </row>
    <row r="21" spans="1:21" ht="15" customHeight="1">
      <c r="A21" s="91" t="s">
        <v>261</v>
      </c>
      <c r="B21" s="94" t="s">
        <v>366</v>
      </c>
      <c r="C21" s="19">
        <f>+D21+E21</f>
        <v>0</v>
      </c>
      <c r="D21" s="15">
        <v>0</v>
      </c>
      <c r="E21" s="15">
        <v>0</v>
      </c>
      <c r="F21" s="304"/>
      <c r="G21" s="304"/>
      <c r="I21" s="304"/>
      <c r="J21" s="305">
        <f t="shared" si="0"/>
        <v>0</v>
      </c>
      <c r="K21" s="304"/>
      <c r="L21" s="304"/>
      <c r="M21" s="304"/>
      <c r="N21" s="191"/>
      <c r="O21" s="191"/>
      <c r="P21" s="191"/>
      <c r="Q21" s="191"/>
      <c r="R21" s="191"/>
      <c r="S21" s="191"/>
      <c r="T21" s="191"/>
      <c r="U21" s="191"/>
    </row>
    <row r="22" spans="1:21" ht="15" customHeight="1">
      <c r="A22" s="91" t="s">
        <v>262</v>
      </c>
      <c r="B22" s="94" t="s">
        <v>367</v>
      </c>
      <c r="C22" s="19">
        <f>+D22+E22</f>
        <v>0</v>
      </c>
      <c r="D22" s="15">
        <v>0</v>
      </c>
      <c r="E22" s="15">
        <v>0</v>
      </c>
      <c r="F22" s="304"/>
      <c r="G22" s="304"/>
      <c r="I22" s="304"/>
      <c r="J22" s="305">
        <f t="shared" si="0"/>
        <v>0</v>
      </c>
      <c r="K22" s="304"/>
      <c r="L22" s="304"/>
      <c r="M22" s="304"/>
      <c r="N22" s="191"/>
      <c r="O22" s="191"/>
      <c r="P22" s="191"/>
      <c r="Q22" s="191"/>
      <c r="R22" s="191"/>
      <c r="S22" s="191"/>
      <c r="T22" s="191"/>
      <c r="U22" s="191"/>
    </row>
    <row r="23" spans="1:21" ht="15" customHeight="1">
      <c r="A23" s="91">
        <v>8</v>
      </c>
      <c r="B23" s="92" t="s">
        <v>368</v>
      </c>
      <c r="C23" s="98">
        <f>+'Bank Assets Analysis'!S30+'Bank Assets Analysis'!S31+'Bank Assets Analysis'!S33</f>
        <v>5654669144</v>
      </c>
      <c r="D23" s="98">
        <f>+'Bank Assets Analysis'!T30+'Bank Assets Analysis'!T31+'Bank Assets Analysis'!T33</f>
        <v>3630134552</v>
      </c>
      <c r="E23" s="98">
        <f>+'Bank Assets Analysis'!U30+'Bank Assets Analysis'!U31+'Bank Assets Analysis'!U33</f>
        <v>2024534592</v>
      </c>
      <c r="G23" s="304"/>
      <c r="I23" s="304"/>
      <c r="J23" s="305">
        <f t="shared" si="0"/>
        <v>0</v>
      </c>
      <c r="K23" s="304"/>
      <c r="L23" s="304"/>
      <c r="M23" s="304"/>
      <c r="N23" s="191"/>
      <c r="O23" s="191"/>
      <c r="P23" s="191"/>
      <c r="Q23" s="191"/>
      <c r="R23" s="191"/>
      <c r="S23" s="191"/>
      <c r="T23" s="191"/>
      <c r="U23" s="191"/>
    </row>
    <row r="24" spans="1:21" ht="12.75">
      <c r="A24" s="91" t="s">
        <v>263</v>
      </c>
      <c r="B24" s="94" t="s">
        <v>369</v>
      </c>
      <c r="C24" s="19">
        <f>+D24+E24</f>
        <v>5846759960</v>
      </c>
      <c r="D24" s="15">
        <v>3791104691</v>
      </c>
      <c r="E24" s="15">
        <v>2055655269</v>
      </c>
      <c r="F24" s="304"/>
      <c r="G24" s="304"/>
      <c r="I24" s="304"/>
      <c r="J24" s="305">
        <f t="shared" si="0"/>
        <v>0</v>
      </c>
      <c r="K24" s="304"/>
      <c r="L24" s="304"/>
      <c r="M24" s="304"/>
      <c r="N24" s="191"/>
      <c r="O24" s="191"/>
      <c r="P24" s="191"/>
      <c r="Q24" s="191"/>
      <c r="R24" s="191"/>
      <c r="S24" s="191"/>
      <c r="T24" s="191"/>
      <c r="U24" s="191"/>
    </row>
    <row r="25" spans="1:21" ht="15" customHeight="1">
      <c r="A25" s="91" t="s">
        <v>264</v>
      </c>
      <c r="B25" s="94" t="s">
        <v>292</v>
      </c>
      <c r="C25" s="19">
        <f>+D25+E25</f>
        <v>192090816</v>
      </c>
      <c r="D25" s="15">
        <v>160970139</v>
      </c>
      <c r="E25" s="15">
        <v>31120677</v>
      </c>
      <c r="F25" s="305"/>
      <c r="G25" s="304"/>
      <c r="I25" s="304"/>
      <c r="J25" s="305">
        <f t="shared" si="0"/>
        <v>0</v>
      </c>
      <c r="K25" s="304"/>
      <c r="L25" s="304"/>
      <c r="M25" s="304"/>
      <c r="N25" s="191"/>
      <c r="O25" s="191"/>
      <c r="P25" s="191"/>
      <c r="Q25" s="191"/>
      <c r="R25" s="191"/>
      <c r="S25" s="191"/>
      <c r="T25" s="191"/>
      <c r="U25" s="191"/>
    </row>
    <row r="26" spans="1:21" ht="15" customHeight="1">
      <c r="A26" s="91">
        <v>9</v>
      </c>
      <c r="B26" s="92" t="s">
        <v>136</v>
      </c>
      <c r="C26" s="98">
        <f>+'Bank Assets Analysis'!S26</f>
        <v>0</v>
      </c>
      <c r="D26" s="98">
        <f>+'Bank Assets Analysis'!T26</f>
        <v>0</v>
      </c>
      <c r="E26" s="98">
        <f>+'Bank Assets Analysis'!U26</f>
        <v>0</v>
      </c>
      <c r="F26" s="304"/>
      <c r="G26" s="304"/>
      <c r="I26" s="304"/>
      <c r="J26" s="305">
        <f t="shared" si="0"/>
        <v>0</v>
      </c>
      <c r="K26" s="304"/>
      <c r="L26" s="304"/>
      <c r="M26" s="304"/>
      <c r="N26" s="191"/>
      <c r="O26" s="191"/>
      <c r="P26" s="191"/>
      <c r="Q26" s="191"/>
      <c r="R26" s="191"/>
      <c r="S26" s="191"/>
      <c r="T26" s="191"/>
      <c r="U26" s="191"/>
    </row>
    <row r="27" spans="1:21" ht="15" customHeight="1">
      <c r="A27" s="91" t="s">
        <v>265</v>
      </c>
      <c r="B27" s="94" t="s">
        <v>370</v>
      </c>
      <c r="C27" s="19">
        <f>+D27+E27</f>
        <v>0</v>
      </c>
      <c r="D27" s="15">
        <v>0</v>
      </c>
      <c r="E27" s="15">
        <v>0</v>
      </c>
      <c r="F27" s="304"/>
      <c r="G27" s="304"/>
      <c r="I27" s="304"/>
      <c r="J27" s="305">
        <f t="shared" si="0"/>
        <v>0</v>
      </c>
      <c r="K27" s="304"/>
      <c r="L27" s="304"/>
      <c r="M27" s="304"/>
      <c r="N27" s="191"/>
      <c r="O27" s="191"/>
      <c r="P27" s="191"/>
      <c r="Q27" s="191"/>
      <c r="R27" s="191"/>
      <c r="S27" s="191"/>
      <c r="T27" s="191"/>
      <c r="U27" s="191"/>
    </row>
    <row r="28" spans="1:21" ht="15" customHeight="1">
      <c r="A28" s="91" t="s">
        <v>266</v>
      </c>
      <c r="B28" s="94" t="s">
        <v>292</v>
      </c>
      <c r="C28" s="19">
        <f>+D28+E28</f>
        <v>0</v>
      </c>
      <c r="D28" s="15">
        <v>0</v>
      </c>
      <c r="E28" s="15">
        <v>0</v>
      </c>
      <c r="F28" s="304"/>
      <c r="G28" s="304"/>
      <c r="I28" s="304"/>
      <c r="J28" s="305">
        <f t="shared" si="0"/>
        <v>0</v>
      </c>
      <c r="K28" s="304"/>
      <c r="L28" s="304"/>
      <c r="M28" s="304"/>
      <c r="N28" s="191"/>
      <c r="O28" s="191"/>
      <c r="P28" s="191"/>
      <c r="Q28" s="191"/>
      <c r="R28" s="191"/>
      <c r="S28" s="191"/>
      <c r="T28" s="191"/>
      <c r="U28" s="191"/>
    </row>
    <row r="29" spans="1:21" ht="15" customHeight="1">
      <c r="A29" s="91">
        <v>10</v>
      </c>
      <c r="B29" s="94" t="s">
        <v>371</v>
      </c>
      <c r="C29" s="98">
        <f>+D29+E29</f>
        <v>0</v>
      </c>
      <c r="D29" s="98">
        <f>+'Bank Assets Analysis'!T27+'Bank Assets Analysis'!T28</f>
        <v>0</v>
      </c>
      <c r="E29" s="98">
        <f>+'Bank Assets Analysis'!U27+'Bank Assets Analysis'!U28</f>
        <v>0</v>
      </c>
      <c r="F29" s="304"/>
      <c r="G29" s="304"/>
      <c r="I29" s="304"/>
      <c r="J29" s="305">
        <f t="shared" si="0"/>
        <v>0</v>
      </c>
      <c r="K29" s="304"/>
      <c r="L29" s="304"/>
      <c r="M29" s="304"/>
      <c r="N29" s="191"/>
      <c r="O29" s="191"/>
      <c r="P29" s="191"/>
      <c r="Q29" s="191"/>
      <c r="R29" s="191"/>
      <c r="S29" s="191"/>
      <c r="T29" s="191"/>
      <c r="U29" s="191"/>
    </row>
    <row r="30" spans="1:21" ht="15" customHeight="1">
      <c r="A30" s="91" t="s">
        <v>267</v>
      </c>
      <c r="B30" s="94" t="s">
        <v>415</v>
      </c>
      <c r="C30" s="19">
        <f>+D30+E30</f>
        <v>0</v>
      </c>
      <c r="D30" s="15">
        <v>0</v>
      </c>
      <c r="E30" s="15">
        <v>0</v>
      </c>
      <c r="F30" s="304"/>
      <c r="G30" s="304"/>
      <c r="I30" s="304"/>
      <c r="J30" s="305">
        <f t="shared" si="0"/>
        <v>0</v>
      </c>
      <c r="K30" s="304"/>
      <c r="L30" s="304"/>
      <c r="M30" s="304"/>
      <c r="N30" s="191"/>
      <c r="O30" s="191"/>
      <c r="P30" s="191"/>
      <c r="Q30" s="191"/>
      <c r="R30" s="191"/>
      <c r="S30" s="191"/>
      <c r="T30" s="191"/>
      <c r="U30" s="191"/>
    </row>
    <row r="31" spans="1:21" ht="15" customHeight="1">
      <c r="A31" s="91" t="s">
        <v>268</v>
      </c>
      <c r="B31" s="94" t="s">
        <v>292</v>
      </c>
      <c r="C31" s="19">
        <f>+D31+E31</f>
        <v>0</v>
      </c>
      <c r="D31" s="15">
        <v>0</v>
      </c>
      <c r="E31" s="15">
        <v>0</v>
      </c>
      <c r="F31" s="304"/>
      <c r="G31" s="304"/>
      <c r="I31" s="304"/>
      <c r="J31" s="305">
        <f t="shared" si="0"/>
        <v>0</v>
      </c>
      <c r="K31" s="304"/>
      <c r="L31" s="304"/>
      <c r="M31" s="304"/>
      <c r="N31" s="191"/>
      <c r="O31" s="191"/>
      <c r="P31" s="191"/>
      <c r="Q31" s="191"/>
      <c r="R31" s="191"/>
      <c r="S31" s="191"/>
      <c r="T31" s="191"/>
      <c r="U31" s="191"/>
    </row>
    <row r="32" spans="1:21" ht="15" customHeight="1">
      <c r="A32" s="91">
        <v>11</v>
      </c>
      <c r="B32" s="94" t="s">
        <v>372</v>
      </c>
      <c r="C32" s="19">
        <f>+'Bank Assets Analysis'!S38</f>
        <v>166807725</v>
      </c>
      <c r="D32" s="19">
        <f>+'Bank Assets Analysis'!T38</f>
        <v>166807725</v>
      </c>
      <c r="E32" s="19">
        <f>+'Bank Assets Analysis'!U38</f>
        <v>0</v>
      </c>
      <c r="F32" s="304"/>
      <c r="G32" s="304"/>
      <c r="I32" s="304"/>
      <c r="J32" s="305">
        <f t="shared" si="0"/>
        <v>0</v>
      </c>
      <c r="K32" s="304"/>
      <c r="L32" s="304"/>
      <c r="M32" s="304"/>
      <c r="N32" s="191"/>
      <c r="O32" s="191"/>
      <c r="P32" s="191"/>
      <c r="Q32" s="191"/>
      <c r="R32" s="191"/>
      <c r="S32" s="191"/>
      <c r="T32" s="191"/>
      <c r="U32" s="191"/>
    </row>
    <row r="33" spans="1:21" ht="15" customHeight="1">
      <c r="A33" s="91">
        <v>12</v>
      </c>
      <c r="B33" s="94" t="s">
        <v>416</v>
      </c>
      <c r="C33" s="19">
        <f>+C34+C35-C36</f>
        <v>172265916</v>
      </c>
      <c r="D33" s="19">
        <f>+D34+D35-D36</f>
        <v>108113377</v>
      </c>
      <c r="E33" s="19">
        <f>+E34+E35-E36</f>
        <v>64152539</v>
      </c>
      <c r="F33" s="304"/>
      <c r="G33" s="304"/>
      <c r="I33" s="304"/>
      <c r="J33" s="305">
        <f t="shared" si="0"/>
        <v>0</v>
      </c>
      <c r="K33" s="304"/>
      <c r="L33" s="304"/>
      <c r="M33" s="304"/>
      <c r="N33" s="191"/>
      <c r="O33" s="191"/>
      <c r="P33" s="191"/>
      <c r="Q33" s="191"/>
      <c r="R33" s="191"/>
      <c r="S33" s="191"/>
      <c r="T33" s="191"/>
      <c r="U33" s="191"/>
    </row>
    <row r="34" spans="1:21" ht="15" customHeight="1">
      <c r="A34" s="91" t="s">
        <v>269</v>
      </c>
      <c r="B34" s="94" t="s">
        <v>417</v>
      </c>
      <c r="C34" s="19">
        <f>+'Bank Assets Analysis'!S43</f>
        <v>172216703</v>
      </c>
      <c r="D34" s="19">
        <f>+'Bank Assets Analysis'!T43</f>
        <v>108064164</v>
      </c>
      <c r="E34" s="19">
        <f>+'Bank Assets Analysis'!U43</f>
        <v>64152539</v>
      </c>
      <c r="F34" s="304"/>
      <c r="G34" s="304"/>
      <c r="I34" s="304"/>
      <c r="J34" s="305">
        <f t="shared" si="0"/>
        <v>0</v>
      </c>
      <c r="K34" s="304"/>
      <c r="L34" s="304"/>
      <c r="M34" s="304"/>
      <c r="N34" s="191"/>
      <c r="O34" s="191"/>
      <c r="P34" s="191"/>
      <c r="Q34" s="191"/>
      <c r="R34" s="191"/>
      <c r="S34" s="191"/>
      <c r="T34" s="191"/>
      <c r="U34" s="191"/>
    </row>
    <row r="35" spans="1:21" ht="18" customHeight="1">
      <c r="A35" s="91" t="s">
        <v>270</v>
      </c>
      <c r="B35" s="230" t="s">
        <v>418</v>
      </c>
      <c r="C35" s="19">
        <f>+D35+E35</f>
        <v>49213</v>
      </c>
      <c r="D35" s="15">
        <v>49213</v>
      </c>
      <c r="E35" s="15">
        <v>0</v>
      </c>
      <c r="F35" s="304"/>
      <c r="G35" s="304"/>
      <c r="I35" s="304"/>
      <c r="J35" s="305">
        <f t="shared" si="0"/>
        <v>0</v>
      </c>
      <c r="K35" s="304"/>
      <c r="L35" s="304"/>
      <c r="M35" s="304"/>
      <c r="N35" s="191"/>
      <c r="O35" s="191"/>
      <c r="P35" s="191"/>
      <c r="Q35" s="191"/>
      <c r="R35" s="191"/>
      <c r="S35" s="191"/>
      <c r="T35" s="191"/>
      <c r="U35" s="191"/>
    </row>
    <row r="36" spans="1:21" ht="18" customHeight="1">
      <c r="A36" s="91" t="s">
        <v>271</v>
      </c>
      <c r="B36" s="94" t="s">
        <v>292</v>
      </c>
      <c r="C36" s="19">
        <f>+D36+E36</f>
        <v>0</v>
      </c>
      <c r="D36" s="15">
        <v>0</v>
      </c>
      <c r="E36" s="15">
        <v>0</v>
      </c>
      <c r="F36" s="304"/>
      <c r="G36" s="304"/>
      <c r="I36" s="304"/>
      <c r="J36" s="305">
        <f t="shared" si="0"/>
        <v>0</v>
      </c>
      <c r="K36" s="304"/>
      <c r="L36" s="304"/>
      <c r="M36" s="304"/>
      <c r="N36" s="191"/>
      <c r="O36" s="191"/>
      <c r="P36" s="191"/>
      <c r="Q36" s="191"/>
      <c r="R36" s="191"/>
      <c r="S36" s="191"/>
      <c r="T36" s="191"/>
      <c r="U36" s="191"/>
    </row>
    <row r="37" spans="1:21" ht="18" customHeight="1">
      <c r="A37" s="91">
        <v>13</v>
      </c>
      <c r="B37" s="92" t="s">
        <v>373</v>
      </c>
      <c r="C37" s="19">
        <f>+'Bank Assets Analysis'!S39</f>
        <v>1005589</v>
      </c>
      <c r="D37" s="19">
        <f>+'Bank Assets Analysis'!T39</f>
        <v>1005589</v>
      </c>
      <c r="E37" s="19">
        <f>+'Bank Assets Analysis'!U39</f>
        <v>0</v>
      </c>
      <c r="F37" s="304"/>
      <c r="G37" s="304"/>
      <c r="I37" s="304"/>
      <c r="J37" s="305">
        <f t="shared" si="0"/>
        <v>0</v>
      </c>
      <c r="K37" s="304"/>
      <c r="L37" s="304"/>
      <c r="M37" s="304"/>
      <c r="N37" s="191"/>
      <c r="O37" s="191"/>
      <c r="P37" s="191"/>
      <c r="Q37" s="191"/>
      <c r="R37" s="191"/>
      <c r="S37" s="191"/>
      <c r="T37" s="191"/>
      <c r="U37" s="191"/>
    </row>
    <row r="38" spans="1:21" ht="18" customHeight="1">
      <c r="A38" s="91" t="s">
        <v>272</v>
      </c>
      <c r="B38" s="230" t="s">
        <v>419</v>
      </c>
      <c r="C38" s="19">
        <f>+D38+E38</f>
        <v>1005589</v>
      </c>
      <c r="D38" s="15">
        <v>1005589</v>
      </c>
      <c r="E38" s="15">
        <v>0</v>
      </c>
      <c r="F38" s="304"/>
      <c r="G38" s="304"/>
      <c r="I38" s="304"/>
      <c r="J38" s="305">
        <f t="shared" si="0"/>
        <v>0</v>
      </c>
      <c r="K38" s="304"/>
      <c r="L38" s="304"/>
      <c r="M38" s="304"/>
      <c r="N38" s="191"/>
      <c r="O38" s="191"/>
      <c r="P38" s="191"/>
      <c r="Q38" s="191"/>
      <c r="R38" s="191"/>
      <c r="S38" s="191"/>
      <c r="T38" s="191"/>
      <c r="U38" s="191"/>
    </row>
    <row r="39" spans="1:21" ht="18" customHeight="1">
      <c r="A39" s="91" t="s">
        <v>273</v>
      </c>
      <c r="B39" s="230" t="s">
        <v>420</v>
      </c>
      <c r="C39" s="19">
        <f>+D39+E39</f>
        <v>0</v>
      </c>
      <c r="D39" s="15">
        <v>0</v>
      </c>
      <c r="E39" s="15">
        <v>0</v>
      </c>
      <c r="F39" s="304"/>
      <c r="G39" s="304"/>
      <c r="I39" s="304"/>
      <c r="J39" s="305">
        <f t="shared" si="0"/>
        <v>0</v>
      </c>
      <c r="K39" s="304"/>
      <c r="L39" s="304"/>
      <c r="M39" s="304"/>
      <c r="N39" s="191"/>
      <c r="O39" s="191"/>
      <c r="P39" s="191"/>
      <c r="Q39" s="191"/>
      <c r="R39" s="191"/>
      <c r="S39" s="191"/>
      <c r="T39" s="191"/>
      <c r="U39" s="191"/>
    </row>
    <row r="40" spans="1:21" ht="18" customHeight="1">
      <c r="A40" s="91" t="s">
        <v>274</v>
      </c>
      <c r="B40" s="99" t="s">
        <v>374</v>
      </c>
      <c r="C40" s="19">
        <f>+D40+E40</f>
        <v>0</v>
      </c>
      <c r="D40" s="15">
        <v>0</v>
      </c>
      <c r="E40" s="15">
        <v>0</v>
      </c>
      <c r="F40" s="304"/>
      <c r="G40" s="304"/>
      <c r="I40" s="304"/>
      <c r="J40" s="305">
        <f t="shared" si="0"/>
        <v>0</v>
      </c>
      <c r="K40" s="304"/>
      <c r="L40" s="304"/>
      <c r="M40" s="304"/>
      <c r="N40" s="191"/>
      <c r="O40" s="191"/>
      <c r="P40" s="191"/>
      <c r="Q40" s="191"/>
      <c r="R40" s="191"/>
      <c r="S40" s="191"/>
      <c r="T40" s="191"/>
      <c r="U40" s="191"/>
    </row>
    <row r="41" spans="1:21" ht="18" customHeight="1">
      <c r="A41" s="91">
        <v>14</v>
      </c>
      <c r="B41" s="92" t="s">
        <v>81</v>
      </c>
      <c r="C41" s="98">
        <f>+C42-C43+C44</f>
        <v>119044791</v>
      </c>
      <c r="D41" s="98">
        <f>+D42-D43+D44</f>
        <v>62214313</v>
      </c>
      <c r="E41" s="98">
        <f>+E42-E43+E44</f>
        <v>56830478</v>
      </c>
      <c r="F41" s="304"/>
      <c r="G41" s="304"/>
      <c r="I41" s="304"/>
      <c r="J41" s="305">
        <f t="shared" si="0"/>
        <v>0</v>
      </c>
      <c r="K41" s="304"/>
      <c r="L41" s="304"/>
      <c r="M41" s="304"/>
      <c r="N41" s="191"/>
      <c r="O41" s="191"/>
      <c r="P41" s="191"/>
      <c r="Q41" s="191"/>
      <c r="R41" s="191"/>
      <c r="S41" s="191"/>
      <c r="T41" s="191"/>
      <c r="U41" s="191"/>
    </row>
    <row r="42" spans="1:21" ht="18" customHeight="1">
      <c r="A42" s="91" t="s">
        <v>275</v>
      </c>
      <c r="B42" s="230" t="s">
        <v>375</v>
      </c>
      <c r="C42" s="100">
        <f>+D42+E42</f>
        <v>130837903</v>
      </c>
      <c r="D42" s="15">
        <v>66121334</v>
      </c>
      <c r="E42" s="15">
        <v>64716569</v>
      </c>
      <c r="F42" s="304"/>
      <c r="G42" s="304"/>
      <c r="H42" s="304"/>
      <c r="I42" s="304"/>
      <c r="J42" s="305">
        <f t="shared" si="0"/>
        <v>0</v>
      </c>
      <c r="K42" s="304"/>
      <c r="L42" s="304"/>
      <c r="M42" s="304"/>
      <c r="N42" s="191"/>
      <c r="O42" s="191"/>
      <c r="P42" s="191"/>
      <c r="Q42" s="191"/>
      <c r="R42" s="191"/>
      <c r="S42" s="191"/>
      <c r="T42" s="191"/>
      <c r="U42" s="191"/>
    </row>
    <row r="43" spans="1:21" ht="15" customHeight="1">
      <c r="A43" s="91" t="s">
        <v>276</v>
      </c>
      <c r="B43" s="94" t="s">
        <v>292</v>
      </c>
      <c r="C43" s="100">
        <f>+D43+E43</f>
        <v>11793112</v>
      </c>
      <c r="D43" s="15">
        <v>3907021</v>
      </c>
      <c r="E43" s="15">
        <v>7886091</v>
      </c>
      <c r="F43" s="304"/>
      <c r="G43" s="304"/>
      <c r="H43" s="305"/>
      <c r="I43" s="304"/>
      <c r="J43" s="305">
        <f t="shared" si="0"/>
        <v>0</v>
      </c>
      <c r="K43" s="304"/>
      <c r="L43" s="304"/>
      <c r="M43" s="304"/>
      <c r="N43" s="191"/>
      <c r="O43" s="191"/>
      <c r="P43" s="191"/>
      <c r="Q43" s="191"/>
      <c r="R43" s="191"/>
      <c r="S43" s="191"/>
      <c r="T43" s="191"/>
      <c r="U43" s="191"/>
    </row>
    <row r="44" spans="1:21" s="96" customFormat="1" ht="15" customHeight="1">
      <c r="A44" s="91" t="s">
        <v>449</v>
      </c>
      <c r="B44" s="230" t="s">
        <v>446</v>
      </c>
      <c r="C44" s="548"/>
      <c r="D44" s="19"/>
      <c r="E44" s="19"/>
      <c r="F44" s="381"/>
      <c r="G44" s="381"/>
      <c r="H44" s="382"/>
      <c r="I44" s="381"/>
      <c r="J44" s="398">
        <f>+C44-D44-E44</f>
        <v>0</v>
      </c>
      <c r="K44" s="381"/>
      <c r="L44" s="381"/>
      <c r="M44" s="381"/>
      <c r="N44" s="95"/>
      <c r="O44" s="95"/>
      <c r="P44" s="95"/>
      <c r="Q44" s="95"/>
      <c r="R44" s="95"/>
      <c r="S44" s="95"/>
      <c r="T44" s="95"/>
      <c r="U44" s="95"/>
    </row>
    <row r="45" spans="1:21" ht="15" customHeight="1">
      <c r="A45" s="101" t="s">
        <v>153</v>
      </c>
      <c r="B45" s="193" t="s">
        <v>404</v>
      </c>
      <c r="C45" s="102">
        <f>+D45+E45</f>
        <v>7102133905</v>
      </c>
      <c r="D45" s="102">
        <f>+D5+D6+D7+D10+D14+D17+D20+D23+D26+D29+D32+D33+D37+D41</f>
        <v>4620137920</v>
      </c>
      <c r="E45" s="102">
        <f>+E5+E6+E7+E10+E14+E17+E20+E23+E26+E29+E32+E33+E37+E41</f>
        <v>2481995985</v>
      </c>
      <c r="F45" s="305">
        <f>+'Bank Assets Analysis'!S45</f>
        <v>7102133905</v>
      </c>
      <c r="G45" s="305">
        <f>+'Bank Assets Analysis'!T45</f>
        <v>4620137920</v>
      </c>
      <c r="H45" s="305">
        <f>+'Bank Assets Analysis'!U45</f>
        <v>2481995985</v>
      </c>
      <c r="I45" s="304"/>
      <c r="J45" s="305">
        <f t="shared" si="0"/>
        <v>0</v>
      </c>
      <c r="K45" s="304"/>
      <c r="L45" s="304"/>
      <c r="M45" s="304"/>
      <c r="N45" s="191"/>
      <c r="O45" s="191"/>
      <c r="P45" s="191"/>
      <c r="Q45" s="191"/>
      <c r="R45" s="191"/>
      <c r="S45" s="191"/>
      <c r="T45" s="191"/>
      <c r="U45" s="191"/>
    </row>
    <row r="46" spans="1:21" ht="6.75" customHeight="1">
      <c r="A46" s="91"/>
      <c r="B46" s="103"/>
      <c r="C46" s="19"/>
      <c r="D46" s="19"/>
      <c r="E46" s="19"/>
      <c r="F46" s="304"/>
      <c r="G46" s="304"/>
      <c r="H46" s="304"/>
      <c r="I46" s="304"/>
      <c r="J46" s="304"/>
      <c r="K46" s="304"/>
      <c r="L46" s="304"/>
      <c r="M46" s="304"/>
      <c r="N46" s="191"/>
      <c r="O46" s="191"/>
      <c r="P46" s="191"/>
      <c r="Q46" s="191"/>
      <c r="R46" s="191"/>
      <c r="S46" s="191"/>
      <c r="T46" s="191"/>
      <c r="U46" s="191"/>
    </row>
    <row r="47" spans="1:21" ht="15" customHeight="1">
      <c r="A47" s="91"/>
      <c r="B47" s="104" t="s">
        <v>1</v>
      </c>
      <c r="C47" s="19"/>
      <c r="D47" s="19"/>
      <c r="E47" s="19"/>
      <c r="F47" s="304"/>
      <c r="G47" s="304"/>
      <c r="H47" s="304"/>
      <c r="I47" s="304"/>
      <c r="J47" s="304"/>
      <c r="K47" s="304"/>
      <c r="L47" s="304"/>
      <c r="M47" s="304"/>
      <c r="N47" s="191"/>
      <c r="O47" s="191"/>
      <c r="P47" s="191"/>
      <c r="Q47" s="191"/>
      <c r="R47" s="191"/>
      <c r="S47" s="191"/>
      <c r="T47" s="191"/>
      <c r="U47" s="191"/>
    </row>
    <row r="48" spans="1:21" ht="6.75" customHeight="1">
      <c r="A48" s="91"/>
      <c r="B48" s="104"/>
      <c r="C48" s="19"/>
      <c r="D48" s="19"/>
      <c r="E48" s="19"/>
      <c r="F48" s="304"/>
      <c r="G48" s="304"/>
      <c r="H48" s="304"/>
      <c r="I48" s="304"/>
      <c r="J48" s="304"/>
      <c r="K48" s="304"/>
      <c r="L48" s="304"/>
      <c r="M48" s="304"/>
      <c r="N48" s="191"/>
      <c r="O48" s="191"/>
      <c r="P48" s="191"/>
      <c r="Q48" s="191"/>
      <c r="R48" s="191"/>
      <c r="S48" s="191"/>
      <c r="T48" s="191"/>
      <c r="U48" s="191"/>
    </row>
    <row r="49" spans="1:21" ht="15" customHeight="1">
      <c r="A49" s="91"/>
      <c r="B49" s="105" t="s">
        <v>2</v>
      </c>
      <c r="C49" s="19"/>
      <c r="D49" s="19"/>
      <c r="E49" s="19"/>
      <c r="F49" s="304"/>
      <c r="G49" s="304"/>
      <c r="H49" s="304"/>
      <c r="I49" s="304"/>
      <c r="J49" s="304"/>
      <c r="K49" s="304"/>
      <c r="L49" s="304"/>
      <c r="M49" s="304"/>
      <c r="N49" s="191"/>
      <c r="O49" s="191"/>
      <c r="P49" s="191"/>
      <c r="Q49" s="191"/>
      <c r="R49" s="191"/>
      <c r="S49" s="191"/>
      <c r="T49" s="191"/>
      <c r="U49" s="191"/>
    </row>
    <row r="50" spans="1:21" ht="16.5" customHeight="1">
      <c r="A50" s="91" t="s">
        <v>277</v>
      </c>
      <c r="B50" s="92" t="s">
        <v>170</v>
      </c>
      <c r="C50" s="20">
        <f>+'Deposits by Client'!C11</f>
        <v>435852386</v>
      </c>
      <c r="D50" s="116">
        <f>+'Bank Liabilities Analysis'!T16+'Bank Liabilities Analysis'!T8</f>
        <v>362705106</v>
      </c>
      <c r="E50" s="20">
        <f>+'Bank Liabilities Analysis'!U16+'Bank Liabilities Analysis'!U8</f>
        <v>73147280</v>
      </c>
      <c r="F50" s="304"/>
      <c r="G50" s="304"/>
      <c r="H50" s="304"/>
      <c r="I50" s="304"/>
      <c r="J50" s="305">
        <f t="shared" ref="J50:J78" si="2">+C50-D50-E50</f>
        <v>0</v>
      </c>
      <c r="K50" s="304"/>
      <c r="L50" s="304"/>
      <c r="M50" s="304"/>
      <c r="N50" s="191"/>
      <c r="O50" s="191"/>
      <c r="P50" s="191"/>
      <c r="Q50" s="191"/>
      <c r="R50" s="191"/>
      <c r="S50" s="191"/>
      <c r="T50" s="191"/>
      <c r="U50" s="191"/>
    </row>
    <row r="51" spans="1:21" ht="16.5" customHeight="1">
      <c r="A51" s="91" t="s">
        <v>156</v>
      </c>
      <c r="B51" s="92" t="s">
        <v>376</v>
      </c>
      <c r="C51" s="20">
        <f>+'Deposits by Client'!C20</f>
        <v>1111787573</v>
      </c>
      <c r="D51" s="116">
        <f>+'Bank Liabilities Analysis'!T13</f>
        <v>813009286</v>
      </c>
      <c r="E51" s="20">
        <f>+'Bank Liabilities Analysis'!U13</f>
        <v>298778287</v>
      </c>
      <c r="F51" s="304"/>
      <c r="G51" s="304"/>
      <c r="H51" s="304"/>
      <c r="I51" s="304"/>
      <c r="J51" s="305">
        <f t="shared" si="2"/>
        <v>0</v>
      </c>
      <c r="K51" s="304"/>
      <c r="L51" s="304"/>
      <c r="M51" s="304"/>
      <c r="N51" s="191"/>
      <c r="O51" s="191"/>
      <c r="P51" s="191"/>
      <c r="Q51" s="191"/>
      <c r="R51" s="191"/>
      <c r="S51" s="191"/>
      <c r="T51" s="191"/>
      <c r="U51" s="191"/>
    </row>
    <row r="52" spans="1:21" ht="16.5" customHeight="1">
      <c r="A52" s="91" t="s">
        <v>158</v>
      </c>
      <c r="B52" s="92" t="s">
        <v>176</v>
      </c>
      <c r="C52" s="20">
        <f>+'Bank Liabilities Analysis'!S23</f>
        <v>0</v>
      </c>
      <c r="D52" s="19">
        <f>+'Bank Liabilities Analysis'!T23</f>
        <v>0</v>
      </c>
      <c r="E52" s="19">
        <f>+'Bank Liabilities Analysis'!U23</f>
        <v>0</v>
      </c>
      <c r="F52" s="304"/>
      <c r="G52" s="304"/>
      <c r="H52" s="304"/>
      <c r="I52" s="304"/>
      <c r="J52" s="305">
        <f t="shared" si="2"/>
        <v>0</v>
      </c>
      <c r="K52" s="304"/>
      <c r="L52" s="304"/>
      <c r="M52" s="304"/>
      <c r="N52" s="191"/>
      <c r="O52" s="191"/>
      <c r="P52" s="191"/>
      <c r="Q52" s="191"/>
      <c r="R52" s="191"/>
      <c r="S52" s="191"/>
      <c r="T52" s="191"/>
      <c r="U52" s="191"/>
    </row>
    <row r="53" spans="1:21" ht="16.5" customHeight="1">
      <c r="A53" s="91" t="s">
        <v>160</v>
      </c>
      <c r="B53" s="92" t="s">
        <v>177</v>
      </c>
      <c r="C53" s="20">
        <f>+'Bank Liabilities Analysis'!S24</f>
        <v>866059375</v>
      </c>
      <c r="D53" s="19">
        <f>+'Bank Liabilities Analysis'!T24</f>
        <v>506621175</v>
      </c>
      <c r="E53" s="19">
        <f>+'Bank Liabilities Analysis'!U24</f>
        <v>359438200</v>
      </c>
      <c r="F53" s="304"/>
      <c r="G53" s="304"/>
      <c r="H53" s="304"/>
      <c r="I53" s="304"/>
      <c r="J53" s="305">
        <f t="shared" si="2"/>
        <v>0</v>
      </c>
      <c r="K53" s="304"/>
      <c r="L53" s="304"/>
      <c r="M53" s="304"/>
      <c r="N53" s="191"/>
      <c r="O53" s="191"/>
      <c r="P53" s="191"/>
      <c r="Q53" s="191"/>
      <c r="R53" s="191"/>
      <c r="S53" s="191"/>
      <c r="T53" s="191"/>
      <c r="U53" s="191"/>
    </row>
    <row r="54" spans="1:21" ht="16.5" customHeight="1">
      <c r="A54" s="91" t="s">
        <v>162</v>
      </c>
      <c r="B54" s="106" t="s">
        <v>377</v>
      </c>
      <c r="C54" s="20">
        <f>+'Bank Liabilities Analysis'!S34</f>
        <v>20000000</v>
      </c>
      <c r="D54" s="19">
        <f>+'Bank Liabilities Analysis'!T34</f>
        <v>20000000</v>
      </c>
      <c r="E54" s="19">
        <f>+'Bank Liabilities Analysis'!U34</f>
        <v>0</v>
      </c>
      <c r="F54" s="304"/>
      <c r="G54" s="304"/>
      <c r="H54" s="304"/>
      <c r="I54" s="304"/>
      <c r="J54" s="305">
        <f t="shared" si="2"/>
        <v>0</v>
      </c>
      <c r="K54" s="304"/>
      <c r="L54" s="304"/>
      <c r="M54" s="304"/>
      <c r="N54" s="191"/>
      <c r="O54" s="191"/>
      <c r="P54" s="191"/>
      <c r="Q54" s="191"/>
      <c r="R54" s="191"/>
      <c r="S54" s="191"/>
      <c r="T54" s="191"/>
      <c r="U54" s="191"/>
    </row>
    <row r="55" spans="1:21" ht="16.5" customHeight="1">
      <c r="A55" s="91" t="s">
        <v>164</v>
      </c>
      <c r="B55" s="92" t="s">
        <v>180</v>
      </c>
      <c r="C55" s="20">
        <f>+D55+E55</f>
        <v>2900775720</v>
      </c>
      <c r="D55" s="15">
        <v>1269570457</v>
      </c>
      <c r="E55" s="15">
        <v>1631205263</v>
      </c>
      <c r="F55" s="304"/>
      <c r="G55" s="304"/>
      <c r="H55" s="304"/>
      <c r="I55" s="304"/>
      <c r="J55" s="305">
        <f t="shared" si="2"/>
        <v>0</v>
      </c>
      <c r="K55" s="304"/>
      <c r="L55" s="304"/>
      <c r="M55" s="304"/>
      <c r="N55" s="191"/>
      <c r="O55" s="191"/>
      <c r="P55" s="191"/>
      <c r="Q55" s="191"/>
      <c r="R55" s="191"/>
      <c r="S55" s="191"/>
      <c r="T55" s="191"/>
      <c r="U55" s="191"/>
    </row>
    <row r="56" spans="1:21" ht="16.5" customHeight="1">
      <c r="A56" s="91" t="s">
        <v>41</v>
      </c>
      <c r="B56" s="197" t="s">
        <v>405</v>
      </c>
      <c r="C56" s="20">
        <f>+D56+E56</f>
        <v>0</v>
      </c>
      <c r="D56" s="15">
        <v>0</v>
      </c>
      <c r="E56" s="15">
        <v>0</v>
      </c>
      <c r="F56" s="304"/>
      <c r="G56" s="304"/>
      <c r="H56" s="304"/>
      <c r="I56" s="304"/>
      <c r="J56" s="305">
        <f t="shared" si="2"/>
        <v>0</v>
      </c>
      <c r="K56" s="304"/>
      <c r="L56" s="304"/>
      <c r="M56" s="304"/>
      <c r="N56" s="191"/>
      <c r="O56" s="191"/>
      <c r="P56" s="191"/>
      <c r="Q56" s="191"/>
      <c r="R56" s="191"/>
      <c r="S56" s="191"/>
      <c r="T56" s="191"/>
      <c r="U56" s="191"/>
    </row>
    <row r="57" spans="1:21" ht="16.5" customHeight="1">
      <c r="A57" s="91" t="s">
        <v>42</v>
      </c>
      <c r="B57" s="194" t="s">
        <v>378</v>
      </c>
      <c r="C57" s="20">
        <f>+D57+E57</f>
        <v>0</v>
      </c>
      <c r="D57" s="15">
        <v>0</v>
      </c>
      <c r="E57" s="15">
        <v>0</v>
      </c>
      <c r="F57" s="304"/>
      <c r="G57" s="304"/>
      <c r="H57" s="304"/>
      <c r="I57" s="304"/>
      <c r="J57" s="305">
        <f t="shared" si="2"/>
        <v>0</v>
      </c>
      <c r="K57" s="304"/>
      <c r="L57" s="304"/>
      <c r="M57" s="304"/>
      <c r="N57" s="191"/>
      <c r="O57" s="191"/>
      <c r="P57" s="191"/>
      <c r="Q57" s="191"/>
      <c r="R57" s="191"/>
      <c r="S57" s="191"/>
      <c r="T57" s="191"/>
      <c r="U57" s="191"/>
    </row>
    <row r="58" spans="1:21" ht="16.5" customHeight="1">
      <c r="A58" s="91" t="s">
        <v>278</v>
      </c>
      <c r="B58" s="92" t="s">
        <v>379</v>
      </c>
      <c r="C58" s="20">
        <f>+'Bank Liabilities Analysis'!S37</f>
        <v>37571846</v>
      </c>
      <c r="D58" s="20">
        <f>+'Bank Liabilities Analysis'!T37</f>
        <v>18697677</v>
      </c>
      <c r="E58" s="20">
        <f>+'Bank Liabilities Analysis'!U37</f>
        <v>18874169</v>
      </c>
      <c r="F58" s="304"/>
      <c r="G58" s="304"/>
      <c r="H58" s="304"/>
      <c r="I58" s="304"/>
      <c r="J58" s="305">
        <f t="shared" si="2"/>
        <v>0</v>
      </c>
      <c r="K58" s="304"/>
      <c r="L58" s="304"/>
      <c r="M58" s="304"/>
      <c r="N58" s="191"/>
      <c r="O58" s="191"/>
      <c r="P58" s="191"/>
      <c r="Q58" s="191"/>
      <c r="R58" s="191"/>
      <c r="S58" s="191"/>
      <c r="T58" s="191"/>
      <c r="U58" s="191"/>
    </row>
    <row r="59" spans="1:21" ht="16.5" customHeight="1">
      <c r="A59" s="91" t="s">
        <v>279</v>
      </c>
      <c r="B59" s="92" t="s">
        <v>380</v>
      </c>
      <c r="C59" s="20">
        <f>+D59+E59</f>
        <v>5263727</v>
      </c>
      <c r="D59" s="15">
        <v>5263727</v>
      </c>
      <c r="E59" s="15">
        <v>0</v>
      </c>
      <c r="F59" s="304"/>
      <c r="G59" s="304"/>
      <c r="H59" s="304"/>
      <c r="I59" s="304"/>
      <c r="J59" s="305">
        <f t="shared" si="2"/>
        <v>0</v>
      </c>
      <c r="K59" s="304"/>
      <c r="L59" s="304"/>
      <c r="M59" s="304"/>
      <c r="N59" s="191"/>
      <c r="O59" s="191"/>
      <c r="P59" s="191"/>
      <c r="Q59" s="191"/>
      <c r="R59" s="191"/>
      <c r="S59" s="191"/>
      <c r="T59" s="191"/>
      <c r="U59" s="191"/>
    </row>
    <row r="60" spans="1:21" ht="16.5" customHeight="1">
      <c r="A60" s="91" t="s">
        <v>280</v>
      </c>
      <c r="B60" s="92" t="s">
        <v>381</v>
      </c>
      <c r="C60" s="20">
        <f>+'Bank Liabilities Analysis'!S36</f>
        <v>2012535</v>
      </c>
      <c r="D60" s="19">
        <f>+'Bank Liabilities Analysis'!T36</f>
        <v>1887625</v>
      </c>
      <c r="E60" s="19">
        <f>+'Bank Liabilities Analysis'!U36</f>
        <v>124910</v>
      </c>
      <c r="F60" s="304"/>
      <c r="G60" s="304"/>
      <c r="H60" s="304"/>
      <c r="I60" s="304"/>
      <c r="J60" s="305">
        <f t="shared" si="2"/>
        <v>0</v>
      </c>
      <c r="K60" s="304"/>
      <c r="L60" s="304"/>
      <c r="M60" s="304"/>
      <c r="N60" s="191"/>
      <c r="O60" s="191"/>
      <c r="P60" s="191"/>
      <c r="Q60" s="191"/>
      <c r="R60" s="191"/>
      <c r="S60" s="191"/>
      <c r="T60" s="191"/>
      <c r="U60" s="191"/>
    </row>
    <row r="61" spans="1:21" ht="16.5" customHeight="1">
      <c r="A61" s="91" t="s">
        <v>281</v>
      </c>
      <c r="B61" s="92" t="s">
        <v>187</v>
      </c>
      <c r="C61" s="20">
        <f>+D61+E61</f>
        <v>77822670</v>
      </c>
      <c r="D61" s="15">
        <v>52795843</v>
      </c>
      <c r="E61" s="15">
        <v>25026827</v>
      </c>
      <c r="F61" s="304"/>
      <c r="G61" s="304"/>
      <c r="H61" s="304"/>
      <c r="I61" s="304"/>
      <c r="J61" s="305">
        <f t="shared" si="2"/>
        <v>0</v>
      </c>
      <c r="K61" s="304"/>
      <c r="L61" s="304"/>
      <c r="M61" s="304"/>
      <c r="N61" s="191"/>
      <c r="O61" s="191"/>
      <c r="P61" s="191"/>
      <c r="Q61" s="191"/>
      <c r="R61" s="191"/>
      <c r="S61" s="191"/>
      <c r="T61" s="191"/>
      <c r="U61" s="191"/>
    </row>
    <row r="62" spans="1:21" ht="16.5" customHeight="1">
      <c r="A62" s="109" t="s">
        <v>282</v>
      </c>
      <c r="B62" s="107" t="s">
        <v>392</v>
      </c>
      <c r="C62" s="108">
        <f>+D62+E62</f>
        <v>5457145832</v>
      </c>
      <c r="D62" s="108">
        <f>SUM(D50:D61)</f>
        <v>3050550896</v>
      </c>
      <c r="E62" s="108">
        <f>SUM(E50:E61)</f>
        <v>2406594936</v>
      </c>
      <c r="F62" s="306">
        <f>+'Bank Liabilities Analysis'!S39</f>
        <v>5457145832</v>
      </c>
      <c r="G62" s="306">
        <f>+'Bank Liabilities Analysis'!T39</f>
        <v>3050550896</v>
      </c>
      <c r="H62" s="306">
        <f>+'Bank Liabilities Analysis'!U39</f>
        <v>2406594936</v>
      </c>
      <c r="I62" s="304"/>
      <c r="J62" s="305">
        <f t="shared" si="2"/>
        <v>0</v>
      </c>
      <c r="K62" s="304"/>
      <c r="L62" s="304"/>
      <c r="M62" s="304"/>
      <c r="N62" s="191"/>
      <c r="O62" s="191"/>
      <c r="P62" s="191"/>
      <c r="Q62" s="191"/>
      <c r="R62" s="191"/>
      <c r="S62" s="191"/>
      <c r="T62" s="191"/>
      <c r="U62" s="191"/>
    </row>
    <row r="63" spans="1:21" ht="6.75" customHeight="1">
      <c r="A63" s="91"/>
      <c r="B63" s="103"/>
      <c r="C63" s="20"/>
      <c r="D63" s="20"/>
      <c r="E63" s="20"/>
      <c r="F63" s="304"/>
      <c r="G63" s="304"/>
      <c r="H63" s="304"/>
      <c r="I63" s="304"/>
      <c r="J63" s="305">
        <f t="shared" si="2"/>
        <v>0</v>
      </c>
      <c r="K63" s="304"/>
      <c r="L63" s="304"/>
      <c r="M63" s="304"/>
      <c r="N63" s="191"/>
      <c r="O63" s="191"/>
      <c r="P63" s="191"/>
      <c r="Q63" s="191"/>
      <c r="R63" s="191"/>
      <c r="S63" s="191"/>
      <c r="T63" s="191"/>
      <c r="U63" s="191"/>
    </row>
    <row r="64" spans="1:21" ht="15" customHeight="1">
      <c r="A64" s="97"/>
      <c r="B64" s="105" t="s">
        <v>3</v>
      </c>
      <c r="C64" s="19"/>
      <c r="D64" s="19"/>
      <c r="E64" s="19"/>
      <c r="F64" s="304"/>
      <c r="G64" s="304"/>
      <c r="H64" s="304"/>
      <c r="I64" s="304"/>
      <c r="J64" s="305">
        <f t="shared" si="2"/>
        <v>0</v>
      </c>
      <c r="K64" s="304"/>
      <c r="L64" s="304"/>
      <c r="M64" s="304"/>
      <c r="N64" s="191"/>
      <c r="O64" s="191"/>
      <c r="P64" s="191"/>
      <c r="Q64" s="191"/>
      <c r="R64" s="191"/>
      <c r="S64" s="191"/>
      <c r="T64" s="191"/>
      <c r="U64" s="191"/>
    </row>
    <row r="65" spans="1:30" ht="6.75" customHeight="1">
      <c r="A65" s="91"/>
      <c r="B65" s="103"/>
      <c r="C65" s="20"/>
      <c r="D65" s="20"/>
      <c r="E65" s="20"/>
      <c r="F65" s="304"/>
      <c r="G65" s="304"/>
      <c r="H65" s="304"/>
      <c r="I65" s="304"/>
      <c r="J65" s="305">
        <f>+C65-D65-E65</f>
        <v>0</v>
      </c>
      <c r="K65" s="304"/>
      <c r="L65" s="304"/>
      <c r="M65" s="304"/>
      <c r="N65" s="191"/>
      <c r="O65" s="191"/>
      <c r="P65" s="191"/>
      <c r="Q65" s="191"/>
      <c r="R65" s="191"/>
      <c r="S65" s="191"/>
      <c r="T65" s="191"/>
      <c r="U65" s="191"/>
    </row>
    <row r="66" spans="1:30" ht="15" customHeight="1">
      <c r="A66" s="109" t="s">
        <v>283</v>
      </c>
      <c r="B66" s="92" t="s">
        <v>382</v>
      </c>
      <c r="C66" s="19"/>
      <c r="D66" s="19"/>
      <c r="E66" s="19"/>
      <c r="F66" s="304"/>
      <c r="G66" s="304"/>
      <c r="H66" s="304"/>
      <c r="I66" s="304"/>
      <c r="J66" s="305">
        <f t="shared" si="2"/>
        <v>0</v>
      </c>
      <c r="K66" s="304"/>
      <c r="L66" s="304"/>
      <c r="M66" s="304"/>
      <c r="N66" s="191"/>
      <c r="O66" s="191"/>
      <c r="P66" s="191"/>
      <c r="Q66" s="191"/>
      <c r="R66" s="191"/>
      <c r="S66" s="191"/>
      <c r="T66" s="191"/>
      <c r="U66" s="191"/>
    </row>
    <row r="67" spans="1:30" ht="15" customHeight="1">
      <c r="A67" s="97" t="s">
        <v>406</v>
      </c>
      <c r="B67" s="94" t="s">
        <v>383</v>
      </c>
      <c r="C67" s="19">
        <f>+D67+E67</f>
        <v>1641584276</v>
      </c>
      <c r="D67" s="115">
        <v>1641584276</v>
      </c>
      <c r="E67" s="115"/>
      <c r="F67" s="304"/>
      <c r="G67" s="304"/>
      <c r="H67" s="304"/>
      <c r="I67" s="304"/>
      <c r="J67" s="305">
        <f t="shared" si="2"/>
        <v>0</v>
      </c>
      <c r="K67" s="304"/>
      <c r="L67" s="304"/>
      <c r="M67" s="304"/>
      <c r="N67" s="191"/>
      <c r="O67" s="191"/>
      <c r="P67" s="191"/>
      <c r="Q67" s="191"/>
      <c r="R67" s="191"/>
      <c r="S67" s="191"/>
      <c r="T67" s="191"/>
      <c r="U67" s="191"/>
    </row>
    <row r="68" spans="1:30" ht="15" customHeight="1">
      <c r="A68" s="91" t="s">
        <v>407</v>
      </c>
      <c r="B68" s="94" t="s">
        <v>384</v>
      </c>
      <c r="C68" s="19">
        <f>+D68+E68</f>
        <v>144180</v>
      </c>
      <c r="D68" s="15">
        <v>144180</v>
      </c>
      <c r="E68" s="15"/>
      <c r="F68" s="304"/>
      <c r="G68" s="304"/>
      <c r="H68" s="304"/>
      <c r="I68" s="304"/>
      <c r="J68" s="305">
        <f t="shared" si="2"/>
        <v>0</v>
      </c>
      <c r="K68" s="304"/>
      <c r="L68" s="304"/>
      <c r="M68" s="304"/>
      <c r="N68" s="191"/>
      <c r="O68" s="191"/>
      <c r="P68" s="191"/>
      <c r="Q68" s="191"/>
      <c r="R68" s="191"/>
      <c r="S68" s="191"/>
      <c r="T68" s="191"/>
      <c r="U68" s="191"/>
    </row>
    <row r="69" spans="1:30" ht="15" customHeight="1">
      <c r="A69" s="91" t="s">
        <v>284</v>
      </c>
      <c r="B69" s="110" t="s">
        <v>65</v>
      </c>
      <c r="C69" s="19">
        <f>+D69+E69</f>
        <v>0</v>
      </c>
      <c r="D69" s="15">
        <v>0</v>
      </c>
      <c r="E69" s="15"/>
      <c r="F69" s="304"/>
      <c r="G69" s="304"/>
      <c r="H69" s="304"/>
      <c r="I69" s="304"/>
      <c r="J69" s="305">
        <f t="shared" si="2"/>
        <v>0</v>
      </c>
      <c r="K69" s="304"/>
      <c r="L69" s="304"/>
      <c r="M69" s="304"/>
      <c r="N69" s="191"/>
      <c r="O69" s="191"/>
      <c r="P69" s="191"/>
      <c r="Q69" s="191"/>
      <c r="R69" s="191"/>
      <c r="S69" s="191"/>
      <c r="T69" s="191"/>
      <c r="U69" s="191"/>
    </row>
    <row r="70" spans="1:30" ht="15" customHeight="1">
      <c r="A70" s="91" t="s">
        <v>285</v>
      </c>
      <c r="B70" s="110" t="s">
        <v>385</v>
      </c>
      <c r="C70" s="19"/>
      <c r="D70" s="19"/>
      <c r="E70" s="19"/>
      <c r="F70" s="304"/>
      <c r="G70" s="304"/>
      <c r="H70" s="304"/>
      <c r="I70" s="304"/>
      <c r="J70" s="305">
        <f t="shared" si="2"/>
        <v>0</v>
      </c>
      <c r="K70" s="304"/>
      <c r="L70" s="304"/>
      <c r="M70" s="304"/>
      <c r="N70" s="191"/>
      <c r="O70" s="191"/>
      <c r="P70" s="191"/>
      <c r="Q70" s="191"/>
      <c r="R70" s="191"/>
      <c r="S70" s="191"/>
      <c r="T70" s="191"/>
      <c r="U70" s="191"/>
    </row>
    <row r="71" spans="1:30" ht="15" customHeight="1">
      <c r="A71" s="91" t="s">
        <v>286</v>
      </c>
      <c r="B71" s="111" t="s">
        <v>386</v>
      </c>
      <c r="C71" s="20">
        <f t="shared" ref="C71:C76" si="3">+D71+E71</f>
        <v>33585871</v>
      </c>
      <c r="D71" s="15">
        <v>33585871</v>
      </c>
      <c r="E71" s="15"/>
      <c r="F71" s="304"/>
      <c r="G71" s="304"/>
      <c r="H71" s="304"/>
      <c r="I71" s="304"/>
      <c r="J71" s="305">
        <f t="shared" si="2"/>
        <v>0</v>
      </c>
      <c r="K71" s="304"/>
      <c r="L71" s="304"/>
      <c r="M71" s="304"/>
      <c r="N71" s="191"/>
      <c r="O71" s="191"/>
      <c r="P71" s="191"/>
      <c r="Q71" s="191"/>
      <c r="R71" s="191"/>
      <c r="S71" s="191"/>
      <c r="T71" s="191"/>
      <c r="U71" s="191"/>
    </row>
    <row r="72" spans="1:30" ht="15" customHeight="1">
      <c r="A72" s="91" t="s">
        <v>408</v>
      </c>
      <c r="B72" s="111" t="s">
        <v>387</v>
      </c>
      <c r="C72" s="19">
        <f t="shared" si="3"/>
        <v>0</v>
      </c>
      <c r="D72" s="116"/>
      <c r="E72" s="116"/>
      <c r="F72" s="305"/>
      <c r="G72" s="304"/>
      <c r="H72" s="305"/>
      <c r="I72" s="304"/>
      <c r="J72" s="305">
        <f t="shared" si="2"/>
        <v>0</v>
      </c>
      <c r="K72" s="304"/>
      <c r="L72" s="304"/>
      <c r="M72" s="304"/>
      <c r="N72" s="191"/>
      <c r="O72" s="191"/>
      <c r="P72" s="191"/>
      <c r="Q72" s="191"/>
      <c r="R72" s="191"/>
      <c r="S72" s="191"/>
      <c r="T72" s="191"/>
      <c r="U72" s="191"/>
    </row>
    <row r="73" spans="1:30" ht="15" customHeight="1">
      <c r="A73" s="91" t="s">
        <v>409</v>
      </c>
      <c r="B73" s="192" t="s">
        <v>388</v>
      </c>
      <c r="C73" s="19">
        <f t="shared" si="3"/>
        <v>0</v>
      </c>
      <c r="D73" s="15"/>
      <c r="E73" s="15"/>
      <c r="F73" s="304"/>
      <c r="G73" s="304"/>
      <c r="H73" s="304"/>
      <c r="I73" s="304"/>
      <c r="J73" s="305">
        <f t="shared" si="2"/>
        <v>0</v>
      </c>
      <c r="K73" s="304"/>
      <c r="L73" s="304"/>
      <c r="M73" s="304"/>
      <c r="N73" s="191"/>
      <c r="O73" s="191"/>
      <c r="P73" s="191"/>
      <c r="Q73" s="191"/>
      <c r="R73" s="191"/>
      <c r="S73" s="191"/>
      <c r="T73" s="191"/>
      <c r="U73" s="191"/>
    </row>
    <row r="74" spans="1:30" ht="15" customHeight="1">
      <c r="A74" s="91" t="s">
        <v>410</v>
      </c>
      <c r="B74" s="111" t="s">
        <v>389</v>
      </c>
      <c r="C74" s="20">
        <f t="shared" si="3"/>
        <v>12981513</v>
      </c>
      <c r="D74" s="15">
        <v>12981513</v>
      </c>
      <c r="E74" s="15"/>
      <c r="F74" s="304"/>
      <c r="G74" s="304"/>
      <c r="H74" s="304"/>
      <c r="I74" s="304"/>
      <c r="J74" s="305">
        <f t="shared" si="2"/>
        <v>0</v>
      </c>
      <c r="K74" s="304"/>
      <c r="L74" s="304"/>
      <c r="M74" s="304"/>
      <c r="N74" s="191"/>
      <c r="O74" s="191"/>
      <c r="P74" s="191"/>
      <c r="Q74" s="191"/>
      <c r="R74" s="191"/>
      <c r="S74" s="191"/>
      <c r="T74" s="191"/>
      <c r="U74" s="191"/>
    </row>
    <row r="75" spans="1:30" ht="15" customHeight="1">
      <c r="A75" s="91" t="s">
        <v>287</v>
      </c>
      <c r="B75" s="110" t="s">
        <v>66</v>
      </c>
      <c r="C75" s="20">
        <f t="shared" si="3"/>
        <v>-43307767</v>
      </c>
      <c r="D75" s="15">
        <v>-43307767</v>
      </c>
      <c r="E75" s="15"/>
      <c r="F75" s="304"/>
      <c r="G75" s="304"/>
      <c r="H75" s="304"/>
      <c r="I75" s="304"/>
      <c r="J75" s="305">
        <f t="shared" si="2"/>
        <v>0</v>
      </c>
      <c r="K75" s="304"/>
      <c r="L75" s="304"/>
      <c r="M75" s="304"/>
      <c r="N75" s="191"/>
      <c r="O75" s="191"/>
      <c r="P75" s="191"/>
      <c r="Q75" s="191"/>
      <c r="R75" s="191"/>
      <c r="S75" s="191"/>
      <c r="T75" s="191"/>
      <c r="U75" s="191"/>
    </row>
    <row r="76" spans="1:30" ht="15" customHeight="1">
      <c r="A76" s="91" t="s">
        <v>411</v>
      </c>
      <c r="B76" s="192" t="s">
        <v>424</v>
      </c>
      <c r="C76" s="20">
        <f t="shared" si="3"/>
        <v>6530517</v>
      </c>
      <c r="D76" s="15">
        <v>6530517</v>
      </c>
      <c r="E76" s="15"/>
      <c r="F76" s="304"/>
      <c r="G76" s="304"/>
      <c r="H76" s="304"/>
      <c r="I76" s="304"/>
      <c r="J76" s="305">
        <f t="shared" si="2"/>
        <v>0</v>
      </c>
      <c r="K76" s="304"/>
      <c r="L76" s="304"/>
      <c r="M76" s="304"/>
      <c r="N76" s="191"/>
      <c r="O76" s="191"/>
      <c r="P76" s="191"/>
      <c r="Q76" s="191"/>
      <c r="R76" s="191"/>
      <c r="S76" s="191"/>
      <c r="T76" s="191"/>
      <c r="U76" s="191"/>
    </row>
    <row r="77" spans="1:30" ht="15" customHeight="1">
      <c r="A77" s="112" t="s">
        <v>288</v>
      </c>
      <c r="B77" s="107" t="s">
        <v>390</v>
      </c>
      <c r="C77" s="20">
        <f>SUM(C67:C75)</f>
        <v>1644988073</v>
      </c>
      <c r="D77" s="113">
        <f>SUM(D67:D75)</f>
        <v>1644988073</v>
      </c>
      <c r="E77" s="113">
        <f>SUM(E67:E75)</f>
        <v>0</v>
      </c>
      <c r="F77" s="305"/>
      <c r="G77" s="304"/>
      <c r="H77" s="304"/>
      <c r="I77" s="304"/>
      <c r="J77" s="305">
        <f t="shared" si="2"/>
        <v>0</v>
      </c>
      <c r="K77" s="304"/>
      <c r="L77" s="304"/>
      <c r="M77" s="304"/>
      <c r="N77" s="191"/>
      <c r="O77" s="191"/>
      <c r="P77" s="191"/>
      <c r="Q77" s="191"/>
      <c r="R77" s="191"/>
      <c r="S77" s="191"/>
      <c r="T77" s="191"/>
      <c r="U77" s="191"/>
    </row>
    <row r="78" spans="1:30" ht="15" customHeight="1">
      <c r="A78" s="112" t="s">
        <v>412</v>
      </c>
      <c r="B78" s="114" t="s">
        <v>391</v>
      </c>
      <c r="C78" s="102">
        <f>+D78+E78</f>
        <v>7102133905</v>
      </c>
      <c r="D78" s="102">
        <f>+D62+D77</f>
        <v>4695538969</v>
      </c>
      <c r="E78" s="102">
        <f>+E62+E77</f>
        <v>2406594936</v>
      </c>
      <c r="F78" s="304"/>
      <c r="G78" s="304"/>
      <c r="H78" s="304"/>
      <c r="I78" s="304"/>
      <c r="J78" s="305">
        <f t="shared" si="2"/>
        <v>0</v>
      </c>
      <c r="K78" s="304"/>
      <c r="L78" s="304"/>
      <c r="M78" s="304"/>
      <c r="N78" s="191"/>
      <c r="O78" s="191"/>
      <c r="P78" s="191"/>
      <c r="Q78" s="191"/>
      <c r="R78" s="191"/>
      <c r="S78" s="191"/>
      <c r="T78" s="191"/>
      <c r="U78" s="191"/>
    </row>
    <row r="79" spans="1:30" ht="15" customHeight="1">
      <c r="A79" s="95"/>
      <c r="B79" s="66"/>
      <c r="C79" s="66"/>
      <c r="D79" s="66"/>
      <c r="E79" s="66"/>
      <c r="F79" s="304"/>
      <c r="G79" s="304"/>
      <c r="H79" s="304"/>
      <c r="I79" s="304"/>
      <c r="J79" s="304"/>
      <c r="K79" s="304"/>
      <c r="L79" s="304"/>
      <c r="M79" s="304"/>
      <c r="N79" s="191"/>
      <c r="O79" s="191"/>
      <c r="P79" s="191"/>
      <c r="Q79" s="191"/>
      <c r="R79" s="191"/>
      <c r="S79" s="191"/>
      <c r="T79" s="191"/>
      <c r="U79" s="191"/>
    </row>
    <row r="80" spans="1:30" ht="15" customHeight="1">
      <c r="A80" s="95"/>
      <c r="B80" s="5" t="s">
        <v>4</v>
      </c>
      <c r="C80" s="66"/>
      <c r="D80" s="66"/>
      <c r="E80" s="66"/>
      <c r="F80" s="304"/>
      <c r="G80" s="304"/>
      <c r="H80" s="304"/>
      <c r="I80" s="304"/>
      <c r="J80" s="304"/>
      <c r="K80" s="304"/>
      <c r="L80" s="304"/>
      <c r="M80" s="304"/>
      <c r="N80" s="191"/>
      <c r="O80" s="191"/>
      <c r="P80" s="191"/>
      <c r="Q80" s="191"/>
      <c r="R80" s="191"/>
      <c r="S80" s="191"/>
      <c r="T80" s="191"/>
      <c r="U80" s="191"/>
      <c r="V80" s="191"/>
      <c r="W80" s="66"/>
      <c r="X80" s="66"/>
      <c r="Y80" s="66"/>
      <c r="Z80" s="66"/>
      <c r="AA80" s="66"/>
      <c r="AB80" s="66"/>
      <c r="AC80" s="66"/>
      <c r="AD80" s="66"/>
    </row>
    <row r="81" spans="1:30" ht="11.25" customHeight="1">
      <c r="A81" s="95"/>
      <c r="B81" s="5"/>
      <c r="C81" s="66"/>
      <c r="D81" s="66"/>
      <c r="E81" s="66"/>
      <c r="F81" s="304"/>
      <c r="G81" s="304"/>
      <c r="H81" s="304"/>
      <c r="I81" s="304"/>
      <c r="J81" s="304"/>
      <c r="K81" s="304"/>
      <c r="L81" s="304"/>
      <c r="M81" s="304"/>
      <c r="N81" s="191"/>
      <c r="O81" s="191"/>
      <c r="P81" s="191"/>
      <c r="Q81" s="191"/>
      <c r="R81" s="191"/>
      <c r="S81" s="191"/>
      <c r="T81" s="191"/>
      <c r="U81" s="191"/>
      <c r="V81" s="191"/>
      <c r="W81" s="66"/>
      <c r="X81" s="66"/>
      <c r="Y81" s="66"/>
      <c r="Z81" s="66"/>
      <c r="AA81" s="66"/>
      <c r="AB81" s="66"/>
      <c r="AC81" s="66"/>
      <c r="AD81" s="66"/>
    </row>
    <row r="82" spans="1:30" ht="15" customHeight="1">
      <c r="A82" s="95"/>
      <c r="B82" s="5" t="s">
        <v>5</v>
      </c>
      <c r="C82" s="66"/>
      <c r="D82" s="66"/>
      <c r="E82" s="66"/>
      <c r="F82" s="304"/>
      <c r="G82" s="304"/>
      <c r="H82" s="304"/>
      <c r="I82" s="304"/>
      <c r="J82" s="304"/>
      <c r="K82" s="304"/>
      <c r="L82" s="304"/>
      <c r="M82" s="304"/>
      <c r="N82" s="191"/>
      <c r="O82" s="191"/>
      <c r="P82" s="191"/>
      <c r="Q82" s="191"/>
      <c r="R82" s="191"/>
      <c r="S82" s="191"/>
      <c r="T82" s="191"/>
      <c r="U82" s="191"/>
      <c r="V82" s="191"/>
      <c r="W82" s="66"/>
      <c r="X82" s="66"/>
      <c r="Y82" s="66"/>
      <c r="Z82" s="66"/>
      <c r="AA82" s="66"/>
      <c r="AB82" s="66"/>
      <c r="AC82" s="66"/>
      <c r="AD82" s="66"/>
    </row>
    <row r="83" spans="1:30" ht="15" customHeight="1">
      <c r="A83" s="95"/>
      <c r="B83" s="66"/>
      <c r="C83" s="66"/>
      <c r="D83" s="66"/>
      <c r="E83" s="66"/>
      <c r="F83" s="304"/>
      <c r="G83" s="304"/>
      <c r="H83" s="304"/>
      <c r="I83" s="304"/>
      <c r="J83" s="304"/>
      <c r="K83" s="304"/>
      <c r="L83" s="304"/>
      <c r="M83" s="304"/>
      <c r="N83" s="191"/>
      <c r="O83" s="191"/>
      <c r="P83" s="191"/>
      <c r="Q83" s="191"/>
      <c r="R83" s="191"/>
      <c r="S83" s="191"/>
      <c r="T83" s="191"/>
      <c r="U83" s="191"/>
      <c r="V83" s="191"/>
      <c r="W83" s="66"/>
      <c r="X83" s="66"/>
      <c r="Y83" s="66"/>
      <c r="Z83" s="66"/>
      <c r="AA83" s="66"/>
      <c r="AB83" s="66"/>
      <c r="AC83" s="66"/>
      <c r="AD83" s="66"/>
    </row>
    <row r="84" spans="1:30" s="540" customFormat="1" ht="15" customHeight="1">
      <c r="A84" s="536"/>
      <c r="B84" s="537"/>
      <c r="C84" s="537">
        <f>+C45-C78</f>
        <v>0</v>
      </c>
      <c r="D84" s="537"/>
      <c r="E84" s="537"/>
      <c r="F84" s="538"/>
      <c r="G84" s="538"/>
      <c r="H84" s="538"/>
      <c r="I84" s="538"/>
      <c r="J84" s="538"/>
      <c r="K84" s="538"/>
      <c r="L84" s="538"/>
      <c r="M84" s="538"/>
      <c r="N84" s="539"/>
      <c r="O84" s="539"/>
      <c r="P84" s="539"/>
      <c r="Q84" s="539"/>
      <c r="R84" s="539"/>
      <c r="S84" s="539"/>
      <c r="T84" s="539"/>
      <c r="U84" s="539"/>
      <c r="V84" s="539"/>
      <c r="W84" s="537"/>
      <c r="X84" s="537"/>
      <c r="Y84" s="537"/>
      <c r="Z84" s="537"/>
      <c r="AA84" s="537"/>
      <c r="AB84" s="537"/>
      <c r="AC84" s="537"/>
      <c r="AD84" s="537"/>
    </row>
    <row r="85" spans="1:30" s="540" customFormat="1" ht="15" customHeight="1">
      <c r="A85" s="536"/>
      <c r="B85" s="537"/>
      <c r="C85" s="537"/>
      <c r="D85" s="537"/>
      <c r="E85" s="537"/>
      <c r="F85" s="538"/>
      <c r="G85" s="538"/>
      <c r="H85" s="538"/>
      <c r="I85" s="538"/>
      <c r="J85" s="538"/>
      <c r="K85" s="538"/>
      <c r="L85" s="538"/>
      <c r="M85" s="538"/>
      <c r="N85" s="539"/>
      <c r="O85" s="539"/>
      <c r="P85" s="539"/>
      <c r="Q85" s="539"/>
      <c r="R85" s="539"/>
      <c r="S85" s="539"/>
      <c r="T85" s="539"/>
      <c r="U85" s="539"/>
      <c r="V85" s="539"/>
      <c r="W85" s="537"/>
      <c r="X85" s="537"/>
      <c r="Y85" s="537"/>
      <c r="Z85" s="537"/>
      <c r="AA85" s="537"/>
      <c r="AB85" s="537"/>
      <c r="AC85" s="537"/>
      <c r="AD85" s="537"/>
    </row>
    <row r="86" spans="1:30" s="540" customFormat="1" ht="15" customHeight="1">
      <c r="A86" s="536"/>
      <c r="B86" s="537"/>
      <c r="C86" s="537"/>
      <c r="D86" s="537"/>
      <c r="E86" s="537"/>
      <c r="F86" s="538"/>
      <c r="G86" s="538"/>
      <c r="H86" s="538"/>
      <c r="I86" s="538"/>
      <c r="J86" s="538"/>
      <c r="K86" s="538"/>
      <c r="L86" s="538"/>
      <c r="M86" s="538"/>
      <c r="N86" s="539"/>
      <c r="O86" s="539"/>
      <c r="P86" s="539"/>
      <c r="Q86" s="539"/>
      <c r="R86" s="539"/>
      <c r="S86" s="539"/>
      <c r="T86" s="539"/>
      <c r="U86" s="539"/>
      <c r="V86" s="539"/>
      <c r="W86" s="537"/>
      <c r="X86" s="537"/>
      <c r="Y86" s="537"/>
      <c r="Z86" s="537"/>
      <c r="AA86" s="537"/>
      <c r="AB86" s="537"/>
      <c r="AC86" s="537"/>
      <c r="AD86" s="537"/>
    </row>
    <row r="87" spans="1:30" ht="15" customHeight="1">
      <c r="A87" s="95"/>
      <c r="B87" s="66"/>
      <c r="C87" s="66"/>
      <c r="D87" s="66"/>
      <c r="E87" s="66"/>
      <c r="F87" s="304"/>
      <c r="G87" s="304"/>
      <c r="H87" s="304"/>
      <c r="I87" s="304"/>
      <c r="J87" s="304"/>
      <c r="K87" s="304"/>
      <c r="L87" s="304"/>
      <c r="M87" s="304"/>
      <c r="N87" s="191"/>
      <c r="O87" s="191"/>
      <c r="P87" s="191"/>
      <c r="Q87" s="191"/>
      <c r="R87" s="191"/>
      <c r="S87" s="191"/>
      <c r="T87" s="191"/>
      <c r="U87" s="191"/>
      <c r="V87" s="191"/>
      <c r="W87" s="66"/>
      <c r="X87" s="66"/>
      <c r="Y87" s="66"/>
      <c r="Z87" s="66"/>
      <c r="AA87" s="66"/>
      <c r="AB87" s="66"/>
      <c r="AC87" s="66"/>
      <c r="AD87" s="66"/>
    </row>
    <row r="88" spans="1:30" ht="15" customHeight="1">
      <c r="A88" s="95"/>
      <c r="B88" s="66"/>
      <c r="C88" s="66"/>
      <c r="D88" s="66"/>
      <c r="E88" s="66"/>
      <c r="F88" s="304"/>
      <c r="G88" s="304"/>
      <c r="H88" s="304"/>
      <c r="I88" s="304"/>
      <c r="J88" s="304"/>
      <c r="K88" s="304"/>
      <c r="L88" s="304"/>
      <c r="M88" s="304"/>
      <c r="N88" s="191"/>
      <c r="O88" s="191"/>
      <c r="P88" s="191"/>
      <c r="Q88" s="191"/>
      <c r="R88" s="191"/>
      <c r="S88" s="191"/>
      <c r="T88" s="191"/>
      <c r="U88" s="191"/>
      <c r="V88" s="191"/>
      <c r="W88" s="66"/>
      <c r="X88" s="66"/>
      <c r="Y88" s="66"/>
      <c r="Z88" s="66"/>
      <c r="AA88" s="66"/>
      <c r="AB88" s="66"/>
      <c r="AC88" s="66"/>
      <c r="AD88" s="66"/>
    </row>
    <row r="89" spans="1:30" ht="15" customHeight="1">
      <c r="A89" s="95"/>
      <c r="G89" s="304"/>
      <c r="H89" s="304"/>
      <c r="I89" s="304"/>
      <c r="J89" s="304"/>
      <c r="K89" s="304"/>
      <c r="L89" s="304"/>
      <c r="M89" s="304"/>
      <c r="N89" s="191"/>
      <c r="O89" s="191"/>
      <c r="P89" s="191"/>
      <c r="Q89" s="191"/>
      <c r="R89" s="191"/>
      <c r="S89" s="191"/>
      <c r="T89" s="191"/>
      <c r="U89" s="191"/>
      <c r="V89" s="191"/>
      <c r="W89" s="66"/>
      <c r="X89" s="66"/>
      <c r="Y89" s="66"/>
      <c r="Z89" s="66"/>
      <c r="AA89" s="66"/>
      <c r="AB89" s="66"/>
      <c r="AC89" s="66"/>
      <c r="AD89" s="66"/>
    </row>
    <row r="90" spans="1:30" ht="15" customHeight="1">
      <c r="A90" s="95"/>
    </row>
  </sheetData>
  <sheetProtection password="CACA" sheet="1" objects="1" scenarios="1"/>
  <mergeCells count="1">
    <mergeCell ref="A1:D1"/>
  </mergeCells>
  <phoneticPr fontId="14" type="noConversion"/>
  <conditionalFormatting sqref="C62">
    <cfRule type="cellIs" dxfId="396" priority="67" operator="notEqual">
      <formula>$F$62</formula>
    </cfRule>
    <cfRule type="cellIs" dxfId="395" priority="102" operator="notEqual">
      <formula>$D$62+$E$62</formula>
    </cfRule>
  </conditionalFormatting>
  <conditionalFormatting sqref="C78">
    <cfRule type="cellIs" dxfId="394" priority="66" operator="notEqual">
      <formula>$C$45</formula>
    </cfRule>
    <cfRule type="cellIs" dxfId="393" priority="99" operator="notEqual">
      <formula>$C$45</formula>
    </cfRule>
  </conditionalFormatting>
  <conditionalFormatting sqref="C51">
    <cfRule type="cellIs" dxfId="392" priority="91" operator="notEqual">
      <formula>$D$51+$E$51</formula>
    </cfRule>
  </conditionalFormatting>
  <conditionalFormatting sqref="D62">
    <cfRule type="cellIs" dxfId="391" priority="68" operator="notEqual">
      <formula>$G$62</formula>
    </cfRule>
  </conditionalFormatting>
  <conditionalFormatting sqref="E62">
    <cfRule type="cellIs" dxfId="390" priority="186" operator="notEqual">
      <formula>$H$62</formula>
    </cfRule>
  </conditionalFormatting>
  <conditionalFormatting sqref="C20:D20">
    <cfRule type="cellIs" dxfId="389" priority="58" operator="notEqual">
      <formula>$D$21-$D$22</formula>
    </cfRule>
  </conditionalFormatting>
  <conditionalFormatting sqref="E20">
    <cfRule type="cellIs" dxfId="388" priority="57" operator="notEqual">
      <formula>$E$21-$E$22</formula>
    </cfRule>
  </conditionalFormatting>
  <conditionalFormatting sqref="C61 C59 C50:C55 C57">
    <cfRule type="cellIs" dxfId="387" priority="52" operator="notEqual">
      <formula>D50+E50</formula>
    </cfRule>
  </conditionalFormatting>
  <conditionalFormatting sqref="C45">
    <cfRule type="cellIs" dxfId="386" priority="43" operator="notEqual">
      <formula>$F$45</formula>
    </cfRule>
  </conditionalFormatting>
  <conditionalFormatting sqref="E45">
    <cfRule type="cellIs" dxfId="385" priority="41" operator="notEqual">
      <formula>$H$45</formula>
    </cfRule>
  </conditionalFormatting>
  <conditionalFormatting sqref="C7">
    <cfRule type="cellIs" dxfId="384" priority="40" operator="notEqual">
      <formula>+$D$7+$E$7</formula>
    </cfRule>
  </conditionalFormatting>
  <conditionalFormatting sqref="C77">
    <cfRule type="cellIs" dxfId="383" priority="35" stopIfTrue="1" operator="notEqual">
      <formula>$D$77+$E$77</formula>
    </cfRule>
  </conditionalFormatting>
  <conditionalFormatting sqref="C37">
    <cfRule type="cellIs" dxfId="382" priority="34" operator="notEqual">
      <formula>$C$38+$C$39-$C$40</formula>
    </cfRule>
  </conditionalFormatting>
  <conditionalFormatting sqref="D37">
    <cfRule type="cellIs" dxfId="381" priority="33" operator="notEqual">
      <formula>$D$38+$D$39-$D$40</formula>
    </cfRule>
  </conditionalFormatting>
  <conditionalFormatting sqref="E37">
    <cfRule type="cellIs" dxfId="380" priority="31" operator="notEqual">
      <formula>$E$38+$E$39-$E$40</formula>
    </cfRule>
  </conditionalFormatting>
  <conditionalFormatting sqref="E41">
    <cfRule type="cellIs" dxfId="379" priority="30" operator="notEqual">
      <formula>$E$42-$E$43+$E$44</formula>
    </cfRule>
  </conditionalFormatting>
  <conditionalFormatting sqref="C23">
    <cfRule type="cellIs" dxfId="378" priority="27" operator="notEqual">
      <formula>C24-C25</formula>
    </cfRule>
  </conditionalFormatting>
  <conditionalFormatting sqref="D23:E23">
    <cfRule type="cellIs" dxfId="377" priority="26" operator="notEqual">
      <formula>D24-D25</formula>
    </cfRule>
  </conditionalFormatting>
  <conditionalFormatting sqref="C26">
    <cfRule type="cellIs" dxfId="376" priority="25" operator="notEqual">
      <formula>C27-C28</formula>
    </cfRule>
  </conditionalFormatting>
  <conditionalFormatting sqref="D26:E26">
    <cfRule type="cellIs" dxfId="375" priority="24" operator="notEqual">
      <formula>D27-D28</formula>
    </cfRule>
  </conditionalFormatting>
  <conditionalFormatting sqref="C29">
    <cfRule type="cellIs" dxfId="374" priority="23" operator="notEqual">
      <formula>C30-C31</formula>
    </cfRule>
  </conditionalFormatting>
  <conditionalFormatting sqref="D29:E29">
    <cfRule type="cellIs" dxfId="373" priority="22" operator="notEqual">
      <formula>D30-D31</formula>
    </cfRule>
  </conditionalFormatting>
  <conditionalFormatting sqref="C41">
    <cfRule type="cellIs" dxfId="372" priority="21" operator="notEqual">
      <formula>C42-C43+C44</formula>
    </cfRule>
  </conditionalFormatting>
  <conditionalFormatting sqref="C17">
    <cfRule type="cellIs" dxfId="371" priority="19" operator="notEqual">
      <formula>C18-C19</formula>
    </cfRule>
  </conditionalFormatting>
  <conditionalFormatting sqref="C14">
    <cfRule type="cellIs" dxfId="370" priority="17" operator="notEqual">
      <formula>C15-C16</formula>
    </cfRule>
  </conditionalFormatting>
  <conditionalFormatting sqref="D14:E14">
    <cfRule type="cellIs" dxfId="369" priority="16" operator="notEqual">
      <formula>D15-D16</formula>
    </cfRule>
  </conditionalFormatting>
  <conditionalFormatting sqref="C7">
    <cfRule type="cellIs" dxfId="368" priority="13" operator="notEqual">
      <formula>C8-C9</formula>
    </cfRule>
  </conditionalFormatting>
  <conditionalFormatting sqref="E7">
    <cfRule type="cellIs" dxfId="367" priority="12" operator="notEqual">
      <formula>E8-E9</formula>
    </cfRule>
  </conditionalFormatting>
  <conditionalFormatting sqref="C56">
    <cfRule type="cellIs" dxfId="366" priority="9" operator="notEqual">
      <formula>D56+E56</formula>
    </cfRule>
  </conditionalFormatting>
  <conditionalFormatting sqref="D45">
    <cfRule type="cellIs" dxfId="365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E58 D71:D76 D55:D61 E72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4 D38:D40 D27"/>
    <dataValidation type="date" operator="greaterThan" allowBlank="1" showInputMessage="1" showErrorMessage="1" prompt="Введите дату в формате ЧЧ.ММ.ГГГГ" sqref="C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18" customWidth="1"/>
    <col min="2" max="2" width="105.140625" style="118" customWidth="1"/>
    <col min="3" max="3" width="19.7109375" style="151" customWidth="1"/>
    <col min="4" max="4" width="10.28515625" style="283" bestFit="1" customWidth="1"/>
    <col min="5" max="5" width="19.42578125" style="284" bestFit="1" customWidth="1"/>
    <col min="6" max="6" width="9.28515625" style="283" bestFit="1" customWidth="1"/>
    <col min="7" max="7" width="9.140625" style="283"/>
    <col min="8" max="8" width="17.42578125" style="283" bestFit="1" customWidth="1"/>
    <col min="9" max="16384" width="9.140625" style="118"/>
  </cols>
  <sheetData>
    <row r="1" spans="1:8" ht="23.25" customHeight="1">
      <c r="A1" s="556" t="s">
        <v>423</v>
      </c>
      <c r="B1" s="557"/>
      <c r="C1" s="117" t="s">
        <v>401</v>
      </c>
    </row>
    <row r="2" spans="1:8">
      <c r="A2" s="153"/>
      <c r="B2" s="153"/>
      <c r="C2" s="153"/>
    </row>
    <row r="3" spans="1:8" ht="15.75">
      <c r="A3" s="119"/>
      <c r="B3" s="202" t="str">
        <f>Balance!B3</f>
        <v>АКБ"Микрокредитбанк"</v>
      </c>
      <c r="C3" s="201">
        <f>+Balance!C3</f>
        <v>44196</v>
      </c>
    </row>
    <row r="4" spans="1:8" s="120" customFormat="1" ht="43.5" customHeight="1">
      <c r="A4" s="256" t="s">
        <v>79</v>
      </c>
      <c r="B4" s="256" t="s">
        <v>54</v>
      </c>
      <c r="C4" s="256" t="s">
        <v>8</v>
      </c>
      <c r="D4" s="285"/>
      <c r="E4" s="286"/>
      <c r="F4" s="285"/>
      <c r="G4" s="285"/>
      <c r="H4" s="285"/>
    </row>
    <row r="5" spans="1:8" ht="12.75" customHeight="1">
      <c r="A5" s="232" t="s">
        <v>55</v>
      </c>
      <c r="B5" s="122" t="s">
        <v>195</v>
      </c>
      <c r="C5" s="123"/>
    </row>
    <row r="6" spans="1:8" ht="12.75" customHeight="1">
      <c r="A6" s="121">
        <v>1</v>
      </c>
      <c r="B6" s="122" t="s">
        <v>196</v>
      </c>
      <c r="C6" s="124"/>
    </row>
    <row r="7" spans="1:8" s="131" customFormat="1" ht="18" customHeight="1">
      <c r="A7" s="128" t="s">
        <v>199</v>
      </c>
      <c r="B7" s="129" t="s">
        <v>197</v>
      </c>
      <c r="C7" s="159" t="s">
        <v>190</v>
      </c>
      <c r="D7" s="287"/>
      <c r="E7" s="189"/>
      <c r="F7" s="287"/>
      <c r="G7" s="287"/>
      <c r="H7" s="287"/>
    </row>
    <row r="8" spans="1:8" s="120" customFormat="1" ht="18" customHeight="1">
      <c r="A8" s="138" t="s">
        <v>56</v>
      </c>
      <c r="B8" s="244" t="s">
        <v>57</v>
      </c>
      <c r="C8" s="154"/>
      <c r="D8" s="285"/>
      <c r="E8" s="286"/>
      <c r="F8" s="285"/>
      <c r="G8" s="285"/>
      <c r="H8" s="285"/>
    </row>
    <row r="9" spans="1:8" s="120" customFormat="1" ht="18" customHeight="1">
      <c r="A9" s="138" t="s">
        <v>58</v>
      </c>
      <c r="B9" s="244" t="s">
        <v>59</v>
      </c>
      <c r="C9" s="155"/>
      <c r="D9" s="285"/>
      <c r="E9" s="286"/>
      <c r="F9" s="285"/>
      <c r="G9" s="285"/>
      <c r="H9" s="285"/>
    </row>
    <row r="10" spans="1:8" s="131" customFormat="1" ht="18" customHeight="1">
      <c r="A10" s="128" t="s">
        <v>200</v>
      </c>
      <c r="B10" s="129" t="s">
        <v>198</v>
      </c>
      <c r="C10" s="186">
        <v>0</v>
      </c>
      <c r="D10" s="287"/>
      <c r="E10" s="189"/>
      <c r="F10" s="287"/>
      <c r="G10" s="287"/>
      <c r="H10" s="287"/>
    </row>
    <row r="11" spans="1:8" s="120" customFormat="1" ht="18" customHeight="1">
      <c r="A11" s="138" t="s">
        <v>201</v>
      </c>
      <c r="B11" s="244" t="s">
        <v>202</v>
      </c>
      <c r="C11" s="159" t="s">
        <v>190</v>
      </c>
      <c r="D11" s="285"/>
      <c r="E11" s="286"/>
      <c r="F11" s="285"/>
      <c r="G11" s="285"/>
      <c r="H11" s="285"/>
    </row>
    <row r="12" spans="1:8" s="120" customFormat="1" ht="18" customHeight="1">
      <c r="A12" s="138" t="s">
        <v>62</v>
      </c>
      <c r="B12" s="244" t="s">
        <v>67</v>
      </c>
      <c r="C12" s="188"/>
      <c r="D12" s="285"/>
      <c r="E12" s="286"/>
      <c r="F12" s="285"/>
      <c r="G12" s="285"/>
      <c r="H12" s="285"/>
    </row>
    <row r="13" spans="1:8" s="120" customFormat="1" ht="18" customHeight="1">
      <c r="A13" s="133" t="s">
        <v>58</v>
      </c>
      <c r="B13" s="245" t="s">
        <v>68</v>
      </c>
      <c r="C13" s="188"/>
      <c r="D13" s="285"/>
      <c r="E13" s="286"/>
      <c r="F13" s="285"/>
      <c r="G13" s="285"/>
      <c r="H13" s="285"/>
    </row>
    <row r="14" spans="1:8" s="131" customFormat="1" ht="18" customHeight="1">
      <c r="A14" s="143" t="s">
        <v>60</v>
      </c>
      <c r="B14" s="242" t="s">
        <v>203</v>
      </c>
      <c r="C14" s="185"/>
      <c r="D14" s="287"/>
      <c r="E14" s="189"/>
      <c r="F14" s="287"/>
      <c r="G14" s="287"/>
      <c r="H14" s="287"/>
    </row>
    <row r="15" spans="1:8" s="131" customFormat="1" ht="18" customHeight="1">
      <c r="A15" s="143" t="s">
        <v>69</v>
      </c>
      <c r="B15" s="242" t="s">
        <v>204</v>
      </c>
      <c r="C15" s="185"/>
      <c r="D15" s="287"/>
      <c r="E15" s="189"/>
      <c r="F15" s="287"/>
      <c r="G15" s="287"/>
      <c r="H15" s="287"/>
    </row>
    <row r="16" spans="1:8" s="120" customFormat="1" ht="18" customHeight="1">
      <c r="A16" s="133" t="s">
        <v>205</v>
      </c>
      <c r="B16" s="245" t="s">
        <v>70</v>
      </c>
      <c r="C16" s="186"/>
      <c r="D16" s="285"/>
      <c r="E16" s="286"/>
      <c r="F16" s="285"/>
      <c r="G16" s="285"/>
      <c r="H16" s="285"/>
    </row>
    <row r="17" spans="1:8" s="120" customFormat="1" ht="18" customHeight="1">
      <c r="A17" s="133" t="s">
        <v>206</v>
      </c>
      <c r="B17" s="245" t="s">
        <v>9</v>
      </c>
      <c r="C17" s="186"/>
      <c r="D17" s="285"/>
      <c r="E17" s="286"/>
      <c r="F17" s="285"/>
      <c r="G17" s="285"/>
      <c r="H17" s="285"/>
    </row>
    <row r="18" spans="1:8" s="120" customFormat="1" ht="18" customHeight="1">
      <c r="A18" s="133"/>
      <c r="B18" s="245" t="s">
        <v>207</v>
      </c>
      <c r="C18" s="159" t="s">
        <v>190</v>
      </c>
      <c r="D18" s="285"/>
      <c r="E18" s="286"/>
      <c r="F18" s="285"/>
      <c r="G18" s="285"/>
      <c r="H18" s="285"/>
    </row>
    <row r="19" spans="1:8" s="120" customFormat="1" ht="18" customHeight="1">
      <c r="A19" s="133" t="s">
        <v>235</v>
      </c>
      <c r="B19" s="245" t="s">
        <v>208</v>
      </c>
      <c r="C19" s="159" t="s">
        <v>190</v>
      </c>
      <c r="D19" s="285"/>
      <c r="E19" s="286"/>
      <c r="F19" s="285"/>
      <c r="G19" s="285"/>
      <c r="H19" s="285"/>
    </row>
    <row r="20" spans="1:8" s="131" customFormat="1" ht="18" customHeight="1">
      <c r="A20" s="231" t="s">
        <v>62</v>
      </c>
      <c r="B20" s="412" t="s">
        <v>72</v>
      </c>
      <c r="C20" s="185"/>
      <c r="D20" s="287"/>
      <c r="E20" s="189"/>
      <c r="F20" s="287"/>
      <c r="G20" s="287"/>
      <c r="H20" s="287"/>
    </row>
    <row r="21" spans="1:8" s="130" customFormat="1" ht="25.5">
      <c r="A21" s="231" t="s">
        <v>58</v>
      </c>
      <c r="B21" s="242" t="s">
        <v>18</v>
      </c>
      <c r="C21" s="185"/>
      <c r="D21" s="287"/>
      <c r="E21" s="189"/>
      <c r="F21" s="287"/>
      <c r="G21" s="287"/>
      <c r="H21" s="287"/>
    </row>
    <row r="22" spans="1:8" s="131" customFormat="1" ht="18" customHeight="1">
      <c r="A22" s="231" t="s">
        <v>60</v>
      </c>
      <c r="B22" s="242" t="s">
        <v>10</v>
      </c>
      <c r="C22" s="185"/>
      <c r="D22" s="287"/>
      <c r="E22" s="189"/>
      <c r="F22" s="287"/>
      <c r="G22" s="287"/>
      <c r="H22" s="287"/>
    </row>
    <row r="23" spans="1:8" s="131" customFormat="1" ht="15" customHeight="1">
      <c r="A23" s="128" t="s">
        <v>209</v>
      </c>
      <c r="B23" s="129" t="s">
        <v>210</v>
      </c>
      <c r="C23" s="159" t="s">
        <v>190</v>
      </c>
      <c r="D23" s="287"/>
      <c r="E23" s="189"/>
      <c r="F23" s="287"/>
      <c r="G23" s="287"/>
      <c r="H23" s="287"/>
    </row>
    <row r="24" spans="1:8" ht="16.5" customHeight="1">
      <c r="A24" s="125">
        <v>2</v>
      </c>
      <c r="B24" s="132" t="s">
        <v>211</v>
      </c>
      <c r="C24" s="126"/>
    </row>
    <row r="25" spans="1:8" s="131" customFormat="1" ht="18" customHeight="1">
      <c r="A25" s="143" t="s">
        <v>212</v>
      </c>
      <c r="B25" s="242" t="s">
        <v>61</v>
      </c>
      <c r="C25" s="240">
        <f>+C26+C27</f>
        <v>0</v>
      </c>
      <c r="D25" s="287"/>
      <c r="E25" s="189"/>
      <c r="F25" s="287"/>
      <c r="G25" s="287"/>
      <c r="H25" s="287"/>
    </row>
    <row r="26" spans="1:8" s="131" customFormat="1" ht="18" customHeight="1">
      <c r="A26" s="143" t="s">
        <v>62</v>
      </c>
      <c r="B26" s="242" t="s">
        <v>63</v>
      </c>
      <c r="C26" s="185"/>
      <c r="D26" s="287"/>
      <c r="E26" s="189"/>
      <c r="F26" s="287"/>
      <c r="G26" s="287"/>
      <c r="H26" s="287"/>
    </row>
    <row r="27" spans="1:8" s="131" customFormat="1" ht="18" customHeight="1">
      <c r="A27" s="143" t="s">
        <v>58</v>
      </c>
      <c r="B27" s="242" t="s">
        <v>64</v>
      </c>
      <c r="C27" s="185"/>
      <c r="D27" s="287"/>
      <c r="E27" s="189"/>
      <c r="F27" s="287"/>
      <c r="G27" s="287"/>
      <c r="H27" s="287"/>
    </row>
    <row r="28" spans="1:8" s="131" customFormat="1" ht="18" customHeight="1">
      <c r="A28" s="143" t="s">
        <v>213</v>
      </c>
      <c r="B28" s="242" t="s">
        <v>214</v>
      </c>
      <c r="C28" s="185">
        <v>0</v>
      </c>
      <c r="D28" s="287"/>
      <c r="E28" s="189"/>
      <c r="F28" s="287"/>
      <c r="G28" s="287"/>
      <c r="H28" s="287"/>
    </row>
    <row r="29" spans="1:8">
      <c r="A29" s="133" t="s">
        <v>215</v>
      </c>
      <c r="B29" s="243" t="s">
        <v>216</v>
      </c>
      <c r="C29" s="156">
        <v>0</v>
      </c>
    </row>
    <row r="30" spans="1:8" s="131" customFormat="1" ht="29.25" customHeight="1">
      <c r="A30" s="143" t="s">
        <v>217</v>
      </c>
      <c r="B30" s="242" t="s">
        <v>17</v>
      </c>
      <c r="C30" s="185">
        <v>0</v>
      </c>
      <c r="D30" s="287"/>
      <c r="E30" s="189"/>
      <c r="F30" s="287"/>
      <c r="G30" s="287"/>
      <c r="H30" s="287"/>
    </row>
    <row r="31" spans="1:8" s="135" customFormat="1">
      <c r="A31" s="134" t="s">
        <v>71</v>
      </c>
      <c r="B31" s="195" t="s">
        <v>218</v>
      </c>
      <c r="C31" s="187">
        <f>+C25+C28+C29+C30</f>
        <v>0</v>
      </c>
      <c r="D31" s="288"/>
      <c r="E31" s="289"/>
      <c r="F31" s="290"/>
      <c r="G31" s="290"/>
      <c r="H31" s="290"/>
    </row>
    <row r="32" spans="1:8" s="135" customFormat="1" ht="16.5" customHeight="1">
      <c r="A32" s="134" t="s">
        <v>73</v>
      </c>
      <c r="B32" s="257" t="s">
        <v>219</v>
      </c>
      <c r="C32" s="159" t="s">
        <v>190</v>
      </c>
      <c r="D32" s="290"/>
      <c r="E32" s="289"/>
      <c r="F32" s="290"/>
      <c r="G32" s="290"/>
      <c r="H32" s="290"/>
    </row>
    <row r="33" spans="1:8" s="137" customFormat="1" ht="13.5" customHeight="1">
      <c r="A33" s="136"/>
      <c r="B33" s="136" t="s">
        <v>75</v>
      </c>
      <c r="C33" s="127"/>
      <c r="D33" s="291"/>
      <c r="E33" s="292"/>
      <c r="F33" s="291"/>
      <c r="G33" s="291"/>
      <c r="H33" s="293"/>
    </row>
    <row r="34" spans="1:8" s="131" customFormat="1" ht="18" customHeight="1">
      <c r="A34" s="143" t="s">
        <v>220</v>
      </c>
      <c r="B34" s="410" t="s">
        <v>453</v>
      </c>
      <c r="C34" s="185"/>
      <c r="D34" s="287"/>
      <c r="E34" s="189"/>
      <c r="F34" s="287"/>
      <c r="G34" s="287"/>
      <c r="H34" s="287"/>
    </row>
    <row r="35" spans="1:8" s="131" customFormat="1" ht="25.5">
      <c r="A35" s="143" t="s">
        <v>221</v>
      </c>
      <c r="B35" s="242" t="s">
        <v>19</v>
      </c>
      <c r="C35" s="343" t="e">
        <f>IF(Balance!C72&lt;(C43*1.25%),Balance!C72,(C43*1.25%))</f>
        <v>#REF!</v>
      </c>
      <c r="D35" s="287"/>
      <c r="E35" s="189"/>
      <c r="F35" s="287"/>
      <c r="G35" s="287"/>
      <c r="H35" s="287"/>
    </row>
    <row r="36" spans="1:8" s="131" customFormat="1" ht="18" customHeight="1">
      <c r="A36" s="143" t="s">
        <v>222</v>
      </c>
      <c r="B36" s="242" t="s">
        <v>11</v>
      </c>
      <c r="C36" s="185"/>
      <c r="D36" s="287"/>
      <c r="E36" s="189"/>
      <c r="F36" s="287"/>
      <c r="G36" s="287"/>
      <c r="H36" s="287"/>
    </row>
    <row r="37" spans="1:8" s="131" customFormat="1" ht="18" customHeight="1">
      <c r="A37" s="143" t="s">
        <v>223</v>
      </c>
      <c r="B37" s="242" t="s">
        <v>224</v>
      </c>
      <c r="C37" s="185"/>
      <c r="D37" s="287"/>
      <c r="E37" s="189"/>
      <c r="F37" s="287"/>
      <c r="G37" s="287"/>
      <c r="H37" s="287"/>
    </row>
    <row r="38" spans="1:8" s="131" customFormat="1" ht="18" customHeight="1">
      <c r="A38" s="143" t="s">
        <v>225</v>
      </c>
      <c r="B38" s="242" t="s">
        <v>12</v>
      </c>
      <c r="C38" s="185"/>
      <c r="D38" s="287"/>
      <c r="E38" s="189"/>
      <c r="F38" s="287"/>
      <c r="G38" s="287"/>
      <c r="H38" s="287"/>
    </row>
    <row r="39" spans="1:8" s="131" customFormat="1" ht="18" customHeight="1">
      <c r="A39" s="143" t="s">
        <v>226</v>
      </c>
      <c r="B39" s="242" t="s">
        <v>76</v>
      </c>
      <c r="C39" s="159" t="s">
        <v>190</v>
      </c>
      <c r="D39" s="287"/>
      <c r="E39" s="189"/>
      <c r="F39" s="287"/>
      <c r="G39" s="287"/>
      <c r="H39" s="287"/>
    </row>
    <row r="40" spans="1:8" ht="18.75" customHeight="1">
      <c r="A40" s="138"/>
      <c r="B40" s="139" t="s">
        <v>35</v>
      </c>
      <c r="C40" s="127" t="e">
        <f>SUM(C34:C38)</f>
        <v>#REF!</v>
      </c>
      <c r="D40" s="288"/>
    </row>
    <row r="41" spans="1:8" s="120" customFormat="1" ht="22.5" customHeight="1">
      <c r="A41" s="157" t="s">
        <v>74</v>
      </c>
      <c r="B41" s="140" t="s">
        <v>36</v>
      </c>
      <c r="C41" s="159" t="s">
        <v>190</v>
      </c>
      <c r="D41" s="294"/>
      <c r="E41" s="286"/>
      <c r="F41" s="285"/>
      <c r="G41" s="285"/>
      <c r="H41" s="285"/>
    </row>
    <row r="42" spans="1:8" s="120" customFormat="1" ht="15.75" customHeight="1">
      <c r="A42" s="136" t="s">
        <v>77</v>
      </c>
      <c r="B42" s="140" t="s">
        <v>227</v>
      </c>
      <c r="C42" s="159" t="s">
        <v>190</v>
      </c>
      <c r="D42" s="294"/>
      <c r="E42" s="286"/>
      <c r="F42" s="285"/>
      <c r="G42" s="285"/>
      <c r="H42" s="285"/>
    </row>
    <row r="43" spans="1:8" s="120" customFormat="1" ht="21.75" customHeight="1">
      <c r="A43" s="136" t="s">
        <v>15</v>
      </c>
      <c r="B43" s="129" t="s">
        <v>228</v>
      </c>
      <c r="C43" s="141" t="e">
        <f>+C44+C45+C46</f>
        <v>#REF!</v>
      </c>
      <c r="D43" s="285"/>
      <c r="E43" s="286"/>
      <c r="F43" s="285"/>
      <c r="G43" s="285"/>
      <c r="H43" s="285"/>
    </row>
    <row r="44" spans="1:8" s="131" customFormat="1" ht="18" customHeight="1">
      <c r="A44" s="143" t="s">
        <v>62</v>
      </c>
      <c r="B44" s="242" t="s">
        <v>20</v>
      </c>
      <c r="C44" s="240" t="e">
        <f>+#REF!</f>
        <v>#REF!</v>
      </c>
      <c r="D44" s="287"/>
      <c r="E44" s="189"/>
      <c r="F44" s="287"/>
      <c r="G44" s="287"/>
      <c r="H44" s="287"/>
    </row>
    <row r="45" spans="1:8" s="131" customFormat="1" ht="18" customHeight="1">
      <c r="A45" s="143" t="s">
        <v>58</v>
      </c>
      <c r="B45" s="242" t="s">
        <v>13</v>
      </c>
      <c r="C45" s="240" t="e">
        <f>+#REF!</f>
        <v>#REF!</v>
      </c>
      <c r="D45" s="287"/>
      <c r="E45" s="189"/>
      <c r="F45" s="287"/>
      <c r="G45" s="287"/>
      <c r="H45" s="287"/>
    </row>
    <row r="46" spans="1:8" s="131" customFormat="1" ht="18" customHeight="1">
      <c r="A46" s="143" t="s">
        <v>60</v>
      </c>
      <c r="B46" s="242" t="s">
        <v>14</v>
      </c>
      <c r="C46" s="240" t="e">
        <f>+#REF!</f>
        <v>#REF!</v>
      </c>
      <c r="D46" s="287"/>
      <c r="E46" s="189" t="e">
        <f>+#REF!</f>
        <v>#REF!</v>
      </c>
      <c r="F46" s="287"/>
      <c r="G46" s="287"/>
      <c r="H46" s="287"/>
    </row>
    <row r="47" spans="1:8" s="137" customFormat="1" ht="21.75" customHeight="1">
      <c r="A47" s="157" t="s">
        <v>16</v>
      </c>
      <c r="B47" s="158" t="s">
        <v>229</v>
      </c>
      <c r="C47" s="159" t="s">
        <v>190</v>
      </c>
      <c r="D47" s="291"/>
      <c r="E47" s="292"/>
      <c r="F47" s="291"/>
      <c r="G47" s="291"/>
      <c r="H47" s="291"/>
    </row>
    <row r="48" spans="1:8" s="137" customFormat="1" ht="21.75" customHeight="1">
      <c r="A48" s="157" t="s">
        <v>78</v>
      </c>
      <c r="B48" s="158" t="s">
        <v>230</v>
      </c>
      <c r="C48" s="159" t="s">
        <v>190</v>
      </c>
      <c r="D48" s="291"/>
      <c r="E48" s="292"/>
      <c r="F48" s="291"/>
      <c r="G48" s="291"/>
      <c r="H48" s="291"/>
    </row>
    <row r="49" spans="1:8" s="137" customFormat="1" ht="21.75" customHeight="1">
      <c r="A49" s="157" t="s">
        <v>37</v>
      </c>
      <c r="B49" s="158" t="s">
        <v>231</v>
      </c>
      <c r="C49" s="159" t="s">
        <v>190</v>
      </c>
      <c r="D49" s="291"/>
      <c r="E49" s="292"/>
      <c r="F49" s="291"/>
      <c r="G49" s="291"/>
      <c r="H49" s="291"/>
    </row>
    <row r="50" spans="1:8" s="142" customFormat="1" ht="21.75" customHeight="1">
      <c r="A50" s="136" t="s">
        <v>38</v>
      </c>
      <c r="B50" s="129" t="s">
        <v>29</v>
      </c>
      <c r="C50" s="159" t="s">
        <v>190</v>
      </c>
      <c r="D50" s="295"/>
      <c r="E50" s="296"/>
      <c r="F50" s="297"/>
      <c r="G50" s="295"/>
      <c r="H50" s="295"/>
    </row>
    <row r="51" spans="1:8" s="146" customFormat="1" ht="21.75" customHeight="1">
      <c r="A51" s="143" t="s">
        <v>62</v>
      </c>
      <c r="B51" s="144" t="s">
        <v>46</v>
      </c>
      <c r="C51" s="145">
        <f>+Balance!C45</f>
        <v>7102133905</v>
      </c>
      <c r="D51" s="298"/>
      <c r="E51" s="299"/>
      <c r="F51" s="300"/>
      <c r="G51" s="298"/>
      <c r="H51" s="298"/>
    </row>
    <row r="52" spans="1:8" s="146" customFormat="1" ht="21.75" customHeight="1">
      <c r="A52" s="143" t="s">
        <v>58</v>
      </c>
      <c r="B52" s="144" t="s">
        <v>232</v>
      </c>
      <c r="C52" s="333" t="e">
        <f>SUM(#REF!)</f>
        <v>#REF!</v>
      </c>
      <c r="D52" s="300" t="e">
        <f>+#REF!</f>
        <v>#REF!</v>
      </c>
      <c r="E52" s="299"/>
      <c r="F52" s="300"/>
      <c r="G52" s="298"/>
      <c r="H52" s="298"/>
    </row>
    <row r="53" spans="1:8" s="149" customFormat="1" ht="21.75" customHeight="1">
      <c r="A53" s="147" t="s">
        <v>60</v>
      </c>
      <c r="B53" s="148" t="s">
        <v>233</v>
      </c>
      <c r="C53" s="335" t="e">
        <f>SUM(#REF!)</f>
        <v>#REF!</v>
      </c>
      <c r="D53" s="332"/>
      <c r="E53" s="334"/>
      <c r="F53" s="301"/>
      <c r="G53" s="301"/>
      <c r="H53" s="301"/>
    </row>
    <row r="54" spans="1:8" s="149" customFormat="1" ht="21.75" customHeight="1">
      <c r="A54" s="147" t="s">
        <v>69</v>
      </c>
      <c r="B54" s="148" t="s">
        <v>234</v>
      </c>
      <c r="C54" s="198" t="str">
        <f>+C19</f>
        <v>Формула</v>
      </c>
      <c r="D54" s="301"/>
      <c r="E54" s="302"/>
      <c r="F54" s="301"/>
      <c r="G54" s="301"/>
      <c r="H54" s="301"/>
    </row>
    <row r="55" spans="1:8" s="137" customFormat="1" ht="21.75" customHeight="1">
      <c r="A55" s="157" t="s">
        <v>39</v>
      </c>
      <c r="B55" s="158" t="s">
        <v>47</v>
      </c>
      <c r="C55" s="159" t="s">
        <v>190</v>
      </c>
      <c r="D55" s="291"/>
      <c r="E55" s="292"/>
      <c r="F55" s="291"/>
      <c r="G55" s="291"/>
      <c r="H55" s="291"/>
    </row>
    <row r="56" spans="1:8">
      <c r="B56" s="150"/>
    </row>
    <row r="57" spans="1:8" s="1" customFormat="1">
      <c r="A57" s="32"/>
      <c r="B57" s="3" t="s">
        <v>4</v>
      </c>
      <c r="D57" s="87"/>
      <c r="E57" s="87"/>
      <c r="F57" s="87"/>
      <c r="G57" s="87"/>
      <c r="H57" s="87"/>
    </row>
    <row r="58" spans="1:8" s="1" customFormat="1">
      <c r="A58" s="32"/>
      <c r="B58" s="3"/>
      <c r="D58" s="87"/>
      <c r="E58" s="87"/>
      <c r="F58" s="87"/>
      <c r="G58" s="87"/>
      <c r="H58" s="87"/>
    </row>
    <row r="59" spans="1:8" s="1" customFormat="1">
      <c r="A59" s="32"/>
      <c r="B59" s="3" t="s">
        <v>5</v>
      </c>
      <c r="D59" s="87"/>
      <c r="E59" s="87"/>
      <c r="F59" s="87"/>
      <c r="G59" s="87"/>
      <c r="H59" s="87"/>
    </row>
    <row r="60" spans="1:8">
      <c r="B60" s="15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P81"/>
  <sheetViews>
    <sheetView view="pageBreakPreview" zoomScaleSheetLayoutView="100" workbookViewId="0">
      <pane xSplit="2" ySplit="3" topLeftCell="C11" activePane="bottomRight" state="frozen"/>
      <selection activeCell="B3" sqref="B3:B6"/>
      <selection pane="topRight" activeCell="B3" sqref="B3:B6"/>
      <selection pane="bottomLeft" activeCell="B3" sqref="B3:B6"/>
      <selection pane="bottomRight" activeCell="D21" sqref="D21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9" customWidth="1"/>
    <col min="4" max="4" width="17.42578125" style="408" customWidth="1"/>
    <col min="5" max="5" width="17.42578125" style="59" customWidth="1"/>
    <col min="6" max="7" width="17.140625" style="411" customWidth="1"/>
    <col min="8" max="8" width="17.140625" style="425" customWidth="1"/>
    <col min="9" max="9" width="14.28515625" style="428" customWidth="1"/>
    <col min="10" max="11" width="6.42578125" style="377" customWidth="1"/>
    <col min="12" max="12" width="9.140625" style="377"/>
    <col min="13" max="14" width="11.7109375" style="366" bestFit="1" customWidth="1"/>
    <col min="15" max="16" width="9.140625" style="339"/>
    <col min="17" max="16384" width="9.140625" style="8"/>
  </cols>
  <sheetData>
    <row r="1" spans="1:16" s="55" customFormat="1" ht="34.5" customHeight="1">
      <c r="A1" s="10"/>
      <c r="B1" s="12" t="s">
        <v>124</v>
      </c>
      <c r="C1" s="234"/>
      <c r="D1" s="399"/>
      <c r="E1" s="234" t="s">
        <v>536</v>
      </c>
      <c r="F1" s="422"/>
      <c r="G1" s="422"/>
      <c r="H1" s="423"/>
      <c r="I1" s="424"/>
      <c r="J1" s="373"/>
      <c r="K1" s="373"/>
      <c r="L1" s="374"/>
      <c r="M1" s="375"/>
      <c r="N1" s="375"/>
      <c r="O1" s="527"/>
      <c r="P1" s="527"/>
    </row>
    <row r="2" spans="1:16" ht="20.25" customHeight="1">
      <c r="B2" s="218" t="str">
        <f>Balance!B3</f>
        <v>АКБ"Микрокредитбанк"</v>
      </c>
      <c r="C2" s="216" t="str">
        <f>+Balance!B2</f>
        <v xml:space="preserve"> 31 Декабрь, 2020</v>
      </c>
      <c r="D2" s="400"/>
      <c r="E2" s="216" t="s">
        <v>7</v>
      </c>
      <c r="I2" s="426"/>
      <c r="J2" s="376"/>
      <c r="K2" s="376"/>
    </row>
    <row r="3" spans="1:16" s="331" customFormat="1" ht="36.75" customHeight="1">
      <c r="A3" s="255" t="s">
        <v>79</v>
      </c>
      <c r="B3" s="255" t="s">
        <v>433</v>
      </c>
      <c r="C3" s="255" t="s">
        <v>317</v>
      </c>
      <c r="D3" s="401" t="s">
        <v>444</v>
      </c>
      <c r="E3" s="255" t="s">
        <v>445</v>
      </c>
      <c r="F3" s="411"/>
      <c r="G3" s="411"/>
      <c r="H3" s="425"/>
      <c r="I3" s="426"/>
      <c r="J3" s="376"/>
      <c r="K3" s="376"/>
      <c r="L3" s="377"/>
      <c r="O3" s="528"/>
      <c r="P3" s="528"/>
    </row>
    <row r="4" spans="1:16" ht="10.5" customHeight="1">
      <c r="A4" s="14"/>
      <c r="B4" s="14"/>
      <c r="C4" s="14"/>
      <c r="D4" s="402"/>
      <c r="E4" s="531"/>
      <c r="I4" s="426"/>
      <c r="J4" s="376"/>
      <c r="K4" s="376"/>
    </row>
    <row r="5" spans="1:16" s="331" customFormat="1" ht="17.25" customHeight="1">
      <c r="A5" s="457"/>
      <c r="B5" s="457" t="s">
        <v>476</v>
      </c>
      <c r="C5" s="558" t="s">
        <v>125</v>
      </c>
      <c r="D5" s="559"/>
      <c r="E5" s="560"/>
      <c r="F5" s="449"/>
      <c r="G5" s="449"/>
      <c r="H5" s="452"/>
      <c r="I5" s="529"/>
      <c r="J5" s="376"/>
      <c r="K5" s="376"/>
      <c r="L5" s="377"/>
      <c r="O5" s="528"/>
      <c r="P5" s="528"/>
    </row>
    <row r="6" spans="1:16" s="366" customFormat="1">
      <c r="A6" s="458" t="s">
        <v>199</v>
      </c>
      <c r="B6" s="459" t="s">
        <v>459</v>
      </c>
      <c r="C6" s="465">
        <f>+'Bank Assets Analysis'!S7-'Bank Assets Analysis'!S8</f>
        <v>149272179</v>
      </c>
      <c r="D6" s="465">
        <f>+'Bank Assets Analysis'!T7-'Bank Assets Analysis'!T8</f>
        <v>68880720</v>
      </c>
      <c r="E6" s="532">
        <f>+'Bank Assets Analysis'!U7-'Bank Assets Analysis'!U8</f>
        <v>80391459</v>
      </c>
      <c r="F6" s="530"/>
      <c r="G6" s="449"/>
      <c r="H6" s="452"/>
      <c r="I6" s="529"/>
      <c r="J6" s="376"/>
      <c r="K6" s="376"/>
      <c r="L6" s="377"/>
      <c r="O6" s="339"/>
      <c r="P6" s="339"/>
    </row>
    <row r="7" spans="1:16" s="366" customFormat="1" ht="25.5">
      <c r="A7" s="458" t="s">
        <v>200</v>
      </c>
      <c r="B7" s="459" t="s">
        <v>428</v>
      </c>
      <c r="C7" s="465">
        <f>+'Bank Assets Analysis'!S9</f>
        <v>62642628</v>
      </c>
      <c r="D7" s="465">
        <f>+'Bank Assets Analysis'!T9</f>
        <v>62642628</v>
      </c>
      <c r="E7" s="532">
        <f>+'Bank Assets Analysis'!U9</f>
        <v>0</v>
      </c>
      <c r="F7" s="449"/>
      <c r="G7" s="449"/>
      <c r="H7" s="452"/>
      <c r="I7" s="529"/>
      <c r="J7" s="376"/>
      <c r="K7" s="376"/>
      <c r="L7" s="377"/>
      <c r="O7" s="339"/>
      <c r="P7" s="339"/>
    </row>
    <row r="8" spans="1:16" s="366" customFormat="1" ht="25.5">
      <c r="A8" s="458" t="s">
        <v>201</v>
      </c>
      <c r="B8" s="459" t="s">
        <v>460</v>
      </c>
      <c r="C8" s="465">
        <f>+'Bank Assets Analysis'!S20-'Bank Assets Analysis'!S21+'Bank Assets Analysis'!S36</f>
        <v>135000000</v>
      </c>
      <c r="D8" s="465">
        <f>+'Bank Assets Analysis'!T20-'Bank Assets Analysis'!T21+'Bank Assets Analysis'!T36</f>
        <v>135000000</v>
      </c>
      <c r="E8" s="465">
        <f>+'Bank Assets Analysis'!U20-'Bank Assets Analysis'!U21+'Bank Assets Analysis'!U36</f>
        <v>0</v>
      </c>
      <c r="F8" s="530"/>
      <c r="G8" s="449"/>
      <c r="H8" s="452"/>
      <c r="I8" s="529"/>
      <c r="J8" s="376"/>
      <c r="K8" s="376"/>
      <c r="L8" s="377"/>
      <c r="O8" s="339"/>
      <c r="P8" s="339"/>
    </row>
    <row r="9" spans="1:16" s="366" customFormat="1" ht="45.75" customHeight="1">
      <c r="A9" s="458" t="s">
        <v>205</v>
      </c>
      <c r="B9" s="459" t="s">
        <v>523</v>
      </c>
      <c r="C9" s="465">
        <f>+E9</f>
        <v>178006027</v>
      </c>
      <c r="D9" s="473"/>
      <c r="E9" s="533">
        <f>+'Bank Assets Analysis'!D12+'Bank Assets Analysis'!D13</f>
        <v>178006027</v>
      </c>
      <c r="F9" s="449"/>
      <c r="G9" s="449"/>
      <c r="H9" s="452"/>
      <c r="I9" s="529"/>
      <c r="J9" s="376"/>
      <c r="K9" s="376"/>
      <c r="L9" s="377"/>
      <c r="O9" s="339"/>
      <c r="P9" s="339"/>
    </row>
    <row r="10" spans="1:16" s="366" customFormat="1" ht="25.5">
      <c r="A10" s="458" t="s">
        <v>206</v>
      </c>
      <c r="B10" s="459" t="s">
        <v>472</v>
      </c>
      <c r="C10" s="465">
        <f>+E10</f>
        <v>0</v>
      </c>
      <c r="D10" s="473"/>
      <c r="E10" s="472">
        <f>+'Bank Assets Analysis'!F15</f>
        <v>0</v>
      </c>
      <c r="F10" s="449"/>
      <c r="G10" s="449"/>
      <c r="H10" s="452"/>
      <c r="I10" s="529"/>
      <c r="J10" s="376"/>
      <c r="K10" s="376"/>
      <c r="L10" s="377"/>
      <c r="O10" s="339"/>
      <c r="P10" s="339"/>
    </row>
    <row r="11" spans="1:16" s="366" customFormat="1" ht="51.75" customHeight="1">
      <c r="A11" s="458" t="s">
        <v>235</v>
      </c>
      <c r="B11" s="459" t="s">
        <v>461</v>
      </c>
      <c r="C11" s="465">
        <f>+'Bank Assets Analysis'!S23</f>
        <v>0</v>
      </c>
      <c r="D11" s="465">
        <f>+'Bank Assets Analysis'!T23</f>
        <v>0</v>
      </c>
      <c r="E11" s="532">
        <f>+'Bank Assets Analysis'!U23</f>
        <v>0</v>
      </c>
      <c r="F11" s="449"/>
      <c r="G11" s="449"/>
      <c r="H11" s="452"/>
      <c r="I11" s="529"/>
      <c r="J11" s="376"/>
      <c r="K11" s="376"/>
      <c r="L11" s="377"/>
      <c r="O11" s="339"/>
      <c r="P11" s="339"/>
    </row>
    <row r="12" spans="1:16" s="366" customFormat="1" ht="25.5">
      <c r="A12" s="458" t="s">
        <v>477</v>
      </c>
      <c r="B12" s="459" t="s">
        <v>45</v>
      </c>
      <c r="C12" s="465">
        <f>+'Bank Assets Analysis'!S22</f>
        <v>0</v>
      </c>
      <c r="D12" s="465">
        <f>+'Bank Assets Analysis'!T22</f>
        <v>0</v>
      </c>
      <c r="E12" s="532">
        <f>+'Bank Assets Analysis'!U22</f>
        <v>0</v>
      </c>
      <c r="F12" s="449"/>
      <c r="G12" s="449"/>
      <c r="H12" s="452"/>
      <c r="I12" s="529"/>
      <c r="J12" s="376"/>
      <c r="K12" s="376"/>
      <c r="L12" s="377"/>
      <c r="O12" s="339"/>
      <c r="P12" s="339"/>
    </row>
    <row r="13" spans="1:16" s="366" customFormat="1" ht="19.5" customHeight="1">
      <c r="A13" s="458" t="s">
        <v>478</v>
      </c>
      <c r="B13" s="460" t="s">
        <v>458</v>
      </c>
      <c r="C13" s="413">
        <f>SUM(C6:C12)-'Bank Liabilities Analysis'!U25</f>
        <v>524920834</v>
      </c>
      <c r="D13" s="413">
        <f>SUM(D6:D12)</f>
        <v>266523348</v>
      </c>
      <c r="E13" s="413">
        <f>SUM(E6:E12)-'Bank Liabilities Analysis'!U25</f>
        <v>258397486</v>
      </c>
      <c r="F13" s="449"/>
      <c r="G13" s="449"/>
      <c r="H13" s="452"/>
      <c r="I13" s="529"/>
      <c r="J13" s="376"/>
      <c r="K13" s="376"/>
      <c r="L13" s="377"/>
      <c r="O13" s="339"/>
      <c r="P13" s="339"/>
    </row>
    <row r="14" spans="1:16" ht="13.5" customHeight="1">
      <c r="A14" s="534"/>
      <c r="B14" s="457" t="s">
        <v>479</v>
      </c>
      <c r="C14" s="466"/>
      <c r="D14" s="467"/>
      <c r="E14" s="535"/>
      <c r="F14" s="450"/>
      <c r="G14" s="450"/>
      <c r="H14" s="451"/>
      <c r="I14" s="451"/>
      <c r="J14" s="376"/>
      <c r="K14" s="376"/>
      <c r="M14" s="378"/>
      <c r="N14" s="379"/>
    </row>
    <row r="15" spans="1:16" s="366" customFormat="1" ht="24.75" customHeight="1">
      <c r="A15" s="30" t="s">
        <v>352</v>
      </c>
      <c r="B15" s="461" t="s">
        <v>462</v>
      </c>
      <c r="C15" s="468">
        <f>IFERROR((+C16/C17),0)</f>
        <v>7.3910298090894694E-2</v>
      </c>
      <c r="D15" s="469">
        <f>IFERROR((+D16/D17),0)</f>
        <v>5.7687314234982835E-2</v>
      </c>
      <c r="E15" s="468">
        <f>IFERROR((+E16/E17),0)</f>
        <v>0.10410874455947196</v>
      </c>
      <c r="F15" s="452">
        <f>+(('Bank Liabilities Analysis'!C35+'Bank Liabilities Analysis'!E35+'Bank Liabilities Analysis'!G35-'Bank Liabilities Analysis'!C21-'Bank Liabilities Analysis'!E21-'Bank Liabilities Analysis'!G21)-(IF(F4&lt;0,F4,0)))</f>
        <v>-5064734</v>
      </c>
      <c r="G15" s="452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3641299</v>
      </c>
      <c r="H15" s="451">
        <f>+(('Bank Liabilities Analysis'!D35+'Bank Liabilities Analysis'!F35+'Bank Liabilities Analysis'!H35-'Bank Liabilities Analysis'!D21-'Bank Liabilities Analysis'!F21-'Bank Liabilities Analysis'!H21)-(IF(H4&lt;0,H4,0)))</f>
        <v>-1438037</v>
      </c>
      <c r="I15" s="529"/>
      <c r="J15" s="376"/>
      <c r="K15" s="440"/>
      <c r="L15" s="377"/>
      <c r="O15" s="339"/>
      <c r="P15" s="339"/>
    </row>
    <row r="16" spans="1:16" s="366" customFormat="1" ht="15" customHeight="1">
      <c r="A16" s="44" t="s">
        <v>480</v>
      </c>
      <c r="B16" s="462" t="s">
        <v>48</v>
      </c>
      <c r="C16" s="362">
        <f>+C13</f>
        <v>524920834</v>
      </c>
      <c r="D16" s="362">
        <f>+D13</f>
        <v>266523348</v>
      </c>
      <c r="E16" s="362">
        <f>+E13</f>
        <v>258397486</v>
      </c>
      <c r="F16" s="450"/>
      <c r="G16" s="450"/>
      <c r="H16" s="452"/>
      <c r="I16" s="453"/>
      <c r="J16" s="376"/>
      <c r="K16" s="376"/>
      <c r="L16" s="377"/>
      <c r="O16" s="339"/>
      <c r="P16" s="339"/>
    </row>
    <row r="17" spans="1:16" s="366" customFormat="1" ht="15" customHeight="1">
      <c r="A17" s="44" t="s">
        <v>481</v>
      </c>
      <c r="B17" s="462" t="s">
        <v>463</v>
      </c>
      <c r="C17" s="362">
        <f>+Balance!C45</f>
        <v>7102133905</v>
      </c>
      <c r="D17" s="362">
        <f>+Balance!D45</f>
        <v>4620137920</v>
      </c>
      <c r="E17" s="362">
        <f>+Balance!E45</f>
        <v>2481995985</v>
      </c>
      <c r="F17" s="450"/>
      <c r="G17" s="450"/>
      <c r="H17" s="451"/>
      <c r="I17" s="453"/>
      <c r="J17" s="376"/>
      <c r="K17" s="376"/>
      <c r="L17" s="377"/>
      <c r="O17" s="339"/>
      <c r="P17" s="339"/>
    </row>
    <row r="18" spans="1:16" s="366" customFormat="1" ht="24.75" customHeight="1">
      <c r="A18" s="30" t="s">
        <v>213</v>
      </c>
      <c r="B18" s="461" t="s">
        <v>464</v>
      </c>
      <c r="C18" s="468">
        <f>IFERROR((+C19/C20),0)</f>
        <v>0.24110369752000158</v>
      </c>
      <c r="D18" s="469">
        <f>IFERROR((+D19/D20),0)</f>
        <v>0.18430205858311713</v>
      </c>
      <c r="E18" s="468">
        <f>IFERROR((+E19/E20),0)</f>
        <v>0.35346777213237623</v>
      </c>
      <c r="F18" s="452">
        <f>+(('Bank Liabilities Analysis'!C38+'Bank Liabilities Analysis'!E38+'Bank Liabilities Analysis'!G38-'Bank Liabilities Analysis'!C24-'Bank Liabilities Analysis'!E24-'Bank Liabilities Analysis'!G24)-(IF('Liquidity Analysis'!G59&lt;0,'Liquidity Analysis'!G59,0)))</f>
        <v>45813689</v>
      </c>
      <c r="G18" s="452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Analysis'!H59&lt;0,'Liquidity Analysis'!H59,0)))</f>
        <v>44883933</v>
      </c>
      <c r="H18" s="451">
        <f>+(('Bank Liabilities Analysis'!D38+'Bank Liabilities Analysis'!F38+'Bank Liabilities Analysis'!H38-'Bank Liabilities Analysis'!D24-'Bank Liabilities Analysis'!F24-'Bank Liabilities Analysis'!H24)-(IF('Liquidity Analysis'!I59&lt;0,'Liquidity Analysis'!I59,0)))</f>
        <v>4593088</v>
      </c>
      <c r="I18" s="529"/>
      <c r="J18" s="376"/>
      <c r="K18" s="440"/>
      <c r="L18" s="377"/>
      <c r="O18" s="339"/>
      <c r="P18" s="339"/>
    </row>
    <row r="19" spans="1:16" s="366" customFormat="1" ht="15" customHeight="1">
      <c r="A19" s="44" t="s">
        <v>482</v>
      </c>
      <c r="B19" s="462" t="s">
        <v>48</v>
      </c>
      <c r="C19" s="362">
        <f>+C13</f>
        <v>524920834</v>
      </c>
      <c r="D19" s="362">
        <f>+D13</f>
        <v>266523348</v>
      </c>
      <c r="E19" s="362">
        <f>+E13</f>
        <v>258397486</v>
      </c>
      <c r="F19" s="450"/>
      <c r="G19" s="450"/>
      <c r="H19" s="452"/>
      <c r="I19" s="453"/>
      <c r="J19" s="376"/>
      <c r="K19" s="376"/>
      <c r="L19" s="377"/>
      <c r="O19" s="339"/>
      <c r="P19" s="339"/>
    </row>
    <row r="20" spans="1:16" s="366" customFormat="1" ht="15" customHeight="1">
      <c r="A20" s="44" t="s">
        <v>483</v>
      </c>
      <c r="B20" s="462" t="s">
        <v>465</v>
      </c>
      <c r="C20" s="362">
        <f>+'Bank Liabilities Analysis'!C39+'Bank Liabilities Analysis'!E39+'Bank Liabilities Analysis'!G39+'Bank Liabilities Analysis'!I39+'Bank Liabilities Analysis'!K39+'Bank Liabilities Analysis'!M39</f>
        <v>2177157959</v>
      </c>
      <c r="D20" s="362">
        <f>+C20-E20</f>
        <v>1446122469</v>
      </c>
      <c r="E20" s="362">
        <f>+'Bank Liabilities Analysis'!D39+'Bank Liabilities Analysis'!F39+'Bank Liabilities Analysis'!H39+'Bank Liabilities Analysis'!J39+'Bank Liabilities Analysis'!L39+'Bank Liabilities Analysis'!N39</f>
        <v>731035490</v>
      </c>
      <c r="F20" s="450"/>
      <c r="G20" s="450"/>
      <c r="H20" s="451"/>
      <c r="I20" s="453"/>
      <c r="J20" s="376"/>
      <c r="K20" s="376"/>
      <c r="L20" s="377"/>
      <c r="O20" s="339"/>
      <c r="P20" s="339"/>
    </row>
    <row r="21" spans="1:16" ht="25.5">
      <c r="A21" s="30" t="s">
        <v>484</v>
      </c>
      <c r="B21" s="461" t="s">
        <v>532</v>
      </c>
      <c r="C21" s="468">
        <f>IFERROR((+C22/C23),0)</f>
        <v>6.6682707610353198</v>
      </c>
      <c r="D21" s="469">
        <f>IFERROR((+D22/D23),0)</f>
        <v>2.6040068420387548</v>
      </c>
      <c r="E21" s="468">
        <f>IFERROR((+E22/E23),0)</f>
        <v>15.21678898560644</v>
      </c>
      <c r="F21" s="450"/>
      <c r="G21" s="450"/>
      <c r="H21" s="451"/>
      <c r="I21" s="451"/>
      <c r="J21" s="376"/>
      <c r="K21" s="376"/>
      <c r="M21" s="378"/>
      <c r="N21" s="379"/>
    </row>
    <row r="22" spans="1:16" ht="15" customHeight="1">
      <c r="A22" s="44" t="s">
        <v>486</v>
      </c>
      <c r="B22" s="45" t="s">
        <v>48</v>
      </c>
      <c r="C22" s="470">
        <f>+C13</f>
        <v>524920834</v>
      </c>
      <c r="D22" s="406">
        <f>+D13</f>
        <v>266523348</v>
      </c>
      <c r="E22" s="470">
        <f>+E13</f>
        <v>258397486</v>
      </c>
      <c r="F22" s="450"/>
      <c r="G22" s="450"/>
      <c r="H22" s="452"/>
      <c r="I22" s="453"/>
      <c r="J22" s="376"/>
      <c r="K22" s="376"/>
    </row>
    <row r="23" spans="1:16" ht="15" customHeight="1">
      <c r="A23" s="44" t="s">
        <v>485</v>
      </c>
      <c r="B23" s="45" t="s">
        <v>49</v>
      </c>
      <c r="C23" s="470">
        <f>+'Bank Assets Analysis'!X61</f>
        <v>78719184.150000006</v>
      </c>
      <c r="D23" s="406">
        <f>+'Bank Assets Analysis (нац)'!S54</f>
        <v>102351247.20000002</v>
      </c>
      <c r="E23" s="470">
        <f>+'Bank Assets Analysis'!Z61</f>
        <v>16981078.350000001</v>
      </c>
      <c r="F23" s="450"/>
      <c r="G23" s="450"/>
      <c r="H23" s="451"/>
      <c r="I23" s="451"/>
      <c r="J23" s="376"/>
      <c r="K23" s="376"/>
    </row>
    <row r="24" spans="1:16" s="366" customFormat="1" ht="15" customHeight="1">
      <c r="A24" s="44"/>
      <c r="B24" s="462" t="s">
        <v>473</v>
      </c>
      <c r="C24" s="362">
        <f>+'Bank Assets Analysis'!X63</f>
        <v>314876736.60000002</v>
      </c>
      <c r="D24" s="471">
        <f>+'Bank Assets Analysis (нац)'!S56</f>
        <v>246952423.20000002</v>
      </c>
      <c r="E24" s="362">
        <f>+'Bank Assets Analysis'!Z63</f>
        <v>67924313.400000006</v>
      </c>
      <c r="F24" s="450" t="s">
        <v>466</v>
      </c>
      <c r="G24" s="450"/>
      <c r="H24" s="451"/>
      <c r="I24" s="453"/>
      <c r="J24" s="376"/>
      <c r="K24" s="376"/>
      <c r="L24" s="377"/>
      <c r="O24" s="339"/>
      <c r="P24" s="339"/>
    </row>
    <row r="25" spans="1:16" s="366" customFormat="1" ht="15" customHeight="1">
      <c r="A25" s="44"/>
      <c r="B25" s="462" t="s">
        <v>474</v>
      </c>
      <c r="C25" s="362">
        <f>+'Bank Assets Analysis'!X64</f>
        <v>236157552.45000002</v>
      </c>
      <c r="D25" s="471">
        <f>+'Bank Assets Analysis (нац)'!S58</f>
        <v>144601176</v>
      </c>
      <c r="E25" s="362">
        <f>+'Bank Assets Analysis'!Z64</f>
        <v>50943235.050000004</v>
      </c>
      <c r="F25" s="450" t="s">
        <v>467</v>
      </c>
      <c r="G25" s="450"/>
      <c r="H25" s="451"/>
      <c r="I25" s="453"/>
      <c r="J25" s="376"/>
      <c r="K25" s="376"/>
      <c r="L25" s="377"/>
      <c r="O25" s="339"/>
      <c r="P25" s="339"/>
    </row>
    <row r="26" spans="1:16" s="366" customFormat="1" ht="28.5" customHeight="1">
      <c r="A26" s="30" t="s">
        <v>487</v>
      </c>
      <c r="B26" s="463" t="s">
        <v>533</v>
      </c>
      <c r="C26" s="468">
        <f>IFERROR((+C27/C28),0)</f>
        <v>0.68170437612677115</v>
      </c>
      <c r="D26" s="469">
        <f>IFERROR((+D27/D28),0)</f>
        <v>0.65993898350188163</v>
      </c>
      <c r="E26" s="468">
        <f>IFERROR((+E27/E28),0)</f>
        <v>0.70571131457012692</v>
      </c>
      <c r="F26" s="450"/>
      <c r="G26" s="450"/>
      <c r="H26" s="451"/>
      <c r="I26" s="453"/>
      <c r="J26" s="376"/>
      <c r="K26" s="376"/>
      <c r="L26" s="377"/>
      <c r="O26" s="339"/>
      <c r="P26" s="339"/>
    </row>
    <row r="27" spans="1:16" s="366" customFormat="1" ht="19.5" customHeight="1">
      <c r="A27" s="44" t="s">
        <v>488</v>
      </c>
      <c r="B27" s="462" t="s">
        <v>48</v>
      </c>
      <c r="C27" s="362">
        <f>+C13</f>
        <v>524920834</v>
      </c>
      <c r="D27" s="362">
        <f>+D13</f>
        <v>266523348</v>
      </c>
      <c r="E27" s="362">
        <f>+E13</f>
        <v>258397486</v>
      </c>
      <c r="F27" s="383"/>
      <c r="G27" s="383"/>
      <c r="H27" s="384"/>
      <c r="I27" s="385"/>
      <c r="J27" s="376"/>
      <c r="K27" s="376"/>
      <c r="L27" s="377"/>
      <c r="O27" s="339"/>
      <c r="P27" s="339"/>
    </row>
    <row r="28" spans="1:16" s="366" customFormat="1" ht="18.75" customHeight="1">
      <c r="A28" s="44" t="s">
        <v>489</v>
      </c>
      <c r="B28" s="462" t="s">
        <v>49</v>
      </c>
      <c r="C28" s="362">
        <f>+'Bank Assets Analysis'!AC61</f>
        <v>770012416.5</v>
      </c>
      <c r="D28" s="362">
        <f>+'Bank Assets Analysis (нац)'!V54</f>
        <v>403860591.14999998</v>
      </c>
      <c r="E28" s="362">
        <f>+'Bank Assets Analysis'!AE61</f>
        <v>366151825.34999996</v>
      </c>
      <c r="F28" s="383"/>
      <c r="G28" s="383"/>
      <c r="H28" s="384"/>
      <c r="I28" s="385"/>
      <c r="J28" s="376"/>
      <c r="K28" s="376"/>
      <c r="L28" s="377"/>
      <c r="O28" s="339"/>
      <c r="P28" s="339"/>
    </row>
    <row r="29" spans="1:16" s="366" customFormat="1" ht="15" customHeight="1">
      <c r="A29" s="44"/>
      <c r="B29" s="462" t="s">
        <v>473</v>
      </c>
      <c r="C29" s="370">
        <f>+'Bank Assets Analysis'!AC63</f>
        <v>982626259</v>
      </c>
      <c r="D29" s="430">
        <f>+'Bank Assets Analysis (нац)'!V56</f>
        <v>528148662.64999998</v>
      </c>
      <c r="E29" s="370">
        <f>+'Bank Assets Analysis'!AE63</f>
        <v>454477596.34999996</v>
      </c>
      <c r="F29" s="383"/>
      <c r="G29" s="383"/>
      <c r="H29" s="384"/>
      <c r="I29" s="385"/>
      <c r="J29" s="376"/>
      <c r="K29" s="376"/>
      <c r="L29" s="377"/>
      <c r="O29" s="339"/>
      <c r="P29" s="339"/>
    </row>
    <row r="30" spans="1:16" s="366" customFormat="1" ht="15" customHeight="1">
      <c r="A30" s="31"/>
      <c r="B30" s="429" t="s">
        <v>474</v>
      </c>
      <c r="C30" s="370">
        <f>+'Bank Assets Analysis'!AC66</f>
        <v>212613842.5</v>
      </c>
      <c r="D30" s="430">
        <f>+'Bank Assets Analysis (нац)'!V58</f>
        <v>124288071.5</v>
      </c>
      <c r="E30" s="370">
        <f>+'Bank Assets Analysis'!AE66</f>
        <v>88325771</v>
      </c>
      <c r="F30" s="383"/>
      <c r="G30" s="383"/>
      <c r="H30" s="384"/>
      <c r="I30" s="385"/>
      <c r="J30" s="376"/>
      <c r="K30" s="376"/>
      <c r="L30" s="377"/>
      <c r="O30" s="339"/>
      <c r="P30" s="339"/>
    </row>
    <row r="31" spans="1:16" ht="15" customHeight="1">
      <c r="A31" s="30" t="s">
        <v>490</v>
      </c>
      <c r="B31" s="46" t="s">
        <v>52</v>
      </c>
      <c r="C31" s="241">
        <f>IFERROR((C32/C37),0)</f>
        <v>1.2262640785503685</v>
      </c>
      <c r="D31" s="404">
        <f>IFERROR((D32/D37),0)</f>
        <v>1.2781432563362638</v>
      </c>
      <c r="E31" s="241">
        <f>IFERROR((E32/E37),0)</f>
        <v>1.1365895028277155</v>
      </c>
      <c r="I31" s="426"/>
      <c r="J31" s="376"/>
      <c r="K31" s="376"/>
    </row>
    <row r="32" spans="1:16" ht="15" customHeight="1">
      <c r="A32" s="30" t="s">
        <v>491</v>
      </c>
      <c r="B32" s="46" t="s">
        <v>51</v>
      </c>
      <c r="C32" s="236">
        <f>SUM(C33:C36)</f>
        <v>5578123333.7000008</v>
      </c>
      <c r="D32" s="405">
        <f>SUM(D33:D36)</f>
        <v>3683253240.6999998</v>
      </c>
      <c r="E32" s="236">
        <f>SUM(E33:E36)</f>
        <v>1894870093</v>
      </c>
      <c r="I32" s="426"/>
      <c r="J32" s="376"/>
      <c r="K32" s="376"/>
    </row>
    <row r="33" spans="1:11" ht="15" customHeight="1">
      <c r="A33" s="44" t="s">
        <v>492</v>
      </c>
      <c r="B33" s="160" t="s">
        <v>402</v>
      </c>
      <c r="C33" s="237">
        <f>Balance!C77</f>
        <v>1644988073</v>
      </c>
      <c r="D33" s="237">
        <f>Balance!D77</f>
        <v>1644988073</v>
      </c>
      <c r="E33" s="237">
        <f>Balance!E77</f>
        <v>0</v>
      </c>
      <c r="I33" s="426"/>
      <c r="J33" s="376"/>
      <c r="K33" s="376"/>
    </row>
    <row r="34" spans="1:11" ht="15" customHeight="1">
      <c r="A34" s="51" t="s">
        <v>493</v>
      </c>
      <c r="B34" s="162" t="s">
        <v>353</v>
      </c>
      <c r="C34" s="237">
        <f>'Bank Liabilities Analysis'!O39+'Bank Liabilities Analysis'!Q39</f>
        <v>3279987873</v>
      </c>
      <c r="D34" s="406">
        <f>+'Bank Liabilities Analysis (нац)'!I40+'Bank Liabilities Analysis (нац)'!J40</f>
        <v>1604428427</v>
      </c>
      <c r="E34" s="380">
        <f>'Bank Liabilities Analysis'!P39+'Bank Liabilities Analysis'!R39</f>
        <v>1675559446</v>
      </c>
      <c r="I34" s="426"/>
      <c r="J34" s="376"/>
      <c r="K34" s="376"/>
    </row>
    <row r="35" spans="1:11" ht="15" customHeight="1">
      <c r="A35" s="50" t="s">
        <v>494</v>
      </c>
      <c r="B35" s="47" t="s">
        <v>354</v>
      </c>
      <c r="C35" s="237">
        <f>+('Bank Liabilities Analysis'!C39)*0.3</f>
        <v>170289075.59999999</v>
      </c>
      <c r="D35" s="406">
        <f>+('Bank Liabilities Analysis (нац)'!C40)*0.3</f>
        <v>135127730.09999999</v>
      </c>
      <c r="E35" s="237">
        <f>+('Bank Liabilities Analysis'!D39)*0.3</f>
        <v>35161345.5</v>
      </c>
      <c r="I35" s="426"/>
      <c r="J35" s="376"/>
      <c r="K35" s="376"/>
    </row>
    <row r="36" spans="1:11" ht="15" customHeight="1">
      <c r="A36" s="50" t="s">
        <v>495</v>
      </c>
      <c r="B36" s="47" t="s">
        <v>355</v>
      </c>
      <c r="C36" s="237">
        <f>+('Bank Liabilities Analysis'!E39+'Bank Liabilities Analysis'!G39+'Bank Liabilities Analysis'!I39+'Bank Liabilities Analysis'!K39+'Bank Liabilities Analysis'!M39)*0.3</f>
        <v>482858312.09999996</v>
      </c>
      <c r="D36" s="406">
        <f>+('Bank Liabilities Analysis (нац)'!D40+'Bank Liabilities Analysis (нац)'!E40+'Bank Liabilities Analysis (нац)'!F40+'Bank Liabilities Analysis (нац)'!G40+'Bank Liabilities Analysis (нац)'!H40)*0.3</f>
        <v>298709010.59999996</v>
      </c>
      <c r="E36" s="237">
        <f>+('Bank Liabilities Analysis'!F39+'Bank Liabilities Analysis'!H39+'Bank Liabilities Analysis'!J39+'Bank Liabilities Analysis'!L39+'Bank Liabilities Analysis'!N39)*0.3</f>
        <v>184149301.5</v>
      </c>
      <c r="I36" s="426"/>
      <c r="J36" s="376"/>
      <c r="K36" s="376"/>
    </row>
    <row r="37" spans="1:11" ht="15" customHeight="1">
      <c r="A37" s="30" t="s">
        <v>496</v>
      </c>
      <c r="B37" s="46" t="s">
        <v>50</v>
      </c>
      <c r="C37" s="238">
        <f>SUM(C38:C43)</f>
        <v>4548876079.1999998</v>
      </c>
      <c r="D37" s="407">
        <f>SUM(D38:D43)</f>
        <v>2881721765.0999999</v>
      </c>
      <c r="E37" s="238">
        <f>SUM(E38:E43)</f>
        <v>1667154314.0999999</v>
      </c>
      <c r="I37" s="426"/>
      <c r="J37" s="376"/>
      <c r="K37" s="376"/>
    </row>
    <row r="38" spans="1:11" ht="15" customHeight="1">
      <c r="A38" s="51" t="s">
        <v>497</v>
      </c>
      <c r="B38" s="48" t="s">
        <v>356</v>
      </c>
      <c r="C38" s="238">
        <f>+'Bank Assets Analysis'!O45-'Bank Assets Analysis'!O38+'Bank Assets Analysis'!Q45-'Bank Assets Analysis'!Q38</f>
        <v>3214175211</v>
      </c>
      <c r="D38" s="407">
        <f>+C38-E38</f>
        <v>1959339229</v>
      </c>
      <c r="E38" s="421">
        <f>+'Bank Assets Analysis'!P45-'Bank Assets Analysis'!P41-'Bank Assets Analysis'!P38+'Bank Assets Analysis'!R45-'Bank Assets Analysis'!R41-'Bank Assets Analysis'!R38</f>
        <v>1254835982</v>
      </c>
      <c r="F38" s="420"/>
      <c r="I38" s="426"/>
      <c r="J38" s="376"/>
      <c r="K38" s="376"/>
    </row>
    <row r="39" spans="1:11" ht="15" customHeight="1">
      <c r="A39" s="42" t="s">
        <v>498</v>
      </c>
      <c r="B39" s="43" t="s">
        <v>152</v>
      </c>
      <c r="C39" s="237">
        <f>+'Bank Assets Analysis'!S38</f>
        <v>166807725</v>
      </c>
      <c r="D39" s="406">
        <f>+'Bank Assets Analysis'!T38</f>
        <v>166807725</v>
      </c>
      <c r="E39" s="237">
        <f>+'Bank Assets Analysis'!U38</f>
        <v>0</v>
      </c>
      <c r="I39" s="426"/>
      <c r="J39" s="376"/>
      <c r="K39" s="376"/>
    </row>
    <row r="40" spans="1:11" ht="26.25" customHeight="1">
      <c r="A40" s="44" t="s">
        <v>499</v>
      </c>
      <c r="B40" s="160" t="s">
        <v>357</v>
      </c>
      <c r="C40" s="237">
        <f>+'Bank Assets Analysis'!C29+'Bank Assets Analysis'!C30+'Bank Assets Analysis'!C31+'Bank Assets Analysis'!C33</f>
        <v>78671187</v>
      </c>
      <c r="D40" s="406">
        <f>+'Bank Assets Analysis (нац)'!C29+'Bank Assets Analysis (нац)'!C30+'Bank Assets Analysis (нац)'!C31+'Bank Assets Analysis (нац)'!C33</f>
        <v>29344388</v>
      </c>
      <c r="E40" s="237">
        <f>+'Bank Assets Analysis'!D29+'Bank Assets Analysis'!D30+'Bank Assets Analysis'!D31+'Bank Assets Analysis'!D33</f>
        <v>49326799</v>
      </c>
      <c r="I40" s="426"/>
      <c r="J40" s="376"/>
      <c r="K40" s="376"/>
    </row>
    <row r="41" spans="1:11" ht="26.25" customHeight="1">
      <c r="A41" s="52" t="s">
        <v>500</v>
      </c>
      <c r="B41" s="49" t="s">
        <v>511</v>
      </c>
      <c r="C41" s="233">
        <f>+D41+E41</f>
        <v>0</v>
      </c>
      <c r="D41" s="403">
        <v>0</v>
      </c>
      <c r="E41" s="6">
        <v>0</v>
      </c>
      <c r="I41" s="426"/>
      <c r="J41" s="376"/>
      <c r="K41" s="376"/>
    </row>
    <row r="42" spans="1:11" ht="25.5">
      <c r="A42" s="44" t="s">
        <v>501</v>
      </c>
      <c r="B42" s="45" t="s">
        <v>358</v>
      </c>
      <c r="C42" s="237">
        <f>(+'Bank Assets Analysis'!S45-'Bank Assets Analysis'!O45-'Bank Assets Analysis'!Q45-'Liquidity Analysis'!C64)*0.3</f>
        <v>953639092.19999993</v>
      </c>
      <c r="D42" s="237">
        <f>('Bank Assets Analysis (нац)'!K45-'Bank Assets Analysis (нац)'!I45-'Bank Assets Analysis (нац)'!J45-'Liquidity Analysis'!D64)*0.3</f>
        <v>680351024.10000002</v>
      </c>
      <c r="E42" s="237">
        <f>('Bank Assets Analysis'!U45-'Bank Assets Analysis'!P45-'Bank Assets Analysis'!R45-'Liquidity Analysis'!E64)*0.3</f>
        <v>273288068.09999996</v>
      </c>
      <c r="H42" s="427"/>
      <c r="I42" s="426"/>
      <c r="J42" s="376"/>
      <c r="K42" s="376"/>
    </row>
    <row r="43" spans="1:11" ht="15" customHeight="1">
      <c r="A43" s="53" t="s">
        <v>502</v>
      </c>
      <c r="B43" s="161" t="s">
        <v>403</v>
      </c>
      <c r="C43" s="237">
        <f>+ROUND(SUM(Commitments!C4-Commitments!C5+Commitments!C7-Commitments!C8+Commitments!C10-'Bank Liabilities Analysis'!S19+Commitments!C18-Commitments!C23)*15%,0)</f>
        <v>135582864</v>
      </c>
      <c r="D43" s="237">
        <f>+ROUND(SUM(Commitments!D4-Commitments!D5+Commitments!D7-Commitments!D8+Commitments!D10-'Bank Liabilities Analysis'!T19+Commitments!D18-Commitments!D23)*15%,0)</f>
        <v>45879399</v>
      </c>
      <c r="E43" s="237">
        <f>+ROUND(SUM(Commitments!E4-Commitments!E5+Commitments!E7-Commitments!E8+Commitments!E10-'Bank Liabilities Analysis'!U19+Commitments!E18-Commitments!E23)*15%,0)</f>
        <v>89703465</v>
      </c>
      <c r="H43" s="427"/>
      <c r="I43" s="426"/>
      <c r="J43" s="376"/>
      <c r="K43" s="376"/>
    </row>
    <row r="44" spans="1:11">
      <c r="H44" s="427"/>
      <c r="I44" s="426"/>
      <c r="J44" s="376"/>
      <c r="K44" s="376"/>
    </row>
    <row r="45" spans="1:11">
      <c r="B45" s="436" t="s">
        <v>504</v>
      </c>
      <c r="H45" s="427"/>
      <c r="I45" s="426"/>
      <c r="J45" s="376"/>
      <c r="K45" s="376"/>
    </row>
    <row r="46" spans="1:11">
      <c r="B46" s="436" t="s">
        <v>505</v>
      </c>
      <c r="H46" s="427"/>
      <c r="I46" s="426"/>
      <c r="J46" s="376"/>
      <c r="K46" s="376"/>
    </row>
    <row r="47" spans="1:11">
      <c r="B47" s="437" t="s">
        <v>506</v>
      </c>
      <c r="H47" s="427"/>
      <c r="I47" s="426"/>
      <c r="J47" s="376"/>
      <c r="K47" s="376"/>
    </row>
    <row r="48" spans="1:11">
      <c r="B48" s="359"/>
      <c r="H48" s="427"/>
      <c r="I48" s="426"/>
      <c r="J48" s="376"/>
      <c r="K48" s="376"/>
    </row>
    <row r="49" spans="1:11">
      <c r="B49" s="359"/>
      <c r="H49" s="427"/>
      <c r="I49" s="426"/>
      <c r="J49" s="376"/>
      <c r="K49" s="376"/>
    </row>
    <row r="50" spans="1:11">
      <c r="B50" s="3" t="s">
        <v>4</v>
      </c>
      <c r="I50" s="426"/>
      <c r="J50" s="376"/>
      <c r="K50" s="376"/>
    </row>
    <row r="51" spans="1:11">
      <c r="B51" s="3"/>
      <c r="I51" s="426"/>
      <c r="J51" s="376"/>
      <c r="K51" s="376"/>
    </row>
    <row r="52" spans="1:11">
      <c r="B52" s="3" t="s">
        <v>5</v>
      </c>
      <c r="I52" s="426"/>
      <c r="J52" s="376"/>
      <c r="K52" s="376"/>
    </row>
    <row r="53" spans="1:11">
      <c r="B53" s="3"/>
      <c r="I53" s="426"/>
      <c r="J53" s="376"/>
      <c r="K53" s="376"/>
    </row>
    <row r="54" spans="1:11">
      <c r="B54" s="3"/>
      <c r="I54" s="426"/>
      <c r="J54" s="376"/>
      <c r="K54" s="376"/>
    </row>
    <row r="55" spans="1:11">
      <c r="B55" s="2"/>
      <c r="I55" s="426"/>
      <c r="J55" s="376"/>
      <c r="K55" s="376"/>
    </row>
    <row r="56" spans="1:11" ht="18.75">
      <c r="A56" s="255" t="s">
        <v>79</v>
      </c>
      <c r="B56" s="255" t="s">
        <v>433</v>
      </c>
      <c r="C56" s="255" t="s">
        <v>317</v>
      </c>
      <c r="D56" s="401" t="s">
        <v>444</v>
      </c>
      <c r="E56" s="255" t="s">
        <v>445</v>
      </c>
      <c r="G56" s="434"/>
      <c r="H56" s="432"/>
      <c r="I56" s="432"/>
      <c r="J56" s="432"/>
      <c r="K56" s="376"/>
    </row>
    <row r="57" spans="1:11">
      <c r="A57" s="454" t="s">
        <v>239</v>
      </c>
      <c r="B57" s="435" t="s">
        <v>475</v>
      </c>
      <c r="C57" s="438">
        <f>+'Bank Assets Analysis'!S7+'Investment Securities'!B40</f>
        <v>149272354</v>
      </c>
      <c r="D57" s="439">
        <f>+'Bank Assets Analysis'!T7+'Investment Securities'!C40</f>
        <v>68880895</v>
      </c>
      <c r="E57" s="438">
        <f>+'Bank Assets Analysis'!U7+'Investment Securities'!D40</f>
        <v>80391459</v>
      </c>
      <c r="G57" s="440"/>
      <c r="H57" s="440"/>
      <c r="I57" s="441"/>
      <c r="J57" s="441"/>
      <c r="K57" s="376"/>
    </row>
    <row r="58" spans="1:11">
      <c r="A58" s="42" t="s">
        <v>240</v>
      </c>
      <c r="B58" s="435" t="s">
        <v>251</v>
      </c>
      <c r="C58" s="438">
        <f>+'Bank Assets Analysis'!S9+'Bank Assets Analysis'!S10</f>
        <v>105262662</v>
      </c>
      <c r="D58" s="439">
        <f>+'Bank Assets Analysis'!T9+'Bank Assets Analysis'!T10</f>
        <v>105262662</v>
      </c>
      <c r="E58" s="438">
        <f>+'Bank Assets Analysis'!U9+'Bank Assets Analysis'!U10</f>
        <v>0</v>
      </c>
      <c r="G58" s="440"/>
      <c r="H58" s="440"/>
      <c r="I58" s="441"/>
      <c r="J58" s="441"/>
      <c r="K58" s="376"/>
    </row>
    <row r="59" spans="1:11">
      <c r="A59" s="42" t="s">
        <v>253</v>
      </c>
      <c r="B59" s="435" t="s">
        <v>132</v>
      </c>
      <c r="C59" s="438">
        <f>'Bank Assets Analysis'!C12+'Bank Assets Analysis'!C13+'Bank Assets Analysis'!C14+'Bank Assets Analysis'!C17+'Bank Assets Analysis'!C18+'Bank Assets Analysis'!E18+'Bank Assets Analysis'!G18</f>
        <v>181802408</v>
      </c>
      <c r="D59" s="439">
        <f>+C59-E59</f>
        <v>3796381</v>
      </c>
      <c r="E59" s="438">
        <f>'Bank Assets Analysis'!D12+'Bank Assets Analysis'!D13+'Bank Assets Analysis'!D17+'Bank Assets Analysis'!D18+'Bank Assets Analysis'!F18+'Bank Assets Analysis'!H18</f>
        <v>178006027</v>
      </c>
      <c r="G59" s="440"/>
      <c r="H59" s="440"/>
      <c r="I59" s="441"/>
      <c r="J59" s="441"/>
      <c r="K59" s="376"/>
    </row>
    <row r="60" spans="1:11">
      <c r="A60" s="42" t="s">
        <v>294</v>
      </c>
      <c r="B60" s="435" t="s">
        <v>348</v>
      </c>
      <c r="C60" s="438">
        <f>IF(F60&gt;0,F60,0)</f>
        <v>137824296</v>
      </c>
      <c r="D60" s="439">
        <f>IF(G60&gt;0,G60,0)</f>
        <v>80022006</v>
      </c>
      <c r="E60" s="438">
        <f>IF(H60&gt;0,H60,0)</f>
        <v>57802290</v>
      </c>
      <c r="F60" s="442">
        <f>(('Bank Assets Analysis'!E12+'Bank Assets Analysis'!G12+'Bank Assets Analysis'!C16+'Bank Assets Analysis'!E16+'Bank Assets Analysis'!G16)-'Bank Liabilities Analysis'!C26-'Bank Liabilities Analysis'!E26-'Bank Liabilities Analysis'!G26)</f>
        <v>137824296</v>
      </c>
      <c r="G60" s="442">
        <f>+('Bank Assets Analysis'!E12-'Bank Assets Analysis'!F12+'Bank Assets Analysis'!G12-'Bank Assets Analysis'!H12+'Bank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80022006</v>
      </c>
      <c r="H60" s="442">
        <f>(('Bank Assets Analysis'!F12+'Bank Assets Analysis'!H12+'Bank Assets Analysis'!D16+'Bank Assets Analysis'!F16+'Bank Assets Analysis'!H16)-'Bank Liabilities Analysis'!D26-'Bank Liabilities Analysis'!F26-'Bank Liabilities Analysis'!H26)</f>
        <v>57802290</v>
      </c>
      <c r="J60" s="441"/>
      <c r="K60" s="376"/>
    </row>
    <row r="61" spans="1:11" ht="38.25">
      <c r="A61" s="42" t="s">
        <v>241</v>
      </c>
      <c r="B61" s="435" t="s">
        <v>24</v>
      </c>
      <c r="C61" s="438">
        <f>+'Investment Securities'!B19+'Investment Securities'!B20+'Investment Securities'!B21</f>
        <v>135000000</v>
      </c>
      <c r="D61" s="438">
        <f>+'Investment Securities'!C19+'Investment Securities'!C20+'Investment Securities'!C21</f>
        <v>135000000</v>
      </c>
      <c r="E61" s="438">
        <f>+'Investment Securities'!D19+'Investment Securities'!D20+'Investment Securities'!D21</f>
        <v>0</v>
      </c>
      <c r="G61" s="440"/>
      <c r="H61" s="440"/>
      <c r="I61" s="441"/>
      <c r="J61" s="441"/>
      <c r="K61" s="376"/>
    </row>
    <row r="62" spans="1:11">
      <c r="A62" s="454" t="s">
        <v>248</v>
      </c>
      <c r="B62" s="435" t="s">
        <v>349</v>
      </c>
      <c r="C62" s="522"/>
      <c r="D62" s="523"/>
      <c r="E62" s="522"/>
      <c r="G62" s="440"/>
      <c r="H62" s="440"/>
      <c r="I62" s="441"/>
      <c r="J62" s="441"/>
      <c r="K62" s="376"/>
    </row>
    <row r="63" spans="1:11">
      <c r="A63" s="454" t="s">
        <v>254</v>
      </c>
      <c r="B63" s="435" t="s">
        <v>350</v>
      </c>
      <c r="C63" s="522"/>
      <c r="D63" s="523"/>
      <c r="E63" s="522"/>
      <c r="G63" s="440"/>
      <c r="H63" s="440"/>
      <c r="I63" s="441"/>
      <c r="J63" s="441"/>
      <c r="K63" s="376"/>
    </row>
    <row r="64" spans="1:11">
      <c r="A64" s="456" t="s">
        <v>249</v>
      </c>
      <c r="B64" s="455" t="s">
        <v>351</v>
      </c>
      <c r="C64" s="236">
        <f>SUM(C57:C63)</f>
        <v>709161720</v>
      </c>
      <c r="D64" s="380">
        <f>SUM(D57:D63)</f>
        <v>392961944</v>
      </c>
      <c r="E64" s="236">
        <f>SUM(E57:E63)</f>
        <v>316199776</v>
      </c>
      <c r="G64" s="440"/>
      <c r="H64" s="440"/>
      <c r="I64" s="441"/>
      <c r="J64" s="442"/>
      <c r="K64" s="376"/>
    </row>
    <row r="65" spans="2:11" ht="18.75">
      <c r="B65" s="433"/>
      <c r="C65" s="434"/>
      <c r="D65" s="432"/>
      <c r="E65" s="432"/>
      <c r="F65" s="434"/>
      <c r="G65" s="434"/>
      <c r="H65" s="432"/>
      <c r="I65" s="432"/>
      <c r="J65" s="432"/>
      <c r="K65" s="376"/>
    </row>
    <row r="66" spans="2:11">
      <c r="I66" s="426"/>
      <c r="J66" s="376"/>
      <c r="K66" s="376"/>
    </row>
    <row r="67" spans="2:11">
      <c r="I67" s="426"/>
      <c r="J67" s="376"/>
      <c r="K67" s="376"/>
    </row>
    <row r="68" spans="2:11">
      <c r="I68" s="426"/>
      <c r="J68" s="376"/>
      <c r="K68" s="376"/>
    </row>
    <row r="69" spans="2:11">
      <c r="I69" s="426"/>
      <c r="J69" s="376"/>
      <c r="K69" s="376"/>
    </row>
    <row r="70" spans="2:11">
      <c r="I70" s="426"/>
      <c r="J70" s="376"/>
      <c r="K70" s="376"/>
    </row>
    <row r="71" spans="2:11">
      <c r="I71" s="426"/>
      <c r="J71" s="376"/>
      <c r="K71" s="376"/>
    </row>
    <row r="72" spans="2:11">
      <c r="I72" s="426"/>
      <c r="J72" s="376"/>
      <c r="K72" s="376"/>
    </row>
    <row r="73" spans="2:11">
      <c r="I73" s="426"/>
      <c r="J73" s="376"/>
      <c r="K73" s="376"/>
    </row>
    <row r="74" spans="2:11">
      <c r="I74" s="426"/>
      <c r="J74" s="376"/>
      <c r="K74" s="376"/>
    </row>
    <row r="75" spans="2:11">
      <c r="I75" s="426"/>
      <c r="J75" s="376"/>
      <c r="K75" s="376"/>
    </row>
    <row r="76" spans="2:11">
      <c r="I76" s="426"/>
      <c r="J76" s="376"/>
      <c r="K76" s="376"/>
    </row>
    <row r="77" spans="2:11">
      <c r="I77" s="426"/>
      <c r="J77" s="376"/>
      <c r="K77" s="376"/>
    </row>
    <row r="78" spans="2:11">
      <c r="I78" s="426"/>
      <c r="J78" s="376"/>
      <c r="K78" s="376"/>
    </row>
    <row r="79" spans="2:11">
      <c r="I79" s="426"/>
      <c r="J79" s="376"/>
      <c r="K79" s="376"/>
    </row>
    <row r="80" spans="2:11">
      <c r="I80" s="426"/>
      <c r="J80" s="376"/>
      <c r="K80" s="376"/>
    </row>
    <row r="81" spans="9:11">
      <c r="I81" s="426"/>
      <c r="J81" s="376"/>
      <c r="K81" s="376"/>
    </row>
  </sheetData>
  <sheetProtection password="CACA" sheet="1" objects="1" scenarios="1"/>
  <mergeCells count="1">
    <mergeCell ref="C5:E5"/>
  </mergeCells>
  <phoneticPr fontId="14" type="noConversion"/>
  <conditionalFormatting sqref="C19:E20 C16:E17 C22:E25 C27:E30">
    <cfRule type="cellIs" dxfId="364" priority="15" stopIfTrue="1" operator="notBetween">
      <formula>TOTASS/4</formula>
      <formula>TOTASS*4</formula>
    </cfRule>
  </conditionalFormatting>
  <conditionalFormatting sqref="C40">
    <cfRule type="cellIs" dxfId="363" priority="8" operator="notEqual">
      <formula>$D$40+$E$40</formula>
    </cfRule>
  </conditionalFormatting>
  <conditionalFormatting sqref="C41">
    <cfRule type="cellIs" dxfId="362" priority="7" operator="notEqual">
      <formula>$D$41+$E$41</formula>
    </cfRule>
  </conditionalFormatting>
  <conditionalFormatting sqref="C26:E26">
    <cfRule type="cellIs" dxfId="361" priority="1" stopIfTrue="1" operator="notBetween">
      <formula>TOTASS/4</formula>
      <formula>TOTASS*4</formula>
    </cfRule>
  </conditionalFormatting>
  <dataValidations xWindow="793" yWindow="476" count="5">
    <dataValidation allowBlank="1" showErrorMessage="1" sqref="C15:E4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4:E14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>
      <formula1>-1E+22</formula1>
      <formula2>1E+22</formula2>
    </dataValidation>
    <dataValidation allowBlank="1" showErrorMessage="1" prompt="Введите самостоятельно рассчитанный коэффициент" sqref="C3:E3 A56:E56"/>
    <dataValidation type="whole" operator="greaterThanOrEqual" allowBlank="1" showErrorMessage="1" error="Введите как целое число." sqref="C61:E63">
      <formula1>0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79" orientation="portrait" r:id="rId1"/>
  <headerFooter alignWithMargins="0"/>
  <ignoredErrors>
    <ignoredError sqref="D37 D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69"/>
  <sheetViews>
    <sheetView view="pageBreakPreview" zoomScale="70" zoomScaleNormal="65" zoomScaleSheetLayoutView="70" workbookViewId="0">
      <pane xSplit="2" ySplit="5" topLeftCell="E32" activePane="bottomRight" state="frozen"/>
      <selection pane="topRight" activeCell="C1" sqref="C1"/>
      <selection pane="bottomLeft" activeCell="A6" sqref="A6"/>
      <selection pane="bottomRight" activeCell="V50" sqref="V50"/>
    </sheetView>
  </sheetViews>
  <sheetFormatPr defaultRowHeight="12.75"/>
  <cols>
    <col min="1" max="1" width="6.5703125" style="482" customWidth="1"/>
    <col min="2" max="2" width="78.5703125" style="361" customWidth="1"/>
    <col min="3" max="18" width="15.85546875" style="364" customWidth="1"/>
    <col min="19" max="21" width="18.28515625" style="364" customWidth="1"/>
    <col min="22" max="22" width="9" style="368" customWidth="1"/>
    <col min="23" max="23" width="18.7109375" style="363" customWidth="1"/>
    <col min="24" max="24" width="18.7109375" style="361" customWidth="1"/>
    <col min="25" max="25" width="18.7109375" style="363" customWidth="1"/>
    <col min="26" max="26" width="18.7109375" style="361" customWidth="1"/>
    <col min="27" max="27" width="9" style="368" customWidth="1"/>
    <col min="28" max="28" width="18.7109375" style="363" customWidth="1"/>
    <col min="29" max="29" width="18.7109375" style="361" customWidth="1"/>
    <col min="30" max="30" width="18.7109375" style="363" customWidth="1"/>
    <col min="31" max="31" width="18.7109375" style="361" customWidth="1"/>
    <col min="32" max="16384" width="9.140625" style="364"/>
  </cols>
  <sheetData>
    <row r="1" spans="1:31" s="281" customFormat="1" ht="38.25" customHeight="1">
      <c r="A1" s="474" t="s">
        <v>126</v>
      </c>
      <c r="B1" s="474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562"/>
      <c r="Y1" s="562"/>
      <c r="Z1" s="562"/>
      <c r="AA1" s="278"/>
      <c r="AB1" s="278"/>
      <c r="AC1" s="562" t="s">
        <v>399</v>
      </c>
      <c r="AD1" s="562"/>
      <c r="AE1" s="562"/>
    </row>
    <row r="2" spans="1:31" ht="15.75">
      <c r="A2" s="478"/>
      <c r="B2" s="475" t="str">
        <f>Balance!B3</f>
        <v>АКБ"Микрокредитбанк"</v>
      </c>
      <c r="C2" s="163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T2" s="219" t="str">
        <f>+Balance!B2</f>
        <v xml:space="preserve"> 31 Декабрь, 2020</v>
      </c>
      <c r="V2" s="364"/>
      <c r="W2" s="360"/>
      <c r="Y2" s="360"/>
      <c r="Z2" s="216"/>
      <c r="AA2" s="364"/>
      <c r="AB2" s="360"/>
      <c r="AD2" s="360"/>
      <c r="AE2" s="216" t="s">
        <v>7</v>
      </c>
    </row>
    <row r="3" spans="1:31" s="86" customFormat="1" ht="29.25" customHeight="1">
      <c r="A3" s="571" t="s">
        <v>79</v>
      </c>
      <c r="B3" s="571" t="s">
        <v>54</v>
      </c>
      <c r="C3" s="573" t="s">
        <v>167</v>
      </c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5"/>
      <c r="Q3" s="575"/>
      <c r="R3" s="574"/>
      <c r="S3" s="563" t="s">
        <v>127</v>
      </c>
      <c r="T3" s="565" t="s">
        <v>82</v>
      </c>
      <c r="U3" s="566"/>
      <c r="V3" s="565" t="s">
        <v>530</v>
      </c>
      <c r="W3" s="569"/>
      <c r="X3" s="569"/>
      <c r="Y3" s="569"/>
      <c r="Z3" s="566"/>
      <c r="AA3" s="565" t="s">
        <v>529</v>
      </c>
      <c r="AB3" s="569"/>
      <c r="AC3" s="569"/>
      <c r="AD3" s="569"/>
      <c r="AE3" s="566"/>
    </row>
    <row r="4" spans="1:31" s="86" customFormat="1" ht="29.25" customHeight="1">
      <c r="A4" s="572"/>
      <c r="B4" s="572"/>
      <c r="C4" s="573" t="s">
        <v>128</v>
      </c>
      <c r="D4" s="574"/>
      <c r="E4" s="573" t="s">
        <v>441</v>
      </c>
      <c r="F4" s="574"/>
      <c r="G4" s="573" t="s">
        <v>442</v>
      </c>
      <c r="H4" s="574"/>
      <c r="I4" s="573" t="s">
        <v>344</v>
      </c>
      <c r="J4" s="574"/>
      <c r="K4" s="573" t="s">
        <v>345</v>
      </c>
      <c r="L4" s="574"/>
      <c r="M4" s="573" t="s">
        <v>413</v>
      </c>
      <c r="N4" s="574"/>
      <c r="O4" s="573" t="s">
        <v>414</v>
      </c>
      <c r="P4" s="574"/>
      <c r="Q4" s="573" t="s">
        <v>84</v>
      </c>
      <c r="R4" s="574"/>
      <c r="S4" s="564"/>
      <c r="T4" s="567"/>
      <c r="U4" s="568"/>
      <c r="V4" s="567"/>
      <c r="W4" s="570"/>
      <c r="X4" s="570"/>
      <c r="Y4" s="570"/>
      <c r="Z4" s="568"/>
      <c r="AA4" s="567"/>
      <c r="AB4" s="570"/>
      <c r="AC4" s="570"/>
      <c r="AD4" s="570"/>
      <c r="AE4" s="568"/>
    </row>
    <row r="5" spans="1:31" s="86" customFormat="1" ht="102.75" customHeight="1">
      <c r="A5" s="572"/>
      <c r="B5" s="572"/>
      <c r="C5" s="276" t="s">
        <v>317</v>
      </c>
      <c r="D5" s="276" t="s">
        <v>318</v>
      </c>
      <c r="E5" s="276" t="s">
        <v>317</v>
      </c>
      <c r="F5" s="276" t="s">
        <v>318</v>
      </c>
      <c r="G5" s="276" t="s">
        <v>317</v>
      </c>
      <c r="H5" s="276" t="s">
        <v>318</v>
      </c>
      <c r="I5" s="276" t="s">
        <v>317</v>
      </c>
      <c r="J5" s="276" t="s">
        <v>318</v>
      </c>
      <c r="K5" s="276" t="s">
        <v>317</v>
      </c>
      <c r="L5" s="276" t="s">
        <v>318</v>
      </c>
      <c r="M5" s="276" t="s">
        <v>317</v>
      </c>
      <c r="N5" s="276" t="s">
        <v>318</v>
      </c>
      <c r="O5" s="276" t="s">
        <v>317</v>
      </c>
      <c r="P5" s="276" t="s">
        <v>318</v>
      </c>
      <c r="Q5" s="276" t="s">
        <v>317</v>
      </c>
      <c r="R5" s="276" t="s">
        <v>318</v>
      </c>
      <c r="S5" s="564"/>
      <c r="T5" s="276" t="s">
        <v>237</v>
      </c>
      <c r="U5" s="276" t="s">
        <v>396</v>
      </c>
      <c r="V5" s="446" t="s">
        <v>33</v>
      </c>
      <c r="W5" s="446" t="s">
        <v>40</v>
      </c>
      <c r="X5" s="446" t="s">
        <v>512</v>
      </c>
      <c r="Y5" s="446" t="s">
        <v>452</v>
      </c>
      <c r="Z5" s="446" t="s">
        <v>513</v>
      </c>
      <c r="AA5" s="446" t="s">
        <v>33</v>
      </c>
      <c r="AB5" s="446" t="s">
        <v>40</v>
      </c>
      <c r="AC5" s="446" t="s">
        <v>512</v>
      </c>
      <c r="AD5" s="446" t="s">
        <v>452</v>
      </c>
      <c r="AE5" s="446" t="s">
        <v>513</v>
      </c>
    </row>
    <row r="6" spans="1:31" s="486" customFormat="1" ht="45" customHeight="1">
      <c r="A6" s="479"/>
      <c r="B6" s="330" t="s">
        <v>0</v>
      </c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485"/>
      <c r="W6" s="369"/>
      <c r="X6" s="362"/>
      <c r="Y6" s="369"/>
      <c r="Z6" s="362"/>
      <c r="AA6" s="485"/>
      <c r="AB6" s="369"/>
      <c r="AC6" s="362"/>
      <c r="AD6" s="369"/>
      <c r="AE6" s="362"/>
    </row>
    <row r="7" spans="1:31" s="329" customFormat="1" ht="38.25" customHeight="1">
      <c r="A7" s="322" t="s">
        <v>80</v>
      </c>
      <c r="B7" s="323" t="s">
        <v>507</v>
      </c>
      <c r="C7" s="35">
        <v>149272179</v>
      </c>
      <c r="D7" s="35">
        <v>80391459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24">
        <f>+C7+E7+G7+I7+K7+M7+O7+Q7</f>
        <v>149272179</v>
      </c>
      <c r="T7" s="324">
        <f>+S7-U7</f>
        <v>68880720</v>
      </c>
      <c r="U7" s="324">
        <f>+D7+F7+H7+J7+L7+N7+P7+R7</f>
        <v>80391459</v>
      </c>
      <c r="V7" s="325">
        <v>1</v>
      </c>
      <c r="W7" s="326">
        <f>+S7-S8</f>
        <v>149272179</v>
      </c>
      <c r="X7" s="327">
        <f>+W7*V7</f>
        <v>149272179</v>
      </c>
      <c r="Y7" s="326">
        <f>+U7-U8</f>
        <v>80391459</v>
      </c>
      <c r="Z7" s="327">
        <f>+Y7*V7</f>
        <v>80391459</v>
      </c>
      <c r="AA7" s="325">
        <v>1</v>
      </c>
      <c r="AB7" s="326">
        <f>+S7-S8</f>
        <v>149272179</v>
      </c>
      <c r="AC7" s="327">
        <f>+AB7*AA7</f>
        <v>149272179</v>
      </c>
      <c r="AD7" s="326">
        <f>+U7-U8</f>
        <v>80391459</v>
      </c>
      <c r="AE7" s="327">
        <f>+AD7*AA7</f>
        <v>80391459</v>
      </c>
    </row>
    <row r="8" spans="1:31" s="329" customFormat="1" ht="38.25" customHeight="1">
      <c r="A8" s="322" t="s">
        <v>169</v>
      </c>
      <c r="B8" s="323" t="s">
        <v>508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24">
        <f>+C8+E8+G8+I8+K8+M8+O8+Q8</f>
        <v>0</v>
      </c>
      <c r="T8" s="324">
        <f t="shared" ref="T8:T45" si="0">+S8-U8</f>
        <v>0</v>
      </c>
      <c r="U8" s="324">
        <f>+E8+G8+I8+K8+M8+O8+Q8+S8</f>
        <v>0</v>
      </c>
      <c r="V8" s="325"/>
      <c r="W8" s="431"/>
      <c r="X8" s="324"/>
      <c r="Y8" s="431"/>
      <c r="Z8" s="324"/>
      <c r="AA8" s="325"/>
      <c r="AB8" s="431"/>
      <c r="AC8" s="324"/>
      <c r="AD8" s="431"/>
      <c r="AE8" s="324"/>
    </row>
    <row r="9" spans="1:31" s="329" customFormat="1" ht="38.25" customHeight="1">
      <c r="A9" s="322" t="s">
        <v>130</v>
      </c>
      <c r="B9" s="323" t="s">
        <v>428</v>
      </c>
      <c r="C9" s="35">
        <v>62642628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24">
        <f t="shared" ref="S9:S45" si="1">+C9+E9+G9+I9+K9+M9+O9+Q9</f>
        <v>62642628</v>
      </c>
      <c r="T9" s="324">
        <f t="shared" si="0"/>
        <v>62642628</v>
      </c>
      <c r="U9" s="324">
        <f t="shared" ref="U9:U45" si="2">+D9+F9+H9+J9+L9+N9+P9+R9</f>
        <v>0</v>
      </c>
      <c r="V9" s="325">
        <v>1</v>
      </c>
      <c r="W9" s="326">
        <f>+S9</f>
        <v>62642628</v>
      </c>
      <c r="X9" s="327">
        <f t="shared" ref="X9:X43" si="3">+W9*V9</f>
        <v>62642628</v>
      </c>
      <c r="Y9" s="326">
        <f>+U9</f>
        <v>0</v>
      </c>
      <c r="Z9" s="327">
        <f>+Y9*V9</f>
        <v>0</v>
      </c>
      <c r="AA9" s="325">
        <v>1</v>
      </c>
      <c r="AB9" s="326">
        <f>S9</f>
        <v>62642628</v>
      </c>
      <c r="AC9" s="327">
        <f t="shared" ref="AC9:AC36" si="4">+AB9*AA9</f>
        <v>62642628</v>
      </c>
      <c r="AD9" s="326">
        <f>+U9</f>
        <v>0</v>
      </c>
      <c r="AE9" s="327">
        <f>+AD9*AA9</f>
        <v>0</v>
      </c>
    </row>
    <row r="10" spans="1:31" s="329" customFormat="1" ht="38.25" customHeight="1">
      <c r="A10" s="322" t="s">
        <v>191</v>
      </c>
      <c r="B10" s="323" t="s">
        <v>427</v>
      </c>
      <c r="C10" s="35"/>
      <c r="D10" s="35"/>
      <c r="E10" s="35"/>
      <c r="F10" s="35"/>
      <c r="G10" s="35">
        <v>42620034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4">
        <f t="shared" si="1"/>
        <v>42620034</v>
      </c>
      <c r="T10" s="324">
        <f t="shared" si="0"/>
        <v>42620034</v>
      </c>
      <c r="U10" s="324">
        <f t="shared" si="2"/>
        <v>0</v>
      </c>
      <c r="V10" s="325">
        <v>0</v>
      </c>
      <c r="W10" s="326"/>
      <c r="X10" s="324"/>
      <c r="Y10" s="326"/>
      <c r="Z10" s="326"/>
      <c r="AA10" s="325">
        <v>0</v>
      </c>
      <c r="AB10" s="326"/>
      <c r="AC10" s="324"/>
      <c r="AD10" s="326"/>
      <c r="AE10" s="326"/>
    </row>
    <row r="11" spans="1:31" s="329" customFormat="1" ht="38.25" customHeight="1">
      <c r="A11" s="322" t="s">
        <v>131</v>
      </c>
      <c r="B11" s="323" t="s">
        <v>132</v>
      </c>
      <c r="C11" s="362">
        <f>SUM(C12:C18)-C15</f>
        <v>193594264</v>
      </c>
      <c r="D11" s="362">
        <f t="shared" ref="D11:R11" si="5">SUM(D12:D18)-D15</f>
        <v>189775877</v>
      </c>
      <c r="E11" s="362">
        <f t="shared" si="5"/>
        <v>0</v>
      </c>
      <c r="F11" s="362">
        <f t="shared" si="5"/>
        <v>0</v>
      </c>
      <c r="G11" s="362">
        <f t="shared" si="5"/>
        <v>161311040</v>
      </c>
      <c r="H11" s="362">
        <f t="shared" si="5"/>
        <v>66311040</v>
      </c>
      <c r="I11" s="362">
        <f t="shared" si="5"/>
        <v>117569200</v>
      </c>
      <c r="J11" s="362">
        <f t="shared" si="5"/>
        <v>0</v>
      </c>
      <c r="K11" s="362">
        <f t="shared" si="5"/>
        <v>0</v>
      </c>
      <c r="L11" s="362">
        <f t="shared" si="5"/>
        <v>0</v>
      </c>
      <c r="M11" s="362">
        <f t="shared" si="5"/>
        <v>0</v>
      </c>
      <c r="N11" s="362">
        <f t="shared" si="5"/>
        <v>0</v>
      </c>
      <c r="O11" s="362">
        <f t="shared" si="5"/>
        <v>107750000</v>
      </c>
      <c r="P11" s="362">
        <f t="shared" si="5"/>
        <v>0</v>
      </c>
      <c r="Q11" s="362">
        <f t="shared" si="5"/>
        <v>0</v>
      </c>
      <c r="R11" s="362">
        <f t="shared" si="5"/>
        <v>0</v>
      </c>
      <c r="S11" s="324">
        <f t="shared" si="1"/>
        <v>580224504</v>
      </c>
      <c r="T11" s="324">
        <f t="shared" si="0"/>
        <v>324137587</v>
      </c>
      <c r="U11" s="324">
        <f t="shared" si="2"/>
        <v>256086917</v>
      </c>
      <c r="V11" s="325"/>
      <c r="W11" s="326"/>
      <c r="X11" s="324"/>
      <c r="Y11" s="326"/>
      <c r="Z11" s="326"/>
      <c r="AA11" s="325"/>
      <c r="AB11" s="326"/>
      <c r="AC11" s="324"/>
      <c r="AD11" s="326"/>
      <c r="AE11" s="326"/>
    </row>
    <row r="12" spans="1:31" s="329" customFormat="1" ht="45" customHeight="1">
      <c r="A12" s="322" t="s">
        <v>192</v>
      </c>
      <c r="B12" s="323" t="s">
        <v>534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4">
        <f t="shared" si="1"/>
        <v>0</v>
      </c>
      <c r="T12" s="324">
        <f t="shared" si="0"/>
        <v>0</v>
      </c>
      <c r="U12" s="324">
        <f t="shared" si="2"/>
        <v>0</v>
      </c>
      <c r="V12" s="325">
        <v>1</v>
      </c>
      <c r="W12" s="326">
        <f>+C12</f>
        <v>0</v>
      </c>
      <c r="X12" s="327">
        <f t="shared" si="3"/>
        <v>0</v>
      </c>
      <c r="Y12" s="326">
        <f>+D12</f>
        <v>0</v>
      </c>
      <c r="Z12" s="327">
        <f>+Y12*V12</f>
        <v>0</v>
      </c>
      <c r="AA12" s="325">
        <v>1</v>
      </c>
      <c r="AB12" s="326">
        <f>+C12</f>
        <v>0</v>
      </c>
      <c r="AC12" s="327">
        <f t="shared" si="4"/>
        <v>0</v>
      </c>
      <c r="AD12" s="326">
        <f>+D12</f>
        <v>0</v>
      </c>
      <c r="AE12" s="327">
        <f>+AD12*AA12</f>
        <v>0</v>
      </c>
    </row>
    <row r="13" spans="1:31" s="329" customFormat="1" ht="45" customHeight="1">
      <c r="A13" s="322" t="s">
        <v>193</v>
      </c>
      <c r="B13" s="323" t="s">
        <v>527</v>
      </c>
      <c r="C13" s="35">
        <v>178006027</v>
      </c>
      <c r="D13" s="35">
        <v>178006027</v>
      </c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24">
        <f>+C13</f>
        <v>178006027</v>
      </c>
      <c r="T13" s="324">
        <f>+S13-U13</f>
        <v>0</v>
      </c>
      <c r="U13" s="324">
        <f>+D13</f>
        <v>178006027</v>
      </c>
      <c r="V13" s="325">
        <v>1</v>
      </c>
      <c r="W13" s="326">
        <f>+C13</f>
        <v>178006027</v>
      </c>
      <c r="X13" s="327">
        <f t="shared" si="3"/>
        <v>178006027</v>
      </c>
      <c r="Y13" s="326">
        <f>+D13</f>
        <v>178006027</v>
      </c>
      <c r="Z13" s="327">
        <f t="shared" ref="Z13:Z43" si="6">+Y13*V13</f>
        <v>178006027</v>
      </c>
      <c r="AA13" s="325">
        <v>1</v>
      </c>
      <c r="AB13" s="326">
        <f>+C13</f>
        <v>178006027</v>
      </c>
      <c r="AC13" s="327">
        <f t="shared" si="4"/>
        <v>178006027</v>
      </c>
      <c r="AD13" s="326">
        <f>+D13</f>
        <v>178006027</v>
      </c>
      <c r="AE13" s="327">
        <f t="shared" ref="AE13:AE36" si="7">+AD13*AA13</f>
        <v>178006027</v>
      </c>
    </row>
    <row r="14" spans="1:31" s="329" customFormat="1" ht="45" customHeight="1">
      <c r="A14" s="322" t="s">
        <v>22</v>
      </c>
      <c r="B14" s="323" t="s">
        <v>468</v>
      </c>
      <c r="C14" s="362"/>
      <c r="D14" s="362"/>
      <c r="E14" s="35"/>
      <c r="F14" s="35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24">
        <f>+E14</f>
        <v>0</v>
      </c>
      <c r="T14" s="324">
        <f>+S14-U14</f>
        <v>0</v>
      </c>
      <c r="U14" s="324">
        <f>+F14</f>
        <v>0</v>
      </c>
      <c r="V14" s="325">
        <v>1</v>
      </c>
      <c r="W14" s="431">
        <f>+E14-E15</f>
        <v>0</v>
      </c>
      <c r="X14" s="324">
        <f t="shared" si="3"/>
        <v>0</v>
      </c>
      <c r="Y14" s="431">
        <f>+F14-F15</f>
        <v>0</v>
      </c>
      <c r="Z14" s="324">
        <f t="shared" si="6"/>
        <v>0</v>
      </c>
      <c r="AA14" s="325">
        <v>1</v>
      </c>
      <c r="AB14" s="326">
        <f>+E14-E15</f>
        <v>0</v>
      </c>
      <c r="AC14" s="324">
        <f t="shared" si="4"/>
        <v>0</v>
      </c>
      <c r="AD14" s="431">
        <f>+F14-F15</f>
        <v>0</v>
      </c>
      <c r="AE14" s="324">
        <f t="shared" si="7"/>
        <v>0</v>
      </c>
    </row>
    <row r="15" spans="1:31" s="329" customFormat="1" ht="45" customHeight="1">
      <c r="A15" s="322" t="s">
        <v>509</v>
      </c>
      <c r="B15" s="323" t="s">
        <v>531</v>
      </c>
      <c r="C15" s="362"/>
      <c r="D15" s="362"/>
      <c r="E15" s="35"/>
      <c r="F15" s="35">
        <f>E15</f>
        <v>0</v>
      </c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Q15" s="362"/>
      <c r="R15" s="362"/>
      <c r="S15" s="324">
        <f>+E15</f>
        <v>0</v>
      </c>
      <c r="T15" s="324">
        <f>+S15-U15</f>
        <v>0</v>
      </c>
      <c r="U15" s="324">
        <f>+F15</f>
        <v>0</v>
      </c>
      <c r="V15" s="325">
        <v>1</v>
      </c>
      <c r="W15" s="326">
        <f>+E15</f>
        <v>0</v>
      </c>
      <c r="X15" s="327">
        <f t="shared" si="3"/>
        <v>0</v>
      </c>
      <c r="Y15" s="326">
        <f>+F15</f>
        <v>0</v>
      </c>
      <c r="Z15" s="327">
        <f t="shared" si="6"/>
        <v>0</v>
      </c>
      <c r="AA15" s="325">
        <v>1</v>
      </c>
      <c r="AB15" s="326">
        <f>+E15</f>
        <v>0</v>
      </c>
      <c r="AC15" s="327">
        <f t="shared" si="4"/>
        <v>0</v>
      </c>
      <c r="AD15" s="326">
        <f>+F15</f>
        <v>0</v>
      </c>
      <c r="AE15" s="327">
        <f t="shared" si="7"/>
        <v>0</v>
      </c>
    </row>
    <row r="16" spans="1:31" s="329" customFormat="1" ht="38.25" customHeight="1">
      <c r="A16" s="322" t="s">
        <v>347</v>
      </c>
      <c r="B16" s="323" t="s">
        <v>346</v>
      </c>
      <c r="C16" s="35">
        <v>11791856</v>
      </c>
      <c r="D16" s="35">
        <v>11769850</v>
      </c>
      <c r="E16" s="35">
        <v>0</v>
      </c>
      <c r="F16" s="35">
        <v>0</v>
      </c>
      <c r="G16" s="35">
        <v>161311040</v>
      </c>
      <c r="H16" s="35">
        <v>66311040</v>
      </c>
      <c r="I16" s="35">
        <v>117569200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107750000</v>
      </c>
      <c r="P16" s="35"/>
      <c r="Q16" s="35">
        <v>0</v>
      </c>
      <c r="R16" s="35">
        <v>0</v>
      </c>
      <c r="S16" s="324">
        <f t="shared" si="1"/>
        <v>398422096</v>
      </c>
      <c r="T16" s="324">
        <f t="shared" si="0"/>
        <v>320341206</v>
      </c>
      <c r="U16" s="324">
        <f t="shared" si="2"/>
        <v>78080890</v>
      </c>
      <c r="V16" s="325">
        <v>1</v>
      </c>
      <c r="W16" s="326">
        <f>+C16+E16+G16</f>
        <v>173102896</v>
      </c>
      <c r="X16" s="324">
        <f>+W16*V16</f>
        <v>173102896</v>
      </c>
      <c r="Y16" s="326">
        <f>+D16+F16+H16</f>
        <v>78080890</v>
      </c>
      <c r="Z16" s="326">
        <f t="shared" si="6"/>
        <v>78080890</v>
      </c>
      <c r="AA16" s="325">
        <v>1</v>
      </c>
      <c r="AB16" s="326">
        <f>+C16+E16+G16+E12+G12+E13+G13+E14-E15</f>
        <v>173102896</v>
      </c>
      <c r="AC16" s="324">
        <f>+AB16*AA16</f>
        <v>173102896</v>
      </c>
      <c r="AD16" s="326">
        <f>+D16+F16+H16+F12+H12+F13+H13+F14-F15</f>
        <v>78080890</v>
      </c>
      <c r="AE16" s="326">
        <f t="shared" si="7"/>
        <v>78080890</v>
      </c>
    </row>
    <row r="17" spans="1:31" s="329" customFormat="1" ht="38.25" customHeight="1">
      <c r="A17" s="322" t="s">
        <v>469</v>
      </c>
      <c r="B17" s="323" t="s">
        <v>23</v>
      </c>
      <c r="C17" s="35">
        <v>3695979</v>
      </c>
      <c r="D17" s="35">
        <v>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4">
        <f t="shared" si="1"/>
        <v>3695979</v>
      </c>
      <c r="T17" s="324">
        <f t="shared" si="0"/>
        <v>3695979</v>
      </c>
      <c r="U17" s="324">
        <f t="shared" si="2"/>
        <v>0</v>
      </c>
      <c r="V17" s="325">
        <v>0.5</v>
      </c>
      <c r="W17" s="326">
        <f>+C17+E17+G17</f>
        <v>3695979</v>
      </c>
      <c r="X17" s="324">
        <f t="shared" si="3"/>
        <v>1847989.5</v>
      </c>
      <c r="Y17" s="326">
        <f>+D17+F17+H17</f>
        <v>0</v>
      </c>
      <c r="Z17" s="326">
        <f t="shared" si="6"/>
        <v>0</v>
      </c>
      <c r="AA17" s="325">
        <v>1</v>
      </c>
      <c r="AB17" s="326">
        <f>+C17+E17+G17</f>
        <v>3695979</v>
      </c>
      <c r="AC17" s="324">
        <f t="shared" si="4"/>
        <v>3695979</v>
      </c>
      <c r="AD17" s="326">
        <f>+D17+F17+H17</f>
        <v>0</v>
      </c>
      <c r="AE17" s="326">
        <f t="shared" si="7"/>
        <v>0</v>
      </c>
    </row>
    <row r="18" spans="1:31" s="329" customFormat="1" ht="38.25" customHeight="1">
      <c r="A18" s="322" t="s">
        <v>470</v>
      </c>
      <c r="B18" s="323" t="s">
        <v>32</v>
      </c>
      <c r="C18" s="35">
        <v>100402</v>
      </c>
      <c r="D18" s="35">
        <v>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4">
        <f t="shared" si="1"/>
        <v>100402</v>
      </c>
      <c r="T18" s="324">
        <f t="shared" si="0"/>
        <v>100402</v>
      </c>
      <c r="U18" s="324">
        <f t="shared" si="2"/>
        <v>0</v>
      </c>
      <c r="V18" s="325">
        <v>0.3</v>
      </c>
      <c r="W18" s="326">
        <f>+C18+E18+G18</f>
        <v>100402</v>
      </c>
      <c r="X18" s="324">
        <f>+W18*V18</f>
        <v>30120.6</v>
      </c>
      <c r="Y18" s="326">
        <f>+D18+F18+H18</f>
        <v>0</v>
      </c>
      <c r="Z18" s="326">
        <f t="shared" si="6"/>
        <v>0</v>
      </c>
      <c r="AA18" s="325">
        <v>1</v>
      </c>
      <c r="AB18" s="326">
        <f>+C18+E18+G18</f>
        <v>100402</v>
      </c>
      <c r="AC18" s="324">
        <f>+AB18*AA18</f>
        <v>100402</v>
      </c>
      <c r="AD18" s="326">
        <f>+D18+F18+H18</f>
        <v>0</v>
      </c>
      <c r="AE18" s="326">
        <f t="shared" si="7"/>
        <v>0</v>
      </c>
    </row>
    <row r="19" spans="1:31" s="329" customFormat="1" ht="38.25" customHeight="1">
      <c r="A19" s="322" t="s">
        <v>133</v>
      </c>
      <c r="B19" s="323" t="s">
        <v>134</v>
      </c>
      <c r="C19" s="362">
        <f>SUM(C20:C25)-C21</f>
        <v>11874175</v>
      </c>
      <c r="D19" s="362">
        <f>SUM(D20:D25)-D21</f>
        <v>0</v>
      </c>
      <c r="E19" s="362">
        <f t="shared" ref="E19:R19" si="8">SUM(E20:E25)-E21</f>
        <v>0</v>
      </c>
      <c r="F19" s="362">
        <f t="shared" si="8"/>
        <v>0</v>
      </c>
      <c r="G19" s="362">
        <f t="shared" si="8"/>
        <v>0</v>
      </c>
      <c r="H19" s="362">
        <f t="shared" si="8"/>
        <v>0</v>
      </c>
      <c r="I19" s="362">
        <f t="shared" si="8"/>
        <v>0</v>
      </c>
      <c r="J19" s="362">
        <f t="shared" si="8"/>
        <v>0</v>
      </c>
      <c r="K19" s="362">
        <f t="shared" si="8"/>
        <v>0</v>
      </c>
      <c r="L19" s="362">
        <f t="shared" si="8"/>
        <v>0</v>
      </c>
      <c r="M19" s="362">
        <f t="shared" si="8"/>
        <v>48000000</v>
      </c>
      <c r="N19" s="362">
        <f t="shared" si="8"/>
        <v>0</v>
      </c>
      <c r="O19" s="362">
        <f t="shared" si="8"/>
        <v>87000000</v>
      </c>
      <c r="P19" s="362">
        <f t="shared" si="8"/>
        <v>0</v>
      </c>
      <c r="Q19" s="362">
        <f t="shared" si="8"/>
        <v>0</v>
      </c>
      <c r="R19" s="362">
        <f t="shared" si="8"/>
        <v>0</v>
      </c>
      <c r="S19" s="324">
        <f t="shared" si="1"/>
        <v>146874175</v>
      </c>
      <c r="T19" s="324">
        <f t="shared" si="0"/>
        <v>146874175</v>
      </c>
      <c r="U19" s="324">
        <f t="shared" si="2"/>
        <v>0</v>
      </c>
      <c r="V19" s="325"/>
      <c r="W19" s="326"/>
      <c r="X19" s="324"/>
      <c r="Y19" s="326"/>
      <c r="Z19" s="326"/>
      <c r="AA19" s="325"/>
      <c r="AB19" s="326"/>
      <c r="AC19" s="324"/>
      <c r="AD19" s="326"/>
      <c r="AE19" s="326"/>
    </row>
    <row r="20" spans="1:31" s="329" customFormat="1" ht="38.25" customHeight="1">
      <c r="A20" s="322" t="s">
        <v>194</v>
      </c>
      <c r="B20" s="323" t="s">
        <v>24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48000000</v>
      </c>
      <c r="N20" s="35">
        <v>0</v>
      </c>
      <c r="O20" s="35">
        <v>87000000</v>
      </c>
      <c r="P20" s="35">
        <v>0</v>
      </c>
      <c r="Q20" s="35">
        <v>0</v>
      </c>
      <c r="R20" s="35">
        <v>0</v>
      </c>
      <c r="S20" s="324">
        <f>+C20+E20+G20+I20+K20+M20+O20+Q20</f>
        <v>135000000</v>
      </c>
      <c r="T20" s="324">
        <f t="shared" si="0"/>
        <v>135000000</v>
      </c>
      <c r="U20" s="324">
        <f t="shared" si="2"/>
        <v>0</v>
      </c>
      <c r="V20" s="325">
        <v>1</v>
      </c>
      <c r="W20" s="326">
        <f>+S20-S21</f>
        <v>135000000</v>
      </c>
      <c r="X20" s="327">
        <f t="shared" si="3"/>
        <v>135000000</v>
      </c>
      <c r="Y20" s="326">
        <f>+U20-U21</f>
        <v>0</v>
      </c>
      <c r="Z20" s="327">
        <f t="shared" si="6"/>
        <v>0</v>
      </c>
      <c r="AA20" s="325">
        <v>1</v>
      </c>
      <c r="AB20" s="326">
        <f>+S20-S21</f>
        <v>135000000</v>
      </c>
      <c r="AC20" s="327">
        <f t="shared" si="4"/>
        <v>135000000</v>
      </c>
      <c r="AD20" s="326">
        <f>+U20-U21</f>
        <v>0</v>
      </c>
      <c r="AE20" s="327">
        <f t="shared" si="7"/>
        <v>0</v>
      </c>
    </row>
    <row r="21" spans="1:31" s="552" customFormat="1" ht="48" customHeight="1">
      <c r="A21" s="322" t="s">
        <v>543</v>
      </c>
      <c r="B21" s="323" t="s">
        <v>551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4">
        <f>+C21+E21+G21+I21+K21+M21+O21+Q21</f>
        <v>0</v>
      </c>
      <c r="T21" s="324">
        <f>+S21-U21</f>
        <v>0</v>
      </c>
      <c r="U21" s="324">
        <f>+D21+F21+H21+J21+L21+N21+P21+R21</f>
        <v>0</v>
      </c>
      <c r="V21" s="325">
        <v>1</v>
      </c>
      <c r="W21" s="431">
        <f>+C21+E21+G21</f>
        <v>0</v>
      </c>
      <c r="X21" s="324">
        <f>+W21*V21</f>
        <v>0</v>
      </c>
      <c r="Y21" s="431">
        <f>+D21+F21+H21</f>
        <v>0</v>
      </c>
      <c r="Z21" s="324">
        <f>+Y21*V21</f>
        <v>0</v>
      </c>
      <c r="AA21" s="325">
        <v>1</v>
      </c>
      <c r="AB21" s="431">
        <f>+C21+E21+G21</f>
        <v>0</v>
      </c>
      <c r="AC21" s="324">
        <f>+AB21*AA21</f>
        <v>0</v>
      </c>
      <c r="AD21" s="431">
        <f>+D21+F21+H21</f>
        <v>0</v>
      </c>
      <c r="AE21" s="324">
        <f>+AD21*AA21</f>
        <v>0</v>
      </c>
    </row>
    <row r="22" spans="1:31" s="329" customFormat="1" ht="38.25" customHeight="1">
      <c r="A22" s="322" t="s">
        <v>30</v>
      </c>
      <c r="B22" s="323" t="s">
        <v>45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4">
        <f t="shared" si="1"/>
        <v>0</v>
      </c>
      <c r="T22" s="324">
        <f t="shared" si="0"/>
        <v>0</v>
      </c>
      <c r="U22" s="324">
        <f t="shared" si="2"/>
        <v>0</v>
      </c>
      <c r="V22" s="325">
        <v>1</v>
      </c>
      <c r="W22" s="326">
        <f>+S22</f>
        <v>0</v>
      </c>
      <c r="X22" s="327">
        <f t="shared" si="3"/>
        <v>0</v>
      </c>
      <c r="Y22" s="326">
        <f>+U22</f>
        <v>0</v>
      </c>
      <c r="Z22" s="327">
        <f t="shared" si="6"/>
        <v>0</v>
      </c>
      <c r="AA22" s="325">
        <v>1</v>
      </c>
      <c r="AB22" s="326">
        <f>+S22</f>
        <v>0</v>
      </c>
      <c r="AC22" s="327">
        <f t="shared" si="4"/>
        <v>0</v>
      </c>
      <c r="AD22" s="326">
        <f>+U22</f>
        <v>0</v>
      </c>
      <c r="AE22" s="327">
        <f t="shared" si="7"/>
        <v>0</v>
      </c>
    </row>
    <row r="23" spans="1:31" s="329" customFormat="1" ht="61.5" customHeight="1">
      <c r="A23" s="322" t="s">
        <v>31</v>
      </c>
      <c r="B23" s="323" t="s">
        <v>461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4">
        <f>+C23+E23+G23+I23+K23+M23+O23+Q23</f>
        <v>0</v>
      </c>
      <c r="T23" s="324">
        <f>+S23-U23</f>
        <v>0</v>
      </c>
      <c r="U23" s="324">
        <f>+D23+F23+H23+J23+L23+N23+P23+R23</f>
        <v>0</v>
      </c>
      <c r="V23" s="325">
        <v>1</v>
      </c>
      <c r="W23" s="326">
        <f>+S23</f>
        <v>0</v>
      </c>
      <c r="X23" s="327">
        <f t="shared" si="3"/>
        <v>0</v>
      </c>
      <c r="Y23" s="326">
        <f>+U23</f>
        <v>0</v>
      </c>
      <c r="Z23" s="327">
        <f t="shared" si="6"/>
        <v>0</v>
      </c>
      <c r="AA23" s="325">
        <v>1</v>
      </c>
      <c r="AB23" s="326">
        <f>+S23</f>
        <v>0</v>
      </c>
      <c r="AC23" s="327">
        <f t="shared" si="4"/>
        <v>0</v>
      </c>
      <c r="AD23" s="326">
        <f>+U23</f>
        <v>0</v>
      </c>
      <c r="AE23" s="327">
        <f t="shared" si="7"/>
        <v>0</v>
      </c>
    </row>
    <row r="24" spans="1:31" s="329" customFormat="1" ht="45" customHeight="1">
      <c r="A24" s="322" t="s">
        <v>43</v>
      </c>
      <c r="B24" s="323" t="s">
        <v>535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4">
        <f t="shared" si="1"/>
        <v>0</v>
      </c>
      <c r="T24" s="324">
        <f t="shared" si="0"/>
        <v>0</v>
      </c>
      <c r="U24" s="324">
        <f t="shared" si="2"/>
        <v>0</v>
      </c>
      <c r="V24" s="325">
        <v>1</v>
      </c>
      <c r="W24" s="326">
        <f>+S24</f>
        <v>0</v>
      </c>
      <c r="X24" s="327">
        <f t="shared" si="3"/>
        <v>0</v>
      </c>
      <c r="Y24" s="326">
        <f>+U24</f>
        <v>0</v>
      </c>
      <c r="Z24" s="327">
        <f t="shared" si="6"/>
        <v>0</v>
      </c>
      <c r="AA24" s="325">
        <v>1</v>
      </c>
      <c r="AB24" s="326">
        <f>+S24</f>
        <v>0</v>
      </c>
      <c r="AC24" s="327">
        <f t="shared" si="4"/>
        <v>0</v>
      </c>
      <c r="AD24" s="326">
        <f>+U24</f>
        <v>0</v>
      </c>
      <c r="AE24" s="327">
        <f t="shared" si="7"/>
        <v>0</v>
      </c>
    </row>
    <row r="25" spans="1:31" s="329" customFormat="1" ht="38.25" customHeight="1">
      <c r="A25" s="322" t="s">
        <v>471</v>
      </c>
      <c r="B25" s="323" t="s">
        <v>21</v>
      </c>
      <c r="C25" s="35">
        <v>11874175</v>
      </c>
      <c r="D25" s="35">
        <v>0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4">
        <f t="shared" si="1"/>
        <v>11874175</v>
      </c>
      <c r="T25" s="324">
        <f t="shared" si="0"/>
        <v>11874175</v>
      </c>
      <c r="U25" s="324">
        <f t="shared" si="2"/>
        <v>0</v>
      </c>
      <c r="V25" s="325">
        <v>0</v>
      </c>
      <c r="W25" s="431"/>
      <c r="X25" s="324"/>
      <c r="Y25" s="431"/>
      <c r="Z25" s="324"/>
      <c r="AA25" s="325">
        <v>0</v>
      </c>
      <c r="AB25" s="326"/>
      <c r="AC25" s="324"/>
      <c r="AD25" s="326"/>
      <c r="AE25" s="324"/>
    </row>
    <row r="26" spans="1:31" s="329" customFormat="1" ht="38.25" customHeight="1">
      <c r="A26" s="322" t="s">
        <v>135</v>
      </c>
      <c r="B26" s="323" t="s">
        <v>136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4">
        <f t="shared" si="1"/>
        <v>0</v>
      </c>
      <c r="T26" s="324">
        <f t="shared" si="0"/>
        <v>0</v>
      </c>
      <c r="U26" s="324">
        <f t="shared" si="2"/>
        <v>0</v>
      </c>
      <c r="V26" s="325">
        <v>0.3</v>
      </c>
      <c r="W26" s="326">
        <f>+C26+E26+G26</f>
        <v>0</v>
      </c>
      <c r="X26" s="324">
        <f t="shared" si="3"/>
        <v>0</v>
      </c>
      <c r="Y26" s="326">
        <f>+D26+F26+H26</f>
        <v>0</v>
      </c>
      <c r="Z26" s="326">
        <f t="shared" si="6"/>
        <v>0</v>
      </c>
      <c r="AA26" s="325">
        <v>0.3</v>
      </c>
      <c r="AB26" s="326">
        <f>+E26+G26</f>
        <v>0</v>
      </c>
      <c r="AC26" s="324">
        <f t="shared" si="4"/>
        <v>0</v>
      </c>
      <c r="AD26" s="326">
        <f>+F26+H26</f>
        <v>0</v>
      </c>
      <c r="AE26" s="326">
        <f t="shared" si="7"/>
        <v>0</v>
      </c>
    </row>
    <row r="27" spans="1:31" s="329" customFormat="1" ht="45" customHeight="1">
      <c r="A27" s="322" t="s">
        <v>137</v>
      </c>
      <c r="B27" s="323" t="s">
        <v>138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4">
        <f t="shared" si="1"/>
        <v>0</v>
      </c>
      <c r="T27" s="324">
        <f t="shared" si="0"/>
        <v>0</v>
      </c>
      <c r="U27" s="324">
        <f t="shared" si="2"/>
        <v>0</v>
      </c>
      <c r="V27" s="325">
        <v>0.3</v>
      </c>
      <c r="W27" s="326">
        <f>+C27+E27+G27</f>
        <v>0</v>
      </c>
      <c r="X27" s="324">
        <f t="shared" si="3"/>
        <v>0</v>
      </c>
      <c r="Y27" s="326">
        <f>+D27+F27+H27</f>
        <v>0</v>
      </c>
      <c r="Z27" s="326">
        <f t="shared" si="6"/>
        <v>0</v>
      </c>
      <c r="AA27" s="325">
        <v>0.5</v>
      </c>
      <c r="AB27" s="326">
        <f>+E27+G27</f>
        <v>0</v>
      </c>
      <c r="AC27" s="324">
        <f t="shared" si="4"/>
        <v>0</v>
      </c>
      <c r="AD27" s="326">
        <f>+F27+H27</f>
        <v>0</v>
      </c>
      <c r="AE27" s="326">
        <f t="shared" si="7"/>
        <v>0</v>
      </c>
    </row>
    <row r="28" spans="1:31" s="329" customFormat="1" ht="38.25" customHeight="1">
      <c r="A28" s="322" t="s">
        <v>139</v>
      </c>
      <c r="B28" s="323" t="s">
        <v>140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4">
        <f t="shared" si="1"/>
        <v>0</v>
      </c>
      <c r="T28" s="324">
        <f t="shared" si="0"/>
        <v>0</v>
      </c>
      <c r="U28" s="324">
        <f t="shared" si="2"/>
        <v>0</v>
      </c>
      <c r="V28" s="325">
        <v>0.3</v>
      </c>
      <c r="W28" s="326">
        <f>+C28+E28+G28</f>
        <v>0</v>
      </c>
      <c r="X28" s="324">
        <f t="shared" si="3"/>
        <v>0</v>
      </c>
      <c r="Y28" s="326">
        <f>+D28+F28+H28</f>
        <v>0</v>
      </c>
      <c r="Z28" s="326">
        <f t="shared" si="6"/>
        <v>0</v>
      </c>
      <c r="AA28" s="325">
        <v>0.3</v>
      </c>
      <c r="AB28" s="326">
        <f>+E28+G28</f>
        <v>0</v>
      </c>
      <c r="AC28" s="324">
        <f t="shared" si="4"/>
        <v>0</v>
      </c>
      <c r="AD28" s="326">
        <f>+F28+H28</f>
        <v>0</v>
      </c>
      <c r="AE28" s="326">
        <f t="shared" si="7"/>
        <v>0</v>
      </c>
    </row>
    <row r="29" spans="1:31" s="329" customFormat="1" ht="38.25" customHeight="1">
      <c r="A29" s="322" t="s">
        <v>141</v>
      </c>
      <c r="B29" s="323" t="s">
        <v>142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4">
        <f t="shared" si="1"/>
        <v>0</v>
      </c>
      <c r="T29" s="324">
        <f t="shared" si="0"/>
        <v>0</v>
      </c>
      <c r="U29" s="324">
        <f t="shared" si="2"/>
        <v>0</v>
      </c>
      <c r="V29" s="325">
        <v>1</v>
      </c>
      <c r="W29" s="326">
        <f>+C29+E29+G29</f>
        <v>0</v>
      </c>
      <c r="X29" s="324">
        <f t="shared" si="3"/>
        <v>0</v>
      </c>
      <c r="Y29" s="326">
        <f>+D29+F29+H29</f>
        <v>0</v>
      </c>
      <c r="Z29" s="326">
        <f t="shared" si="6"/>
        <v>0</v>
      </c>
      <c r="AA29" s="325">
        <v>1</v>
      </c>
      <c r="AB29" s="326">
        <f>+C29+E29+G29</f>
        <v>0</v>
      </c>
      <c r="AC29" s="324">
        <f t="shared" si="4"/>
        <v>0</v>
      </c>
      <c r="AD29" s="326">
        <f>+D29+F29+H29</f>
        <v>0</v>
      </c>
      <c r="AE29" s="326">
        <f t="shared" si="7"/>
        <v>0</v>
      </c>
    </row>
    <row r="30" spans="1:31" s="329" customFormat="1" ht="38.25" customHeight="1">
      <c r="A30" s="322" t="s">
        <v>143</v>
      </c>
      <c r="B30" s="323" t="s">
        <v>144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24">
        <f t="shared" si="1"/>
        <v>0</v>
      </c>
      <c r="T30" s="324">
        <f t="shared" si="0"/>
        <v>0</v>
      </c>
      <c r="U30" s="324">
        <f t="shared" si="2"/>
        <v>0</v>
      </c>
      <c r="V30" s="325">
        <v>0.5</v>
      </c>
      <c r="W30" s="326">
        <f>+E30+G30</f>
        <v>0</v>
      </c>
      <c r="X30" s="324">
        <f t="shared" si="3"/>
        <v>0</v>
      </c>
      <c r="Y30" s="326">
        <f>F30+H30</f>
        <v>0</v>
      </c>
      <c r="Z30" s="326">
        <f t="shared" si="6"/>
        <v>0</v>
      </c>
      <c r="AA30" s="325">
        <v>0.5</v>
      </c>
      <c r="AB30" s="326">
        <f>+E30+G30</f>
        <v>0</v>
      </c>
      <c r="AC30" s="324">
        <f t="shared" si="4"/>
        <v>0</v>
      </c>
      <c r="AD30" s="326">
        <f>+F30+H30</f>
        <v>0</v>
      </c>
      <c r="AE30" s="326">
        <f t="shared" si="7"/>
        <v>0</v>
      </c>
    </row>
    <row r="31" spans="1:31" s="329" customFormat="1" ht="39" customHeight="1">
      <c r="A31" s="322">
        <v>10</v>
      </c>
      <c r="B31" s="323" t="s">
        <v>145</v>
      </c>
      <c r="C31" s="35">
        <v>58202411</v>
      </c>
      <c r="D31" s="35">
        <v>40941994</v>
      </c>
      <c r="E31" s="35">
        <v>49474775</v>
      </c>
      <c r="F31" s="35">
        <v>16734434</v>
      </c>
      <c r="G31" s="35">
        <v>21954356</v>
      </c>
      <c r="H31" s="35">
        <v>3755328</v>
      </c>
      <c r="I31" s="35">
        <v>485662224</v>
      </c>
      <c r="J31" s="35">
        <v>142507887</v>
      </c>
      <c r="K31" s="35">
        <v>722576295</v>
      </c>
      <c r="L31" s="35">
        <v>180845900</v>
      </c>
      <c r="M31" s="35">
        <v>1276905096</v>
      </c>
      <c r="N31" s="35">
        <v>376528262</v>
      </c>
      <c r="O31" s="35">
        <v>1398741502</v>
      </c>
      <c r="P31" s="35">
        <v>439280996</v>
      </c>
      <c r="Q31" s="35">
        <v>1620683709</v>
      </c>
      <c r="R31" s="35">
        <v>815554986</v>
      </c>
      <c r="S31" s="324">
        <f t="shared" si="1"/>
        <v>5634200368</v>
      </c>
      <c r="T31" s="324">
        <f t="shared" si="0"/>
        <v>3618050581</v>
      </c>
      <c r="U31" s="324">
        <f t="shared" si="2"/>
        <v>2016149787</v>
      </c>
      <c r="V31" s="325">
        <v>0.3</v>
      </c>
      <c r="W31" s="326">
        <f>+E31+G31</f>
        <v>71429131</v>
      </c>
      <c r="X31" s="324">
        <f t="shared" si="3"/>
        <v>21428739.300000001</v>
      </c>
      <c r="Y31" s="326">
        <f>F31+H31</f>
        <v>20489762</v>
      </c>
      <c r="Z31" s="326">
        <f t="shared" si="6"/>
        <v>6146928.5999999996</v>
      </c>
      <c r="AA31" s="325">
        <v>0.5</v>
      </c>
      <c r="AB31" s="326">
        <f>+E31+G31</f>
        <v>71429131</v>
      </c>
      <c r="AC31" s="324">
        <f t="shared" si="4"/>
        <v>35714565.5</v>
      </c>
      <c r="AD31" s="326">
        <f>+F31+H31</f>
        <v>20489762</v>
      </c>
      <c r="AE31" s="326">
        <f t="shared" si="7"/>
        <v>10244881</v>
      </c>
    </row>
    <row r="32" spans="1:31" s="329" customFormat="1" ht="39" customHeight="1">
      <c r="A32" s="322" t="s">
        <v>544</v>
      </c>
      <c r="B32" s="323" t="s">
        <v>550</v>
      </c>
      <c r="C32" s="35">
        <v>3096757</v>
      </c>
      <c r="D32" s="35">
        <v>0</v>
      </c>
      <c r="E32" s="35">
        <v>22396424</v>
      </c>
      <c r="F32" s="35">
        <v>0</v>
      </c>
      <c r="G32" s="35">
        <v>10872070</v>
      </c>
      <c r="H32" s="35">
        <v>0</v>
      </c>
      <c r="I32" s="35">
        <v>146471557</v>
      </c>
      <c r="J32" s="35">
        <v>0</v>
      </c>
      <c r="K32" s="35">
        <v>249060816</v>
      </c>
      <c r="L32" s="35">
        <v>0</v>
      </c>
      <c r="M32" s="35">
        <v>434426024</v>
      </c>
      <c r="N32" s="35">
        <v>0</v>
      </c>
      <c r="O32" s="35">
        <v>460118904</v>
      </c>
      <c r="P32" s="35">
        <v>0</v>
      </c>
      <c r="Q32" s="35">
        <v>283602100</v>
      </c>
      <c r="R32" s="35"/>
      <c r="S32" s="324">
        <f t="shared" si="1"/>
        <v>1610044652</v>
      </c>
      <c r="T32" s="324">
        <f t="shared" si="0"/>
        <v>1610044652</v>
      </c>
      <c r="U32" s="324">
        <f t="shared" si="2"/>
        <v>0</v>
      </c>
      <c r="V32" s="325">
        <v>0</v>
      </c>
      <c r="W32" s="326">
        <f>+E32+G32</f>
        <v>33268494</v>
      </c>
      <c r="X32" s="324">
        <f t="shared" si="3"/>
        <v>0</v>
      </c>
      <c r="Y32" s="326">
        <f>F32+H32</f>
        <v>0</v>
      </c>
      <c r="Z32" s="326">
        <f t="shared" si="6"/>
        <v>0</v>
      </c>
      <c r="AA32" s="325">
        <v>0</v>
      </c>
      <c r="AB32" s="326">
        <f>+E32+G32</f>
        <v>33268494</v>
      </c>
      <c r="AC32" s="324">
        <f t="shared" si="4"/>
        <v>0</v>
      </c>
      <c r="AD32" s="326">
        <f>+F32+H32</f>
        <v>0</v>
      </c>
      <c r="AE32" s="326">
        <f t="shared" si="7"/>
        <v>0</v>
      </c>
    </row>
    <row r="33" spans="1:32" s="329" customFormat="1" ht="38.25" customHeight="1">
      <c r="A33" s="322">
        <v>11</v>
      </c>
      <c r="B33" s="323" t="s">
        <v>146</v>
      </c>
      <c r="C33" s="35">
        <v>20468776</v>
      </c>
      <c r="D33" s="35">
        <v>8384805</v>
      </c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24">
        <f t="shared" si="1"/>
        <v>20468776</v>
      </c>
      <c r="T33" s="324">
        <f t="shared" si="0"/>
        <v>12083971</v>
      </c>
      <c r="U33" s="324">
        <f t="shared" si="2"/>
        <v>8384805</v>
      </c>
      <c r="V33" s="325">
        <v>0</v>
      </c>
      <c r="W33" s="326"/>
      <c r="X33" s="324"/>
      <c r="Y33" s="326"/>
      <c r="Z33" s="326"/>
      <c r="AA33" s="325">
        <v>0</v>
      </c>
      <c r="AB33" s="326"/>
      <c r="AC33" s="324"/>
      <c r="AD33" s="326"/>
      <c r="AE33" s="326"/>
    </row>
    <row r="34" spans="1:32" s="329" customFormat="1" ht="38.25" customHeight="1">
      <c r="A34" s="322" t="s">
        <v>147</v>
      </c>
      <c r="B34" s="323" t="s">
        <v>148</v>
      </c>
      <c r="C34" s="35">
        <v>107220</v>
      </c>
      <c r="D34" s="35">
        <v>0</v>
      </c>
      <c r="E34" s="35">
        <v>6600000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24">
        <f t="shared" si="1"/>
        <v>6707220</v>
      </c>
      <c r="T34" s="324">
        <f t="shared" si="0"/>
        <v>6707220</v>
      </c>
      <c r="U34" s="324">
        <f t="shared" si="2"/>
        <v>0</v>
      </c>
      <c r="V34" s="325">
        <v>0</v>
      </c>
      <c r="W34" s="326"/>
      <c r="X34" s="324"/>
      <c r="Y34" s="326"/>
      <c r="Z34" s="326"/>
      <c r="AA34" s="325">
        <v>0</v>
      </c>
      <c r="AB34" s="326"/>
      <c r="AC34" s="324"/>
      <c r="AD34" s="326"/>
      <c r="AE34" s="326"/>
    </row>
    <row r="35" spans="1:32" s="329" customFormat="1" ht="38.25" customHeight="1">
      <c r="A35" s="322" t="s">
        <v>149</v>
      </c>
      <c r="B35" s="323" t="s">
        <v>150</v>
      </c>
      <c r="C35" s="35">
        <f t="shared" ref="C35:R35" si="9">+C36+C37</f>
        <v>0</v>
      </c>
      <c r="D35" s="35">
        <f t="shared" si="9"/>
        <v>0</v>
      </c>
      <c r="E35" s="35">
        <f>+E36+E37</f>
        <v>0</v>
      </c>
      <c r="F35" s="35">
        <f>+F36+F37</f>
        <v>0</v>
      </c>
      <c r="G35" s="35">
        <f t="shared" si="9"/>
        <v>0</v>
      </c>
      <c r="H35" s="35">
        <f t="shared" si="9"/>
        <v>0</v>
      </c>
      <c r="I35" s="35">
        <f t="shared" si="9"/>
        <v>0</v>
      </c>
      <c r="J35" s="35">
        <f t="shared" si="9"/>
        <v>0</v>
      </c>
      <c r="K35" s="35">
        <f t="shared" si="9"/>
        <v>0</v>
      </c>
      <c r="L35" s="35">
        <f t="shared" si="9"/>
        <v>0</v>
      </c>
      <c r="M35" s="35">
        <f t="shared" si="9"/>
        <v>0</v>
      </c>
      <c r="N35" s="35">
        <f t="shared" si="9"/>
        <v>0</v>
      </c>
      <c r="O35" s="35">
        <f t="shared" si="9"/>
        <v>0</v>
      </c>
      <c r="P35" s="35">
        <f t="shared" si="9"/>
        <v>0</v>
      </c>
      <c r="Q35" s="35">
        <f t="shared" si="9"/>
        <v>0</v>
      </c>
      <c r="R35" s="35">
        <f t="shared" si="9"/>
        <v>0</v>
      </c>
      <c r="S35" s="324">
        <f t="shared" si="1"/>
        <v>0</v>
      </c>
      <c r="T35" s="324">
        <f t="shared" si="0"/>
        <v>0</v>
      </c>
      <c r="U35" s="324">
        <f t="shared" si="2"/>
        <v>0</v>
      </c>
      <c r="V35" s="325"/>
      <c r="W35" s="326"/>
      <c r="X35" s="324"/>
      <c r="Y35" s="326"/>
      <c r="Z35" s="326"/>
      <c r="AA35" s="325"/>
      <c r="AB35" s="326"/>
      <c r="AC35" s="324"/>
      <c r="AD35" s="326"/>
      <c r="AE35" s="326"/>
    </row>
    <row r="36" spans="1:32" s="329" customFormat="1" ht="45" customHeight="1">
      <c r="A36" s="322" t="s">
        <v>25</v>
      </c>
      <c r="B36" s="323" t="s">
        <v>514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4">
        <f t="shared" si="1"/>
        <v>0</v>
      </c>
      <c r="T36" s="324">
        <f t="shared" si="0"/>
        <v>0</v>
      </c>
      <c r="U36" s="324">
        <f t="shared" si="2"/>
        <v>0</v>
      </c>
      <c r="V36" s="325">
        <v>1</v>
      </c>
      <c r="W36" s="326">
        <f>+S36</f>
        <v>0</v>
      </c>
      <c r="X36" s="327">
        <f t="shared" si="3"/>
        <v>0</v>
      </c>
      <c r="Y36" s="326">
        <f>+U36</f>
        <v>0</v>
      </c>
      <c r="Z36" s="327">
        <f t="shared" si="6"/>
        <v>0</v>
      </c>
      <c r="AA36" s="325">
        <v>1</v>
      </c>
      <c r="AB36" s="326">
        <f>+S36</f>
        <v>0</v>
      </c>
      <c r="AC36" s="327">
        <f t="shared" si="4"/>
        <v>0</v>
      </c>
      <c r="AD36" s="326">
        <f>+U36</f>
        <v>0</v>
      </c>
      <c r="AE36" s="327">
        <f t="shared" si="7"/>
        <v>0</v>
      </c>
    </row>
    <row r="37" spans="1:32" s="329" customFormat="1" ht="38.25" customHeight="1">
      <c r="A37" s="322" t="s">
        <v>528</v>
      </c>
      <c r="B37" s="323" t="s">
        <v>26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4">
        <f t="shared" si="1"/>
        <v>0</v>
      </c>
      <c r="T37" s="324">
        <f t="shared" si="0"/>
        <v>0</v>
      </c>
      <c r="U37" s="324">
        <f t="shared" si="2"/>
        <v>0</v>
      </c>
      <c r="V37" s="325">
        <v>0</v>
      </c>
      <c r="W37" s="326"/>
      <c r="X37" s="324"/>
      <c r="Y37" s="326"/>
      <c r="Z37" s="326"/>
      <c r="AA37" s="325">
        <v>0</v>
      </c>
      <c r="AB37" s="326"/>
      <c r="AC37" s="324"/>
      <c r="AD37" s="326"/>
      <c r="AE37" s="326"/>
    </row>
    <row r="38" spans="1:32" s="329" customFormat="1" ht="38.25" customHeight="1">
      <c r="A38" s="322" t="s">
        <v>151</v>
      </c>
      <c r="B38" s="323" t="s">
        <v>372</v>
      </c>
      <c r="C38" s="35">
        <v>166807725</v>
      </c>
      <c r="D38" s="35">
        <v>0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24">
        <f t="shared" si="1"/>
        <v>166807725</v>
      </c>
      <c r="T38" s="324">
        <f t="shared" si="0"/>
        <v>166807725</v>
      </c>
      <c r="U38" s="324">
        <f t="shared" si="2"/>
        <v>0</v>
      </c>
      <c r="V38" s="325">
        <v>0</v>
      </c>
      <c r="W38" s="326"/>
      <c r="X38" s="324"/>
      <c r="Y38" s="326"/>
      <c r="Z38" s="326"/>
      <c r="AA38" s="325">
        <v>0</v>
      </c>
      <c r="AB38" s="326"/>
      <c r="AC38" s="324"/>
      <c r="AD38" s="326"/>
      <c r="AE38" s="326"/>
    </row>
    <row r="39" spans="1:32" s="329" customFormat="1" ht="38.25" customHeight="1">
      <c r="A39" s="322" t="s">
        <v>153</v>
      </c>
      <c r="B39" s="323" t="s">
        <v>373</v>
      </c>
      <c r="C39" s="35">
        <v>1005589</v>
      </c>
      <c r="D39" s="35">
        <v>0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24">
        <f t="shared" si="1"/>
        <v>1005589</v>
      </c>
      <c r="T39" s="324">
        <f t="shared" si="0"/>
        <v>1005589</v>
      </c>
      <c r="U39" s="324">
        <f t="shared" si="2"/>
        <v>0</v>
      </c>
      <c r="V39" s="325">
        <v>0</v>
      </c>
      <c r="W39" s="326"/>
      <c r="X39" s="324"/>
      <c r="Y39" s="326"/>
      <c r="Z39" s="326"/>
      <c r="AA39" s="325">
        <v>0</v>
      </c>
      <c r="AB39" s="326"/>
      <c r="AC39" s="324"/>
      <c r="AD39" s="326"/>
      <c r="AE39" s="326"/>
    </row>
    <row r="40" spans="1:32" s="329" customFormat="1" ht="38.25" customHeight="1">
      <c r="A40" s="322" t="s">
        <v>154</v>
      </c>
      <c r="B40" s="323" t="s">
        <v>155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4">
        <f t="shared" si="1"/>
        <v>0</v>
      </c>
      <c r="T40" s="324">
        <f t="shared" si="0"/>
        <v>0</v>
      </c>
      <c r="U40" s="324">
        <f t="shared" si="2"/>
        <v>0</v>
      </c>
      <c r="V40" s="325">
        <v>0</v>
      </c>
      <c r="W40" s="326"/>
      <c r="X40" s="324"/>
      <c r="Y40" s="326"/>
      <c r="Z40" s="326"/>
      <c r="AA40" s="325">
        <v>0</v>
      </c>
      <c r="AB40" s="326"/>
      <c r="AC40" s="324"/>
      <c r="AD40" s="326"/>
      <c r="AE40" s="326"/>
    </row>
    <row r="41" spans="1:32" s="329" customFormat="1" ht="38.25" customHeight="1">
      <c r="A41" s="322" t="s">
        <v>156</v>
      </c>
      <c r="B41" s="323" t="s">
        <v>157</v>
      </c>
      <c r="C41" s="35"/>
      <c r="D41" s="362"/>
      <c r="E41" s="35"/>
      <c r="F41" s="362"/>
      <c r="G41" s="35"/>
      <c r="H41" s="362"/>
      <c r="I41" s="35"/>
      <c r="J41" s="362"/>
      <c r="K41" s="35"/>
      <c r="L41" s="362"/>
      <c r="M41" s="35"/>
      <c r="N41" s="362"/>
      <c r="O41" s="35"/>
      <c r="P41" s="362"/>
      <c r="Q41" s="35"/>
      <c r="R41" s="362"/>
      <c r="S41" s="324">
        <f t="shared" si="1"/>
        <v>0</v>
      </c>
      <c r="T41" s="324">
        <f t="shared" si="0"/>
        <v>0</v>
      </c>
      <c r="U41" s="324">
        <f t="shared" si="2"/>
        <v>0</v>
      </c>
      <c r="V41" s="325">
        <v>0</v>
      </c>
      <c r="W41" s="326"/>
      <c r="X41" s="324"/>
      <c r="Y41" s="326"/>
      <c r="Z41" s="326"/>
      <c r="AA41" s="325">
        <v>0</v>
      </c>
      <c r="AB41" s="326"/>
      <c r="AC41" s="324"/>
      <c r="AD41" s="326"/>
      <c r="AE41" s="326"/>
    </row>
    <row r="42" spans="1:32" s="329" customFormat="1" ht="38.25" customHeight="1">
      <c r="A42" s="322" t="s">
        <v>158</v>
      </c>
      <c r="B42" s="323" t="s">
        <v>159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4">
        <f t="shared" si="1"/>
        <v>0</v>
      </c>
      <c r="T42" s="324">
        <f t="shared" si="0"/>
        <v>0</v>
      </c>
      <c r="U42" s="324">
        <f t="shared" si="2"/>
        <v>0</v>
      </c>
      <c r="V42" s="325">
        <v>0</v>
      </c>
      <c r="W42" s="326"/>
      <c r="X42" s="324"/>
      <c r="Y42" s="326"/>
      <c r="Z42" s="326"/>
      <c r="AA42" s="325">
        <v>0</v>
      </c>
      <c r="AB42" s="326"/>
      <c r="AC42" s="324"/>
      <c r="AD42" s="326"/>
      <c r="AE42" s="326"/>
    </row>
    <row r="43" spans="1:32" s="329" customFormat="1" ht="38.25" customHeight="1">
      <c r="A43" s="322" t="s">
        <v>160</v>
      </c>
      <c r="B43" s="323" t="s">
        <v>161</v>
      </c>
      <c r="C43" s="35">
        <v>172216703</v>
      </c>
      <c r="D43" s="35">
        <v>64152539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24">
        <f t="shared" si="1"/>
        <v>172216703</v>
      </c>
      <c r="T43" s="324">
        <f t="shared" si="0"/>
        <v>108064164</v>
      </c>
      <c r="U43" s="324">
        <f t="shared" si="2"/>
        <v>64152539</v>
      </c>
      <c r="V43" s="325">
        <v>0.3</v>
      </c>
      <c r="W43" s="326">
        <f>+C43+E43+G43</f>
        <v>172216703</v>
      </c>
      <c r="X43" s="324">
        <f t="shared" si="3"/>
        <v>51665010.899999999</v>
      </c>
      <c r="Y43" s="326">
        <f>+D43+F43+H43</f>
        <v>64152539</v>
      </c>
      <c r="Z43" s="326">
        <f t="shared" si="6"/>
        <v>19245761.699999999</v>
      </c>
      <c r="AA43" s="325">
        <v>0.5</v>
      </c>
      <c r="AB43" s="326">
        <f>+E43+G43</f>
        <v>0</v>
      </c>
      <c r="AC43" s="324">
        <f>+AB43*AA43</f>
        <v>0</v>
      </c>
      <c r="AD43" s="326">
        <f>+F43+H43</f>
        <v>0</v>
      </c>
      <c r="AE43" s="326">
        <f>+AD43*AA43</f>
        <v>0</v>
      </c>
    </row>
    <row r="44" spans="1:32" s="329" customFormat="1" ht="38.25" customHeight="1">
      <c r="A44" s="322" t="s">
        <v>162</v>
      </c>
      <c r="B44" s="323" t="s">
        <v>163</v>
      </c>
      <c r="C44" s="35">
        <v>119094004</v>
      </c>
      <c r="D44" s="35">
        <v>56830478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4">
        <f t="shared" si="1"/>
        <v>119094004</v>
      </c>
      <c r="T44" s="324">
        <f t="shared" si="0"/>
        <v>62263526</v>
      </c>
      <c r="U44" s="324">
        <f t="shared" si="2"/>
        <v>56830478</v>
      </c>
      <c r="V44" s="325">
        <v>0</v>
      </c>
      <c r="W44" s="326"/>
      <c r="X44" s="324"/>
      <c r="Y44" s="326"/>
      <c r="Z44" s="326"/>
      <c r="AA44" s="325">
        <v>0</v>
      </c>
      <c r="AB44" s="326"/>
      <c r="AC44" s="324"/>
      <c r="AD44" s="326"/>
      <c r="AE44" s="326"/>
    </row>
    <row r="45" spans="1:32" s="328" customFormat="1" ht="45" customHeight="1">
      <c r="A45" s="476" t="s">
        <v>164</v>
      </c>
      <c r="B45" s="477" t="s">
        <v>165</v>
      </c>
      <c r="C45" s="338">
        <f>SUM(C7:C44)-C8-C11-C15-C19-C21-C32-C35</f>
        <v>955285674</v>
      </c>
      <c r="D45" s="338">
        <f t="shared" ref="D45:R45" si="10">SUM(D7:D44)-D8-D11-D15-D19-D21-D32-D35</f>
        <v>440477152</v>
      </c>
      <c r="E45" s="338">
        <f t="shared" si="10"/>
        <v>56074775</v>
      </c>
      <c r="F45" s="338">
        <f t="shared" si="10"/>
        <v>16734434</v>
      </c>
      <c r="G45" s="338">
        <f t="shared" si="10"/>
        <v>225885430</v>
      </c>
      <c r="H45" s="338">
        <f t="shared" si="10"/>
        <v>70066368</v>
      </c>
      <c r="I45" s="338">
        <f t="shared" si="10"/>
        <v>603231424</v>
      </c>
      <c r="J45" s="338">
        <f t="shared" si="10"/>
        <v>142507887</v>
      </c>
      <c r="K45" s="338">
        <f t="shared" si="10"/>
        <v>722576295</v>
      </c>
      <c r="L45" s="338">
        <f t="shared" si="10"/>
        <v>180845900</v>
      </c>
      <c r="M45" s="338">
        <f t="shared" si="10"/>
        <v>1324905096</v>
      </c>
      <c r="N45" s="338">
        <f t="shared" si="10"/>
        <v>376528262</v>
      </c>
      <c r="O45" s="338">
        <f t="shared" si="10"/>
        <v>1593491502</v>
      </c>
      <c r="P45" s="338">
        <f t="shared" si="10"/>
        <v>439280996</v>
      </c>
      <c r="Q45" s="338">
        <f t="shared" si="10"/>
        <v>1620683709</v>
      </c>
      <c r="R45" s="338">
        <f t="shared" si="10"/>
        <v>815554986</v>
      </c>
      <c r="S45" s="338">
        <f t="shared" si="1"/>
        <v>7102133905</v>
      </c>
      <c r="T45" s="338">
        <f t="shared" si="0"/>
        <v>4620137920</v>
      </c>
      <c r="U45" s="338">
        <f t="shared" si="2"/>
        <v>2481995985</v>
      </c>
      <c r="V45" s="338"/>
      <c r="W45" s="338"/>
      <c r="X45" s="338">
        <f>SUM(X7:X44)-X11-X35</f>
        <v>772995590.29999995</v>
      </c>
      <c r="Y45" s="338"/>
      <c r="Z45" s="338">
        <f>SUM(Z7:Z44)-Z11-Z35</f>
        <v>361871066.30000001</v>
      </c>
      <c r="AA45" s="338"/>
      <c r="AB45" s="338"/>
      <c r="AC45" s="338">
        <f>SUM(AC7:AC44)-AC11-AC35</f>
        <v>737534676.5</v>
      </c>
      <c r="AD45" s="338"/>
      <c r="AE45" s="338">
        <f>SUM(AE7:AE44)-AE11-AE35</f>
        <v>346723257</v>
      </c>
    </row>
    <row r="46" spans="1:32" s="547" customFormat="1" ht="14.25">
      <c r="A46" s="445"/>
      <c r="B46" s="551" t="s">
        <v>545</v>
      </c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485"/>
      <c r="W46" s="371"/>
      <c r="X46" s="362"/>
      <c r="Y46" s="371"/>
      <c r="Z46" s="362"/>
      <c r="AA46" s="485"/>
      <c r="AB46" s="371"/>
      <c r="AC46" s="371"/>
      <c r="AD46" s="371"/>
      <c r="AE46" s="371"/>
      <c r="AF46" s="550"/>
    </row>
    <row r="47" spans="1:32" s="375" customFormat="1" ht="25.5" customHeight="1">
      <c r="A47" s="544"/>
      <c r="B47" s="323" t="s">
        <v>546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24">
        <f>+C47+E47+G47+I47+K47+M47+O47+Q47</f>
        <v>0</v>
      </c>
      <c r="T47" s="324">
        <f>+S47-U47</f>
        <v>0</v>
      </c>
      <c r="U47" s="324">
        <f>+D47+F47+H47+J47+L47+N47+P47+R47</f>
        <v>0</v>
      </c>
      <c r="V47" s="485"/>
      <c r="W47" s="371"/>
      <c r="X47" s="362"/>
      <c r="Y47" s="371"/>
      <c r="Z47" s="362"/>
      <c r="AA47" s="485"/>
      <c r="AB47" s="371"/>
      <c r="AC47" s="371"/>
      <c r="AD47" s="371"/>
      <c r="AE47" s="371"/>
      <c r="AF47" s="395"/>
    </row>
    <row r="48" spans="1:32" s="375" customFormat="1" ht="25.5" customHeight="1">
      <c r="A48" s="544"/>
      <c r="B48" s="323" t="s">
        <v>547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24">
        <f>+C48+E48+G48+I48+K48+M48+O48+Q48</f>
        <v>0</v>
      </c>
      <c r="T48" s="324">
        <f>+S48-U48</f>
        <v>0</v>
      </c>
      <c r="U48" s="324">
        <f>+D48+F48+H48+J48+L48+N48+P48+R48</f>
        <v>0</v>
      </c>
      <c r="V48" s="485"/>
      <c r="W48" s="371"/>
      <c r="X48" s="362"/>
      <c r="Y48" s="371"/>
      <c r="Z48" s="362"/>
      <c r="AA48" s="485"/>
      <c r="AB48" s="371"/>
      <c r="AC48" s="371"/>
      <c r="AD48" s="371"/>
      <c r="AE48" s="371"/>
      <c r="AF48" s="395"/>
    </row>
    <row r="49" spans="1:32" s="375" customFormat="1" ht="25.5" customHeight="1">
      <c r="A49" s="544"/>
      <c r="B49" s="323" t="s">
        <v>548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24">
        <f>+C49+E49+G49+I49+K49+M49+O49+Q49</f>
        <v>0</v>
      </c>
      <c r="T49" s="324">
        <f>+S49-U49</f>
        <v>0</v>
      </c>
      <c r="U49" s="324">
        <f>+D49+F49+H49+J49+L49+N49+P49+R49</f>
        <v>0</v>
      </c>
      <c r="V49" s="485"/>
      <c r="W49" s="371"/>
      <c r="X49" s="362"/>
      <c r="Y49" s="371"/>
      <c r="Z49" s="362"/>
      <c r="AA49" s="485"/>
      <c r="AB49" s="371"/>
      <c r="AC49" s="371"/>
      <c r="AD49" s="371"/>
      <c r="AE49" s="371"/>
      <c r="AF49" s="395"/>
    </row>
    <row r="50" spans="1:32" s="375" customFormat="1" ht="38.25" customHeight="1">
      <c r="A50" s="544"/>
      <c r="B50" s="323" t="s">
        <v>549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4">
        <f>+C50+E50+G50+I50+K50+M50+O50+Q50</f>
        <v>0</v>
      </c>
      <c r="T50" s="324">
        <f>+S50-U50</f>
        <v>0</v>
      </c>
      <c r="U50" s="324">
        <f>+D50+F50+H50+J50+L50+N50+P50+R50</f>
        <v>0</v>
      </c>
      <c r="V50" s="485"/>
      <c r="W50" s="371"/>
      <c r="X50" s="362"/>
      <c r="Y50" s="371"/>
      <c r="Z50" s="362"/>
      <c r="AA50" s="485"/>
      <c r="AB50" s="371"/>
      <c r="AC50" s="371"/>
      <c r="AD50" s="371"/>
      <c r="AE50" s="371"/>
      <c r="AF50" s="395"/>
    </row>
    <row r="51" spans="1:32" s="367" customFormat="1" ht="10.5" customHeight="1">
      <c r="A51" s="480"/>
      <c r="B51" s="481"/>
      <c r="C51" s="487"/>
      <c r="D51" s="487"/>
      <c r="E51" s="487"/>
      <c r="F51" s="487"/>
      <c r="G51" s="487"/>
      <c r="H51" s="487"/>
      <c r="I51" s="487"/>
      <c r="J51" s="487"/>
      <c r="K51" s="487"/>
      <c r="L51" s="487"/>
      <c r="M51" s="487"/>
      <c r="N51" s="487"/>
      <c r="O51" s="487"/>
      <c r="P51" s="487"/>
      <c r="Q51" s="487"/>
      <c r="R51" s="487"/>
      <c r="S51" s="487"/>
      <c r="T51" s="487"/>
      <c r="U51" s="487"/>
      <c r="V51" s="488"/>
      <c r="W51" s="489"/>
      <c r="X51" s="490"/>
      <c r="Y51" s="489"/>
      <c r="Z51" s="490"/>
      <c r="AA51" s="488"/>
      <c r="AB51" s="489"/>
      <c r="AC51" s="490"/>
      <c r="AD51" s="489"/>
      <c r="AE51" s="490"/>
    </row>
    <row r="52" spans="1:32" s="367" customFormat="1">
      <c r="A52" s="482"/>
      <c r="B52" s="483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8"/>
      <c r="W52" s="363"/>
      <c r="X52" s="361"/>
      <c r="Y52" s="363"/>
      <c r="Z52" s="361"/>
      <c r="AA52" s="368"/>
      <c r="AB52" s="363"/>
      <c r="AC52" s="361"/>
      <c r="AD52" s="363"/>
      <c r="AE52" s="361"/>
    </row>
    <row r="53" spans="1:32" s="367" customFormat="1">
      <c r="A53" s="482"/>
      <c r="B53" s="484" t="s">
        <v>4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  <c r="S53" s="364"/>
      <c r="T53" s="364"/>
      <c r="U53" s="364"/>
      <c r="V53" s="368"/>
      <c r="W53" s="363"/>
      <c r="X53" s="361"/>
      <c r="Y53" s="363"/>
      <c r="Z53" s="361"/>
      <c r="AA53" s="368"/>
      <c r="AB53" s="363"/>
      <c r="AC53" s="361"/>
      <c r="AD53" s="363"/>
      <c r="AE53" s="361"/>
    </row>
    <row r="54" spans="1:32" s="367" customFormat="1">
      <c r="A54" s="482"/>
      <c r="B54" s="48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  <c r="S54" s="364"/>
      <c r="T54" s="364"/>
      <c r="U54" s="364"/>
      <c r="V54" s="368"/>
      <c r="W54" s="363"/>
      <c r="X54" s="361"/>
      <c r="Y54" s="363"/>
      <c r="Z54" s="361"/>
      <c r="AA54" s="368"/>
      <c r="AB54" s="363"/>
      <c r="AC54" s="361"/>
      <c r="AD54" s="363"/>
      <c r="AE54" s="361"/>
    </row>
    <row r="55" spans="1:32" ht="20.25" customHeight="1">
      <c r="B55" s="484" t="s">
        <v>5</v>
      </c>
      <c r="W55" s="491"/>
      <c r="X55" s="492"/>
      <c r="Y55" s="491"/>
      <c r="Z55" s="492"/>
      <c r="AA55" s="493"/>
      <c r="AB55" s="491"/>
      <c r="AC55" s="492"/>
      <c r="AD55" s="491"/>
      <c r="AE55" s="492"/>
    </row>
    <row r="56" spans="1:32">
      <c r="W56" s="561" t="s">
        <v>520</v>
      </c>
      <c r="X56" s="561"/>
      <c r="Y56" s="561"/>
      <c r="Z56" s="561"/>
      <c r="AA56" s="493"/>
      <c r="AB56" s="561" t="s">
        <v>521</v>
      </c>
      <c r="AC56" s="561"/>
      <c r="AD56" s="561"/>
      <c r="AE56" s="561"/>
    </row>
    <row r="57" spans="1:32" ht="15">
      <c r="W57" s="494">
        <f>+Balance!C45</f>
        <v>7102133905</v>
      </c>
      <c r="X57" s="494">
        <f>+Balance!D45</f>
        <v>4620137920</v>
      </c>
      <c r="Y57" s="494">
        <f>+Balance!E45</f>
        <v>2481995985</v>
      </c>
      <c r="Z57" s="495"/>
      <c r="AA57" s="493"/>
      <c r="AB57" s="494">
        <f>+Balance!C45</f>
        <v>7102133905</v>
      </c>
      <c r="AC57" s="494">
        <f>+Balance!D45</f>
        <v>4620137920</v>
      </c>
      <c r="AD57" s="491">
        <f>+Balance!E45</f>
        <v>2481995985</v>
      </c>
      <c r="AE57" s="492"/>
    </row>
    <row r="58" spans="1:32" ht="15">
      <c r="W58" s="496" t="s">
        <v>83</v>
      </c>
      <c r="X58" s="496"/>
      <c r="Y58" s="497" t="s">
        <v>519</v>
      </c>
      <c r="Z58" s="498"/>
      <c r="AA58" s="493"/>
      <c r="AB58" s="499" t="s">
        <v>83</v>
      </c>
      <c r="AC58" s="499"/>
      <c r="AD58" s="500" t="s">
        <v>519</v>
      </c>
      <c r="AE58" s="501"/>
    </row>
    <row r="59" spans="1:32">
      <c r="W59" s="502" t="s">
        <v>518</v>
      </c>
      <c r="X59" s="503">
        <f>+X45-X60</f>
        <v>248074756.29999995</v>
      </c>
      <c r="Y59" s="502" t="s">
        <v>518</v>
      </c>
      <c r="Z59" s="503">
        <f>+Z45-Z60</f>
        <v>103473580.30000001</v>
      </c>
      <c r="AA59" s="493"/>
      <c r="AB59" s="502" t="s">
        <v>518</v>
      </c>
      <c r="AC59" s="503">
        <f>+AC45-AC60</f>
        <v>212613842.5</v>
      </c>
      <c r="AD59" s="502" t="s">
        <v>518</v>
      </c>
      <c r="AE59" s="503">
        <f>+AE45-AE60</f>
        <v>88325771</v>
      </c>
    </row>
    <row r="60" spans="1:32" ht="25.5">
      <c r="W60" s="502" t="s">
        <v>28</v>
      </c>
      <c r="X60" s="503">
        <f>+X7+X9+X12+X13+X15+X20+X22+X23+X24+X36</f>
        <v>524920834</v>
      </c>
      <c r="Y60" s="502" t="s">
        <v>28</v>
      </c>
      <c r="Z60" s="503">
        <f>+Z7+Z9+Z12+Z13+Z15+Z20+Z22+Z23+Z24+Z36</f>
        <v>258397486</v>
      </c>
      <c r="AA60" s="493"/>
      <c r="AB60" s="502" t="s">
        <v>28</v>
      </c>
      <c r="AC60" s="503">
        <f>+AC7+AC9+AC12+AC13+AC15+AC20+AC22+AC23+AC24+AC36</f>
        <v>524920834</v>
      </c>
      <c r="AD60" s="502" t="s">
        <v>28</v>
      </c>
      <c r="AE60" s="503">
        <f>+AE7+AE9+AE12+AE13+AE15+AE20+AE22+AE23+AE24+AE36</f>
        <v>258397486</v>
      </c>
    </row>
    <row r="61" spans="1:32" ht="25.5">
      <c r="W61" s="502" t="s">
        <v>434</v>
      </c>
      <c r="X61" s="503">
        <f>+X63-X64</f>
        <v>78719184.150000006</v>
      </c>
      <c r="Y61" s="502" t="s">
        <v>434</v>
      </c>
      <c r="Z61" s="503">
        <f>+Z63-Z64</f>
        <v>16981078.350000001</v>
      </c>
      <c r="AA61" s="493"/>
      <c r="AB61" s="502" t="s">
        <v>434</v>
      </c>
      <c r="AC61" s="503">
        <f>+AC63-AC66</f>
        <v>770012416.5</v>
      </c>
      <c r="AD61" s="502" t="s">
        <v>434</v>
      </c>
      <c r="AE61" s="503">
        <f>+AE63-AE66</f>
        <v>366151825.34999996</v>
      </c>
    </row>
    <row r="62" spans="1:32">
      <c r="W62" s="501"/>
      <c r="X62" s="504"/>
      <c r="Y62" s="501"/>
      <c r="Z62" s="504"/>
      <c r="AA62" s="505"/>
      <c r="AB62" s="506"/>
      <c r="AC62" s="505"/>
      <c r="AD62" s="506"/>
      <c r="AE62" s="505"/>
    </row>
    <row r="63" spans="1:32">
      <c r="W63" s="507" t="s">
        <v>435</v>
      </c>
      <c r="X63" s="508">
        <f>+'Bank Liabilities Analysis'!X39</f>
        <v>314876736.60000002</v>
      </c>
      <c r="Y63" s="507" t="s">
        <v>435</v>
      </c>
      <c r="Z63" s="508">
        <f>+'Bank Liabilities Analysis'!Z39</f>
        <v>67924313.400000006</v>
      </c>
      <c r="AA63" s="505"/>
      <c r="AB63" s="524" t="s">
        <v>524</v>
      </c>
      <c r="AC63" s="525">
        <f>+'Bank Liabilities Analysis'!AB39+'Liquidity Analysis'!C43</f>
        <v>982626259</v>
      </c>
      <c r="AD63" s="524" t="s">
        <v>435</v>
      </c>
      <c r="AE63" s="525">
        <f>+'Bank Liabilities Analysis'!AC39+'Liquidity Analysis'!E43</f>
        <v>454477596.34999996</v>
      </c>
    </row>
    <row r="64" spans="1:32" ht="25.5">
      <c r="W64" s="507" t="s">
        <v>436</v>
      </c>
      <c r="X64" s="508">
        <f>IF(X59&gt;(X63*0.75),X63*0.75,X59)</f>
        <v>236157552.45000002</v>
      </c>
      <c r="Y64" s="507" t="s">
        <v>436</v>
      </c>
      <c r="Z64" s="508">
        <f>IF(Z59&gt;(Z63*0.75),Z63*0.75,Z59)</f>
        <v>50943235.050000004</v>
      </c>
      <c r="AA64" s="505"/>
      <c r="AB64" s="509" t="s">
        <v>525</v>
      </c>
      <c r="AC64" s="503">
        <f>+'Liquidity Analysis'!C43</f>
        <v>135582864</v>
      </c>
      <c r="AD64" s="509" t="s">
        <v>525</v>
      </c>
      <c r="AE64" s="503">
        <f>+'Liquidity Analysis'!E43</f>
        <v>89703465</v>
      </c>
    </row>
    <row r="65" spans="23:31">
      <c r="W65" s="491"/>
      <c r="X65" s="492"/>
      <c r="Y65" s="491"/>
      <c r="Z65" s="492"/>
      <c r="AA65" s="505"/>
      <c r="AB65" s="509"/>
      <c r="AC65" s="503"/>
      <c r="AD65" s="509"/>
      <c r="AE65" s="503"/>
    </row>
    <row r="66" spans="23:31" ht="25.5">
      <c r="W66" s="491"/>
      <c r="X66" s="492"/>
      <c r="Y66" s="491"/>
      <c r="Z66" s="492"/>
      <c r="AA66" s="505"/>
      <c r="AB66" s="509" t="s">
        <v>436</v>
      </c>
      <c r="AC66" s="503">
        <f>IF(AC59&gt;(AC63*0.75),AC63*0.75,AC59)</f>
        <v>212613842.5</v>
      </c>
      <c r="AD66" s="509" t="s">
        <v>436</v>
      </c>
      <c r="AE66" s="503">
        <f>IF(AE59&gt;(AE63*0.75),AE63*0.75,AE59)</f>
        <v>88325771</v>
      </c>
    </row>
    <row r="67" spans="23:31">
      <c r="W67" s="491"/>
      <c r="X67" s="492"/>
      <c r="Y67" s="491"/>
      <c r="Z67" s="492"/>
      <c r="AA67" s="493"/>
      <c r="AB67" s="491"/>
      <c r="AC67" s="492"/>
      <c r="AD67" s="491"/>
      <c r="AE67" s="492"/>
    </row>
    <row r="68" spans="23:31">
      <c r="W68" s="491"/>
      <c r="X68" s="492"/>
      <c r="Y68" s="491"/>
      <c r="Z68" s="492"/>
      <c r="AA68" s="493"/>
      <c r="AB68" s="491"/>
      <c r="AC68" s="492"/>
      <c r="AD68" s="491"/>
      <c r="AE68" s="492"/>
    </row>
    <row r="69" spans="23:31">
      <c r="W69" s="491"/>
      <c r="X69" s="492"/>
      <c r="Y69" s="491"/>
      <c r="Z69" s="492"/>
      <c r="AA69" s="493"/>
      <c r="AB69" s="491"/>
      <c r="AC69" s="492"/>
      <c r="AD69" s="491"/>
      <c r="AE69" s="492"/>
    </row>
  </sheetData>
  <sheetProtection password="CACA" sheet="1" objects="1" scenarios="1"/>
  <mergeCells count="19">
    <mergeCell ref="Q4:R4"/>
    <mergeCell ref="C3:R3"/>
    <mergeCell ref="I4:J4"/>
    <mergeCell ref="O4:P4"/>
    <mergeCell ref="E4:F4"/>
    <mergeCell ref="M4:N4"/>
    <mergeCell ref="A3:A5"/>
    <mergeCell ref="B3:B5"/>
    <mergeCell ref="C4:D4"/>
    <mergeCell ref="G4:H4"/>
    <mergeCell ref="K4:L4"/>
    <mergeCell ref="AB56:AE56"/>
    <mergeCell ref="W56:Z56"/>
    <mergeCell ref="X1:Z1"/>
    <mergeCell ref="S3:S5"/>
    <mergeCell ref="T3:U4"/>
    <mergeCell ref="AC1:AE1"/>
    <mergeCell ref="AA3:AE4"/>
    <mergeCell ref="V3:Z4"/>
  </mergeCells>
  <phoneticPr fontId="14" type="noConversion"/>
  <conditionalFormatting sqref="F7:F8">
    <cfRule type="cellIs" dxfId="360" priority="128" operator="greaterThan">
      <formula>E7</formula>
    </cfRule>
  </conditionalFormatting>
  <conditionalFormatting sqref="D42 F42 D19 F7:F15 F19 F26:F30 D26:D30 D35:D37 F35:F37 F40 D40">
    <cfRule type="cellIs" dxfId="359" priority="127" operator="greaterThan">
      <formula>C7</formula>
    </cfRule>
  </conditionalFormatting>
  <conditionalFormatting sqref="H7:H8">
    <cfRule type="cellIs" dxfId="358" priority="126" operator="greaterThan">
      <formula>G7</formula>
    </cfRule>
  </conditionalFormatting>
  <conditionalFormatting sqref="H42 H7:H15 H19 H26:H30 H35:H37 H40">
    <cfRule type="cellIs" dxfId="357" priority="125" operator="greaterThan">
      <formula>G7</formula>
    </cfRule>
  </conditionalFormatting>
  <conditionalFormatting sqref="J7:J8">
    <cfRule type="cellIs" dxfId="356" priority="124" operator="greaterThan">
      <formula>I7</formula>
    </cfRule>
  </conditionalFormatting>
  <conditionalFormatting sqref="J42 J7:J15 J19 J26:J30 J35:J37 J40">
    <cfRule type="cellIs" dxfId="355" priority="123" operator="greaterThan">
      <formula>I7</formula>
    </cfRule>
  </conditionalFormatting>
  <conditionalFormatting sqref="L7:L8">
    <cfRule type="cellIs" dxfId="354" priority="122" operator="greaterThan">
      <formula>K7</formula>
    </cfRule>
  </conditionalFormatting>
  <conditionalFormatting sqref="L42 L7:L15 L19 L26:L30 L35:L37 L40">
    <cfRule type="cellIs" dxfId="353" priority="121" operator="greaterThan">
      <formula>K7</formula>
    </cfRule>
  </conditionalFormatting>
  <conditionalFormatting sqref="N7:N8">
    <cfRule type="cellIs" dxfId="352" priority="120" operator="greaterThan">
      <formula>M7</formula>
    </cfRule>
  </conditionalFormatting>
  <conditionalFormatting sqref="N7:N15 N42 N26:N30 N19 N35:N37 N40">
    <cfRule type="cellIs" dxfId="351" priority="119" operator="greaterThan">
      <formula>M7</formula>
    </cfRule>
  </conditionalFormatting>
  <conditionalFormatting sqref="P7:P8">
    <cfRule type="cellIs" dxfId="350" priority="118" operator="greaterThan">
      <formula>O7</formula>
    </cfRule>
  </conditionalFormatting>
  <conditionalFormatting sqref="P42 P7:P15 P19 P26:P30 P35:P37 P40">
    <cfRule type="cellIs" dxfId="349" priority="117" operator="greaterThan">
      <formula>O7</formula>
    </cfRule>
  </conditionalFormatting>
  <conditionalFormatting sqref="R7:R8">
    <cfRule type="cellIs" dxfId="348" priority="116" operator="greaterThan">
      <formula>Q7</formula>
    </cfRule>
  </conditionalFormatting>
  <conditionalFormatting sqref="R42 R7:R15 R19 R26:R30 R35:R37 R40">
    <cfRule type="cellIs" dxfId="347" priority="115" operator="greaterThan">
      <formula>Q7</formula>
    </cfRule>
  </conditionalFormatting>
  <conditionalFormatting sqref="H12:H15 J12:J15 L12:L15 N12:N15 P12:P15 R12:R15 F12:F15">
    <cfRule type="cellIs" dxfId="346" priority="114" operator="greaterThan">
      <formula>E12</formula>
    </cfRule>
  </conditionalFormatting>
  <conditionalFormatting sqref="F7:F8">
    <cfRule type="cellIs" dxfId="345" priority="113" operator="greaterThan">
      <formula>E7</formula>
    </cfRule>
  </conditionalFormatting>
  <conditionalFormatting sqref="F42 F7:F15 F19 F26:F30 F35:F37 F40">
    <cfRule type="cellIs" dxfId="344" priority="112" operator="greaterThan">
      <formula>E7</formula>
    </cfRule>
  </conditionalFormatting>
  <conditionalFormatting sqref="D42 J42 L42 F42 P42 R42 N42 N7:N15 H42 N26:N30 D19 R7:R15 P7:P15 F7:F15 L7:L15 J7:J15 H7:H15 H19 J19 L19 F19 P19 R19 N19 R26:R30 P26:P30 F26:F30 L26:L30 J26:J30 H26:H30 D26:D30 D35:D37 H35:H37 J35:J37 L35:L37 F35:F37 P35:P37 R35:R37 N35:N37 N40 R40 P40 F40 L40 J40 H40 D40">
    <cfRule type="cellIs" dxfId="343" priority="111" operator="greaterThan">
      <formula>C7</formula>
    </cfRule>
  </conditionalFormatting>
  <conditionalFormatting sqref="T45">
    <cfRule type="cellIs" dxfId="342" priority="136" operator="notEqual">
      <formula>$X$57</formula>
    </cfRule>
  </conditionalFormatting>
  <conditionalFormatting sqref="U45">
    <cfRule type="cellIs" dxfId="341" priority="137" operator="notEqual">
      <formula>$Y$57</formula>
    </cfRule>
  </conditionalFormatting>
  <conditionalFormatting sqref="S45">
    <cfRule type="cellIs" dxfId="340" priority="140" operator="notEqual">
      <formula>$W$57</formula>
    </cfRule>
  </conditionalFormatting>
  <conditionalFormatting sqref="C7:C8 C10">
    <cfRule type="cellIs" dxfId="339" priority="93" operator="greaterThan">
      <formula>$C$7</formula>
    </cfRule>
  </conditionalFormatting>
  <conditionalFormatting sqref="D7:D8">
    <cfRule type="cellIs" dxfId="338" priority="92" operator="greaterThan">
      <formula>C7</formula>
    </cfRule>
  </conditionalFormatting>
  <conditionalFormatting sqref="D7:D8 D10">
    <cfRule type="cellIs" dxfId="337" priority="91" operator="greaterThan">
      <formula>C7</formula>
    </cfRule>
  </conditionalFormatting>
  <conditionalFormatting sqref="D7:D8 D10">
    <cfRule type="cellIs" dxfId="336" priority="90" operator="greaterThan">
      <formula>C7</formula>
    </cfRule>
  </conditionalFormatting>
  <conditionalFormatting sqref="D10">
    <cfRule type="cellIs" dxfId="335" priority="89" operator="greaterThan">
      <formula>C10</formula>
    </cfRule>
  </conditionalFormatting>
  <conditionalFormatting sqref="D9">
    <cfRule type="cellIs" dxfId="334" priority="87" operator="greaterThan">
      <formula>C9</formula>
    </cfRule>
  </conditionalFormatting>
  <conditionalFormatting sqref="D9">
    <cfRule type="cellIs" dxfId="333" priority="86" operator="greaterThan">
      <formula>C9</formula>
    </cfRule>
  </conditionalFormatting>
  <conditionalFormatting sqref="D9">
    <cfRule type="cellIs" dxfId="332" priority="85" operator="greaterThan">
      <formula>C9</formula>
    </cfRule>
  </conditionalFormatting>
  <conditionalFormatting sqref="C12">
    <cfRule type="cellIs" dxfId="331" priority="84" operator="greaterThan">
      <formula>$C$7</formula>
    </cfRule>
  </conditionalFormatting>
  <conditionalFormatting sqref="D12:D13">
    <cfRule type="cellIs" dxfId="330" priority="83" operator="greaterThan">
      <formula>C12</formula>
    </cfRule>
  </conditionalFormatting>
  <conditionalFormatting sqref="D13">
    <cfRule type="cellIs" dxfId="329" priority="82" operator="greaterThan">
      <formula>C13</formula>
    </cfRule>
  </conditionalFormatting>
  <conditionalFormatting sqref="D12:D13">
    <cfRule type="cellIs" dxfId="328" priority="81" operator="greaterThan">
      <formula>C12</formula>
    </cfRule>
  </conditionalFormatting>
  <conditionalFormatting sqref="D12">
    <cfRule type="cellIs" dxfId="327" priority="80" operator="greaterThan">
      <formula>C12</formula>
    </cfRule>
  </conditionalFormatting>
  <conditionalFormatting sqref="D12">
    <cfRule type="cellIs" dxfId="326" priority="79" operator="greaterThan">
      <formula>C12</formula>
    </cfRule>
  </conditionalFormatting>
  <conditionalFormatting sqref="D12">
    <cfRule type="cellIs" dxfId="325" priority="78" operator="greaterThan">
      <formula>C12</formula>
    </cfRule>
  </conditionalFormatting>
  <conditionalFormatting sqref="D12">
    <cfRule type="cellIs" dxfId="324" priority="77" operator="greaterThan">
      <formula>C12</formula>
    </cfRule>
  </conditionalFormatting>
  <conditionalFormatting sqref="F16:F18 H16:H18 J16:J18 L16:L18 P16:P18 R16:R18 N16:N18">
    <cfRule type="cellIs" dxfId="323" priority="76" operator="greaterThan">
      <formula>E16</formula>
    </cfRule>
  </conditionalFormatting>
  <conditionalFormatting sqref="D16">
    <cfRule type="cellIs" dxfId="322" priority="75" operator="greaterThan">
      <formula>C16</formula>
    </cfRule>
  </conditionalFormatting>
  <conditionalFormatting sqref="D16">
    <cfRule type="cellIs" dxfId="321" priority="74" operator="greaterThan">
      <formula>C16</formula>
    </cfRule>
  </conditionalFormatting>
  <conditionalFormatting sqref="D17">
    <cfRule type="cellIs" dxfId="320" priority="73" operator="greaterThan">
      <formula>C17</formula>
    </cfRule>
  </conditionalFormatting>
  <conditionalFormatting sqref="D17">
    <cfRule type="cellIs" dxfId="319" priority="72" operator="greaterThan">
      <formula>C17</formula>
    </cfRule>
  </conditionalFormatting>
  <conditionalFormatting sqref="H16 J16 L16 N16 P16 R16">
    <cfRule type="cellIs" dxfId="318" priority="71" operator="greaterThan">
      <formula>G16</formula>
    </cfRule>
  </conditionalFormatting>
  <conditionalFormatting sqref="F16">
    <cfRule type="cellIs" dxfId="317" priority="70" operator="greaterThan">
      <formula>E16</formula>
    </cfRule>
  </conditionalFormatting>
  <conditionalFormatting sqref="F16">
    <cfRule type="cellIs" dxfId="316" priority="69" operator="greaterThan">
      <formula>E16</formula>
    </cfRule>
  </conditionalFormatting>
  <conditionalFormatting sqref="F16">
    <cfRule type="cellIs" dxfId="315" priority="68" operator="greaterThan">
      <formula>E16</formula>
    </cfRule>
  </conditionalFormatting>
  <conditionalFormatting sqref="F16">
    <cfRule type="cellIs" dxfId="314" priority="67" operator="greaterThan">
      <formula>E16</formula>
    </cfRule>
  </conditionalFormatting>
  <conditionalFormatting sqref="H17 J17 L17 N17 P17 R17">
    <cfRule type="cellIs" dxfId="313" priority="66" operator="greaterThan">
      <formula>G17</formula>
    </cfRule>
  </conditionalFormatting>
  <conditionalFormatting sqref="F17">
    <cfRule type="cellIs" dxfId="312" priority="65" operator="greaterThan">
      <formula>E17</formula>
    </cfRule>
  </conditionalFormatting>
  <conditionalFormatting sqref="F17">
    <cfRule type="cellIs" dxfId="311" priority="64" operator="greaterThan">
      <formula>E17</formula>
    </cfRule>
  </conditionalFormatting>
  <conditionalFormatting sqref="F17">
    <cfRule type="cellIs" dxfId="310" priority="63" operator="greaterThan">
      <formula>E17</formula>
    </cfRule>
  </conditionalFormatting>
  <conditionalFormatting sqref="F17">
    <cfRule type="cellIs" dxfId="309" priority="62" operator="greaterThan">
      <formula>E17</formula>
    </cfRule>
  </conditionalFormatting>
  <conditionalFormatting sqref="H18 J18 L18 N18 P18 R18">
    <cfRule type="cellIs" dxfId="308" priority="61" operator="greaterThan">
      <formula>G18</formula>
    </cfRule>
  </conditionalFormatting>
  <conditionalFormatting sqref="F18">
    <cfRule type="cellIs" dxfId="307" priority="60" operator="greaterThan">
      <formula>E18</formula>
    </cfRule>
  </conditionalFormatting>
  <conditionalFormatting sqref="F18">
    <cfRule type="cellIs" dxfId="306" priority="59" operator="greaterThan">
      <formula>E18</formula>
    </cfRule>
  </conditionalFormatting>
  <conditionalFormatting sqref="F18">
    <cfRule type="cellIs" dxfId="305" priority="58" operator="greaterThan">
      <formula>E18</formula>
    </cfRule>
  </conditionalFormatting>
  <conditionalFormatting sqref="F18">
    <cfRule type="cellIs" dxfId="304" priority="57" operator="greaterThan">
      <formula>E18</formula>
    </cfRule>
  </conditionalFormatting>
  <conditionalFormatting sqref="N22:N25 R22:R25 P22:P25 L22:L25 J22:J25 H22:H25 D22:D25 F22:F25">
    <cfRule type="cellIs" dxfId="303" priority="56" operator="greaterThan">
      <formula>C22</formula>
    </cfRule>
  </conditionalFormatting>
  <conditionalFormatting sqref="H25 J25 L25 N25 P25 R25">
    <cfRule type="cellIs" dxfId="302" priority="55" operator="greaterThan">
      <formula>G25</formula>
    </cfRule>
  </conditionalFormatting>
  <conditionalFormatting sqref="F25">
    <cfRule type="cellIs" dxfId="301" priority="54" operator="greaterThan">
      <formula>E25</formula>
    </cfRule>
  </conditionalFormatting>
  <conditionalFormatting sqref="F25">
    <cfRule type="cellIs" dxfId="300" priority="53" operator="greaterThan">
      <formula>E25</formula>
    </cfRule>
  </conditionalFormatting>
  <conditionalFormatting sqref="F25">
    <cfRule type="cellIs" dxfId="299" priority="52" operator="greaterThan">
      <formula>E25</formula>
    </cfRule>
  </conditionalFormatting>
  <conditionalFormatting sqref="F25">
    <cfRule type="cellIs" dxfId="298" priority="51" operator="greaterThan">
      <formula>E25</formula>
    </cfRule>
  </conditionalFormatting>
  <conditionalFormatting sqref="F20:F21 D20:D21 H20:H21 J20:J21 L20:L21 P20:P21 R20:R21 N20:N21">
    <cfRule type="cellIs" dxfId="297" priority="50" operator="greaterThan">
      <formula>C20</formula>
    </cfRule>
  </conditionalFormatting>
  <conditionalFormatting sqref="H20:H21 J20:J21 L20:L21 N20:N21 P20:P21 R20:R21">
    <cfRule type="cellIs" dxfId="296" priority="49" operator="greaterThan">
      <formula>G20</formula>
    </cfRule>
  </conditionalFormatting>
  <conditionalFormatting sqref="F20:F21">
    <cfRule type="cellIs" dxfId="295" priority="48" operator="greaterThan">
      <formula>E20</formula>
    </cfRule>
  </conditionalFormatting>
  <conditionalFormatting sqref="F20:F21">
    <cfRule type="cellIs" dxfId="294" priority="47" operator="greaterThan">
      <formula>E20</formula>
    </cfRule>
  </conditionalFormatting>
  <conditionalFormatting sqref="F20:F21">
    <cfRule type="cellIs" dxfId="293" priority="46" operator="greaterThan">
      <formula>E20</formula>
    </cfRule>
  </conditionalFormatting>
  <conditionalFormatting sqref="F20:F21">
    <cfRule type="cellIs" dxfId="292" priority="45" operator="greaterThan">
      <formula>E20</formula>
    </cfRule>
  </conditionalFormatting>
  <conditionalFormatting sqref="N31:N34 R31:R34 P31:P34 L31:L34 J31:J34 H31:H34 D31:D34 F31:F34">
    <cfRule type="cellIs" dxfId="291" priority="44" operator="greaterThan">
      <formula>C31</formula>
    </cfRule>
  </conditionalFormatting>
  <conditionalFormatting sqref="H33 J33 L33 N33 P33 R33">
    <cfRule type="cellIs" dxfId="290" priority="43" operator="greaterThan">
      <formula>G33</formula>
    </cfRule>
  </conditionalFormatting>
  <conditionalFormatting sqref="F33">
    <cfRule type="cellIs" dxfId="289" priority="42" operator="greaterThan">
      <formula>E33</formula>
    </cfRule>
  </conditionalFormatting>
  <conditionalFormatting sqref="F33">
    <cfRule type="cellIs" dxfId="288" priority="41" operator="greaterThan">
      <formula>E33</formula>
    </cfRule>
  </conditionalFormatting>
  <conditionalFormatting sqref="F33">
    <cfRule type="cellIs" dxfId="287" priority="40" operator="greaterThan">
      <formula>E33</formula>
    </cfRule>
  </conditionalFormatting>
  <conditionalFormatting sqref="F33">
    <cfRule type="cellIs" dxfId="286" priority="39" operator="greaterThan">
      <formula>E33</formula>
    </cfRule>
  </conditionalFormatting>
  <conditionalFormatting sqref="H34 J34 L34 N34 P34 R34">
    <cfRule type="cellIs" dxfId="285" priority="38" operator="greaterThan">
      <formula>G34</formula>
    </cfRule>
  </conditionalFormatting>
  <conditionalFormatting sqref="F34">
    <cfRule type="cellIs" dxfId="284" priority="37" operator="greaterThan">
      <formula>E34</formula>
    </cfRule>
  </conditionalFormatting>
  <conditionalFormatting sqref="F34">
    <cfRule type="cellIs" dxfId="283" priority="36" operator="greaterThan">
      <formula>E34</formula>
    </cfRule>
  </conditionalFormatting>
  <conditionalFormatting sqref="F34">
    <cfRule type="cellIs" dxfId="282" priority="35" operator="greaterThan">
      <formula>E34</formula>
    </cfRule>
  </conditionalFormatting>
  <conditionalFormatting sqref="F34">
    <cfRule type="cellIs" dxfId="281" priority="34" operator="greaterThan">
      <formula>E34</formula>
    </cfRule>
  </conditionalFormatting>
  <conditionalFormatting sqref="H31:H32 J31:J32 L31:L32 N31:N32 P31:P32 R31:R32">
    <cfRule type="cellIs" dxfId="280" priority="33" operator="greaterThan">
      <formula>G31</formula>
    </cfRule>
  </conditionalFormatting>
  <conditionalFormatting sqref="F31:F32">
    <cfRule type="cellIs" dxfId="279" priority="32" operator="greaterThan">
      <formula>E31</formula>
    </cfRule>
  </conditionalFormatting>
  <conditionalFormatting sqref="F31:F32">
    <cfRule type="cellIs" dxfId="278" priority="31" operator="greaterThan">
      <formula>E31</formula>
    </cfRule>
  </conditionalFormatting>
  <conditionalFormatting sqref="F31:F32">
    <cfRule type="cellIs" dxfId="277" priority="30" operator="greaterThan">
      <formula>E31</formula>
    </cfRule>
  </conditionalFormatting>
  <conditionalFormatting sqref="F31:F32">
    <cfRule type="cellIs" dxfId="276" priority="29" operator="greaterThan">
      <formula>E31</formula>
    </cfRule>
  </conditionalFormatting>
  <conditionalFormatting sqref="N38:N39 R38:R39 P38:P39 L38:L39 J38:J39 H38:H39 D38:D39 F38:F39">
    <cfRule type="cellIs" dxfId="275" priority="28" operator="greaterThan">
      <formula>C38</formula>
    </cfRule>
  </conditionalFormatting>
  <conditionalFormatting sqref="H38 J38 L38 N38 P38 R38">
    <cfRule type="cellIs" dxfId="274" priority="27" operator="greaterThan">
      <formula>G38</formula>
    </cfRule>
  </conditionalFormatting>
  <conditionalFormatting sqref="F38">
    <cfRule type="cellIs" dxfId="273" priority="26" operator="greaterThan">
      <formula>E38</formula>
    </cfRule>
  </conditionalFormatting>
  <conditionalFormatting sqref="F38">
    <cfRule type="cellIs" dxfId="272" priority="25" operator="greaterThan">
      <formula>E38</formula>
    </cfRule>
  </conditionalFormatting>
  <conditionalFormatting sqref="F38">
    <cfRule type="cellIs" dxfId="271" priority="24" operator="greaterThan">
      <formula>E38</formula>
    </cfRule>
  </conditionalFormatting>
  <conditionalFormatting sqref="F38">
    <cfRule type="cellIs" dxfId="270" priority="23" operator="greaterThan">
      <formula>E38</formula>
    </cfRule>
  </conditionalFormatting>
  <conditionalFormatting sqref="H39 J39 L39 N39 P39 R39">
    <cfRule type="cellIs" dxfId="269" priority="22" operator="greaterThan">
      <formula>G39</formula>
    </cfRule>
  </conditionalFormatting>
  <conditionalFormatting sqref="F39">
    <cfRule type="cellIs" dxfId="268" priority="21" operator="greaterThan">
      <formula>E39</formula>
    </cfRule>
  </conditionalFormatting>
  <conditionalFormatting sqref="F39">
    <cfRule type="cellIs" dxfId="267" priority="20" operator="greaterThan">
      <formula>E39</formula>
    </cfRule>
  </conditionalFormatting>
  <conditionalFormatting sqref="F39">
    <cfRule type="cellIs" dxfId="266" priority="19" operator="greaterThan">
      <formula>E39</formula>
    </cfRule>
  </conditionalFormatting>
  <conditionalFormatting sqref="F39">
    <cfRule type="cellIs" dxfId="265" priority="18" operator="greaterThan">
      <formula>E39</formula>
    </cfRule>
  </conditionalFormatting>
  <conditionalFormatting sqref="N43:N44 R43:R44 P43:P44 L43:L44 J43:J44 H43:H44 F43:F44">
    <cfRule type="cellIs" dxfId="264" priority="17" operator="greaterThan">
      <formula>E43</formula>
    </cfRule>
  </conditionalFormatting>
  <conditionalFormatting sqref="D43:D44">
    <cfRule type="cellIs" dxfId="263" priority="16" operator="greaterThan">
      <formula>C43</formula>
    </cfRule>
  </conditionalFormatting>
  <conditionalFormatting sqref="D43:D44">
    <cfRule type="cellIs" dxfId="262" priority="15" operator="greaterThan">
      <formula>C43</formula>
    </cfRule>
  </conditionalFormatting>
  <conditionalFormatting sqref="H43 J43 L43 N43 P43 R43">
    <cfRule type="cellIs" dxfId="261" priority="14" operator="greaterThan">
      <formula>G43</formula>
    </cfRule>
  </conditionalFormatting>
  <conditionalFormatting sqref="F43">
    <cfRule type="cellIs" dxfId="260" priority="13" operator="greaterThan">
      <formula>E43</formula>
    </cfRule>
  </conditionalFormatting>
  <conditionalFormatting sqref="F43">
    <cfRule type="cellIs" dxfId="259" priority="12" operator="greaterThan">
      <formula>E43</formula>
    </cfRule>
  </conditionalFormatting>
  <conditionalFormatting sqref="F43">
    <cfRule type="cellIs" dxfId="258" priority="11" operator="greaterThan">
      <formula>E43</formula>
    </cfRule>
  </conditionalFormatting>
  <conditionalFormatting sqref="F43">
    <cfRule type="cellIs" dxfId="257" priority="10" operator="greaterThan">
      <formula>E43</formula>
    </cfRule>
  </conditionalFormatting>
  <conditionalFormatting sqref="H44 J44 L44 N44 P44 R44">
    <cfRule type="cellIs" dxfId="256" priority="9" operator="greaterThan">
      <formula>G44</formula>
    </cfRule>
  </conditionalFormatting>
  <conditionalFormatting sqref="F44">
    <cfRule type="cellIs" dxfId="255" priority="8" operator="greaterThan">
      <formula>E44</formula>
    </cfRule>
  </conditionalFormatting>
  <conditionalFormatting sqref="F44">
    <cfRule type="cellIs" dxfId="254" priority="7" operator="greaterThan">
      <formula>E44</formula>
    </cfRule>
  </conditionalFormatting>
  <conditionalFormatting sqref="F44">
    <cfRule type="cellIs" dxfId="253" priority="6" operator="greaterThan">
      <formula>E44</formula>
    </cfRule>
  </conditionalFormatting>
  <conditionalFormatting sqref="F44">
    <cfRule type="cellIs" dxfId="252" priority="5" operator="greaterThan">
      <formula>E44</formula>
    </cfRule>
  </conditionalFormatting>
  <dataValidations count="2">
    <dataValidation type="whole" operator="notEqual" allowBlank="1" showErrorMessage="1" error="Введите как целое число." sqref="Q38:R39 E38:P40 C6:R19 C46:R50 C20:D41 E20:R37 C42:R44 E41:R41">
      <formula1>-1E+28</formula1>
    </dataValidation>
    <dataValidation allowBlank="1" showErrorMessage="1" prompt="Введите самостоятельно рассчитанный коэффициент" sqref="T5:U5 C5:R5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6" orientation="landscape" r:id="rId1"/>
  <headerFooter alignWithMargins="0"/>
  <ignoredErrors>
    <ignoredError sqref="T8:U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V59"/>
  <sheetViews>
    <sheetView zoomScale="55" zoomScaleNormal="55" zoomScaleSheetLayoutView="50" workbookViewId="0">
      <pane xSplit="2" ySplit="6" topLeftCell="C7" activePane="bottomRight" state="frozen"/>
      <selection activeCell="B3" sqref="B3:B6"/>
      <selection pane="topRight" activeCell="B3" sqref="B3:B6"/>
      <selection pane="bottomLeft" activeCell="B3" sqref="B3:B6"/>
      <selection pane="bottomRight" activeCell="K21" sqref="K20:K21"/>
    </sheetView>
  </sheetViews>
  <sheetFormatPr defaultRowHeight="12.75"/>
  <cols>
    <col min="1" max="1" width="8.140625" style="516" customWidth="1"/>
    <col min="2" max="2" width="80.42578125" style="364" customWidth="1"/>
    <col min="3" max="11" width="22.140625" style="364" customWidth="1"/>
    <col min="12" max="12" width="15.5703125" style="368" customWidth="1"/>
    <col min="13" max="13" width="19.42578125" style="363" customWidth="1"/>
    <col min="14" max="14" width="21.85546875" style="361" customWidth="1"/>
    <col min="15" max="15" width="15.5703125" style="368" customWidth="1"/>
    <col min="16" max="16" width="19.42578125" style="363" customWidth="1"/>
    <col min="17" max="17" width="23.28515625" style="361" customWidth="1"/>
    <col min="18" max="18" width="23.7109375" style="364" customWidth="1"/>
    <col min="19" max="19" width="17.5703125" style="364" customWidth="1"/>
    <col min="20" max="20" width="15.140625" style="364" customWidth="1"/>
    <col min="21" max="21" width="23.85546875" style="364" customWidth="1"/>
    <col min="22" max="22" width="15.140625" style="364" customWidth="1"/>
    <col min="23" max="16384" width="9.140625" style="364"/>
  </cols>
  <sheetData>
    <row r="2" spans="1:22" s="281" customFormat="1" ht="26.25" customHeight="1">
      <c r="A2" s="278" t="s">
        <v>450</v>
      </c>
      <c r="B2" s="279"/>
      <c r="C2" s="279"/>
      <c r="D2" s="280"/>
      <c r="E2" s="280"/>
      <c r="F2" s="280"/>
      <c r="G2" s="280"/>
      <c r="H2" s="280"/>
      <c r="I2" s="280"/>
      <c r="K2" s="510"/>
      <c r="L2" s="447"/>
      <c r="M2" s="447"/>
      <c r="N2" s="447"/>
      <c r="O2" s="562" t="s">
        <v>447</v>
      </c>
      <c r="P2" s="562"/>
      <c r="Q2" s="562"/>
    </row>
    <row r="3" spans="1:22" ht="15.75">
      <c r="A3" s="511"/>
      <c r="B3" s="196" t="str">
        <f>Balance!B3</f>
        <v>АКБ"Микрокредитбанк"</v>
      </c>
      <c r="C3" s="163"/>
      <c r="D3" s="360"/>
      <c r="E3" s="360"/>
      <c r="F3" s="360"/>
      <c r="G3" s="360"/>
      <c r="H3" s="360"/>
      <c r="I3" s="360"/>
      <c r="J3" s="219" t="str">
        <f>+Balance!B2</f>
        <v xml:space="preserve"> 31 Декабрь, 2020</v>
      </c>
      <c r="L3" s="364"/>
      <c r="M3" s="360"/>
      <c r="O3" s="364"/>
      <c r="P3" s="360"/>
      <c r="Q3" s="361" t="str">
        <f>+Balance!E3</f>
        <v>тыс. сум</v>
      </c>
    </row>
    <row r="4" spans="1:22" s="86" customFormat="1" ht="37.5" customHeight="1">
      <c r="A4" s="563" t="s">
        <v>79</v>
      </c>
      <c r="B4" s="563" t="s">
        <v>54</v>
      </c>
      <c r="C4" s="573" t="s">
        <v>167</v>
      </c>
      <c r="D4" s="575"/>
      <c r="E4" s="575"/>
      <c r="F4" s="575"/>
      <c r="G4" s="575"/>
      <c r="H4" s="575"/>
      <c r="I4" s="575"/>
      <c r="J4" s="575"/>
      <c r="K4" s="563" t="s">
        <v>127</v>
      </c>
      <c r="L4" s="573" t="s">
        <v>530</v>
      </c>
      <c r="M4" s="575"/>
      <c r="N4" s="574"/>
      <c r="O4" s="573" t="s">
        <v>529</v>
      </c>
      <c r="P4" s="575"/>
      <c r="Q4" s="574"/>
    </row>
    <row r="5" spans="1:22" s="86" customFormat="1" ht="42.75" customHeight="1">
      <c r="A5" s="564"/>
      <c r="B5" s="564"/>
      <c r="C5" s="464" t="s">
        <v>128</v>
      </c>
      <c r="D5" s="464" t="s">
        <v>441</v>
      </c>
      <c r="E5" s="464" t="s">
        <v>442</v>
      </c>
      <c r="F5" s="464" t="s">
        <v>344</v>
      </c>
      <c r="G5" s="464" t="s">
        <v>345</v>
      </c>
      <c r="H5" s="464" t="s">
        <v>413</v>
      </c>
      <c r="I5" s="464" t="s">
        <v>414</v>
      </c>
      <c r="J5" s="464" t="s">
        <v>84</v>
      </c>
      <c r="K5" s="564"/>
      <c r="L5" s="446" t="s">
        <v>33</v>
      </c>
      <c r="M5" s="446" t="s">
        <v>40</v>
      </c>
      <c r="N5" s="446" t="s">
        <v>512</v>
      </c>
      <c r="O5" s="446" t="s">
        <v>33</v>
      </c>
      <c r="P5" s="446" t="s">
        <v>40</v>
      </c>
      <c r="Q5" s="446" t="s">
        <v>512</v>
      </c>
    </row>
    <row r="6" spans="1:22" s="486" customFormat="1" ht="21" customHeight="1">
      <c r="A6" s="512"/>
      <c r="B6" s="357" t="s">
        <v>0</v>
      </c>
      <c r="C6" s="362"/>
      <c r="D6" s="362"/>
      <c r="E6" s="362"/>
      <c r="F6" s="362"/>
      <c r="G6" s="362"/>
      <c r="H6" s="362"/>
      <c r="I6" s="362"/>
      <c r="J6" s="362"/>
      <c r="K6" s="362"/>
      <c r="L6" s="485"/>
      <c r="M6" s="369"/>
      <c r="N6" s="362"/>
      <c r="O6" s="485"/>
      <c r="P6" s="369"/>
      <c r="Q6" s="362"/>
      <c r="R6" s="365"/>
      <c r="S6" s="365"/>
      <c r="T6" s="365"/>
      <c r="U6" s="365"/>
      <c r="V6" s="365"/>
    </row>
    <row r="7" spans="1:22" s="352" customFormat="1" ht="33.75" customHeight="1">
      <c r="A7" s="344" t="s">
        <v>80</v>
      </c>
      <c r="B7" s="345" t="s">
        <v>129</v>
      </c>
      <c r="C7" s="346">
        <f>+'Bank Assets Analysis'!C7-'Bank Assets Analysis'!D7</f>
        <v>68880720</v>
      </c>
      <c r="D7" s="346">
        <f>+'Bank Assets Analysis'!E7-'Bank Assets Analysis'!F7</f>
        <v>0</v>
      </c>
      <c r="E7" s="346">
        <f>+'Bank Assets Analysis'!G7-'Bank Assets Analysis'!H7</f>
        <v>0</v>
      </c>
      <c r="F7" s="346">
        <f>+'Bank Assets Analysis'!I7-'Bank Assets Analysis'!J7</f>
        <v>0</v>
      </c>
      <c r="G7" s="346">
        <f>+'Bank Assets Analysis'!K7-'Bank Assets Analysis'!L7</f>
        <v>0</v>
      </c>
      <c r="H7" s="346">
        <f>+'Bank Assets Analysis'!M7-'Bank Assets Analysis'!N7</f>
        <v>0</v>
      </c>
      <c r="I7" s="346">
        <f>+'Bank Assets Analysis'!O7-'Bank Assets Analysis'!P7</f>
        <v>0</v>
      </c>
      <c r="J7" s="346">
        <f>+'Bank Assets Analysis'!Q7-'Bank Assets Analysis'!R7</f>
        <v>0</v>
      </c>
      <c r="K7" s="346">
        <f t="shared" ref="K7:K44" si="0">+C7+D7+E7+F7+G7+H7+I7+J7</f>
        <v>68880720</v>
      </c>
      <c r="L7" s="347">
        <v>1</v>
      </c>
      <c r="M7" s="348">
        <f>+K7-K8</f>
        <v>68880720</v>
      </c>
      <c r="N7" s="349">
        <f>+M7*L7</f>
        <v>68880720</v>
      </c>
      <c r="O7" s="347">
        <v>1</v>
      </c>
      <c r="P7" s="348">
        <f>+K7-K8</f>
        <v>68880720</v>
      </c>
      <c r="Q7" s="349">
        <f>+P7*O7</f>
        <v>68880720</v>
      </c>
      <c r="R7" s="351"/>
      <c r="S7" s="351"/>
      <c r="T7" s="351"/>
      <c r="U7" s="351"/>
      <c r="V7" s="351"/>
    </row>
    <row r="8" spans="1:22" s="352" customFormat="1" ht="33.75" customHeight="1">
      <c r="A8" s="344" t="s">
        <v>169</v>
      </c>
      <c r="B8" s="345" t="s">
        <v>508</v>
      </c>
      <c r="C8" s="346">
        <f>+'Bank Assets Analysis'!C8-'Bank Assets Analysis'!D8</f>
        <v>0</v>
      </c>
      <c r="D8" s="346">
        <f>+'Bank Assets Analysis'!E8-'Bank Assets Analysis'!F8</f>
        <v>0</v>
      </c>
      <c r="E8" s="346">
        <f>+'Bank Assets Analysis'!G8-'Bank Assets Analysis'!H8</f>
        <v>0</v>
      </c>
      <c r="F8" s="346">
        <f>+'Bank Assets Analysis'!I8-'Bank Assets Analysis'!J8</f>
        <v>0</v>
      </c>
      <c r="G8" s="346">
        <f>+'Bank Assets Analysis'!K8-'Bank Assets Analysis'!L8</f>
        <v>0</v>
      </c>
      <c r="H8" s="346">
        <f>+'Bank Assets Analysis'!M8-'Bank Assets Analysis'!N8</f>
        <v>0</v>
      </c>
      <c r="I8" s="346">
        <f>+'Bank Assets Analysis'!O8-'Bank Assets Analysis'!P8</f>
        <v>0</v>
      </c>
      <c r="J8" s="346">
        <f>+'Bank Assets Analysis'!Q8-'Bank Assets Analysis'!R8</f>
        <v>0</v>
      </c>
      <c r="K8" s="346">
        <f>+C8+D8+E8+F8+G8+H8+I8+J8</f>
        <v>0</v>
      </c>
      <c r="L8" s="347">
        <v>0</v>
      </c>
      <c r="M8" s="448"/>
      <c r="N8" s="346"/>
      <c r="O8" s="347">
        <v>0</v>
      </c>
      <c r="P8" s="448"/>
      <c r="Q8" s="346"/>
      <c r="R8" s="513"/>
      <c r="S8" s="351"/>
      <c r="T8" s="351"/>
      <c r="U8" s="351"/>
      <c r="V8" s="351"/>
    </row>
    <row r="9" spans="1:22" s="352" customFormat="1" ht="33.75" customHeight="1">
      <c r="A9" s="344" t="s">
        <v>130</v>
      </c>
      <c r="B9" s="345" t="s">
        <v>428</v>
      </c>
      <c r="C9" s="346">
        <f>+'Bank Assets Analysis'!C9-'Bank Assets Analysis'!D9</f>
        <v>62642628</v>
      </c>
      <c r="D9" s="346">
        <f>+'Bank Assets Analysis'!E9-'Bank Assets Analysis'!F9</f>
        <v>0</v>
      </c>
      <c r="E9" s="346">
        <f>+'Bank Assets Analysis'!G9-'Bank Assets Analysis'!H9</f>
        <v>0</v>
      </c>
      <c r="F9" s="346">
        <f>+'Bank Assets Analysis'!I9-'Bank Assets Analysis'!J9</f>
        <v>0</v>
      </c>
      <c r="G9" s="346">
        <f>+'Bank Assets Analysis'!K9-'Bank Assets Analysis'!L9</f>
        <v>0</v>
      </c>
      <c r="H9" s="346">
        <f>+'Bank Assets Analysis'!M9-'Bank Assets Analysis'!N9</f>
        <v>0</v>
      </c>
      <c r="I9" s="346">
        <f>+'Bank Assets Analysis'!O9-'Bank Assets Analysis'!P9</f>
        <v>0</v>
      </c>
      <c r="J9" s="346">
        <f>+'Bank Assets Analysis'!Q9-'Bank Assets Analysis'!R9</f>
        <v>0</v>
      </c>
      <c r="K9" s="346">
        <f t="shared" si="0"/>
        <v>62642628</v>
      </c>
      <c r="L9" s="347">
        <v>1</v>
      </c>
      <c r="M9" s="348">
        <f>+K9</f>
        <v>62642628</v>
      </c>
      <c r="N9" s="349">
        <f t="shared" ref="N9:N43" si="1">+M9*L9</f>
        <v>62642628</v>
      </c>
      <c r="O9" s="347">
        <v>1</v>
      </c>
      <c r="P9" s="348">
        <f>+K9</f>
        <v>62642628</v>
      </c>
      <c r="Q9" s="349">
        <f t="shared" ref="Q9:Q17" si="2">+P9*O9</f>
        <v>62642628</v>
      </c>
      <c r="R9" s="351"/>
      <c r="S9" s="351"/>
      <c r="T9" s="351"/>
      <c r="U9" s="351"/>
      <c r="V9" s="351"/>
    </row>
    <row r="10" spans="1:22" s="352" customFormat="1" ht="33.75" customHeight="1">
      <c r="A10" s="344" t="s">
        <v>191</v>
      </c>
      <c r="B10" s="345" t="s">
        <v>427</v>
      </c>
      <c r="C10" s="346">
        <f>+'Bank Assets Analysis'!C10-'Bank Assets Analysis'!D10</f>
        <v>0</v>
      </c>
      <c r="D10" s="346">
        <f>+'Bank Assets Analysis'!E10-'Bank Assets Analysis'!F10</f>
        <v>0</v>
      </c>
      <c r="E10" s="346">
        <f>+'Bank Assets Analysis'!G10-'Bank Assets Analysis'!H10</f>
        <v>42620034</v>
      </c>
      <c r="F10" s="346">
        <f>+'Bank Assets Analysis'!I10-'Bank Assets Analysis'!J10</f>
        <v>0</v>
      </c>
      <c r="G10" s="346">
        <f>+'Bank Assets Analysis'!K10-'Bank Assets Analysis'!L10</f>
        <v>0</v>
      </c>
      <c r="H10" s="346">
        <f>+'Bank Assets Analysis'!M10-'Bank Assets Analysis'!N10</f>
        <v>0</v>
      </c>
      <c r="I10" s="346">
        <f>+'Bank Assets Analysis'!O10-'Bank Assets Analysis'!P10</f>
        <v>0</v>
      </c>
      <c r="J10" s="346">
        <f>+'Bank Assets Analysis'!Q10-'Bank Assets Analysis'!R10</f>
        <v>0</v>
      </c>
      <c r="K10" s="346">
        <f t="shared" si="0"/>
        <v>42620034</v>
      </c>
      <c r="L10" s="347">
        <v>0</v>
      </c>
      <c r="M10" s="348"/>
      <c r="N10" s="346">
        <f t="shared" si="1"/>
        <v>0</v>
      </c>
      <c r="O10" s="347">
        <v>0</v>
      </c>
      <c r="P10" s="348"/>
      <c r="Q10" s="346">
        <f t="shared" si="2"/>
        <v>0</v>
      </c>
      <c r="R10" s="351"/>
      <c r="S10" s="351"/>
      <c r="T10" s="351"/>
      <c r="U10" s="351"/>
      <c r="V10" s="351"/>
    </row>
    <row r="11" spans="1:22" s="352" customFormat="1" ht="33.75" customHeight="1">
      <c r="A11" s="344" t="s">
        <v>131</v>
      </c>
      <c r="B11" s="345" t="s">
        <v>132</v>
      </c>
      <c r="C11" s="346">
        <f>SUM(C12:C18)-C15</f>
        <v>3818387</v>
      </c>
      <c r="D11" s="346">
        <f t="shared" ref="D11:J11" si="3">SUM(D12:D18)-D15</f>
        <v>0</v>
      </c>
      <c r="E11" s="346">
        <f t="shared" si="3"/>
        <v>95000000</v>
      </c>
      <c r="F11" s="346">
        <f t="shared" si="3"/>
        <v>117569200</v>
      </c>
      <c r="G11" s="346">
        <f t="shared" si="3"/>
        <v>0</v>
      </c>
      <c r="H11" s="346">
        <f t="shared" si="3"/>
        <v>0</v>
      </c>
      <c r="I11" s="346">
        <f t="shared" si="3"/>
        <v>107750000</v>
      </c>
      <c r="J11" s="346">
        <f t="shared" si="3"/>
        <v>0</v>
      </c>
      <c r="K11" s="346">
        <f t="shared" si="0"/>
        <v>324137587</v>
      </c>
      <c r="L11" s="347"/>
      <c r="M11" s="348"/>
      <c r="N11" s="346">
        <f t="shared" si="1"/>
        <v>0</v>
      </c>
      <c r="O11" s="347"/>
      <c r="P11" s="348"/>
      <c r="Q11" s="346">
        <f t="shared" si="2"/>
        <v>0</v>
      </c>
      <c r="R11" s="351"/>
      <c r="S11" s="351"/>
      <c r="T11" s="351"/>
      <c r="U11" s="351"/>
      <c r="V11" s="351"/>
    </row>
    <row r="12" spans="1:22" s="352" customFormat="1" ht="33.75" customHeight="1">
      <c r="A12" s="344" t="s">
        <v>192</v>
      </c>
      <c r="B12" s="345" t="s">
        <v>53</v>
      </c>
      <c r="C12" s="346">
        <f>+'Bank Assets Analysis'!C12-'Bank Assets Analysis'!D12</f>
        <v>0</v>
      </c>
      <c r="D12" s="346">
        <f>+'Bank Assets Analysis'!E12-'Bank Assets Analysis'!F12</f>
        <v>0</v>
      </c>
      <c r="E12" s="346">
        <f>+'Bank Assets Analysis'!G12-'Bank Assets Analysis'!H12</f>
        <v>0</v>
      </c>
      <c r="F12" s="346">
        <f>+'Bank Assets Analysis'!I12-'Bank Assets Analysis'!J12</f>
        <v>0</v>
      </c>
      <c r="G12" s="346">
        <f>+'Bank Assets Analysis'!K12-'Bank Assets Analysis'!L12</f>
        <v>0</v>
      </c>
      <c r="H12" s="346">
        <f>+'Bank Assets Analysis'!M12-'Bank Assets Analysis'!N12</f>
        <v>0</v>
      </c>
      <c r="I12" s="346">
        <f>+'Bank Assets Analysis'!O12-'Bank Assets Analysis'!P12</f>
        <v>0</v>
      </c>
      <c r="J12" s="346">
        <f>+'Bank Assets Analysis'!Q12-'Bank Assets Analysis'!R12</f>
        <v>0</v>
      </c>
      <c r="K12" s="346">
        <f t="shared" si="0"/>
        <v>0</v>
      </c>
      <c r="L12" s="347">
        <v>1</v>
      </c>
      <c r="M12" s="348">
        <f>+C12</f>
        <v>0</v>
      </c>
      <c r="N12" s="349">
        <f t="shared" si="1"/>
        <v>0</v>
      </c>
      <c r="O12" s="347">
        <v>1</v>
      </c>
      <c r="P12" s="348">
        <f>+C12</f>
        <v>0</v>
      </c>
      <c r="Q12" s="349">
        <f t="shared" si="2"/>
        <v>0</v>
      </c>
      <c r="R12" s="351"/>
      <c r="S12" s="351"/>
      <c r="T12" s="351"/>
      <c r="U12" s="351"/>
      <c r="V12" s="351"/>
    </row>
    <row r="13" spans="1:22" s="352" customFormat="1" ht="33.75" customHeight="1">
      <c r="A13" s="344" t="s">
        <v>193</v>
      </c>
      <c r="B13" s="345" t="s">
        <v>503</v>
      </c>
      <c r="C13" s="346">
        <f>+'Bank Assets Analysis'!C13-'Bank Assets Analysis'!D13</f>
        <v>0</v>
      </c>
      <c r="D13" s="346">
        <f>+'Bank Assets Analysis'!E13-'Bank Assets Analysis'!F13</f>
        <v>0</v>
      </c>
      <c r="E13" s="346">
        <f>+'Bank Assets Analysis'!G13-'Bank Assets Analysis'!H13</f>
        <v>0</v>
      </c>
      <c r="F13" s="346">
        <f>+'Bank Assets Analysis'!I13-'Bank Assets Analysis'!J13</f>
        <v>0</v>
      </c>
      <c r="G13" s="346">
        <f>+'Bank Assets Analysis'!K13-'Bank Assets Analysis'!L13</f>
        <v>0</v>
      </c>
      <c r="H13" s="346">
        <f>+'Bank Assets Analysis'!M13-'Bank Assets Analysis'!N13</f>
        <v>0</v>
      </c>
      <c r="I13" s="346">
        <f>+'Bank Assets Analysis'!O13-'Bank Assets Analysis'!P13</f>
        <v>0</v>
      </c>
      <c r="J13" s="346">
        <f>+'Bank Assets Analysis'!Q13-'Bank Assets Analysis'!R13</f>
        <v>0</v>
      </c>
      <c r="K13" s="346">
        <f>+C13+D13+E13+F13+G13+H13+I13+J13</f>
        <v>0</v>
      </c>
      <c r="L13" s="347">
        <v>1</v>
      </c>
      <c r="M13" s="348">
        <f>+C13</f>
        <v>0</v>
      </c>
      <c r="N13" s="349">
        <f>+M13*L13</f>
        <v>0</v>
      </c>
      <c r="O13" s="347">
        <v>1</v>
      </c>
      <c r="P13" s="348">
        <f>+C13</f>
        <v>0</v>
      </c>
      <c r="Q13" s="349">
        <f t="shared" si="2"/>
        <v>0</v>
      </c>
      <c r="R13" s="351"/>
      <c r="S13" s="351"/>
      <c r="T13" s="351"/>
      <c r="U13" s="351"/>
      <c r="V13" s="351"/>
    </row>
    <row r="14" spans="1:22" s="352" customFormat="1" ht="33.75" customHeight="1">
      <c r="A14" s="344" t="s">
        <v>22</v>
      </c>
      <c r="B14" s="345" t="s">
        <v>468</v>
      </c>
      <c r="C14" s="346">
        <f>+'Bank Assets Analysis'!C14-'Bank Assets Analysis'!D14</f>
        <v>0</v>
      </c>
      <c r="D14" s="346">
        <f>+'Bank Assets Analysis'!E14-'Bank Assets Analysis'!F14</f>
        <v>0</v>
      </c>
      <c r="E14" s="346">
        <f>+'Bank Assets Analysis'!G14-'Bank Assets Analysis'!H14</f>
        <v>0</v>
      </c>
      <c r="F14" s="346">
        <f>+'Bank Assets Analysis'!I14-'Bank Assets Analysis'!J14</f>
        <v>0</v>
      </c>
      <c r="G14" s="346">
        <f>+'Bank Assets Analysis'!K14-'Bank Assets Analysis'!L14</f>
        <v>0</v>
      </c>
      <c r="H14" s="346">
        <f>+'Bank Assets Analysis'!M14-'Bank Assets Analysis'!N14</f>
        <v>0</v>
      </c>
      <c r="I14" s="346">
        <f>+'Bank Assets Analysis'!O14-'Bank Assets Analysis'!P14</f>
        <v>0</v>
      </c>
      <c r="J14" s="346">
        <f>+'Bank Assets Analysis'!Q14-'Bank Assets Analysis'!R14</f>
        <v>0</v>
      </c>
      <c r="K14" s="346">
        <f>+C14+D14+E14+F14+G14+H14+I14+J14</f>
        <v>0</v>
      </c>
      <c r="L14" s="347">
        <v>1</v>
      </c>
      <c r="M14" s="348">
        <f>+C14-C15</f>
        <v>0</v>
      </c>
      <c r="N14" s="346">
        <f>+M14*L14</f>
        <v>0</v>
      </c>
      <c r="O14" s="347">
        <v>1</v>
      </c>
      <c r="P14" s="448">
        <f>+C14-C15</f>
        <v>0</v>
      </c>
      <c r="Q14" s="346">
        <f t="shared" si="2"/>
        <v>0</v>
      </c>
      <c r="R14" s="351"/>
      <c r="S14" s="351"/>
      <c r="T14" s="351"/>
      <c r="U14" s="351"/>
      <c r="V14" s="351"/>
    </row>
    <row r="15" spans="1:22" s="352" customFormat="1" ht="33.75" customHeight="1">
      <c r="A15" s="344" t="s">
        <v>509</v>
      </c>
      <c r="B15" s="345" t="s">
        <v>510</v>
      </c>
      <c r="C15" s="346">
        <f>+'Bank Assets Analysis'!C15-'Bank Assets Analysis'!D15</f>
        <v>0</v>
      </c>
      <c r="D15" s="346">
        <f>+'Bank Assets Analysis'!E15-'Bank Assets Analysis'!F15</f>
        <v>0</v>
      </c>
      <c r="E15" s="346">
        <f>+'Bank Assets Analysis'!G15-'Bank Assets Analysis'!H15</f>
        <v>0</v>
      </c>
      <c r="F15" s="346">
        <f>+'Bank Assets Analysis'!I15-'Bank Assets Analysis'!J15</f>
        <v>0</v>
      </c>
      <c r="G15" s="346">
        <f>+'Bank Assets Analysis'!K15-'Bank Assets Analysis'!L15</f>
        <v>0</v>
      </c>
      <c r="H15" s="346">
        <f>+'Bank Assets Analysis'!M15-'Bank Assets Analysis'!N15</f>
        <v>0</v>
      </c>
      <c r="I15" s="346">
        <f>+'Bank Assets Analysis'!O15-'Bank Assets Analysis'!P15</f>
        <v>0</v>
      </c>
      <c r="J15" s="346">
        <f>+'Bank Assets Analysis'!Q15-'Bank Assets Analysis'!R15</f>
        <v>0</v>
      </c>
      <c r="K15" s="346">
        <f>+C15+D15+E15+F15+G15+H15+I15+J15</f>
        <v>0</v>
      </c>
      <c r="L15" s="347">
        <v>1</v>
      </c>
      <c r="M15" s="348">
        <f>+D15</f>
        <v>0</v>
      </c>
      <c r="N15" s="349">
        <f>+M15*L15</f>
        <v>0</v>
      </c>
      <c r="O15" s="347">
        <v>1</v>
      </c>
      <c r="P15" s="348">
        <f>+C15</f>
        <v>0</v>
      </c>
      <c r="Q15" s="349">
        <f t="shared" si="2"/>
        <v>0</v>
      </c>
      <c r="R15" s="351"/>
      <c r="S15" s="351"/>
      <c r="T15" s="351"/>
      <c r="U15" s="351"/>
      <c r="V15" s="351"/>
    </row>
    <row r="16" spans="1:22" s="352" customFormat="1" ht="33.75" customHeight="1">
      <c r="A16" s="344" t="s">
        <v>347</v>
      </c>
      <c r="B16" s="345" t="s">
        <v>346</v>
      </c>
      <c r="C16" s="346">
        <f>+'Bank Assets Analysis'!C16-'Bank Assets Analysis'!D16</f>
        <v>22006</v>
      </c>
      <c r="D16" s="346">
        <f>+'Bank Assets Analysis'!E16-'Bank Assets Analysis'!F16</f>
        <v>0</v>
      </c>
      <c r="E16" s="346">
        <f>+'Bank Assets Analysis'!G16-'Bank Assets Analysis'!H16</f>
        <v>95000000</v>
      </c>
      <c r="F16" s="346">
        <f>+'Bank Assets Analysis'!I16-'Bank Assets Analysis'!J16</f>
        <v>117569200</v>
      </c>
      <c r="G16" s="346">
        <f>+'Bank Assets Analysis'!K16-'Bank Assets Analysis'!L16</f>
        <v>0</v>
      </c>
      <c r="H16" s="346">
        <f>+'Bank Assets Analysis'!M16-'Bank Assets Analysis'!N16</f>
        <v>0</v>
      </c>
      <c r="I16" s="346">
        <f>+'Bank Assets Analysis'!O16-'Bank Assets Analysis'!P16</f>
        <v>107750000</v>
      </c>
      <c r="J16" s="346">
        <f>+'Bank Assets Analysis'!Q16-'Bank Assets Analysis'!R16</f>
        <v>0</v>
      </c>
      <c r="K16" s="346">
        <f t="shared" si="0"/>
        <v>320341206</v>
      </c>
      <c r="L16" s="347">
        <v>1</v>
      </c>
      <c r="M16" s="348">
        <f>+C16+D16+E16</f>
        <v>95022006</v>
      </c>
      <c r="N16" s="346">
        <f t="shared" si="1"/>
        <v>95022006</v>
      </c>
      <c r="O16" s="347">
        <v>1</v>
      </c>
      <c r="P16" s="348">
        <f>+C16+D16+E16+D12+D13+D14-D15</f>
        <v>95022006</v>
      </c>
      <c r="Q16" s="346">
        <f t="shared" si="2"/>
        <v>95022006</v>
      </c>
      <c r="R16" s="351"/>
      <c r="S16" s="351"/>
      <c r="T16" s="351"/>
      <c r="U16" s="351"/>
      <c r="V16" s="351"/>
    </row>
    <row r="17" spans="1:22" s="352" customFormat="1" ht="33.75" customHeight="1">
      <c r="A17" s="344" t="s">
        <v>469</v>
      </c>
      <c r="B17" s="345" t="s">
        <v>23</v>
      </c>
      <c r="C17" s="346">
        <f>+'Bank Assets Analysis'!C17-'Bank Assets Analysis'!D17</f>
        <v>3695979</v>
      </c>
      <c r="D17" s="346">
        <f>+'Bank Assets Analysis'!E17-'Bank Assets Analysis'!F17</f>
        <v>0</v>
      </c>
      <c r="E17" s="346">
        <f>+'Bank Assets Analysis'!G17-'Bank Assets Analysis'!H17</f>
        <v>0</v>
      </c>
      <c r="F17" s="346">
        <f>+'Bank Assets Analysis'!I17-'Bank Assets Analysis'!J17</f>
        <v>0</v>
      </c>
      <c r="G17" s="346">
        <f>+'Bank Assets Analysis'!K17-'Bank Assets Analysis'!L17</f>
        <v>0</v>
      </c>
      <c r="H17" s="346">
        <f>+'Bank Assets Analysis'!M17-'Bank Assets Analysis'!N17</f>
        <v>0</v>
      </c>
      <c r="I17" s="346">
        <f>+'Bank Assets Analysis'!O17-'Bank Assets Analysis'!P17</f>
        <v>0</v>
      </c>
      <c r="J17" s="346">
        <f>+'Bank Assets Analysis'!Q17-'Bank Assets Analysis'!R17</f>
        <v>0</v>
      </c>
      <c r="K17" s="346">
        <f t="shared" si="0"/>
        <v>3695979</v>
      </c>
      <c r="L17" s="347">
        <v>0.5</v>
      </c>
      <c r="M17" s="348">
        <f>+C17+D17+E17</f>
        <v>3695979</v>
      </c>
      <c r="N17" s="346">
        <f t="shared" si="1"/>
        <v>1847989.5</v>
      </c>
      <c r="O17" s="325">
        <v>1</v>
      </c>
      <c r="P17" s="348">
        <f>+C17+D17+E17</f>
        <v>3695979</v>
      </c>
      <c r="Q17" s="346">
        <f t="shared" si="2"/>
        <v>3695979</v>
      </c>
      <c r="R17" s="351"/>
      <c r="S17" s="351"/>
      <c r="T17" s="351"/>
      <c r="U17" s="351"/>
      <c r="V17" s="351"/>
    </row>
    <row r="18" spans="1:22" s="352" customFormat="1" ht="33.75" customHeight="1">
      <c r="A18" s="344" t="s">
        <v>470</v>
      </c>
      <c r="B18" s="345" t="s">
        <v>32</v>
      </c>
      <c r="C18" s="346">
        <f>+'Bank Assets Analysis'!C18-'Bank Assets Analysis'!D18</f>
        <v>100402</v>
      </c>
      <c r="D18" s="346">
        <f>+'Bank Assets Analysis'!E18-'Bank Assets Analysis'!F18</f>
        <v>0</v>
      </c>
      <c r="E18" s="346">
        <f>+'Bank Assets Analysis'!G18-'Bank Assets Analysis'!H18</f>
        <v>0</v>
      </c>
      <c r="F18" s="346">
        <f>+'Bank Assets Analysis'!I18-'Bank Assets Analysis'!J18</f>
        <v>0</v>
      </c>
      <c r="G18" s="346">
        <f>+'Bank Assets Analysis'!K18-'Bank Assets Analysis'!L18</f>
        <v>0</v>
      </c>
      <c r="H18" s="346">
        <f>+'Bank Assets Analysis'!M18-'Bank Assets Analysis'!N18</f>
        <v>0</v>
      </c>
      <c r="I18" s="346">
        <f>+'Bank Assets Analysis'!O18-'Bank Assets Analysis'!P18</f>
        <v>0</v>
      </c>
      <c r="J18" s="346">
        <f>+'Bank Assets Analysis'!Q18-'Bank Assets Analysis'!R18</f>
        <v>0</v>
      </c>
      <c r="K18" s="346">
        <f t="shared" si="0"/>
        <v>100402</v>
      </c>
      <c r="L18" s="347">
        <v>0.3</v>
      </c>
      <c r="M18" s="348">
        <f>+C18+D18+E18</f>
        <v>100402</v>
      </c>
      <c r="N18" s="346">
        <f>+M18*L18</f>
        <v>30120.6</v>
      </c>
      <c r="O18" s="325">
        <v>1</v>
      </c>
      <c r="P18" s="348">
        <f>+C18+D18+E18</f>
        <v>100402</v>
      </c>
      <c r="Q18" s="346">
        <f>+P18*O18</f>
        <v>100402</v>
      </c>
      <c r="R18" s="351"/>
      <c r="S18" s="351"/>
      <c r="T18" s="351"/>
      <c r="U18" s="351"/>
      <c r="V18" s="351"/>
    </row>
    <row r="19" spans="1:22" s="352" customFormat="1" ht="33.75" customHeight="1">
      <c r="A19" s="344" t="s">
        <v>133</v>
      </c>
      <c r="B19" s="345" t="s">
        <v>134</v>
      </c>
      <c r="C19" s="346">
        <f>SUM(C20:C25)-C21</f>
        <v>11874175</v>
      </c>
      <c r="D19" s="346">
        <f t="shared" ref="D19:J19" si="4">SUM(D20:D25)-D21</f>
        <v>0</v>
      </c>
      <c r="E19" s="346">
        <f t="shared" si="4"/>
        <v>0</v>
      </c>
      <c r="F19" s="346">
        <f t="shared" si="4"/>
        <v>0</v>
      </c>
      <c r="G19" s="346">
        <f t="shared" si="4"/>
        <v>0</v>
      </c>
      <c r="H19" s="346">
        <f t="shared" si="4"/>
        <v>48000000</v>
      </c>
      <c r="I19" s="346">
        <f t="shared" si="4"/>
        <v>87000000</v>
      </c>
      <c r="J19" s="346">
        <f t="shared" si="4"/>
        <v>0</v>
      </c>
      <c r="K19" s="346">
        <f t="shared" si="0"/>
        <v>146874175</v>
      </c>
      <c r="L19" s="347"/>
      <c r="M19" s="348"/>
      <c r="N19" s="346">
        <f t="shared" si="1"/>
        <v>0</v>
      </c>
      <c r="O19" s="347"/>
      <c r="P19" s="348"/>
      <c r="Q19" s="346">
        <f t="shared" ref="Q19:Q44" si="5">+P19*O19</f>
        <v>0</v>
      </c>
      <c r="R19" s="351"/>
      <c r="S19" s="351"/>
      <c r="T19" s="351"/>
      <c r="U19" s="351"/>
      <c r="V19" s="351"/>
    </row>
    <row r="20" spans="1:22" s="352" customFormat="1" ht="33.75" customHeight="1">
      <c r="A20" s="344" t="s">
        <v>194</v>
      </c>
      <c r="B20" s="345" t="s">
        <v>24</v>
      </c>
      <c r="C20" s="346">
        <f>+'Bank Assets Analysis'!C20-'Bank Assets Analysis'!D20</f>
        <v>0</v>
      </c>
      <c r="D20" s="346">
        <f>+'Bank Assets Analysis'!E20-'Bank Assets Analysis'!F20</f>
        <v>0</v>
      </c>
      <c r="E20" s="346">
        <f>+'Bank Assets Analysis'!G20-'Bank Assets Analysis'!H20</f>
        <v>0</v>
      </c>
      <c r="F20" s="346">
        <f>+'Bank Assets Analysis'!I20-'Bank Assets Analysis'!J20</f>
        <v>0</v>
      </c>
      <c r="G20" s="346">
        <f>+'Bank Assets Analysis'!K20-'Bank Assets Analysis'!L20</f>
        <v>0</v>
      </c>
      <c r="H20" s="346">
        <f>+'Bank Assets Analysis'!M20-'Bank Assets Analysis'!N20</f>
        <v>48000000</v>
      </c>
      <c r="I20" s="346">
        <f>+'Bank Assets Analysis'!O20-'Bank Assets Analysis'!P20</f>
        <v>87000000</v>
      </c>
      <c r="J20" s="346">
        <f>+'Bank Assets Analysis'!Q20-'Bank Assets Analysis'!R20</f>
        <v>0</v>
      </c>
      <c r="K20" s="346">
        <f t="shared" si="0"/>
        <v>135000000</v>
      </c>
      <c r="L20" s="347">
        <v>1</v>
      </c>
      <c r="M20" s="348">
        <f>+K20-K21</f>
        <v>135000000</v>
      </c>
      <c r="N20" s="349">
        <f t="shared" si="1"/>
        <v>135000000</v>
      </c>
      <c r="O20" s="347">
        <v>1</v>
      </c>
      <c r="P20" s="348">
        <f>+K20-K21</f>
        <v>135000000</v>
      </c>
      <c r="Q20" s="349">
        <f t="shared" si="5"/>
        <v>135000000</v>
      </c>
      <c r="R20" s="351"/>
      <c r="S20" s="351"/>
      <c r="T20" s="351"/>
      <c r="U20" s="351"/>
      <c r="V20" s="351"/>
    </row>
    <row r="21" spans="1:22" s="352" customFormat="1" ht="48" customHeight="1">
      <c r="A21" s="344" t="s">
        <v>543</v>
      </c>
      <c r="B21" s="345" t="s">
        <v>551</v>
      </c>
      <c r="C21" s="346">
        <f>+'Bank Assets Analysis'!C21-'Bank Assets Analysis'!D21</f>
        <v>0</v>
      </c>
      <c r="D21" s="346">
        <f>+'Bank Assets Analysis'!E21-'Bank Assets Analysis'!F21</f>
        <v>0</v>
      </c>
      <c r="E21" s="346">
        <f>+'Bank Assets Analysis'!G21-'Bank Assets Analysis'!H21</f>
        <v>0</v>
      </c>
      <c r="F21" s="346">
        <f>+'Bank Assets Analysis'!I21-'Bank Assets Analysis'!J21</f>
        <v>0</v>
      </c>
      <c r="G21" s="346">
        <f>+'Bank Assets Analysis'!K21-'Bank Assets Analysis'!L21</f>
        <v>0</v>
      </c>
      <c r="H21" s="346">
        <f>+'Bank Assets Analysis'!M21-'Bank Assets Analysis'!N21</f>
        <v>0</v>
      </c>
      <c r="I21" s="346">
        <f>+'Bank Assets Analysis'!O21-'Bank Assets Analysis'!P21</f>
        <v>0</v>
      </c>
      <c r="J21" s="346">
        <f>+'Bank Assets Analysis'!Q21-'Bank Assets Analysis'!R21</f>
        <v>0</v>
      </c>
      <c r="K21" s="346">
        <f t="shared" si="0"/>
        <v>0</v>
      </c>
      <c r="L21" s="347">
        <v>1</v>
      </c>
      <c r="M21" s="448">
        <f>SUM(C21:E21)</f>
        <v>0</v>
      </c>
      <c r="N21" s="346">
        <f>+M21*L21</f>
        <v>0</v>
      </c>
      <c r="O21" s="347">
        <v>1</v>
      </c>
      <c r="P21" s="448">
        <f>SUM(C21:E21)</f>
        <v>0</v>
      </c>
      <c r="Q21" s="346">
        <f>+P21*O21</f>
        <v>0</v>
      </c>
      <c r="R21" s="351"/>
      <c r="S21" s="351"/>
      <c r="T21" s="351"/>
      <c r="U21" s="351"/>
      <c r="V21" s="351"/>
    </row>
    <row r="22" spans="1:22" s="352" customFormat="1" ht="33.75" customHeight="1">
      <c r="A22" s="344" t="s">
        <v>30</v>
      </c>
      <c r="B22" s="345" t="s">
        <v>45</v>
      </c>
      <c r="C22" s="346">
        <f>+'Bank Assets Analysis'!C22-'Bank Assets Analysis'!D22</f>
        <v>0</v>
      </c>
      <c r="D22" s="346">
        <f>+'Bank Assets Analysis'!E22-'Bank Assets Analysis'!F22</f>
        <v>0</v>
      </c>
      <c r="E22" s="346">
        <f>+'Bank Assets Analysis'!G22-'Bank Assets Analysis'!H22</f>
        <v>0</v>
      </c>
      <c r="F22" s="346">
        <f>+'Bank Assets Analysis'!I22-'Bank Assets Analysis'!J22</f>
        <v>0</v>
      </c>
      <c r="G22" s="346">
        <f>+'Bank Assets Analysis'!K22-'Bank Assets Analysis'!L22</f>
        <v>0</v>
      </c>
      <c r="H22" s="346">
        <f>+'Bank Assets Analysis'!M22-'Bank Assets Analysis'!N22</f>
        <v>0</v>
      </c>
      <c r="I22" s="346">
        <f>+'Bank Assets Analysis'!O22-'Bank Assets Analysis'!P22</f>
        <v>0</v>
      </c>
      <c r="J22" s="346">
        <f>+'Bank Assets Analysis'!Q22-'Bank Assets Analysis'!R22</f>
        <v>0</v>
      </c>
      <c r="K22" s="346">
        <f t="shared" si="0"/>
        <v>0</v>
      </c>
      <c r="L22" s="347">
        <v>1</v>
      </c>
      <c r="M22" s="348">
        <f>+K22</f>
        <v>0</v>
      </c>
      <c r="N22" s="349">
        <f t="shared" si="1"/>
        <v>0</v>
      </c>
      <c r="O22" s="347">
        <v>1</v>
      </c>
      <c r="P22" s="348">
        <f>+K22</f>
        <v>0</v>
      </c>
      <c r="Q22" s="349">
        <f t="shared" si="5"/>
        <v>0</v>
      </c>
      <c r="R22" s="351"/>
      <c r="S22" s="351"/>
      <c r="T22" s="351"/>
      <c r="U22" s="351"/>
      <c r="V22" s="351"/>
    </row>
    <row r="23" spans="1:22" s="352" customFormat="1" ht="70.5" customHeight="1">
      <c r="A23" s="344" t="s">
        <v>31</v>
      </c>
      <c r="B23" s="345" t="s">
        <v>461</v>
      </c>
      <c r="C23" s="346">
        <f>+'Bank Assets Analysis'!C23-'Bank Assets Analysis'!D23</f>
        <v>0</v>
      </c>
      <c r="D23" s="346">
        <f>+'Bank Assets Analysis'!E23-'Bank Assets Analysis'!F23</f>
        <v>0</v>
      </c>
      <c r="E23" s="346">
        <f>+'Bank Assets Analysis'!G23-'Bank Assets Analysis'!H23</f>
        <v>0</v>
      </c>
      <c r="F23" s="346">
        <f>+'Bank Assets Analysis'!I23-'Bank Assets Analysis'!J23</f>
        <v>0</v>
      </c>
      <c r="G23" s="346">
        <f>+'Bank Assets Analysis'!K23-'Bank Assets Analysis'!L23</f>
        <v>0</v>
      </c>
      <c r="H23" s="346">
        <f>+'Bank Assets Analysis'!M23-'Bank Assets Analysis'!N23</f>
        <v>0</v>
      </c>
      <c r="I23" s="346">
        <f>+'Bank Assets Analysis'!O23-'Bank Assets Analysis'!P23</f>
        <v>0</v>
      </c>
      <c r="J23" s="346">
        <f>+'Bank Assets Analysis'!Q23-'Bank Assets Analysis'!R23</f>
        <v>0</v>
      </c>
      <c r="K23" s="346">
        <f>+C23+D23+E23+F23+G23+H23+I23+J23</f>
        <v>0</v>
      </c>
      <c r="L23" s="347">
        <v>1</v>
      </c>
      <c r="M23" s="348">
        <f>+K23</f>
        <v>0</v>
      </c>
      <c r="N23" s="349">
        <f>+M23*L23</f>
        <v>0</v>
      </c>
      <c r="O23" s="347">
        <v>1</v>
      </c>
      <c r="P23" s="348">
        <f>+K23</f>
        <v>0</v>
      </c>
      <c r="Q23" s="349">
        <f t="shared" si="5"/>
        <v>0</v>
      </c>
      <c r="R23" s="351"/>
      <c r="S23" s="351"/>
      <c r="T23" s="351"/>
      <c r="U23" s="351"/>
      <c r="V23" s="351"/>
    </row>
    <row r="24" spans="1:22" s="352" customFormat="1" ht="33.75" customHeight="1">
      <c r="A24" s="344" t="s">
        <v>43</v>
      </c>
      <c r="B24" s="345" t="s">
        <v>44</v>
      </c>
      <c r="C24" s="346">
        <f>+'Bank Assets Analysis'!C24-'Bank Assets Analysis'!D24</f>
        <v>0</v>
      </c>
      <c r="D24" s="346">
        <f>+'Bank Assets Analysis'!E24-'Bank Assets Analysis'!F24</f>
        <v>0</v>
      </c>
      <c r="E24" s="346">
        <f>+'Bank Assets Analysis'!G24-'Bank Assets Analysis'!H24</f>
        <v>0</v>
      </c>
      <c r="F24" s="346">
        <f>+'Bank Assets Analysis'!I24-'Bank Assets Analysis'!J24</f>
        <v>0</v>
      </c>
      <c r="G24" s="346">
        <f>+'Bank Assets Analysis'!K24-'Bank Assets Analysis'!L24</f>
        <v>0</v>
      </c>
      <c r="H24" s="346">
        <f>+'Bank Assets Analysis'!M24-'Bank Assets Analysis'!N24</f>
        <v>0</v>
      </c>
      <c r="I24" s="346">
        <f>+'Bank Assets Analysis'!O24-'Bank Assets Analysis'!P24</f>
        <v>0</v>
      </c>
      <c r="J24" s="346">
        <f>+'Bank Assets Analysis'!Q24-'Bank Assets Analysis'!R24</f>
        <v>0</v>
      </c>
      <c r="K24" s="346">
        <f t="shared" si="0"/>
        <v>0</v>
      </c>
      <c r="L24" s="347">
        <v>1</v>
      </c>
      <c r="M24" s="348">
        <f>+K24</f>
        <v>0</v>
      </c>
      <c r="N24" s="349">
        <f t="shared" si="1"/>
        <v>0</v>
      </c>
      <c r="O24" s="347">
        <v>1</v>
      </c>
      <c r="P24" s="348">
        <f>+D24+E24</f>
        <v>0</v>
      </c>
      <c r="Q24" s="349">
        <f t="shared" si="5"/>
        <v>0</v>
      </c>
      <c r="R24" s="351"/>
      <c r="S24" s="351"/>
      <c r="T24" s="351"/>
      <c r="U24" s="351"/>
      <c r="V24" s="351"/>
    </row>
    <row r="25" spans="1:22" s="352" customFormat="1" ht="33.75" customHeight="1">
      <c r="A25" s="344" t="s">
        <v>471</v>
      </c>
      <c r="B25" s="345" t="s">
        <v>21</v>
      </c>
      <c r="C25" s="346">
        <f>+'Bank Assets Analysis'!C25-'Bank Assets Analysis'!D25</f>
        <v>11874175</v>
      </c>
      <c r="D25" s="346">
        <f>+'Bank Assets Analysis'!E25-'Bank Assets Analysis'!F25</f>
        <v>0</v>
      </c>
      <c r="E25" s="346">
        <f>+'Bank Assets Analysis'!G25-'Bank Assets Analysis'!H25</f>
        <v>0</v>
      </c>
      <c r="F25" s="346">
        <f>+'Bank Assets Analysis'!I25-'Bank Assets Analysis'!J25</f>
        <v>0</v>
      </c>
      <c r="G25" s="346">
        <f>+'Bank Assets Analysis'!K25-'Bank Assets Analysis'!L25</f>
        <v>0</v>
      </c>
      <c r="H25" s="346">
        <f>+'Bank Assets Analysis'!M25-'Bank Assets Analysis'!N25</f>
        <v>0</v>
      </c>
      <c r="I25" s="346">
        <f>+'Bank Assets Analysis'!O25-'Bank Assets Analysis'!P25</f>
        <v>0</v>
      </c>
      <c r="J25" s="346">
        <f>+'Bank Assets Analysis'!Q25-'Bank Assets Analysis'!R25</f>
        <v>0</v>
      </c>
      <c r="K25" s="346">
        <f t="shared" si="0"/>
        <v>11874175</v>
      </c>
      <c r="L25" s="347">
        <v>0</v>
      </c>
      <c r="M25" s="348"/>
      <c r="N25" s="346"/>
      <c r="O25" s="347">
        <v>0</v>
      </c>
      <c r="P25" s="348"/>
      <c r="Q25" s="346"/>
      <c r="R25" s="351"/>
      <c r="S25" s="351"/>
      <c r="T25" s="351"/>
      <c r="U25" s="351"/>
      <c r="V25" s="351"/>
    </row>
    <row r="26" spans="1:22" s="352" customFormat="1" ht="33.75" customHeight="1">
      <c r="A26" s="344" t="s">
        <v>135</v>
      </c>
      <c r="B26" s="345" t="s">
        <v>136</v>
      </c>
      <c r="C26" s="346">
        <f>+'Bank Assets Analysis'!C26-'Bank Assets Analysis'!D26</f>
        <v>0</v>
      </c>
      <c r="D26" s="346">
        <f>+'Bank Assets Analysis'!E26-'Bank Assets Analysis'!F26</f>
        <v>0</v>
      </c>
      <c r="E26" s="346">
        <f>+'Bank Assets Analysis'!G26-'Bank Assets Analysis'!H26</f>
        <v>0</v>
      </c>
      <c r="F26" s="346">
        <f>+'Bank Assets Analysis'!I26-'Bank Assets Analysis'!J26</f>
        <v>0</v>
      </c>
      <c r="G26" s="346">
        <f>+'Bank Assets Analysis'!K26-'Bank Assets Analysis'!L26</f>
        <v>0</v>
      </c>
      <c r="H26" s="346">
        <f>+'Bank Assets Analysis'!M26-'Bank Assets Analysis'!N26</f>
        <v>0</v>
      </c>
      <c r="I26" s="346">
        <f>+'Bank Assets Analysis'!O26-'Bank Assets Analysis'!P26</f>
        <v>0</v>
      </c>
      <c r="J26" s="346">
        <f>+'Bank Assets Analysis'!Q26-'Bank Assets Analysis'!R26</f>
        <v>0</v>
      </c>
      <c r="K26" s="346">
        <f t="shared" si="0"/>
        <v>0</v>
      </c>
      <c r="L26" s="347">
        <v>0.3</v>
      </c>
      <c r="M26" s="348">
        <f>+C26+D26+E26</f>
        <v>0</v>
      </c>
      <c r="N26" s="346">
        <f t="shared" si="1"/>
        <v>0</v>
      </c>
      <c r="O26" s="347">
        <v>0.3</v>
      </c>
      <c r="P26" s="348">
        <f>+D26+E26</f>
        <v>0</v>
      </c>
      <c r="Q26" s="346">
        <f t="shared" si="5"/>
        <v>0</v>
      </c>
      <c r="R26" s="351"/>
      <c r="S26" s="351"/>
      <c r="T26" s="351"/>
      <c r="U26" s="351"/>
      <c r="V26" s="351"/>
    </row>
    <row r="27" spans="1:22" s="352" customFormat="1" ht="33.75" customHeight="1">
      <c r="A27" s="344" t="s">
        <v>137</v>
      </c>
      <c r="B27" s="345" t="s">
        <v>138</v>
      </c>
      <c r="C27" s="346">
        <f>+'Bank Assets Analysis'!C27-'Bank Assets Analysis'!D27</f>
        <v>0</v>
      </c>
      <c r="D27" s="346">
        <f>+'Bank Assets Analysis'!E27-'Bank Assets Analysis'!F27</f>
        <v>0</v>
      </c>
      <c r="E27" s="346">
        <f>+'Bank Assets Analysis'!G27-'Bank Assets Analysis'!H27</f>
        <v>0</v>
      </c>
      <c r="F27" s="346">
        <f>+'Bank Assets Analysis'!I27-'Bank Assets Analysis'!J27</f>
        <v>0</v>
      </c>
      <c r="G27" s="346">
        <f>+'Bank Assets Analysis'!K27-'Bank Assets Analysis'!L27</f>
        <v>0</v>
      </c>
      <c r="H27" s="346">
        <f>+'Bank Assets Analysis'!M27-'Bank Assets Analysis'!N27</f>
        <v>0</v>
      </c>
      <c r="I27" s="346">
        <f>+'Bank Assets Analysis'!O27-'Bank Assets Analysis'!P27</f>
        <v>0</v>
      </c>
      <c r="J27" s="346">
        <f>+'Bank Assets Analysis'!Q27-'Bank Assets Analysis'!R27</f>
        <v>0</v>
      </c>
      <c r="K27" s="346">
        <f t="shared" si="0"/>
        <v>0</v>
      </c>
      <c r="L27" s="347">
        <v>0.3</v>
      </c>
      <c r="M27" s="348">
        <f>+C27+D27+E27</f>
        <v>0</v>
      </c>
      <c r="N27" s="346">
        <f t="shared" si="1"/>
        <v>0</v>
      </c>
      <c r="O27" s="347">
        <v>0.3</v>
      </c>
      <c r="P27" s="348">
        <f>+D27+E27</f>
        <v>0</v>
      </c>
      <c r="Q27" s="346">
        <f t="shared" si="5"/>
        <v>0</v>
      </c>
      <c r="R27" s="351"/>
      <c r="S27" s="351"/>
      <c r="T27" s="351"/>
      <c r="U27" s="351"/>
      <c r="V27" s="351"/>
    </row>
    <row r="28" spans="1:22" s="352" customFormat="1" ht="33.75" customHeight="1">
      <c r="A28" s="344" t="s">
        <v>139</v>
      </c>
      <c r="B28" s="345" t="s">
        <v>140</v>
      </c>
      <c r="C28" s="346">
        <f>+'Bank Assets Analysis'!C28-'Bank Assets Analysis'!D28</f>
        <v>0</v>
      </c>
      <c r="D28" s="346">
        <f>+'Bank Assets Analysis'!E28-'Bank Assets Analysis'!F28</f>
        <v>0</v>
      </c>
      <c r="E28" s="346">
        <f>+'Bank Assets Analysis'!G28-'Bank Assets Analysis'!H28</f>
        <v>0</v>
      </c>
      <c r="F28" s="346">
        <f>+'Bank Assets Analysis'!I28-'Bank Assets Analysis'!J28</f>
        <v>0</v>
      </c>
      <c r="G28" s="346">
        <f>+'Bank Assets Analysis'!K28-'Bank Assets Analysis'!L28</f>
        <v>0</v>
      </c>
      <c r="H28" s="346">
        <f>+'Bank Assets Analysis'!M28-'Bank Assets Analysis'!N28</f>
        <v>0</v>
      </c>
      <c r="I28" s="346">
        <f>+'Bank Assets Analysis'!O28-'Bank Assets Analysis'!P28</f>
        <v>0</v>
      </c>
      <c r="J28" s="346">
        <f>+'Bank Assets Analysis'!Q28-'Bank Assets Analysis'!R28</f>
        <v>0</v>
      </c>
      <c r="K28" s="346">
        <f t="shared" si="0"/>
        <v>0</v>
      </c>
      <c r="L28" s="347">
        <v>0.3</v>
      </c>
      <c r="M28" s="348">
        <f>+C28+D28+E28</f>
        <v>0</v>
      </c>
      <c r="N28" s="346">
        <f t="shared" si="1"/>
        <v>0</v>
      </c>
      <c r="O28" s="347">
        <v>0.3</v>
      </c>
      <c r="P28" s="348">
        <f>+D28+E28</f>
        <v>0</v>
      </c>
      <c r="Q28" s="346">
        <f t="shared" si="5"/>
        <v>0</v>
      </c>
      <c r="R28" s="351"/>
      <c r="S28" s="351"/>
      <c r="T28" s="351"/>
      <c r="U28" s="351"/>
      <c r="V28" s="351"/>
    </row>
    <row r="29" spans="1:22" s="352" customFormat="1" ht="33.75" customHeight="1">
      <c r="A29" s="344" t="s">
        <v>141</v>
      </c>
      <c r="B29" s="345" t="s">
        <v>142</v>
      </c>
      <c r="C29" s="346">
        <f>+'Bank Assets Analysis'!C29-'Bank Assets Analysis'!D29</f>
        <v>0</v>
      </c>
      <c r="D29" s="346">
        <f>+'Bank Assets Analysis'!E29-'Bank Assets Analysis'!F29</f>
        <v>0</v>
      </c>
      <c r="E29" s="346">
        <f>+'Bank Assets Analysis'!G29-'Bank Assets Analysis'!H29</f>
        <v>0</v>
      </c>
      <c r="F29" s="346">
        <f>+'Bank Assets Analysis'!I29-'Bank Assets Analysis'!J29</f>
        <v>0</v>
      </c>
      <c r="G29" s="346">
        <f>+'Bank Assets Analysis'!K29-'Bank Assets Analysis'!L29</f>
        <v>0</v>
      </c>
      <c r="H29" s="346">
        <f>+'Bank Assets Analysis'!M29-'Bank Assets Analysis'!N29</f>
        <v>0</v>
      </c>
      <c r="I29" s="346">
        <f>+'Bank Assets Analysis'!O29-'Bank Assets Analysis'!P29</f>
        <v>0</v>
      </c>
      <c r="J29" s="346">
        <f>+'Bank Assets Analysis'!Q29-'Bank Assets Analysis'!R29</f>
        <v>0</v>
      </c>
      <c r="K29" s="346">
        <f t="shared" si="0"/>
        <v>0</v>
      </c>
      <c r="L29" s="347">
        <v>1</v>
      </c>
      <c r="M29" s="348">
        <f>+C29+D29+E29</f>
        <v>0</v>
      </c>
      <c r="N29" s="346">
        <f t="shared" si="1"/>
        <v>0</v>
      </c>
      <c r="O29" s="347">
        <v>1</v>
      </c>
      <c r="P29" s="348">
        <f>C29+D29+E29</f>
        <v>0</v>
      </c>
      <c r="Q29" s="346">
        <f t="shared" si="5"/>
        <v>0</v>
      </c>
      <c r="R29" s="351"/>
      <c r="S29" s="351"/>
      <c r="T29" s="351"/>
      <c r="U29" s="351"/>
      <c r="V29" s="351"/>
    </row>
    <row r="30" spans="1:22" s="352" customFormat="1" ht="33.75" customHeight="1">
      <c r="A30" s="344" t="s">
        <v>143</v>
      </c>
      <c r="B30" s="345" t="s">
        <v>144</v>
      </c>
      <c r="C30" s="346">
        <f>+'Bank Assets Analysis'!C30-'Bank Assets Analysis'!D30</f>
        <v>0</v>
      </c>
      <c r="D30" s="346">
        <f>+'Bank Assets Analysis'!E30-'Bank Assets Analysis'!F30</f>
        <v>0</v>
      </c>
      <c r="E30" s="346">
        <f>+'Bank Assets Analysis'!G30-'Bank Assets Analysis'!H30</f>
        <v>0</v>
      </c>
      <c r="F30" s="346">
        <f>+'Bank Assets Analysis'!I30-'Bank Assets Analysis'!J30</f>
        <v>0</v>
      </c>
      <c r="G30" s="346">
        <f>+'Bank Assets Analysis'!K30-'Bank Assets Analysis'!L30</f>
        <v>0</v>
      </c>
      <c r="H30" s="346">
        <f>+'Bank Assets Analysis'!M30-'Bank Assets Analysis'!N30</f>
        <v>0</v>
      </c>
      <c r="I30" s="346">
        <f>+'Bank Assets Analysis'!O30-'Bank Assets Analysis'!P30</f>
        <v>0</v>
      </c>
      <c r="J30" s="346">
        <f>+'Bank Assets Analysis'!Q30-'Bank Assets Analysis'!R30</f>
        <v>0</v>
      </c>
      <c r="K30" s="346">
        <f t="shared" si="0"/>
        <v>0</v>
      </c>
      <c r="L30" s="347">
        <v>0.5</v>
      </c>
      <c r="M30" s="348">
        <f>D30+E30</f>
        <v>0</v>
      </c>
      <c r="N30" s="346">
        <f t="shared" si="1"/>
        <v>0</v>
      </c>
      <c r="O30" s="347">
        <v>0.5</v>
      </c>
      <c r="P30" s="348">
        <f>+D30+E30</f>
        <v>0</v>
      </c>
      <c r="Q30" s="346">
        <f t="shared" si="5"/>
        <v>0</v>
      </c>
      <c r="R30" s="351"/>
      <c r="S30" s="351"/>
      <c r="T30" s="351"/>
      <c r="U30" s="351"/>
      <c r="V30" s="351"/>
    </row>
    <row r="31" spans="1:22" s="352" customFormat="1" ht="33.75" customHeight="1">
      <c r="A31" s="344">
        <v>10</v>
      </c>
      <c r="B31" s="345" t="s">
        <v>145</v>
      </c>
      <c r="C31" s="346">
        <f>+'Bank Assets Analysis'!C31-'Bank Assets Analysis'!D31</f>
        <v>17260417</v>
      </c>
      <c r="D31" s="346">
        <f>+'Bank Assets Analysis'!E31-'Bank Assets Analysis'!F31</f>
        <v>32740341</v>
      </c>
      <c r="E31" s="346">
        <f>+'Bank Assets Analysis'!G31-'Bank Assets Analysis'!H31</f>
        <v>18199028</v>
      </c>
      <c r="F31" s="346">
        <f>+'Bank Assets Analysis'!I31-'Bank Assets Analysis'!J31</f>
        <v>343154337</v>
      </c>
      <c r="G31" s="346">
        <f>+'Bank Assets Analysis'!K31-'Bank Assets Analysis'!L31</f>
        <v>541730395</v>
      </c>
      <c r="H31" s="346">
        <f>+'Bank Assets Analysis'!M31-'Bank Assets Analysis'!N31</f>
        <v>900376834</v>
      </c>
      <c r="I31" s="346">
        <f>+'Bank Assets Analysis'!O31-'Bank Assets Analysis'!P31</f>
        <v>959460506</v>
      </c>
      <c r="J31" s="346">
        <f>+'Bank Assets Analysis'!Q31-'Bank Assets Analysis'!R31</f>
        <v>805128723</v>
      </c>
      <c r="K31" s="346">
        <f t="shared" si="0"/>
        <v>3618050581</v>
      </c>
      <c r="L31" s="347">
        <v>0.3</v>
      </c>
      <c r="M31" s="348">
        <f>D31+E31</f>
        <v>50939369</v>
      </c>
      <c r="N31" s="346">
        <f t="shared" si="1"/>
        <v>15281810.699999999</v>
      </c>
      <c r="O31" s="347">
        <v>0.5</v>
      </c>
      <c r="P31" s="348">
        <f>+D31+E31</f>
        <v>50939369</v>
      </c>
      <c r="Q31" s="346">
        <f t="shared" si="5"/>
        <v>25469684.5</v>
      </c>
      <c r="R31" s="351"/>
      <c r="S31" s="351"/>
      <c r="T31" s="351"/>
      <c r="U31" s="351"/>
      <c r="V31" s="351"/>
    </row>
    <row r="32" spans="1:22" s="352" customFormat="1" ht="33.75" customHeight="1">
      <c r="A32" s="344" t="s">
        <v>544</v>
      </c>
      <c r="B32" s="345" t="s">
        <v>550</v>
      </c>
      <c r="C32" s="346">
        <f>+'Bank Assets Analysis'!C32-'Bank Assets Analysis'!D32</f>
        <v>3096757</v>
      </c>
      <c r="D32" s="346">
        <f>+'Bank Assets Analysis'!E32-'Bank Assets Analysis'!F32</f>
        <v>22396424</v>
      </c>
      <c r="E32" s="346">
        <f>+'Bank Assets Analysis'!G32-'Bank Assets Analysis'!H32</f>
        <v>10872070</v>
      </c>
      <c r="F32" s="346">
        <f>+'Bank Assets Analysis'!I32-'Bank Assets Analysis'!J32</f>
        <v>146471557</v>
      </c>
      <c r="G32" s="346">
        <f>+'Bank Assets Analysis'!K32-'Bank Assets Analysis'!L32</f>
        <v>249060816</v>
      </c>
      <c r="H32" s="346">
        <f>+'Bank Assets Analysis'!M32-'Bank Assets Analysis'!N32</f>
        <v>434426024</v>
      </c>
      <c r="I32" s="346">
        <f>+'Bank Assets Analysis'!O32-'Bank Assets Analysis'!P32</f>
        <v>460118904</v>
      </c>
      <c r="J32" s="346">
        <f>+'Bank Assets Analysis'!Q32-'Bank Assets Analysis'!R32</f>
        <v>283602100</v>
      </c>
      <c r="K32" s="346">
        <f t="shared" si="0"/>
        <v>1610044652</v>
      </c>
      <c r="L32" s="347">
        <v>0</v>
      </c>
      <c r="M32" s="348"/>
      <c r="N32" s="346"/>
      <c r="O32" s="347">
        <v>0</v>
      </c>
      <c r="P32" s="348"/>
      <c r="Q32" s="346"/>
      <c r="R32" s="351"/>
      <c r="S32" s="351"/>
      <c r="T32" s="351"/>
      <c r="U32" s="351"/>
      <c r="V32" s="351"/>
    </row>
    <row r="33" spans="1:22" s="352" customFormat="1" ht="33.75" customHeight="1">
      <c r="A33" s="344">
        <v>11</v>
      </c>
      <c r="B33" s="345" t="s">
        <v>146</v>
      </c>
      <c r="C33" s="346">
        <f>+'Bank Assets Analysis'!C33-'Bank Assets Analysis'!D33</f>
        <v>12083971</v>
      </c>
      <c r="D33" s="346">
        <f>+'Bank Assets Analysis'!E33-'Bank Assets Analysis'!F33</f>
        <v>0</v>
      </c>
      <c r="E33" s="346">
        <f>+'Bank Assets Analysis'!G33-'Bank Assets Analysis'!H33</f>
        <v>0</v>
      </c>
      <c r="F33" s="346">
        <f>+'Bank Assets Analysis'!I33-'Bank Assets Analysis'!J33</f>
        <v>0</v>
      </c>
      <c r="G33" s="346">
        <f>+'Bank Assets Analysis'!K33-'Bank Assets Analysis'!L33</f>
        <v>0</v>
      </c>
      <c r="H33" s="346">
        <f>+'Bank Assets Analysis'!M33-'Bank Assets Analysis'!N33</f>
        <v>0</v>
      </c>
      <c r="I33" s="346">
        <f>+'Bank Assets Analysis'!O33-'Bank Assets Analysis'!P33</f>
        <v>0</v>
      </c>
      <c r="J33" s="346">
        <f>+'Bank Assets Analysis'!Q33-'Bank Assets Analysis'!R33</f>
        <v>0</v>
      </c>
      <c r="K33" s="346">
        <f t="shared" si="0"/>
        <v>12083971</v>
      </c>
      <c r="L33" s="347">
        <v>0</v>
      </c>
      <c r="M33" s="348"/>
      <c r="N33" s="346"/>
      <c r="O33" s="347">
        <v>0</v>
      </c>
      <c r="P33" s="348"/>
      <c r="Q33" s="346"/>
      <c r="R33" s="351"/>
      <c r="S33" s="351"/>
      <c r="T33" s="351"/>
      <c r="U33" s="351"/>
      <c r="V33" s="351"/>
    </row>
    <row r="34" spans="1:22" s="352" customFormat="1" ht="33.75" customHeight="1">
      <c r="A34" s="344" t="s">
        <v>147</v>
      </c>
      <c r="B34" s="345" t="s">
        <v>148</v>
      </c>
      <c r="C34" s="346">
        <f>+'Bank Assets Analysis'!C34-'Bank Assets Analysis'!D34</f>
        <v>107220</v>
      </c>
      <c r="D34" s="346">
        <f>+'Bank Assets Analysis'!E34-'Bank Assets Analysis'!F34</f>
        <v>6600000</v>
      </c>
      <c r="E34" s="346">
        <f>+'Bank Assets Analysis'!G34-'Bank Assets Analysis'!H34</f>
        <v>0</v>
      </c>
      <c r="F34" s="346">
        <f>+'Bank Assets Analysis'!I34-'Bank Assets Analysis'!J34</f>
        <v>0</v>
      </c>
      <c r="G34" s="346">
        <f>+'Bank Assets Analysis'!K34-'Bank Assets Analysis'!L34</f>
        <v>0</v>
      </c>
      <c r="H34" s="346">
        <f>+'Bank Assets Analysis'!M34-'Bank Assets Analysis'!N34</f>
        <v>0</v>
      </c>
      <c r="I34" s="346">
        <f>+'Bank Assets Analysis'!O34-'Bank Assets Analysis'!P34</f>
        <v>0</v>
      </c>
      <c r="J34" s="346">
        <f>+'Bank Assets Analysis'!Q34-'Bank Assets Analysis'!R34</f>
        <v>0</v>
      </c>
      <c r="K34" s="346">
        <f t="shared" si="0"/>
        <v>6707220</v>
      </c>
      <c r="L34" s="347">
        <v>0</v>
      </c>
      <c r="M34" s="348"/>
      <c r="N34" s="346"/>
      <c r="O34" s="347">
        <v>0</v>
      </c>
      <c r="P34" s="348"/>
      <c r="Q34" s="346"/>
      <c r="R34" s="351"/>
      <c r="S34" s="351"/>
      <c r="T34" s="351"/>
      <c r="U34" s="351"/>
      <c r="V34" s="351"/>
    </row>
    <row r="35" spans="1:22" s="352" customFormat="1" ht="33.75" customHeight="1">
      <c r="A35" s="344" t="s">
        <v>149</v>
      </c>
      <c r="B35" s="345" t="s">
        <v>150</v>
      </c>
      <c r="C35" s="346">
        <f t="shared" ref="C35:J35" si="6">+C36+C37</f>
        <v>0</v>
      </c>
      <c r="D35" s="346">
        <f t="shared" si="6"/>
        <v>0</v>
      </c>
      <c r="E35" s="346">
        <f t="shared" si="6"/>
        <v>0</v>
      </c>
      <c r="F35" s="346">
        <f t="shared" si="6"/>
        <v>0</v>
      </c>
      <c r="G35" s="346">
        <f t="shared" si="6"/>
        <v>0</v>
      </c>
      <c r="H35" s="346">
        <f t="shared" si="6"/>
        <v>0</v>
      </c>
      <c r="I35" s="346">
        <f t="shared" si="6"/>
        <v>0</v>
      </c>
      <c r="J35" s="346">
        <f t="shared" si="6"/>
        <v>0</v>
      </c>
      <c r="K35" s="346">
        <f t="shared" si="0"/>
        <v>0</v>
      </c>
      <c r="L35" s="347"/>
      <c r="M35" s="348"/>
      <c r="N35" s="346"/>
      <c r="O35" s="347"/>
      <c r="P35" s="348"/>
      <c r="Q35" s="346"/>
      <c r="R35" s="351"/>
      <c r="S35" s="351"/>
      <c r="T35" s="351"/>
      <c r="U35" s="351"/>
      <c r="V35" s="351"/>
    </row>
    <row r="36" spans="1:22" s="352" customFormat="1" ht="33.75" customHeight="1">
      <c r="A36" s="344" t="s">
        <v>25</v>
      </c>
      <c r="B36" s="345" t="s">
        <v>514</v>
      </c>
      <c r="C36" s="346">
        <f>+'Bank Assets Analysis'!C36-'Bank Assets Analysis'!D36</f>
        <v>0</v>
      </c>
      <c r="D36" s="346">
        <f>+'Bank Assets Analysis'!E36-'Bank Assets Analysis'!F36</f>
        <v>0</v>
      </c>
      <c r="E36" s="346">
        <f>+'Bank Assets Analysis'!G36-'Bank Assets Analysis'!H36</f>
        <v>0</v>
      </c>
      <c r="F36" s="346">
        <f>+'Bank Assets Analysis'!I36-'Bank Assets Analysis'!J36</f>
        <v>0</v>
      </c>
      <c r="G36" s="346">
        <f>+'Bank Assets Analysis'!K36-'Bank Assets Analysis'!L36</f>
        <v>0</v>
      </c>
      <c r="H36" s="346">
        <f>+'Bank Assets Analysis'!M36-'Bank Assets Analysis'!N36</f>
        <v>0</v>
      </c>
      <c r="I36" s="346">
        <f>+'Bank Assets Analysis'!O36-'Bank Assets Analysis'!P36</f>
        <v>0</v>
      </c>
      <c r="J36" s="346">
        <f>+'Bank Assets Analysis'!Q36-'Bank Assets Analysis'!R36</f>
        <v>0</v>
      </c>
      <c r="K36" s="346">
        <f t="shared" si="0"/>
        <v>0</v>
      </c>
      <c r="L36" s="347">
        <v>1</v>
      </c>
      <c r="M36" s="348">
        <f>+K36</f>
        <v>0</v>
      </c>
      <c r="N36" s="349">
        <f t="shared" si="1"/>
        <v>0</v>
      </c>
      <c r="O36" s="347">
        <v>1</v>
      </c>
      <c r="P36" s="348">
        <f>+K36</f>
        <v>0</v>
      </c>
      <c r="Q36" s="349">
        <f t="shared" si="5"/>
        <v>0</v>
      </c>
      <c r="R36" s="351"/>
      <c r="S36" s="351"/>
      <c r="T36" s="351"/>
      <c r="U36" s="351"/>
      <c r="V36" s="351"/>
    </row>
    <row r="37" spans="1:22" s="352" customFormat="1" ht="33.75" customHeight="1">
      <c r="A37" s="344" t="s">
        <v>528</v>
      </c>
      <c r="B37" s="345" t="s">
        <v>26</v>
      </c>
      <c r="C37" s="346">
        <f>+'Bank Assets Analysis'!C37-'Bank Assets Analysis'!D37</f>
        <v>0</v>
      </c>
      <c r="D37" s="346">
        <f>+'Bank Assets Analysis'!E37-'Bank Assets Analysis'!F37</f>
        <v>0</v>
      </c>
      <c r="E37" s="346">
        <f>+'Bank Assets Analysis'!G37-'Bank Assets Analysis'!H37</f>
        <v>0</v>
      </c>
      <c r="F37" s="346">
        <f>+'Bank Assets Analysis'!I37-'Bank Assets Analysis'!J37</f>
        <v>0</v>
      </c>
      <c r="G37" s="346">
        <f>+'Bank Assets Analysis'!K37-'Bank Assets Analysis'!L37</f>
        <v>0</v>
      </c>
      <c r="H37" s="346">
        <f>+'Bank Assets Analysis'!M37-'Bank Assets Analysis'!N37</f>
        <v>0</v>
      </c>
      <c r="I37" s="346">
        <f>+'Bank Assets Analysis'!O37-'Bank Assets Analysis'!P37</f>
        <v>0</v>
      </c>
      <c r="J37" s="346">
        <f>+'Bank Assets Analysis'!Q37-'Bank Assets Analysis'!R37</f>
        <v>0</v>
      </c>
      <c r="K37" s="346">
        <f t="shared" si="0"/>
        <v>0</v>
      </c>
      <c r="L37" s="347">
        <v>0</v>
      </c>
      <c r="M37" s="348"/>
      <c r="N37" s="346"/>
      <c r="O37" s="347">
        <v>0</v>
      </c>
      <c r="P37" s="348"/>
      <c r="Q37" s="346">
        <f t="shared" si="5"/>
        <v>0</v>
      </c>
      <c r="R37" s="351"/>
      <c r="S37" s="351"/>
      <c r="T37" s="351"/>
      <c r="U37" s="351"/>
      <c r="V37" s="351"/>
    </row>
    <row r="38" spans="1:22" s="352" customFormat="1" ht="33.75" customHeight="1">
      <c r="A38" s="344" t="s">
        <v>151</v>
      </c>
      <c r="B38" s="345" t="s">
        <v>372</v>
      </c>
      <c r="C38" s="346">
        <f>+'Bank Assets Analysis'!C38-'Bank Assets Analysis'!D38</f>
        <v>166807725</v>
      </c>
      <c r="D38" s="346">
        <f>+'Bank Assets Analysis'!E38-'Bank Assets Analysis'!F38</f>
        <v>0</v>
      </c>
      <c r="E38" s="346">
        <f>+'Bank Assets Analysis'!G38-'Bank Assets Analysis'!H38</f>
        <v>0</v>
      </c>
      <c r="F38" s="346">
        <f>+'Bank Assets Analysis'!I38-'Bank Assets Analysis'!J38</f>
        <v>0</v>
      </c>
      <c r="G38" s="346">
        <f>+'Bank Assets Analysis'!K38-'Bank Assets Analysis'!L38</f>
        <v>0</v>
      </c>
      <c r="H38" s="346">
        <f>+'Bank Assets Analysis'!M38-'Bank Assets Analysis'!N38</f>
        <v>0</v>
      </c>
      <c r="I38" s="346">
        <f>+'Bank Assets Analysis'!O38-'Bank Assets Analysis'!P38</f>
        <v>0</v>
      </c>
      <c r="J38" s="346">
        <f>+'Bank Assets Analysis'!Q38-'Bank Assets Analysis'!R38</f>
        <v>0</v>
      </c>
      <c r="K38" s="346">
        <f t="shared" si="0"/>
        <v>166807725</v>
      </c>
      <c r="L38" s="347">
        <v>0</v>
      </c>
      <c r="M38" s="348"/>
      <c r="N38" s="346"/>
      <c r="O38" s="347">
        <v>0</v>
      </c>
      <c r="P38" s="348"/>
      <c r="Q38" s="346">
        <f t="shared" si="5"/>
        <v>0</v>
      </c>
      <c r="R38" s="351"/>
      <c r="S38" s="351"/>
      <c r="T38" s="351"/>
      <c r="U38" s="351"/>
      <c r="V38" s="351"/>
    </row>
    <row r="39" spans="1:22" s="352" customFormat="1" ht="33.75" customHeight="1">
      <c r="A39" s="344" t="s">
        <v>153</v>
      </c>
      <c r="B39" s="345" t="s">
        <v>373</v>
      </c>
      <c r="C39" s="346">
        <f>+'Bank Assets Analysis'!C39-'Bank Assets Analysis'!D39</f>
        <v>1005589</v>
      </c>
      <c r="D39" s="346">
        <f>+'Bank Assets Analysis'!E39-'Bank Assets Analysis'!F39</f>
        <v>0</v>
      </c>
      <c r="E39" s="346">
        <f>+'Bank Assets Analysis'!G39-'Bank Assets Analysis'!H39</f>
        <v>0</v>
      </c>
      <c r="F39" s="346">
        <f>+'Bank Assets Analysis'!I39-'Bank Assets Analysis'!J39</f>
        <v>0</v>
      </c>
      <c r="G39" s="346">
        <f>+'Bank Assets Analysis'!K39-'Bank Assets Analysis'!L39</f>
        <v>0</v>
      </c>
      <c r="H39" s="346">
        <f>+'Bank Assets Analysis'!M39-'Bank Assets Analysis'!N39</f>
        <v>0</v>
      </c>
      <c r="I39" s="346">
        <f>+'Bank Assets Analysis'!O39-'Bank Assets Analysis'!P39</f>
        <v>0</v>
      </c>
      <c r="J39" s="346">
        <f>+'Bank Assets Analysis'!Q39-'Bank Assets Analysis'!R39</f>
        <v>0</v>
      </c>
      <c r="K39" s="346">
        <f t="shared" si="0"/>
        <v>1005589</v>
      </c>
      <c r="L39" s="347">
        <v>0</v>
      </c>
      <c r="M39" s="348"/>
      <c r="N39" s="346"/>
      <c r="O39" s="347">
        <v>0</v>
      </c>
      <c r="P39" s="348"/>
      <c r="Q39" s="346">
        <f t="shared" si="5"/>
        <v>0</v>
      </c>
      <c r="R39" s="351"/>
      <c r="S39" s="351"/>
      <c r="T39" s="351"/>
      <c r="U39" s="351"/>
      <c r="V39" s="351"/>
    </row>
    <row r="40" spans="1:22" s="352" customFormat="1" ht="33.75" customHeight="1">
      <c r="A40" s="344" t="s">
        <v>154</v>
      </c>
      <c r="B40" s="345" t="s">
        <v>155</v>
      </c>
      <c r="C40" s="346">
        <f>+'Bank Assets Analysis'!C40-'Bank Assets Analysis'!D40</f>
        <v>0</v>
      </c>
      <c r="D40" s="346">
        <f>+'Bank Assets Analysis'!E40-'Bank Assets Analysis'!F40</f>
        <v>0</v>
      </c>
      <c r="E40" s="346">
        <f>+'Bank Assets Analysis'!G40-'Bank Assets Analysis'!H40</f>
        <v>0</v>
      </c>
      <c r="F40" s="346">
        <f>+'Bank Assets Analysis'!I40-'Bank Assets Analysis'!J40</f>
        <v>0</v>
      </c>
      <c r="G40" s="346">
        <f>+'Bank Assets Analysis'!K40-'Bank Assets Analysis'!L40</f>
        <v>0</v>
      </c>
      <c r="H40" s="346">
        <f>+'Bank Assets Analysis'!M40-'Bank Assets Analysis'!N40</f>
        <v>0</v>
      </c>
      <c r="I40" s="346">
        <f>+'Bank Assets Analysis'!O40-'Bank Assets Analysis'!P40</f>
        <v>0</v>
      </c>
      <c r="J40" s="346">
        <f>+'Bank Assets Analysis'!Q40-'Bank Assets Analysis'!R40</f>
        <v>0</v>
      </c>
      <c r="K40" s="346">
        <f t="shared" si="0"/>
        <v>0</v>
      </c>
      <c r="L40" s="347">
        <v>0</v>
      </c>
      <c r="M40" s="348"/>
      <c r="N40" s="346"/>
      <c r="O40" s="347">
        <v>0</v>
      </c>
      <c r="P40" s="348"/>
      <c r="Q40" s="346">
        <f t="shared" si="5"/>
        <v>0</v>
      </c>
      <c r="R40" s="351"/>
      <c r="S40" s="351"/>
      <c r="T40" s="351"/>
      <c r="U40" s="351"/>
      <c r="V40" s="351"/>
    </row>
    <row r="41" spans="1:22" s="352" customFormat="1" ht="33.75" customHeight="1">
      <c r="A41" s="344" t="s">
        <v>156</v>
      </c>
      <c r="B41" s="345" t="s">
        <v>157</v>
      </c>
      <c r="C41" s="346"/>
      <c r="D41" s="346"/>
      <c r="E41" s="346"/>
      <c r="F41" s="346"/>
      <c r="G41" s="346"/>
      <c r="H41" s="346"/>
      <c r="I41" s="346"/>
      <c r="J41" s="346"/>
      <c r="K41" s="346">
        <f t="shared" si="0"/>
        <v>0</v>
      </c>
      <c r="L41" s="347">
        <v>0</v>
      </c>
      <c r="M41" s="348"/>
      <c r="N41" s="346"/>
      <c r="O41" s="347">
        <v>0</v>
      </c>
      <c r="P41" s="348"/>
      <c r="Q41" s="346">
        <f t="shared" si="5"/>
        <v>0</v>
      </c>
      <c r="R41" s="351"/>
      <c r="S41" s="351"/>
      <c r="T41" s="351"/>
      <c r="U41" s="351"/>
      <c r="V41" s="351"/>
    </row>
    <row r="42" spans="1:22" s="352" customFormat="1" ht="33.75" customHeight="1">
      <c r="A42" s="344" t="s">
        <v>158</v>
      </c>
      <c r="B42" s="345" t="s">
        <v>159</v>
      </c>
      <c r="C42" s="346">
        <f>+'Bank Assets Analysis'!C42-'Bank Assets Analysis'!D42</f>
        <v>0</v>
      </c>
      <c r="D42" s="346">
        <f>+'Bank Assets Analysis'!E42-'Bank Assets Analysis'!F42</f>
        <v>0</v>
      </c>
      <c r="E42" s="346">
        <f>+'Bank Assets Analysis'!G42-'Bank Assets Analysis'!H42</f>
        <v>0</v>
      </c>
      <c r="F42" s="346">
        <f>+'Bank Assets Analysis'!I42-'Bank Assets Analysis'!J42</f>
        <v>0</v>
      </c>
      <c r="G42" s="346">
        <f>+'Bank Assets Analysis'!K42-'Bank Assets Analysis'!L42</f>
        <v>0</v>
      </c>
      <c r="H42" s="346">
        <f>+'Bank Assets Analysis'!M42-'Bank Assets Analysis'!N42</f>
        <v>0</v>
      </c>
      <c r="I42" s="346">
        <f>+'Bank Assets Analysis'!O42-'Bank Assets Analysis'!P42</f>
        <v>0</v>
      </c>
      <c r="J42" s="346">
        <f>+'Bank Assets Analysis'!Q42-'Bank Assets Analysis'!R42</f>
        <v>0</v>
      </c>
      <c r="K42" s="346">
        <f t="shared" si="0"/>
        <v>0</v>
      </c>
      <c r="L42" s="347">
        <v>0</v>
      </c>
      <c r="M42" s="348"/>
      <c r="N42" s="346"/>
      <c r="O42" s="347">
        <v>0</v>
      </c>
      <c r="P42" s="348"/>
      <c r="Q42" s="346">
        <f t="shared" si="5"/>
        <v>0</v>
      </c>
      <c r="R42" s="351"/>
      <c r="S42" s="351"/>
      <c r="T42" s="351"/>
      <c r="U42" s="351"/>
      <c r="V42" s="351"/>
    </row>
    <row r="43" spans="1:22" s="352" customFormat="1" ht="33.75" customHeight="1">
      <c r="A43" s="344" t="s">
        <v>160</v>
      </c>
      <c r="B43" s="345" t="s">
        <v>161</v>
      </c>
      <c r="C43" s="346">
        <f>+'Bank Assets Analysis'!C43-'Bank Assets Analysis'!D43</f>
        <v>108064164</v>
      </c>
      <c r="D43" s="346">
        <f>+'Bank Assets Analysis'!E43-'Bank Assets Analysis'!F43</f>
        <v>0</v>
      </c>
      <c r="E43" s="346">
        <f>+'Bank Assets Analysis'!G43-'Bank Assets Analysis'!H43</f>
        <v>0</v>
      </c>
      <c r="F43" s="346">
        <f>+'Bank Assets Analysis'!I43-'Bank Assets Analysis'!J43</f>
        <v>0</v>
      </c>
      <c r="G43" s="346">
        <f>+'Bank Assets Analysis'!K43-'Bank Assets Analysis'!L43</f>
        <v>0</v>
      </c>
      <c r="H43" s="346">
        <f>+'Bank Assets Analysis'!M43-'Bank Assets Analysis'!N43</f>
        <v>0</v>
      </c>
      <c r="I43" s="346">
        <f>+'Bank Assets Analysis'!O43-'Bank Assets Analysis'!P43</f>
        <v>0</v>
      </c>
      <c r="J43" s="346">
        <f>+'Bank Assets Analysis'!Q43-'Bank Assets Analysis'!R43</f>
        <v>0</v>
      </c>
      <c r="K43" s="346">
        <f t="shared" si="0"/>
        <v>108064164</v>
      </c>
      <c r="L43" s="347">
        <v>0.3</v>
      </c>
      <c r="M43" s="348">
        <f>+C43+D43+E43</f>
        <v>108064164</v>
      </c>
      <c r="N43" s="346">
        <f t="shared" si="1"/>
        <v>32419249.199999999</v>
      </c>
      <c r="O43" s="347">
        <v>0.5</v>
      </c>
      <c r="P43" s="348">
        <f>+D43+E43</f>
        <v>0</v>
      </c>
      <c r="Q43" s="346">
        <f t="shared" si="5"/>
        <v>0</v>
      </c>
      <c r="R43" s="351"/>
      <c r="S43" s="351"/>
      <c r="T43" s="351"/>
      <c r="U43" s="351"/>
      <c r="V43" s="351"/>
    </row>
    <row r="44" spans="1:22" s="352" customFormat="1" ht="33.75" customHeight="1">
      <c r="A44" s="344" t="s">
        <v>162</v>
      </c>
      <c r="B44" s="345" t="s">
        <v>163</v>
      </c>
      <c r="C44" s="346">
        <f>+'Bank Assets Analysis'!C44-'Bank Assets Analysis'!D44</f>
        <v>62263526</v>
      </c>
      <c r="D44" s="346">
        <f>+'Bank Assets Analysis'!E44-'Bank Assets Analysis'!F44</f>
        <v>0</v>
      </c>
      <c r="E44" s="346">
        <f>+'Bank Assets Analysis'!G44-'Bank Assets Analysis'!H44</f>
        <v>0</v>
      </c>
      <c r="F44" s="346">
        <f>+'Bank Assets Analysis'!I44-'Bank Assets Analysis'!J44</f>
        <v>0</v>
      </c>
      <c r="G44" s="346">
        <f>+'Bank Assets Analysis'!K44-'Bank Assets Analysis'!L44</f>
        <v>0</v>
      </c>
      <c r="H44" s="346">
        <f>+'Bank Assets Analysis'!M44-'Bank Assets Analysis'!N44</f>
        <v>0</v>
      </c>
      <c r="I44" s="346">
        <f>+'Bank Assets Analysis'!O44-'Bank Assets Analysis'!P44</f>
        <v>0</v>
      </c>
      <c r="J44" s="346">
        <f>+'Bank Assets Analysis'!Q44-'Bank Assets Analysis'!R44</f>
        <v>0</v>
      </c>
      <c r="K44" s="346">
        <f t="shared" si="0"/>
        <v>62263526</v>
      </c>
      <c r="L44" s="347">
        <v>0</v>
      </c>
      <c r="M44" s="348"/>
      <c r="N44" s="346"/>
      <c r="O44" s="347">
        <v>0</v>
      </c>
      <c r="P44" s="348"/>
      <c r="Q44" s="346">
        <f t="shared" si="5"/>
        <v>0</v>
      </c>
      <c r="R44" s="351"/>
      <c r="S44" s="351"/>
      <c r="T44" s="351"/>
      <c r="U44" s="351"/>
      <c r="V44" s="351"/>
    </row>
    <row r="45" spans="1:22" s="351" customFormat="1" ht="33.75" customHeight="1">
      <c r="A45" s="353" t="s">
        <v>164</v>
      </c>
      <c r="B45" s="354" t="s">
        <v>165</v>
      </c>
      <c r="C45" s="355">
        <f>SUM(C7:C44)-C8-C11-C15-C19-C21-C32-C35</f>
        <v>514808522</v>
      </c>
      <c r="D45" s="355">
        <f t="shared" ref="D45:J45" si="7">SUM(D7:D44)-D8-D11-D15-D19-D21-D32-D35</f>
        <v>39340341</v>
      </c>
      <c r="E45" s="355">
        <f t="shared" si="7"/>
        <v>155819062</v>
      </c>
      <c r="F45" s="355">
        <f t="shared" si="7"/>
        <v>460723537</v>
      </c>
      <c r="G45" s="355">
        <f t="shared" si="7"/>
        <v>541730395</v>
      </c>
      <c r="H45" s="355">
        <f t="shared" si="7"/>
        <v>948376834</v>
      </c>
      <c r="I45" s="355">
        <f t="shared" si="7"/>
        <v>1154210506</v>
      </c>
      <c r="J45" s="355">
        <f t="shared" si="7"/>
        <v>805128723</v>
      </c>
      <c r="K45" s="355">
        <f>SUM(C45:J45)</f>
        <v>4620137920</v>
      </c>
      <c r="L45" s="355"/>
      <c r="M45" s="355"/>
      <c r="N45" s="355">
        <f>SUM(N7:N44)-N11-N35</f>
        <v>411124524</v>
      </c>
      <c r="O45" s="355"/>
      <c r="P45" s="355">
        <f>SUM(P7:P44)-P11-P35</f>
        <v>416281104</v>
      </c>
      <c r="Q45" s="355">
        <f>SUM(Q7:Q44)-Q11-Q35</f>
        <v>390811419.5</v>
      </c>
      <c r="R45" s="514">
        <f>+Balance!D45</f>
        <v>4620137920</v>
      </c>
      <c r="S45" s="514">
        <f>+K45-R45</f>
        <v>0</v>
      </c>
      <c r="T45" s="514">
        <f>+Balance!E45</f>
        <v>2481995985</v>
      </c>
      <c r="U45" s="514">
        <f>+R45</f>
        <v>4620137920</v>
      </c>
      <c r="V45" s="514">
        <f>+K45-U45</f>
        <v>0</v>
      </c>
    </row>
    <row r="46" spans="1:22" s="547" customFormat="1" ht="14.25">
      <c r="A46" s="445"/>
      <c r="B46" s="551" t="s">
        <v>545</v>
      </c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550"/>
    </row>
    <row r="47" spans="1:22" s="547" customFormat="1" ht="25.5" customHeight="1">
      <c r="A47" s="544"/>
      <c r="B47" s="323" t="s">
        <v>546</v>
      </c>
      <c r="C47" s="346">
        <f>+'Bank Assets Analysis'!C47-'Bank Assets Analysis'!D47</f>
        <v>0</v>
      </c>
      <c r="D47" s="346">
        <f>+'Bank Assets Analysis'!E47-'Bank Assets Analysis'!F47</f>
        <v>0</v>
      </c>
      <c r="E47" s="346">
        <f>+'Bank Assets Analysis'!G47-'Bank Assets Analysis'!H47</f>
        <v>0</v>
      </c>
      <c r="F47" s="346">
        <f>+'Bank Assets Analysis'!I47-'Bank Assets Analysis'!J47</f>
        <v>0</v>
      </c>
      <c r="G47" s="346">
        <f>+'Bank Assets Analysis'!K47-'Bank Assets Analysis'!L47</f>
        <v>0</v>
      </c>
      <c r="H47" s="346">
        <f>+'Bank Assets Analysis'!M47-'Bank Assets Analysis'!N47</f>
        <v>0</v>
      </c>
      <c r="I47" s="346">
        <f>+'Bank Assets Analysis'!O47-'Bank Assets Analysis'!P47</f>
        <v>0</v>
      </c>
      <c r="J47" s="346">
        <f>+'Bank Assets Analysis'!Q47-'Bank Assets Analysis'!R47</f>
        <v>0</v>
      </c>
      <c r="K47" s="346">
        <f>+C47+D47+E47+F47+G47+H47+I47+J47</f>
        <v>0</v>
      </c>
      <c r="L47" s="362"/>
      <c r="M47" s="362"/>
      <c r="N47" s="362"/>
      <c r="O47" s="362"/>
      <c r="P47" s="362"/>
      <c r="Q47" s="362"/>
      <c r="R47" s="550"/>
    </row>
    <row r="48" spans="1:22" s="547" customFormat="1" ht="25.5" customHeight="1">
      <c r="A48" s="544"/>
      <c r="B48" s="323" t="s">
        <v>547</v>
      </c>
      <c r="C48" s="346">
        <f>+'Bank Assets Analysis'!C48-'Bank Assets Analysis'!D48</f>
        <v>0</v>
      </c>
      <c r="D48" s="346">
        <f>+'Bank Assets Analysis'!E48-'Bank Assets Analysis'!F48</f>
        <v>0</v>
      </c>
      <c r="E48" s="346">
        <f>+'Bank Assets Analysis'!G48-'Bank Assets Analysis'!H48</f>
        <v>0</v>
      </c>
      <c r="F48" s="346">
        <f>+'Bank Assets Analysis'!I48-'Bank Assets Analysis'!J48</f>
        <v>0</v>
      </c>
      <c r="G48" s="346">
        <f>+'Bank Assets Analysis'!K48-'Bank Assets Analysis'!L48</f>
        <v>0</v>
      </c>
      <c r="H48" s="346">
        <f>+'Bank Assets Analysis'!M48-'Bank Assets Analysis'!N48</f>
        <v>0</v>
      </c>
      <c r="I48" s="346">
        <f>+'Bank Assets Analysis'!O48-'Bank Assets Analysis'!P48</f>
        <v>0</v>
      </c>
      <c r="J48" s="346">
        <f>+'Bank Assets Analysis'!Q48-'Bank Assets Analysis'!R48</f>
        <v>0</v>
      </c>
      <c r="K48" s="346">
        <f>+C48+D48+E48+F48+G48+H48+I48+J48</f>
        <v>0</v>
      </c>
      <c r="L48" s="362"/>
      <c r="M48" s="362"/>
      <c r="N48" s="362"/>
      <c r="O48" s="362"/>
      <c r="P48" s="362"/>
      <c r="Q48" s="362"/>
      <c r="R48" s="550"/>
    </row>
    <row r="49" spans="1:22" s="547" customFormat="1" ht="25.5" customHeight="1">
      <c r="A49" s="544"/>
      <c r="B49" s="323" t="s">
        <v>548</v>
      </c>
      <c r="C49" s="346">
        <f>+'Bank Assets Analysis'!C49-'Bank Assets Analysis'!D49</f>
        <v>0</v>
      </c>
      <c r="D49" s="346">
        <f>+'Bank Assets Analysis'!E49-'Bank Assets Analysis'!F49</f>
        <v>0</v>
      </c>
      <c r="E49" s="346">
        <f>+'Bank Assets Analysis'!G49-'Bank Assets Analysis'!H49</f>
        <v>0</v>
      </c>
      <c r="F49" s="346">
        <f>+'Bank Assets Analysis'!I49-'Bank Assets Analysis'!J49</f>
        <v>0</v>
      </c>
      <c r="G49" s="346">
        <f>+'Bank Assets Analysis'!K49-'Bank Assets Analysis'!L49</f>
        <v>0</v>
      </c>
      <c r="H49" s="346">
        <f>+'Bank Assets Analysis'!M49-'Bank Assets Analysis'!N49</f>
        <v>0</v>
      </c>
      <c r="I49" s="346">
        <f>+'Bank Assets Analysis'!O49-'Bank Assets Analysis'!P49</f>
        <v>0</v>
      </c>
      <c r="J49" s="346">
        <f>+'Bank Assets Analysis'!Q49-'Bank Assets Analysis'!R49</f>
        <v>0</v>
      </c>
      <c r="K49" s="346">
        <f>+C49+D49+E49+F49+G49+H49+I49+J49</f>
        <v>0</v>
      </c>
      <c r="L49" s="362"/>
      <c r="M49" s="362"/>
      <c r="N49" s="362"/>
      <c r="O49" s="362"/>
      <c r="P49" s="362"/>
      <c r="Q49" s="362"/>
      <c r="R49" s="550"/>
    </row>
    <row r="50" spans="1:22" s="547" customFormat="1" ht="32.25" customHeight="1">
      <c r="A50" s="544"/>
      <c r="B50" s="323" t="s">
        <v>549</v>
      </c>
      <c r="C50" s="346">
        <f>+'Bank Assets Analysis'!C50-'Bank Assets Analysis'!D50</f>
        <v>0</v>
      </c>
      <c r="D50" s="346">
        <f>+'Bank Assets Analysis'!E50-'Bank Assets Analysis'!F50</f>
        <v>0</v>
      </c>
      <c r="E50" s="346">
        <f>+'Bank Assets Analysis'!G50-'Bank Assets Analysis'!H50</f>
        <v>0</v>
      </c>
      <c r="F50" s="346">
        <f>+'Bank Assets Analysis'!I50-'Bank Assets Analysis'!J50</f>
        <v>0</v>
      </c>
      <c r="G50" s="346">
        <f>+'Bank Assets Analysis'!K50-'Bank Assets Analysis'!L50</f>
        <v>0</v>
      </c>
      <c r="H50" s="346">
        <f>+'Bank Assets Analysis'!M50-'Bank Assets Analysis'!N50</f>
        <v>0</v>
      </c>
      <c r="I50" s="346">
        <f>+'Bank Assets Analysis'!O50-'Bank Assets Analysis'!P50</f>
        <v>0</v>
      </c>
      <c r="J50" s="346">
        <f>+'Bank Assets Analysis'!Q50-'Bank Assets Analysis'!R50</f>
        <v>0</v>
      </c>
      <c r="K50" s="346">
        <f>+C50+D50+E50+F50+G50+H50+I50+J50</f>
        <v>0</v>
      </c>
      <c r="L50" s="362"/>
      <c r="M50" s="362"/>
      <c r="N50" s="362"/>
      <c r="O50" s="362"/>
      <c r="P50" s="362"/>
      <c r="Q50" s="362"/>
      <c r="R50" s="550"/>
    </row>
    <row r="51" spans="1:22" s="367" customFormat="1" ht="10.5" customHeight="1">
      <c r="A51" s="515"/>
      <c r="B51" s="487"/>
      <c r="C51" s="487"/>
      <c r="D51" s="487"/>
      <c r="E51" s="487"/>
      <c r="F51" s="487"/>
      <c r="G51" s="487"/>
      <c r="H51" s="487"/>
      <c r="I51" s="487"/>
      <c r="J51" s="487"/>
      <c r="K51" s="487"/>
      <c r="L51" s="488"/>
      <c r="M51" s="489"/>
      <c r="N51" s="490"/>
      <c r="O51" s="488"/>
      <c r="P51" s="489"/>
      <c r="Q51" s="490"/>
      <c r="R51" s="483"/>
      <c r="S51" s="483"/>
      <c r="T51" s="366"/>
      <c r="U51" s="483"/>
      <c r="V51" s="483"/>
    </row>
    <row r="52" spans="1:22" s="367" customFormat="1">
      <c r="A52" s="516"/>
      <c r="C52" s="364"/>
      <c r="D52" s="364"/>
      <c r="E52" s="364"/>
      <c r="F52" s="364"/>
      <c r="G52" s="364"/>
      <c r="H52" s="364"/>
      <c r="I52" s="364"/>
      <c r="J52" s="364"/>
      <c r="K52" s="364"/>
      <c r="L52" s="368"/>
      <c r="M52" s="363"/>
      <c r="N52" s="361"/>
      <c r="O52" s="368"/>
      <c r="P52" s="363"/>
      <c r="Q52" s="361"/>
      <c r="R52" s="517" t="s">
        <v>433</v>
      </c>
      <c r="S52" s="470">
        <f>+N45-S53</f>
        <v>144601176</v>
      </c>
      <c r="U52" s="517" t="s">
        <v>433</v>
      </c>
      <c r="V52" s="470">
        <f>+Q45-V53</f>
        <v>124288071.5</v>
      </c>
    </row>
    <row r="53" spans="1:22" s="367" customFormat="1">
      <c r="A53" s="516"/>
      <c r="B53" s="16" t="s">
        <v>4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8"/>
      <c r="M53" s="363"/>
      <c r="N53" s="361"/>
      <c r="O53" s="368"/>
      <c r="P53" s="363"/>
      <c r="Q53" s="361"/>
      <c r="R53" s="517" t="s">
        <v>28</v>
      </c>
      <c r="S53" s="470">
        <f>+N7+N9+N12+N13+N15+N20+N22+N24+N36</f>
        <v>266523348</v>
      </c>
      <c r="T53" s="366"/>
      <c r="U53" s="517" t="s">
        <v>28</v>
      </c>
      <c r="V53" s="470">
        <f>+Q7+Q9+Q12+Q13+Q15+Q20+Q22+Q24+Q36</f>
        <v>266523348</v>
      </c>
    </row>
    <row r="54" spans="1:22" s="367" customFormat="1">
      <c r="A54" s="516"/>
      <c r="B54" s="16"/>
      <c r="C54" s="364"/>
      <c r="D54" s="364"/>
      <c r="E54" s="364"/>
      <c r="F54" s="364"/>
      <c r="G54" s="364"/>
      <c r="H54" s="364"/>
      <c r="I54" s="364"/>
      <c r="J54" s="364"/>
      <c r="K54" s="364"/>
      <c r="L54" s="368"/>
      <c r="M54" s="363"/>
      <c r="N54" s="361"/>
      <c r="O54" s="368"/>
      <c r="P54" s="363"/>
      <c r="Q54" s="361"/>
      <c r="R54" s="517" t="s">
        <v>434</v>
      </c>
      <c r="S54" s="470">
        <f>+S56-S58</f>
        <v>102351247.20000002</v>
      </c>
      <c r="T54" s="361"/>
      <c r="U54" s="517" t="s">
        <v>434</v>
      </c>
      <c r="V54" s="470">
        <f>+V56-V58</f>
        <v>403860591.14999998</v>
      </c>
    </row>
    <row r="55" spans="1:22" ht="20.25" customHeight="1">
      <c r="B55" s="16" t="s">
        <v>5</v>
      </c>
      <c r="R55" s="361"/>
      <c r="S55" s="89"/>
      <c r="T55" s="366"/>
      <c r="U55" s="361"/>
      <c r="V55" s="89"/>
    </row>
    <row r="56" spans="1:22">
      <c r="R56" s="518" t="s">
        <v>526</v>
      </c>
      <c r="S56" s="235">
        <f>'Bank Liabilities Analysis (нац)'!M40</f>
        <v>246952423.20000002</v>
      </c>
      <c r="U56" s="518" t="s">
        <v>526</v>
      </c>
      <c r="V56" s="235">
        <f>'Bank Liabilities Analysis (нац)'!O40+V57</f>
        <v>528148662.64999998</v>
      </c>
    </row>
    <row r="57" spans="1:22" ht="23.25" customHeight="1">
      <c r="R57" s="507" t="s">
        <v>525</v>
      </c>
      <c r="S57" s="519">
        <f>+'Liquidity Analysis'!D43</f>
        <v>45879399</v>
      </c>
      <c r="T57" s="520"/>
      <c r="U57" s="507" t="s">
        <v>525</v>
      </c>
      <c r="V57" s="235">
        <f>+'Liquidity Analysis'!D43</f>
        <v>45879399</v>
      </c>
    </row>
    <row r="58" spans="1:22">
      <c r="R58" s="518" t="s">
        <v>436</v>
      </c>
      <c r="S58" s="235">
        <f>IF(S52&gt;(S56*0.75),S56*0.75,S52)</f>
        <v>144601176</v>
      </c>
      <c r="U58" s="518" t="s">
        <v>436</v>
      </c>
      <c r="V58" s="235">
        <f>IF(V52&gt;(V56*0.75),V56*0.75,V52)</f>
        <v>124288071.5</v>
      </c>
    </row>
    <row r="59" spans="1:22">
      <c r="S59" s="521"/>
    </row>
  </sheetData>
  <sheetProtection password="CACA" sheet="1" objects="1" scenarios="1"/>
  <mergeCells count="7">
    <mergeCell ref="O2:Q2"/>
    <mergeCell ref="L4:N4"/>
    <mergeCell ref="O4:Q4"/>
    <mergeCell ref="A4:A5"/>
    <mergeCell ref="B4:B5"/>
    <mergeCell ref="C4:J4"/>
    <mergeCell ref="K4:K5"/>
  </mergeCells>
  <conditionalFormatting sqref="K45">
    <cfRule type="cellIs" dxfId="251" priority="269" operator="notEqual">
      <formula>$R$45</formula>
    </cfRule>
  </conditionalFormatting>
  <conditionalFormatting sqref="L50 N50 P50">
    <cfRule type="cellIs" dxfId="250" priority="2" operator="greaterThan">
      <formula>K50</formula>
    </cfRule>
  </conditionalFormatting>
  <conditionalFormatting sqref="L47:L49 N47:N49 P47:P49">
    <cfRule type="cellIs" dxfId="249" priority="1" operator="greaterThan">
      <formula>K47</formula>
    </cfRule>
  </conditionalFormatting>
  <dataValidations count="1">
    <dataValidation type="whole" operator="notEqual" allowBlank="1" showErrorMessage="1" error="Введите как целое число." sqref="J38:J39 D38:I40 D41:J44 L46:Q50 K46 D6:J37 C6:C44 C46:J50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  <ignoredErrors>
    <ignoredError sqref="C33:J40 C7:J7 C9:J10 C16:J18 C22:J22 C12:J12 C20:J20 C24:J31 C42:J44" unlockedFormula="1"/>
    <ignoredError sqref="M14:P14 N15:P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F60"/>
  <sheetViews>
    <sheetView zoomScale="70" zoomScaleNormal="70" zoomScaleSheetLayoutView="75"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E15" sqref="E15"/>
    </sheetView>
  </sheetViews>
  <sheetFormatPr defaultRowHeight="12.75"/>
  <cols>
    <col min="1" max="1" width="6.28515625" style="17" customWidth="1"/>
    <col min="2" max="2" width="53.28515625" style="29" customWidth="1"/>
    <col min="3" max="18" width="14.7109375" style="1" customWidth="1"/>
    <col min="19" max="21" width="15.85546875" style="1" customWidth="1"/>
    <col min="22" max="22" width="8.28515625" style="18" customWidth="1"/>
    <col min="23" max="23" width="17.5703125" style="21" customWidth="1"/>
    <col min="24" max="24" width="17.5703125" style="1" customWidth="1"/>
    <col min="25" max="25" width="17.5703125" style="363" customWidth="1"/>
    <col min="26" max="26" width="17.5703125" style="359" customWidth="1"/>
    <col min="27" max="27" width="17.5703125" style="18" customWidth="1"/>
    <col min="28" max="29" width="17.5703125" style="363" customWidth="1"/>
    <col min="30" max="31" width="17.5703125" style="390" customWidth="1"/>
    <col min="32" max="32" width="17.5703125" style="391" customWidth="1"/>
    <col min="33" max="16384" width="9.140625" style="1"/>
  </cols>
  <sheetData>
    <row r="1" spans="1:32" s="10" customFormat="1" ht="30" customHeight="1">
      <c r="A1" s="260" t="s">
        <v>166</v>
      </c>
      <c r="B1" s="37"/>
      <c r="C1" s="261"/>
      <c r="D1" s="2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  <c r="P1" s="263"/>
      <c r="Q1" s="263"/>
      <c r="R1" s="263"/>
      <c r="S1" s="263"/>
      <c r="T1" s="263"/>
      <c r="U1" s="263"/>
      <c r="V1" s="263"/>
      <c r="W1" s="263"/>
      <c r="X1" s="576"/>
      <c r="Y1" s="576"/>
      <c r="Z1" s="576"/>
      <c r="AA1" s="263"/>
      <c r="AB1" s="443" t="s">
        <v>398</v>
      </c>
      <c r="AC1" s="443"/>
      <c r="AD1" s="388"/>
      <c r="AE1" s="388"/>
      <c r="AF1" s="388"/>
    </row>
    <row r="2" spans="1:32" ht="23.25" customHeight="1">
      <c r="B2" s="196" t="str">
        <f>Balance!B3</f>
        <v>АКБ"Микрокредитбанк"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86" t="str">
        <f>+Balance!B2</f>
        <v xml:space="preserve"> 31 Декабрь, 2020</v>
      </c>
      <c r="U2" s="586"/>
      <c r="V2" s="1"/>
      <c r="W2" s="18"/>
      <c r="X2" s="21"/>
      <c r="Y2" s="368"/>
      <c r="Z2" s="363"/>
      <c r="AA2" s="1"/>
      <c r="AB2" s="368"/>
      <c r="AC2" s="363" t="s">
        <v>7</v>
      </c>
      <c r="AD2" s="386"/>
      <c r="AF2" s="390"/>
    </row>
    <row r="3" spans="1:32" s="10" customFormat="1" ht="21.75" customHeight="1">
      <c r="A3" s="580" t="s">
        <v>79</v>
      </c>
      <c r="B3" s="580" t="s">
        <v>54</v>
      </c>
      <c r="C3" s="577" t="s">
        <v>167</v>
      </c>
      <c r="D3" s="578"/>
      <c r="E3" s="578"/>
      <c r="F3" s="578"/>
      <c r="G3" s="578"/>
      <c r="H3" s="578"/>
      <c r="I3" s="578"/>
      <c r="J3" s="578"/>
      <c r="K3" s="578"/>
      <c r="L3" s="578"/>
      <c r="M3" s="578"/>
      <c r="N3" s="578"/>
      <c r="O3" s="578"/>
      <c r="P3" s="578"/>
      <c r="Q3" s="578"/>
      <c r="R3" s="579"/>
      <c r="S3" s="580" t="s">
        <v>127</v>
      </c>
      <c r="T3" s="582" t="s">
        <v>82</v>
      </c>
      <c r="U3" s="583"/>
      <c r="V3" s="582" t="s">
        <v>530</v>
      </c>
      <c r="W3" s="587"/>
      <c r="X3" s="587"/>
      <c r="Y3" s="587"/>
      <c r="Z3" s="583"/>
      <c r="AA3" s="582" t="s">
        <v>529</v>
      </c>
      <c r="AB3" s="587"/>
      <c r="AC3" s="583"/>
      <c r="AD3" s="388"/>
      <c r="AE3" s="388"/>
      <c r="AF3" s="389"/>
    </row>
    <row r="4" spans="1:32" s="10" customFormat="1" ht="21" customHeight="1">
      <c r="A4" s="581"/>
      <c r="B4" s="581"/>
      <c r="C4" s="577" t="s">
        <v>128</v>
      </c>
      <c r="D4" s="579"/>
      <c r="E4" s="577" t="s">
        <v>441</v>
      </c>
      <c r="F4" s="579"/>
      <c r="G4" s="577" t="s">
        <v>442</v>
      </c>
      <c r="H4" s="579"/>
      <c r="I4" s="577" t="s">
        <v>344</v>
      </c>
      <c r="J4" s="579"/>
      <c r="K4" s="577" t="s">
        <v>345</v>
      </c>
      <c r="L4" s="579"/>
      <c r="M4" s="577" t="s">
        <v>413</v>
      </c>
      <c r="N4" s="579"/>
      <c r="O4" s="577" t="s">
        <v>414</v>
      </c>
      <c r="P4" s="579"/>
      <c r="Q4" s="577" t="s">
        <v>84</v>
      </c>
      <c r="R4" s="579"/>
      <c r="S4" s="581"/>
      <c r="T4" s="584"/>
      <c r="U4" s="585"/>
      <c r="V4" s="584"/>
      <c r="W4" s="588"/>
      <c r="X4" s="588"/>
      <c r="Y4" s="588"/>
      <c r="Z4" s="585"/>
      <c r="AA4" s="584"/>
      <c r="AB4" s="588"/>
      <c r="AC4" s="585"/>
      <c r="AD4" s="388"/>
      <c r="AE4" s="388"/>
      <c r="AF4" s="389"/>
    </row>
    <row r="5" spans="1:32" s="10" customFormat="1" ht="102" customHeight="1">
      <c r="A5" s="581"/>
      <c r="B5" s="581"/>
      <c r="C5" s="276" t="s">
        <v>317</v>
      </c>
      <c r="D5" s="276" t="s">
        <v>318</v>
      </c>
      <c r="E5" s="276" t="s">
        <v>317</v>
      </c>
      <c r="F5" s="276" t="s">
        <v>318</v>
      </c>
      <c r="G5" s="276" t="s">
        <v>317</v>
      </c>
      <c r="H5" s="276" t="s">
        <v>318</v>
      </c>
      <c r="I5" s="276" t="s">
        <v>317</v>
      </c>
      <c r="J5" s="276" t="s">
        <v>318</v>
      </c>
      <c r="K5" s="276" t="s">
        <v>317</v>
      </c>
      <c r="L5" s="276" t="s">
        <v>318</v>
      </c>
      <c r="M5" s="276" t="s">
        <v>317</v>
      </c>
      <c r="N5" s="276" t="s">
        <v>318</v>
      </c>
      <c r="O5" s="276" t="s">
        <v>317</v>
      </c>
      <c r="P5" s="276" t="s">
        <v>318</v>
      </c>
      <c r="Q5" s="276" t="s">
        <v>317</v>
      </c>
      <c r="R5" s="276" t="s">
        <v>318</v>
      </c>
      <c r="S5" s="581"/>
      <c r="T5" s="276" t="s">
        <v>237</v>
      </c>
      <c r="U5" s="276" t="s">
        <v>396</v>
      </c>
      <c r="V5" s="444" t="s">
        <v>33</v>
      </c>
      <c r="W5" s="444" t="s">
        <v>473</v>
      </c>
      <c r="X5" s="444" t="s">
        <v>516</v>
      </c>
      <c r="Y5" s="444" t="s">
        <v>515</v>
      </c>
      <c r="Z5" s="444" t="s">
        <v>517</v>
      </c>
      <c r="AA5" s="444" t="s">
        <v>33</v>
      </c>
      <c r="AB5" s="444" t="s">
        <v>473</v>
      </c>
      <c r="AC5" s="444" t="s">
        <v>515</v>
      </c>
      <c r="AD5" s="388"/>
      <c r="AE5" s="388"/>
      <c r="AF5" s="389"/>
    </row>
    <row r="6" spans="1:32" s="13" customFormat="1" ht="17.25" customHeight="1">
      <c r="A6" s="264"/>
      <c r="B6" s="265" t="s">
        <v>2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7"/>
      <c r="W6" s="268"/>
      <c r="X6" s="266"/>
      <c r="Y6" s="268"/>
      <c r="Z6" s="266"/>
      <c r="AA6" s="267"/>
      <c r="AB6" s="268"/>
      <c r="AC6" s="268"/>
      <c r="AD6" s="392"/>
      <c r="AE6" s="392"/>
      <c r="AF6" s="393"/>
    </row>
    <row r="7" spans="1:32" s="10" customFormat="1" ht="25.5" customHeight="1">
      <c r="A7" s="222" t="s">
        <v>80</v>
      </c>
      <c r="B7" s="78" t="s">
        <v>168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74"/>
      <c r="W7" s="75"/>
      <c r="X7" s="33"/>
      <c r="Y7" s="369"/>
      <c r="Z7" s="370"/>
      <c r="AA7" s="74"/>
      <c r="AB7" s="369"/>
      <c r="AC7" s="369"/>
      <c r="AD7" s="388"/>
      <c r="AE7" s="388"/>
      <c r="AF7" s="389"/>
    </row>
    <row r="8" spans="1:32" s="10" customFormat="1" ht="25.5" customHeight="1">
      <c r="A8" s="222" t="s">
        <v>169</v>
      </c>
      <c r="B8" s="79" t="s">
        <v>170</v>
      </c>
      <c r="C8" s="33">
        <f>SUM(C9:C12)</f>
        <v>254698424</v>
      </c>
      <c r="D8" s="34">
        <f t="shared" ref="D8:R8" si="0">SUM(D9:D12)</f>
        <v>64821024</v>
      </c>
      <c r="E8" s="33">
        <f>SUM(E9:E12)</f>
        <v>0</v>
      </c>
      <c r="F8" s="34">
        <f>SUM(F9:F12)</f>
        <v>0</v>
      </c>
      <c r="G8" s="33">
        <f t="shared" si="0"/>
        <v>0</v>
      </c>
      <c r="H8" s="34">
        <f t="shared" si="0"/>
        <v>0</v>
      </c>
      <c r="I8" s="33">
        <f>SUM(I9:I12)</f>
        <v>0</v>
      </c>
      <c r="J8" s="34">
        <f>SUM(J9:J12)</f>
        <v>0</v>
      </c>
      <c r="K8" s="33">
        <f t="shared" si="0"/>
        <v>0</v>
      </c>
      <c r="L8" s="34">
        <f t="shared" si="0"/>
        <v>0</v>
      </c>
      <c r="M8" s="33">
        <f t="shared" si="0"/>
        <v>0</v>
      </c>
      <c r="N8" s="34">
        <f t="shared" si="0"/>
        <v>0</v>
      </c>
      <c r="O8" s="33">
        <f>SUM(O9:O12)</f>
        <v>0</v>
      </c>
      <c r="P8" s="34">
        <f>SUM(P9:P12)</f>
        <v>0</v>
      </c>
      <c r="Q8" s="33">
        <f t="shared" si="0"/>
        <v>0</v>
      </c>
      <c r="R8" s="34">
        <f t="shared" si="0"/>
        <v>0</v>
      </c>
      <c r="S8" s="33">
        <f>+C8+E8+G8+I8+K8+M8+O8+Q8</f>
        <v>254698424</v>
      </c>
      <c r="T8" s="33">
        <f>+S8-U8</f>
        <v>189877400</v>
      </c>
      <c r="U8" s="33">
        <f>+D8+F8+H8+J8+L8+N8+P8+R8</f>
        <v>64821024</v>
      </c>
      <c r="V8" s="74"/>
      <c r="W8" s="77"/>
      <c r="X8" s="33"/>
      <c r="Y8" s="371"/>
      <c r="Z8" s="370"/>
      <c r="AA8" s="74"/>
      <c r="AB8" s="371"/>
      <c r="AC8" s="371"/>
      <c r="AD8" s="388"/>
      <c r="AE8" s="388"/>
      <c r="AF8" s="389"/>
    </row>
    <row r="9" spans="1:32" s="55" customFormat="1" ht="25.5" customHeight="1">
      <c r="A9" s="223" t="s">
        <v>319</v>
      </c>
      <c r="B9" s="80" t="s">
        <v>320</v>
      </c>
      <c r="C9" s="35">
        <v>25033859</v>
      </c>
      <c r="D9" s="35">
        <v>970241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3">
        <f t="shared" ref="S9:S55" si="1">+C9+E9+G9+I9+K9+M9+O9+Q9</f>
        <v>25033859</v>
      </c>
      <c r="T9" s="33">
        <f t="shared" ref="T9:T55" si="2">+S9-U9</f>
        <v>24063618</v>
      </c>
      <c r="U9" s="33">
        <f t="shared" ref="U9:U55" si="3">+D9+F9+H9+J9+L9+N9+P9+R9</f>
        <v>970241</v>
      </c>
      <c r="V9" s="76">
        <v>0.1</v>
      </c>
      <c r="W9" s="77">
        <f>+C9+E9+G9</f>
        <v>25033859</v>
      </c>
      <c r="X9" s="34">
        <f>+W9*V9</f>
        <v>2503385.9</v>
      </c>
      <c r="Y9" s="371">
        <f>+D9+F9+H9</f>
        <v>970241</v>
      </c>
      <c r="Z9" s="362">
        <f>+Y9*V9</f>
        <v>97024.1</v>
      </c>
      <c r="AA9" s="76"/>
      <c r="AB9" s="371"/>
      <c r="AC9" s="371"/>
      <c r="AD9" s="394"/>
      <c r="AE9" s="394"/>
      <c r="AF9" s="395"/>
    </row>
    <row r="10" spans="1:32" s="55" customFormat="1" ht="25.5" customHeight="1">
      <c r="A10" s="223" t="s">
        <v>321</v>
      </c>
      <c r="B10" s="269" t="s">
        <v>325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3">
        <f t="shared" si="1"/>
        <v>0</v>
      </c>
      <c r="T10" s="33">
        <f t="shared" si="2"/>
        <v>0</v>
      </c>
      <c r="U10" s="33">
        <f t="shared" si="3"/>
        <v>0</v>
      </c>
      <c r="V10" s="76">
        <v>0</v>
      </c>
      <c r="W10" s="77"/>
      <c r="X10" s="34"/>
      <c r="Y10" s="371"/>
      <c r="Z10" s="362"/>
      <c r="AA10" s="76"/>
      <c r="AB10" s="371"/>
      <c r="AC10" s="371"/>
      <c r="AD10" s="394"/>
      <c r="AE10" s="394"/>
      <c r="AF10" s="395"/>
    </row>
    <row r="11" spans="1:32" s="55" customFormat="1" ht="25.5" customHeight="1">
      <c r="A11" s="223" t="s">
        <v>322</v>
      </c>
      <c r="B11" s="80" t="s">
        <v>323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3">
        <f t="shared" si="1"/>
        <v>0</v>
      </c>
      <c r="T11" s="33">
        <f t="shared" si="2"/>
        <v>0</v>
      </c>
      <c r="U11" s="33">
        <f t="shared" si="3"/>
        <v>0</v>
      </c>
      <c r="V11" s="76">
        <v>0</v>
      </c>
      <c r="W11" s="77"/>
      <c r="X11" s="34"/>
      <c r="Y11" s="371"/>
      <c r="Z11" s="362"/>
      <c r="AA11" s="76"/>
      <c r="AB11" s="371"/>
      <c r="AC11" s="371"/>
      <c r="AD11" s="394"/>
      <c r="AE11" s="394"/>
      <c r="AF11" s="395"/>
    </row>
    <row r="12" spans="1:32" s="55" customFormat="1" ht="25.5" customHeight="1">
      <c r="A12" s="223" t="s">
        <v>324</v>
      </c>
      <c r="B12" s="80" t="s">
        <v>34</v>
      </c>
      <c r="C12" s="35">
        <v>229664565</v>
      </c>
      <c r="D12" s="35">
        <v>63850783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3">
        <f t="shared" si="1"/>
        <v>229664565</v>
      </c>
      <c r="T12" s="33">
        <f t="shared" si="2"/>
        <v>165813782</v>
      </c>
      <c r="U12" s="33">
        <f t="shared" si="3"/>
        <v>63850783</v>
      </c>
      <c r="V12" s="76">
        <v>0.3</v>
      </c>
      <c r="W12" s="77">
        <f>+C12+E12+G12</f>
        <v>229664565</v>
      </c>
      <c r="X12" s="34">
        <f t="shared" ref="X12:X38" si="4">+W12*V12</f>
        <v>68899369.5</v>
      </c>
      <c r="Y12" s="371">
        <f t="shared" ref="Y12:Y38" si="5">+D12+F12+H12</f>
        <v>63850783</v>
      </c>
      <c r="Z12" s="362">
        <f t="shared" ref="Z12:Z38" si="6">+Y12*V12</f>
        <v>19155234.899999999</v>
      </c>
      <c r="AA12" s="76"/>
      <c r="AB12" s="371"/>
      <c r="AC12" s="371"/>
      <c r="AD12" s="394"/>
      <c r="AE12" s="394"/>
      <c r="AF12" s="395"/>
    </row>
    <row r="13" spans="1:32" s="55" customFormat="1" ht="25.5" customHeight="1">
      <c r="A13" s="223" t="s">
        <v>171</v>
      </c>
      <c r="B13" s="258" t="s">
        <v>432</v>
      </c>
      <c r="C13" s="35">
        <v>7275423</v>
      </c>
      <c r="D13" s="35">
        <v>31298</v>
      </c>
      <c r="E13" s="35">
        <v>20000438</v>
      </c>
      <c r="F13" s="35">
        <v>68496</v>
      </c>
      <c r="G13" s="35">
        <v>65441447</v>
      </c>
      <c r="H13" s="35">
        <v>423771</v>
      </c>
      <c r="I13" s="35">
        <v>86888596</v>
      </c>
      <c r="J13" s="35">
        <v>7123043</v>
      </c>
      <c r="K13" s="35">
        <v>130659336</v>
      </c>
      <c r="L13" s="35">
        <v>5928814</v>
      </c>
      <c r="M13" s="35">
        <v>526604169</v>
      </c>
      <c r="N13" s="35">
        <v>131577058</v>
      </c>
      <c r="O13" s="35">
        <v>113893387</v>
      </c>
      <c r="P13" s="35">
        <v>1536307</v>
      </c>
      <c r="Q13" s="35">
        <v>161024777</v>
      </c>
      <c r="R13" s="35">
        <v>152089500</v>
      </c>
      <c r="S13" s="33">
        <f t="shared" si="1"/>
        <v>1111787573</v>
      </c>
      <c r="T13" s="33">
        <f t="shared" si="2"/>
        <v>813009286</v>
      </c>
      <c r="U13" s="33">
        <f t="shared" si="3"/>
        <v>298778287</v>
      </c>
      <c r="V13" s="76">
        <v>1</v>
      </c>
      <c r="W13" s="77">
        <f>+C13+E13+G13</f>
        <v>92717308</v>
      </c>
      <c r="X13" s="34">
        <f t="shared" si="4"/>
        <v>92717308</v>
      </c>
      <c r="Y13" s="371">
        <f t="shared" si="5"/>
        <v>523565</v>
      </c>
      <c r="Z13" s="362">
        <f t="shared" si="6"/>
        <v>523565</v>
      </c>
      <c r="AA13" s="76"/>
      <c r="AB13" s="371"/>
      <c r="AC13" s="371"/>
      <c r="AD13" s="394"/>
      <c r="AE13" s="394"/>
      <c r="AF13" s="395"/>
    </row>
    <row r="14" spans="1:32" s="55" customFormat="1" ht="25.5" customHeight="1">
      <c r="A14" s="223" t="s">
        <v>430</v>
      </c>
      <c r="B14" s="270" t="s">
        <v>320</v>
      </c>
      <c r="C14" s="35"/>
      <c r="D14" s="35"/>
      <c r="E14" s="35">
        <v>11700438</v>
      </c>
      <c r="F14" s="35">
        <v>68496</v>
      </c>
      <c r="G14" s="35">
        <v>37361102</v>
      </c>
      <c r="H14" s="35">
        <v>423771</v>
      </c>
      <c r="I14" s="35">
        <v>72438596</v>
      </c>
      <c r="J14" s="35">
        <v>7123043</v>
      </c>
      <c r="K14" s="35">
        <v>63617836</v>
      </c>
      <c r="L14" s="35">
        <v>5928814</v>
      </c>
      <c r="M14" s="35">
        <v>129446351</v>
      </c>
      <c r="N14" s="35">
        <v>13557634</v>
      </c>
      <c r="O14" s="35">
        <v>16319387</v>
      </c>
      <c r="P14" s="35">
        <v>1536307</v>
      </c>
      <c r="Q14" s="35">
        <v>3302936</v>
      </c>
      <c r="R14" s="35">
        <v>0</v>
      </c>
      <c r="S14" s="33">
        <f t="shared" si="1"/>
        <v>334186646</v>
      </c>
      <c r="T14" s="33">
        <f t="shared" si="2"/>
        <v>305548581</v>
      </c>
      <c r="U14" s="33">
        <f t="shared" si="3"/>
        <v>28638065</v>
      </c>
      <c r="V14" s="76">
        <v>0</v>
      </c>
      <c r="W14" s="77"/>
      <c r="X14" s="34"/>
      <c r="Y14" s="371"/>
      <c r="Z14" s="362"/>
      <c r="AA14" s="76"/>
      <c r="AB14" s="371"/>
      <c r="AC14" s="371"/>
      <c r="AD14" s="394"/>
      <c r="AE14" s="394"/>
      <c r="AF14" s="395"/>
    </row>
    <row r="15" spans="1:32" s="55" customFormat="1" ht="25.5" customHeight="1">
      <c r="A15" s="223" t="s">
        <v>431</v>
      </c>
      <c r="B15" s="259" t="s">
        <v>429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400000</v>
      </c>
      <c r="J15" s="35">
        <v>0</v>
      </c>
      <c r="K15" s="35">
        <v>14000000</v>
      </c>
      <c r="L15" s="35">
        <v>0</v>
      </c>
      <c r="M15" s="35">
        <v>35100000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3">
        <f t="shared" si="1"/>
        <v>49500000</v>
      </c>
      <c r="T15" s="33">
        <f t="shared" si="2"/>
        <v>49500000</v>
      </c>
      <c r="U15" s="33">
        <f t="shared" si="3"/>
        <v>0</v>
      </c>
      <c r="V15" s="76">
        <v>0</v>
      </c>
      <c r="W15" s="77"/>
      <c r="X15" s="34"/>
      <c r="Y15" s="371"/>
      <c r="Z15" s="362"/>
      <c r="AA15" s="76"/>
      <c r="AB15" s="371"/>
      <c r="AC15" s="371"/>
      <c r="AD15" s="394"/>
      <c r="AE15" s="394"/>
      <c r="AF15" s="395"/>
    </row>
    <row r="16" spans="1:32" s="55" customFormat="1" ht="25.5" customHeight="1">
      <c r="A16" s="223" t="s">
        <v>172</v>
      </c>
      <c r="B16" s="80" t="s">
        <v>182</v>
      </c>
      <c r="C16" s="33">
        <f>SUM(C17:C21)</f>
        <v>181153962</v>
      </c>
      <c r="D16" s="34">
        <f t="shared" ref="D16:R16" si="7">SUM(D17:D21)</f>
        <v>8326256</v>
      </c>
      <c r="E16" s="33">
        <f>SUM(E17:E21)</f>
        <v>0</v>
      </c>
      <c r="F16" s="34">
        <f>SUM(F17:F21)</f>
        <v>0</v>
      </c>
      <c r="G16" s="33">
        <f t="shared" si="7"/>
        <v>0</v>
      </c>
      <c r="H16" s="34">
        <f t="shared" si="7"/>
        <v>0</v>
      </c>
      <c r="I16" s="33">
        <f t="shared" si="7"/>
        <v>0</v>
      </c>
      <c r="J16" s="34">
        <f t="shared" si="7"/>
        <v>0</v>
      </c>
      <c r="K16" s="33">
        <f t="shared" si="7"/>
        <v>0</v>
      </c>
      <c r="L16" s="34">
        <f t="shared" si="7"/>
        <v>0</v>
      </c>
      <c r="M16" s="33">
        <f t="shared" si="7"/>
        <v>0</v>
      </c>
      <c r="N16" s="34">
        <f t="shared" si="7"/>
        <v>0</v>
      </c>
      <c r="O16" s="33">
        <f t="shared" si="7"/>
        <v>0</v>
      </c>
      <c r="P16" s="34">
        <f t="shared" si="7"/>
        <v>0</v>
      </c>
      <c r="Q16" s="33">
        <f t="shared" si="7"/>
        <v>0</v>
      </c>
      <c r="R16" s="34">
        <f t="shared" si="7"/>
        <v>0</v>
      </c>
      <c r="S16" s="33">
        <f t="shared" si="1"/>
        <v>181153962</v>
      </c>
      <c r="T16" s="33">
        <f t="shared" si="2"/>
        <v>172827706</v>
      </c>
      <c r="U16" s="33">
        <f t="shared" si="3"/>
        <v>8326256</v>
      </c>
      <c r="V16" s="76"/>
      <c r="W16" s="77"/>
      <c r="X16" s="34"/>
      <c r="Y16" s="371"/>
      <c r="Z16" s="362"/>
      <c r="AA16" s="76"/>
      <c r="AB16" s="371"/>
      <c r="AC16" s="371"/>
      <c r="AD16" s="394"/>
      <c r="AE16" s="394"/>
      <c r="AF16" s="395"/>
    </row>
    <row r="17" spans="1:32" s="55" customFormat="1" ht="28.5" customHeight="1">
      <c r="A17" s="223" t="s">
        <v>326</v>
      </c>
      <c r="B17" s="80" t="s">
        <v>329</v>
      </c>
      <c r="C17" s="35">
        <v>159879198</v>
      </c>
      <c r="D17" s="35">
        <v>6138289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3">
        <f t="shared" si="1"/>
        <v>159879198</v>
      </c>
      <c r="T17" s="33">
        <f t="shared" si="2"/>
        <v>153740909</v>
      </c>
      <c r="U17" s="33">
        <f t="shared" si="3"/>
        <v>6138289</v>
      </c>
      <c r="V17" s="76">
        <v>0.1</v>
      </c>
      <c r="W17" s="77">
        <f>+C17+E17+G17</f>
        <v>159879198</v>
      </c>
      <c r="X17" s="34">
        <f>+W17*V17</f>
        <v>15987919.800000001</v>
      </c>
      <c r="Y17" s="371">
        <f t="shared" si="5"/>
        <v>6138289</v>
      </c>
      <c r="Z17" s="362">
        <f t="shared" si="6"/>
        <v>613828.9</v>
      </c>
      <c r="AA17" s="76"/>
      <c r="AB17" s="371"/>
      <c r="AC17" s="371"/>
      <c r="AD17" s="394"/>
      <c r="AE17" s="394"/>
      <c r="AF17" s="395"/>
    </row>
    <row r="18" spans="1:32" s="55" customFormat="1" ht="28.5" customHeight="1">
      <c r="A18" s="223" t="s">
        <v>327</v>
      </c>
      <c r="B18" s="80" t="s">
        <v>330</v>
      </c>
      <c r="C18" s="35">
        <v>9564509</v>
      </c>
      <c r="D18" s="35">
        <v>80275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3">
        <f t="shared" si="1"/>
        <v>9564509</v>
      </c>
      <c r="T18" s="33">
        <f t="shared" si="2"/>
        <v>9484234</v>
      </c>
      <c r="U18" s="33">
        <f t="shared" si="3"/>
        <v>80275</v>
      </c>
      <c r="V18" s="76">
        <v>0.1</v>
      </c>
      <c r="W18" s="77">
        <f>+C18+E18+G18</f>
        <v>9564509</v>
      </c>
      <c r="X18" s="34">
        <f>+W18*V18</f>
        <v>956450.9</v>
      </c>
      <c r="Y18" s="371">
        <f t="shared" si="5"/>
        <v>80275</v>
      </c>
      <c r="Z18" s="362">
        <f t="shared" si="6"/>
        <v>8027.5</v>
      </c>
      <c r="AA18" s="76"/>
      <c r="AB18" s="371"/>
      <c r="AC18" s="371"/>
      <c r="AD18" s="394"/>
      <c r="AE18" s="394"/>
      <c r="AF18" s="395"/>
    </row>
    <row r="19" spans="1:32" s="55" customFormat="1" ht="25.5" customHeight="1">
      <c r="A19" s="223" t="s">
        <v>328</v>
      </c>
      <c r="B19" s="80" t="s">
        <v>331</v>
      </c>
      <c r="C19" s="35">
        <v>669655</v>
      </c>
      <c r="D19" s="35">
        <v>669655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3">
        <f t="shared" si="1"/>
        <v>669655</v>
      </c>
      <c r="T19" s="33">
        <f t="shared" si="2"/>
        <v>0</v>
      </c>
      <c r="U19" s="33">
        <f t="shared" si="3"/>
        <v>669655</v>
      </c>
      <c r="V19" s="76">
        <v>0.3</v>
      </c>
      <c r="W19" s="77">
        <f>+C19+E19+G19</f>
        <v>669655</v>
      </c>
      <c r="X19" s="34">
        <f>+W19*V19</f>
        <v>200896.5</v>
      </c>
      <c r="Y19" s="371">
        <f t="shared" si="5"/>
        <v>669655</v>
      </c>
      <c r="Z19" s="362">
        <f t="shared" si="6"/>
        <v>200896.5</v>
      </c>
      <c r="AA19" s="76"/>
      <c r="AB19" s="371"/>
      <c r="AC19" s="371"/>
      <c r="AD19" s="394"/>
      <c r="AE19" s="394"/>
      <c r="AF19" s="395"/>
    </row>
    <row r="20" spans="1:32" s="55" customFormat="1" ht="25.5">
      <c r="A20" s="223" t="s">
        <v>332</v>
      </c>
      <c r="B20" s="80" t="s">
        <v>333</v>
      </c>
      <c r="C20" s="35">
        <v>5968565</v>
      </c>
      <c r="D20" s="35">
        <v>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3">
        <f t="shared" si="1"/>
        <v>5968565</v>
      </c>
      <c r="T20" s="33">
        <f t="shared" si="2"/>
        <v>5968565</v>
      </c>
      <c r="U20" s="33">
        <f t="shared" si="3"/>
        <v>0</v>
      </c>
      <c r="V20" s="76">
        <v>1</v>
      </c>
      <c r="W20" s="77">
        <f>+C20+E20+G20</f>
        <v>5968565</v>
      </c>
      <c r="X20" s="34">
        <f>+W20*V20</f>
        <v>5968565</v>
      </c>
      <c r="Y20" s="371">
        <f t="shared" si="5"/>
        <v>0</v>
      </c>
      <c r="Z20" s="362">
        <f t="shared" si="6"/>
        <v>0</v>
      </c>
      <c r="AA20" s="76"/>
      <c r="AB20" s="371"/>
      <c r="AC20" s="371"/>
      <c r="AD20" s="394"/>
      <c r="AE20" s="394"/>
      <c r="AF20" s="395"/>
    </row>
    <row r="21" spans="1:32" s="55" customFormat="1" ht="25.5" customHeight="1">
      <c r="A21" s="223" t="s">
        <v>334</v>
      </c>
      <c r="B21" s="80" t="s">
        <v>21</v>
      </c>
      <c r="C21" s="35">
        <v>5072035</v>
      </c>
      <c r="D21" s="35">
        <v>1438037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3">
        <f t="shared" si="1"/>
        <v>5072035</v>
      </c>
      <c r="T21" s="33">
        <f t="shared" si="2"/>
        <v>3633998</v>
      </c>
      <c r="U21" s="33">
        <f t="shared" si="3"/>
        <v>1438037</v>
      </c>
      <c r="V21" s="76">
        <v>0.3</v>
      </c>
      <c r="W21" s="77">
        <f>+C21+E21+G21</f>
        <v>5072035</v>
      </c>
      <c r="X21" s="34">
        <f>+W21*V21</f>
        <v>1521610.5</v>
      </c>
      <c r="Y21" s="371">
        <f t="shared" si="5"/>
        <v>1438037</v>
      </c>
      <c r="Z21" s="362">
        <f t="shared" si="6"/>
        <v>431411.1</v>
      </c>
      <c r="AA21" s="76"/>
      <c r="AB21" s="371"/>
      <c r="AC21" s="371"/>
      <c r="AD21" s="394"/>
      <c r="AE21" s="394"/>
      <c r="AF21" s="395"/>
    </row>
    <row r="22" spans="1:32" s="55" customFormat="1" ht="25.5" customHeight="1">
      <c r="A22" s="223" t="s">
        <v>174</v>
      </c>
      <c r="B22" s="81" t="s">
        <v>175</v>
      </c>
      <c r="C22" s="34">
        <f t="shared" ref="C22:R22" si="8">+C8+C13+C16</f>
        <v>443127809</v>
      </c>
      <c r="D22" s="34">
        <f t="shared" si="8"/>
        <v>73178578</v>
      </c>
      <c r="E22" s="34">
        <f>+E8+E13+E16</f>
        <v>20000438</v>
      </c>
      <c r="F22" s="34">
        <f>+F8+F13+F16</f>
        <v>68496</v>
      </c>
      <c r="G22" s="34">
        <f t="shared" si="8"/>
        <v>65441447</v>
      </c>
      <c r="H22" s="34">
        <f t="shared" si="8"/>
        <v>423771</v>
      </c>
      <c r="I22" s="34">
        <f t="shared" si="8"/>
        <v>86888596</v>
      </c>
      <c r="J22" s="34">
        <f t="shared" si="8"/>
        <v>7123043</v>
      </c>
      <c r="K22" s="34">
        <f t="shared" si="8"/>
        <v>130659336</v>
      </c>
      <c r="L22" s="34">
        <f t="shared" si="8"/>
        <v>5928814</v>
      </c>
      <c r="M22" s="34">
        <f t="shared" si="8"/>
        <v>526604169</v>
      </c>
      <c r="N22" s="34">
        <f t="shared" si="8"/>
        <v>131577058</v>
      </c>
      <c r="O22" s="34">
        <f t="shared" si="8"/>
        <v>113893387</v>
      </c>
      <c r="P22" s="34">
        <f t="shared" si="8"/>
        <v>1536307</v>
      </c>
      <c r="Q22" s="34">
        <f t="shared" si="8"/>
        <v>161024777</v>
      </c>
      <c r="R22" s="34">
        <f t="shared" si="8"/>
        <v>152089500</v>
      </c>
      <c r="S22" s="33">
        <f t="shared" si="1"/>
        <v>1547639959</v>
      </c>
      <c r="T22" s="33">
        <f t="shared" si="2"/>
        <v>1175714392</v>
      </c>
      <c r="U22" s="33">
        <f t="shared" si="3"/>
        <v>371925567</v>
      </c>
      <c r="V22" s="76"/>
      <c r="W22" s="77"/>
      <c r="X22" s="34"/>
      <c r="Y22" s="371">
        <f t="shared" si="5"/>
        <v>73670845</v>
      </c>
      <c r="Z22" s="362">
        <f t="shared" si="6"/>
        <v>0</v>
      </c>
      <c r="AA22" s="76">
        <v>0.15</v>
      </c>
      <c r="AB22" s="371">
        <f>+S22*AA22</f>
        <v>232145993.84999999</v>
      </c>
      <c r="AC22" s="371">
        <f>U22*AA22</f>
        <v>55788835.049999997</v>
      </c>
      <c r="AD22" s="394"/>
      <c r="AE22" s="394"/>
      <c r="AF22" s="395"/>
    </row>
    <row r="23" spans="1:32" s="55" customFormat="1" ht="25.5" customHeight="1">
      <c r="A23" s="223" t="s">
        <v>130</v>
      </c>
      <c r="B23" s="80" t="s">
        <v>176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3">
        <f t="shared" si="1"/>
        <v>0</v>
      </c>
      <c r="T23" s="33">
        <f t="shared" si="2"/>
        <v>0</v>
      </c>
      <c r="U23" s="33">
        <f t="shared" si="3"/>
        <v>0</v>
      </c>
      <c r="V23" s="76">
        <v>1</v>
      </c>
      <c r="W23" s="77">
        <f>+C23+E23+G23</f>
        <v>0</v>
      </c>
      <c r="X23" s="34">
        <f t="shared" si="4"/>
        <v>0</v>
      </c>
      <c r="Y23" s="371">
        <f t="shared" si="5"/>
        <v>0</v>
      </c>
      <c r="Z23" s="362">
        <f t="shared" si="6"/>
        <v>0</v>
      </c>
      <c r="AA23" s="76">
        <v>1</v>
      </c>
      <c r="AB23" s="371">
        <f>(C23+E23+G23)*AA23</f>
        <v>0</v>
      </c>
      <c r="AC23" s="371">
        <f>(D23+F23+H23)*AA23</f>
        <v>0</v>
      </c>
      <c r="AD23" s="394"/>
      <c r="AE23" s="394"/>
      <c r="AF23" s="395"/>
    </row>
    <row r="24" spans="1:32" s="55" customFormat="1" ht="25.5" customHeight="1">
      <c r="A24" s="223" t="s">
        <v>131</v>
      </c>
      <c r="B24" s="80" t="s">
        <v>177</v>
      </c>
      <c r="C24" s="34">
        <f>SUM(C25:C28)</f>
        <v>1831666</v>
      </c>
      <c r="D24" s="34">
        <f t="shared" ref="D24:R24" si="9">SUM(D25:D28)</f>
        <v>0</v>
      </c>
      <c r="E24" s="34">
        <f t="shared" si="9"/>
        <v>0</v>
      </c>
      <c r="F24" s="34">
        <f t="shared" si="9"/>
        <v>0</v>
      </c>
      <c r="G24" s="34">
        <f t="shared" si="9"/>
        <v>35278600</v>
      </c>
      <c r="H24" s="34">
        <f t="shared" si="9"/>
        <v>20278600</v>
      </c>
      <c r="I24" s="34">
        <f t="shared" si="9"/>
        <v>81114400</v>
      </c>
      <c r="J24" s="34">
        <f t="shared" si="9"/>
        <v>81114400</v>
      </c>
      <c r="K24" s="34">
        <f t="shared" si="9"/>
        <v>0</v>
      </c>
      <c r="L24" s="34">
        <f t="shared" si="9"/>
        <v>0</v>
      </c>
      <c r="M24" s="34">
        <f t="shared" si="9"/>
        <v>150000000</v>
      </c>
      <c r="N24" s="34">
        <f t="shared" si="9"/>
        <v>0</v>
      </c>
      <c r="O24" s="34">
        <f t="shared" si="9"/>
        <v>146393000</v>
      </c>
      <c r="P24" s="34">
        <f t="shared" si="9"/>
        <v>101393000</v>
      </c>
      <c r="Q24" s="34">
        <f t="shared" si="9"/>
        <v>451441709</v>
      </c>
      <c r="R24" s="34">
        <f t="shared" si="9"/>
        <v>156652200</v>
      </c>
      <c r="S24" s="33">
        <f t="shared" si="1"/>
        <v>866059375</v>
      </c>
      <c r="T24" s="33">
        <f t="shared" si="2"/>
        <v>506621175</v>
      </c>
      <c r="U24" s="33">
        <f t="shared" si="3"/>
        <v>359438200</v>
      </c>
      <c r="V24" s="76"/>
      <c r="W24" s="77"/>
      <c r="X24" s="34"/>
      <c r="Y24" s="371"/>
      <c r="Z24" s="362"/>
      <c r="AA24" s="76"/>
      <c r="AB24" s="371"/>
      <c r="AC24" s="371"/>
      <c r="AD24" s="394"/>
      <c r="AE24" s="394"/>
      <c r="AF24" s="395"/>
    </row>
    <row r="25" spans="1:32" s="55" customFormat="1" ht="25.5" customHeight="1">
      <c r="A25" s="223" t="s">
        <v>192</v>
      </c>
      <c r="B25" s="258" t="s">
        <v>522</v>
      </c>
      <c r="C25" s="28"/>
      <c r="D25" s="2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>
        <f>+C25</f>
        <v>0</v>
      </c>
      <c r="T25" s="34">
        <f>+S25-U25</f>
        <v>0</v>
      </c>
      <c r="U25" s="34">
        <f>+D25</f>
        <v>0</v>
      </c>
      <c r="V25" s="76">
        <v>1</v>
      </c>
      <c r="W25" s="77">
        <f>+T25</f>
        <v>0</v>
      </c>
      <c r="X25" s="34">
        <f t="shared" si="4"/>
        <v>0</v>
      </c>
      <c r="Y25" s="371"/>
      <c r="Z25" s="371"/>
      <c r="AA25" s="485">
        <v>1</v>
      </c>
      <c r="AB25" s="371">
        <f>+T25*AA25</f>
        <v>0</v>
      </c>
      <c r="AC25" s="371"/>
      <c r="AD25" s="394"/>
      <c r="AE25" s="394"/>
      <c r="AF25" s="395"/>
    </row>
    <row r="26" spans="1:32" s="55" customFormat="1" ht="25.5" customHeight="1">
      <c r="A26" s="223" t="s">
        <v>193</v>
      </c>
      <c r="B26" s="80" t="s">
        <v>335</v>
      </c>
      <c r="C26" s="35">
        <v>0</v>
      </c>
      <c r="D26" s="35">
        <v>0</v>
      </c>
      <c r="E26" s="35">
        <v>0</v>
      </c>
      <c r="F26" s="35">
        <v>0</v>
      </c>
      <c r="G26" s="35">
        <v>35278600</v>
      </c>
      <c r="H26" s="35">
        <v>20278600</v>
      </c>
      <c r="I26" s="35">
        <v>81114400</v>
      </c>
      <c r="J26" s="35">
        <v>81114400</v>
      </c>
      <c r="K26" s="35">
        <v>0</v>
      </c>
      <c r="L26" s="35">
        <v>0</v>
      </c>
      <c r="M26" s="35">
        <v>150000000</v>
      </c>
      <c r="N26" s="35">
        <v>0</v>
      </c>
      <c r="O26" s="35">
        <v>146393000</v>
      </c>
      <c r="P26" s="35">
        <v>101393000</v>
      </c>
      <c r="Q26" s="35">
        <v>451441709</v>
      </c>
      <c r="R26" s="35">
        <v>156652200</v>
      </c>
      <c r="S26" s="33">
        <f t="shared" si="1"/>
        <v>864227709</v>
      </c>
      <c r="T26" s="33">
        <f t="shared" si="2"/>
        <v>504789509</v>
      </c>
      <c r="U26" s="33">
        <f t="shared" si="3"/>
        <v>359438200</v>
      </c>
      <c r="V26" s="76">
        <v>1</v>
      </c>
      <c r="W26" s="77">
        <f t="shared" ref="W26:W38" si="10">+C26+E26+G26</f>
        <v>35278600</v>
      </c>
      <c r="X26" s="34">
        <f t="shared" si="4"/>
        <v>35278600</v>
      </c>
      <c r="Y26" s="371">
        <f t="shared" si="5"/>
        <v>20278600</v>
      </c>
      <c r="Z26" s="362">
        <f t="shared" si="6"/>
        <v>20278600</v>
      </c>
      <c r="AA26" s="485">
        <v>1</v>
      </c>
      <c r="AB26" s="371">
        <f>(C26+E26+G26)*AA26</f>
        <v>35278600</v>
      </c>
      <c r="AC26" s="371">
        <f t="shared" ref="AC26:AC34" si="11">(D26+F26+H26)*AA26</f>
        <v>20278600</v>
      </c>
      <c r="AD26" s="394"/>
      <c r="AE26" s="394"/>
      <c r="AF26" s="395"/>
    </row>
    <row r="27" spans="1:32" s="55" customFormat="1" ht="25.5" customHeight="1">
      <c r="A27" s="223" t="s">
        <v>22</v>
      </c>
      <c r="B27" s="80" t="s">
        <v>336</v>
      </c>
      <c r="C27" s="28">
        <v>1831666</v>
      </c>
      <c r="D27" s="28">
        <v>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3">
        <f t="shared" si="1"/>
        <v>1831666</v>
      </c>
      <c r="T27" s="33">
        <f t="shared" si="2"/>
        <v>1831666</v>
      </c>
      <c r="U27" s="33">
        <f t="shared" si="3"/>
        <v>0</v>
      </c>
      <c r="V27" s="76">
        <v>0.5</v>
      </c>
      <c r="W27" s="77">
        <f t="shared" si="10"/>
        <v>1831666</v>
      </c>
      <c r="X27" s="34">
        <f t="shared" si="4"/>
        <v>915833</v>
      </c>
      <c r="Y27" s="371">
        <f t="shared" si="5"/>
        <v>0</v>
      </c>
      <c r="Z27" s="362">
        <f t="shared" si="6"/>
        <v>0</v>
      </c>
      <c r="AA27" s="485">
        <v>1</v>
      </c>
      <c r="AB27" s="371">
        <f>(C27+E27+G27)*AA27</f>
        <v>1831666</v>
      </c>
      <c r="AC27" s="371">
        <f t="shared" si="11"/>
        <v>0</v>
      </c>
      <c r="AD27" s="394"/>
      <c r="AE27" s="394"/>
      <c r="AF27" s="395"/>
    </row>
    <row r="28" spans="1:32" s="55" customFormat="1" ht="25.5" customHeight="1">
      <c r="A28" s="445" t="s">
        <v>347</v>
      </c>
      <c r="B28" s="80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3">
        <f t="shared" si="1"/>
        <v>0</v>
      </c>
      <c r="T28" s="33">
        <f t="shared" si="2"/>
        <v>0</v>
      </c>
      <c r="U28" s="33">
        <f t="shared" si="3"/>
        <v>0</v>
      </c>
      <c r="V28" s="76">
        <v>0.3</v>
      </c>
      <c r="W28" s="77">
        <f t="shared" si="10"/>
        <v>0</v>
      </c>
      <c r="X28" s="34">
        <f t="shared" si="4"/>
        <v>0</v>
      </c>
      <c r="Y28" s="371">
        <f t="shared" si="5"/>
        <v>0</v>
      </c>
      <c r="Z28" s="362">
        <f t="shared" si="6"/>
        <v>0</v>
      </c>
      <c r="AA28" s="485">
        <v>1</v>
      </c>
      <c r="AB28" s="371">
        <f>(C28+E28+G28)*AA28</f>
        <v>0</v>
      </c>
      <c r="AC28" s="371">
        <f t="shared" si="11"/>
        <v>0</v>
      </c>
      <c r="AD28" s="394"/>
      <c r="AE28" s="394"/>
      <c r="AF28" s="395"/>
    </row>
    <row r="29" spans="1:32" s="55" customFormat="1" ht="25.5" customHeight="1">
      <c r="A29" s="223" t="s">
        <v>133</v>
      </c>
      <c r="B29" s="80" t="s">
        <v>178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3">
        <f t="shared" si="1"/>
        <v>0</v>
      </c>
      <c r="T29" s="33">
        <f t="shared" si="2"/>
        <v>0</v>
      </c>
      <c r="U29" s="33">
        <f t="shared" si="3"/>
        <v>0</v>
      </c>
      <c r="V29" s="76">
        <v>1</v>
      </c>
      <c r="W29" s="77">
        <f t="shared" si="10"/>
        <v>0</v>
      </c>
      <c r="X29" s="34">
        <f t="shared" si="4"/>
        <v>0</v>
      </c>
      <c r="Y29" s="371">
        <f t="shared" si="5"/>
        <v>0</v>
      </c>
      <c r="Z29" s="362">
        <f t="shared" si="6"/>
        <v>0</v>
      </c>
      <c r="AA29" s="485">
        <v>1</v>
      </c>
      <c r="AB29" s="371">
        <f>(C29+E29+G29)*AA29</f>
        <v>0</v>
      </c>
      <c r="AC29" s="371">
        <f t="shared" si="11"/>
        <v>0</v>
      </c>
      <c r="AD29" s="394"/>
      <c r="AE29" s="394"/>
      <c r="AF29" s="395"/>
    </row>
    <row r="30" spans="1:32" s="55" customFormat="1" ht="25.5">
      <c r="A30" s="223" t="s">
        <v>135</v>
      </c>
      <c r="B30" s="80" t="s">
        <v>179</v>
      </c>
      <c r="C30" s="28">
        <v>155140</v>
      </c>
      <c r="D30" s="28">
        <v>155140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3">
        <f t="shared" si="1"/>
        <v>155140</v>
      </c>
      <c r="T30" s="33">
        <f t="shared" si="2"/>
        <v>0</v>
      </c>
      <c r="U30" s="33">
        <f t="shared" si="3"/>
        <v>155140</v>
      </c>
      <c r="V30" s="76">
        <v>1</v>
      </c>
      <c r="W30" s="77">
        <f t="shared" si="10"/>
        <v>155140</v>
      </c>
      <c r="X30" s="34">
        <f t="shared" si="4"/>
        <v>155140</v>
      </c>
      <c r="Y30" s="371">
        <f t="shared" si="5"/>
        <v>155140</v>
      </c>
      <c r="Z30" s="362">
        <f t="shared" si="6"/>
        <v>155140</v>
      </c>
      <c r="AA30" s="485">
        <v>1</v>
      </c>
      <c r="AB30" s="371">
        <f>(C30+E30+G30)*AA30</f>
        <v>155140</v>
      </c>
      <c r="AC30" s="371">
        <f t="shared" si="11"/>
        <v>155140</v>
      </c>
      <c r="AD30" s="394"/>
      <c r="AE30" s="394"/>
      <c r="AF30" s="395"/>
    </row>
    <row r="31" spans="1:32" s="55" customFormat="1" ht="25.5" customHeight="1">
      <c r="A31" s="223" t="s">
        <v>137</v>
      </c>
      <c r="B31" s="80" t="s">
        <v>180</v>
      </c>
      <c r="C31" s="35">
        <v>0</v>
      </c>
      <c r="D31" s="35">
        <v>0</v>
      </c>
      <c r="E31" s="35">
        <v>536152</v>
      </c>
      <c r="F31" s="35">
        <v>0</v>
      </c>
      <c r="G31" s="35">
        <v>4766637</v>
      </c>
      <c r="H31" s="35">
        <v>0</v>
      </c>
      <c r="I31" s="35">
        <v>18206762</v>
      </c>
      <c r="J31" s="35">
        <v>6759533</v>
      </c>
      <c r="K31" s="35">
        <v>36772514</v>
      </c>
      <c r="L31" s="35">
        <v>6759533</v>
      </c>
      <c r="M31" s="35">
        <v>433258656</v>
      </c>
      <c r="N31" s="35">
        <v>353797757</v>
      </c>
      <c r="O31" s="35">
        <v>333739081</v>
      </c>
      <c r="P31" s="35">
        <v>195859212</v>
      </c>
      <c r="Q31" s="35">
        <v>2073495919</v>
      </c>
      <c r="R31" s="35">
        <v>1068029227</v>
      </c>
      <c r="S31" s="33">
        <f t="shared" si="1"/>
        <v>2900775721</v>
      </c>
      <c r="T31" s="33">
        <f t="shared" si="2"/>
        <v>1269570459</v>
      </c>
      <c r="U31" s="33">
        <f t="shared" si="3"/>
        <v>1631205262</v>
      </c>
      <c r="V31" s="76">
        <v>1</v>
      </c>
      <c r="W31" s="77">
        <f t="shared" si="10"/>
        <v>5302789</v>
      </c>
      <c r="X31" s="34">
        <f t="shared" si="4"/>
        <v>5302789</v>
      </c>
      <c r="Y31" s="371">
        <f t="shared" si="5"/>
        <v>0</v>
      </c>
      <c r="Z31" s="362">
        <f t="shared" si="6"/>
        <v>0</v>
      </c>
      <c r="AA31" s="485">
        <v>0.15</v>
      </c>
      <c r="AB31" s="371">
        <f>+S31*AA31</f>
        <v>435116358.14999998</v>
      </c>
      <c r="AC31" s="371">
        <f>(U31)*AA31</f>
        <v>244680789.29999998</v>
      </c>
      <c r="AD31" s="394"/>
      <c r="AE31" s="394"/>
      <c r="AF31" s="395"/>
    </row>
    <row r="32" spans="1:32" s="55" customFormat="1" ht="25.5" customHeight="1">
      <c r="A32" s="223" t="s">
        <v>139</v>
      </c>
      <c r="B32" s="80" t="s">
        <v>405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4">
        <f t="shared" si="1"/>
        <v>0</v>
      </c>
      <c r="T32" s="34">
        <f t="shared" si="2"/>
        <v>0</v>
      </c>
      <c r="U32" s="34">
        <f t="shared" si="3"/>
        <v>0</v>
      </c>
      <c r="V32" s="76">
        <v>1</v>
      </c>
      <c r="W32" s="77">
        <f t="shared" si="10"/>
        <v>0</v>
      </c>
      <c r="X32" s="34">
        <f>+W32*V32</f>
        <v>0</v>
      </c>
      <c r="Y32" s="371">
        <f t="shared" si="5"/>
        <v>0</v>
      </c>
      <c r="Z32" s="362">
        <f t="shared" si="6"/>
        <v>0</v>
      </c>
      <c r="AA32" s="485">
        <v>1</v>
      </c>
      <c r="AB32" s="371">
        <f>(C32+E32+G32)*AA32</f>
        <v>0</v>
      </c>
      <c r="AC32" s="371">
        <f t="shared" si="11"/>
        <v>0</v>
      </c>
      <c r="AD32" s="394"/>
      <c r="AE32" s="394"/>
      <c r="AF32" s="395"/>
    </row>
    <row r="33" spans="1:32" s="55" customFormat="1" ht="25.5" customHeight="1">
      <c r="A33" s="223" t="s">
        <v>443</v>
      </c>
      <c r="B33" s="80" t="s">
        <v>378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4">
        <f t="shared" si="1"/>
        <v>0</v>
      </c>
      <c r="T33" s="34">
        <f t="shared" si="2"/>
        <v>0</v>
      </c>
      <c r="U33" s="34">
        <f t="shared" si="3"/>
        <v>0</v>
      </c>
      <c r="V33" s="76">
        <v>1</v>
      </c>
      <c r="W33" s="77">
        <f t="shared" si="10"/>
        <v>0</v>
      </c>
      <c r="X33" s="34">
        <f>+W33*V33</f>
        <v>0</v>
      </c>
      <c r="Y33" s="371">
        <f t="shared" si="5"/>
        <v>0</v>
      </c>
      <c r="Z33" s="362">
        <f t="shared" si="6"/>
        <v>0</v>
      </c>
      <c r="AA33" s="485">
        <v>1</v>
      </c>
      <c r="AB33" s="371">
        <f>(C33+E33+G33)*AA33</f>
        <v>0</v>
      </c>
      <c r="AC33" s="371">
        <f t="shared" si="11"/>
        <v>0</v>
      </c>
      <c r="AD33" s="394"/>
      <c r="AE33" s="394"/>
      <c r="AF33" s="395"/>
    </row>
    <row r="34" spans="1:32" s="55" customFormat="1" ht="25.5">
      <c r="A34" s="223" t="s">
        <v>141</v>
      </c>
      <c r="B34" s="82" t="s">
        <v>181</v>
      </c>
      <c r="C34" s="35"/>
      <c r="D34" s="35"/>
      <c r="E34" s="35">
        <v>20000000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3">
        <f t="shared" si="1"/>
        <v>20000000</v>
      </c>
      <c r="T34" s="33">
        <f t="shared" si="2"/>
        <v>20000000</v>
      </c>
      <c r="U34" s="33">
        <f t="shared" si="3"/>
        <v>0</v>
      </c>
      <c r="V34" s="76">
        <v>1</v>
      </c>
      <c r="W34" s="77">
        <f t="shared" si="10"/>
        <v>20000000</v>
      </c>
      <c r="X34" s="34">
        <f t="shared" si="4"/>
        <v>20000000</v>
      </c>
      <c r="Y34" s="371">
        <f t="shared" si="5"/>
        <v>0</v>
      </c>
      <c r="Z34" s="362">
        <f t="shared" si="6"/>
        <v>0</v>
      </c>
      <c r="AA34" s="485">
        <v>1</v>
      </c>
      <c r="AB34" s="371">
        <f>(C34+E34+G34)*AA34</f>
        <v>20000000</v>
      </c>
      <c r="AC34" s="371">
        <f t="shared" si="11"/>
        <v>0</v>
      </c>
      <c r="AD34" s="394"/>
      <c r="AE34" s="394"/>
      <c r="AF34" s="395"/>
    </row>
    <row r="35" spans="1:32" s="55" customFormat="1" ht="29.25" customHeight="1">
      <c r="A35" s="223" t="s">
        <v>143</v>
      </c>
      <c r="B35" s="80" t="s">
        <v>183</v>
      </c>
      <c r="C35" s="35">
        <v>7301</v>
      </c>
      <c r="D35" s="35">
        <v>0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3">
        <f t="shared" si="1"/>
        <v>7301</v>
      </c>
      <c r="T35" s="33">
        <f t="shared" si="2"/>
        <v>7301</v>
      </c>
      <c r="U35" s="33">
        <f t="shared" si="3"/>
        <v>0</v>
      </c>
      <c r="V35" s="76">
        <v>1</v>
      </c>
      <c r="W35" s="77">
        <f t="shared" si="10"/>
        <v>7301</v>
      </c>
      <c r="X35" s="34">
        <f t="shared" si="4"/>
        <v>7301</v>
      </c>
      <c r="Y35" s="371">
        <f t="shared" si="5"/>
        <v>0</v>
      </c>
      <c r="Z35" s="362">
        <f t="shared" si="6"/>
        <v>0</v>
      </c>
      <c r="AA35" s="485">
        <v>1</v>
      </c>
      <c r="AB35" s="371">
        <f>(S35)*AA35</f>
        <v>7301</v>
      </c>
      <c r="AC35" s="371">
        <f>(U35)*AA35</f>
        <v>0</v>
      </c>
      <c r="AD35" s="394"/>
      <c r="AE35" s="394"/>
      <c r="AF35" s="395"/>
    </row>
    <row r="36" spans="1:32" s="55" customFormat="1" ht="25.5" customHeight="1">
      <c r="A36" s="223" t="s">
        <v>184</v>
      </c>
      <c r="B36" s="80" t="s">
        <v>185</v>
      </c>
      <c r="C36" s="35">
        <v>2012535</v>
      </c>
      <c r="D36" s="35">
        <v>124910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3">
        <f t="shared" si="1"/>
        <v>2012535</v>
      </c>
      <c r="T36" s="33">
        <f t="shared" si="2"/>
        <v>1887625</v>
      </c>
      <c r="U36" s="33">
        <f t="shared" si="3"/>
        <v>124910</v>
      </c>
      <c r="V36" s="76">
        <v>1</v>
      </c>
      <c r="W36" s="77">
        <f t="shared" si="10"/>
        <v>2012535</v>
      </c>
      <c r="X36" s="34">
        <f t="shared" si="4"/>
        <v>2012535</v>
      </c>
      <c r="Y36" s="371">
        <f t="shared" si="5"/>
        <v>124910</v>
      </c>
      <c r="Z36" s="362">
        <f t="shared" si="6"/>
        <v>124910</v>
      </c>
      <c r="AA36" s="485">
        <v>1</v>
      </c>
      <c r="AB36" s="371">
        <f>(S36)*AA36</f>
        <v>2012535</v>
      </c>
      <c r="AC36" s="371">
        <f>(U36)*AA36</f>
        <v>124910</v>
      </c>
      <c r="AD36" s="394"/>
      <c r="AE36" s="394"/>
      <c r="AF36" s="395"/>
    </row>
    <row r="37" spans="1:32" s="55" customFormat="1" ht="25.5" customHeight="1">
      <c r="A37" s="223" t="s">
        <v>186</v>
      </c>
      <c r="B37" s="80" t="s">
        <v>161</v>
      </c>
      <c r="C37" s="35">
        <v>37571846</v>
      </c>
      <c r="D37" s="35">
        <v>18874169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3">
        <f t="shared" si="1"/>
        <v>37571846</v>
      </c>
      <c r="T37" s="33">
        <f t="shared" si="2"/>
        <v>18697677</v>
      </c>
      <c r="U37" s="33">
        <f t="shared" si="3"/>
        <v>18874169</v>
      </c>
      <c r="V37" s="76">
        <v>1</v>
      </c>
      <c r="W37" s="77">
        <f t="shared" si="10"/>
        <v>37571846</v>
      </c>
      <c r="X37" s="34">
        <f t="shared" si="4"/>
        <v>37571846</v>
      </c>
      <c r="Y37" s="371">
        <f t="shared" si="5"/>
        <v>18874169</v>
      </c>
      <c r="Z37" s="362">
        <f t="shared" si="6"/>
        <v>18874169</v>
      </c>
      <c r="AA37" s="485"/>
      <c r="AB37" s="371">
        <f>C37+E37+G37+((I37+K37+M37+O37+Q37)*15%)</f>
        <v>37571846</v>
      </c>
      <c r="AC37" s="371">
        <f>D37+F37+H37+((J37+L37+N37+P37+R37)*15%)</f>
        <v>18874169</v>
      </c>
      <c r="AD37" s="394"/>
      <c r="AE37" s="394"/>
      <c r="AF37" s="395"/>
    </row>
    <row r="38" spans="1:32" s="55" customFormat="1" ht="25.5" customHeight="1">
      <c r="A38" s="223" t="s">
        <v>147</v>
      </c>
      <c r="B38" s="80" t="s">
        <v>187</v>
      </c>
      <c r="C38" s="35">
        <v>82923955</v>
      </c>
      <c r="D38" s="35">
        <v>24871688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3">
        <f t="shared" si="1"/>
        <v>82923955</v>
      </c>
      <c r="T38" s="33">
        <f t="shared" si="2"/>
        <v>58052267</v>
      </c>
      <c r="U38" s="33">
        <f t="shared" si="3"/>
        <v>24871688</v>
      </c>
      <c r="V38" s="76">
        <v>0.3</v>
      </c>
      <c r="W38" s="77">
        <f t="shared" si="10"/>
        <v>82923955</v>
      </c>
      <c r="X38" s="34">
        <f t="shared" si="4"/>
        <v>24877186.5</v>
      </c>
      <c r="Y38" s="371">
        <f t="shared" si="5"/>
        <v>24871688</v>
      </c>
      <c r="Z38" s="362">
        <f t="shared" si="6"/>
        <v>7461506.3999999994</v>
      </c>
      <c r="AA38" s="485">
        <v>1</v>
      </c>
      <c r="AB38" s="371">
        <f>(S38)*AA38</f>
        <v>82923955</v>
      </c>
      <c r="AC38" s="371">
        <f>(U38)*AA38</f>
        <v>24871688</v>
      </c>
      <c r="AD38" s="394"/>
      <c r="AE38" s="394"/>
      <c r="AF38" s="394"/>
    </row>
    <row r="39" spans="1:32" s="239" customFormat="1" ht="24.75" customHeight="1">
      <c r="A39" s="224" t="s">
        <v>149</v>
      </c>
      <c r="B39" s="84" t="s">
        <v>188</v>
      </c>
      <c r="C39" s="225">
        <f t="shared" ref="C39:R39" si="12">+C22+C29+C30+C31+C32+C33+C34+C35+C36+C37+C38+C23+C24</f>
        <v>567630252</v>
      </c>
      <c r="D39" s="225">
        <f t="shared" si="12"/>
        <v>117204485</v>
      </c>
      <c r="E39" s="225">
        <f t="shared" si="12"/>
        <v>40536590</v>
      </c>
      <c r="F39" s="225">
        <f t="shared" si="12"/>
        <v>68496</v>
      </c>
      <c r="G39" s="225">
        <f t="shared" si="12"/>
        <v>105486684</v>
      </c>
      <c r="H39" s="225">
        <f t="shared" si="12"/>
        <v>20702371</v>
      </c>
      <c r="I39" s="225">
        <f t="shared" si="12"/>
        <v>186209758</v>
      </c>
      <c r="J39" s="225">
        <f t="shared" si="12"/>
        <v>94996976</v>
      </c>
      <c r="K39" s="225">
        <f t="shared" si="12"/>
        <v>167431850</v>
      </c>
      <c r="L39" s="225">
        <f t="shared" si="12"/>
        <v>12688347</v>
      </c>
      <c r="M39" s="225">
        <f t="shared" si="12"/>
        <v>1109862825</v>
      </c>
      <c r="N39" s="225">
        <f t="shared" si="12"/>
        <v>485374815</v>
      </c>
      <c r="O39" s="225">
        <f t="shared" si="12"/>
        <v>594025468</v>
      </c>
      <c r="P39" s="225">
        <f t="shared" si="12"/>
        <v>298788519</v>
      </c>
      <c r="Q39" s="225">
        <f t="shared" si="12"/>
        <v>2685962405</v>
      </c>
      <c r="R39" s="225">
        <f t="shared" si="12"/>
        <v>1376770927</v>
      </c>
      <c r="S39" s="225">
        <f>+S22+S23+S24+S29+S30+S31+S32+S33+S34+S35+S36+S37+S38</f>
        <v>5457145832</v>
      </c>
      <c r="T39" s="225">
        <f>+T22+T23+T24+T29+T30+T31+T32+T33+T34+T35+T36+T37+T38</f>
        <v>3050550896</v>
      </c>
      <c r="U39" s="225">
        <f>+U22+U23+U24+U29+U30+U31+U32+U33+U34+U35+U36+U37+U38</f>
        <v>2406594936</v>
      </c>
      <c r="V39" s="336" t="s">
        <v>27</v>
      </c>
      <c r="W39" s="85"/>
      <c r="X39" s="225">
        <f>SUM(X9:X38)</f>
        <v>314876736.60000002</v>
      </c>
      <c r="Y39" s="85"/>
      <c r="Z39" s="225">
        <f>SUM(Z9:Z38)</f>
        <v>67924313.400000006</v>
      </c>
      <c r="AA39" s="336" t="s">
        <v>27</v>
      </c>
      <c r="AB39" s="225">
        <f>SUM(AB9:AB38)</f>
        <v>847043395</v>
      </c>
      <c r="AC39" s="225">
        <f>SUM(AC9:AC38)</f>
        <v>364774131.34999996</v>
      </c>
      <c r="AD39" s="396">
        <f>+Balance!C62</f>
        <v>5457145832</v>
      </c>
      <c r="AE39" s="396">
        <f>+Balance!D62</f>
        <v>3050550896</v>
      </c>
      <c r="AF39" s="396">
        <f>+Balance!E62</f>
        <v>2406594936</v>
      </c>
    </row>
    <row r="40" spans="1:32" s="55" customFormat="1">
      <c r="A40" s="223"/>
      <c r="B40" s="83" t="s">
        <v>337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4">
        <f t="shared" si="1"/>
        <v>0</v>
      </c>
      <c r="T40" s="34">
        <f t="shared" si="2"/>
        <v>0</v>
      </c>
      <c r="U40" s="34">
        <f t="shared" si="3"/>
        <v>0</v>
      </c>
      <c r="V40" s="76"/>
      <c r="W40" s="77"/>
      <c r="X40" s="34"/>
      <c r="Y40" s="371"/>
      <c r="Z40" s="362"/>
      <c r="AA40" s="76"/>
      <c r="AB40" s="371"/>
      <c r="AC40" s="371"/>
      <c r="AD40" s="394"/>
      <c r="AE40" s="394"/>
      <c r="AF40" s="395"/>
    </row>
    <row r="41" spans="1:32" s="55" customFormat="1" ht="25.5">
      <c r="A41" s="223"/>
      <c r="B41" s="40" t="s">
        <v>338</v>
      </c>
      <c r="C41" s="34">
        <f t="shared" ref="C41:R41" si="13">+C42+C43</f>
        <v>0</v>
      </c>
      <c r="D41" s="34">
        <f t="shared" si="13"/>
        <v>0</v>
      </c>
      <c r="E41" s="34">
        <f t="shared" si="13"/>
        <v>0</v>
      </c>
      <c r="F41" s="34">
        <f t="shared" si="13"/>
        <v>0</v>
      </c>
      <c r="G41" s="34">
        <f t="shared" si="13"/>
        <v>46267</v>
      </c>
      <c r="H41" s="34">
        <f t="shared" si="13"/>
        <v>0</v>
      </c>
      <c r="I41" s="34">
        <f t="shared" si="13"/>
        <v>0</v>
      </c>
      <c r="J41" s="34">
        <f t="shared" si="13"/>
        <v>0</v>
      </c>
      <c r="K41" s="34">
        <f t="shared" si="13"/>
        <v>48002</v>
      </c>
      <c r="L41" s="34">
        <f t="shared" si="13"/>
        <v>0</v>
      </c>
      <c r="M41" s="34">
        <f t="shared" si="13"/>
        <v>101472</v>
      </c>
      <c r="N41" s="34">
        <f t="shared" si="13"/>
        <v>0</v>
      </c>
      <c r="O41" s="34">
        <f t="shared" si="13"/>
        <v>4577476</v>
      </c>
      <c r="P41" s="34">
        <f t="shared" si="13"/>
        <v>0</v>
      </c>
      <c r="Q41" s="34">
        <f t="shared" si="13"/>
        <v>297968757</v>
      </c>
      <c r="R41" s="34">
        <f t="shared" si="13"/>
        <v>152089500</v>
      </c>
      <c r="S41" s="34">
        <f t="shared" si="1"/>
        <v>302741974</v>
      </c>
      <c r="T41" s="34">
        <f t="shared" si="2"/>
        <v>150652474</v>
      </c>
      <c r="U41" s="34">
        <f t="shared" si="3"/>
        <v>152089500</v>
      </c>
      <c r="V41" s="76"/>
      <c r="W41" s="77"/>
      <c r="X41" s="34"/>
      <c r="Y41" s="371"/>
      <c r="Z41" s="362"/>
      <c r="AA41" s="76"/>
      <c r="AB41" s="371"/>
      <c r="AC41" s="371"/>
      <c r="AD41" s="394"/>
      <c r="AE41" s="394"/>
      <c r="AF41" s="395"/>
    </row>
    <row r="42" spans="1:32" s="55" customFormat="1" ht="20.25" customHeight="1">
      <c r="A42" s="223"/>
      <c r="B42" s="41" t="s">
        <v>293</v>
      </c>
      <c r="C42" s="28">
        <v>0</v>
      </c>
      <c r="D42" s="28">
        <v>0</v>
      </c>
      <c r="E42" s="28">
        <v>0</v>
      </c>
      <c r="F42" s="28">
        <v>0</v>
      </c>
      <c r="G42" s="28">
        <v>46267</v>
      </c>
      <c r="H42" s="28">
        <v>0</v>
      </c>
      <c r="I42" s="28">
        <v>0</v>
      </c>
      <c r="J42" s="28">
        <v>0</v>
      </c>
      <c r="K42" s="28">
        <v>48002</v>
      </c>
      <c r="L42" s="28">
        <v>0</v>
      </c>
      <c r="M42" s="28">
        <v>101472</v>
      </c>
      <c r="N42" s="28">
        <v>0</v>
      </c>
      <c r="O42" s="35">
        <v>4577476</v>
      </c>
      <c r="P42" s="35">
        <v>0</v>
      </c>
      <c r="Q42" s="35">
        <v>145879257</v>
      </c>
      <c r="R42" s="35">
        <v>0</v>
      </c>
      <c r="S42" s="34">
        <f t="shared" si="1"/>
        <v>150652474</v>
      </c>
      <c r="T42" s="34">
        <f t="shared" si="2"/>
        <v>150652474</v>
      </c>
      <c r="U42" s="34">
        <f t="shared" si="3"/>
        <v>0</v>
      </c>
      <c r="V42" s="76"/>
      <c r="W42" s="77"/>
      <c r="X42" s="34"/>
      <c r="Y42" s="371"/>
      <c r="Z42" s="362"/>
      <c r="AA42" s="76"/>
      <c r="AB42" s="371"/>
      <c r="AC42" s="371"/>
      <c r="AD42" s="394"/>
      <c r="AE42" s="394"/>
      <c r="AF42" s="395"/>
    </row>
    <row r="43" spans="1:32" s="55" customFormat="1" ht="20.25" customHeight="1">
      <c r="A43" s="223"/>
      <c r="B43" s="41" t="s">
        <v>339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>
        <v>152089500</v>
      </c>
      <c r="R43" s="28">
        <v>152089500</v>
      </c>
      <c r="S43" s="34">
        <f t="shared" si="1"/>
        <v>152089500</v>
      </c>
      <c r="T43" s="34">
        <f t="shared" si="2"/>
        <v>0</v>
      </c>
      <c r="U43" s="34">
        <f t="shared" si="3"/>
        <v>152089500</v>
      </c>
      <c r="V43" s="76"/>
      <c r="W43" s="77"/>
      <c r="X43" s="34"/>
      <c r="Y43" s="371"/>
      <c r="Z43" s="362"/>
      <c r="AA43" s="76"/>
      <c r="AB43" s="371"/>
      <c r="AC43" s="371"/>
      <c r="AD43" s="394"/>
      <c r="AE43" s="394"/>
      <c r="AF43" s="395"/>
    </row>
    <row r="44" spans="1:32" s="55" customFormat="1" ht="20.25" customHeight="1">
      <c r="A44" s="223"/>
      <c r="B44" s="40" t="s">
        <v>340</v>
      </c>
      <c r="C44" s="34">
        <f t="shared" ref="C44:R44" si="14">+C45+C46</f>
        <v>0</v>
      </c>
      <c r="D44" s="34">
        <f t="shared" si="14"/>
        <v>0</v>
      </c>
      <c r="E44" s="34">
        <f t="shared" si="14"/>
        <v>0</v>
      </c>
      <c r="F44" s="34">
        <f t="shared" si="14"/>
        <v>0</v>
      </c>
      <c r="G44" s="34">
        <f t="shared" si="14"/>
        <v>3500373</v>
      </c>
      <c r="H44" s="34">
        <f t="shared" si="14"/>
        <v>0</v>
      </c>
      <c r="I44" s="34">
        <f t="shared" si="14"/>
        <v>4599340</v>
      </c>
      <c r="J44" s="34">
        <f t="shared" si="14"/>
        <v>0</v>
      </c>
      <c r="K44" s="34">
        <f t="shared" si="14"/>
        <v>18865228</v>
      </c>
      <c r="L44" s="34">
        <f t="shared" si="14"/>
        <v>0</v>
      </c>
      <c r="M44" s="34">
        <f t="shared" si="14"/>
        <v>39994852</v>
      </c>
      <c r="N44" s="34">
        <f t="shared" si="14"/>
        <v>0</v>
      </c>
      <c r="O44" s="34">
        <f t="shared" si="14"/>
        <v>79652799</v>
      </c>
      <c r="P44" s="34">
        <f t="shared" si="14"/>
        <v>0</v>
      </c>
      <c r="Q44" s="34">
        <f t="shared" si="14"/>
        <v>12805929</v>
      </c>
      <c r="R44" s="34">
        <f t="shared" si="14"/>
        <v>0</v>
      </c>
      <c r="S44" s="34">
        <f t="shared" si="1"/>
        <v>159418521</v>
      </c>
      <c r="T44" s="34">
        <f t="shared" si="2"/>
        <v>159418521</v>
      </c>
      <c r="U44" s="34">
        <f t="shared" si="3"/>
        <v>0</v>
      </c>
      <c r="V44" s="76"/>
      <c r="W44" s="77"/>
      <c r="X44" s="34"/>
      <c r="Y44" s="371"/>
      <c r="Z44" s="362"/>
      <c r="AA44" s="76"/>
      <c r="AB44" s="371"/>
      <c r="AC44" s="371"/>
      <c r="AD44" s="394"/>
      <c r="AE44" s="394"/>
      <c r="AF44" s="395"/>
    </row>
    <row r="45" spans="1:32" s="55" customFormat="1" ht="20.25" customHeight="1">
      <c r="A45" s="223"/>
      <c r="B45" s="41" t="s">
        <v>293</v>
      </c>
      <c r="C45" s="28">
        <v>0</v>
      </c>
      <c r="D45" s="28">
        <v>0</v>
      </c>
      <c r="E45" s="28">
        <v>0</v>
      </c>
      <c r="F45" s="28">
        <v>0</v>
      </c>
      <c r="G45" s="28">
        <v>2500373</v>
      </c>
      <c r="H45" s="28">
        <v>0</v>
      </c>
      <c r="I45" s="28">
        <v>4599340</v>
      </c>
      <c r="J45" s="28">
        <v>0</v>
      </c>
      <c r="K45" s="28">
        <v>14365228</v>
      </c>
      <c r="L45" s="28">
        <v>0</v>
      </c>
      <c r="M45" s="28">
        <v>36063952</v>
      </c>
      <c r="N45" s="28">
        <v>0</v>
      </c>
      <c r="O45" s="28">
        <v>4252799</v>
      </c>
      <c r="P45" s="28">
        <v>0</v>
      </c>
      <c r="Q45" s="28">
        <v>12805929</v>
      </c>
      <c r="R45" s="28">
        <v>0</v>
      </c>
      <c r="S45" s="34">
        <f t="shared" si="1"/>
        <v>74587621</v>
      </c>
      <c r="T45" s="34">
        <f t="shared" si="2"/>
        <v>74587621</v>
      </c>
      <c r="U45" s="34">
        <f t="shared" si="3"/>
        <v>0</v>
      </c>
      <c r="V45" s="76"/>
      <c r="W45" s="77"/>
      <c r="X45" s="34"/>
      <c r="Y45" s="371"/>
      <c r="Z45" s="362"/>
      <c r="AA45" s="76"/>
      <c r="AB45" s="371"/>
      <c r="AC45" s="371"/>
      <c r="AD45" s="394"/>
      <c r="AE45" s="394"/>
      <c r="AF45" s="395"/>
    </row>
    <row r="46" spans="1:32" s="55" customFormat="1" ht="20.25" customHeight="1">
      <c r="A46" s="226"/>
      <c r="B46" s="41" t="s">
        <v>339</v>
      </c>
      <c r="C46" s="28">
        <v>0</v>
      </c>
      <c r="D46" s="28">
        <v>0</v>
      </c>
      <c r="E46" s="28">
        <v>0</v>
      </c>
      <c r="F46" s="28">
        <v>0</v>
      </c>
      <c r="G46" s="28">
        <v>1000000</v>
      </c>
      <c r="H46" s="28">
        <v>0</v>
      </c>
      <c r="I46" s="28">
        <v>0</v>
      </c>
      <c r="J46" s="28">
        <v>0</v>
      </c>
      <c r="K46" s="28">
        <v>4500000</v>
      </c>
      <c r="L46" s="28">
        <v>0</v>
      </c>
      <c r="M46" s="28">
        <v>3930900</v>
      </c>
      <c r="N46" s="28">
        <v>0</v>
      </c>
      <c r="O46" s="28">
        <v>75400000</v>
      </c>
      <c r="P46" s="28">
        <v>0</v>
      </c>
      <c r="Q46" s="28">
        <v>0</v>
      </c>
      <c r="R46" s="28">
        <v>0</v>
      </c>
      <c r="S46" s="34">
        <f t="shared" si="1"/>
        <v>84830900</v>
      </c>
      <c r="T46" s="34">
        <f t="shared" si="2"/>
        <v>84830900</v>
      </c>
      <c r="U46" s="34">
        <f t="shared" si="3"/>
        <v>0</v>
      </c>
      <c r="V46" s="76"/>
      <c r="W46" s="77"/>
      <c r="X46" s="34"/>
      <c r="Y46" s="371"/>
      <c r="Z46" s="362"/>
      <c r="AA46" s="76"/>
      <c r="AB46" s="371"/>
      <c r="AC46" s="371"/>
      <c r="AD46" s="394"/>
      <c r="AE46" s="394"/>
      <c r="AF46" s="395"/>
    </row>
    <row r="47" spans="1:32" s="55" customFormat="1" ht="25.5">
      <c r="A47" s="226"/>
      <c r="B47" s="40" t="s">
        <v>341</v>
      </c>
      <c r="C47" s="34">
        <f t="shared" ref="C47:R47" si="15">+C48+C49</f>
        <v>0</v>
      </c>
      <c r="D47" s="34">
        <f t="shared" si="15"/>
        <v>0</v>
      </c>
      <c r="E47" s="34">
        <f t="shared" si="15"/>
        <v>0</v>
      </c>
      <c r="F47" s="34">
        <f t="shared" si="15"/>
        <v>0</v>
      </c>
      <c r="G47" s="34">
        <f t="shared" si="15"/>
        <v>0</v>
      </c>
      <c r="H47" s="34">
        <f t="shared" si="15"/>
        <v>0</v>
      </c>
      <c r="I47" s="34">
        <f t="shared" si="15"/>
        <v>0</v>
      </c>
      <c r="J47" s="34">
        <f t="shared" si="15"/>
        <v>0</v>
      </c>
      <c r="K47" s="34">
        <f t="shared" si="15"/>
        <v>0</v>
      </c>
      <c r="L47" s="34">
        <f t="shared" si="15"/>
        <v>0</v>
      </c>
      <c r="M47" s="34">
        <f t="shared" si="15"/>
        <v>76045</v>
      </c>
      <c r="N47" s="34">
        <f t="shared" si="15"/>
        <v>76045</v>
      </c>
      <c r="O47" s="34">
        <f t="shared" si="15"/>
        <v>61044076</v>
      </c>
      <c r="P47" s="34">
        <f t="shared" si="15"/>
        <v>152090</v>
      </c>
      <c r="Q47" s="34">
        <f t="shared" si="15"/>
        <v>741420298</v>
      </c>
      <c r="R47" s="34">
        <f t="shared" si="15"/>
        <v>684403</v>
      </c>
      <c r="S47" s="34">
        <f t="shared" si="1"/>
        <v>802540419</v>
      </c>
      <c r="T47" s="34">
        <f t="shared" si="2"/>
        <v>801627881</v>
      </c>
      <c r="U47" s="34">
        <f t="shared" si="3"/>
        <v>912538</v>
      </c>
      <c r="V47" s="76"/>
      <c r="W47" s="77"/>
      <c r="X47" s="34"/>
      <c r="Y47" s="371"/>
      <c r="Z47" s="362"/>
      <c r="AA47" s="76"/>
      <c r="AB47" s="371"/>
      <c r="AC47" s="371"/>
      <c r="AD47" s="394"/>
      <c r="AE47" s="394"/>
      <c r="AF47" s="395"/>
    </row>
    <row r="48" spans="1:32" s="55" customFormat="1" ht="20.25" customHeight="1">
      <c r="A48" s="226"/>
      <c r="B48" s="41" t="s">
        <v>293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76045</v>
      </c>
      <c r="N48" s="28">
        <v>76045</v>
      </c>
      <c r="O48" s="28">
        <v>61044076</v>
      </c>
      <c r="P48" s="28">
        <v>152090</v>
      </c>
      <c r="Q48" s="28">
        <v>741420298</v>
      </c>
      <c r="R48" s="28">
        <v>684403</v>
      </c>
      <c r="S48" s="34">
        <f t="shared" si="1"/>
        <v>802540419</v>
      </c>
      <c r="T48" s="34">
        <f t="shared" si="2"/>
        <v>801627881</v>
      </c>
      <c r="U48" s="34">
        <f t="shared" si="3"/>
        <v>912538</v>
      </c>
      <c r="V48" s="76"/>
      <c r="W48" s="77"/>
      <c r="X48" s="34"/>
      <c r="Y48" s="371"/>
      <c r="Z48" s="362"/>
      <c r="AA48" s="76"/>
      <c r="AB48" s="371"/>
      <c r="AC48" s="371"/>
      <c r="AD48" s="394"/>
      <c r="AE48" s="394"/>
      <c r="AF48" s="395"/>
    </row>
    <row r="49" spans="1:32" s="55" customFormat="1" ht="20.25" customHeight="1">
      <c r="A49" s="226"/>
      <c r="B49" s="41" t="s">
        <v>339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34">
        <f t="shared" si="1"/>
        <v>0</v>
      </c>
      <c r="T49" s="34">
        <f t="shared" si="2"/>
        <v>0</v>
      </c>
      <c r="U49" s="34">
        <f t="shared" si="3"/>
        <v>0</v>
      </c>
      <c r="V49" s="76"/>
      <c r="W49" s="77"/>
      <c r="X49" s="34"/>
      <c r="Y49" s="371"/>
      <c r="Z49" s="362"/>
      <c r="AA49" s="76"/>
      <c r="AB49" s="371"/>
      <c r="AC49" s="371"/>
      <c r="AD49" s="394"/>
      <c r="AE49" s="394"/>
      <c r="AF49" s="395"/>
    </row>
    <row r="50" spans="1:32" s="55" customFormat="1" ht="20.25" customHeight="1">
      <c r="A50" s="226"/>
      <c r="B50" s="40" t="s">
        <v>342</v>
      </c>
      <c r="C50" s="34">
        <f t="shared" ref="C50:R50" si="16">+C51+C52</f>
        <v>0</v>
      </c>
      <c r="D50" s="34">
        <f t="shared" si="16"/>
        <v>0</v>
      </c>
      <c r="E50" s="34">
        <f t="shared" si="16"/>
        <v>0</v>
      </c>
      <c r="F50" s="34">
        <f t="shared" si="16"/>
        <v>0</v>
      </c>
      <c r="G50" s="34">
        <f t="shared" si="16"/>
        <v>0</v>
      </c>
      <c r="H50" s="34">
        <f t="shared" si="16"/>
        <v>0</v>
      </c>
      <c r="I50" s="34">
        <f t="shared" si="16"/>
        <v>6759533</v>
      </c>
      <c r="J50" s="34">
        <f t="shared" si="16"/>
        <v>6759533</v>
      </c>
      <c r="K50" s="34">
        <f t="shared" si="16"/>
        <v>6759533</v>
      </c>
      <c r="L50" s="34">
        <f t="shared" si="16"/>
        <v>6759533</v>
      </c>
      <c r="M50" s="34">
        <f t="shared" si="16"/>
        <v>1029522182</v>
      </c>
      <c r="N50" s="34">
        <f t="shared" si="16"/>
        <v>1029522182</v>
      </c>
      <c r="O50" s="34">
        <f t="shared" si="16"/>
        <v>33797667</v>
      </c>
      <c r="P50" s="34">
        <f t="shared" si="16"/>
        <v>33797667</v>
      </c>
      <c r="Q50" s="34">
        <f t="shared" si="16"/>
        <v>56329444</v>
      </c>
      <c r="R50" s="34">
        <f t="shared" si="16"/>
        <v>56329444</v>
      </c>
      <c r="S50" s="34">
        <f t="shared" si="1"/>
        <v>1133168359</v>
      </c>
      <c r="T50" s="34">
        <f t="shared" si="2"/>
        <v>0</v>
      </c>
      <c r="U50" s="34">
        <f t="shared" si="3"/>
        <v>1133168359</v>
      </c>
      <c r="V50" s="76"/>
      <c r="W50" s="77"/>
      <c r="X50" s="34"/>
      <c r="Y50" s="371"/>
      <c r="Z50" s="362"/>
      <c r="AA50" s="76"/>
      <c r="AB50" s="371"/>
      <c r="AC50" s="371"/>
      <c r="AD50" s="394"/>
      <c r="AE50" s="394"/>
      <c r="AF50" s="395"/>
    </row>
    <row r="51" spans="1:32" s="55" customFormat="1" ht="20.25" customHeight="1">
      <c r="A51" s="226"/>
      <c r="B51" s="41" t="s">
        <v>293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5">
        <v>6759533</v>
      </c>
      <c r="J51" s="35">
        <v>6759533</v>
      </c>
      <c r="K51" s="35">
        <v>6759533</v>
      </c>
      <c r="L51" s="35">
        <v>6759533</v>
      </c>
      <c r="M51" s="35">
        <v>1029522182</v>
      </c>
      <c r="N51" s="35">
        <v>1029522182</v>
      </c>
      <c r="O51" s="35">
        <v>33797667</v>
      </c>
      <c r="P51" s="35">
        <v>33797667</v>
      </c>
      <c r="Q51" s="35">
        <v>56329444</v>
      </c>
      <c r="R51" s="35">
        <v>56329444</v>
      </c>
      <c r="S51" s="34">
        <f t="shared" si="1"/>
        <v>1133168359</v>
      </c>
      <c r="T51" s="34">
        <f t="shared" si="2"/>
        <v>0</v>
      </c>
      <c r="U51" s="34">
        <f t="shared" si="3"/>
        <v>1133168359</v>
      </c>
      <c r="V51" s="76"/>
      <c r="W51" s="77"/>
      <c r="X51" s="34"/>
      <c r="Y51" s="371"/>
      <c r="Z51" s="362"/>
      <c r="AA51" s="76"/>
      <c r="AB51" s="371"/>
      <c r="AC51" s="371"/>
      <c r="AD51" s="394"/>
      <c r="AE51" s="394"/>
      <c r="AF51" s="395"/>
    </row>
    <row r="52" spans="1:32" s="55" customFormat="1" ht="20.25" customHeight="1">
      <c r="A52" s="226"/>
      <c r="B52" s="41" t="s">
        <v>339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4">
        <f t="shared" si="1"/>
        <v>0</v>
      </c>
      <c r="T52" s="34">
        <f t="shared" si="2"/>
        <v>0</v>
      </c>
      <c r="U52" s="34">
        <f t="shared" si="3"/>
        <v>0</v>
      </c>
      <c r="V52" s="76"/>
      <c r="W52" s="77"/>
      <c r="X52" s="34"/>
      <c r="Y52" s="371"/>
      <c r="Z52" s="362"/>
      <c r="AA52" s="76"/>
      <c r="AB52" s="371"/>
      <c r="AC52" s="371"/>
      <c r="AD52" s="394"/>
      <c r="AE52" s="394"/>
      <c r="AF52" s="395"/>
    </row>
    <row r="53" spans="1:32" s="55" customFormat="1" ht="20.25" customHeight="1">
      <c r="A53" s="226"/>
      <c r="B53" s="40" t="s">
        <v>343</v>
      </c>
      <c r="C53" s="34">
        <f t="shared" ref="C53:R53" si="17">+C54+C55</f>
        <v>0</v>
      </c>
      <c r="D53" s="34">
        <f t="shared" si="17"/>
        <v>0</v>
      </c>
      <c r="E53" s="34">
        <f t="shared" si="17"/>
        <v>0</v>
      </c>
      <c r="F53" s="34">
        <f t="shared" si="17"/>
        <v>0</v>
      </c>
      <c r="G53" s="34">
        <f t="shared" si="17"/>
        <v>0</v>
      </c>
      <c r="H53" s="34">
        <f t="shared" si="17"/>
        <v>0</v>
      </c>
      <c r="I53" s="34">
        <f t="shared" si="17"/>
        <v>0</v>
      </c>
      <c r="J53" s="34">
        <f t="shared" si="17"/>
        <v>0</v>
      </c>
      <c r="K53" s="34">
        <f t="shared" si="17"/>
        <v>0</v>
      </c>
      <c r="L53" s="34">
        <f t="shared" si="17"/>
        <v>0</v>
      </c>
      <c r="M53" s="34">
        <f t="shared" si="17"/>
        <v>247008624</v>
      </c>
      <c r="N53" s="34">
        <f t="shared" si="17"/>
        <v>247008624</v>
      </c>
      <c r="O53" s="34">
        <f t="shared" si="17"/>
        <v>161909456</v>
      </c>
      <c r="P53" s="34">
        <f t="shared" si="17"/>
        <v>161909456</v>
      </c>
      <c r="Q53" s="34">
        <f t="shared" si="17"/>
        <v>0</v>
      </c>
      <c r="R53" s="34">
        <f t="shared" si="17"/>
        <v>0</v>
      </c>
      <c r="S53" s="34">
        <f t="shared" si="1"/>
        <v>408918080</v>
      </c>
      <c r="T53" s="34">
        <f t="shared" si="2"/>
        <v>0</v>
      </c>
      <c r="U53" s="34">
        <f t="shared" si="3"/>
        <v>408918080</v>
      </c>
      <c r="V53" s="76"/>
      <c r="W53" s="77"/>
      <c r="X53" s="34"/>
      <c r="Y53" s="371"/>
      <c r="Z53" s="362"/>
      <c r="AA53" s="76"/>
      <c r="AB53" s="371"/>
      <c r="AC53" s="371"/>
      <c r="AD53" s="394"/>
      <c r="AE53" s="394"/>
      <c r="AF53" s="395"/>
    </row>
    <row r="54" spans="1:32" s="55" customFormat="1" ht="20.25" customHeight="1">
      <c r="A54" s="226"/>
      <c r="B54" s="41" t="s">
        <v>293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247008624</v>
      </c>
      <c r="N54" s="28">
        <v>247008624</v>
      </c>
      <c r="O54" s="28">
        <v>161909456</v>
      </c>
      <c r="P54" s="28">
        <v>161909456</v>
      </c>
      <c r="Q54" s="28">
        <v>0</v>
      </c>
      <c r="R54" s="28">
        <v>0</v>
      </c>
      <c r="S54" s="34">
        <f t="shared" si="1"/>
        <v>408918080</v>
      </c>
      <c r="T54" s="34">
        <f t="shared" si="2"/>
        <v>0</v>
      </c>
      <c r="U54" s="34">
        <f t="shared" si="3"/>
        <v>408918080</v>
      </c>
      <c r="V54" s="76"/>
      <c r="W54" s="77"/>
      <c r="X54" s="34"/>
      <c r="Y54" s="371"/>
      <c r="Z54" s="362"/>
      <c r="AA54" s="76"/>
      <c r="AB54" s="371"/>
      <c r="AC54" s="371"/>
      <c r="AD54" s="394"/>
      <c r="AE54" s="394"/>
      <c r="AF54" s="395"/>
    </row>
    <row r="55" spans="1:32" s="55" customFormat="1" ht="20.25" customHeight="1">
      <c r="A55" s="226"/>
      <c r="B55" s="41" t="s">
        <v>339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4">
        <f t="shared" si="1"/>
        <v>0</v>
      </c>
      <c r="T55" s="34">
        <f t="shared" si="2"/>
        <v>0</v>
      </c>
      <c r="U55" s="34">
        <f t="shared" si="3"/>
        <v>0</v>
      </c>
      <c r="V55" s="76"/>
      <c r="W55" s="77"/>
      <c r="X55" s="34"/>
      <c r="Y55" s="371"/>
      <c r="Z55" s="362"/>
      <c r="AA55" s="76"/>
      <c r="AB55" s="371"/>
      <c r="AC55" s="371"/>
      <c r="AD55" s="394"/>
      <c r="AE55" s="394"/>
      <c r="AF55" s="395"/>
    </row>
    <row r="56" spans="1:32" s="8" customFormat="1">
      <c r="A56" s="23"/>
      <c r="B56" s="38"/>
      <c r="V56" s="24"/>
      <c r="W56" s="25"/>
      <c r="Y56" s="372"/>
      <c r="Z56" s="366"/>
      <c r="AA56" s="24"/>
      <c r="AB56" s="372"/>
      <c r="AC56" s="372"/>
      <c r="AD56" s="387"/>
      <c r="AE56" s="387"/>
      <c r="AF56" s="397"/>
    </row>
    <row r="57" spans="1:32" s="8" customFormat="1">
      <c r="A57" s="23"/>
      <c r="B57" s="39" t="s">
        <v>4</v>
      </c>
      <c r="V57" s="24"/>
      <c r="W57" s="25"/>
      <c r="Y57" s="372"/>
      <c r="Z57" s="366"/>
      <c r="AA57" s="24"/>
      <c r="AB57" s="372"/>
      <c r="AC57" s="372"/>
      <c r="AD57" s="387"/>
      <c r="AE57" s="387"/>
      <c r="AF57" s="397"/>
    </row>
    <row r="58" spans="1:32" s="8" customFormat="1">
      <c r="A58" s="23"/>
      <c r="B58" s="39"/>
      <c r="V58" s="24"/>
      <c r="W58" s="25"/>
      <c r="Y58" s="372"/>
      <c r="Z58" s="366"/>
      <c r="AA58" s="24"/>
      <c r="AB58" s="372"/>
      <c r="AC58" s="372"/>
      <c r="AD58" s="387"/>
      <c r="AE58" s="387"/>
      <c r="AF58" s="397"/>
    </row>
    <row r="59" spans="1:32" s="8" customFormat="1">
      <c r="A59" s="23"/>
      <c r="B59" s="39" t="s">
        <v>5</v>
      </c>
      <c r="V59" s="24"/>
      <c r="W59" s="25"/>
      <c r="Y59" s="372"/>
      <c r="Z59" s="366"/>
      <c r="AA59" s="24"/>
      <c r="AB59" s="372"/>
      <c r="AC59" s="372"/>
      <c r="AD59" s="387"/>
      <c r="AE59" s="387"/>
      <c r="AF59" s="397"/>
    </row>
    <row r="60" spans="1:32" s="8" customFormat="1">
      <c r="A60" s="23"/>
      <c r="B60" s="38"/>
      <c r="V60" s="24"/>
      <c r="W60" s="25"/>
      <c r="Y60" s="372"/>
      <c r="Z60" s="366"/>
      <c r="AA60" s="24"/>
      <c r="AB60" s="372"/>
      <c r="AC60" s="372"/>
      <c r="AD60" s="387"/>
      <c r="AE60" s="387"/>
      <c r="AF60" s="391"/>
    </row>
  </sheetData>
  <sheetProtection password="CACA" sheet="1" objects="1" scenarios="1"/>
  <mergeCells count="17">
    <mergeCell ref="AA3:AC4"/>
    <mergeCell ref="A3:A5"/>
    <mergeCell ref="I4:J4"/>
    <mergeCell ref="O4:P4"/>
    <mergeCell ref="B3:B5"/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E4:F4"/>
    <mergeCell ref="T2:U2"/>
    <mergeCell ref="V3:Z4"/>
  </mergeCells>
  <phoneticPr fontId="14" type="noConversion"/>
  <conditionalFormatting sqref="AE39">
    <cfRule type="cellIs" dxfId="248" priority="246" operator="notEqual">
      <formula>$T$39</formula>
    </cfRule>
  </conditionalFormatting>
  <conditionalFormatting sqref="D8 F8 F16 D16 R16 P16 N16 L16 J16 H16 H22:H25 J22:J25 L22:L25 N22:N25 P22:P25 R22:R25 D22:D25 F22:F25 F27:F30 D27:D30 R27:R30 P27:P30 N27:N30 L27:L30 J27:J30 H27:H30">
    <cfRule type="cellIs" dxfId="247" priority="245" operator="greaterThan">
      <formula>C8</formula>
    </cfRule>
  </conditionalFormatting>
  <conditionalFormatting sqref="D41:D55 F41:F55">
    <cfRule type="cellIs" dxfId="246" priority="243" operator="greaterThan">
      <formula>C41</formula>
    </cfRule>
  </conditionalFormatting>
  <conditionalFormatting sqref="H8">
    <cfRule type="cellIs" dxfId="245" priority="242" operator="greaterThan">
      <formula>G8</formula>
    </cfRule>
  </conditionalFormatting>
  <conditionalFormatting sqref="H41:H55">
    <cfRule type="cellIs" dxfId="244" priority="240" operator="greaterThan">
      <formula>G41</formula>
    </cfRule>
  </conditionalFormatting>
  <conditionalFormatting sqref="J8">
    <cfRule type="cellIs" dxfId="243" priority="239" operator="greaterThan">
      <formula>I8</formula>
    </cfRule>
  </conditionalFormatting>
  <conditionalFormatting sqref="J41:J50 J52:J55">
    <cfRule type="cellIs" dxfId="242" priority="237" operator="greaterThan">
      <formula>I41</formula>
    </cfRule>
  </conditionalFormatting>
  <conditionalFormatting sqref="L8">
    <cfRule type="cellIs" dxfId="241" priority="236" operator="greaterThan">
      <formula>K8</formula>
    </cfRule>
  </conditionalFormatting>
  <conditionalFormatting sqref="L41:L50 L52:L55">
    <cfRule type="cellIs" dxfId="240" priority="234" operator="greaterThan">
      <formula>K41</formula>
    </cfRule>
  </conditionalFormatting>
  <conditionalFormatting sqref="N8">
    <cfRule type="cellIs" dxfId="239" priority="233" operator="greaterThan">
      <formula>M8</formula>
    </cfRule>
  </conditionalFormatting>
  <conditionalFormatting sqref="N41:N50 N52:N55">
    <cfRule type="cellIs" dxfId="238" priority="231" operator="greaterThan">
      <formula>M41</formula>
    </cfRule>
  </conditionalFormatting>
  <conditionalFormatting sqref="P8">
    <cfRule type="cellIs" dxfId="237" priority="230" operator="greaterThan">
      <formula>O8</formula>
    </cfRule>
  </conditionalFormatting>
  <conditionalFormatting sqref="P41 P43:P50 P52:P55">
    <cfRule type="cellIs" dxfId="236" priority="228" operator="greaterThan">
      <formula>O41</formula>
    </cfRule>
  </conditionalFormatting>
  <conditionalFormatting sqref="R8">
    <cfRule type="cellIs" dxfId="235" priority="227" operator="greaterThan">
      <formula>Q8</formula>
    </cfRule>
  </conditionalFormatting>
  <conditionalFormatting sqref="R41 R43:R50 R52:R55">
    <cfRule type="cellIs" dxfId="234" priority="225" operator="greaterThan">
      <formula>Q41</formula>
    </cfRule>
  </conditionalFormatting>
  <conditionalFormatting sqref="F8">
    <cfRule type="cellIs" dxfId="233" priority="222" operator="greaterThan">
      <formula>E8</formula>
    </cfRule>
  </conditionalFormatting>
  <conditionalFormatting sqref="F41:F55">
    <cfRule type="cellIs" dxfId="232" priority="221" operator="greaterThan">
      <formula>E41</formula>
    </cfRule>
  </conditionalFormatting>
  <conditionalFormatting sqref="AF39">
    <cfRule type="cellIs" dxfId="231" priority="220" operator="notEqual">
      <formula>$U$39</formula>
    </cfRule>
  </conditionalFormatting>
  <conditionalFormatting sqref="AD39">
    <cfRule type="cellIs" dxfId="230" priority="219" operator="notEqual">
      <formula>$S$39</formula>
    </cfRule>
  </conditionalFormatting>
  <conditionalFormatting sqref="H9:H12 J9:J12 L9:L12 N9:N12 P9:P12 R9:R12 D9:D12 F9:F12 F14:F15 D14:D15 R14:R15 P14:P15 N14:N15 L14:L15 J14:J15 H14:H15">
    <cfRule type="cellIs" dxfId="229" priority="218" operator="greaterThan">
      <formula>C9</formula>
    </cfRule>
  </conditionalFormatting>
  <conditionalFormatting sqref="H9">
    <cfRule type="cellIs" dxfId="228" priority="217" operator="greaterThan">
      <formula>G9</formula>
    </cfRule>
  </conditionalFormatting>
  <conditionalFormatting sqref="J9">
    <cfRule type="cellIs" dxfId="227" priority="216" operator="greaterThan">
      <formula>I9</formula>
    </cfRule>
  </conditionalFormatting>
  <conditionalFormatting sqref="L9">
    <cfRule type="cellIs" dxfId="226" priority="215" operator="greaterThan">
      <formula>K9</formula>
    </cfRule>
  </conditionalFormatting>
  <conditionalFormatting sqref="N9">
    <cfRule type="cellIs" dxfId="225" priority="214" operator="greaterThan">
      <formula>M9</formula>
    </cfRule>
  </conditionalFormatting>
  <conditionalFormatting sqref="P9">
    <cfRule type="cellIs" dxfId="224" priority="213" operator="greaterThan">
      <formula>O9</formula>
    </cfRule>
  </conditionalFormatting>
  <conditionalFormatting sqref="R9">
    <cfRule type="cellIs" dxfId="223" priority="212" operator="greaterThan">
      <formula>Q9</formula>
    </cfRule>
  </conditionalFormatting>
  <conditionalFormatting sqref="H9 J9 L9 N9 P9 R9">
    <cfRule type="cellIs" dxfId="222" priority="211" operator="greaterThan">
      <formula>G9</formula>
    </cfRule>
  </conditionalFormatting>
  <conditionalFormatting sqref="H9 J9 L9 P9 R9 N9">
    <cfRule type="cellIs" dxfId="221" priority="210" operator="greaterThan">
      <formula>G9</formula>
    </cfRule>
  </conditionalFormatting>
  <conditionalFormatting sqref="F9">
    <cfRule type="cellIs" dxfId="220" priority="209" operator="greaterThan">
      <formula>E9</formula>
    </cfRule>
  </conditionalFormatting>
  <conditionalFormatting sqref="F9">
    <cfRule type="cellIs" dxfId="219" priority="208" operator="greaterThan">
      <formula>E9</formula>
    </cfRule>
  </conditionalFormatting>
  <conditionalFormatting sqref="F9">
    <cfRule type="cellIs" dxfId="218" priority="207" operator="greaterThan">
      <formula>E9</formula>
    </cfRule>
  </conditionalFormatting>
  <conditionalFormatting sqref="F9">
    <cfRule type="cellIs" dxfId="217" priority="206" operator="greaterThan">
      <formula>E9</formula>
    </cfRule>
  </conditionalFormatting>
  <conditionalFormatting sqref="H10">
    <cfRule type="cellIs" dxfId="216" priority="205" operator="greaterThan">
      <formula>G10</formula>
    </cfRule>
  </conditionalFormatting>
  <conditionalFormatting sqref="J10">
    <cfRule type="cellIs" dxfId="215" priority="204" operator="greaterThan">
      <formula>I10</formula>
    </cfRule>
  </conditionalFormatting>
  <conditionalFormatting sqref="L10">
    <cfRule type="cellIs" dxfId="214" priority="203" operator="greaterThan">
      <formula>K10</formula>
    </cfRule>
  </conditionalFormatting>
  <conditionalFormatting sqref="N10">
    <cfRule type="cellIs" dxfId="213" priority="202" operator="greaterThan">
      <formula>M10</formula>
    </cfRule>
  </conditionalFormatting>
  <conditionalFormatting sqref="P10">
    <cfRule type="cellIs" dxfId="212" priority="201" operator="greaterThan">
      <formula>O10</formula>
    </cfRule>
  </conditionalFormatting>
  <conditionalFormatting sqref="R10">
    <cfRule type="cellIs" dxfId="211" priority="200" operator="greaterThan">
      <formula>Q10</formula>
    </cfRule>
  </conditionalFormatting>
  <conditionalFormatting sqref="H10 J10 L10 N10 P10 R10">
    <cfRule type="cellIs" dxfId="210" priority="199" operator="greaterThan">
      <formula>G10</formula>
    </cfRule>
  </conditionalFormatting>
  <conditionalFormatting sqref="H10 J10 L10 P10 R10 N10">
    <cfRule type="cellIs" dxfId="209" priority="198" operator="greaterThan">
      <formula>G10</formula>
    </cfRule>
  </conditionalFormatting>
  <conditionalFormatting sqref="F10">
    <cfRule type="cellIs" dxfId="208" priority="197" operator="greaterThan">
      <formula>E10</formula>
    </cfRule>
  </conditionalFormatting>
  <conditionalFormatting sqref="F10">
    <cfRule type="cellIs" dxfId="207" priority="196" operator="greaterThan">
      <formula>E10</formula>
    </cfRule>
  </conditionalFormatting>
  <conditionalFormatting sqref="F10">
    <cfRule type="cellIs" dxfId="206" priority="195" operator="greaterThan">
      <formula>E10</formula>
    </cfRule>
  </conditionalFormatting>
  <conditionalFormatting sqref="F10">
    <cfRule type="cellIs" dxfId="205" priority="194" operator="greaterThan">
      <formula>E10</formula>
    </cfRule>
  </conditionalFormatting>
  <conditionalFormatting sqref="H12">
    <cfRule type="cellIs" dxfId="204" priority="193" operator="greaterThan">
      <formula>G12</formula>
    </cfRule>
  </conditionalFormatting>
  <conditionalFormatting sqref="J12">
    <cfRule type="cellIs" dxfId="203" priority="192" operator="greaterThan">
      <formula>I12</formula>
    </cfRule>
  </conditionalFormatting>
  <conditionalFormatting sqref="L12">
    <cfRule type="cellIs" dxfId="202" priority="191" operator="greaterThan">
      <formula>K12</formula>
    </cfRule>
  </conditionalFormatting>
  <conditionalFormatting sqref="N12">
    <cfRule type="cellIs" dxfId="201" priority="190" operator="greaterThan">
      <formula>M12</formula>
    </cfRule>
  </conditionalFormatting>
  <conditionalFormatting sqref="P12">
    <cfRule type="cellIs" dxfId="200" priority="189" operator="greaterThan">
      <formula>O12</formula>
    </cfRule>
  </conditionalFormatting>
  <conditionalFormatting sqref="R12">
    <cfRule type="cellIs" dxfId="199" priority="188" operator="greaterThan">
      <formula>Q12</formula>
    </cfRule>
  </conditionalFormatting>
  <conditionalFormatting sqref="H12 J12 L12 N12 P12 R12">
    <cfRule type="cellIs" dxfId="198" priority="187" operator="greaterThan">
      <formula>G12</formula>
    </cfRule>
  </conditionalFormatting>
  <conditionalFormatting sqref="H12 J12 L12 P12 R12 N12">
    <cfRule type="cellIs" dxfId="197" priority="186" operator="greaterThan">
      <formula>G12</formula>
    </cfRule>
  </conditionalFormatting>
  <conditionalFormatting sqref="F12">
    <cfRule type="cellIs" dxfId="196" priority="185" operator="greaterThan">
      <formula>E12</formula>
    </cfRule>
  </conditionalFormatting>
  <conditionalFormatting sqref="F12">
    <cfRule type="cellIs" dxfId="195" priority="184" operator="greaterThan">
      <formula>E12</formula>
    </cfRule>
  </conditionalFormatting>
  <conditionalFormatting sqref="F12">
    <cfRule type="cellIs" dxfId="194" priority="183" operator="greaterThan">
      <formula>E12</formula>
    </cfRule>
  </conditionalFormatting>
  <conditionalFormatting sqref="F12">
    <cfRule type="cellIs" dxfId="193" priority="182" operator="greaterThan">
      <formula>E12</formula>
    </cfRule>
  </conditionalFormatting>
  <conditionalFormatting sqref="H14">
    <cfRule type="cellIs" dxfId="192" priority="181" operator="greaterThan">
      <formula>G14</formula>
    </cfRule>
  </conditionalFormatting>
  <conditionalFormatting sqref="J14">
    <cfRule type="cellIs" dxfId="191" priority="180" operator="greaterThan">
      <formula>I14</formula>
    </cfRule>
  </conditionalFormatting>
  <conditionalFormatting sqref="L14">
    <cfRule type="cellIs" dxfId="190" priority="179" operator="greaterThan">
      <formula>K14</formula>
    </cfRule>
  </conditionalFormatting>
  <conditionalFormatting sqref="N14">
    <cfRule type="cellIs" dxfId="189" priority="178" operator="greaterThan">
      <formula>M14</formula>
    </cfRule>
  </conditionalFormatting>
  <conditionalFormatting sqref="P14">
    <cfRule type="cellIs" dxfId="188" priority="177" operator="greaterThan">
      <formula>O14</formula>
    </cfRule>
  </conditionalFormatting>
  <conditionalFormatting sqref="R14">
    <cfRule type="cellIs" dxfId="187" priority="176" operator="greaterThan">
      <formula>Q14</formula>
    </cfRule>
  </conditionalFormatting>
  <conditionalFormatting sqref="H14 J14 L14 N14 P14 R14">
    <cfRule type="cellIs" dxfId="186" priority="175" operator="greaterThan">
      <formula>G14</formula>
    </cfRule>
  </conditionalFormatting>
  <conditionalFormatting sqref="H14 J14 L14 P14 R14 N14">
    <cfRule type="cellIs" dxfId="185" priority="174" operator="greaterThan">
      <formula>G14</formula>
    </cfRule>
  </conditionalFormatting>
  <conditionalFormatting sqref="F14">
    <cfRule type="cellIs" dxfId="184" priority="173" operator="greaterThan">
      <formula>E14</formula>
    </cfRule>
  </conditionalFormatting>
  <conditionalFormatting sqref="F14">
    <cfRule type="cellIs" dxfId="183" priority="172" operator="greaterThan">
      <formula>E14</formula>
    </cfRule>
  </conditionalFormatting>
  <conditionalFormatting sqref="F14">
    <cfRule type="cellIs" dxfId="182" priority="171" operator="greaterThan">
      <formula>E14</formula>
    </cfRule>
  </conditionalFormatting>
  <conditionalFormatting sqref="F14">
    <cfRule type="cellIs" dxfId="181" priority="170" operator="greaterThan">
      <formula>E14</formula>
    </cfRule>
  </conditionalFormatting>
  <conditionalFormatting sqref="H15">
    <cfRule type="cellIs" dxfId="180" priority="169" operator="greaterThan">
      <formula>G15</formula>
    </cfRule>
  </conditionalFormatting>
  <conditionalFormatting sqref="J15">
    <cfRule type="cellIs" dxfId="179" priority="168" operator="greaterThan">
      <formula>I15</formula>
    </cfRule>
  </conditionalFormatting>
  <conditionalFormatting sqref="L15">
    <cfRule type="cellIs" dxfId="178" priority="167" operator="greaterThan">
      <formula>K15</formula>
    </cfRule>
  </conditionalFormatting>
  <conditionalFormatting sqref="N15">
    <cfRule type="cellIs" dxfId="177" priority="166" operator="greaterThan">
      <formula>M15</formula>
    </cfRule>
  </conditionalFormatting>
  <conditionalFormatting sqref="P15">
    <cfRule type="cellIs" dxfId="176" priority="165" operator="greaterThan">
      <formula>O15</formula>
    </cfRule>
  </conditionalFormatting>
  <conditionalFormatting sqref="R15">
    <cfRule type="cellIs" dxfId="175" priority="164" operator="greaterThan">
      <formula>Q15</formula>
    </cfRule>
  </conditionalFormatting>
  <conditionalFormatting sqref="H15 J15 L15 N15 P15 R15">
    <cfRule type="cellIs" dxfId="174" priority="163" operator="greaterThan">
      <formula>G15</formula>
    </cfRule>
  </conditionalFormatting>
  <conditionalFormatting sqref="H15 J15 L15 P15 R15 N15">
    <cfRule type="cellIs" dxfId="173" priority="162" operator="greaterThan">
      <formula>G15</formula>
    </cfRule>
  </conditionalFormatting>
  <conditionalFormatting sqref="F15">
    <cfRule type="cellIs" dxfId="172" priority="161" operator="greaterThan">
      <formula>E15</formula>
    </cfRule>
  </conditionalFormatting>
  <conditionalFormatting sqref="F15">
    <cfRule type="cellIs" dxfId="171" priority="160" operator="greaterThan">
      <formula>E15</formula>
    </cfRule>
  </conditionalFormatting>
  <conditionalFormatting sqref="F15">
    <cfRule type="cellIs" dxfId="170" priority="159" operator="greaterThan">
      <formula>E15</formula>
    </cfRule>
  </conditionalFormatting>
  <conditionalFormatting sqref="F15">
    <cfRule type="cellIs" dxfId="169" priority="158" operator="greaterThan">
      <formula>E15</formula>
    </cfRule>
  </conditionalFormatting>
  <conditionalFormatting sqref="F17:F21 D17:D21 R17:R21 P17:P21 N17:N21 L17:L21 J17:J21 H17:H21">
    <cfRule type="cellIs" dxfId="168" priority="157" operator="greaterThan">
      <formula>C17</formula>
    </cfRule>
  </conditionalFormatting>
  <conditionalFormatting sqref="H17">
    <cfRule type="cellIs" dxfId="167" priority="156" operator="greaterThan">
      <formula>G17</formula>
    </cfRule>
  </conditionalFormatting>
  <conditionalFormatting sqref="J17">
    <cfRule type="cellIs" dxfId="166" priority="155" operator="greaterThan">
      <formula>I17</formula>
    </cfRule>
  </conditionalFormatting>
  <conditionalFormatting sqref="L17">
    <cfRule type="cellIs" dxfId="165" priority="154" operator="greaterThan">
      <formula>K17</formula>
    </cfRule>
  </conditionalFormatting>
  <conditionalFormatting sqref="N17">
    <cfRule type="cellIs" dxfId="164" priority="153" operator="greaterThan">
      <formula>M17</formula>
    </cfRule>
  </conditionalFormatting>
  <conditionalFormatting sqref="P17">
    <cfRule type="cellIs" dxfId="163" priority="152" operator="greaterThan">
      <formula>O17</formula>
    </cfRule>
  </conditionalFormatting>
  <conditionalFormatting sqref="R17">
    <cfRule type="cellIs" dxfId="162" priority="151" operator="greaterThan">
      <formula>Q17</formula>
    </cfRule>
  </conditionalFormatting>
  <conditionalFormatting sqref="H17 J17 L17 N17 P17 R17">
    <cfRule type="cellIs" dxfId="161" priority="150" operator="greaterThan">
      <formula>G17</formula>
    </cfRule>
  </conditionalFormatting>
  <conditionalFormatting sqref="H17 J17 L17 P17 R17 N17">
    <cfRule type="cellIs" dxfId="160" priority="149" operator="greaterThan">
      <formula>G17</formula>
    </cfRule>
  </conditionalFormatting>
  <conditionalFormatting sqref="F17">
    <cfRule type="cellIs" dxfId="159" priority="148" operator="greaterThan">
      <formula>E17</formula>
    </cfRule>
  </conditionalFormatting>
  <conditionalFormatting sqref="F17">
    <cfRule type="cellIs" dxfId="158" priority="147" operator="greaterThan">
      <formula>E17</formula>
    </cfRule>
  </conditionalFormatting>
  <conditionalFormatting sqref="F17">
    <cfRule type="cellIs" dxfId="157" priority="146" operator="greaterThan">
      <formula>E17</formula>
    </cfRule>
  </conditionalFormatting>
  <conditionalFormatting sqref="F17">
    <cfRule type="cellIs" dxfId="156" priority="145" operator="greaterThan">
      <formula>E17</formula>
    </cfRule>
  </conditionalFormatting>
  <conditionalFormatting sqref="H18">
    <cfRule type="cellIs" dxfId="155" priority="144" operator="greaterThan">
      <formula>G18</formula>
    </cfRule>
  </conditionalFormatting>
  <conditionalFormatting sqref="J18">
    <cfRule type="cellIs" dxfId="154" priority="143" operator="greaterThan">
      <formula>I18</formula>
    </cfRule>
  </conditionalFormatting>
  <conditionalFormatting sqref="L18">
    <cfRule type="cellIs" dxfId="153" priority="142" operator="greaterThan">
      <formula>K18</formula>
    </cfRule>
  </conditionalFormatting>
  <conditionalFormatting sqref="N18">
    <cfRule type="cellIs" dxfId="152" priority="141" operator="greaterThan">
      <formula>M18</formula>
    </cfRule>
  </conditionalFormatting>
  <conditionalFormatting sqref="P18">
    <cfRule type="cellIs" dxfId="151" priority="140" operator="greaterThan">
      <formula>O18</formula>
    </cfRule>
  </conditionalFormatting>
  <conditionalFormatting sqref="R18">
    <cfRule type="cellIs" dxfId="150" priority="139" operator="greaterThan">
      <formula>Q18</formula>
    </cfRule>
  </conditionalFormatting>
  <conditionalFormatting sqref="H18 J18 L18 N18 P18 R18">
    <cfRule type="cellIs" dxfId="149" priority="138" operator="greaterThan">
      <formula>G18</formula>
    </cfRule>
  </conditionalFormatting>
  <conditionalFormatting sqref="H18 J18 L18 P18 R18 N18">
    <cfRule type="cellIs" dxfId="148" priority="137" operator="greaterThan">
      <formula>G18</formula>
    </cfRule>
  </conditionalFormatting>
  <conditionalFormatting sqref="F18">
    <cfRule type="cellIs" dxfId="147" priority="136" operator="greaterThan">
      <formula>E18</formula>
    </cfRule>
  </conditionalFormatting>
  <conditionalFormatting sqref="F18">
    <cfRule type="cellIs" dxfId="146" priority="135" operator="greaterThan">
      <formula>E18</formula>
    </cfRule>
  </conditionalFormatting>
  <conditionalFormatting sqref="F18">
    <cfRule type="cellIs" dxfId="145" priority="134" operator="greaterThan">
      <formula>E18</formula>
    </cfRule>
  </conditionalFormatting>
  <conditionalFormatting sqref="F18">
    <cfRule type="cellIs" dxfId="144" priority="133" operator="greaterThan">
      <formula>E18</formula>
    </cfRule>
  </conditionalFormatting>
  <conditionalFormatting sqref="H19">
    <cfRule type="cellIs" dxfId="143" priority="132" operator="greaterThan">
      <formula>G19</formula>
    </cfRule>
  </conditionalFormatting>
  <conditionalFormatting sqref="J19">
    <cfRule type="cellIs" dxfId="142" priority="131" operator="greaterThan">
      <formula>I19</formula>
    </cfRule>
  </conditionalFormatting>
  <conditionalFormatting sqref="L19">
    <cfRule type="cellIs" dxfId="141" priority="130" operator="greaterThan">
      <formula>K19</formula>
    </cfRule>
  </conditionalFormatting>
  <conditionalFormatting sqref="N19">
    <cfRule type="cellIs" dxfId="140" priority="129" operator="greaterThan">
      <formula>M19</formula>
    </cfRule>
  </conditionalFormatting>
  <conditionalFormatting sqref="P19">
    <cfRule type="cellIs" dxfId="139" priority="128" operator="greaterThan">
      <formula>O19</formula>
    </cfRule>
  </conditionalFormatting>
  <conditionalFormatting sqref="R19">
    <cfRule type="cellIs" dxfId="138" priority="127" operator="greaterThan">
      <formula>Q19</formula>
    </cfRule>
  </conditionalFormatting>
  <conditionalFormatting sqref="H19 J19 L19 N19 P19 R19">
    <cfRule type="cellIs" dxfId="137" priority="126" operator="greaterThan">
      <formula>G19</formula>
    </cfRule>
  </conditionalFormatting>
  <conditionalFormatting sqref="H19 J19 L19 P19 R19 N19">
    <cfRule type="cellIs" dxfId="136" priority="125" operator="greaterThan">
      <formula>G19</formula>
    </cfRule>
  </conditionalFormatting>
  <conditionalFormatting sqref="F19">
    <cfRule type="cellIs" dxfId="135" priority="124" operator="greaterThan">
      <formula>E19</formula>
    </cfRule>
  </conditionalFormatting>
  <conditionalFormatting sqref="F19">
    <cfRule type="cellIs" dxfId="134" priority="123" operator="greaterThan">
      <formula>E19</formula>
    </cfRule>
  </conditionalFormatting>
  <conditionalFormatting sqref="F19">
    <cfRule type="cellIs" dxfId="133" priority="122" operator="greaterThan">
      <formula>E19</formula>
    </cfRule>
  </conditionalFormatting>
  <conditionalFormatting sqref="F19">
    <cfRule type="cellIs" dxfId="132" priority="121" operator="greaterThan">
      <formula>E19</formula>
    </cfRule>
  </conditionalFormatting>
  <conditionalFormatting sqref="H20">
    <cfRule type="cellIs" dxfId="131" priority="120" operator="greaterThan">
      <formula>G20</formula>
    </cfRule>
  </conditionalFormatting>
  <conditionalFormatting sqref="J20">
    <cfRule type="cellIs" dxfId="130" priority="119" operator="greaterThan">
      <formula>I20</formula>
    </cfRule>
  </conditionalFormatting>
  <conditionalFormatting sqref="L20">
    <cfRule type="cellIs" dxfId="129" priority="118" operator="greaterThan">
      <formula>K20</formula>
    </cfRule>
  </conditionalFormatting>
  <conditionalFormatting sqref="N20">
    <cfRule type="cellIs" dxfId="128" priority="117" operator="greaterThan">
      <formula>M20</formula>
    </cfRule>
  </conditionalFormatting>
  <conditionalFormatting sqref="P20">
    <cfRule type="cellIs" dxfId="127" priority="116" operator="greaterThan">
      <formula>O20</formula>
    </cfRule>
  </conditionalFormatting>
  <conditionalFormatting sqref="R20">
    <cfRule type="cellIs" dxfId="126" priority="115" operator="greaterThan">
      <formula>Q20</formula>
    </cfRule>
  </conditionalFormatting>
  <conditionalFormatting sqref="H20 J20 L20 N20 P20 R20">
    <cfRule type="cellIs" dxfId="125" priority="114" operator="greaterThan">
      <formula>G20</formula>
    </cfRule>
  </conditionalFormatting>
  <conditionalFormatting sqref="H20 J20 L20 P20 R20 N20">
    <cfRule type="cellIs" dxfId="124" priority="113" operator="greaterThan">
      <formula>G20</formula>
    </cfRule>
  </conditionalFormatting>
  <conditionalFormatting sqref="F20">
    <cfRule type="cellIs" dxfId="123" priority="112" operator="greaterThan">
      <formula>E20</formula>
    </cfRule>
  </conditionalFormatting>
  <conditionalFormatting sqref="F20">
    <cfRule type="cellIs" dxfId="122" priority="111" operator="greaterThan">
      <formula>E20</formula>
    </cfRule>
  </conditionalFormatting>
  <conditionalFormatting sqref="F20">
    <cfRule type="cellIs" dxfId="121" priority="110" operator="greaterThan">
      <formula>E20</formula>
    </cfRule>
  </conditionalFormatting>
  <conditionalFormatting sqref="F20">
    <cfRule type="cellIs" dxfId="120" priority="109" operator="greaterThan">
      <formula>E20</formula>
    </cfRule>
  </conditionalFormatting>
  <conditionalFormatting sqref="H21">
    <cfRule type="cellIs" dxfId="119" priority="108" operator="greaterThan">
      <formula>G21</formula>
    </cfRule>
  </conditionalFormatting>
  <conditionalFormatting sqref="J21">
    <cfRule type="cellIs" dxfId="118" priority="107" operator="greaterThan">
      <formula>I21</formula>
    </cfRule>
  </conditionalFormatting>
  <conditionalFormatting sqref="L21">
    <cfRule type="cellIs" dxfId="117" priority="106" operator="greaterThan">
      <formula>K21</formula>
    </cfRule>
  </conditionalFormatting>
  <conditionalFormatting sqref="N21">
    <cfRule type="cellIs" dxfId="116" priority="105" operator="greaterThan">
      <formula>M21</formula>
    </cfRule>
  </conditionalFormatting>
  <conditionalFormatting sqref="P21">
    <cfRule type="cellIs" dxfId="115" priority="104" operator="greaterThan">
      <formula>O21</formula>
    </cfRule>
  </conditionalFormatting>
  <conditionalFormatting sqref="R21">
    <cfRule type="cellIs" dxfId="114" priority="103" operator="greaterThan">
      <formula>Q21</formula>
    </cfRule>
  </conditionalFormatting>
  <conditionalFormatting sqref="H21 J21 L21 N21 P21 R21">
    <cfRule type="cellIs" dxfId="113" priority="102" operator="greaterThan">
      <formula>G21</formula>
    </cfRule>
  </conditionalFormatting>
  <conditionalFormatting sqref="H21 J21 L21 P21 R21 N21">
    <cfRule type="cellIs" dxfId="112" priority="101" operator="greaterThan">
      <formula>G21</formula>
    </cfRule>
  </conditionalFormatting>
  <conditionalFormatting sqref="F21">
    <cfRule type="cellIs" dxfId="111" priority="100" operator="greaterThan">
      <formula>E21</formula>
    </cfRule>
  </conditionalFormatting>
  <conditionalFormatting sqref="F21">
    <cfRule type="cellIs" dxfId="110" priority="99" operator="greaterThan">
      <formula>E21</formula>
    </cfRule>
  </conditionalFormatting>
  <conditionalFormatting sqref="F21">
    <cfRule type="cellIs" dxfId="109" priority="98" operator="greaterThan">
      <formula>E21</formula>
    </cfRule>
  </conditionalFormatting>
  <conditionalFormatting sqref="F21">
    <cfRule type="cellIs" dxfId="108" priority="97" operator="greaterThan">
      <formula>E21</formula>
    </cfRule>
  </conditionalFormatting>
  <conditionalFormatting sqref="H26 J26 L26 N26 P26 R26 D26 F26">
    <cfRule type="cellIs" dxfId="107" priority="96" operator="greaterThan">
      <formula>C26</formula>
    </cfRule>
  </conditionalFormatting>
  <conditionalFormatting sqref="H26 J26 L26 N26 P26 R26 D26 F26">
    <cfRule type="cellIs" dxfId="106" priority="95" operator="greaterThan">
      <formula>C26</formula>
    </cfRule>
  </conditionalFormatting>
  <conditionalFormatting sqref="H26">
    <cfRule type="cellIs" dxfId="105" priority="94" operator="greaterThan">
      <formula>G26</formula>
    </cfRule>
  </conditionalFormatting>
  <conditionalFormatting sqref="J26">
    <cfRule type="cellIs" dxfId="104" priority="93" operator="greaterThan">
      <formula>I26</formula>
    </cfRule>
  </conditionalFormatting>
  <conditionalFormatting sqref="L26">
    <cfRule type="cellIs" dxfId="103" priority="92" operator="greaterThan">
      <formula>K26</formula>
    </cfRule>
  </conditionalFormatting>
  <conditionalFormatting sqref="N26">
    <cfRule type="cellIs" dxfId="102" priority="91" operator="greaterThan">
      <formula>M26</formula>
    </cfRule>
  </conditionalFormatting>
  <conditionalFormatting sqref="P26">
    <cfRule type="cellIs" dxfId="101" priority="90" operator="greaterThan">
      <formula>O26</formula>
    </cfRule>
  </conditionalFormatting>
  <conditionalFormatting sqref="R26">
    <cfRule type="cellIs" dxfId="100" priority="89" operator="greaterThan">
      <formula>Q26</formula>
    </cfRule>
  </conditionalFormatting>
  <conditionalFormatting sqref="H26 J26 L26 N26 P26 R26">
    <cfRule type="cellIs" dxfId="99" priority="88" operator="greaterThan">
      <formula>G26</formula>
    </cfRule>
  </conditionalFormatting>
  <conditionalFormatting sqref="H26 J26 L26 P26 R26 N26">
    <cfRule type="cellIs" dxfId="98" priority="87" operator="greaterThan">
      <formula>G26</formula>
    </cfRule>
  </conditionalFormatting>
  <conditionalFormatting sqref="F26">
    <cfRule type="cellIs" dxfId="97" priority="86" operator="greaterThan">
      <formula>E26</formula>
    </cfRule>
  </conditionalFormatting>
  <conditionalFormatting sqref="F26">
    <cfRule type="cellIs" dxfId="96" priority="85" operator="greaterThan">
      <formula>E26</formula>
    </cfRule>
  </conditionalFormatting>
  <conditionalFormatting sqref="F26">
    <cfRule type="cellIs" dxfId="95" priority="84" operator="greaterThan">
      <formula>E26</formula>
    </cfRule>
  </conditionalFormatting>
  <conditionalFormatting sqref="F26">
    <cfRule type="cellIs" dxfId="94" priority="83" operator="greaterThan">
      <formula>E26</formula>
    </cfRule>
  </conditionalFormatting>
  <conditionalFormatting sqref="H32:H38 J32:J38 L32:L38 N32:N38 P32:P38 R32:R38 D32:D38 F32:F38">
    <cfRule type="cellIs" dxfId="93" priority="82" operator="greaterThan">
      <formula>C32</formula>
    </cfRule>
  </conditionalFormatting>
  <conditionalFormatting sqref="H31 J31 L31 F31 P31 D31">
    <cfRule type="cellIs" dxfId="92" priority="81" operator="greaterThan">
      <formula>C31</formula>
    </cfRule>
  </conditionalFormatting>
  <conditionalFormatting sqref="H31 J31 L31 F31 P31 D31">
    <cfRule type="cellIs" dxfId="91" priority="80" operator="greaterThan">
      <formula>C31</formula>
    </cfRule>
  </conditionalFormatting>
  <conditionalFormatting sqref="H31">
    <cfRule type="cellIs" dxfId="90" priority="79" operator="greaterThan">
      <formula>G31</formula>
    </cfRule>
  </conditionalFormatting>
  <conditionalFormatting sqref="J31">
    <cfRule type="cellIs" dxfId="89" priority="78" operator="greaterThan">
      <formula>I31</formula>
    </cfRule>
  </conditionalFormatting>
  <conditionalFormatting sqref="L31">
    <cfRule type="cellIs" dxfId="88" priority="77" operator="greaterThan">
      <formula>K31</formula>
    </cfRule>
  </conditionalFormatting>
  <conditionalFormatting sqref="P31">
    <cfRule type="cellIs" dxfId="87" priority="75" operator="greaterThan">
      <formula>O31</formula>
    </cfRule>
  </conditionalFormatting>
  <conditionalFormatting sqref="H31 J31 L31 P31">
    <cfRule type="cellIs" dxfId="86" priority="73" operator="greaterThan">
      <formula>G31</formula>
    </cfRule>
  </conditionalFormatting>
  <conditionalFormatting sqref="H31 J31 L31 P31">
    <cfRule type="cellIs" dxfId="85" priority="72" operator="greaterThan">
      <formula>G31</formula>
    </cfRule>
  </conditionalFormatting>
  <conditionalFormatting sqref="F31">
    <cfRule type="cellIs" dxfId="84" priority="71" operator="greaterThan">
      <formula>E31</formula>
    </cfRule>
  </conditionalFormatting>
  <conditionalFormatting sqref="F31">
    <cfRule type="cellIs" dxfId="83" priority="70" operator="greaterThan">
      <formula>E31</formula>
    </cfRule>
  </conditionalFormatting>
  <conditionalFormatting sqref="F31">
    <cfRule type="cellIs" dxfId="82" priority="69" operator="greaterThan">
      <formula>E31</formula>
    </cfRule>
  </conditionalFormatting>
  <conditionalFormatting sqref="F31">
    <cfRule type="cellIs" dxfId="81" priority="68" operator="greaterThan">
      <formula>E31</formula>
    </cfRule>
  </conditionalFormatting>
  <conditionalFormatting sqref="H33">
    <cfRule type="cellIs" dxfId="80" priority="67" operator="greaterThan">
      <formula>G33</formula>
    </cfRule>
  </conditionalFormatting>
  <conditionalFormatting sqref="J33">
    <cfRule type="cellIs" dxfId="79" priority="66" operator="greaterThan">
      <formula>I33</formula>
    </cfRule>
  </conditionalFormatting>
  <conditionalFormatting sqref="L33">
    <cfRule type="cellIs" dxfId="78" priority="65" operator="greaterThan">
      <formula>K33</formula>
    </cfRule>
  </conditionalFormatting>
  <conditionalFormatting sqref="N33">
    <cfRule type="cellIs" dxfId="77" priority="64" operator="greaterThan">
      <formula>M33</formula>
    </cfRule>
  </conditionalFormatting>
  <conditionalFormatting sqref="P33">
    <cfRule type="cellIs" dxfId="76" priority="63" operator="greaterThan">
      <formula>O33</formula>
    </cfRule>
  </conditionalFormatting>
  <conditionalFormatting sqref="R33">
    <cfRule type="cellIs" dxfId="75" priority="62" operator="greaterThan">
      <formula>Q33</formula>
    </cfRule>
  </conditionalFormatting>
  <conditionalFormatting sqref="H33 J33 L33 N33 P33 R33">
    <cfRule type="cellIs" dxfId="74" priority="61" operator="greaterThan">
      <formula>G33</formula>
    </cfRule>
  </conditionalFormatting>
  <conditionalFormatting sqref="H33 J33 L33 P33 R33 N33">
    <cfRule type="cellIs" dxfId="73" priority="60" operator="greaterThan">
      <formula>G33</formula>
    </cfRule>
  </conditionalFormatting>
  <conditionalFormatting sqref="F33">
    <cfRule type="cellIs" dxfId="72" priority="59" operator="greaterThan">
      <formula>E33</formula>
    </cfRule>
  </conditionalFormatting>
  <conditionalFormatting sqref="F33">
    <cfRule type="cellIs" dxfId="71" priority="58" operator="greaterThan">
      <formula>E33</formula>
    </cfRule>
  </conditionalFormatting>
  <conditionalFormatting sqref="F33">
    <cfRule type="cellIs" dxfId="70" priority="57" operator="greaterThan">
      <formula>E33</formula>
    </cfRule>
  </conditionalFormatting>
  <conditionalFormatting sqref="F33">
    <cfRule type="cellIs" dxfId="69" priority="56" operator="greaterThan">
      <formula>E33</formula>
    </cfRule>
  </conditionalFormatting>
  <conditionalFormatting sqref="H35">
    <cfRule type="cellIs" dxfId="68" priority="55" operator="greaterThan">
      <formula>G35</formula>
    </cfRule>
  </conditionalFormatting>
  <conditionalFormatting sqref="J35">
    <cfRule type="cellIs" dxfId="67" priority="54" operator="greaterThan">
      <formula>I35</formula>
    </cfRule>
  </conditionalFormatting>
  <conditionalFormatting sqref="L35">
    <cfRule type="cellIs" dxfId="66" priority="53" operator="greaterThan">
      <formula>K35</formula>
    </cfRule>
  </conditionalFormatting>
  <conditionalFormatting sqref="N35">
    <cfRule type="cellIs" dxfId="65" priority="52" operator="greaterThan">
      <formula>M35</formula>
    </cfRule>
  </conditionalFormatting>
  <conditionalFormatting sqref="P35">
    <cfRule type="cellIs" dxfId="64" priority="51" operator="greaterThan">
      <formula>O35</formula>
    </cfRule>
  </conditionalFormatting>
  <conditionalFormatting sqref="R35">
    <cfRule type="cellIs" dxfId="63" priority="50" operator="greaterThan">
      <formula>Q35</formula>
    </cfRule>
  </conditionalFormatting>
  <conditionalFormatting sqref="H35 J35 L35 N35 P35 R35">
    <cfRule type="cellIs" dxfId="62" priority="49" operator="greaterThan">
      <formula>G35</formula>
    </cfRule>
  </conditionalFormatting>
  <conditionalFormatting sqref="H35 J35 L35 P35 R35 N35">
    <cfRule type="cellIs" dxfId="61" priority="48" operator="greaterThan">
      <formula>G35</formula>
    </cfRule>
  </conditionalFormatting>
  <conditionalFormatting sqref="F35">
    <cfRule type="cellIs" dxfId="60" priority="47" operator="greaterThan">
      <formula>E35</formula>
    </cfRule>
  </conditionalFormatting>
  <conditionalFormatting sqref="F35">
    <cfRule type="cellIs" dxfId="59" priority="46" operator="greaterThan">
      <formula>E35</formula>
    </cfRule>
  </conditionalFormatting>
  <conditionalFormatting sqref="F35">
    <cfRule type="cellIs" dxfId="58" priority="45" operator="greaterThan">
      <formula>E35</formula>
    </cfRule>
  </conditionalFormatting>
  <conditionalFormatting sqref="F35">
    <cfRule type="cellIs" dxfId="57" priority="44" operator="greaterThan">
      <formula>E35</formula>
    </cfRule>
  </conditionalFormatting>
  <conditionalFormatting sqref="H36">
    <cfRule type="cellIs" dxfId="56" priority="43" operator="greaterThan">
      <formula>G36</formula>
    </cfRule>
  </conditionalFormatting>
  <conditionalFormatting sqref="J36">
    <cfRule type="cellIs" dxfId="55" priority="42" operator="greaterThan">
      <formula>I36</formula>
    </cfRule>
  </conditionalFormatting>
  <conditionalFormatting sqref="L36">
    <cfRule type="cellIs" dxfId="54" priority="41" operator="greaterThan">
      <formula>K36</formula>
    </cfRule>
  </conditionalFormatting>
  <conditionalFormatting sqref="N36">
    <cfRule type="cellIs" dxfId="53" priority="40" operator="greaterThan">
      <formula>M36</formula>
    </cfRule>
  </conditionalFormatting>
  <conditionalFormatting sqref="P36">
    <cfRule type="cellIs" dxfId="52" priority="39" operator="greaterThan">
      <formula>O36</formula>
    </cfRule>
  </conditionalFormatting>
  <conditionalFormatting sqref="R36">
    <cfRule type="cellIs" dxfId="51" priority="38" operator="greaterThan">
      <formula>Q36</formula>
    </cfRule>
  </conditionalFormatting>
  <conditionalFormatting sqref="H36 J36 L36 N36 P36 R36">
    <cfRule type="cellIs" dxfId="50" priority="37" operator="greaterThan">
      <formula>G36</formula>
    </cfRule>
  </conditionalFormatting>
  <conditionalFormatting sqref="H36 J36 L36 P36 R36 N36">
    <cfRule type="cellIs" dxfId="49" priority="36" operator="greaterThan">
      <formula>G36</formula>
    </cfRule>
  </conditionalFormatting>
  <conditionalFormatting sqref="F36">
    <cfRule type="cellIs" dxfId="48" priority="35" operator="greaterThan">
      <formula>E36</formula>
    </cfRule>
  </conditionalFormatting>
  <conditionalFormatting sqref="F36">
    <cfRule type="cellIs" dxfId="47" priority="34" operator="greaterThan">
      <formula>E36</formula>
    </cfRule>
  </conditionalFormatting>
  <conditionalFormatting sqref="F36">
    <cfRule type="cellIs" dxfId="46" priority="33" operator="greaterThan">
      <formula>E36</formula>
    </cfRule>
  </conditionalFormatting>
  <conditionalFormatting sqref="F36">
    <cfRule type="cellIs" dxfId="45" priority="32" operator="greaterThan">
      <formula>E36</formula>
    </cfRule>
  </conditionalFormatting>
  <conditionalFormatting sqref="H37">
    <cfRule type="cellIs" dxfId="44" priority="31" operator="greaterThan">
      <formula>G37</formula>
    </cfRule>
  </conditionalFormatting>
  <conditionalFormatting sqref="J37">
    <cfRule type="cellIs" dxfId="43" priority="30" operator="greaterThan">
      <formula>I37</formula>
    </cfRule>
  </conditionalFormatting>
  <conditionalFormatting sqref="L37">
    <cfRule type="cellIs" dxfId="42" priority="29" operator="greaterThan">
      <formula>K37</formula>
    </cfRule>
  </conditionalFormatting>
  <conditionalFormatting sqref="N37">
    <cfRule type="cellIs" dxfId="41" priority="28" operator="greaterThan">
      <formula>M37</formula>
    </cfRule>
  </conditionalFormatting>
  <conditionalFormatting sqref="P37">
    <cfRule type="cellIs" dxfId="40" priority="27" operator="greaterThan">
      <formula>O37</formula>
    </cfRule>
  </conditionalFormatting>
  <conditionalFormatting sqref="R37">
    <cfRule type="cellIs" dxfId="39" priority="26" operator="greaterThan">
      <formula>Q37</formula>
    </cfRule>
  </conditionalFormatting>
  <conditionalFormatting sqref="H37 J37 L37 N37 P37 R37">
    <cfRule type="cellIs" dxfId="38" priority="25" operator="greaterThan">
      <formula>G37</formula>
    </cfRule>
  </conditionalFormatting>
  <conditionalFormatting sqref="H37 J37 L37 P37 R37 N37">
    <cfRule type="cellIs" dxfId="37" priority="24" operator="greaterThan">
      <formula>G37</formula>
    </cfRule>
  </conditionalFormatting>
  <conditionalFormatting sqref="F37">
    <cfRule type="cellIs" dxfId="36" priority="23" operator="greaterThan">
      <formula>E37</formula>
    </cfRule>
  </conditionalFormatting>
  <conditionalFormatting sqref="F37">
    <cfRule type="cellIs" dxfId="35" priority="22" operator="greaterThan">
      <formula>E37</formula>
    </cfRule>
  </conditionalFormatting>
  <conditionalFormatting sqref="F37">
    <cfRule type="cellIs" dxfId="34" priority="21" operator="greaterThan">
      <formula>E37</formula>
    </cfRule>
  </conditionalFormatting>
  <conditionalFormatting sqref="F37">
    <cfRule type="cellIs" dxfId="33" priority="20" operator="greaterThan">
      <formula>E37</formula>
    </cfRule>
  </conditionalFormatting>
  <conditionalFormatting sqref="H38">
    <cfRule type="cellIs" dxfId="32" priority="19" operator="greaterThan">
      <formula>G38</formula>
    </cfRule>
  </conditionalFormatting>
  <conditionalFormatting sqref="J38">
    <cfRule type="cellIs" dxfId="31" priority="18" operator="greaterThan">
      <formula>I38</formula>
    </cfRule>
  </conditionalFormatting>
  <conditionalFormatting sqref="L38">
    <cfRule type="cellIs" dxfId="30" priority="17" operator="greaterThan">
      <formula>K38</formula>
    </cfRule>
  </conditionalFormatting>
  <conditionalFormatting sqref="N38">
    <cfRule type="cellIs" dxfId="29" priority="16" operator="greaterThan">
      <formula>M38</formula>
    </cfRule>
  </conditionalFormatting>
  <conditionalFormatting sqref="P38">
    <cfRule type="cellIs" dxfId="28" priority="15" operator="greaterThan">
      <formula>O38</formula>
    </cfRule>
  </conditionalFormatting>
  <conditionalFormatting sqref="R38">
    <cfRule type="cellIs" dxfId="27" priority="14" operator="greaterThan">
      <formula>Q38</formula>
    </cfRule>
  </conditionalFormatting>
  <conditionalFormatting sqref="H38 J38 L38 N38 P38 R38">
    <cfRule type="cellIs" dxfId="26" priority="13" operator="greaterThan">
      <formula>G38</formula>
    </cfRule>
  </conditionalFormatting>
  <conditionalFormatting sqref="H38 J38 L38 P38 R38 N38">
    <cfRule type="cellIs" dxfId="25" priority="12" operator="greaterThan">
      <formula>G38</formula>
    </cfRule>
  </conditionalFormatting>
  <conditionalFormatting sqref="F38">
    <cfRule type="cellIs" dxfId="24" priority="11" operator="greaterThan">
      <formula>E38</formula>
    </cfRule>
  </conditionalFormatting>
  <conditionalFormatting sqref="F38">
    <cfRule type="cellIs" dxfId="23" priority="10" operator="greaterThan">
      <formula>E38</formula>
    </cfRule>
  </conditionalFormatting>
  <conditionalFormatting sqref="F38">
    <cfRule type="cellIs" dxfId="22" priority="9" operator="greaterThan">
      <formula>E38</formula>
    </cfRule>
  </conditionalFormatting>
  <conditionalFormatting sqref="F38">
    <cfRule type="cellIs" dxfId="21" priority="8" operator="greaterThan">
      <formula>E38</formula>
    </cfRule>
  </conditionalFormatting>
  <conditionalFormatting sqref="P42">
    <cfRule type="cellIs" dxfId="20" priority="7" operator="greaterThan">
      <formula>O42</formula>
    </cfRule>
  </conditionalFormatting>
  <conditionalFormatting sqref="R42">
    <cfRule type="cellIs" dxfId="19" priority="6" operator="greaterThan">
      <formula>Q42</formula>
    </cfRule>
  </conditionalFormatting>
  <conditionalFormatting sqref="J51">
    <cfRule type="cellIs" dxfId="18" priority="5" operator="greaterThan">
      <formula>I51</formula>
    </cfRule>
  </conditionalFormatting>
  <conditionalFormatting sqref="L51">
    <cfRule type="cellIs" dxfId="17" priority="4" operator="greaterThan">
      <formula>K51</formula>
    </cfRule>
  </conditionalFormatting>
  <conditionalFormatting sqref="N51">
    <cfRule type="cellIs" dxfId="16" priority="3" operator="greaterThan">
      <formula>M51</formula>
    </cfRule>
  </conditionalFormatting>
  <conditionalFormatting sqref="P51">
    <cfRule type="cellIs" dxfId="15" priority="2" operator="greaterThan">
      <formula>O51</formula>
    </cfRule>
  </conditionalFormatting>
  <conditionalFormatting sqref="R51">
    <cfRule type="cellIs" dxfId="14" priority="1" operator="greaterThan">
      <formula>Q51</formula>
    </cfRule>
  </conditionalFormatting>
  <dataValidations count="3">
    <dataValidation type="whole" operator="notEqual" allowBlank="1" showErrorMessage="1" error="Введите как целое число." sqref="C40:R55 C23:R38 C16:R21 C9:R13">
      <formula1>-1E+28</formula1>
    </dataValidation>
    <dataValidation allowBlank="1" showErrorMessage="1" prompt="Введите самостоятельно рассчитанный коэффициент" sqref="T5:U5 C5:R5"/>
    <dataValidation type="whole" operator="greaterThanOrEqual" allowBlank="1" showErrorMessage="1" error="Введите как целое положительное число." sqref="C14:R15 C8:R8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R60"/>
  <sheetViews>
    <sheetView view="pageBreakPreview" zoomScale="70" zoomScaleNormal="70" zoomScaleSheetLayoutView="70" workbookViewId="0">
      <pane xSplit="2" ySplit="7" topLeftCell="C14" activePane="bottomRight" state="frozen"/>
      <selection activeCell="B3" sqref="B3:B6"/>
      <selection pane="topRight" activeCell="B3" sqref="B3:B6"/>
      <selection pane="bottomLeft" activeCell="B3" sqref="B3:B6"/>
      <selection pane="bottomRight" activeCell="N47" sqref="N47"/>
    </sheetView>
  </sheetViews>
  <sheetFormatPr defaultRowHeight="12.75"/>
  <cols>
    <col min="1" max="1" width="6.42578125" style="17" customWidth="1"/>
    <col min="2" max="2" width="80.42578125" style="7" customWidth="1"/>
    <col min="3" max="10" width="22.140625" style="7" customWidth="1"/>
    <col min="11" max="11" width="20.28515625" style="7" customWidth="1"/>
    <col min="12" max="12" width="18.5703125" style="18" customWidth="1"/>
    <col min="13" max="13" width="18.5703125" style="21" customWidth="1"/>
    <col min="14" max="14" width="18.5703125" style="18" customWidth="1"/>
    <col min="15" max="15" width="18.5703125" style="21" customWidth="1"/>
    <col min="16" max="18" width="15.140625" style="282" customWidth="1"/>
    <col min="19" max="16384" width="9.140625" style="7"/>
  </cols>
  <sheetData>
    <row r="2" spans="1:18" s="281" customFormat="1" ht="26.25" customHeight="1">
      <c r="A2" s="278" t="s">
        <v>451</v>
      </c>
      <c r="B2" s="279"/>
      <c r="C2" s="279"/>
      <c r="D2" s="280"/>
      <c r="E2" s="280"/>
      <c r="F2" s="280"/>
      <c r="G2" s="280"/>
      <c r="H2" s="280"/>
      <c r="I2" s="280"/>
      <c r="L2" s="447"/>
      <c r="M2" s="447"/>
      <c r="N2" s="562" t="s">
        <v>448</v>
      </c>
      <c r="O2" s="562"/>
      <c r="P2" s="319"/>
      <c r="Q2" s="319"/>
      <c r="R2" s="319"/>
    </row>
    <row r="3" spans="1:18" ht="15.75">
      <c r="A3" s="26"/>
      <c r="B3" s="196" t="str">
        <f>Balance!B3</f>
        <v>АКБ"Микрокредитбанк"</v>
      </c>
      <c r="C3" s="163"/>
      <c r="D3" s="9"/>
      <c r="E3" s="9"/>
      <c r="F3" s="9"/>
      <c r="G3" s="9"/>
      <c r="H3" s="9"/>
      <c r="I3" s="9"/>
      <c r="J3" s="219" t="str">
        <f>+Balance!B2</f>
        <v xml:space="preserve"> 31 Декабрь, 2020</v>
      </c>
      <c r="L3" s="7"/>
      <c r="M3" s="9"/>
      <c r="N3" s="7"/>
      <c r="O3" s="22" t="str">
        <f>+Balance!E3</f>
        <v>тыс. сум</v>
      </c>
    </row>
    <row r="4" spans="1:18" s="86" customFormat="1" ht="23.25" customHeight="1">
      <c r="A4" s="563" t="s">
        <v>79</v>
      </c>
      <c r="B4" s="563" t="s">
        <v>54</v>
      </c>
      <c r="C4" s="573" t="s">
        <v>167</v>
      </c>
      <c r="D4" s="575"/>
      <c r="E4" s="575"/>
      <c r="F4" s="575"/>
      <c r="G4" s="575"/>
      <c r="H4" s="575"/>
      <c r="I4" s="575"/>
      <c r="J4" s="575"/>
      <c r="K4" s="563" t="s">
        <v>127</v>
      </c>
      <c r="L4" s="565" t="s">
        <v>530</v>
      </c>
      <c r="M4" s="566"/>
      <c r="N4" s="565" t="s">
        <v>529</v>
      </c>
      <c r="O4" s="566"/>
      <c r="P4" s="320"/>
      <c r="Q4" s="320"/>
      <c r="R4" s="320"/>
    </row>
    <row r="5" spans="1:18" s="86" customFormat="1" ht="27.75" customHeight="1">
      <c r="A5" s="564"/>
      <c r="B5" s="564"/>
      <c r="C5" s="589" t="s">
        <v>128</v>
      </c>
      <c r="D5" s="589" t="s">
        <v>441</v>
      </c>
      <c r="E5" s="589" t="s">
        <v>442</v>
      </c>
      <c r="F5" s="589" t="s">
        <v>344</v>
      </c>
      <c r="G5" s="589" t="s">
        <v>345</v>
      </c>
      <c r="H5" s="589" t="s">
        <v>413</v>
      </c>
      <c r="I5" s="589" t="s">
        <v>414</v>
      </c>
      <c r="J5" s="589" t="s">
        <v>84</v>
      </c>
      <c r="K5" s="564"/>
      <c r="L5" s="567"/>
      <c r="M5" s="568"/>
      <c r="N5" s="567"/>
      <c r="O5" s="568"/>
      <c r="P5" s="320"/>
      <c r="Q5" s="320"/>
      <c r="R5" s="320"/>
    </row>
    <row r="6" spans="1:18" s="86" customFormat="1" ht="34.5" customHeight="1">
      <c r="A6" s="564"/>
      <c r="B6" s="564"/>
      <c r="C6" s="589"/>
      <c r="D6" s="589"/>
      <c r="E6" s="589"/>
      <c r="F6" s="589"/>
      <c r="G6" s="589"/>
      <c r="H6" s="589"/>
      <c r="I6" s="589"/>
      <c r="J6" s="589"/>
      <c r="K6" s="564"/>
      <c r="L6" s="446" t="s">
        <v>33</v>
      </c>
      <c r="M6" s="446" t="s">
        <v>473</v>
      </c>
      <c r="N6" s="446" t="s">
        <v>33</v>
      </c>
      <c r="O6" s="446" t="s">
        <v>473</v>
      </c>
      <c r="P6" s="320"/>
      <c r="Q6" s="320"/>
      <c r="R6" s="320"/>
    </row>
    <row r="7" spans="1:18" s="183" customFormat="1" ht="21" customHeight="1">
      <c r="A7" s="277"/>
      <c r="B7" s="357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76"/>
      <c r="M7" s="75"/>
      <c r="N7" s="76"/>
      <c r="O7" s="75"/>
      <c r="P7" s="321"/>
      <c r="Q7" s="321"/>
      <c r="R7" s="321"/>
    </row>
    <row r="8" spans="1:18" s="352" customFormat="1" ht="20.25" customHeight="1">
      <c r="A8" s="344" t="s">
        <v>80</v>
      </c>
      <c r="B8" s="345" t="s">
        <v>168</v>
      </c>
      <c r="C8" s="34"/>
      <c r="D8" s="34"/>
      <c r="E8" s="34"/>
      <c r="F8" s="34"/>
      <c r="G8" s="34"/>
      <c r="H8" s="34"/>
      <c r="I8" s="34"/>
      <c r="J8" s="34"/>
      <c r="K8" s="34"/>
      <c r="L8" s="347"/>
      <c r="M8" s="348"/>
      <c r="N8" s="347"/>
      <c r="O8" s="348"/>
      <c r="P8" s="350"/>
      <c r="Q8" s="350"/>
      <c r="R8" s="350"/>
    </row>
    <row r="9" spans="1:18" s="352" customFormat="1" ht="25.5" customHeight="1">
      <c r="A9" s="344" t="s">
        <v>169</v>
      </c>
      <c r="B9" s="345" t="s">
        <v>170</v>
      </c>
      <c r="C9" s="346">
        <f>SUM(C10:C13)</f>
        <v>189877400</v>
      </c>
      <c r="D9" s="346">
        <f t="shared" ref="D9:J9" si="0">SUM(D10:D13)</f>
        <v>0</v>
      </c>
      <c r="E9" s="346">
        <f t="shared" si="0"/>
        <v>0</v>
      </c>
      <c r="F9" s="346">
        <f t="shared" si="0"/>
        <v>0</v>
      </c>
      <c r="G9" s="346">
        <f t="shared" si="0"/>
        <v>0</v>
      </c>
      <c r="H9" s="346">
        <f t="shared" si="0"/>
        <v>0</v>
      </c>
      <c r="I9" s="346">
        <f t="shared" si="0"/>
        <v>0</v>
      </c>
      <c r="J9" s="346">
        <f t="shared" si="0"/>
        <v>0</v>
      </c>
      <c r="K9" s="346">
        <f t="shared" ref="K9:K39" si="1">+C9+D9+E9+F9+G9+H9+I9+J9</f>
        <v>189877400</v>
      </c>
      <c r="L9" s="347"/>
      <c r="M9" s="348"/>
      <c r="N9" s="347"/>
      <c r="O9" s="348"/>
      <c r="P9" s="350"/>
      <c r="Q9" s="350"/>
      <c r="R9" s="350"/>
    </row>
    <row r="10" spans="1:18" s="352" customFormat="1" ht="25.5" customHeight="1">
      <c r="A10" s="344" t="s">
        <v>319</v>
      </c>
      <c r="B10" s="345" t="s">
        <v>320</v>
      </c>
      <c r="C10" s="346">
        <f>+'Bank Liabilities Analysis'!C9-'Bank Liabilities Analysis'!D9</f>
        <v>24063618</v>
      </c>
      <c r="D10" s="346">
        <f>+'Bank Liabilities Analysis'!E9-'Bank Liabilities Analysis'!F9</f>
        <v>0</v>
      </c>
      <c r="E10" s="346">
        <f>+'Bank Liabilities Analysis'!G9-'Bank Liabilities Analysis'!H9</f>
        <v>0</v>
      </c>
      <c r="F10" s="346">
        <f>+'Bank Liabilities Analysis'!I9-'Bank Liabilities Analysis'!J9</f>
        <v>0</v>
      </c>
      <c r="G10" s="346">
        <f>+'Bank Liabilities Analysis'!K9-'Bank Liabilities Analysis'!L9</f>
        <v>0</v>
      </c>
      <c r="H10" s="346">
        <f>+'Bank Liabilities Analysis'!M9-'Bank Liabilities Analysis'!N9</f>
        <v>0</v>
      </c>
      <c r="I10" s="346">
        <f>+'Bank Liabilities Analysis'!O9-'Bank Liabilities Analysis'!P9</f>
        <v>0</v>
      </c>
      <c r="J10" s="346">
        <f>+'Bank Liabilities Analysis'!Q9-'Bank Liabilities Analysis'!R9</f>
        <v>0</v>
      </c>
      <c r="K10" s="346">
        <f t="shared" si="1"/>
        <v>24063618</v>
      </c>
      <c r="L10" s="347">
        <v>0.1</v>
      </c>
      <c r="M10" s="348">
        <f>(C10+D10+E10)*L10</f>
        <v>2406361.8000000003</v>
      </c>
      <c r="N10" s="347"/>
      <c r="O10" s="348"/>
      <c r="P10" s="350"/>
      <c r="Q10" s="350"/>
      <c r="R10" s="350"/>
    </row>
    <row r="11" spans="1:18" s="352" customFormat="1" ht="25.5" customHeight="1">
      <c r="A11" s="344" t="s">
        <v>321</v>
      </c>
      <c r="B11" s="345" t="s">
        <v>325</v>
      </c>
      <c r="C11" s="346">
        <f>+'Bank Liabilities Analysis'!C10-'Bank Liabilities Analysis'!D10</f>
        <v>0</v>
      </c>
      <c r="D11" s="346">
        <f>+'Bank Liabilities Analysis'!E10-'Bank Liabilities Analysis'!F10</f>
        <v>0</v>
      </c>
      <c r="E11" s="346">
        <f>+'Bank Liabilities Analysis'!G10-'Bank Liabilities Analysis'!H10</f>
        <v>0</v>
      </c>
      <c r="F11" s="346">
        <f>+'Bank Liabilities Analysis'!I10-'Bank Liabilities Analysis'!J10</f>
        <v>0</v>
      </c>
      <c r="G11" s="346">
        <f>+'Bank Liabilities Analysis'!K10-'Bank Liabilities Analysis'!L10</f>
        <v>0</v>
      </c>
      <c r="H11" s="346">
        <f>+'Bank Liabilities Analysis'!M10-'Bank Liabilities Analysis'!N10</f>
        <v>0</v>
      </c>
      <c r="I11" s="346">
        <f>+'Bank Liabilities Analysis'!O10-'Bank Liabilities Analysis'!P10</f>
        <v>0</v>
      </c>
      <c r="J11" s="346">
        <f>+'Bank Liabilities Analysis'!Q10-'Bank Liabilities Analysis'!R10</f>
        <v>0</v>
      </c>
      <c r="K11" s="346">
        <f t="shared" si="1"/>
        <v>0</v>
      </c>
      <c r="L11" s="347">
        <v>0</v>
      </c>
      <c r="M11" s="348"/>
      <c r="N11" s="347"/>
      <c r="O11" s="348"/>
      <c r="P11" s="350"/>
      <c r="Q11" s="350"/>
      <c r="R11" s="350"/>
    </row>
    <row r="12" spans="1:18" s="352" customFormat="1" ht="33.75" customHeight="1">
      <c r="A12" s="344" t="s">
        <v>322</v>
      </c>
      <c r="B12" s="345" t="s">
        <v>323</v>
      </c>
      <c r="C12" s="346">
        <f>+'Bank Liabilities Analysis'!C11-'Bank Liabilities Analysis'!D11</f>
        <v>0</v>
      </c>
      <c r="D12" s="346">
        <f>+'Bank Liabilities Analysis'!E11-'Bank Liabilities Analysis'!F11</f>
        <v>0</v>
      </c>
      <c r="E12" s="346">
        <f>+'Bank Liabilities Analysis'!G11-'Bank Liabilities Analysis'!H11</f>
        <v>0</v>
      </c>
      <c r="F12" s="346">
        <f>+'Bank Liabilities Analysis'!I11-'Bank Liabilities Analysis'!J11</f>
        <v>0</v>
      </c>
      <c r="G12" s="346">
        <f>+'Bank Liabilities Analysis'!K11-'Bank Liabilities Analysis'!L11</f>
        <v>0</v>
      </c>
      <c r="H12" s="346">
        <f>+'Bank Liabilities Analysis'!M11-'Bank Liabilities Analysis'!N11</f>
        <v>0</v>
      </c>
      <c r="I12" s="346">
        <f>+'Bank Liabilities Analysis'!O11-'Bank Liabilities Analysis'!P11</f>
        <v>0</v>
      </c>
      <c r="J12" s="346">
        <f>+'Bank Liabilities Analysis'!Q11-'Bank Liabilities Analysis'!R11</f>
        <v>0</v>
      </c>
      <c r="K12" s="346">
        <f t="shared" si="1"/>
        <v>0</v>
      </c>
      <c r="L12" s="347">
        <v>0</v>
      </c>
      <c r="M12" s="348"/>
      <c r="N12" s="347"/>
      <c r="O12" s="348"/>
      <c r="P12" s="350"/>
      <c r="Q12" s="350"/>
      <c r="R12" s="350"/>
    </row>
    <row r="13" spans="1:18" s="352" customFormat="1" ht="25.5" customHeight="1">
      <c r="A13" s="344" t="s">
        <v>324</v>
      </c>
      <c r="B13" s="345" t="s">
        <v>34</v>
      </c>
      <c r="C13" s="346">
        <f>+'Bank Liabilities Analysis'!C12-'Bank Liabilities Analysis'!D12</f>
        <v>165813782</v>
      </c>
      <c r="D13" s="346">
        <f>+'Bank Liabilities Analysis'!E12-'Bank Liabilities Analysis'!F12</f>
        <v>0</v>
      </c>
      <c r="E13" s="346">
        <f>+'Bank Liabilities Analysis'!G12-'Bank Liabilities Analysis'!H12</f>
        <v>0</v>
      </c>
      <c r="F13" s="346">
        <f>+'Bank Liabilities Analysis'!I12-'Bank Liabilities Analysis'!J12</f>
        <v>0</v>
      </c>
      <c r="G13" s="346">
        <f>+'Bank Liabilities Analysis'!K12-'Bank Liabilities Analysis'!L12</f>
        <v>0</v>
      </c>
      <c r="H13" s="346">
        <f>+'Bank Liabilities Analysis'!M12-'Bank Liabilities Analysis'!N12</f>
        <v>0</v>
      </c>
      <c r="I13" s="346">
        <f>+'Bank Liabilities Analysis'!O12-'Bank Liabilities Analysis'!P12</f>
        <v>0</v>
      </c>
      <c r="J13" s="346">
        <f>+'Bank Liabilities Analysis'!Q12-'Bank Liabilities Analysis'!R12</f>
        <v>0</v>
      </c>
      <c r="K13" s="346">
        <f t="shared" si="1"/>
        <v>165813782</v>
      </c>
      <c r="L13" s="347">
        <v>0.3</v>
      </c>
      <c r="M13" s="348">
        <f>(C13+D13+E13)*L13</f>
        <v>49744134.600000001</v>
      </c>
      <c r="N13" s="347"/>
      <c r="O13" s="348"/>
      <c r="P13" s="350"/>
      <c r="Q13" s="350"/>
      <c r="R13" s="350"/>
    </row>
    <row r="14" spans="1:18" s="352" customFormat="1" ht="25.5" customHeight="1">
      <c r="A14" s="344" t="s">
        <v>171</v>
      </c>
      <c r="B14" s="345" t="s">
        <v>432</v>
      </c>
      <c r="C14" s="346">
        <f>+'Bank Liabilities Analysis'!C13-'Bank Liabilities Analysis'!D13</f>
        <v>7244125</v>
      </c>
      <c r="D14" s="346">
        <f>+'Bank Liabilities Analysis'!E13-'Bank Liabilities Analysis'!F13</f>
        <v>19931942</v>
      </c>
      <c r="E14" s="346">
        <f>+'Bank Liabilities Analysis'!G13-'Bank Liabilities Analysis'!H13</f>
        <v>65017676</v>
      </c>
      <c r="F14" s="346">
        <f>+'Bank Liabilities Analysis'!I13-'Bank Liabilities Analysis'!J13</f>
        <v>79765553</v>
      </c>
      <c r="G14" s="346">
        <f>+'Bank Liabilities Analysis'!K13-'Bank Liabilities Analysis'!L13</f>
        <v>124730522</v>
      </c>
      <c r="H14" s="346">
        <f>+'Bank Liabilities Analysis'!M13-'Bank Liabilities Analysis'!N13</f>
        <v>395027111</v>
      </c>
      <c r="I14" s="346">
        <f>+'Bank Liabilities Analysis'!O13-'Bank Liabilities Analysis'!P13</f>
        <v>112357080</v>
      </c>
      <c r="J14" s="346">
        <f>+'Bank Liabilities Analysis'!Q13-'Bank Liabilities Analysis'!R13</f>
        <v>8935277</v>
      </c>
      <c r="K14" s="346">
        <f t="shared" si="1"/>
        <v>813009286</v>
      </c>
      <c r="L14" s="347">
        <v>1</v>
      </c>
      <c r="M14" s="348">
        <f>(C14+D14+E14)*L14</f>
        <v>92193743</v>
      </c>
      <c r="N14" s="347"/>
      <c r="O14" s="348"/>
      <c r="P14" s="350"/>
      <c r="Q14" s="350"/>
      <c r="R14" s="350"/>
    </row>
    <row r="15" spans="1:18" s="352" customFormat="1" ht="25.5" customHeight="1">
      <c r="A15" s="344" t="s">
        <v>430</v>
      </c>
      <c r="B15" s="345" t="s">
        <v>320</v>
      </c>
      <c r="C15" s="346">
        <f>+'Bank Liabilities Analysis'!C14-'Bank Liabilities Analysis'!D14</f>
        <v>0</v>
      </c>
      <c r="D15" s="346">
        <f>+'Bank Liabilities Analysis'!E14-'Bank Liabilities Analysis'!F14</f>
        <v>11631942</v>
      </c>
      <c r="E15" s="346">
        <f>+'Bank Liabilities Analysis'!G14-'Bank Liabilities Analysis'!H14</f>
        <v>36937331</v>
      </c>
      <c r="F15" s="346">
        <f>+'Bank Liabilities Analysis'!I14-'Bank Liabilities Analysis'!J14</f>
        <v>65315553</v>
      </c>
      <c r="G15" s="346">
        <f>+'Bank Liabilities Analysis'!K14-'Bank Liabilities Analysis'!L14</f>
        <v>57689022</v>
      </c>
      <c r="H15" s="346">
        <f>+'Bank Liabilities Analysis'!M14-'Bank Liabilities Analysis'!N14</f>
        <v>115888717</v>
      </c>
      <c r="I15" s="346">
        <f>+'Bank Liabilities Analysis'!O14-'Bank Liabilities Analysis'!P14</f>
        <v>14783080</v>
      </c>
      <c r="J15" s="346">
        <f>+'Bank Liabilities Analysis'!Q14-'Bank Liabilities Analysis'!R14</f>
        <v>3302936</v>
      </c>
      <c r="K15" s="346">
        <f t="shared" si="1"/>
        <v>305548581</v>
      </c>
      <c r="L15" s="347">
        <v>0</v>
      </c>
      <c r="M15" s="348"/>
      <c r="N15" s="347"/>
      <c r="O15" s="348"/>
      <c r="P15" s="350"/>
      <c r="Q15" s="350"/>
      <c r="R15" s="350"/>
    </row>
    <row r="16" spans="1:18" s="352" customFormat="1" ht="25.5" customHeight="1">
      <c r="A16" s="344" t="s">
        <v>431</v>
      </c>
      <c r="B16" s="345" t="s">
        <v>429</v>
      </c>
      <c r="C16" s="346">
        <f>+'Bank Liabilities Analysis'!C15-'Bank Liabilities Analysis'!D15</f>
        <v>0</v>
      </c>
      <c r="D16" s="346">
        <f>+'Bank Liabilities Analysis'!E15-'Bank Liabilities Analysis'!F15</f>
        <v>0</v>
      </c>
      <c r="E16" s="346">
        <f>+'Bank Liabilities Analysis'!G15-'Bank Liabilities Analysis'!H15</f>
        <v>0</v>
      </c>
      <c r="F16" s="346">
        <f>+'Bank Liabilities Analysis'!I15-'Bank Liabilities Analysis'!J15</f>
        <v>400000</v>
      </c>
      <c r="G16" s="346">
        <f>+'Bank Liabilities Analysis'!K15-'Bank Liabilities Analysis'!L15</f>
        <v>14000000</v>
      </c>
      <c r="H16" s="346">
        <f>+'Bank Liabilities Analysis'!M15-'Bank Liabilities Analysis'!N15</f>
        <v>35100000</v>
      </c>
      <c r="I16" s="346">
        <f>+'Bank Liabilities Analysis'!O15-'Bank Liabilities Analysis'!P15</f>
        <v>0</v>
      </c>
      <c r="J16" s="346">
        <f>+'Bank Liabilities Analysis'!Q15-'Bank Liabilities Analysis'!R15</f>
        <v>0</v>
      </c>
      <c r="K16" s="346">
        <f t="shared" si="1"/>
        <v>49500000</v>
      </c>
      <c r="L16" s="347">
        <v>0</v>
      </c>
      <c r="M16" s="348"/>
      <c r="N16" s="347"/>
      <c r="O16" s="348"/>
      <c r="P16" s="350"/>
      <c r="Q16" s="350"/>
      <c r="R16" s="350"/>
    </row>
    <row r="17" spans="1:18" s="352" customFormat="1" ht="25.5" customHeight="1">
      <c r="A17" s="344" t="s">
        <v>172</v>
      </c>
      <c r="B17" s="345" t="s">
        <v>182</v>
      </c>
      <c r="C17" s="346">
        <f>SUM(C18:C22)</f>
        <v>172827706</v>
      </c>
      <c r="D17" s="346">
        <f t="shared" ref="D17:J17" si="2">SUM(D18:D22)</f>
        <v>0</v>
      </c>
      <c r="E17" s="346">
        <f t="shared" si="2"/>
        <v>0</v>
      </c>
      <c r="F17" s="346">
        <f t="shared" si="2"/>
        <v>0</v>
      </c>
      <c r="G17" s="346">
        <f t="shared" si="2"/>
        <v>0</v>
      </c>
      <c r="H17" s="346">
        <f t="shared" si="2"/>
        <v>0</v>
      </c>
      <c r="I17" s="346">
        <f t="shared" si="2"/>
        <v>0</v>
      </c>
      <c r="J17" s="346">
        <f t="shared" si="2"/>
        <v>0</v>
      </c>
      <c r="K17" s="346">
        <f t="shared" si="1"/>
        <v>172827706</v>
      </c>
      <c r="L17" s="347"/>
      <c r="M17" s="348"/>
      <c r="N17" s="347"/>
      <c r="O17" s="348"/>
      <c r="P17" s="350"/>
      <c r="Q17" s="350"/>
      <c r="R17" s="350"/>
    </row>
    <row r="18" spans="1:18" s="352" customFormat="1" ht="25.5" customHeight="1">
      <c r="A18" s="344" t="s">
        <v>326</v>
      </c>
      <c r="B18" s="345" t="s">
        <v>329</v>
      </c>
      <c r="C18" s="346">
        <f>+'Bank Liabilities Analysis'!C17-'Bank Liabilities Analysis'!D17</f>
        <v>153740909</v>
      </c>
      <c r="D18" s="346">
        <f>+'Bank Liabilities Analysis'!E17-'Bank Liabilities Analysis'!F17</f>
        <v>0</v>
      </c>
      <c r="E18" s="346">
        <f>+'Bank Liabilities Analysis'!G17-'Bank Liabilities Analysis'!H17</f>
        <v>0</v>
      </c>
      <c r="F18" s="346">
        <f>+'Bank Liabilities Analysis'!I17-'Bank Liabilities Analysis'!J17</f>
        <v>0</v>
      </c>
      <c r="G18" s="346">
        <f>+'Bank Liabilities Analysis'!K17-'Bank Liabilities Analysis'!L17</f>
        <v>0</v>
      </c>
      <c r="H18" s="346">
        <f>+'Bank Liabilities Analysis'!M17-'Bank Liabilities Analysis'!N17</f>
        <v>0</v>
      </c>
      <c r="I18" s="346">
        <f>+'Bank Liabilities Analysis'!O17-'Bank Liabilities Analysis'!P17</f>
        <v>0</v>
      </c>
      <c r="J18" s="346">
        <f>+'Bank Liabilities Analysis'!Q17-'Bank Liabilities Analysis'!R17</f>
        <v>0</v>
      </c>
      <c r="K18" s="346">
        <f t="shared" si="1"/>
        <v>153740909</v>
      </c>
      <c r="L18" s="347">
        <v>0.1</v>
      </c>
      <c r="M18" s="348">
        <f>(C18+D18+E18)*L18</f>
        <v>15374090.9</v>
      </c>
      <c r="N18" s="347"/>
      <c r="O18" s="348"/>
      <c r="P18" s="350"/>
      <c r="Q18" s="350"/>
      <c r="R18" s="350"/>
    </row>
    <row r="19" spans="1:18" s="352" customFormat="1" ht="25.5" customHeight="1">
      <c r="A19" s="344" t="s">
        <v>327</v>
      </c>
      <c r="B19" s="345" t="s">
        <v>330</v>
      </c>
      <c r="C19" s="346">
        <f>+'Bank Liabilities Analysis'!C18-'Bank Liabilities Analysis'!D18</f>
        <v>9484234</v>
      </c>
      <c r="D19" s="346">
        <f>+'Bank Liabilities Analysis'!E18-'Bank Liabilities Analysis'!F18</f>
        <v>0</v>
      </c>
      <c r="E19" s="346">
        <f>+'Bank Liabilities Analysis'!G18-'Bank Liabilities Analysis'!H18</f>
        <v>0</v>
      </c>
      <c r="F19" s="346">
        <f>+'Bank Liabilities Analysis'!I18-'Bank Liabilities Analysis'!J18</f>
        <v>0</v>
      </c>
      <c r="G19" s="346">
        <f>+'Bank Liabilities Analysis'!K18-'Bank Liabilities Analysis'!L18</f>
        <v>0</v>
      </c>
      <c r="H19" s="346">
        <f>+'Bank Liabilities Analysis'!M18-'Bank Liabilities Analysis'!N18</f>
        <v>0</v>
      </c>
      <c r="I19" s="346">
        <f>+'Bank Liabilities Analysis'!O18-'Bank Liabilities Analysis'!P18</f>
        <v>0</v>
      </c>
      <c r="J19" s="346">
        <f>+'Bank Liabilities Analysis'!Q18-'Bank Liabilities Analysis'!R18</f>
        <v>0</v>
      </c>
      <c r="K19" s="346">
        <f t="shared" si="1"/>
        <v>9484234</v>
      </c>
      <c r="L19" s="347">
        <v>0.1</v>
      </c>
      <c r="M19" s="348">
        <f>(C19+D19+E19)*L19</f>
        <v>948423.4</v>
      </c>
      <c r="N19" s="347"/>
      <c r="O19" s="348"/>
      <c r="P19" s="350"/>
      <c r="Q19" s="350"/>
      <c r="R19" s="350"/>
    </row>
    <row r="20" spans="1:18" s="352" customFormat="1" ht="25.5" customHeight="1">
      <c r="A20" s="344" t="s">
        <v>328</v>
      </c>
      <c r="B20" s="345" t="s">
        <v>331</v>
      </c>
      <c r="C20" s="346">
        <f>+'Bank Liabilities Analysis'!C19-'Bank Liabilities Analysis'!D19</f>
        <v>0</v>
      </c>
      <c r="D20" s="346">
        <f>+'Bank Liabilities Analysis'!E19-'Bank Liabilities Analysis'!F19</f>
        <v>0</v>
      </c>
      <c r="E20" s="346">
        <f>+'Bank Liabilities Analysis'!G19-'Bank Liabilities Analysis'!H19</f>
        <v>0</v>
      </c>
      <c r="F20" s="346">
        <f>+'Bank Liabilities Analysis'!I19-'Bank Liabilities Analysis'!J19</f>
        <v>0</v>
      </c>
      <c r="G20" s="346">
        <f>+'Bank Liabilities Analysis'!K19-'Bank Liabilities Analysis'!L19</f>
        <v>0</v>
      </c>
      <c r="H20" s="346">
        <f>+'Bank Liabilities Analysis'!M19-'Bank Liabilities Analysis'!N19</f>
        <v>0</v>
      </c>
      <c r="I20" s="346">
        <f>+'Bank Liabilities Analysis'!O19-'Bank Liabilities Analysis'!P19</f>
        <v>0</v>
      </c>
      <c r="J20" s="346">
        <f>+'Bank Liabilities Analysis'!Q19-'Bank Liabilities Analysis'!R19</f>
        <v>0</v>
      </c>
      <c r="K20" s="346">
        <f t="shared" si="1"/>
        <v>0</v>
      </c>
      <c r="L20" s="347">
        <v>0.3</v>
      </c>
      <c r="M20" s="348">
        <f>(C20+D20+E20)*L20</f>
        <v>0</v>
      </c>
      <c r="N20" s="347"/>
      <c r="O20" s="348"/>
      <c r="P20" s="350"/>
      <c r="Q20" s="350"/>
      <c r="R20" s="350"/>
    </row>
    <row r="21" spans="1:18" s="352" customFormat="1" ht="33.75" customHeight="1">
      <c r="A21" s="344" t="s">
        <v>332</v>
      </c>
      <c r="B21" s="345" t="s">
        <v>333</v>
      </c>
      <c r="C21" s="346">
        <f>+'Bank Liabilities Analysis'!C20-'Bank Liabilities Analysis'!D20</f>
        <v>5968565</v>
      </c>
      <c r="D21" s="346">
        <f>+'Bank Liabilities Analysis'!E20-'Bank Liabilities Analysis'!F20</f>
        <v>0</v>
      </c>
      <c r="E21" s="346">
        <f>+'Bank Liabilities Analysis'!G20-'Bank Liabilities Analysis'!H20</f>
        <v>0</v>
      </c>
      <c r="F21" s="346">
        <f>+'Bank Liabilities Analysis'!I20-'Bank Liabilities Analysis'!J20</f>
        <v>0</v>
      </c>
      <c r="G21" s="346">
        <f>+'Bank Liabilities Analysis'!K20-'Bank Liabilities Analysis'!L20</f>
        <v>0</v>
      </c>
      <c r="H21" s="346">
        <f>+'Bank Liabilities Analysis'!M20-'Bank Liabilities Analysis'!N20</f>
        <v>0</v>
      </c>
      <c r="I21" s="346">
        <f>+'Bank Liabilities Analysis'!O20-'Bank Liabilities Analysis'!P20</f>
        <v>0</v>
      </c>
      <c r="J21" s="346">
        <f>+'Bank Liabilities Analysis'!Q20-'Bank Liabilities Analysis'!R20</f>
        <v>0</v>
      </c>
      <c r="K21" s="346">
        <f t="shared" si="1"/>
        <v>5968565</v>
      </c>
      <c r="L21" s="347">
        <v>1</v>
      </c>
      <c r="M21" s="348">
        <f>(C21+D21+E21)*L21</f>
        <v>5968565</v>
      </c>
      <c r="N21" s="347"/>
      <c r="O21" s="348"/>
      <c r="P21" s="350"/>
      <c r="Q21" s="350"/>
      <c r="R21" s="350"/>
    </row>
    <row r="22" spans="1:18" s="352" customFormat="1" ht="25.5" customHeight="1">
      <c r="A22" s="344" t="s">
        <v>334</v>
      </c>
      <c r="B22" s="345" t="s">
        <v>21</v>
      </c>
      <c r="C22" s="346">
        <f>+'Bank Liabilities Analysis'!C21-'Bank Liabilities Analysis'!D21</f>
        <v>3633998</v>
      </c>
      <c r="D22" s="346">
        <f>+'Bank Liabilities Analysis'!E21-'Bank Liabilities Analysis'!F21</f>
        <v>0</v>
      </c>
      <c r="E22" s="346">
        <f>+'Bank Liabilities Analysis'!G21-'Bank Liabilities Analysis'!H21</f>
        <v>0</v>
      </c>
      <c r="F22" s="346">
        <f>+'Bank Liabilities Analysis'!I21-'Bank Liabilities Analysis'!J21</f>
        <v>0</v>
      </c>
      <c r="G22" s="346">
        <f>+'Bank Liabilities Analysis'!K21-'Bank Liabilities Analysis'!L21</f>
        <v>0</v>
      </c>
      <c r="H22" s="346">
        <f>+'Bank Liabilities Analysis'!M21-'Bank Liabilities Analysis'!N21</f>
        <v>0</v>
      </c>
      <c r="I22" s="346">
        <f>+'Bank Liabilities Analysis'!O21-'Bank Liabilities Analysis'!P21</f>
        <v>0</v>
      </c>
      <c r="J22" s="346">
        <f>+'Bank Liabilities Analysis'!Q21-'Bank Liabilities Analysis'!R21</f>
        <v>0</v>
      </c>
      <c r="K22" s="346">
        <f t="shared" si="1"/>
        <v>3633998</v>
      </c>
      <c r="L22" s="347">
        <v>0.3</v>
      </c>
      <c r="M22" s="348">
        <f>(C22+D22+E22)*L22</f>
        <v>1090199.3999999999</v>
      </c>
      <c r="N22" s="347"/>
      <c r="O22" s="348"/>
      <c r="P22" s="350"/>
      <c r="Q22" s="350"/>
      <c r="R22" s="350"/>
    </row>
    <row r="23" spans="1:18" s="352" customFormat="1" ht="25.5" customHeight="1">
      <c r="A23" s="344" t="s">
        <v>174</v>
      </c>
      <c r="B23" s="345" t="s">
        <v>175</v>
      </c>
      <c r="C23" s="346">
        <f t="shared" ref="C23:J23" si="3">+C9+C14+C17</f>
        <v>369949231</v>
      </c>
      <c r="D23" s="346">
        <f t="shared" si="3"/>
        <v>19931942</v>
      </c>
      <c r="E23" s="346">
        <f t="shared" si="3"/>
        <v>65017676</v>
      </c>
      <c r="F23" s="346">
        <f t="shared" si="3"/>
        <v>79765553</v>
      </c>
      <c r="G23" s="346">
        <f t="shared" si="3"/>
        <v>124730522</v>
      </c>
      <c r="H23" s="346">
        <f t="shared" si="3"/>
        <v>395027111</v>
      </c>
      <c r="I23" s="346">
        <f t="shared" si="3"/>
        <v>112357080</v>
      </c>
      <c r="J23" s="346">
        <f t="shared" si="3"/>
        <v>8935277</v>
      </c>
      <c r="K23" s="346">
        <f t="shared" si="1"/>
        <v>1175714392</v>
      </c>
      <c r="L23" s="347"/>
      <c r="M23" s="348"/>
      <c r="N23" s="347">
        <v>0.15</v>
      </c>
      <c r="O23" s="348">
        <f>+K23*N23</f>
        <v>176357158.79999998</v>
      </c>
      <c r="P23" s="350"/>
      <c r="Q23" s="350"/>
      <c r="R23" s="350"/>
    </row>
    <row r="24" spans="1:18" s="352" customFormat="1" ht="25.5" customHeight="1">
      <c r="A24" s="344" t="s">
        <v>130</v>
      </c>
      <c r="B24" s="345" t="s">
        <v>176</v>
      </c>
      <c r="C24" s="346">
        <f>+'Bank Liabilities Analysis'!C23-'Bank Liabilities Analysis'!D23</f>
        <v>0</v>
      </c>
      <c r="D24" s="346">
        <f>+'Bank Liabilities Analysis'!E23-'Bank Liabilities Analysis'!F23</f>
        <v>0</v>
      </c>
      <c r="E24" s="346">
        <f>+'Bank Liabilities Analysis'!G23-'Bank Liabilities Analysis'!H23</f>
        <v>0</v>
      </c>
      <c r="F24" s="346">
        <f>+'Bank Liabilities Analysis'!I23-'Bank Liabilities Analysis'!J23</f>
        <v>0</v>
      </c>
      <c r="G24" s="346">
        <f>+'Bank Liabilities Analysis'!K23-'Bank Liabilities Analysis'!L23</f>
        <v>0</v>
      </c>
      <c r="H24" s="346">
        <f>+'Bank Liabilities Analysis'!M23-'Bank Liabilities Analysis'!N23</f>
        <v>0</v>
      </c>
      <c r="I24" s="346">
        <f>+'Bank Liabilities Analysis'!O23-'Bank Liabilities Analysis'!P23</f>
        <v>0</v>
      </c>
      <c r="J24" s="346">
        <f>+'Bank Liabilities Analysis'!Q23-'Bank Liabilities Analysis'!R23</f>
        <v>0</v>
      </c>
      <c r="K24" s="346">
        <f t="shared" si="1"/>
        <v>0</v>
      </c>
      <c r="L24" s="347">
        <v>1</v>
      </c>
      <c r="M24" s="348">
        <f>(C24+D24+E24)*L24</f>
        <v>0</v>
      </c>
      <c r="N24" s="347">
        <v>1</v>
      </c>
      <c r="O24" s="348">
        <f>(C24+D24+E24)*N24</f>
        <v>0</v>
      </c>
      <c r="P24" s="350"/>
      <c r="Q24" s="350"/>
      <c r="R24" s="350"/>
    </row>
    <row r="25" spans="1:18" s="352" customFormat="1" ht="25.5" customHeight="1">
      <c r="A25" s="344" t="s">
        <v>131</v>
      </c>
      <c r="B25" s="345" t="s">
        <v>177</v>
      </c>
      <c r="C25" s="346">
        <f>SUM(C26:C29)</f>
        <v>1831666</v>
      </c>
      <c r="D25" s="346">
        <f t="shared" ref="D25:J25" si="4">SUM(D26:D29)</f>
        <v>0</v>
      </c>
      <c r="E25" s="346">
        <f t="shared" si="4"/>
        <v>15000000</v>
      </c>
      <c r="F25" s="346">
        <f t="shared" si="4"/>
        <v>0</v>
      </c>
      <c r="G25" s="346">
        <f t="shared" si="4"/>
        <v>0</v>
      </c>
      <c r="H25" s="346">
        <f t="shared" si="4"/>
        <v>150000000</v>
      </c>
      <c r="I25" s="346">
        <f t="shared" si="4"/>
        <v>45000000</v>
      </c>
      <c r="J25" s="346">
        <f t="shared" si="4"/>
        <v>294789509</v>
      </c>
      <c r="K25" s="346">
        <f t="shared" si="1"/>
        <v>506621175</v>
      </c>
      <c r="L25" s="347"/>
      <c r="M25" s="348"/>
      <c r="N25" s="347"/>
      <c r="O25" s="348"/>
      <c r="P25" s="350"/>
      <c r="Q25" s="350"/>
      <c r="R25" s="350"/>
    </row>
    <row r="26" spans="1:18" s="352" customFormat="1" ht="25.5" customHeight="1">
      <c r="A26" s="344" t="s">
        <v>192</v>
      </c>
      <c r="B26" s="345" t="s">
        <v>522</v>
      </c>
      <c r="C26" s="346">
        <f>+'Bank Liabilities Analysis'!C25-'Bank Liabilities Analysis'!D25</f>
        <v>0</v>
      </c>
      <c r="D26" s="346">
        <f>+'Bank Liabilities Analysis'!E25-'Bank Liabilities Analysis'!F25</f>
        <v>0</v>
      </c>
      <c r="E26" s="346">
        <f>+'Bank Liabilities Analysis'!G25-'Bank Liabilities Analysis'!H25</f>
        <v>0</v>
      </c>
      <c r="F26" s="346">
        <f>+'Bank Liabilities Analysis'!I25-'Bank Liabilities Analysis'!J25</f>
        <v>0</v>
      </c>
      <c r="G26" s="346">
        <f>+'Bank Liabilities Analysis'!K25-'Bank Liabilities Analysis'!L25</f>
        <v>0</v>
      </c>
      <c r="H26" s="346">
        <f>+'Bank Liabilities Analysis'!M25-'Bank Liabilities Analysis'!N25</f>
        <v>0</v>
      </c>
      <c r="I26" s="346">
        <f>+'Bank Liabilities Analysis'!O25-'Bank Liabilities Analysis'!P25</f>
        <v>0</v>
      </c>
      <c r="J26" s="346">
        <f>+'Bank Liabilities Analysis'!Q25-'Bank Liabilities Analysis'!R25</f>
        <v>0</v>
      </c>
      <c r="K26" s="346">
        <f>+C26+D26+E26+F26+G26+H26+I26+J26</f>
        <v>0</v>
      </c>
      <c r="L26" s="347">
        <v>1</v>
      </c>
      <c r="M26" s="348">
        <f>(K26)*L26</f>
        <v>0</v>
      </c>
      <c r="N26" s="347">
        <v>1</v>
      </c>
      <c r="O26" s="348">
        <f>+K26*N26</f>
        <v>0</v>
      </c>
      <c r="P26" s="350"/>
      <c r="Q26" s="350"/>
      <c r="R26" s="350"/>
    </row>
    <row r="27" spans="1:18" s="352" customFormat="1" ht="25.5" customHeight="1">
      <c r="A27" s="344" t="s">
        <v>193</v>
      </c>
      <c r="B27" s="345" t="s">
        <v>335</v>
      </c>
      <c r="C27" s="346">
        <f>+'Bank Liabilities Analysis'!C26-'Bank Liabilities Analysis'!D26</f>
        <v>0</v>
      </c>
      <c r="D27" s="346">
        <f>+'Bank Liabilities Analysis'!E26-'Bank Liabilities Analysis'!F26</f>
        <v>0</v>
      </c>
      <c r="E27" s="346">
        <f>+'Bank Liabilities Analysis'!G26-'Bank Liabilities Analysis'!H26</f>
        <v>15000000</v>
      </c>
      <c r="F27" s="346">
        <f>+'Bank Liabilities Analysis'!I26-'Bank Liabilities Analysis'!J26</f>
        <v>0</v>
      </c>
      <c r="G27" s="346">
        <f>+'Bank Liabilities Analysis'!K26-'Bank Liabilities Analysis'!L26</f>
        <v>0</v>
      </c>
      <c r="H27" s="346">
        <f>+'Bank Liabilities Analysis'!M26-'Bank Liabilities Analysis'!N26</f>
        <v>150000000</v>
      </c>
      <c r="I27" s="346">
        <f>+'Bank Liabilities Analysis'!O26-'Bank Liabilities Analysis'!P26</f>
        <v>45000000</v>
      </c>
      <c r="J27" s="346">
        <f>+'Bank Liabilities Analysis'!Q26-'Bank Liabilities Analysis'!R26</f>
        <v>294789509</v>
      </c>
      <c r="K27" s="346">
        <f t="shared" si="1"/>
        <v>504789509</v>
      </c>
      <c r="L27" s="347">
        <v>1</v>
      </c>
      <c r="M27" s="348">
        <f t="shared" ref="M27:M39" si="5">(C27+D27+E27)*L27</f>
        <v>15000000</v>
      </c>
      <c r="N27" s="347">
        <v>1</v>
      </c>
      <c r="O27" s="348">
        <f t="shared" ref="O27:O35" si="6">(C27+D27+E27)*N27</f>
        <v>15000000</v>
      </c>
      <c r="P27" s="350"/>
      <c r="Q27" s="350"/>
      <c r="R27" s="350"/>
    </row>
    <row r="28" spans="1:18" s="352" customFormat="1" ht="25.5" customHeight="1">
      <c r="A28" s="344" t="s">
        <v>22</v>
      </c>
      <c r="B28" s="345" t="s">
        <v>336</v>
      </c>
      <c r="C28" s="346">
        <f>+'Bank Liabilities Analysis'!C27-'Bank Liabilities Analysis'!D27</f>
        <v>1831666</v>
      </c>
      <c r="D28" s="346">
        <f>+'Bank Liabilities Analysis'!E27-'Bank Liabilities Analysis'!F27</f>
        <v>0</v>
      </c>
      <c r="E28" s="346">
        <f>+'Bank Liabilities Analysis'!G27-'Bank Liabilities Analysis'!H27</f>
        <v>0</v>
      </c>
      <c r="F28" s="346">
        <f>+'Bank Liabilities Analysis'!I27-'Bank Liabilities Analysis'!J27</f>
        <v>0</v>
      </c>
      <c r="G28" s="346">
        <f>+'Bank Liabilities Analysis'!K27-'Bank Liabilities Analysis'!L27</f>
        <v>0</v>
      </c>
      <c r="H28" s="346">
        <f>+'Bank Liabilities Analysis'!M27-'Bank Liabilities Analysis'!N27</f>
        <v>0</v>
      </c>
      <c r="I28" s="346">
        <f>+'Bank Liabilities Analysis'!O27-'Bank Liabilities Analysis'!P27</f>
        <v>0</v>
      </c>
      <c r="J28" s="346">
        <f>+'Bank Liabilities Analysis'!Q27-'Bank Liabilities Analysis'!R27</f>
        <v>0</v>
      </c>
      <c r="K28" s="346">
        <f t="shared" si="1"/>
        <v>1831666</v>
      </c>
      <c r="L28" s="347">
        <v>0.5</v>
      </c>
      <c r="M28" s="348">
        <f t="shared" si="5"/>
        <v>915833</v>
      </c>
      <c r="N28" s="347">
        <v>1</v>
      </c>
      <c r="O28" s="348">
        <f t="shared" si="6"/>
        <v>1831666</v>
      </c>
      <c r="P28" s="350"/>
      <c r="Q28" s="350"/>
      <c r="R28" s="350"/>
    </row>
    <row r="29" spans="1:18" s="352" customFormat="1" ht="25.5" customHeight="1">
      <c r="A29" s="344" t="s">
        <v>347</v>
      </c>
      <c r="B29" s="345" t="s">
        <v>32</v>
      </c>
      <c r="C29" s="346">
        <f>+'Bank Liabilities Analysis'!C28-'Bank Liabilities Analysis'!D28</f>
        <v>0</v>
      </c>
      <c r="D29" s="346">
        <f>+'Bank Liabilities Analysis'!E28-'Bank Liabilities Analysis'!F28</f>
        <v>0</v>
      </c>
      <c r="E29" s="346">
        <f>+'Bank Liabilities Analysis'!G28-'Bank Liabilities Analysis'!H28</f>
        <v>0</v>
      </c>
      <c r="F29" s="346">
        <f>+'Bank Liabilities Analysis'!I28-'Bank Liabilities Analysis'!J28</f>
        <v>0</v>
      </c>
      <c r="G29" s="346">
        <f>+'Bank Liabilities Analysis'!K28-'Bank Liabilities Analysis'!L28</f>
        <v>0</v>
      </c>
      <c r="H29" s="346">
        <f>+'Bank Liabilities Analysis'!M28-'Bank Liabilities Analysis'!N28</f>
        <v>0</v>
      </c>
      <c r="I29" s="346">
        <f>+'Bank Liabilities Analysis'!O28-'Bank Liabilities Analysis'!P28</f>
        <v>0</v>
      </c>
      <c r="J29" s="346">
        <f>+'Bank Liabilities Analysis'!Q28-'Bank Liabilities Analysis'!R28</f>
        <v>0</v>
      </c>
      <c r="K29" s="346">
        <f t="shared" si="1"/>
        <v>0</v>
      </c>
      <c r="L29" s="347">
        <v>0.3</v>
      </c>
      <c r="M29" s="348">
        <f t="shared" si="5"/>
        <v>0</v>
      </c>
      <c r="N29" s="347">
        <v>1</v>
      </c>
      <c r="O29" s="348">
        <f t="shared" si="6"/>
        <v>0</v>
      </c>
      <c r="P29" s="350"/>
      <c r="Q29" s="350"/>
      <c r="R29" s="350"/>
    </row>
    <row r="30" spans="1:18" s="352" customFormat="1" ht="25.5" customHeight="1">
      <c r="A30" s="344" t="s">
        <v>133</v>
      </c>
      <c r="B30" s="345" t="s">
        <v>178</v>
      </c>
      <c r="C30" s="346">
        <f>+'Bank Liabilities Analysis'!C29-'Bank Liabilities Analysis'!D29</f>
        <v>0</v>
      </c>
      <c r="D30" s="346">
        <f>+'Bank Liabilities Analysis'!E29-'Bank Liabilities Analysis'!F29</f>
        <v>0</v>
      </c>
      <c r="E30" s="346">
        <f>+'Bank Liabilities Analysis'!G29-'Bank Liabilities Analysis'!H29</f>
        <v>0</v>
      </c>
      <c r="F30" s="346">
        <f>+'Bank Liabilities Analysis'!I29-'Bank Liabilities Analysis'!J29</f>
        <v>0</v>
      </c>
      <c r="G30" s="346">
        <f>+'Bank Liabilities Analysis'!K29-'Bank Liabilities Analysis'!L29</f>
        <v>0</v>
      </c>
      <c r="H30" s="346">
        <f>+'Bank Liabilities Analysis'!M29-'Bank Liabilities Analysis'!N29</f>
        <v>0</v>
      </c>
      <c r="I30" s="346">
        <f>+'Bank Liabilities Analysis'!O29-'Bank Liabilities Analysis'!P29</f>
        <v>0</v>
      </c>
      <c r="J30" s="346">
        <f>+'Bank Liabilities Analysis'!Q29-'Bank Liabilities Analysis'!R29</f>
        <v>0</v>
      </c>
      <c r="K30" s="346">
        <f t="shared" si="1"/>
        <v>0</v>
      </c>
      <c r="L30" s="347">
        <v>1</v>
      </c>
      <c r="M30" s="348">
        <f t="shared" si="5"/>
        <v>0</v>
      </c>
      <c r="N30" s="347">
        <v>1</v>
      </c>
      <c r="O30" s="348">
        <f t="shared" si="6"/>
        <v>0</v>
      </c>
      <c r="P30" s="350"/>
      <c r="Q30" s="350"/>
      <c r="R30" s="350"/>
    </row>
    <row r="31" spans="1:18" s="352" customFormat="1" ht="33.75" customHeight="1">
      <c r="A31" s="344" t="s">
        <v>135</v>
      </c>
      <c r="B31" s="345" t="s">
        <v>179</v>
      </c>
      <c r="C31" s="346">
        <f>+'Bank Liabilities Analysis'!C30-'Bank Liabilities Analysis'!D30</f>
        <v>0</v>
      </c>
      <c r="D31" s="346">
        <f>+'Bank Liabilities Analysis'!E30-'Bank Liabilities Analysis'!F30</f>
        <v>0</v>
      </c>
      <c r="E31" s="346">
        <f>+'Bank Liabilities Analysis'!G30-'Bank Liabilities Analysis'!H30</f>
        <v>0</v>
      </c>
      <c r="F31" s="346">
        <f>+'Bank Liabilities Analysis'!I30-'Bank Liabilities Analysis'!J30</f>
        <v>0</v>
      </c>
      <c r="G31" s="346">
        <f>+'Bank Liabilities Analysis'!K30-'Bank Liabilities Analysis'!L30</f>
        <v>0</v>
      </c>
      <c r="H31" s="346">
        <f>+'Bank Liabilities Analysis'!M30-'Bank Liabilities Analysis'!N30</f>
        <v>0</v>
      </c>
      <c r="I31" s="346">
        <f>+'Bank Liabilities Analysis'!O30-'Bank Liabilities Analysis'!P30</f>
        <v>0</v>
      </c>
      <c r="J31" s="346">
        <f>+'Bank Liabilities Analysis'!Q30-'Bank Liabilities Analysis'!R30</f>
        <v>0</v>
      </c>
      <c r="K31" s="346">
        <f t="shared" si="1"/>
        <v>0</v>
      </c>
      <c r="L31" s="347">
        <v>1</v>
      </c>
      <c r="M31" s="348">
        <f t="shared" si="5"/>
        <v>0</v>
      </c>
      <c r="N31" s="347">
        <v>1</v>
      </c>
      <c r="O31" s="348">
        <f t="shared" si="6"/>
        <v>0</v>
      </c>
      <c r="P31" s="350"/>
      <c r="Q31" s="350"/>
      <c r="R31" s="350"/>
    </row>
    <row r="32" spans="1:18" s="352" customFormat="1" ht="25.5" customHeight="1">
      <c r="A32" s="344" t="s">
        <v>137</v>
      </c>
      <c r="B32" s="345" t="s">
        <v>180</v>
      </c>
      <c r="C32" s="346">
        <f>+'Bank Liabilities Analysis'!C31-'Bank Liabilities Analysis'!D31</f>
        <v>0</v>
      </c>
      <c r="D32" s="346">
        <f>+'Bank Liabilities Analysis'!E31-'Bank Liabilities Analysis'!F31</f>
        <v>536152</v>
      </c>
      <c r="E32" s="346">
        <f>+'Bank Liabilities Analysis'!G31-'Bank Liabilities Analysis'!H31</f>
        <v>4766637</v>
      </c>
      <c r="F32" s="346">
        <f>+'Bank Liabilities Analysis'!I31-'Bank Liabilities Analysis'!J31</f>
        <v>11447229</v>
      </c>
      <c r="G32" s="346">
        <f>+'Bank Liabilities Analysis'!K31-'Bank Liabilities Analysis'!L31</f>
        <v>30012981</v>
      </c>
      <c r="H32" s="346">
        <f>+'Bank Liabilities Analysis'!M31-'Bank Liabilities Analysis'!N31</f>
        <v>79460899</v>
      </c>
      <c r="I32" s="346">
        <f>+'Bank Liabilities Analysis'!O31-'Bank Liabilities Analysis'!P31</f>
        <v>137879869</v>
      </c>
      <c r="J32" s="346">
        <f>+'Bank Liabilities Analysis'!Q31-'Bank Liabilities Analysis'!R31</f>
        <v>1005466692</v>
      </c>
      <c r="K32" s="346">
        <f t="shared" si="1"/>
        <v>1269570459</v>
      </c>
      <c r="L32" s="347">
        <v>1</v>
      </c>
      <c r="M32" s="348">
        <f t="shared" si="5"/>
        <v>5302789</v>
      </c>
      <c r="N32" s="347">
        <v>0.15</v>
      </c>
      <c r="O32" s="348">
        <f>+K32*N32</f>
        <v>190435568.84999999</v>
      </c>
      <c r="P32" s="350"/>
      <c r="Q32" s="350"/>
      <c r="R32" s="350"/>
    </row>
    <row r="33" spans="1:18" s="352" customFormat="1" ht="25.5" customHeight="1">
      <c r="A33" s="344" t="s">
        <v>139</v>
      </c>
      <c r="B33" s="345" t="s">
        <v>405</v>
      </c>
      <c r="C33" s="346">
        <f>+'Bank Liabilities Analysis'!C32-'Bank Liabilities Analysis'!D32</f>
        <v>0</v>
      </c>
      <c r="D33" s="346">
        <f>+'Bank Liabilities Analysis'!E32-'Bank Liabilities Analysis'!F32</f>
        <v>0</v>
      </c>
      <c r="E33" s="346">
        <f>+'Bank Liabilities Analysis'!G32-'Bank Liabilities Analysis'!H32</f>
        <v>0</v>
      </c>
      <c r="F33" s="346">
        <f>+'Bank Liabilities Analysis'!I32-'Bank Liabilities Analysis'!J32</f>
        <v>0</v>
      </c>
      <c r="G33" s="346">
        <f>+'Bank Liabilities Analysis'!K32-'Bank Liabilities Analysis'!L32</f>
        <v>0</v>
      </c>
      <c r="H33" s="346">
        <f>+'Bank Liabilities Analysis'!M32-'Bank Liabilities Analysis'!N32</f>
        <v>0</v>
      </c>
      <c r="I33" s="346">
        <f>+'Bank Liabilities Analysis'!O32-'Bank Liabilities Analysis'!P32</f>
        <v>0</v>
      </c>
      <c r="J33" s="346">
        <f>+'Bank Liabilities Analysis'!Q32-'Bank Liabilities Analysis'!R32</f>
        <v>0</v>
      </c>
      <c r="K33" s="346">
        <f t="shared" si="1"/>
        <v>0</v>
      </c>
      <c r="L33" s="347">
        <v>1</v>
      </c>
      <c r="M33" s="348">
        <f t="shared" si="5"/>
        <v>0</v>
      </c>
      <c r="N33" s="347">
        <v>1</v>
      </c>
      <c r="O33" s="348">
        <f t="shared" si="6"/>
        <v>0</v>
      </c>
      <c r="P33" s="350"/>
      <c r="Q33" s="350"/>
      <c r="R33" s="350"/>
    </row>
    <row r="34" spans="1:18" s="352" customFormat="1" ht="25.5" customHeight="1">
      <c r="A34" s="344" t="s">
        <v>443</v>
      </c>
      <c r="B34" s="345" t="s">
        <v>378</v>
      </c>
      <c r="C34" s="346">
        <f>+'Bank Liabilities Analysis'!C33-'Bank Liabilities Analysis'!D33</f>
        <v>0</v>
      </c>
      <c r="D34" s="346">
        <f>+'Bank Liabilities Analysis'!E33-'Bank Liabilities Analysis'!F33</f>
        <v>0</v>
      </c>
      <c r="E34" s="346">
        <f>+'Bank Liabilities Analysis'!G33-'Bank Liabilities Analysis'!H33</f>
        <v>0</v>
      </c>
      <c r="F34" s="346">
        <f>+'Bank Liabilities Analysis'!I33-'Bank Liabilities Analysis'!J33</f>
        <v>0</v>
      </c>
      <c r="G34" s="346">
        <f>+'Bank Liabilities Analysis'!K33-'Bank Liabilities Analysis'!L33</f>
        <v>0</v>
      </c>
      <c r="H34" s="346">
        <f>+'Bank Liabilities Analysis'!M33-'Bank Liabilities Analysis'!N33</f>
        <v>0</v>
      </c>
      <c r="I34" s="346">
        <f>+'Bank Liabilities Analysis'!O33-'Bank Liabilities Analysis'!P33</f>
        <v>0</v>
      </c>
      <c r="J34" s="346">
        <f>+'Bank Liabilities Analysis'!Q33-'Bank Liabilities Analysis'!R33</f>
        <v>0</v>
      </c>
      <c r="K34" s="346">
        <f t="shared" si="1"/>
        <v>0</v>
      </c>
      <c r="L34" s="347">
        <v>1</v>
      </c>
      <c r="M34" s="348">
        <f t="shared" si="5"/>
        <v>0</v>
      </c>
      <c r="N34" s="347">
        <v>1</v>
      </c>
      <c r="O34" s="348">
        <f t="shared" si="6"/>
        <v>0</v>
      </c>
      <c r="P34" s="350"/>
      <c r="Q34" s="350"/>
      <c r="R34" s="350"/>
    </row>
    <row r="35" spans="1:18" s="352" customFormat="1" ht="25.5" customHeight="1">
      <c r="A35" s="344" t="s">
        <v>141</v>
      </c>
      <c r="B35" s="345" t="s">
        <v>181</v>
      </c>
      <c r="C35" s="346">
        <f>+'Bank Liabilities Analysis'!C34-'Bank Liabilities Analysis'!D34</f>
        <v>0</v>
      </c>
      <c r="D35" s="346">
        <f>+'Bank Liabilities Analysis'!E34-'Bank Liabilities Analysis'!F34</f>
        <v>20000000</v>
      </c>
      <c r="E35" s="346">
        <f>+'Bank Liabilities Analysis'!G34-'Bank Liabilities Analysis'!H34</f>
        <v>0</v>
      </c>
      <c r="F35" s="346">
        <f>+'Bank Liabilities Analysis'!I34-'Bank Liabilities Analysis'!J34</f>
        <v>0</v>
      </c>
      <c r="G35" s="346">
        <f>+'Bank Liabilities Analysis'!K34-'Bank Liabilities Analysis'!L34</f>
        <v>0</v>
      </c>
      <c r="H35" s="346">
        <f>+'Bank Liabilities Analysis'!M34-'Bank Liabilities Analysis'!N34</f>
        <v>0</v>
      </c>
      <c r="I35" s="346">
        <f>+'Bank Liabilities Analysis'!O34-'Bank Liabilities Analysis'!P34</f>
        <v>0</v>
      </c>
      <c r="J35" s="346">
        <f>+'Bank Liabilities Analysis'!Q34-'Bank Liabilities Analysis'!R34</f>
        <v>0</v>
      </c>
      <c r="K35" s="346">
        <f t="shared" si="1"/>
        <v>20000000</v>
      </c>
      <c r="L35" s="347">
        <v>1</v>
      </c>
      <c r="M35" s="348">
        <f t="shared" si="5"/>
        <v>20000000</v>
      </c>
      <c r="N35" s="347">
        <v>1</v>
      </c>
      <c r="O35" s="348">
        <f t="shared" si="6"/>
        <v>20000000</v>
      </c>
      <c r="P35" s="350"/>
      <c r="Q35" s="350"/>
      <c r="R35" s="350"/>
    </row>
    <row r="36" spans="1:18" s="352" customFormat="1" ht="33.75" customHeight="1">
      <c r="A36" s="344" t="s">
        <v>143</v>
      </c>
      <c r="B36" s="345" t="s">
        <v>183</v>
      </c>
      <c r="C36" s="346">
        <f>+'Bank Liabilities Analysis'!C35-'Bank Liabilities Analysis'!D35</f>
        <v>7301</v>
      </c>
      <c r="D36" s="346">
        <f>+'Bank Liabilities Analysis'!E35-'Bank Liabilities Analysis'!F35</f>
        <v>0</v>
      </c>
      <c r="E36" s="346">
        <f>+'Bank Liabilities Analysis'!G35-'Bank Liabilities Analysis'!H35</f>
        <v>0</v>
      </c>
      <c r="F36" s="346">
        <f>+'Bank Liabilities Analysis'!I35-'Bank Liabilities Analysis'!J35</f>
        <v>0</v>
      </c>
      <c r="G36" s="346">
        <f>+'Bank Liabilities Analysis'!K35-'Bank Liabilities Analysis'!L35</f>
        <v>0</v>
      </c>
      <c r="H36" s="346">
        <f>+'Bank Liabilities Analysis'!M35-'Bank Liabilities Analysis'!N35</f>
        <v>0</v>
      </c>
      <c r="I36" s="346">
        <f>+'Bank Liabilities Analysis'!O35-'Bank Liabilities Analysis'!P35</f>
        <v>0</v>
      </c>
      <c r="J36" s="346">
        <f>+'Bank Liabilities Analysis'!Q35-'Bank Liabilities Analysis'!R35</f>
        <v>0</v>
      </c>
      <c r="K36" s="346">
        <f t="shared" si="1"/>
        <v>7301</v>
      </c>
      <c r="L36" s="347">
        <v>1</v>
      </c>
      <c r="M36" s="348">
        <f t="shared" si="5"/>
        <v>7301</v>
      </c>
      <c r="N36" s="347">
        <v>1</v>
      </c>
      <c r="O36" s="348">
        <f>+K36*N36</f>
        <v>7301</v>
      </c>
      <c r="P36" s="350"/>
      <c r="Q36" s="350"/>
      <c r="R36" s="350"/>
    </row>
    <row r="37" spans="1:18" s="352" customFormat="1" ht="25.5" customHeight="1">
      <c r="A37" s="344" t="s">
        <v>184</v>
      </c>
      <c r="B37" s="345" t="s">
        <v>185</v>
      </c>
      <c r="C37" s="346">
        <f>+'Bank Liabilities Analysis'!C36-'Bank Liabilities Analysis'!D36</f>
        <v>1887625</v>
      </c>
      <c r="D37" s="346">
        <f>+'Bank Liabilities Analysis'!E36-'Bank Liabilities Analysis'!F36</f>
        <v>0</v>
      </c>
      <c r="E37" s="346">
        <f>+'Bank Liabilities Analysis'!G36-'Bank Liabilities Analysis'!H36</f>
        <v>0</v>
      </c>
      <c r="F37" s="346">
        <f>+'Bank Liabilities Analysis'!I36-'Bank Liabilities Analysis'!J36</f>
        <v>0</v>
      </c>
      <c r="G37" s="346">
        <f>+'Bank Liabilities Analysis'!K36-'Bank Liabilities Analysis'!L36</f>
        <v>0</v>
      </c>
      <c r="H37" s="346">
        <f>+'Bank Liabilities Analysis'!M36-'Bank Liabilities Analysis'!N36</f>
        <v>0</v>
      </c>
      <c r="I37" s="346">
        <f>+'Bank Liabilities Analysis'!O36-'Bank Liabilities Analysis'!P36</f>
        <v>0</v>
      </c>
      <c r="J37" s="346">
        <f>+'Bank Liabilities Analysis'!Q36-'Bank Liabilities Analysis'!R36</f>
        <v>0</v>
      </c>
      <c r="K37" s="346">
        <f t="shared" si="1"/>
        <v>1887625</v>
      </c>
      <c r="L37" s="347">
        <v>1</v>
      </c>
      <c r="M37" s="348">
        <f t="shared" si="5"/>
        <v>1887625</v>
      </c>
      <c r="N37" s="347">
        <v>1</v>
      </c>
      <c r="O37" s="348">
        <f>+K37*N37</f>
        <v>1887625</v>
      </c>
      <c r="P37" s="350"/>
      <c r="Q37" s="350"/>
      <c r="R37" s="350"/>
    </row>
    <row r="38" spans="1:18" s="352" customFormat="1" ht="25.5" customHeight="1">
      <c r="A38" s="344" t="s">
        <v>186</v>
      </c>
      <c r="B38" s="345" t="s">
        <v>161</v>
      </c>
      <c r="C38" s="346">
        <f>+'Bank Liabilities Analysis'!C37-'Bank Liabilities Analysis'!D37</f>
        <v>18697677</v>
      </c>
      <c r="D38" s="346">
        <f>+'Bank Liabilities Analysis'!E37-'Bank Liabilities Analysis'!F37</f>
        <v>0</v>
      </c>
      <c r="E38" s="346">
        <f>+'Bank Liabilities Analysis'!G37-'Bank Liabilities Analysis'!H37</f>
        <v>0</v>
      </c>
      <c r="F38" s="346">
        <f>+'Bank Liabilities Analysis'!I37-'Bank Liabilities Analysis'!J37</f>
        <v>0</v>
      </c>
      <c r="G38" s="346">
        <f>+'Bank Liabilities Analysis'!K37-'Bank Liabilities Analysis'!L37</f>
        <v>0</v>
      </c>
      <c r="H38" s="346">
        <f>+'Bank Liabilities Analysis'!M37-'Bank Liabilities Analysis'!N37</f>
        <v>0</v>
      </c>
      <c r="I38" s="346">
        <f>+'Bank Liabilities Analysis'!O37-'Bank Liabilities Analysis'!P37</f>
        <v>0</v>
      </c>
      <c r="J38" s="346">
        <f>+'Bank Liabilities Analysis'!Q37-'Bank Liabilities Analysis'!R37</f>
        <v>0</v>
      </c>
      <c r="K38" s="346">
        <f t="shared" si="1"/>
        <v>18697677</v>
      </c>
      <c r="L38" s="347">
        <v>1</v>
      </c>
      <c r="M38" s="348">
        <f t="shared" si="5"/>
        <v>18697677</v>
      </c>
      <c r="N38" s="347"/>
      <c r="O38" s="526">
        <f>C38+D38+E38+((F38+G38+H38+I38+J38)*15%)</f>
        <v>18697677</v>
      </c>
      <c r="P38" s="350"/>
      <c r="Q38" s="350"/>
      <c r="R38" s="350"/>
    </row>
    <row r="39" spans="1:18" s="352" customFormat="1" ht="25.5" customHeight="1">
      <c r="A39" s="344" t="s">
        <v>147</v>
      </c>
      <c r="B39" s="345" t="s">
        <v>187</v>
      </c>
      <c r="C39" s="346">
        <f>+'Bank Liabilities Analysis'!C38-'Bank Liabilities Analysis'!D38</f>
        <v>58052267</v>
      </c>
      <c r="D39" s="346">
        <f>+'Bank Liabilities Analysis'!E38-'Bank Liabilities Analysis'!F38</f>
        <v>0</v>
      </c>
      <c r="E39" s="346">
        <f>+'Bank Liabilities Analysis'!G38-'Bank Liabilities Analysis'!H38</f>
        <v>0</v>
      </c>
      <c r="F39" s="346">
        <f>+'Bank Liabilities Analysis'!I38-'Bank Liabilities Analysis'!J38</f>
        <v>0</v>
      </c>
      <c r="G39" s="346">
        <f>+'Bank Liabilities Analysis'!K38-'Bank Liabilities Analysis'!L38</f>
        <v>0</v>
      </c>
      <c r="H39" s="346">
        <f>+'Bank Liabilities Analysis'!M38-'Bank Liabilities Analysis'!N38</f>
        <v>0</v>
      </c>
      <c r="I39" s="346">
        <f>+'Bank Liabilities Analysis'!O38-'Bank Liabilities Analysis'!P38</f>
        <v>0</v>
      </c>
      <c r="J39" s="346">
        <f>+'Bank Liabilities Analysis'!Q38-'Bank Liabilities Analysis'!R38</f>
        <v>0</v>
      </c>
      <c r="K39" s="346">
        <f t="shared" si="1"/>
        <v>58052267</v>
      </c>
      <c r="L39" s="347">
        <v>0.3</v>
      </c>
      <c r="M39" s="348">
        <f t="shared" si="5"/>
        <v>17415680.099999998</v>
      </c>
      <c r="N39" s="347">
        <v>1</v>
      </c>
      <c r="O39" s="348">
        <f>+K39*N39</f>
        <v>58052267</v>
      </c>
      <c r="P39" s="350"/>
      <c r="Q39" s="350"/>
      <c r="R39" s="350"/>
    </row>
    <row r="40" spans="1:18" s="351" customFormat="1" ht="25.5" customHeight="1">
      <c r="A40" s="353" t="s">
        <v>149</v>
      </c>
      <c r="B40" s="354" t="s">
        <v>188</v>
      </c>
      <c r="C40" s="355">
        <f>+C23+C30+C31+C32+C33+C34+C35+C36+C37+C38+C39+C24+C25</f>
        <v>450425767</v>
      </c>
      <c r="D40" s="355">
        <f t="shared" ref="D40:K40" si="7">+D23+D30+D31+D32+D33+D34+D35+D36+D37+D38+D39+D24+D25</f>
        <v>40468094</v>
      </c>
      <c r="E40" s="355">
        <f t="shared" si="7"/>
        <v>84784313</v>
      </c>
      <c r="F40" s="355">
        <f t="shared" si="7"/>
        <v>91212782</v>
      </c>
      <c r="G40" s="355">
        <f t="shared" si="7"/>
        <v>154743503</v>
      </c>
      <c r="H40" s="355">
        <f t="shared" si="7"/>
        <v>624488010</v>
      </c>
      <c r="I40" s="355">
        <f t="shared" si="7"/>
        <v>295236949</v>
      </c>
      <c r="J40" s="355">
        <f t="shared" si="7"/>
        <v>1309191478</v>
      </c>
      <c r="K40" s="355">
        <f t="shared" si="7"/>
        <v>3050550896</v>
      </c>
      <c r="L40" s="355" t="s">
        <v>27</v>
      </c>
      <c r="M40" s="355">
        <f>SUM(M9:M39)</f>
        <v>246952423.20000002</v>
      </c>
      <c r="N40" s="355" t="s">
        <v>27</v>
      </c>
      <c r="O40" s="355">
        <f>SUM(O9:O39)</f>
        <v>482269263.64999998</v>
      </c>
      <c r="P40" s="358">
        <f>+Balance!D62</f>
        <v>3050550896</v>
      </c>
      <c r="Q40" s="350"/>
      <c r="R40" s="350"/>
    </row>
    <row r="41" spans="1:18" s="55" customFormat="1" ht="15.75">
      <c r="A41" s="223"/>
      <c r="B41" s="83" t="s">
        <v>337</v>
      </c>
      <c r="C41" s="34"/>
      <c r="D41" s="34"/>
      <c r="E41" s="34"/>
      <c r="F41" s="34"/>
      <c r="G41" s="34"/>
      <c r="H41" s="34"/>
      <c r="I41" s="34"/>
      <c r="J41" s="34"/>
      <c r="K41" s="34">
        <f t="shared" ref="K41:K56" si="8">+C41+D41+E41+F41+G41+H41+I41+J41</f>
        <v>0</v>
      </c>
      <c r="L41" s="28"/>
      <c r="M41" s="28"/>
      <c r="N41" s="28"/>
      <c r="O41" s="28"/>
      <c r="P41" s="356">
        <f>+Balance!C63</f>
        <v>0</v>
      </c>
      <c r="Q41" s="350"/>
      <c r="R41" s="350"/>
    </row>
    <row r="42" spans="1:18" s="55" customFormat="1" ht="15.75">
      <c r="A42" s="223"/>
      <c r="B42" s="40" t="s">
        <v>338</v>
      </c>
      <c r="C42" s="34">
        <f>+C43+C44</f>
        <v>0</v>
      </c>
      <c r="D42" s="34">
        <f t="shared" ref="D42:J42" si="9">+D43+D44</f>
        <v>0</v>
      </c>
      <c r="E42" s="34">
        <f t="shared" si="9"/>
        <v>46267</v>
      </c>
      <c r="F42" s="34">
        <f t="shared" si="9"/>
        <v>0</v>
      </c>
      <c r="G42" s="34">
        <f t="shared" si="9"/>
        <v>48002</v>
      </c>
      <c r="H42" s="34">
        <f t="shared" si="9"/>
        <v>101472</v>
      </c>
      <c r="I42" s="34">
        <f t="shared" si="9"/>
        <v>4577476</v>
      </c>
      <c r="J42" s="34">
        <f t="shared" si="9"/>
        <v>145879257</v>
      </c>
      <c r="K42" s="34">
        <f t="shared" si="8"/>
        <v>150652474</v>
      </c>
      <c r="L42" s="34"/>
      <c r="M42" s="34"/>
      <c r="N42" s="34"/>
      <c r="O42" s="34"/>
      <c r="P42" s="356"/>
      <c r="Q42" s="350"/>
      <c r="R42" s="350"/>
    </row>
    <row r="43" spans="1:18" s="55" customFormat="1" ht="15.75" customHeight="1">
      <c r="A43" s="223"/>
      <c r="B43" s="41" t="s">
        <v>293</v>
      </c>
      <c r="C43" s="34">
        <f>+'Bank Liabilities Analysis'!C42-'Bank Liabilities Analysis'!D42</f>
        <v>0</v>
      </c>
      <c r="D43" s="34">
        <f>+'Bank Liabilities Analysis'!E42-'Bank Liabilities Analysis'!F42</f>
        <v>0</v>
      </c>
      <c r="E43" s="34">
        <f>+'Bank Liabilities Analysis'!G42-'Bank Liabilities Analysis'!H42</f>
        <v>46267</v>
      </c>
      <c r="F43" s="34">
        <f>+'Bank Liabilities Analysis'!I42-'Bank Liabilities Analysis'!J42</f>
        <v>0</v>
      </c>
      <c r="G43" s="34">
        <f>+'Bank Liabilities Analysis'!K42-'Bank Liabilities Analysis'!L42</f>
        <v>48002</v>
      </c>
      <c r="H43" s="34">
        <f>+'Bank Liabilities Analysis'!M42-'Bank Liabilities Analysis'!N42</f>
        <v>101472</v>
      </c>
      <c r="I43" s="34">
        <f>+'Bank Liabilities Analysis'!O42-'Bank Liabilities Analysis'!P42</f>
        <v>4577476</v>
      </c>
      <c r="J43" s="34">
        <f>+'Bank Liabilities Analysis'!Q42-'Bank Liabilities Analysis'!R42</f>
        <v>145879257</v>
      </c>
      <c r="K43" s="34">
        <f t="shared" si="8"/>
        <v>150652474</v>
      </c>
      <c r="L43" s="28"/>
      <c r="M43" s="28"/>
      <c r="N43" s="28"/>
      <c r="O43" s="28"/>
      <c r="P43" s="356"/>
      <c r="Q43" s="350"/>
      <c r="R43" s="350"/>
    </row>
    <row r="44" spans="1:18" s="55" customFormat="1" ht="15.75" customHeight="1">
      <c r="A44" s="223"/>
      <c r="B44" s="41" t="s">
        <v>339</v>
      </c>
      <c r="C44" s="34">
        <f>+'Bank Liabilities Analysis'!C43-'Bank Liabilities Analysis'!D43</f>
        <v>0</v>
      </c>
      <c r="D44" s="34">
        <f>+'Bank Liabilities Analysis'!E43-'Bank Liabilities Analysis'!F43</f>
        <v>0</v>
      </c>
      <c r="E44" s="34">
        <f>+'Bank Liabilities Analysis'!G43-'Bank Liabilities Analysis'!H43</f>
        <v>0</v>
      </c>
      <c r="F44" s="34">
        <f>+'Bank Liabilities Analysis'!I43-'Bank Liabilities Analysis'!J43</f>
        <v>0</v>
      </c>
      <c r="G44" s="34">
        <f>+'Bank Liabilities Analysis'!K43-'Bank Liabilities Analysis'!L43</f>
        <v>0</v>
      </c>
      <c r="H44" s="34">
        <f>+'Bank Liabilities Analysis'!M43-'Bank Liabilities Analysis'!N43</f>
        <v>0</v>
      </c>
      <c r="I44" s="34">
        <f>+'Bank Liabilities Analysis'!O43-'Bank Liabilities Analysis'!P43</f>
        <v>0</v>
      </c>
      <c r="J44" s="34">
        <f>+'Bank Liabilities Analysis'!Q43-'Bank Liabilities Analysis'!R43</f>
        <v>0</v>
      </c>
      <c r="K44" s="34">
        <f t="shared" si="8"/>
        <v>0</v>
      </c>
      <c r="L44" s="28"/>
      <c r="M44" s="28"/>
      <c r="N44" s="28"/>
      <c r="O44" s="28"/>
      <c r="P44" s="356"/>
      <c r="Q44" s="350"/>
      <c r="R44" s="350"/>
    </row>
    <row r="45" spans="1:18" s="55" customFormat="1" ht="15.75" customHeight="1">
      <c r="A45" s="223"/>
      <c r="B45" s="40" t="s">
        <v>340</v>
      </c>
      <c r="C45" s="34">
        <f>+C46+C47</f>
        <v>0</v>
      </c>
      <c r="D45" s="34">
        <f t="shared" ref="D45:J45" si="10">+D46+D47</f>
        <v>0</v>
      </c>
      <c r="E45" s="34">
        <f t="shared" si="10"/>
        <v>3500373</v>
      </c>
      <c r="F45" s="34">
        <f t="shared" si="10"/>
        <v>4599340</v>
      </c>
      <c r="G45" s="34">
        <f t="shared" si="10"/>
        <v>18865228</v>
      </c>
      <c r="H45" s="34">
        <f t="shared" si="10"/>
        <v>39994852</v>
      </c>
      <c r="I45" s="34">
        <f t="shared" si="10"/>
        <v>79652799</v>
      </c>
      <c r="J45" s="34">
        <f t="shared" si="10"/>
        <v>12805929</v>
      </c>
      <c r="K45" s="34">
        <f t="shared" si="8"/>
        <v>159418521</v>
      </c>
      <c r="L45" s="34"/>
      <c r="M45" s="34"/>
      <c r="N45" s="34"/>
      <c r="O45" s="34"/>
      <c r="P45" s="356"/>
      <c r="Q45" s="350"/>
      <c r="R45" s="350"/>
    </row>
    <row r="46" spans="1:18" s="55" customFormat="1" ht="15.75" customHeight="1">
      <c r="A46" s="223"/>
      <c r="B46" s="41" t="s">
        <v>293</v>
      </c>
      <c r="C46" s="34">
        <f>+'Bank Liabilities Analysis'!C45-'Bank Liabilities Analysis'!D45</f>
        <v>0</v>
      </c>
      <c r="D46" s="34">
        <f>+'Bank Liabilities Analysis'!E45-'Bank Liabilities Analysis'!F45</f>
        <v>0</v>
      </c>
      <c r="E46" s="34">
        <f>+'Bank Liabilities Analysis'!G45-'Bank Liabilities Analysis'!H45</f>
        <v>2500373</v>
      </c>
      <c r="F46" s="34">
        <f>+'Bank Liabilities Analysis'!I45-'Bank Liabilities Analysis'!J45</f>
        <v>4599340</v>
      </c>
      <c r="G46" s="34">
        <f>+'Bank Liabilities Analysis'!K45-'Bank Liabilities Analysis'!L45</f>
        <v>14365228</v>
      </c>
      <c r="H46" s="34">
        <f>+'Bank Liabilities Analysis'!M45-'Bank Liabilities Analysis'!N45</f>
        <v>36063952</v>
      </c>
      <c r="I46" s="34">
        <f>+'Bank Liabilities Analysis'!O45-'Bank Liabilities Analysis'!P45</f>
        <v>4252799</v>
      </c>
      <c r="J46" s="34">
        <f>+'Bank Liabilities Analysis'!Q45-'Bank Liabilities Analysis'!R45</f>
        <v>12805929</v>
      </c>
      <c r="K46" s="34">
        <f t="shared" si="8"/>
        <v>74587621</v>
      </c>
      <c r="L46" s="28"/>
      <c r="M46" s="28"/>
      <c r="N46" s="28"/>
      <c r="O46" s="28"/>
      <c r="P46" s="356"/>
      <c r="Q46" s="350"/>
      <c r="R46" s="350"/>
    </row>
    <row r="47" spans="1:18" s="55" customFormat="1" ht="15.75" customHeight="1">
      <c r="A47" s="226"/>
      <c r="B47" s="41" t="s">
        <v>339</v>
      </c>
      <c r="C47" s="34">
        <f>+'Bank Liabilities Analysis'!C46-'Bank Liabilities Analysis'!D46</f>
        <v>0</v>
      </c>
      <c r="D47" s="34">
        <f>+'Bank Liabilities Analysis'!E46-'Bank Liabilities Analysis'!F46</f>
        <v>0</v>
      </c>
      <c r="E47" s="34">
        <f>+'Bank Liabilities Analysis'!G46-'Bank Liabilities Analysis'!H46</f>
        <v>1000000</v>
      </c>
      <c r="F47" s="34">
        <f>+'Bank Liabilities Analysis'!I46-'Bank Liabilities Analysis'!J46</f>
        <v>0</v>
      </c>
      <c r="G47" s="34">
        <f>+'Bank Liabilities Analysis'!K46-'Bank Liabilities Analysis'!L46</f>
        <v>4500000</v>
      </c>
      <c r="H47" s="34">
        <f>+'Bank Liabilities Analysis'!M46-'Bank Liabilities Analysis'!N46</f>
        <v>3930900</v>
      </c>
      <c r="I47" s="34">
        <f>+'Bank Liabilities Analysis'!O46-'Bank Liabilities Analysis'!P46</f>
        <v>75400000</v>
      </c>
      <c r="J47" s="34">
        <f>+'Bank Liabilities Analysis'!Q46-'Bank Liabilities Analysis'!R46</f>
        <v>0</v>
      </c>
      <c r="K47" s="34">
        <f t="shared" si="8"/>
        <v>84830900</v>
      </c>
      <c r="L47" s="28"/>
      <c r="M47" s="28"/>
      <c r="N47" s="28"/>
      <c r="O47" s="28"/>
      <c r="P47" s="356"/>
      <c r="Q47" s="350"/>
      <c r="R47" s="350"/>
    </row>
    <row r="48" spans="1:18" s="55" customFormat="1" ht="15.75">
      <c r="A48" s="226"/>
      <c r="B48" s="40" t="s">
        <v>341</v>
      </c>
      <c r="C48" s="34">
        <f>+C49+C50</f>
        <v>0</v>
      </c>
      <c r="D48" s="34">
        <f t="shared" ref="D48:J48" si="11">+D49+D50</f>
        <v>0</v>
      </c>
      <c r="E48" s="34">
        <f t="shared" si="11"/>
        <v>0</v>
      </c>
      <c r="F48" s="34">
        <f t="shared" si="11"/>
        <v>0</v>
      </c>
      <c r="G48" s="34">
        <f t="shared" si="11"/>
        <v>0</v>
      </c>
      <c r="H48" s="34">
        <f t="shared" si="11"/>
        <v>0</v>
      </c>
      <c r="I48" s="34">
        <f t="shared" si="11"/>
        <v>60891986</v>
      </c>
      <c r="J48" s="34">
        <f t="shared" si="11"/>
        <v>740735895</v>
      </c>
      <c r="K48" s="34">
        <f t="shared" si="8"/>
        <v>801627881</v>
      </c>
      <c r="L48" s="34"/>
      <c r="M48" s="34"/>
      <c r="N48" s="34"/>
      <c r="O48" s="34"/>
      <c r="P48" s="356"/>
      <c r="Q48" s="350"/>
      <c r="R48" s="350"/>
    </row>
    <row r="49" spans="1:18" s="55" customFormat="1" ht="15.75" customHeight="1">
      <c r="A49" s="226"/>
      <c r="B49" s="41" t="s">
        <v>293</v>
      </c>
      <c r="C49" s="34">
        <f>+'Bank Liabilities Analysis'!C48-'Bank Liabilities Analysis'!D48</f>
        <v>0</v>
      </c>
      <c r="D49" s="34">
        <f>+'Bank Liabilities Analysis'!E48-'Bank Liabilities Analysis'!F48</f>
        <v>0</v>
      </c>
      <c r="E49" s="34">
        <f>+'Bank Liabilities Analysis'!G48-'Bank Liabilities Analysis'!H48</f>
        <v>0</v>
      </c>
      <c r="F49" s="34">
        <f>+'Bank Liabilities Analysis'!I48-'Bank Liabilities Analysis'!J48</f>
        <v>0</v>
      </c>
      <c r="G49" s="34">
        <f>+'Bank Liabilities Analysis'!K48-'Bank Liabilities Analysis'!L48</f>
        <v>0</v>
      </c>
      <c r="H49" s="34">
        <f>+'Bank Liabilities Analysis'!M48-'Bank Liabilities Analysis'!N48</f>
        <v>0</v>
      </c>
      <c r="I49" s="34">
        <f>+'Bank Liabilities Analysis'!O48-'Bank Liabilities Analysis'!P48</f>
        <v>60891986</v>
      </c>
      <c r="J49" s="34">
        <f>+'Bank Liabilities Analysis'!Q48-'Bank Liabilities Analysis'!R48</f>
        <v>740735895</v>
      </c>
      <c r="K49" s="34">
        <f t="shared" si="8"/>
        <v>801627881</v>
      </c>
      <c r="L49" s="28"/>
      <c r="M49" s="28"/>
      <c r="N49" s="28"/>
      <c r="O49" s="28"/>
      <c r="P49" s="356"/>
      <c r="Q49" s="350"/>
      <c r="R49" s="350"/>
    </row>
    <row r="50" spans="1:18" s="55" customFormat="1" ht="15.75" customHeight="1">
      <c r="A50" s="226"/>
      <c r="B50" s="41" t="s">
        <v>339</v>
      </c>
      <c r="C50" s="34">
        <f>+'Bank Liabilities Analysis'!C49-'Bank Liabilities Analysis'!D49</f>
        <v>0</v>
      </c>
      <c r="D50" s="34">
        <f>+'Bank Liabilities Analysis'!E49-'Bank Liabilities Analysis'!F49</f>
        <v>0</v>
      </c>
      <c r="E50" s="34">
        <f>+'Bank Liabilities Analysis'!G49-'Bank Liabilities Analysis'!H49</f>
        <v>0</v>
      </c>
      <c r="F50" s="34">
        <f>+'Bank Liabilities Analysis'!I49-'Bank Liabilities Analysis'!J49</f>
        <v>0</v>
      </c>
      <c r="G50" s="34">
        <f>+'Bank Liabilities Analysis'!K49-'Bank Liabilities Analysis'!L49</f>
        <v>0</v>
      </c>
      <c r="H50" s="34">
        <f>+'Bank Liabilities Analysis'!M49-'Bank Liabilities Analysis'!N49</f>
        <v>0</v>
      </c>
      <c r="I50" s="34">
        <f>+'Bank Liabilities Analysis'!O49-'Bank Liabilities Analysis'!P49</f>
        <v>0</v>
      </c>
      <c r="J50" s="34">
        <f>+'Bank Liabilities Analysis'!Q49-'Bank Liabilities Analysis'!R49</f>
        <v>0</v>
      </c>
      <c r="K50" s="34">
        <f t="shared" si="8"/>
        <v>0</v>
      </c>
      <c r="L50" s="28"/>
      <c r="M50" s="28"/>
      <c r="N50" s="28"/>
      <c r="O50" s="28"/>
      <c r="P50" s="356"/>
      <c r="Q50" s="350"/>
      <c r="R50" s="350"/>
    </row>
    <row r="51" spans="1:18" s="55" customFormat="1" ht="15.75" customHeight="1">
      <c r="A51" s="226"/>
      <c r="B51" s="40" t="s">
        <v>342</v>
      </c>
      <c r="C51" s="34">
        <f>+C52+C53</f>
        <v>0</v>
      </c>
      <c r="D51" s="34">
        <f t="shared" ref="D51:J51" si="12">+D52+D53</f>
        <v>0</v>
      </c>
      <c r="E51" s="34">
        <f t="shared" si="12"/>
        <v>0</v>
      </c>
      <c r="F51" s="34">
        <f t="shared" si="12"/>
        <v>0</v>
      </c>
      <c r="G51" s="34">
        <f t="shared" si="12"/>
        <v>0</v>
      </c>
      <c r="H51" s="34">
        <f t="shared" si="12"/>
        <v>0</v>
      </c>
      <c r="I51" s="34">
        <f t="shared" si="12"/>
        <v>0</v>
      </c>
      <c r="J51" s="34">
        <f t="shared" si="12"/>
        <v>0</v>
      </c>
      <c r="K51" s="34">
        <f t="shared" si="8"/>
        <v>0</v>
      </c>
      <c r="L51" s="34"/>
      <c r="M51" s="34"/>
      <c r="N51" s="34"/>
      <c r="O51" s="34"/>
      <c r="P51" s="356"/>
      <c r="Q51" s="350"/>
      <c r="R51" s="350"/>
    </row>
    <row r="52" spans="1:18" s="55" customFormat="1" ht="15.75" customHeight="1">
      <c r="A52" s="226"/>
      <c r="B52" s="41" t="s">
        <v>293</v>
      </c>
      <c r="C52" s="34">
        <f>+'Bank Liabilities Analysis'!C51-'Bank Liabilities Analysis'!D51</f>
        <v>0</v>
      </c>
      <c r="D52" s="34">
        <f>+'Bank Liabilities Analysis'!E51-'Bank Liabilities Analysis'!F51</f>
        <v>0</v>
      </c>
      <c r="E52" s="34">
        <f>+'Bank Liabilities Analysis'!G51-'Bank Liabilities Analysis'!H51</f>
        <v>0</v>
      </c>
      <c r="F52" s="34">
        <f>+'Bank Liabilities Analysis'!I51-'Bank Liabilities Analysis'!J51</f>
        <v>0</v>
      </c>
      <c r="G52" s="34">
        <f>+'Bank Liabilities Analysis'!K51-'Bank Liabilities Analysis'!L51</f>
        <v>0</v>
      </c>
      <c r="H52" s="34">
        <f>+'Bank Liabilities Analysis'!M51-'Bank Liabilities Analysis'!N51</f>
        <v>0</v>
      </c>
      <c r="I52" s="34">
        <f>+'Bank Liabilities Analysis'!O51-'Bank Liabilities Analysis'!P51</f>
        <v>0</v>
      </c>
      <c r="J52" s="34">
        <f>+'Bank Liabilities Analysis'!Q51-'Bank Liabilities Analysis'!R51</f>
        <v>0</v>
      </c>
      <c r="K52" s="34">
        <f t="shared" si="8"/>
        <v>0</v>
      </c>
      <c r="L52" s="28"/>
      <c r="M52" s="28"/>
      <c r="N52" s="28"/>
      <c r="O52" s="28"/>
      <c r="P52" s="356"/>
      <c r="Q52" s="350"/>
      <c r="R52" s="350"/>
    </row>
    <row r="53" spans="1:18" s="55" customFormat="1" ht="15.75" customHeight="1">
      <c r="A53" s="226"/>
      <c r="B53" s="41" t="s">
        <v>339</v>
      </c>
      <c r="C53" s="34">
        <f>+'Bank Liabilities Analysis'!C52-'Bank Liabilities Analysis'!D52</f>
        <v>0</v>
      </c>
      <c r="D53" s="34">
        <f>+'Bank Liabilities Analysis'!E52-'Bank Liabilities Analysis'!F52</f>
        <v>0</v>
      </c>
      <c r="E53" s="34">
        <f>+'Bank Liabilities Analysis'!G52-'Bank Liabilities Analysis'!H52</f>
        <v>0</v>
      </c>
      <c r="F53" s="34">
        <f>+'Bank Liabilities Analysis'!I52-'Bank Liabilities Analysis'!J52</f>
        <v>0</v>
      </c>
      <c r="G53" s="34">
        <f>+'Bank Liabilities Analysis'!K52-'Bank Liabilities Analysis'!L52</f>
        <v>0</v>
      </c>
      <c r="H53" s="34">
        <f>+'Bank Liabilities Analysis'!M52-'Bank Liabilities Analysis'!N52</f>
        <v>0</v>
      </c>
      <c r="I53" s="34">
        <f>+'Bank Liabilities Analysis'!O52-'Bank Liabilities Analysis'!P52</f>
        <v>0</v>
      </c>
      <c r="J53" s="34">
        <f>+'Bank Liabilities Analysis'!Q52-'Bank Liabilities Analysis'!R52</f>
        <v>0</v>
      </c>
      <c r="K53" s="34">
        <f t="shared" si="8"/>
        <v>0</v>
      </c>
      <c r="L53" s="28"/>
      <c r="M53" s="28"/>
      <c r="N53" s="28"/>
      <c r="O53" s="28"/>
      <c r="P53" s="356"/>
      <c r="Q53" s="350"/>
      <c r="R53" s="350"/>
    </row>
    <row r="54" spans="1:18" s="55" customFormat="1" ht="15.75" customHeight="1">
      <c r="A54" s="226"/>
      <c r="B54" s="40" t="s">
        <v>343</v>
      </c>
      <c r="C54" s="34">
        <f>+C55+C56</f>
        <v>0</v>
      </c>
      <c r="D54" s="34">
        <f t="shared" ref="D54:J54" si="13">+D55+D56</f>
        <v>0</v>
      </c>
      <c r="E54" s="34">
        <f t="shared" si="13"/>
        <v>0</v>
      </c>
      <c r="F54" s="34">
        <f t="shared" si="13"/>
        <v>0</v>
      </c>
      <c r="G54" s="34">
        <f t="shared" si="13"/>
        <v>0</v>
      </c>
      <c r="H54" s="34">
        <f t="shared" si="13"/>
        <v>0</v>
      </c>
      <c r="I54" s="34">
        <f t="shared" si="13"/>
        <v>0</v>
      </c>
      <c r="J54" s="34">
        <f t="shared" si="13"/>
        <v>0</v>
      </c>
      <c r="K54" s="34">
        <f t="shared" si="8"/>
        <v>0</v>
      </c>
      <c r="L54" s="34"/>
      <c r="M54" s="34"/>
      <c r="N54" s="34"/>
      <c r="O54" s="34"/>
      <c r="P54" s="356"/>
      <c r="Q54" s="350"/>
      <c r="R54" s="350"/>
    </row>
    <row r="55" spans="1:18" s="55" customFormat="1" ht="15.75" customHeight="1">
      <c r="A55" s="226"/>
      <c r="B55" s="41" t="s">
        <v>293</v>
      </c>
      <c r="C55" s="34">
        <f>+'Bank Liabilities Analysis'!C54-'Bank Liabilities Analysis'!D54</f>
        <v>0</v>
      </c>
      <c r="D55" s="34">
        <f>+'Bank Liabilities Analysis'!E54-'Bank Liabilities Analysis'!F54</f>
        <v>0</v>
      </c>
      <c r="E55" s="34">
        <f>+'Bank Liabilities Analysis'!G54-'Bank Liabilities Analysis'!H54</f>
        <v>0</v>
      </c>
      <c r="F55" s="34">
        <f>+'Bank Liabilities Analysis'!I54-'Bank Liabilities Analysis'!J54</f>
        <v>0</v>
      </c>
      <c r="G55" s="34">
        <f>+'Bank Liabilities Analysis'!K54-'Bank Liabilities Analysis'!L54</f>
        <v>0</v>
      </c>
      <c r="H55" s="34">
        <f>+'Bank Liabilities Analysis'!M54-'Bank Liabilities Analysis'!N54</f>
        <v>0</v>
      </c>
      <c r="I55" s="34">
        <f>+'Bank Liabilities Analysis'!O54-'Bank Liabilities Analysis'!P54</f>
        <v>0</v>
      </c>
      <c r="J55" s="34">
        <f>+'Bank Liabilities Analysis'!Q54-'Bank Liabilities Analysis'!R54</f>
        <v>0</v>
      </c>
      <c r="K55" s="34">
        <f t="shared" si="8"/>
        <v>0</v>
      </c>
      <c r="L55" s="28"/>
      <c r="M55" s="28"/>
      <c r="N55" s="28"/>
      <c r="O55" s="28"/>
      <c r="P55" s="356"/>
      <c r="Q55" s="350"/>
      <c r="R55" s="350"/>
    </row>
    <row r="56" spans="1:18" s="55" customFormat="1" ht="15.75" customHeight="1">
      <c r="A56" s="226"/>
      <c r="B56" s="41" t="s">
        <v>339</v>
      </c>
      <c r="C56" s="34">
        <f>+'Bank Liabilities Analysis'!C55-'Bank Liabilities Analysis'!D55</f>
        <v>0</v>
      </c>
      <c r="D56" s="34">
        <f>+'Bank Liabilities Analysis'!E55-'Bank Liabilities Analysis'!F55</f>
        <v>0</v>
      </c>
      <c r="E56" s="34">
        <f>+'Bank Liabilities Analysis'!G55-'Bank Liabilities Analysis'!H55</f>
        <v>0</v>
      </c>
      <c r="F56" s="34">
        <f>+'Bank Liabilities Analysis'!I55-'Bank Liabilities Analysis'!J55</f>
        <v>0</v>
      </c>
      <c r="G56" s="34">
        <f>+'Bank Liabilities Analysis'!K55-'Bank Liabilities Analysis'!L55</f>
        <v>0</v>
      </c>
      <c r="H56" s="34">
        <f>+'Bank Liabilities Analysis'!M55-'Bank Liabilities Analysis'!N55</f>
        <v>0</v>
      </c>
      <c r="I56" s="34">
        <f>+'Bank Liabilities Analysis'!O55-'Bank Liabilities Analysis'!P55</f>
        <v>0</v>
      </c>
      <c r="J56" s="34">
        <f>+'Bank Liabilities Analysis'!Q55-'Bank Liabilities Analysis'!R55</f>
        <v>0</v>
      </c>
      <c r="K56" s="34">
        <f t="shared" si="8"/>
        <v>0</v>
      </c>
      <c r="L56" s="28"/>
      <c r="M56" s="28"/>
      <c r="N56" s="28"/>
      <c r="O56" s="28"/>
      <c r="P56" s="356"/>
      <c r="Q56" s="350"/>
      <c r="R56" s="350"/>
    </row>
    <row r="57" spans="1:18" ht="15.75">
      <c r="P57" s="356"/>
      <c r="Q57" s="350"/>
      <c r="R57" s="350"/>
    </row>
    <row r="58" spans="1:18" ht="15.75">
      <c r="B58" s="7" t="s">
        <v>4</v>
      </c>
      <c r="Q58" s="350"/>
      <c r="R58" s="350"/>
    </row>
    <row r="59" spans="1:18" ht="15.75">
      <c r="Q59" s="350"/>
      <c r="R59" s="350"/>
    </row>
    <row r="60" spans="1:18" ht="15.75">
      <c r="B60" s="7" t="s">
        <v>5</v>
      </c>
      <c r="Q60" s="350"/>
      <c r="R60" s="350"/>
    </row>
  </sheetData>
  <sheetProtection password="CACA" sheet="1" objects="1" scenarios="1"/>
  <mergeCells count="15">
    <mergeCell ref="N2:O2"/>
    <mergeCell ref="A4:A6"/>
    <mergeCell ref="B4:B6"/>
    <mergeCell ref="C4:J4"/>
    <mergeCell ref="K4:K6"/>
    <mergeCell ref="N4:O5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3" priority="49" operator="notEqual">
      <formula>$P$40</formula>
    </cfRule>
  </conditionalFormatting>
  <conditionalFormatting sqref="L42:L56">
    <cfRule type="cellIs" dxfId="12" priority="15" operator="greaterThan">
      <formula>K42</formula>
    </cfRule>
  </conditionalFormatting>
  <conditionalFormatting sqref="L42:L56">
    <cfRule type="cellIs" dxfId="11" priority="7" operator="greaterThan">
      <formula>K42</formula>
    </cfRule>
  </conditionalFormatting>
  <conditionalFormatting sqref="N42:O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>
      <formula1>0</formula1>
    </dataValidation>
    <dataValidation type="whole" operator="notEqual" allowBlank="1" showErrorMessage="1" error="Введите как целое число." sqref="C10:J14 C17:J22 C41:J56 C24:J39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E30"/>
  <sheetViews>
    <sheetView view="pageBreakPreview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3" sqref="D23"/>
    </sheetView>
  </sheetViews>
  <sheetFormatPr defaultRowHeight="12.75"/>
  <cols>
    <col min="1" max="1" width="5.85546875" style="68" customWidth="1"/>
    <col min="2" max="2" width="88.28515625" style="59" customWidth="1"/>
    <col min="3" max="4" width="17.7109375" style="59" customWidth="1"/>
    <col min="5" max="5" width="18.5703125" style="59" customWidth="1"/>
    <col min="6" max="6" width="6.42578125" style="59" customWidth="1"/>
    <col min="7" max="16384" width="9.140625" style="59"/>
  </cols>
  <sheetData>
    <row r="1" spans="1:5" s="58" customFormat="1" ht="32.25" customHeight="1">
      <c r="A1" s="590" t="s">
        <v>189</v>
      </c>
      <c r="B1" s="590"/>
      <c r="C1" s="590"/>
      <c r="D1" s="590"/>
      <c r="E1" s="57" t="s">
        <v>316</v>
      </c>
    </row>
    <row r="2" spans="1:5" ht="15.75">
      <c r="A2" s="57"/>
      <c r="B2" s="56" t="str">
        <f>Balance!B3</f>
        <v>АКБ"Микрокредитбанк"</v>
      </c>
      <c r="C2" s="591" t="str">
        <f>+Balance!B2</f>
        <v xml:space="preserve"> 31 Декабрь, 2020</v>
      </c>
      <c r="D2" s="591"/>
      <c r="E2" s="220" t="str">
        <f>+Balance!E3</f>
        <v>тыс. сум</v>
      </c>
    </row>
    <row r="3" spans="1:5" s="58" customFormat="1" ht="53.25" customHeight="1">
      <c r="A3" s="275" t="s">
        <v>79</v>
      </c>
      <c r="B3" s="275" t="s">
        <v>6</v>
      </c>
      <c r="C3" s="275" t="s">
        <v>236</v>
      </c>
      <c r="D3" s="275" t="s">
        <v>237</v>
      </c>
      <c r="E3" s="275" t="s">
        <v>238</v>
      </c>
    </row>
    <row r="4" spans="1:5" s="58" customFormat="1" ht="22.5" customHeight="1">
      <c r="A4" s="272" t="s">
        <v>239</v>
      </c>
      <c r="B4" s="71" t="s">
        <v>455</v>
      </c>
      <c r="C4" s="273">
        <f>+D4+E4</f>
        <v>755824963</v>
      </c>
      <c r="D4" s="274">
        <v>274349557</v>
      </c>
      <c r="E4" s="274">
        <v>481475406</v>
      </c>
    </row>
    <row r="5" spans="1:5" s="416" customFormat="1" ht="22.5" customHeight="1">
      <c r="A5" s="91" t="s">
        <v>454</v>
      </c>
      <c r="B5" s="414" t="s">
        <v>457</v>
      </c>
      <c r="C5" s="413">
        <f>+D5+E5</f>
        <v>0</v>
      </c>
      <c r="D5" s="415">
        <v>0</v>
      </c>
      <c r="E5" s="415">
        <v>0</v>
      </c>
    </row>
    <row r="6" spans="1:5" s="416" customFormat="1" ht="14.25" customHeight="1">
      <c r="A6" s="91"/>
      <c r="B6" s="417"/>
      <c r="C6" s="34"/>
      <c r="D6" s="34"/>
      <c r="E6" s="34"/>
    </row>
    <row r="7" spans="1:5" s="416" customFormat="1" ht="22.5" customHeight="1">
      <c r="A7" s="418" t="s">
        <v>240</v>
      </c>
      <c r="B7" s="414" t="s">
        <v>303</v>
      </c>
      <c r="C7" s="273">
        <f>+D7+E7</f>
        <v>128730452</v>
      </c>
      <c r="D7" s="419">
        <v>11513104</v>
      </c>
      <c r="E7" s="419">
        <v>117217348</v>
      </c>
    </row>
    <row r="8" spans="1:5" s="416" customFormat="1" ht="22.5" customHeight="1">
      <c r="A8" s="91" t="s">
        <v>352</v>
      </c>
      <c r="B8" s="414" t="s">
        <v>456</v>
      </c>
      <c r="C8" s="413">
        <f>+D8+E8</f>
        <v>0</v>
      </c>
      <c r="D8" s="419">
        <v>0</v>
      </c>
      <c r="E8" s="419">
        <v>0</v>
      </c>
    </row>
    <row r="9" spans="1:5" s="58" customFormat="1" ht="14.25" customHeight="1">
      <c r="A9" s="62"/>
      <c r="B9" s="61"/>
      <c r="C9" s="33"/>
      <c r="D9" s="33"/>
      <c r="E9" s="33"/>
    </row>
    <row r="10" spans="1:5" s="58" customFormat="1" ht="29.25" customHeight="1">
      <c r="A10" s="70" t="s">
        <v>253</v>
      </c>
      <c r="B10" s="71" t="s">
        <v>304</v>
      </c>
      <c r="C10" s="273">
        <f>+D10+E10</f>
        <v>0</v>
      </c>
      <c r="D10" s="72">
        <f>SUM(D11:D14)</f>
        <v>0</v>
      </c>
      <c r="E10" s="72">
        <f>SUM(E11:E14)</f>
        <v>0</v>
      </c>
    </row>
    <row r="11" spans="1:5" s="58" customFormat="1" ht="22.5" customHeight="1">
      <c r="A11" s="62" t="s">
        <v>294</v>
      </c>
      <c r="B11" s="63" t="s">
        <v>305</v>
      </c>
      <c r="C11" s="33">
        <f>+D11+E11</f>
        <v>0</v>
      </c>
      <c r="D11" s="36">
        <v>0</v>
      </c>
      <c r="E11" s="36">
        <v>0</v>
      </c>
    </row>
    <row r="12" spans="1:5" s="58" customFormat="1" ht="22.5" customHeight="1">
      <c r="A12" s="62" t="s">
        <v>295</v>
      </c>
      <c r="B12" s="63" t="s">
        <v>306</v>
      </c>
      <c r="C12" s="33">
        <f>+D12+E12</f>
        <v>0</v>
      </c>
      <c r="D12" s="554">
        <v>0</v>
      </c>
      <c r="E12" s="554">
        <v>0</v>
      </c>
    </row>
    <row r="13" spans="1:5" s="58" customFormat="1" ht="22.5" customHeight="1">
      <c r="A13" s="62" t="s">
        <v>296</v>
      </c>
      <c r="B13" s="63" t="s">
        <v>307</v>
      </c>
      <c r="C13" s="33">
        <f>+D13+E13</f>
        <v>0</v>
      </c>
      <c r="D13" s="554">
        <v>0</v>
      </c>
      <c r="E13" s="554">
        <v>0</v>
      </c>
    </row>
    <row r="14" spans="1:5" s="58" customFormat="1" ht="22.5" customHeight="1">
      <c r="A14" s="62" t="s">
        <v>297</v>
      </c>
      <c r="B14" s="63" t="s">
        <v>252</v>
      </c>
      <c r="C14" s="33">
        <f>+D14+E14</f>
        <v>0</v>
      </c>
      <c r="D14" s="36">
        <v>0</v>
      </c>
      <c r="E14" s="36">
        <v>0</v>
      </c>
    </row>
    <row r="15" spans="1:5" s="58" customFormat="1" ht="14.25" customHeight="1">
      <c r="A15" s="62"/>
      <c r="B15" s="61"/>
      <c r="C15" s="33"/>
      <c r="D15" s="33"/>
      <c r="E15" s="33"/>
    </row>
    <row r="16" spans="1:5" s="58" customFormat="1" ht="22.5" customHeight="1">
      <c r="A16" s="70" t="s">
        <v>241</v>
      </c>
      <c r="B16" s="71" t="s">
        <v>308</v>
      </c>
      <c r="C16" s="72">
        <f>+D16+E16</f>
        <v>2191342</v>
      </c>
      <c r="D16" s="73">
        <v>2191342</v>
      </c>
      <c r="E16" s="73">
        <v>0</v>
      </c>
    </row>
    <row r="17" spans="1:5" s="58" customFormat="1" ht="14.25" customHeight="1">
      <c r="A17" s="62"/>
      <c r="B17" s="61"/>
      <c r="C17" s="33"/>
      <c r="D17" s="33"/>
      <c r="E17" s="33"/>
    </row>
    <row r="18" spans="1:5" s="58" customFormat="1" ht="22.5" customHeight="1">
      <c r="A18" s="70" t="s">
        <v>248</v>
      </c>
      <c r="B18" s="71" t="s">
        <v>309</v>
      </c>
      <c r="C18" s="72">
        <f t="shared" ref="C18:C23" si="0">+D18+E18</f>
        <v>45500713</v>
      </c>
      <c r="D18" s="72">
        <f>SUM(D19:D23)</f>
        <v>43359885</v>
      </c>
      <c r="E18" s="72">
        <f>SUM(E19:E23)</f>
        <v>2140828</v>
      </c>
    </row>
    <row r="19" spans="1:5" s="58" customFormat="1" ht="22.5" customHeight="1">
      <c r="A19" s="60" t="s">
        <v>298</v>
      </c>
      <c r="B19" s="63" t="s">
        <v>310</v>
      </c>
      <c r="C19" s="33">
        <f t="shared" si="0"/>
        <v>0</v>
      </c>
      <c r="D19" s="36">
        <v>0</v>
      </c>
      <c r="E19" s="36">
        <v>0</v>
      </c>
    </row>
    <row r="20" spans="1:5" s="58" customFormat="1" ht="22.5" customHeight="1">
      <c r="A20" s="60" t="s">
        <v>299</v>
      </c>
      <c r="B20" s="63" t="s">
        <v>311</v>
      </c>
      <c r="C20" s="33">
        <f t="shared" si="0"/>
        <v>0</v>
      </c>
      <c r="D20" s="554">
        <v>0</v>
      </c>
      <c r="E20" s="554">
        <v>0</v>
      </c>
    </row>
    <row r="21" spans="1:5" s="58" customFormat="1" ht="22.5" customHeight="1">
      <c r="A21" s="60" t="s">
        <v>300</v>
      </c>
      <c r="B21" s="63" t="s">
        <v>312</v>
      </c>
      <c r="C21" s="33">
        <f t="shared" si="0"/>
        <v>0</v>
      </c>
      <c r="D21" s="554">
        <v>0</v>
      </c>
      <c r="E21" s="554">
        <v>0</v>
      </c>
    </row>
    <row r="22" spans="1:5" s="58" customFormat="1" ht="22.5" customHeight="1">
      <c r="A22" s="60" t="s">
        <v>301</v>
      </c>
      <c r="B22" s="63" t="s">
        <v>313</v>
      </c>
      <c r="C22" s="33">
        <f t="shared" si="0"/>
        <v>20000000</v>
      </c>
      <c r="D22" s="36">
        <v>20000000</v>
      </c>
      <c r="E22" s="36">
        <v>0</v>
      </c>
    </row>
    <row r="23" spans="1:5" s="58" customFormat="1" ht="22.5" customHeight="1">
      <c r="A23" s="60" t="s">
        <v>302</v>
      </c>
      <c r="B23" s="63" t="s">
        <v>314</v>
      </c>
      <c r="C23" s="33">
        <f t="shared" si="0"/>
        <v>25500713</v>
      </c>
      <c r="D23" s="36">
        <v>23359885</v>
      </c>
      <c r="E23" s="554">
        <v>2140828</v>
      </c>
    </row>
    <row r="24" spans="1:5" s="58" customFormat="1" ht="14.25" customHeight="1">
      <c r="A24" s="62"/>
      <c r="B24" s="61"/>
      <c r="C24" s="33"/>
      <c r="D24" s="33"/>
      <c r="E24" s="33"/>
    </row>
    <row r="25" spans="1:5" s="58" customFormat="1" ht="22.5" customHeight="1">
      <c r="A25" s="70" t="s">
        <v>254</v>
      </c>
      <c r="B25" s="71" t="s">
        <v>315</v>
      </c>
      <c r="C25" s="72">
        <f>+C4+C7+C10+C16+C18</f>
        <v>932247470</v>
      </c>
      <c r="D25" s="72">
        <f>+D4+D7+D10+D16+D18</f>
        <v>331413888</v>
      </c>
      <c r="E25" s="72">
        <f>+E4+E7+E10+E16+E18</f>
        <v>600833582</v>
      </c>
    </row>
    <row r="26" spans="1:5">
      <c r="A26" s="64"/>
      <c r="B26" s="65"/>
      <c r="C26" s="66"/>
      <c r="D26" s="66"/>
      <c r="E26" s="66"/>
    </row>
    <row r="27" spans="1:5">
      <c r="A27" s="64"/>
      <c r="B27" s="65"/>
      <c r="C27" s="66"/>
      <c r="D27" s="66"/>
      <c r="E27" s="66"/>
    </row>
    <row r="28" spans="1:5">
      <c r="A28" s="67"/>
      <c r="B28" s="5" t="s">
        <v>4</v>
      </c>
      <c r="C28" s="66"/>
      <c r="D28" s="66"/>
      <c r="E28" s="66"/>
    </row>
    <row r="29" spans="1:5">
      <c r="B29" s="5"/>
      <c r="C29" s="66"/>
      <c r="D29" s="66"/>
      <c r="E29" s="66"/>
    </row>
    <row r="30" spans="1:5">
      <c r="A30" s="67"/>
      <c r="B30" s="5" t="s">
        <v>5</v>
      </c>
      <c r="C30" s="66"/>
      <c r="D30" s="66"/>
      <c r="E30" s="66"/>
    </row>
  </sheetData>
  <sheetProtection password="CACA" sheet="1" objects="1" scenarios="1"/>
  <mergeCells count="2">
    <mergeCell ref="A1:D1"/>
    <mergeCell ref="C2:D2"/>
  </mergeCells>
  <phoneticPr fontId="14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>
      <formula1>0</formula1>
    </dataValidation>
    <dataValidation type="whole" operator="greaterThanOrEqual" allowBlank="1" showInputMessage="1" showErrorMessage="1" sqref="C24 C15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G27"/>
  <sheetViews>
    <sheetView zoomScale="75" zoomScaleNormal="7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6" sqref="F16"/>
    </sheetView>
  </sheetViews>
  <sheetFormatPr defaultRowHeight="18.75"/>
  <cols>
    <col min="1" max="1" width="8.5703125" style="204" customWidth="1"/>
    <col min="2" max="2" width="54.7109375" style="204" bestFit="1" customWidth="1"/>
    <col min="3" max="4" width="25.7109375" style="204" customWidth="1"/>
    <col min="5" max="7" width="15.28515625" style="310" customWidth="1"/>
    <col min="8" max="16384" width="9.140625" style="204"/>
  </cols>
  <sheetData>
    <row r="1" spans="1:7" ht="22.5" customHeight="1">
      <c r="A1" s="592" t="s">
        <v>361</v>
      </c>
      <c r="B1" s="592"/>
      <c r="C1" s="592"/>
      <c r="D1" s="203" t="s">
        <v>362</v>
      </c>
    </row>
    <row r="2" spans="1:7" ht="25.5" customHeight="1">
      <c r="B2" s="205" t="str">
        <f>+Balance!B3</f>
        <v>АКБ"Микрокредитбанк"</v>
      </c>
      <c r="C2" s="221" t="str">
        <f>+Balance!B2</f>
        <v xml:space="preserve"> 31 Декабрь, 2020</v>
      </c>
      <c r="D2" s="206" t="s">
        <v>7</v>
      </c>
    </row>
    <row r="3" spans="1:7" ht="80.25" customHeight="1">
      <c r="A3" s="271" t="s">
        <v>79</v>
      </c>
      <c r="B3" s="271" t="s">
        <v>6</v>
      </c>
      <c r="C3" s="271" t="s">
        <v>236</v>
      </c>
      <c r="D3" s="271" t="s">
        <v>397</v>
      </c>
    </row>
    <row r="4" spans="1:7" s="209" customFormat="1" ht="35.25" customHeight="1">
      <c r="A4" s="207" t="s">
        <v>239</v>
      </c>
      <c r="B4" s="208" t="s">
        <v>170</v>
      </c>
      <c r="C4" s="271"/>
      <c r="D4" s="271"/>
      <c r="E4" s="311"/>
      <c r="F4" s="311"/>
      <c r="G4" s="311"/>
    </row>
    <row r="5" spans="1:7" s="209" customFormat="1" ht="35.25" customHeight="1">
      <c r="A5" s="227" t="s">
        <v>242</v>
      </c>
      <c r="B5" s="228" t="s">
        <v>85</v>
      </c>
      <c r="C5" s="229">
        <v>1724834</v>
      </c>
      <c r="D5" s="229">
        <v>16745</v>
      </c>
      <c r="E5" s="311"/>
      <c r="F5" s="311"/>
      <c r="G5" s="311"/>
    </row>
    <row r="6" spans="1:7" s="209" customFormat="1" ht="35.25" customHeight="1">
      <c r="A6" s="227" t="s">
        <v>243</v>
      </c>
      <c r="B6" s="228" t="s">
        <v>86</v>
      </c>
      <c r="C6" s="229">
        <v>184913057</v>
      </c>
      <c r="D6" s="229">
        <v>7108530</v>
      </c>
      <c r="E6" s="311"/>
      <c r="F6" s="311"/>
      <c r="G6" s="311"/>
    </row>
    <row r="7" spans="1:7" s="209" customFormat="1" ht="35.25" customHeight="1">
      <c r="A7" s="227" t="s">
        <v>244</v>
      </c>
      <c r="B7" s="228" t="s">
        <v>87</v>
      </c>
      <c r="C7" s="229">
        <v>71747862</v>
      </c>
      <c r="D7" s="229">
        <v>51555169</v>
      </c>
      <c r="E7" s="311"/>
      <c r="F7" s="311"/>
      <c r="G7" s="311"/>
    </row>
    <row r="8" spans="1:7" s="209" customFormat="1" ht="35.25" customHeight="1">
      <c r="A8" s="227" t="s">
        <v>245</v>
      </c>
      <c r="B8" s="228" t="s">
        <v>88</v>
      </c>
      <c r="C8" s="229">
        <v>3553061</v>
      </c>
      <c r="D8" s="229">
        <v>429690</v>
      </c>
      <c r="E8" s="311"/>
      <c r="F8" s="311"/>
      <c r="G8" s="311"/>
    </row>
    <row r="9" spans="1:7" s="209" customFormat="1" ht="35.25" customHeight="1">
      <c r="A9" s="227" t="s">
        <v>246</v>
      </c>
      <c r="B9" s="228" t="s">
        <v>89</v>
      </c>
      <c r="C9" s="229">
        <v>121814966</v>
      </c>
      <c r="D9" s="229">
        <v>6877696</v>
      </c>
      <c r="E9" s="311"/>
      <c r="F9" s="311"/>
      <c r="G9" s="311"/>
    </row>
    <row r="10" spans="1:7" s="209" customFormat="1" ht="35.25" customHeight="1">
      <c r="A10" s="227" t="s">
        <v>247</v>
      </c>
      <c r="B10" s="228" t="s">
        <v>393</v>
      </c>
      <c r="C10" s="229">
        <v>52098606</v>
      </c>
      <c r="D10" s="229">
        <v>7159450</v>
      </c>
      <c r="E10" s="311"/>
      <c r="F10" s="311"/>
      <c r="G10" s="311"/>
    </row>
    <row r="11" spans="1:7" s="211" customFormat="1" ht="35.25" customHeight="1">
      <c r="A11" s="207" t="s">
        <v>425</v>
      </c>
      <c r="B11" s="208" t="s">
        <v>394</v>
      </c>
      <c r="C11" s="210">
        <f>SUM(C5:C10)</f>
        <v>435852386</v>
      </c>
      <c r="D11" s="210">
        <f>SUM(D5:D10)</f>
        <v>73147280</v>
      </c>
      <c r="E11" s="312">
        <f>+'Bank Liabilities Analysis'!S16+'Bank Liabilities Analysis'!S8</f>
        <v>435852386</v>
      </c>
      <c r="F11" s="312">
        <f>+'Bank Liabilities Analysis'!T16+'Bank Liabilities Analysis'!T8</f>
        <v>362705106</v>
      </c>
      <c r="G11" s="312">
        <f>+'Bank Liabilities Analysis'!U16+'Bank Liabilities Analysis'!U8</f>
        <v>73147280</v>
      </c>
    </row>
    <row r="12" spans="1:7" s="209" customFormat="1" ht="9" customHeight="1">
      <c r="A12" s="212"/>
      <c r="B12" s="228"/>
      <c r="C12" s="213"/>
      <c r="D12" s="212"/>
      <c r="E12" s="311"/>
      <c r="F12" s="311"/>
      <c r="G12" s="311"/>
    </row>
    <row r="13" spans="1:7" s="209" customFormat="1" ht="35.25" customHeight="1">
      <c r="A13" s="207" t="s">
        <v>240</v>
      </c>
      <c r="B13" s="208" t="s">
        <v>173</v>
      </c>
      <c r="C13" s="271"/>
      <c r="D13" s="271"/>
      <c r="E13" s="311"/>
      <c r="F13" s="311"/>
      <c r="G13" s="311"/>
    </row>
    <row r="14" spans="1:7" s="209" customFormat="1" ht="35.25" customHeight="1">
      <c r="A14" s="227" t="s">
        <v>242</v>
      </c>
      <c r="B14" s="228" t="s">
        <v>85</v>
      </c>
      <c r="C14" s="229">
        <v>401854235</v>
      </c>
      <c r="D14" s="229">
        <v>152089500</v>
      </c>
      <c r="E14" s="311"/>
      <c r="F14" s="311"/>
      <c r="G14" s="311"/>
    </row>
    <row r="15" spans="1:7" s="209" customFormat="1" ht="35.25" customHeight="1">
      <c r="A15" s="227" t="s">
        <v>243</v>
      </c>
      <c r="B15" s="228" t="s">
        <v>86</v>
      </c>
      <c r="C15" s="229">
        <v>334186646</v>
      </c>
      <c r="D15" s="229">
        <v>28638065</v>
      </c>
      <c r="E15" s="311"/>
      <c r="F15" s="311"/>
      <c r="G15" s="311"/>
    </row>
    <row r="16" spans="1:7" s="209" customFormat="1" ht="35.25" customHeight="1">
      <c r="A16" s="227" t="s">
        <v>244</v>
      </c>
      <c r="B16" s="228" t="s">
        <v>87</v>
      </c>
      <c r="C16" s="229">
        <v>215589481</v>
      </c>
      <c r="D16" s="229">
        <v>115619317</v>
      </c>
      <c r="E16" s="311"/>
      <c r="F16" s="311"/>
      <c r="G16" s="311"/>
    </row>
    <row r="17" spans="1:7" s="209" customFormat="1" ht="35.25" customHeight="1">
      <c r="A17" s="227" t="s">
        <v>245</v>
      </c>
      <c r="B17" s="228" t="s">
        <v>88</v>
      </c>
      <c r="C17" s="229">
        <v>6575000</v>
      </c>
      <c r="D17" s="229">
        <v>0</v>
      </c>
      <c r="E17" s="311"/>
      <c r="F17" s="311"/>
      <c r="G17" s="311"/>
    </row>
    <row r="18" spans="1:7" s="209" customFormat="1" ht="35.25" customHeight="1">
      <c r="A18" s="227" t="s">
        <v>246</v>
      </c>
      <c r="B18" s="228" t="s">
        <v>89</v>
      </c>
      <c r="C18" s="229">
        <v>48283134</v>
      </c>
      <c r="D18" s="229">
        <v>0</v>
      </c>
      <c r="E18" s="311"/>
      <c r="F18" s="311"/>
      <c r="G18" s="311"/>
    </row>
    <row r="19" spans="1:7" s="209" customFormat="1" ht="35.25" customHeight="1">
      <c r="A19" s="227" t="s">
        <v>247</v>
      </c>
      <c r="B19" s="228" t="s">
        <v>440</v>
      </c>
      <c r="C19" s="229">
        <v>105299077</v>
      </c>
      <c r="D19" s="229">
        <v>2431405</v>
      </c>
      <c r="E19" s="311"/>
      <c r="F19" s="311"/>
      <c r="G19" s="311"/>
    </row>
    <row r="20" spans="1:7" s="211" customFormat="1" ht="35.25" customHeight="1">
      <c r="A20" s="207" t="s">
        <v>425</v>
      </c>
      <c r="B20" s="208" t="s">
        <v>395</v>
      </c>
      <c r="C20" s="210">
        <f>SUM(C14:C19)</f>
        <v>1111787573</v>
      </c>
      <c r="D20" s="210">
        <f>SUM(D14:D19)</f>
        <v>298778287</v>
      </c>
      <c r="E20" s="312">
        <f>+'Bank Liabilities Analysis'!S13</f>
        <v>1111787573</v>
      </c>
      <c r="F20" s="312">
        <f>+'Bank Liabilities Analysis'!T13</f>
        <v>813009286</v>
      </c>
      <c r="G20" s="312">
        <f>+'Bank Liabilities Analysis'!U13</f>
        <v>298778287</v>
      </c>
    </row>
    <row r="21" spans="1:7" s="209" customFormat="1" ht="9" customHeight="1">
      <c r="A21" s="227"/>
      <c r="B21" s="228"/>
      <c r="C21" s="213"/>
      <c r="D21" s="213"/>
      <c r="E21" s="311"/>
      <c r="F21" s="311"/>
      <c r="G21" s="311"/>
    </row>
    <row r="22" spans="1:7" s="211" customFormat="1" ht="35.25" customHeight="1">
      <c r="A22" s="207" t="s">
        <v>253</v>
      </c>
      <c r="B22" s="208" t="s">
        <v>175</v>
      </c>
      <c r="C22" s="210">
        <f>+C11+C20</f>
        <v>1547639959</v>
      </c>
      <c r="D22" s="210">
        <f>+D11+D20</f>
        <v>371925567</v>
      </c>
      <c r="E22" s="312">
        <f>+'Bank Liabilities Analysis'!S22</f>
        <v>1547639959</v>
      </c>
      <c r="F22" s="312">
        <f>+'Bank Liabilities Analysis'!T22</f>
        <v>1175714392</v>
      </c>
      <c r="G22" s="312">
        <f>+'Bank Liabilities Analysis'!U22</f>
        <v>371925567</v>
      </c>
    </row>
    <row r="24" spans="1:7">
      <c r="E24" s="204"/>
      <c r="F24" s="204"/>
      <c r="G24" s="204"/>
    </row>
    <row r="25" spans="1:7">
      <c r="B25" s="214" t="s">
        <v>4</v>
      </c>
      <c r="E25" s="204"/>
      <c r="F25" s="204"/>
      <c r="G25" s="204"/>
    </row>
    <row r="26" spans="1:7">
      <c r="B26" s="214"/>
      <c r="E26" s="204"/>
      <c r="F26" s="204"/>
      <c r="G26" s="204"/>
    </row>
    <row r="27" spans="1:7">
      <c r="B27" s="214" t="s">
        <v>5</v>
      </c>
      <c r="E27" s="204"/>
      <c r="F27" s="204"/>
      <c r="G27" s="204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H54"/>
  <sheetViews>
    <sheetView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3" sqref="C13"/>
    </sheetView>
  </sheetViews>
  <sheetFormatPr defaultRowHeight="12.75"/>
  <cols>
    <col min="1" max="1" width="48.42578125" style="59" customWidth="1"/>
    <col min="2" max="2" width="16.85546875" style="59" customWidth="1"/>
    <col min="3" max="3" width="16.7109375" style="59" customWidth="1"/>
    <col min="4" max="4" width="16" style="59" customWidth="1"/>
    <col min="5" max="5" width="15.42578125" style="59" customWidth="1"/>
    <col min="6" max="8" width="12.140625" style="307" customWidth="1"/>
    <col min="9" max="16384" width="9.140625" style="59"/>
  </cols>
  <sheetData>
    <row r="1" spans="1:8" ht="44.25" customHeight="1">
      <c r="A1" s="590" t="s">
        <v>91</v>
      </c>
      <c r="B1" s="590"/>
      <c r="C1" s="590"/>
      <c r="D1" s="590"/>
      <c r="E1" s="57" t="s">
        <v>360</v>
      </c>
    </row>
    <row r="2" spans="1:8" s="58" customFormat="1" ht="18" customHeight="1">
      <c r="A2" s="217" t="str">
        <f>Balance!B3</f>
        <v>АКБ"Микрокредитбанк"</v>
      </c>
      <c r="C2" s="216" t="str">
        <f>+Balance!B2</f>
        <v xml:space="preserve"> 31 Декабрь, 2020</v>
      </c>
      <c r="D2" s="164"/>
      <c r="E2" s="215" t="str">
        <f>+Balance!E3</f>
        <v>тыс. сум</v>
      </c>
      <c r="F2" s="313"/>
      <c r="G2" s="313"/>
      <c r="H2" s="313"/>
    </row>
    <row r="3" spans="1:8" ht="26.25" customHeight="1">
      <c r="A3" s="595" t="s">
        <v>92</v>
      </c>
      <c r="B3" s="597" t="s">
        <v>359</v>
      </c>
      <c r="C3" s="593" t="s">
        <v>359</v>
      </c>
      <c r="D3" s="594"/>
      <c r="E3" s="599" t="s">
        <v>94</v>
      </c>
    </row>
    <row r="4" spans="1:8" ht="42.75" customHeight="1">
      <c r="A4" s="596"/>
      <c r="B4" s="598"/>
      <c r="C4" s="54" t="s">
        <v>237</v>
      </c>
      <c r="D4" s="54" t="s">
        <v>238</v>
      </c>
      <c r="E4" s="598"/>
    </row>
    <row r="5" spans="1:8" ht="12.75" customHeight="1">
      <c r="A5" s="165"/>
      <c r="B5" s="165"/>
      <c r="C5" s="178"/>
      <c r="D5" s="178"/>
      <c r="E5" s="165"/>
    </row>
    <row r="6" spans="1:8" s="58" customFormat="1" ht="12.75" customHeight="1">
      <c r="A6" s="248" t="s">
        <v>95</v>
      </c>
      <c r="B6" s="33">
        <f t="shared" ref="B6:B15" si="0">+C6+D6</f>
        <v>0</v>
      </c>
      <c r="C6" s="36"/>
      <c r="D6" s="36"/>
      <c r="E6" s="36"/>
      <c r="F6" s="314"/>
      <c r="G6" s="314"/>
      <c r="H6" s="314"/>
    </row>
    <row r="7" spans="1:8" s="58" customFormat="1" ht="12.75" customHeight="1">
      <c r="A7" s="247" t="s">
        <v>96</v>
      </c>
      <c r="B7" s="33">
        <f t="shared" si="0"/>
        <v>0</v>
      </c>
      <c r="C7" s="36"/>
      <c r="D7" s="36"/>
      <c r="E7" s="36"/>
      <c r="F7" s="314"/>
      <c r="G7" s="314"/>
      <c r="H7" s="314"/>
    </row>
    <row r="8" spans="1:8" s="58" customFormat="1" ht="12.75" customHeight="1">
      <c r="A8" s="247" t="s">
        <v>97</v>
      </c>
      <c r="B8" s="33">
        <f t="shared" si="0"/>
        <v>0</v>
      </c>
      <c r="C8" s="36"/>
      <c r="D8" s="36"/>
      <c r="E8" s="36"/>
      <c r="F8" s="314"/>
      <c r="G8" s="314"/>
      <c r="H8" s="314"/>
    </row>
    <row r="9" spans="1:8" s="58" customFormat="1" ht="12.75" customHeight="1">
      <c r="A9" s="247" t="s">
        <v>98</v>
      </c>
      <c r="B9" s="33">
        <f t="shared" si="0"/>
        <v>0</v>
      </c>
      <c r="C9" s="36"/>
      <c r="D9" s="36"/>
      <c r="E9" s="36"/>
      <c r="F9" s="314"/>
      <c r="G9" s="314"/>
      <c r="H9" s="314"/>
    </row>
    <row r="10" spans="1:8" s="58" customFormat="1" ht="12.75" customHeight="1">
      <c r="A10" s="247" t="s">
        <v>99</v>
      </c>
      <c r="B10" s="33">
        <f t="shared" si="0"/>
        <v>0</v>
      </c>
      <c r="C10" s="36"/>
      <c r="D10" s="36"/>
      <c r="E10" s="36"/>
      <c r="F10" s="314"/>
      <c r="G10" s="314"/>
      <c r="H10" s="314"/>
    </row>
    <row r="11" spans="1:8" s="58" customFormat="1" ht="12.75" customHeight="1">
      <c r="A11" s="247" t="s">
        <v>100</v>
      </c>
      <c r="B11" s="33">
        <f t="shared" si="0"/>
        <v>378924</v>
      </c>
      <c r="C11" s="36">
        <v>378924</v>
      </c>
      <c r="D11" s="36"/>
      <c r="E11" s="36">
        <v>378924</v>
      </c>
      <c r="F11" s="314"/>
      <c r="G11" s="313"/>
      <c r="H11" s="313"/>
    </row>
    <row r="12" spans="1:8" s="58" customFormat="1">
      <c r="A12" s="247" t="s">
        <v>101</v>
      </c>
      <c r="B12" s="33">
        <f t="shared" si="0"/>
        <v>6600000</v>
      </c>
      <c r="C12" s="36">
        <v>6600000</v>
      </c>
      <c r="D12" s="36"/>
      <c r="E12" s="36">
        <v>6600000</v>
      </c>
      <c r="F12" s="314"/>
      <c r="G12" s="313"/>
      <c r="H12" s="313"/>
    </row>
    <row r="13" spans="1:8" s="58" customFormat="1" ht="12.75" customHeight="1">
      <c r="A13" s="254" t="s">
        <v>102</v>
      </c>
      <c r="B13" s="34">
        <f t="shared" si="0"/>
        <v>6978924</v>
      </c>
      <c r="C13" s="34">
        <f>SUM(C6:C12)</f>
        <v>6978924</v>
      </c>
      <c r="D13" s="34">
        <f>SUM(D6:D12)</f>
        <v>0</v>
      </c>
      <c r="E13" s="34">
        <f>SUM(E6:E12)</f>
        <v>6978924</v>
      </c>
      <c r="F13" s="314"/>
      <c r="G13" s="313"/>
      <c r="H13" s="313"/>
    </row>
    <row r="14" spans="1:8" s="58" customFormat="1" ht="12.75" customHeight="1">
      <c r="A14" s="250" t="s">
        <v>103</v>
      </c>
      <c r="B14" s="33">
        <f t="shared" si="0"/>
        <v>271704</v>
      </c>
      <c r="C14" s="553">
        <v>271704</v>
      </c>
      <c r="D14" s="251">
        <v>0</v>
      </c>
      <c r="E14" s="252"/>
      <c r="F14" s="314"/>
      <c r="G14" s="313"/>
      <c r="H14" s="313"/>
    </row>
    <row r="15" spans="1:8" s="58" customFormat="1" ht="17.25" customHeight="1">
      <c r="A15" s="254" t="s">
        <v>104</v>
      </c>
      <c r="B15" s="34">
        <f t="shared" si="0"/>
        <v>6707220</v>
      </c>
      <c r="C15" s="34">
        <f>C13-C14</f>
        <v>6707220</v>
      </c>
      <c r="D15" s="34">
        <f>D13-D14</f>
        <v>0</v>
      </c>
      <c r="E15" s="253"/>
      <c r="F15" s="315">
        <f>+'Bank Assets Analysis'!S34</f>
        <v>6707220</v>
      </c>
      <c r="G15" s="313">
        <f>+'Bank Assets Analysis'!T34</f>
        <v>6707220</v>
      </c>
      <c r="H15" s="313">
        <f>+'Bank Assets Analysis'!U34</f>
        <v>0</v>
      </c>
    </row>
    <row r="16" spans="1:8" ht="12.75" customHeight="1">
      <c r="A16" s="170"/>
      <c r="B16" s="171"/>
      <c r="C16" s="171"/>
      <c r="D16" s="171"/>
      <c r="E16" s="171"/>
      <c r="F16" s="308"/>
      <c r="G16" s="313"/>
      <c r="H16" s="313"/>
    </row>
    <row r="17" spans="1:8" s="58" customFormat="1" ht="38.25" customHeight="1">
      <c r="A17" s="182" t="s">
        <v>105</v>
      </c>
      <c r="B17" s="179" t="s">
        <v>93</v>
      </c>
      <c r="C17" s="54" t="s">
        <v>237</v>
      </c>
      <c r="D17" s="54" t="s">
        <v>238</v>
      </c>
      <c r="E17" s="179" t="s">
        <v>94</v>
      </c>
      <c r="F17" s="316">
        <f>+Balance!C17</f>
        <v>6707220</v>
      </c>
      <c r="G17" s="313">
        <f>+Balance!D17</f>
        <v>6707220</v>
      </c>
      <c r="H17" s="313">
        <f>+Balance!E17</f>
        <v>0</v>
      </c>
    </row>
    <row r="18" spans="1:8" s="58" customFormat="1" ht="12.75" customHeight="1">
      <c r="A18" s="246"/>
      <c r="B18" s="247"/>
      <c r="C18" s="247"/>
      <c r="D18" s="247"/>
      <c r="E18" s="247"/>
      <c r="F18" s="314"/>
      <c r="G18" s="313"/>
      <c r="H18" s="313"/>
    </row>
    <row r="19" spans="1:8" s="58" customFormat="1">
      <c r="A19" s="248" t="s">
        <v>106</v>
      </c>
      <c r="B19" s="33">
        <f t="shared" ref="B19:B29" si="1">+C19+D19</f>
        <v>0</v>
      </c>
      <c r="C19" s="36"/>
      <c r="D19" s="36"/>
      <c r="E19" s="36"/>
      <c r="F19" s="314"/>
      <c r="G19" s="313"/>
      <c r="H19" s="313"/>
    </row>
    <row r="20" spans="1:8" s="58" customFormat="1">
      <c r="A20" s="247" t="s">
        <v>107</v>
      </c>
      <c r="B20" s="33">
        <f t="shared" si="1"/>
        <v>135000000</v>
      </c>
      <c r="C20" s="36">
        <v>135000000</v>
      </c>
      <c r="D20" s="36">
        <v>0</v>
      </c>
      <c r="E20" s="36">
        <v>135000000</v>
      </c>
      <c r="F20" s="314"/>
      <c r="G20" s="313"/>
      <c r="H20" s="313"/>
    </row>
    <row r="21" spans="1:8" s="58" customFormat="1">
      <c r="A21" s="247" t="s">
        <v>108</v>
      </c>
      <c r="B21" s="33">
        <f t="shared" si="1"/>
        <v>0</v>
      </c>
      <c r="C21" s="36"/>
      <c r="D21" s="36"/>
      <c r="E21" s="36"/>
      <c r="F21" s="314"/>
      <c r="G21" s="313"/>
      <c r="H21" s="313"/>
    </row>
    <row r="22" spans="1:8" s="58" customFormat="1">
      <c r="A22" s="247" t="s">
        <v>109</v>
      </c>
      <c r="B22" s="33">
        <f t="shared" si="1"/>
        <v>0</v>
      </c>
      <c r="C22" s="36"/>
      <c r="D22" s="36"/>
      <c r="E22" s="36"/>
      <c r="F22" s="314"/>
      <c r="G22" s="314"/>
      <c r="H22" s="314"/>
    </row>
    <row r="23" spans="1:8" s="58" customFormat="1">
      <c r="A23" s="247" t="s">
        <v>110</v>
      </c>
      <c r="B23" s="33">
        <f t="shared" si="1"/>
        <v>0</v>
      </c>
      <c r="C23" s="36"/>
      <c r="D23" s="36"/>
      <c r="E23" s="36"/>
      <c r="F23" s="314"/>
      <c r="G23" s="314"/>
      <c r="H23" s="314"/>
    </row>
    <row r="24" spans="1:8" s="58" customFormat="1">
      <c r="A24" s="247" t="s">
        <v>111</v>
      </c>
      <c r="B24" s="33">
        <f t="shared" si="1"/>
        <v>0</v>
      </c>
      <c r="C24" s="36"/>
      <c r="D24" s="36"/>
      <c r="E24" s="36"/>
      <c r="F24" s="314"/>
      <c r="G24" s="314"/>
      <c r="H24" s="314"/>
    </row>
    <row r="25" spans="1:8" s="58" customFormat="1">
      <c r="A25" s="247" t="s">
        <v>112</v>
      </c>
      <c r="B25" s="33">
        <f t="shared" si="1"/>
        <v>0</v>
      </c>
      <c r="C25" s="36">
        <v>0</v>
      </c>
      <c r="D25" s="36">
        <v>0</v>
      </c>
      <c r="E25" s="36">
        <v>11874000</v>
      </c>
      <c r="F25" s="314"/>
      <c r="G25" s="314"/>
      <c r="H25" s="314"/>
    </row>
    <row r="26" spans="1:8" s="58" customFormat="1">
      <c r="A26" s="249" t="s">
        <v>113</v>
      </c>
      <c r="B26" s="34">
        <f t="shared" si="1"/>
        <v>135000000</v>
      </c>
      <c r="C26" s="34">
        <f>SUM(C19:C25)</f>
        <v>135000000</v>
      </c>
      <c r="D26" s="34">
        <f>SUM(D19:D25)</f>
        <v>0</v>
      </c>
      <c r="E26" s="34">
        <f>SUM(E19:E25)</f>
        <v>146874000</v>
      </c>
      <c r="F26" s="314"/>
      <c r="G26" s="314"/>
      <c r="H26" s="314"/>
    </row>
    <row r="27" spans="1:8" s="547" customFormat="1">
      <c r="A27" s="545" t="s">
        <v>540</v>
      </c>
      <c r="B27" s="362">
        <f t="shared" si="1"/>
        <v>11874000</v>
      </c>
      <c r="C27" s="36">
        <v>11874000</v>
      </c>
      <c r="D27" s="36"/>
      <c r="E27" s="35"/>
      <c r="F27" s="546"/>
      <c r="G27" s="546"/>
      <c r="H27" s="546"/>
    </row>
    <row r="28" spans="1:8" s="58" customFormat="1">
      <c r="A28" s="543" t="s">
        <v>541</v>
      </c>
      <c r="B28" s="33">
        <f t="shared" si="1"/>
        <v>0</v>
      </c>
      <c r="C28" s="553"/>
      <c r="D28" s="553"/>
      <c r="E28" s="252"/>
      <c r="F28" s="314"/>
      <c r="G28" s="314"/>
      <c r="H28" s="314"/>
    </row>
    <row r="29" spans="1:8" s="58" customFormat="1" ht="32.25" customHeight="1">
      <c r="A29" s="43" t="s">
        <v>542</v>
      </c>
      <c r="B29" s="34">
        <f t="shared" si="1"/>
        <v>146874000</v>
      </c>
      <c r="C29" s="34">
        <f>+C26+C27-C28</f>
        <v>146874000</v>
      </c>
      <c r="D29" s="34">
        <f>+D26+D27-D28</f>
        <v>0</v>
      </c>
      <c r="E29" s="253"/>
      <c r="F29" s="314"/>
      <c r="G29" s="314"/>
      <c r="H29" s="314"/>
    </row>
    <row r="30" spans="1:8" ht="12.75" customHeight="1">
      <c r="A30" s="170"/>
      <c r="B30" s="171"/>
      <c r="C30" s="171"/>
      <c r="D30" s="171"/>
      <c r="E30" s="171"/>
      <c r="F30" s="309"/>
      <c r="G30" s="308"/>
      <c r="H30" s="308"/>
    </row>
    <row r="31" spans="1:8" ht="12.75" customHeight="1">
      <c r="A31" s="172"/>
      <c r="B31" s="172"/>
      <c r="C31" s="172"/>
      <c r="D31" s="172"/>
      <c r="E31" s="172"/>
    </row>
    <row r="32" spans="1:8" ht="12.75" customHeight="1">
      <c r="A32" s="173"/>
      <c r="B32" s="171"/>
      <c r="C32" s="171"/>
      <c r="D32" s="171"/>
      <c r="E32" s="171"/>
      <c r="F32" s="308"/>
      <c r="G32" s="308"/>
      <c r="H32" s="308"/>
    </row>
    <row r="33" spans="1:8" s="181" customFormat="1" ht="42" customHeight="1">
      <c r="A33" s="180" t="s">
        <v>114</v>
      </c>
      <c r="B33" s="179" t="s">
        <v>115</v>
      </c>
      <c r="C33" s="54" t="s">
        <v>237</v>
      </c>
      <c r="D33" s="54" t="s">
        <v>238</v>
      </c>
      <c r="E33" s="179" t="s">
        <v>94</v>
      </c>
      <c r="F33" s="317"/>
      <c r="G33" s="317"/>
      <c r="H33" s="317"/>
    </row>
    <row r="34" spans="1:8" ht="12.75" customHeight="1">
      <c r="A34" s="174"/>
      <c r="B34" s="174"/>
      <c r="C34" s="174"/>
      <c r="D34" s="174"/>
      <c r="E34" s="174"/>
      <c r="F34" s="308"/>
      <c r="G34" s="308"/>
      <c r="H34" s="308"/>
    </row>
    <row r="35" spans="1:8" ht="12.75" customHeight="1">
      <c r="A35" s="174" t="s">
        <v>116</v>
      </c>
      <c r="B35" s="4">
        <f t="shared" ref="B35:B40" si="2">+C35+D35</f>
        <v>0</v>
      </c>
      <c r="C35" s="36"/>
      <c r="D35" s="36"/>
      <c r="E35" s="36"/>
      <c r="F35" s="308"/>
      <c r="G35" s="308"/>
      <c r="H35" s="308"/>
    </row>
    <row r="36" spans="1:8" ht="12.75" customHeight="1">
      <c r="A36" s="174" t="s">
        <v>117</v>
      </c>
      <c r="B36" s="4">
        <f t="shared" si="2"/>
        <v>0</v>
      </c>
      <c r="C36" s="36"/>
      <c r="D36" s="36"/>
      <c r="E36" s="36"/>
      <c r="F36" s="308"/>
      <c r="G36" s="308"/>
      <c r="H36" s="308"/>
    </row>
    <row r="37" spans="1:8" ht="12.75" customHeight="1">
      <c r="A37" s="174" t="s">
        <v>118</v>
      </c>
      <c r="B37" s="4">
        <f t="shared" si="2"/>
        <v>175</v>
      </c>
      <c r="C37" s="36">
        <v>175</v>
      </c>
      <c r="D37" s="36">
        <v>0</v>
      </c>
      <c r="E37" s="36">
        <v>175</v>
      </c>
      <c r="F37" s="308"/>
      <c r="G37" s="308"/>
      <c r="H37" s="308"/>
    </row>
    <row r="38" spans="1:8" ht="12.75" customHeight="1">
      <c r="A38" s="340" t="s">
        <v>437</v>
      </c>
      <c r="B38" s="4">
        <f t="shared" si="2"/>
        <v>175</v>
      </c>
      <c r="C38" s="4">
        <f>SUM(C35:C37)</f>
        <v>175</v>
      </c>
      <c r="D38" s="4">
        <f>SUM(D35:D37)</f>
        <v>0</v>
      </c>
      <c r="E38" s="4">
        <f>SUM(E35:E37)</f>
        <v>175</v>
      </c>
      <c r="F38" s="308"/>
      <c r="G38" s="308"/>
      <c r="H38" s="308"/>
    </row>
    <row r="39" spans="1:8" ht="12.75" customHeight="1">
      <c r="A39" s="341" t="s">
        <v>438</v>
      </c>
      <c r="B39" s="4">
        <f t="shared" si="2"/>
        <v>0</v>
      </c>
      <c r="C39" s="167"/>
      <c r="D39" s="167"/>
      <c r="E39" s="168"/>
      <c r="F39" s="308"/>
      <c r="G39" s="308"/>
      <c r="H39" s="308"/>
    </row>
    <row r="40" spans="1:8" ht="25.5">
      <c r="A40" s="342" t="s">
        <v>439</v>
      </c>
      <c r="B40" s="166">
        <f t="shared" si="2"/>
        <v>175</v>
      </c>
      <c r="C40" s="166">
        <f>C38-C39</f>
        <v>175</v>
      </c>
      <c r="D40" s="166">
        <f>D38-D39</f>
        <v>0</v>
      </c>
      <c r="E40" s="169"/>
      <c r="F40" s="308"/>
      <c r="G40" s="308"/>
      <c r="H40" s="308"/>
    </row>
    <row r="41" spans="1:8" ht="12.75" customHeight="1">
      <c r="A41" s="69"/>
      <c r="B41" s="27"/>
      <c r="C41" s="27"/>
      <c r="D41" s="27"/>
      <c r="E41" s="27"/>
    </row>
    <row r="42" spans="1:8" ht="12.75" customHeight="1">
      <c r="A42" s="175" t="s">
        <v>90</v>
      </c>
      <c r="B42" s="176"/>
      <c r="C42" s="176"/>
      <c r="D42" s="176"/>
      <c r="E42" s="27"/>
      <c r="F42" s="318"/>
    </row>
    <row r="43" spans="1:8" ht="12.75" customHeight="1">
      <c r="A43" s="177" t="s">
        <v>119</v>
      </c>
      <c r="B43" s="11"/>
      <c r="C43" s="11"/>
      <c r="D43" s="11"/>
      <c r="E43" s="27"/>
      <c r="F43" s="308"/>
    </row>
    <row r="44" spans="1:8" ht="12.75" customHeight="1">
      <c r="A44" s="175" t="s">
        <v>120</v>
      </c>
      <c r="B44" s="176"/>
      <c r="C44" s="176"/>
      <c r="D44" s="176"/>
      <c r="E44" s="27"/>
      <c r="F44" s="318"/>
    </row>
    <row r="45" spans="1:8" ht="12.75" customHeight="1">
      <c r="A45" s="174" t="s">
        <v>121</v>
      </c>
      <c r="B45" s="11">
        <f>E13-B13</f>
        <v>0</v>
      </c>
      <c r="C45" s="11"/>
      <c r="D45" s="11"/>
      <c r="E45" s="27"/>
      <c r="F45" s="308"/>
    </row>
    <row r="46" spans="1:8" ht="12.75" customHeight="1">
      <c r="A46" s="175" t="s">
        <v>122</v>
      </c>
      <c r="B46" s="176"/>
      <c r="C46" s="176"/>
      <c r="D46" s="176"/>
      <c r="E46" s="27"/>
      <c r="F46" s="318"/>
    </row>
    <row r="47" spans="1:8" ht="12.75" customHeight="1">
      <c r="A47" s="174" t="s">
        <v>121</v>
      </c>
      <c r="B47" s="11">
        <f>E26-B26</f>
        <v>11874000</v>
      </c>
      <c r="C47" s="11"/>
      <c r="D47" s="11"/>
      <c r="E47" s="27"/>
      <c r="F47" s="308"/>
    </row>
    <row r="48" spans="1:8" ht="12.75" customHeight="1">
      <c r="A48" s="175" t="s">
        <v>123</v>
      </c>
      <c r="B48" s="176"/>
      <c r="C48" s="176"/>
      <c r="D48" s="176"/>
      <c r="E48" s="27"/>
      <c r="F48" s="318"/>
    </row>
    <row r="49" spans="1:8" ht="12.75" customHeight="1">
      <c r="A49" s="174" t="s">
        <v>121</v>
      </c>
      <c r="B49" s="11">
        <f>E38-B38</f>
        <v>0</v>
      </c>
      <c r="C49" s="11"/>
      <c r="D49" s="11"/>
      <c r="E49" s="27"/>
      <c r="F49" s="308"/>
    </row>
    <row r="50" spans="1:8" ht="12.75" customHeight="1">
      <c r="F50" s="59"/>
      <c r="G50" s="59"/>
      <c r="H50" s="59"/>
    </row>
    <row r="51" spans="1:8" ht="12.75" customHeight="1">
      <c r="F51" s="59"/>
      <c r="G51" s="59"/>
      <c r="H51" s="59"/>
    </row>
    <row r="52" spans="1:8" ht="12.75" customHeight="1">
      <c r="A52" s="5" t="s">
        <v>4</v>
      </c>
      <c r="F52" s="59"/>
      <c r="G52" s="59"/>
      <c r="H52" s="59"/>
    </row>
    <row r="53" spans="1:8" ht="12.75" customHeight="1">
      <c r="A53" s="5"/>
      <c r="F53" s="59"/>
      <c r="G53" s="59"/>
      <c r="H53" s="59"/>
    </row>
    <row r="54" spans="1:8" ht="12.75" customHeight="1">
      <c r="A54" s="5" t="s">
        <v>5</v>
      </c>
      <c r="F54" s="59"/>
      <c r="G54" s="59"/>
      <c r="H54" s="59"/>
    </row>
  </sheetData>
  <sheetProtection password="CACA" sheet="1" objects="1" scenarios="1"/>
  <mergeCells count="5">
    <mergeCell ref="C3:D3"/>
    <mergeCell ref="A3:A4"/>
    <mergeCell ref="B3:B4"/>
    <mergeCell ref="E3:E4"/>
    <mergeCell ref="A1:D1"/>
  </mergeCells>
  <phoneticPr fontId="14" type="noConversion"/>
  <dataValidations count="2">
    <dataValidation type="whole" operator="greaterThanOrEqual" allowBlank="1" showErrorMessage="1" error="Введите как целое число." sqref="B39 C19:E24 B19:B25 B14 B27:B28 B35:E37 B6:E12">
      <formula1>0</formula1>
    </dataValidation>
    <dataValidation type="whole" operator="greaterThanOrEqual" allowBlank="1" showInputMessage="1" showErrorMessage="1" prompt="Ввести как положительное число." sqref="C28:D28 C39:D39 C14:D14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2020-05-07T06:48:51Z</cp:lastPrinted>
  <dcterms:created xsi:type="dcterms:W3CDTF">2014-01-27T05:06:32Z</dcterms:created>
  <dcterms:modified xsi:type="dcterms:W3CDTF">2022-10-19T13:07:53Z</dcterms:modified>
</cp:coreProperties>
</file>