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M:\Tahlil va hisobotlar\4.С.Ахмедов\Азамат ака\01,01,2021\"/>
    </mc:Choice>
  </mc:AlternateContent>
  <workbookProtection workbookPassword="CB5C" lockStructure="1"/>
  <bookViews>
    <workbookView xWindow="0" yWindow="0" windowWidth="28800" windowHeight="12330" tabRatio="889"/>
  </bookViews>
  <sheets>
    <sheet name="Bank Capital Calc" sheetId="27" r:id="rId1"/>
    <sheet name="Bank Capital Calc (2)" sheetId="41" state="hidden" r:id="rId2"/>
    <sheet name="Calculation of Risk Weighted As" sheetId="5" r:id="rId3"/>
    <sheet name="Calculation of Risk Weighte нац" sheetId="38" r:id="rId4"/>
    <sheet name="Calculation of Risk Weighte ин" sheetId="39" r:id="rId5"/>
    <sheet name="Calculation of Risk" sheetId="23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TwentyLargestData" localSheetId="1">#REF!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">#REF!</definedName>
    <definedName name="_xlnm.Print_Area" localSheetId="0">'Bank Capital Calc'!$A$1:$C$60</definedName>
    <definedName name="_xlnm.Print_Area" localSheetId="1">'Bank Capital Calc (2)'!$A$1:$C$55</definedName>
    <definedName name="_xlnm.Print_Area" localSheetId="5">'Calculation of Risk'!$A$1:$C$33</definedName>
    <definedName name="_xlnm.Print_Area" localSheetId="4">'Calculation of Risk Weighte ин'!$A$1:$J$82</definedName>
    <definedName name="_xlnm.Print_Area" localSheetId="3">'Calculation of Risk Weighte нац'!$A$1:$J$82</definedName>
    <definedName name="_xlnm.Print_Area" localSheetId="2">'Calculation of Risk Weighted As'!$A$1:$J$82</definedName>
  </definedNames>
  <calcPr calcId="162913"/>
</workbook>
</file>

<file path=xl/calcChain.xml><?xml version="1.0" encoding="utf-8"?>
<calcChain xmlns="http://schemas.openxmlformats.org/spreadsheetml/2006/main">
  <c r="J31" i="38" l="1"/>
  <c r="J47" i="38" s="1"/>
  <c r="J48" i="38" s="1"/>
  <c r="I30" i="38"/>
  <c r="H30" i="38"/>
  <c r="J31" i="5"/>
  <c r="J31" i="39" s="1"/>
  <c r="H30" i="5"/>
  <c r="H47" i="5" s="1"/>
  <c r="H48" i="5" s="1"/>
  <c r="I30" i="5"/>
  <c r="I30" i="39" s="1"/>
  <c r="L76" i="39"/>
  <c r="K35" i="39"/>
  <c r="K34" i="39"/>
  <c r="K35" i="5"/>
  <c r="K34" i="5"/>
  <c r="L76" i="38"/>
  <c r="K35" i="38"/>
  <c r="K34" i="38"/>
  <c r="F37" i="27"/>
  <c r="F38" i="27" s="1"/>
  <c r="H35" i="39"/>
  <c r="D9" i="39"/>
  <c r="D10" i="39"/>
  <c r="D11" i="39"/>
  <c r="E11" i="39"/>
  <c r="E47" i="39" s="1"/>
  <c r="E48" i="39" s="1"/>
  <c r="F11" i="39"/>
  <c r="G11" i="39"/>
  <c r="H11" i="39"/>
  <c r="C13" i="39"/>
  <c r="C14" i="39"/>
  <c r="D15" i="39"/>
  <c r="F15" i="39"/>
  <c r="C16" i="39"/>
  <c r="G16" i="39"/>
  <c r="C17" i="39"/>
  <c r="D18" i="39"/>
  <c r="D19" i="39"/>
  <c r="F19" i="39"/>
  <c r="C20" i="39"/>
  <c r="D21" i="39"/>
  <c r="C23" i="39"/>
  <c r="D23" i="39"/>
  <c r="C24" i="39"/>
  <c r="D25" i="39"/>
  <c r="C26" i="39"/>
  <c r="F26" i="39"/>
  <c r="G26" i="39"/>
  <c r="G27" i="39"/>
  <c r="G28" i="39"/>
  <c r="H29" i="39"/>
  <c r="C30" i="39"/>
  <c r="G30" i="39"/>
  <c r="H30" i="39"/>
  <c r="H47" i="39" s="1"/>
  <c r="H48" i="39" s="1"/>
  <c r="J30" i="39"/>
  <c r="C31" i="39"/>
  <c r="C32" i="39"/>
  <c r="G32" i="39"/>
  <c r="H32" i="39"/>
  <c r="I32" i="39"/>
  <c r="J32" i="39"/>
  <c r="G33" i="39"/>
  <c r="H34" i="39"/>
  <c r="J34" i="39"/>
  <c r="J35" i="39"/>
  <c r="G36" i="39"/>
  <c r="G38" i="39"/>
  <c r="G39" i="39"/>
  <c r="H40" i="39"/>
  <c r="H41" i="39"/>
  <c r="C42" i="39"/>
  <c r="G43" i="39"/>
  <c r="H45" i="39"/>
  <c r="C46" i="39"/>
  <c r="G46" i="39"/>
  <c r="C53" i="27"/>
  <c r="C3" i="23"/>
  <c r="B2" i="23" s="1"/>
  <c r="E7" i="23" s="1"/>
  <c r="G2" i="39"/>
  <c r="G2" i="38"/>
  <c r="G2" i="5"/>
  <c r="B3" i="23"/>
  <c r="B2" i="39"/>
  <c r="B2" i="38"/>
  <c r="B2" i="5"/>
  <c r="C19" i="27"/>
  <c r="C55" i="27" s="1"/>
  <c r="E47" i="38"/>
  <c r="E48" i="38" s="1"/>
  <c r="E47" i="5"/>
  <c r="E48" i="5" s="1"/>
  <c r="C8" i="39"/>
  <c r="C52" i="41"/>
  <c r="C25" i="41"/>
  <c r="C31" i="41" s="1"/>
  <c r="C54" i="41"/>
  <c r="C3" i="41"/>
  <c r="B3" i="41"/>
  <c r="I75" i="39"/>
  <c r="H75" i="39"/>
  <c r="G75" i="39"/>
  <c r="F75" i="39"/>
  <c r="I74" i="39"/>
  <c r="H74" i="39"/>
  <c r="G74" i="39"/>
  <c r="F74" i="39"/>
  <c r="I73" i="39"/>
  <c r="H73" i="39"/>
  <c r="G73" i="39"/>
  <c r="F73" i="39"/>
  <c r="I71" i="39"/>
  <c r="H71" i="39"/>
  <c r="J71" i="39" s="1"/>
  <c r="G71" i="39"/>
  <c r="F71" i="39"/>
  <c r="I70" i="39"/>
  <c r="H70" i="39"/>
  <c r="G70" i="39"/>
  <c r="F70" i="39"/>
  <c r="I69" i="39"/>
  <c r="H69" i="39"/>
  <c r="G69" i="39"/>
  <c r="F69" i="39"/>
  <c r="F66" i="39"/>
  <c r="I66" i="39"/>
  <c r="I65" i="39"/>
  <c r="H65" i="39"/>
  <c r="J65" i="39" s="1"/>
  <c r="G65" i="39"/>
  <c r="F65" i="39"/>
  <c r="I64" i="39"/>
  <c r="H64" i="39"/>
  <c r="G64" i="39"/>
  <c r="F64" i="39"/>
  <c r="I63" i="39"/>
  <c r="H63" i="39"/>
  <c r="G63" i="39"/>
  <c r="F63" i="39"/>
  <c r="I61" i="39"/>
  <c r="F61" i="39"/>
  <c r="I60" i="39"/>
  <c r="J60" i="39" s="1"/>
  <c r="H60" i="39"/>
  <c r="G60" i="39"/>
  <c r="F60" i="39"/>
  <c r="I59" i="39"/>
  <c r="H59" i="39"/>
  <c r="J59" i="39" s="1"/>
  <c r="G59" i="39"/>
  <c r="F59" i="39"/>
  <c r="I58" i="39"/>
  <c r="H58" i="39"/>
  <c r="G58" i="39"/>
  <c r="F58" i="39"/>
  <c r="J69" i="39"/>
  <c r="J61" i="39"/>
  <c r="I76" i="38"/>
  <c r="H76" i="38"/>
  <c r="G76" i="38"/>
  <c r="F76" i="38"/>
  <c r="J75" i="38"/>
  <c r="J74" i="38"/>
  <c r="J73" i="38"/>
  <c r="J71" i="38"/>
  <c r="J70" i="38"/>
  <c r="J69" i="38"/>
  <c r="J66" i="38"/>
  <c r="J65" i="38"/>
  <c r="J64" i="38"/>
  <c r="J63" i="38"/>
  <c r="J61" i="38"/>
  <c r="J60" i="38"/>
  <c r="J59" i="38"/>
  <c r="J58" i="38"/>
  <c r="I47" i="38"/>
  <c r="I48" i="38" s="1"/>
  <c r="H47" i="38"/>
  <c r="H48" i="38" s="1"/>
  <c r="G47" i="38"/>
  <c r="G48" i="38" s="1"/>
  <c r="F47" i="38"/>
  <c r="F48" i="38" s="1"/>
  <c r="C26" i="23"/>
  <c r="D26" i="23" s="1"/>
  <c r="C44" i="5"/>
  <c r="C44" i="39" s="1"/>
  <c r="J65" i="5"/>
  <c r="J64" i="5"/>
  <c r="J66" i="5"/>
  <c r="J63" i="5"/>
  <c r="J61" i="5"/>
  <c r="C26" i="27"/>
  <c r="C32" i="27" s="1"/>
  <c r="C7" i="27"/>
  <c r="D47" i="38"/>
  <c r="D48" i="38" s="1"/>
  <c r="C47" i="38"/>
  <c r="C15" i="23"/>
  <c r="C10" i="23"/>
  <c r="C5" i="23"/>
  <c r="C11" i="27"/>
  <c r="J75" i="5"/>
  <c r="I76" i="5"/>
  <c r="K76" i="5" s="1"/>
  <c r="H76" i="5"/>
  <c r="G76" i="5"/>
  <c r="F76" i="5"/>
  <c r="J74" i="5"/>
  <c r="J73" i="5"/>
  <c r="J71" i="5"/>
  <c r="J70" i="5"/>
  <c r="J69" i="5"/>
  <c r="J60" i="5"/>
  <c r="J59" i="5"/>
  <c r="J58" i="5"/>
  <c r="D47" i="5"/>
  <c r="D48" i="5" s="1"/>
  <c r="J47" i="5"/>
  <c r="J48" i="5" s="1"/>
  <c r="F47" i="5"/>
  <c r="F48" i="5" s="1"/>
  <c r="G47" i="5"/>
  <c r="G48" i="5" s="1"/>
  <c r="C20" i="23"/>
  <c r="C21" i="23" s="1"/>
  <c r="E46" i="41"/>
  <c r="C51" i="41"/>
  <c r="F76" i="39" l="1"/>
  <c r="G76" i="39"/>
  <c r="H76" i="39"/>
  <c r="J75" i="39"/>
  <c r="J64" i="39"/>
  <c r="F47" i="39"/>
  <c r="F48" i="39" s="1"/>
  <c r="J73" i="39"/>
  <c r="C18" i="27"/>
  <c r="C24" i="27" s="1"/>
  <c r="C33" i="27" s="1"/>
  <c r="C53" i="41"/>
  <c r="J74" i="39"/>
  <c r="C47" i="5"/>
  <c r="J63" i="39"/>
  <c r="D47" i="39"/>
  <c r="D48" i="39" s="1"/>
  <c r="J47" i="39"/>
  <c r="J48" i="39" s="1"/>
  <c r="I76" i="39"/>
  <c r="K76" i="39" s="1"/>
  <c r="M76" i="39" s="1"/>
  <c r="J77" i="5"/>
  <c r="C54" i="27"/>
  <c r="C51" i="27" s="1"/>
  <c r="K47" i="38"/>
  <c r="I47" i="5"/>
  <c r="I48" i="5" s="1"/>
  <c r="K76" i="38"/>
  <c r="M76" i="38" s="1"/>
  <c r="J70" i="39"/>
  <c r="G47" i="39"/>
  <c r="G48" i="39" s="1"/>
  <c r="C27" i="23"/>
  <c r="J49" i="38"/>
  <c r="I47" i="39"/>
  <c r="I48" i="39" s="1"/>
  <c r="C47" i="39"/>
  <c r="K47" i="39" s="1"/>
  <c r="J66" i="39"/>
  <c r="J58" i="39"/>
  <c r="J77" i="39" s="1"/>
  <c r="J77" i="38"/>
  <c r="J78" i="38" s="1"/>
  <c r="K78" i="38" s="1"/>
  <c r="L76" i="5"/>
  <c r="M76" i="5" s="1"/>
  <c r="K47" i="5"/>
  <c r="C46" i="27"/>
  <c r="C45" i="41"/>
  <c r="J49" i="5"/>
  <c r="B10" i="23"/>
  <c r="B5" i="23"/>
  <c r="B15" i="23"/>
  <c r="J78" i="5" l="1"/>
  <c r="C45" i="27" s="1"/>
  <c r="C44" i="27" s="1"/>
  <c r="C56" i="27"/>
  <c r="J49" i="39"/>
  <c r="J78" i="39" s="1"/>
  <c r="K78" i="39" s="1"/>
  <c r="C47" i="27"/>
  <c r="C46" i="41"/>
  <c r="L47" i="38"/>
  <c r="M47" i="38" s="1"/>
  <c r="D52" i="41" l="1"/>
  <c r="C44" i="41"/>
  <c r="C43" i="41" s="1"/>
  <c r="C35" i="41" s="1"/>
  <c r="C40" i="41" s="1"/>
  <c r="D53" i="27"/>
  <c r="K78" i="5"/>
  <c r="L47" i="5"/>
  <c r="M47" i="5" s="1"/>
  <c r="L47" i="39"/>
  <c r="M47" i="39" s="1"/>
  <c r="C48" i="27"/>
  <c r="C36" i="27"/>
  <c r="C41" i="27" s="1"/>
  <c r="C40" i="27" s="1"/>
  <c r="C49" i="27"/>
  <c r="C42" i="27" l="1"/>
  <c r="C43" i="27"/>
  <c r="C50" i="27" s="1"/>
</calcChain>
</file>

<file path=xl/sharedStrings.xml><?xml version="1.0" encoding="utf-8"?>
<sst xmlns="http://schemas.openxmlformats.org/spreadsheetml/2006/main" count="784" uniqueCount="246">
  <si>
    <t>Подпись Председателя правления:</t>
  </si>
  <si>
    <t>Подпись Главного Бухгалтера: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</si>
  <si>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</si>
  <si>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</si>
  <si>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</si>
  <si>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</si>
  <si>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</si>
  <si>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</si>
  <si>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</si>
  <si>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</si>
  <si>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</si>
  <si>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</si>
  <si>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</si>
  <si>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</si>
  <si>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Недвижимое имущество банка, которым банк не пользуется более двух лет</t>
  </si>
  <si>
    <t>Реструктуризированные кредиты и кредиты в статусе "ненаращивания"</t>
  </si>
  <si>
    <t>Кредиты, по которым банк не имеет приоритетного права на залог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</si>
  <si>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</si>
  <si>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</si>
  <si>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прямые требования к Правительству и Центральному банку Республики Узбекистан</t>
  </si>
  <si>
    <t>Основные средств и другое собственное имущество банка</t>
  </si>
  <si>
    <t>Просроченные кредиты и лизинги, чистые</t>
  </si>
  <si>
    <t>а)</t>
  </si>
  <si>
    <t>б)</t>
  </si>
  <si>
    <t>Наименование показателя</t>
  </si>
  <si>
    <t xml:space="preserve">процентные доходы </t>
  </si>
  <si>
    <t>б.</t>
  </si>
  <si>
    <t xml:space="preserve">процентные расходы </t>
  </si>
  <si>
    <t>в.</t>
  </si>
  <si>
    <t xml:space="preserve"> РАСЧЕТ ПО ОПЕРАЦИОННЫМ И РЫНОЧНЫМ РИСКАМ</t>
  </si>
  <si>
    <t>Открытая валютная позиция, всего</t>
  </si>
  <si>
    <t>Активы для расчета левеража</t>
  </si>
  <si>
    <t>Счета валютной позиции (счет 17101 (сумавая часть))</t>
  </si>
  <si>
    <t>в)</t>
  </si>
  <si>
    <t>г)</t>
  </si>
  <si>
    <t>д)</t>
  </si>
  <si>
    <t>е)</t>
  </si>
  <si>
    <t>ж)</t>
  </si>
  <si>
    <t>Средний валовый доход банка
(за последние три года)</t>
  </si>
  <si>
    <t xml:space="preserve">Сумма операционных рисков </t>
  </si>
  <si>
    <t xml:space="preserve">Сумма рыночных рисков </t>
  </si>
  <si>
    <t>Действуюший минимальное требование к достаточности капитала</t>
  </si>
  <si>
    <t>Итого капитала Уровня II</t>
  </si>
  <si>
    <t xml:space="preserve">Пересмотренные или пролонгированные кредиты и лизинги более одного раза </t>
  </si>
  <si>
    <t>СКОРРЕКТИРОВАННЫЙ КАПИТАЛ УРОВНЯ II</t>
  </si>
  <si>
    <t>IX</t>
  </si>
  <si>
    <t>X</t>
  </si>
  <si>
    <t>XI</t>
  </si>
  <si>
    <t>22.</t>
  </si>
  <si>
    <t>23.</t>
  </si>
  <si>
    <t xml:space="preserve">Кредиты и другие активы или их части, обеспеченные наличными деньгами, хранящимися на отдельном блокированном депозитном счете. </t>
  </si>
  <si>
    <t xml:space="preserve">Общие активы </t>
  </si>
  <si>
    <t>Коэффициент левеража</t>
  </si>
  <si>
    <t>Активы, обеспеченные ценными бумагами выпущенными банками зарегистрированными в странах с низким уровнем риска</t>
  </si>
  <si>
    <t xml:space="preserve">Активы или их части, обеспеченные залогом в виде ценных бумаг, оцененных по текущей рыночной стоимости и эмитированных международными финансовыми институтами </t>
  </si>
  <si>
    <t>Недвижимое имущество принятое на баланс банка в целях полного или частичного погащения задолженности</t>
  </si>
  <si>
    <t>Все требования банка, деноминированные в местную валюту стран не входящих в группу стран с низким уровнем риска, к Центральным банкам и центральным правительствам этих стран</t>
  </si>
  <si>
    <t>Активы или их части, обеспеченные ценными бумагами, которые оцененные по текущей рыночной стоимости и выпущенными или гарантированными Правительством Республики Узбекистан, Центральным банком Республики Узбекистан или Правительствами стран с низким уровнем риска.</t>
  </si>
  <si>
    <t>Кредиты на недвижимость обеспеченные приобретаемым или строящимся домом (квартирой)</t>
  </si>
  <si>
    <t>Продажа на условиях Своп и Форвард (счет 92709, 92732)</t>
  </si>
  <si>
    <t>Покупка на условиях Своп и Форвард (счет 92716, 92736)</t>
  </si>
  <si>
    <t>Ценные бумаги, выпущенные правительствами и центральными банками стран, с низким уровня риска, а также другие требования к центральным банкам и правительствам этих стран</t>
  </si>
  <si>
    <t>Характеристики</t>
  </si>
  <si>
    <t>(A)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</si>
  <si>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</si>
  <si>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</si>
  <si>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</si>
  <si>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</si>
  <si>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</si>
  <si>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</si>
  <si>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</si>
  <si>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</si>
  <si>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</si>
  <si>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</si>
  <si>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</si>
  <si>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</si>
  <si>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</si>
  <si>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</si>
  <si>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</si>
  <si>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</si>
  <si>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</si>
  <si>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</si>
  <si>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</si>
  <si>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</si>
  <si>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</si>
  <si>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</si>
  <si>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</si>
  <si>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</si>
  <si>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</si>
  <si>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 xml:space="preserve">                  РАСЧЕТ АКТИВОВ ВЗВЕШЕННЫХ С УЧЕТОМ РИСКА</t>
  </si>
  <si>
    <t>№</t>
  </si>
  <si>
    <t>Риск</t>
  </si>
  <si>
    <t>(Д)</t>
  </si>
  <si>
    <t>(Е)</t>
  </si>
  <si>
    <t>Балансовые Активы</t>
  </si>
  <si>
    <t>1.</t>
  </si>
  <si>
    <t xml:space="preserve">Касса (наличность и монеты) и Драгоценные металлы </t>
  </si>
  <si>
    <t xml:space="preserve">Денежная наличность и другие платежные документы в пути  </t>
  </si>
  <si>
    <t xml:space="preserve">Корреспондентские и резервные счета в ЦБРУ </t>
  </si>
  <si>
    <t>а.</t>
  </si>
  <si>
    <t>Рыночные ценные бумаги, чистые</t>
  </si>
  <si>
    <t xml:space="preserve">Ценные бумаги, выпущенные Правительством Республики Узбекистан и ЦБРУ  </t>
  </si>
  <si>
    <t>Другие ценные бумаги</t>
  </si>
  <si>
    <t xml:space="preserve">Кредиты и лизинги, чистые </t>
  </si>
  <si>
    <t xml:space="preserve">Кредиты и лизинги в судебном разбирательстве, чистые </t>
  </si>
  <si>
    <t>Основные средства, используемые в банковской деятельности (минус амортизация)</t>
  </si>
  <si>
    <t>Инвестиции в капитал неконсолидированных банковских и небанковских финансовых дочерних компаний и всех нефинансовых предприятий</t>
  </si>
  <si>
    <t>Все другие инвестиции, чистые</t>
  </si>
  <si>
    <t xml:space="preserve">Нематериальные активы, включая гудвилл </t>
  </si>
  <si>
    <t>Другие активы  в судебном разбирательстве и не взысканные в установленном порядке</t>
  </si>
  <si>
    <t>Другие активы, чистые</t>
  </si>
  <si>
    <t>Общая сумма балансовых активов согласно Инструкции</t>
  </si>
  <si>
    <t>Общая сумма балансовых рисковых активов, по группам риска</t>
  </si>
  <si>
    <t>Общая сумма балансовых рисковых активов</t>
  </si>
  <si>
    <t>Фактор пересчета кредита</t>
  </si>
  <si>
    <t>Значение риска</t>
  </si>
  <si>
    <t>(Ж)</t>
  </si>
  <si>
    <t>Забалансовые Активы</t>
  </si>
  <si>
    <t>Обязательства по выдаче кредита</t>
  </si>
  <si>
    <t>Более одного года</t>
  </si>
  <si>
    <t>Год и менее</t>
  </si>
  <si>
    <t xml:space="preserve">Гарантии и поручительства </t>
  </si>
  <si>
    <t>Аккредитивы</t>
  </si>
  <si>
    <t>Прямые кредитные заменители</t>
  </si>
  <si>
    <t>Связанные со сделками</t>
  </si>
  <si>
    <t xml:space="preserve">Форврдные котракты, свопы, опционы и подобные обязательства </t>
  </si>
  <si>
    <t>Контракты по процентной ставке</t>
  </si>
  <si>
    <t>а1</t>
  </si>
  <si>
    <t>а2</t>
  </si>
  <si>
    <t>а3</t>
  </si>
  <si>
    <t>б1</t>
  </si>
  <si>
    <t>б2</t>
  </si>
  <si>
    <t>б3</t>
  </si>
  <si>
    <t xml:space="preserve">Общая сумма забалансовых активов </t>
  </si>
  <si>
    <t xml:space="preserve">Общая сумма забалансовых активов, взвешенных с учетом риска </t>
  </si>
  <si>
    <t xml:space="preserve">Общая сумма активов, взвешенных с учетом риска </t>
  </si>
  <si>
    <t>(З)</t>
  </si>
  <si>
    <t>(И)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</si>
  <si>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</si>
  <si>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</si>
  <si>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</si>
  <si>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</si>
  <si>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</si>
  <si>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</si>
  <si>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</si>
  <si>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</si>
  <si>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</si>
  <si>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</si>
  <si>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</si>
  <si>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</si>
  <si>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</si>
  <si>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</si>
  <si>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</si>
  <si>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</si>
  <si>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</si>
  <si>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</si>
  <si>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10.</t>
  </si>
  <si>
    <t>11.</t>
  </si>
  <si>
    <t>Формула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</si>
  <si>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</si>
  <si>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</si>
  <si>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</si>
  <si>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</si>
  <si>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</si>
  <si>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</si>
  <si>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</si>
  <si>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</si>
  <si>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</si>
  <si>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</si>
  <si>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</si>
  <si>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</si>
  <si>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</si>
  <si>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</si>
  <si>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</si>
  <si>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</si>
  <si>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</si>
  <si>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</si>
  <si>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</si>
  <si>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</si>
  <si>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</si>
  <si>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</si>
  <si>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</si>
  <si>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</si>
  <si>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</si>
  <si>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</si>
  <si>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</si>
  <si>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</si>
  <si>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</si>
  <si>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</si>
  <si>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</si>
  <si>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</si>
  <si>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</si>
  <si>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</si>
  <si>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</si>
  <si>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</si>
  <si>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</si>
  <si>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</si>
  <si>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</si>
  <si>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</si>
  <si>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</si>
  <si>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тыс. сум</t>
  </si>
  <si>
    <t xml:space="preserve">Ценные бумаги, выпущенные банками стран, с низким уровнем риска </t>
  </si>
  <si>
    <t>з)</t>
  </si>
  <si>
    <t>Другие аккредитивы</t>
  </si>
  <si>
    <t xml:space="preserve">беспроцентные доходы </t>
  </si>
  <si>
    <t xml:space="preserve">беспроцентные расходы </t>
  </si>
  <si>
    <t>г.</t>
  </si>
  <si>
    <t>Резервы созданные по стандартным активам</t>
  </si>
  <si>
    <t>Таблица-5</t>
  </si>
  <si>
    <t xml:space="preserve">Таблица-6 </t>
  </si>
  <si>
    <t xml:space="preserve">Другое банковское собственное имущество </t>
  </si>
  <si>
    <t>Таблица-6А</t>
  </si>
  <si>
    <t>РАСЧЕТ РЕГУЛЯТИВНОГО КАПИТАЛА БАНКА</t>
  </si>
  <si>
    <t>Требования банка к международным финансовым организациям, а также активы, гарантированные  этими организациями</t>
  </si>
  <si>
    <t xml:space="preserve">Гарантированные кредиты международными кредитными организациями </t>
  </si>
  <si>
    <t xml:space="preserve">Финансовый лизинг, чистые </t>
  </si>
  <si>
    <t>и)</t>
  </si>
  <si>
    <t>Кредиты, выданные юридическим лицам на покупку автомобиля</t>
  </si>
  <si>
    <t>к)</t>
  </si>
  <si>
    <t>Кредиты, выданные населению для приобретения автомобилей</t>
  </si>
  <si>
    <t>л)</t>
  </si>
  <si>
    <t>Все другие кредиты (кроме лизинга)</t>
  </si>
  <si>
    <t xml:space="preserve">Прибыль за текущий год </t>
  </si>
  <si>
    <t xml:space="preserve">                  РАСЧЕТ АКТИВОВ ВЗВЕШЕННЫХ С УЧЕТОМ РИСКА В НАЦИОНАЛЬНОЙ ВАЛЮТЕ</t>
  </si>
  <si>
    <t xml:space="preserve">                  РАСЧЕТ АКТИВОВ ВЗВЕШЕННЫХ С УЧЕТОМ РИСКА В ИНОСТРАННОЙ ВАЛЮТЕ</t>
  </si>
  <si>
    <t>Таблица-6.1</t>
  </si>
  <si>
    <t>Таблица-6.2</t>
  </si>
  <si>
    <t>Корр. счета, кредиты и другие требования к банкам</t>
  </si>
  <si>
    <t>Микрозаймы (все нецелевые кредиты)</t>
  </si>
  <si>
    <t>Резервы формируемые в соответствии с предписанием Центрального банка</t>
  </si>
  <si>
    <t xml:space="preserve">Обязательства по приобретению ценных бумаг и других активов (включая активы, проданные в соответствии с соглашениями об обратном выкупе) </t>
  </si>
  <si>
    <t>Связанные с торговлей (краткосрочные, самоликвидирующиеся, обеспеченные поставкой товара)</t>
  </si>
  <si>
    <t xml:space="preserve">Со сроком погашения до одного года </t>
  </si>
  <si>
    <t xml:space="preserve">Со сроком погашения от одного года до двух лет </t>
  </si>
  <si>
    <t>Со сроком погашения от двух до трех  лет</t>
  </si>
  <si>
    <t>Валютные контракты и золото</t>
  </si>
  <si>
    <t xml:space="preserve">Наименование банка </t>
  </si>
  <si>
    <t>№3</t>
  </si>
  <si>
    <t>I группа</t>
  </si>
  <si>
    <t>II группа</t>
  </si>
  <si>
    <t>III группа</t>
  </si>
  <si>
    <t>IV группа</t>
  </si>
  <si>
    <t>V группа</t>
  </si>
  <si>
    <t>VI группа</t>
  </si>
  <si>
    <t>VII группа</t>
  </si>
  <si>
    <t>VIII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</si>
</sst>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[$-F800]dddd\,\ mmmm\ dd\,\ yyyy"/>
    <numFmt numFmtId="169" formatCode="0.0%"/>
    <numFmt numFmtId="170" formatCode="#,##0_ ;\-#,##0\ 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</numFmts>
  <fonts count="89"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0"/>
      <name val="Times New Roman Cyr"/>
      <family val="1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10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sz val="10"/>
      <color indexed="55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12"/>
      <name val="Journal Uzbek"/>
      <family val="2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color theme="0" tint="-0.34998626667073579"/>
      <name val="Arial Cyr"/>
      <family val="2"/>
      <charset val="204"/>
    </font>
    <font>
      <sz val="10"/>
      <color theme="0" tint="-0.34998626667073579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sz val="10"/>
      <color rgb="FF7030A0"/>
      <name val="Times New Roman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0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color theme="0" tint="-0.499984740745262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color rgb="FF7030A0"/>
      <name val="Arial Cyr"/>
      <charset val="204"/>
    </font>
    <font>
      <sz val="10"/>
      <color rgb="FF7030A0"/>
      <name val="Times New Roman Cyr"/>
      <family val="1"/>
      <charset val="204"/>
    </font>
    <font>
      <b/>
      <sz val="16"/>
      <color rgb="FF7030A0"/>
      <name val="Times New Roman Cyr"/>
      <charset val="204"/>
    </font>
    <font>
      <b/>
      <sz val="10"/>
      <color rgb="FF7030A0"/>
      <name val="Times New Roman Cyr"/>
      <family val="1"/>
      <charset val="204"/>
    </font>
    <font>
      <b/>
      <sz val="10"/>
      <color rgb="FF7030A0"/>
      <name val="Times New Roman Cyr"/>
      <charset val="204"/>
    </font>
    <font>
      <sz val="10"/>
      <color rgb="FF7030A0"/>
      <name val="Arial Cyr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88">
    <xf numFmtId="0" fontId="0" fillId="0" borderId="0"/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29" fillId="0" borderId="1">
      <protection locked="0"/>
    </xf>
    <xf numFmtId="172" fontId="31" fillId="0" borderId="0">
      <protection locked="0"/>
    </xf>
    <xf numFmtId="173" fontId="31" fillId="0" borderId="1">
      <protection locked="0"/>
    </xf>
    <xf numFmtId="174" fontId="31" fillId="0" borderId="0">
      <protection locked="0"/>
    </xf>
    <xf numFmtId="4" fontId="31" fillId="0" borderId="0">
      <protection locked="0"/>
    </xf>
    <xf numFmtId="175" fontId="31" fillId="0" borderId="0">
      <protection locked="0"/>
    </xf>
    <xf numFmtId="173" fontId="32" fillId="0" borderId="0">
      <protection locked="0"/>
    </xf>
    <xf numFmtId="173" fontId="33" fillId="0" borderId="0">
      <protection locked="0"/>
    </xf>
    <xf numFmtId="181" fontId="44" fillId="0" borderId="0" applyFont="0" applyFill="0" applyBorder="0" applyAlignment="0" applyProtection="0"/>
    <xf numFmtId="182" fontId="44" fillId="0" borderId="0" applyFont="0" applyFill="0" applyBorder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8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183" fontId="44" fillId="0" borderId="0" applyFont="0" applyFill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5" borderId="0" applyNumberFormat="0" applyBorder="0" applyAlignment="0" applyProtection="0"/>
    <xf numFmtId="0" fontId="38" fillId="8" borderId="0" applyNumberFormat="0" applyBorder="0" applyAlignment="0" applyProtection="0"/>
    <xf numFmtId="0" fontId="38" fillId="11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2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45" fillId="12" borderId="0" applyNumberFormat="0" applyBorder="0" applyAlignment="0" applyProtection="0"/>
    <xf numFmtId="0" fontId="45" fillId="9" borderId="0" applyNumberFormat="0" applyBorder="0" applyAlignment="0" applyProtection="0"/>
    <xf numFmtId="0" fontId="45" fillId="10" borderId="0" applyNumberFormat="0" applyBorder="0" applyAlignment="0" applyProtection="0"/>
    <xf numFmtId="0" fontId="45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9" borderId="0" applyNumberFormat="0" applyBorder="0" applyAlignment="0" applyProtection="0"/>
    <xf numFmtId="0" fontId="46" fillId="3" borderId="0" applyNumberFormat="0" applyBorder="0" applyAlignment="0" applyProtection="0"/>
    <xf numFmtId="0" fontId="47" fillId="20" borderId="2" applyNumberFormat="0" applyAlignment="0" applyProtection="0"/>
    <xf numFmtId="0" fontId="48" fillId="21" borderId="3" applyNumberFormat="0" applyAlignment="0" applyProtection="0"/>
    <xf numFmtId="0" fontId="34" fillId="0" borderId="4">
      <alignment horizontal="center"/>
    </xf>
    <xf numFmtId="165" fontId="26" fillId="0" borderId="0" applyFont="0" applyFill="0" applyBorder="0" applyAlignment="0" applyProtection="0"/>
    <xf numFmtId="176" fontId="49" fillId="0" borderId="0" applyFont="0" applyFill="0" applyBorder="0" applyAlignment="0" applyProtection="0"/>
    <xf numFmtId="166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0" fontId="7" fillId="0" borderId="0" applyNumberFormat="0" applyFont="0" applyFill="0" applyBorder="0" applyAlignment="0"/>
    <xf numFmtId="184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6" fontId="12" fillId="0" borderId="0" applyFont="0" applyFill="0" applyBorder="0" applyAlignment="0" applyProtection="0"/>
    <xf numFmtId="187" fontId="50" fillId="0" borderId="0"/>
    <xf numFmtId="0" fontId="51" fillId="0" borderId="0" applyNumberFormat="0" applyFill="0" applyBorder="0" applyAlignment="0" applyProtection="0"/>
    <xf numFmtId="2" fontId="26" fillId="0" borderId="0" applyFont="0" applyFill="0" applyBorder="0" applyAlignment="0" applyProtection="0"/>
    <xf numFmtId="0" fontId="52" fillId="4" borderId="0" applyNumberFormat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5" applyNumberFormat="0" applyFill="0" applyAlignment="0" applyProtection="0"/>
    <xf numFmtId="0" fontId="55" fillId="0" borderId="0" applyNumberFormat="0" applyFill="0" applyBorder="0" applyAlignment="0" applyProtection="0"/>
    <xf numFmtId="171" fontId="44" fillId="0" borderId="0" applyFont="0" applyFill="0" applyBorder="0" applyAlignment="0" applyProtection="0"/>
    <xf numFmtId="0" fontId="56" fillId="7" borderId="2" applyNumberFormat="0" applyAlignment="0" applyProtection="0"/>
    <xf numFmtId="0" fontId="57" fillId="0" borderId="6" applyNumberFormat="0" applyFill="0" applyAlignment="0" applyProtection="0"/>
    <xf numFmtId="18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71" fontId="58" fillId="0" borderId="0" applyFill="0" applyBorder="0"/>
    <xf numFmtId="0" fontId="59" fillId="22" borderId="0" applyNumberFormat="0" applyBorder="0" applyAlignment="0" applyProtection="0"/>
    <xf numFmtId="0" fontId="58" fillId="0" borderId="0"/>
    <xf numFmtId="0" fontId="35" fillId="0" borderId="0"/>
    <xf numFmtId="0" fontId="5" fillId="0" borderId="0">
      <alignment vertical="top"/>
    </xf>
    <xf numFmtId="0" fontId="26" fillId="0" borderId="0"/>
    <xf numFmtId="0" fontId="28" fillId="23" borderId="7" applyNumberFormat="0" applyFont="0" applyAlignment="0" applyProtection="0"/>
    <xf numFmtId="0" fontId="60" fillId="20" borderId="8" applyNumberFormat="0" applyAlignment="0" applyProtection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191" fontId="44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26" fillId="0" borderId="9" applyNumberFormat="0" applyFont="0" applyFill="0" applyAlignment="0" applyProtection="0"/>
    <xf numFmtId="0" fontId="62" fillId="0" borderId="0" applyNumberFormat="0" applyFill="0" applyBorder="0" applyAlignment="0" applyProtection="0"/>
    <xf numFmtId="0" fontId="64" fillId="0" borderId="0"/>
    <xf numFmtId="0" fontId="63" fillId="0" borderId="0"/>
    <xf numFmtId="0" fontId="6" fillId="0" borderId="0"/>
    <xf numFmtId="0" fontId="63" fillId="0" borderId="0"/>
    <xf numFmtId="0" fontId="63" fillId="0" borderId="0"/>
    <xf numFmtId="0" fontId="28" fillId="0" borderId="0"/>
    <xf numFmtId="0" fontId="63" fillId="0" borderId="0"/>
    <xf numFmtId="0" fontId="63" fillId="0" borderId="0"/>
    <xf numFmtId="0" fontId="6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8" fillId="0" borderId="0"/>
    <xf numFmtId="0" fontId="63" fillId="0" borderId="0"/>
    <xf numFmtId="0" fontId="63" fillId="0" borderId="0"/>
    <xf numFmtId="0" fontId="63" fillId="0" borderId="0"/>
    <xf numFmtId="0" fontId="28" fillId="0" borderId="0"/>
    <xf numFmtId="0" fontId="6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" fillId="0" borderId="0"/>
    <xf numFmtId="0" fontId="6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3" fillId="0" borderId="0"/>
    <xf numFmtId="0" fontId="65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36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4" fillId="0" borderId="0"/>
    <xf numFmtId="0" fontId="37" fillId="0" borderId="0"/>
    <xf numFmtId="0" fontId="3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65" fillId="0" borderId="0"/>
    <xf numFmtId="0" fontId="64" fillId="0" borderId="0"/>
    <xf numFmtId="0" fontId="63" fillId="0" borderId="0"/>
    <xf numFmtId="0" fontId="6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5" fillId="0" borderId="0"/>
    <xf numFmtId="0" fontId="26" fillId="0" borderId="0"/>
    <xf numFmtId="0" fontId="64" fillId="0" borderId="0"/>
    <xf numFmtId="0" fontId="26" fillId="0" borderId="0"/>
    <xf numFmtId="0" fontId="3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36" fillId="0" borderId="0"/>
    <xf numFmtId="0" fontId="63" fillId="0" borderId="0"/>
    <xf numFmtId="0" fontId="64" fillId="0" borderId="0"/>
    <xf numFmtId="0" fontId="3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6" fillId="0" borderId="0"/>
    <xf numFmtId="0" fontId="64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38" fillId="0" borderId="0"/>
    <xf numFmtId="0" fontId="63" fillId="0" borderId="0"/>
    <xf numFmtId="0" fontId="6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38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63" fillId="0" borderId="0"/>
    <xf numFmtId="0" fontId="63" fillId="0" borderId="0"/>
    <xf numFmtId="0" fontId="63" fillId="0" borderId="0"/>
    <xf numFmtId="0" fontId="28" fillId="0" borderId="0"/>
    <xf numFmtId="0" fontId="26" fillId="0" borderId="0"/>
    <xf numFmtId="0" fontId="1" fillId="0" borderId="0"/>
    <xf numFmtId="0" fontId="28" fillId="0" borderId="0"/>
    <xf numFmtId="0" fontId="63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63" fillId="0" borderId="0"/>
    <xf numFmtId="0" fontId="63" fillId="0" borderId="0"/>
    <xf numFmtId="0" fontId="38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63" fillId="0" borderId="0"/>
    <xf numFmtId="0" fontId="36" fillId="0" borderId="0"/>
    <xf numFmtId="0" fontId="64" fillId="0" borderId="0"/>
    <xf numFmtId="0" fontId="66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64" fillId="0" borderId="0"/>
    <xf numFmtId="0" fontId="64" fillId="0" borderId="0"/>
    <xf numFmtId="0" fontId="64" fillId="0" borderId="0"/>
    <xf numFmtId="0" fontId="26" fillId="0" borderId="0" applyNumberFormat="0" applyFont="0" applyFill="0" applyBorder="0" applyAlignment="0" applyProtection="0">
      <alignment vertical="top"/>
    </xf>
    <xf numFmtId="0" fontId="28" fillId="0" borderId="0"/>
    <xf numFmtId="0" fontId="63" fillId="0" borderId="0"/>
    <xf numFmtId="0" fontId="63" fillId="0" borderId="0"/>
    <xf numFmtId="0" fontId="39" fillId="0" borderId="0"/>
    <xf numFmtId="0" fontId="26" fillId="0" borderId="0"/>
    <xf numFmtId="0" fontId="63" fillId="0" borderId="0"/>
    <xf numFmtId="0" fontId="63" fillId="0" borderId="0"/>
    <xf numFmtId="0" fontId="26" fillId="0" borderId="0"/>
    <xf numFmtId="0" fontId="63" fillId="0" borderId="0"/>
    <xf numFmtId="0" fontId="67" fillId="0" borderId="0"/>
    <xf numFmtId="0" fontId="28" fillId="0" borderId="0"/>
    <xf numFmtId="0" fontId="36" fillId="0" borderId="0"/>
    <xf numFmtId="0" fontId="64" fillId="0" borderId="0"/>
    <xf numFmtId="0" fontId="63" fillId="0" borderId="0"/>
    <xf numFmtId="0" fontId="26" fillId="0" borderId="0" applyNumberFormat="0" applyFont="0" applyFill="0" applyBorder="0" applyAlignment="0" applyProtection="0">
      <alignment vertical="top"/>
    </xf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26" fillId="0" borderId="0" applyNumberFormat="0" applyFont="0" applyFill="0" applyBorder="0" applyAlignment="0" applyProtection="0">
      <alignment vertical="top"/>
    </xf>
    <xf numFmtId="0" fontId="26" fillId="0" borderId="0" applyNumberFormat="0" applyFont="0" applyFill="0" applyBorder="0" applyAlignment="0" applyProtection="0">
      <alignment vertical="top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2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28" fillId="0" borderId="0"/>
    <xf numFmtId="0" fontId="64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2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" fillId="0" borderId="0"/>
    <xf numFmtId="0" fontId="63" fillId="0" borderId="0"/>
    <xf numFmtId="0" fontId="6" fillId="0" borderId="0"/>
    <xf numFmtId="0" fontId="63" fillId="0" borderId="0"/>
    <xf numFmtId="0" fontId="6" fillId="0" borderId="0"/>
    <xf numFmtId="0" fontId="63" fillId="0" borderId="0"/>
    <xf numFmtId="0" fontId="6" fillId="0" borderId="0"/>
    <xf numFmtId="0" fontId="63" fillId="0" borderId="0"/>
    <xf numFmtId="0" fontId="6" fillId="0" borderId="0"/>
    <xf numFmtId="0" fontId="63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36" fillId="0" borderId="0"/>
    <xf numFmtId="0" fontId="63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8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8" fillId="0" borderId="0"/>
    <xf numFmtId="0" fontId="26" fillId="0" borderId="0"/>
    <xf numFmtId="0" fontId="64" fillId="0" borderId="0"/>
    <xf numFmtId="0" fontId="64" fillId="0" borderId="0"/>
    <xf numFmtId="0" fontId="2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8" fillId="0" borderId="0"/>
    <xf numFmtId="0" fontId="64" fillId="0" borderId="0"/>
    <xf numFmtId="0" fontId="6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38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8" fillId="0" borderId="0"/>
    <xf numFmtId="0" fontId="64" fillId="0" borderId="0"/>
    <xf numFmtId="0" fontId="64" fillId="0" borderId="0"/>
    <xf numFmtId="0" fontId="28" fillId="0" borderId="0"/>
    <xf numFmtId="0" fontId="64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8" fillId="0" borderId="0"/>
    <xf numFmtId="0" fontId="63" fillId="0" borderId="0"/>
    <xf numFmtId="0" fontId="28" fillId="0" borderId="0"/>
    <xf numFmtId="0" fontId="28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8" fillId="0" borderId="0"/>
    <xf numFmtId="0" fontId="65" fillId="0" borderId="0"/>
    <xf numFmtId="0" fontId="65" fillId="0" borderId="0"/>
    <xf numFmtId="0" fontId="28" fillId="0" borderId="0"/>
    <xf numFmtId="0" fontId="65" fillId="0" borderId="0"/>
    <xf numFmtId="0" fontId="65" fillId="0" borderId="0"/>
    <xf numFmtId="0" fontId="28" fillId="0" borderId="0"/>
    <xf numFmtId="0" fontId="28" fillId="0" borderId="0"/>
    <xf numFmtId="0" fontId="27" fillId="0" borderId="0"/>
    <xf numFmtId="0" fontId="63" fillId="0" borderId="0"/>
    <xf numFmtId="0" fontId="28" fillId="0" borderId="0"/>
    <xf numFmtId="0" fontId="63" fillId="0" borderId="0"/>
    <xf numFmtId="0" fontId="63" fillId="0" borderId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0" fontId="38" fillId="38" borderId="32" applyNumberFormat="0" applyFont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4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3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77" fontId="26" fillId="0" borderId="0" applyFont="0" applyFill="0" applyBorder="0" applyAlignment="0" applyProtection="0"/>
    <xf numFmtId="166" fontId="41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4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71" fontId="38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41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4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38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78" fontId="2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3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36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76" fontId="26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0" fontId="29" fillId="0" borderId="0">
      <protection locked="0"/>
    </xf>
  </cellStyleXfs>
  <cellXfs count="269">
    <xf numFmtId="0" fontId="0" fillId="0" borderId="0" xfId="0"/>
    <xf numFmtId="0" fontId="2" fillId="0" borderId="0" xfId="0" applyFont="1"/>
    <xf numFmtId="0" fontId="4" fillId="0" borderId="0" xfId="0" applyFont="1" applyBorder="1"/>
    <xf numFmtId="0" fontId="4" fillId="0" borderId="0" xfId="0" applyFont="1" applyBorder="1" applyProtection="1"/>
    <xf numFmtId="167" fontId="16" fillId="0" borderId="10" xfId="1121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>
      <alignment horizontal="center"/>
    </xf>
    <xf numFmtId="3" fontId="12" fillId="0" borderId="10" xfId="0" applyNumberFormat="1" applyFont="1" applyFill="1" applyBorder="1" applyAlignment="1" applyProtection="1">
      <alignment horizontal="right" vertical="center"/>
      <protection locked="0"/>
    </xf>
    <xf numFmtId="3" fontId="12" fillId="0" borderId="10" xfId="0" applyNumberFormat="1" applyFont="1" applyBorder="1" applyAlignment="1" applyProtection="1">
      <alignment horizontal="right" vertical="center"/>
      <protection locked="0"/>
    </xf>
    <xf numFmtId="0" fontId="69" fillId="0" borderId="0" xfId="0" applyFont="1" applyProtection="1">
      <protection hidden="1"/>
    </xf>
    <xf numFmtId="167" fontId="14" fillId="0" borderId="0" xfId="1121" applyNumberFormat="1" applyFont="1" applyBorder="1" applyAlignment="1" applyProtection="1">
      <alignment horizontal="center" vertical="center" wrapText="1"/>
    </xf>
    <xf numFmtId="0" fontId="11" fillId="0" borderId="0" xfId="0" applyFont="1" applyProtection="1"/>
    <xf numFmtId="0" fontId="11" fillId="0" borderId="0" xfId="0" applyFont="1" applyBorder="1" applyAlignment="1" applyProtection="1">
      <alignment wrapText="1"/>
    </xf>
    <xf numFmtId="0" fontId="11" fillId="0" borderId="0" xfId="0" applyFont="1" applyAlignment="1" applyProtection="1">
      <alignment vertical="center"/>
    </xf>
    <xf numFmtId="0" fontId="11" fillId="0" borderId="10" xfId="0" applyFont="1" applyBorder="1" applyAlignment="1" applyProtection="1">
      <alignment horizontal="center" wrapText="1"/>
    </xf>
    <xf numFmtId="0" fontId="10" fillId="0" borderId="10" xfId="0" applyFont="1" applyBorder="1" applyAlignment="1" applyProtection="1">
      <alignment horizontal="center" vertical="center"/>
    </xf>
    <xf numFmtId="167" fontId="10" fillId="0" borderId="10" xfId="1121" applyNumberFormat="1" applyFont="1" applyBorder="1" applyAlignment="1" applyProtection="1">
      <alignment horizontal="left" vertical="center"/>
    </xf>
    <xf numFmtId="3" fontId="10" fillId="0" borderId="10" xfId="1121" applyNumberFormat="1" applyFont="1" applyBorder="1" applyAlignment="1" applyProtection="1">
      <alignment horizontal="center" vertical="center"/>
    </xf>
    <xf numFmtId="0" fontId="11" fillId="0" borderId="10" xfId="0" applyFont="1" applyFill="1" applyBorder="1" applyAlignment="1" applyProtection="1">
      <alignment horizontal="center" wrapText="1"/>
    </xf>
    <xf numFmtId="3" fontId="11" fillId="0" borderId="10" xfId="1121" applyNumberFormat="1" applyFont="1" applyFill="1" applyBorder="1" applyAlignment="1" applyProtection="1">
      <alignment horizontal="center" wrapText="1"/>
    </xf>
    <xf numFmtId="3" fontId="24" fillId="0" borderId="10" xfId="1121" applyNumberFormat="1" applyFont="1" applyFill="1" applyBorder="1" applyAlignment="1" applyProtection="1">
      <alignment horizontal="center" wrapText="1"/>
    </xf>
    <xf numFmtId="0" fontId="10" fillId="0" borderId="10" xfId="0" applyFont="1" applyFill="1" applyBorder="1" applyAlignment="1" applyProtection="1">
      <alignment horizontal="center" vertical="center" wrapText="1"/>
    </xf>
    <xf numFmtId="0" fontId="10" fillId="0" borderId="10" xfId="0" applyFont="1" applyFill="1" applyBorder="1" applyAlignment="1" applyProtection="1">
      <alignment horizontal="left" vertical="center" wrapText="1" indent="2"/>
    </xf>
    <xf numFmtId="0" fontId="17" fillId="0" borderId="0" xfId="0" applyFont="1" applyFill="1" applyAlignment="1" applyProtection="1">
      <alignment vertical="center"/>
    </xf>
    <xf numFmtId="0" fontId="10" fillId="0" borderId="0" xfId="0" applyFont="1" applyFill="1" applyAlignment="1" applyProtection="1">
      <alignment vertical="center"/>
    </xf>
    <xf numFmtId="0" fontId="10" fillId="0" borderId="10" xfId="0" applyFont="1" applyFill="1" applyBorder="1" applyAlignment="1" applyProtection="1">
      <alignment horizontal="left" vertical="center" indent="2"/>
    </xf>
    <xf numFmtId="0" fontId="11" fillId="0" borderId="10" xfId="0" applyFont="1" applyFill="1" applyBorder="1" applyAlignment="1" applyProtection="1">
      <alignment horizontal="center" vertical="center" wrapText="1"/>
    </xf>
    <xf numFmtId="0" fontId="24" fillId="0" borderId="10" xfId="0" applyFont="1" applyFill="1" applyBorder="1" applyAlignment="1" applyProtection="1">
      <alignment horizontal="center" wrapText="1"/>
    </xf>
    <xf numFmtId="0" fontId="24" fillId="0" borderId="0" xfId="0" applyFont="1" applyProtection="1"/>
    <xf numFmtId="0" fontId="24" fillId="0" borderId="10" xfId="0" applyFont="1" applyFill="1" applyBorder="1" applyAlignment="1" applyProtection="1">
      <alignment horizontal="center" vertical="center" wrapText="1"/>
    </xf>
    <xf numFmtId="0" fontId="24" fillId="0" borderId="0" xfId="0" applyFont="1" applyAlignment="1" applyProtection="1">
      <alignment vertical="center"/>
    </xf>
    <xf numFmtId="0" fontId="11" fillId="0" borderId="10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left" vertical="center" indent="2"/>
    </xf>
    <xf numFmtId="0" fontId="10" fillId="0" borderId="10" xfId="0" applyFont="1" applyBorder="1" applyAlignment="1" applyProtection="1">
      <alignment horizontal="left" vertical="center" wrapText="1" indent="2"/>
    </xf>
    <xf numFmtId="3" fontId="24" fillId="0" borderId="10" xfId="1121" applyNumberFormat="1" applyFont="1" applyFill="1" applyBorder="1" applyAlignment="1" applyProtection="1">
      <alignment horizontal="center" vertical="center"/>
    </xf>
    <xf numFmtId="3" fontId="24" fillId="0" borderId="10" xfId="1121" applyNumberFormat="1" applyFont="1" applyBorder="1" applyAlignment="1" applyProtection="1">
      <alignment horizontal="center" vertical="center" wrapText="1"/>
    </xf>
    <xf numFmtId="0" fontId="11" fillId="0" borderId="0" xfId="0" applyFont="1" applyFill="1" applyAlignment="1" applyProtection="1">
      <alignment vertical="center"/>
    </xf>
    <xf numFmtId="3" fontId="24" fillId="0" borderId="10" xfId="1121" applyNumberFormat="1" applyFont="1" applyFill="1" applyBorder="1" applyAlignment="1" applyProtection="1">
      <alignment horizontal="center"/>
    </xf>
    <xf numFmtId="0" fontId="27" fillId="0" borderId="10" xfId="0" applyFont="1" applyFill="1" applyBorder="1" applyAlignment="1" applyProtection="1">
      <alignment horizontal="center" vertical="center" wrapText="1"/>
    </xf>
    <xf numFmtId="0" fontId="27" fillId="0" borderId="10" xfId="0" applyFont="1" applyFill="1" applyBorder="1" applyAlignment="1" applyProtection="1">
      <alignment horizontal="left" vertical="center" wrapText="1" indent="2"/>
    </xf>
    <xf numFmtId="3" fontId="27" fillId="0" borderId="10" xfId="1121" applyNumberFormat="1" applyFont="1" applyFill="1" applyBorder="1" applyAlignment="1" applyProtection="1">
      <alignment horizontal="center"/>
    </xf>
    <xf numFmtId="0" fontId="27" fillId="0" borderId="0" xfId="0" applyFont="1" applyFill="1" applyAlignment="1" applyProtection="1">
      <alignment vertical="center"/>
    </xf>
    <xf numFmtId="0" fontId="27" fillId="0" borderId="10" xfId="0" applyFont="1" applyBorder="1" applyAlignment="1" applyProtection="1">
      <alignment horizontal="center" vertical="center" wrapText="1"/>
    </xf>
    <xf numFmtId="0" fontId="27" fillId="0" borderId="10" xfId="0" applyFont="1" applyBorder="1" applyAlignment="1" applyProtection="1">
      <alignment horizontal="left" vertical="center" wrapText="1" indent="2"/>
    </xf>
    <xf numFmtId="0" fontId="27" fillId="0" borderId="0" xfId="0" applyFont="1" applyAlignment="1" applyProtection="1">
      <alignment vertical="center"/>
    </xf>
    <xf numFmtId="0" fontId="10" fillId="0" borderId="0" xfId="0" applyFont="1" applyBorder="1" applyProtection="1"/>
    <xf numFmtId="167" fontId="11" fillId="0" borderId="0" xfId="1121" applyNumberFormat="1" applyFont="1" applyProtection="1"/>
    <xf numFmtId="0" fontId="10" fillId="0" borderId="0" xfId="0" applyFont="1" applyFill="1" applyBorder="1" applyAlignment="1" applyProtection="1">
      <alignment horizontal="right"/>
    </xf>
    <xf numFmtId="168" fontId="11" fillId="0" borderId="0" xfId="0" applyNumberFormat="1" applyFont="1" applyBorder="1" applyAlignment="1" applyProtection="1">
      <alignment wrapText="1"/>
    </xf>
    <xf numFmtId="3" fontId="27" fillId="0" borderId="10" xfId="1121" applyNumberFormat="1" applyFont="1" applyBorder="1" applyAlignment="1" applyProtection="1">
      <alignment horizontal="center" vertical="center"/>
      <protection locked="0"/>
    </xf>
    <xf numFmtId="3" fontId="10" fillId="0" borderId="10" xfId="1121" applyNumberFormat="1" applyFont="1" applyBorder="1" applyAlignment="1" applyProtection="1">
      <alignment horizontal="center" vertical="center"/>
      <protection locked="0"/>
    </xf>
    <xf numFmtId="3" fontId="11" fillId="0" borderId="10" xfId="1121" applyNumberFormat="1" applyFont="1" applyFill="1" applyBorder="1" applyAlignment="1" applyProtection="1">
      <alignment horizontal="center" wrapText="1"/>
      <protection locked="0"/>
    </xf>
    <xf numFmtId="0" fontId="24" fillId="0" borderId="10" xfId="0" applyFont="1" applyBorder="1" applyAlignment="1" applyProtection="1">
      <alignment horizontal="center" vertical="center" wrapText="1"/>
    </xf>
    <xf numFmtId="0" fontId="24" fillId="0" borderId="10" xfId="0" applyFont="1" applyBorder="1" applyAlignment="1" applyProtection="1">
      <alignment horizontal="left" vertical="center" wrapText="1" indent="2"/>
    </xf>
    <xf numFmtId="10" fontId="24" fillId="0" borderId="10" xfId="1108" applyNumberFormat="1" applyFont="1" applyFill="1" applyBorder="1" applyAlignment="1" applyProtection="1">
      <alignment horizontal="center" vertical="center"/>
    </xf>
    <xf numFmtId="0" fontId="18" fillId="0" borderId="0" xfId="496" applyFont="1" applyProtection="1"/>
    <xf numFmtId="0" fontId="19" fillId="0" borderId="0" xfId="496" applyFont="1" applyProtection="1"/>
    <xf numFmtId="15" fontId="20" fillId="0" borderId="0" xfId="496" applyNumberFormat="1" applyFont="1" applyBorder="1" applyAlignment="1" applyProtection="1">
      <alignment horizontal="center" vertical="center" wrapText="1"/>
    </xf>
    <xf numFmtId="0" fontId="18" fillId="0" borderId="10" xfId="496" applyFont="1" applyBorder="1" applyAlignment="1" applyProtection="1">
      <alignment horizontal="center" vertical="center"/>
    </xf>
    <xf numFmtId="167" fontId="20" fillId="0" borderId="10" xfId="1121" applyNumberFormat="1" applyFont="1" applyBorder="1" applyAlignment="1" applyProtection="1">
      <alignment horizontal="center" vertical="center" wrapText="1"/>
    </xf>
    <xf numFmtId="0" fontId="18" fillId="0" borderId="10" xfId="496" applyFont="1" applyBorder="1" applyAlignment="1" applyProtection="1">
      <alignment horizontal="left" vertical="center" wrapText="1" indent="1"/>
    </xf>
    <xf numFmtId="0" fontId="22" fillId="0" borderId="10" xfId="496" applyFont="1" applyBorder="1" applyAlignment="1" applyProtection="1">
      <alignment horizontal="left" vertical="center" wrapText="1" indent="1"/>
    </xf>
    <xf numFmtId="0" fontId="13" fillId="0" borderId="10" xfId="496" applyFont="1" applyBorder="1" applyAlignment="1" applyProtection="1">
      <alignment horizontal="left" vertical="center" wrapText="1" indent="1"/>
    </xf>
    <xf numFmtId="167" fontId="20" fillId="0" borderId="10" xfId="1121" applyNumberFormat="1" applyFont="1" applyFill="1" applyBorder="1" applyAlignment="1" applyProtection="1">
      <alignment horizontal="center" vertical="center" wrapText="1"/>
    </xf>
    <xf numFmtId="0" fontId="20" fillId="0" borderId="10" xfId="496" applyFont="1" applyBorder="1" applyAlignment="1" applyProtection="1">
      <alignment horizontal="left" vertical="center" wrapText="1" indent="1"/>
    </xf>
    <xf numFmtId="0" fontId="19" fillId="0" borderId="0" xfId="496" applyFont="1" applyBorder="1" applyProtection="1"/>
    <xf numFmtId="0" fontId="18" fillId="0" borderId="0" xfId="496" applyFont="1" applyBorder="1" applyProtection="1"/>
    <xf numFmtId="0" fontId="18" fillId="0" borderId="0" xfId="496" applyFont="1" applyAlignment="1" applyProtection="1">
      <alignment horizontal="center"/>
    </xf>
    <xf numFmtId="0" fontId="70" fillId="0" borderId="0" xfId="496" applyFont="1" applyProtection="1"/>
    <xf numFmtId="0" fontId="71" fillId="0" borderId="0" xfId="496" applyFont="1" applyProtection="1"/>
    <xf numFmtId="0" fontId="70" fillId="0" borderId="0" xfId="496" applyFont="1" applyBorder="1" applyProtection="1"/>
    <xf numFmtId="0" fontId="18" fillId="0" borderId="0" xfId="496" applyFont="1" applyAlignment="1" applyProtection="1">
      <alignment vertical="center"/>
    </xf>
    <xf numFmtId="0" fontId="3" fillId="0" borderId="0" xfId="0" applyFont="1" applyAlignment="1" applyProtection="1">
      <alignment horizontal="center" vertical="center" wrapText="1"/>
    </xf>
    <xf numFmtId="3" fontId="11" fillId="0" borderId="10" xfId="1121" applyNumberFormat="1" applyFont="1" applyFill="1" applyBorder="1" applyAlignment="1" applyProtection="1">
      <alignment horizontal="center" vertical="center" wrapText="1"/>
      <protection locked="0"/>
    </xf>
    <xf numFmtId="3" fontId="24" fillId="0" borderId="10" xfId="1121" applyNumberFormat="1" applyFont="1" applyFill="1" applyBorder="1" applyAlignment="1" applyProtection="1">
      <alignment horizontal="center" vertical="center" wrapText="1"/>
      <protection locked="0"/>
    </xf>
    <xf numFmtId="3" fontId="24" fillId="0" borderId="10" xfId="1121" applyNumberFormat="1" applyFont="1" applyFill="1" applyBorder="1" applyAlignment="1" applyProtection="1">
      <alignment horizontal="center" vertical="center" wrapText="1"/>
    </xf>
    <xf numFmtId="3" fontId="27" fillId="0" borderId="10" xfId="1121" applyNumberFormat="1" applyFont="1" applyFill="1" applyBorder="1" applyAlignment="1" applyProtection="1">
      <alignment horizontal="center" vertical="center" wrapText="1"/>
      <protection locked="0"/>
    </xf>
    <xf numFmtId="166" fontId="72" fillId="0" borderId="0" xfId="1121" applyFont="1" applyFill="1" applyBorder="1" applyAlignment="1" applyProtection="1">
      <alignment vertical="center"/>
    </xf>
    <xf numFmtId="0" fontId="24" fillId="0" borderId="10" xfId="0" applyFont="1" applyFill="1" applyBorder="1" applyAlignment="1" applyProtection="1">
      <alignment horizontal="left" vertical="center" indent="2"/>
    </xf>
    <xf numFmtId="3" fontId="73" fillId="0" borderId="10" xfId="1121" applyNumberFormat="1" applyFont="1" applyFill="1" applyBorder="1" applyAlignment="1" applyProtection="1">
      <alignment horizontal="center"/>
    </xf>
    <xf numFmtId="15" fontId="0" fillId="0" borderId="0" xfId="0" applyNumberFormat="1" applyFont="1" applyBorder="1" applyAlignment="1" applyProtection="1">
      <alignment horizontal="center"/>
    </xf>
    <xf numFmtId="15" fontId="27" fillId="0" borderId="0" xfId="0" applyNumberFormat="1" applyFont="1" applyBorder="1" applyAlignment="1" applyProtection="1">
      <alignment horizontal="left" wrapText="1" indent="3"/>
    </xf>
    <xf numFmtId="167" fontId="14" fillId="0" borderId="0" xfId="1121" applyNumberFormat="1" applyFont="1" applyBorder="1" applyAlignment="1" applyProtection="1">
      <alignment horizontal="left" indent="2"/>
    </xf>
    <xf numFmtId="168" fontId="16" fillId="0" borderId="0" xfId="496" applyNumberFormat="1" applyFont="1" applyBorder="1" applyAlignment="1" applyProtection="1">
      <alignment horizontal="center" vertical="center" wrapText="1"/>
    </xf>
    <xf numFmtId="0" fontId="74" fillId="0" borderId="10" xfId="0" applyFont="1" applyFill="1" applyBorder="1" applyAlignment="1" applyProtection="1">
      <alignment horizontal="center" vertical="center" wrapText="1"/>
    </xf>
    <xf numFmtId="0" fontId="24" fillId="0" borderId="10" xfId="0" applyFont="1" applyBorder="1" applyAlignment="1" applyProtection="1">
      <alignment horizontal="center" wrapText="1"/>
    </xf>
    <xf numFmtId="3" fontId="11" fillId="0" borderId="10" xfId="1121" applyNumberFormat="1" applyFont="1" applyFill="1" applyBorder="1" applyAlignment="1" applyProtection="1">
      <alignment horizontal="center" vertical="center" wrapText="1"/>
    </xf>
    <xf numFmtId="3" fontId="12" fillId="0" borderId="10" xfId="0" applyNumberFormat="1" applyFont="1" applyFill="1" applyBorder="1" applyAlignment="1" applyProtection="1">
      <alignment horizontal="right" vertical="center"/>
    </xf>
    <xf numFmtId="0" fontId="27" fillId="0" borderId="10" xfId="0" applyFont="1" applyFill="1" applyBorder="1" applyAlignment="1" applyProtection="1">
      <alignment horizontal="left" vertical="center" wrapText="1" indent="1"/>
    </xf>
    <xf numFmtId="0" fontId="27" fillId="0" borderId="10" xfId="0" applyFont="1" applyFill="1" applyBorder="1" applyAlignment="1" applyProtection="1">
      <alignment horizontal="left" vertical="center" indent="1"/>
    </xf>
    <xf numFmtId="0" fontId="11" fillId="0" borderId="10" xfId="0" applyFont="1" applyBorder="1" applyAlignment="1" applyProtection="1">
      <alignment horizontal="left" vertical="center" wrapText="1" indent="1"/>
    </xf>
    <xf numFmtId="0" fontId="11" fillId="0" borderId="10" xfId="0" applyFont="1" applyFill="1" applyBorder="1" applyAlignment="1" applyProtection="1">
      <alignment horizontal="left" vertical="center" wrapText="1" indent="1"/>
    </xf>
    <xf numFmtId="0" fontId="21" fillId="0" borderId="0" xfId="496" applyFont="1" applyAlignment="1" applyProtection="1">
      <alignment horizontal="left" vertical="center" indent="1"/>
    </xf>
    <xf numFmtId="0" fontId="7" fillId="0" borderId="0" xfId="0" applyFont="1" applyAlignment="1" applyProtection="1">
      <alignment horizontal="left" vertical="center" indent="1"/>
    </xf>
    <xf numFmtId="0" fontId="22" fillId="0" borderId="10" xfId="496" applyFont="1" applyBorder="1" applyAlignment="1" applyProtection="1">
      <alignment horizontal="right" vertical="center"/>
    </xf>
    <xf numFmtId="3" fontId="25" fillId="24" borderId="10" xfId="0" applyNumberFormat="1" applyFont="1" applyFill="1" applyBorder="1" applyAlignment="1" applyProtection="1">
      <alignment horizontal="center" vertical="center" wrapText="1"/>
    </xf>
    <xf numFmtId="0" fontId="24" fillId="0" borderId="10" xfId="0" applyFont="1" applyFill="1" applyBorder="1" applyAlignment="1" applyProtection="1">
      <alignment horizontal="left" vertical="center" wrapText="1" indent="2"/>
    </xf>
    <xf numFmtId="0" fontId="75" fillId="0" borderId="0" xfId="0" applyFont="1" applyProtection="1"/>
    <xf numFmtId="166" fontId="75" fillId="0" borderId="0" xfId="1121" applyFont="1" applyBorder="1" applyProtection="1"/>
    <xf numFmtId="0" fontId="75" fillId="0" borderId="0" xfId="0" applyFont="1" applyAlignment="1" applyProtection="1">
      <alignment vertical="center"/>
    </xf>
    <xf numFmtId="166" fontId="75" fillId="0" borderId="0" xfId="1121" applyFont="1" applyBorder="1" applyAlignment="1" applyProtection="1">
      <alignment vertical="center"/>
    </xf>
    <xf numFmtId="0" fontId="72" fillId="0" borderId="0" xfId="0" applyFont="1" applyFill="1" applyAlignment="1" applyProtection="1">
      <alignment vertical="center"/>
    </xf>
    <xf numFmtId="3" fontId="76" fillId="0" borderId="0" xfId="0" applyNumberFormat="1" applyFont="1" applyProtection="1"/>
    <xf numFmtId="166" fontId="76" fillId="0" borderId="0" xfId="1121" applyFont="1" applyBorder="1" applyProtection="1"/>
    <xf numFmtId="0" fontId="76" fillId="0" borderId="0" xfId="0" applyFont="1" applyProtection="1"/>
    <xf numFmtId="0" fontId="76" fillId="0" borderId="0" xfId="0" applyFont="1" applyAlignment="1" applyProtection="1">
      <alignment vertical="center"/>
    </xf>
    <xf numFmtId="166" fontId="76" fillId="0" borderId="0" xfId="1121" applyFont="1" applyBorder="1" applyAlignment="1" applyProtection="1">
      <alignment vertical="center"/>
    </xf>
    <xf numFmtId="167" fontId="76" fillId="0" borderId="0" xfId="1121" applyNumberFormat="1" applyFont="1" applyAlignment="1" applyProtection="1">
      <alignment vertical="center"/>
    </xf>
    <xf numFmtId="3" fontId="75" fillId="0" borderId="0" xfId="0" applyNumberFormat="1" applyFont="1" applyAlignment="1" applyProtection="1">
      <alignment vertical="center"/>
    </xf>
    <xf numFmtId="0" fontId="75" fillId="0" borderId="0" xfId="0" applyFont="1" applyFill="1" applyAlignment="1" applyProtection="1">
      <alignment vertical="center"/>
    </xf>
    <xf numFmtId="166" fontId="75" fillId="0" borderId="0" xfId="1121" applyFont="1" applyFill="1" applyBorder="1" applyAlignment="1" applyProtection="1">
      <alignment vertical="center"/>
    </xf>
    <xf numFmtId="3" fontId="75" fillId="0" borderId="0" xfId="0" applyNumberFormat="1" applyFont="1" applyFill="1" applyAlignment="1" applyProtection="1">
      <alignment vertical="center"/>
    </xf>
    <xf numFmtId="0" fontId="77" fillId="0" borderId="0" xfId="0" applyFont="1" applyFill="1" applyAlignment="1" applyProtection="1">
      <alignment vertical="center"/>
    </xf>
    <xf numFmtId="166" fontId="77" fillId="0" borderId="0" xfId="1121" applyFont="1" applyFill="1" applyBorder="1" applyAlignment="1" applyProtection="1">
      <alignment vertical="center"/>
    </xf>
    <xf numFmtId="3" fontId="77" fillId="0" borderId="0" xfId="0" applyNumberFormat="1" applyFont="1" applyFill="1" applyAlignment="1" applyProtection="1">
      <alignment vertical="center"/>
    </xf>
    <xf numFmtId="0" fontId="77" fillId="0" borderId="0" xfId="0" applyFont="1" applyAlignment="1" applyProtection="1">
      <alignment vertical="center"/>
    </xf>
    <xf numFmtId="166" fontId="77" fillId="0" borderId="0" xfId="1121" applyFont="1" applyBorder="1" applyAlignment="1" applyProtection="1">
      <alignment vertical="center"/>
    </xf>
    <xf numFmtId="0" fontId="78" fillId="0" borderId="0" xfId="0" applyFont="1" applyAlignment="1" applyProtection="1">
      <alignment vertical="center"/>
    </xf>
    <xf numFmtId="3" fontId="27" fillId="0" borderId="10" xfId="1121" applyNumberFormat="1" applyFont="1" applyFill="1" applyBorder="1" applyAlignment="1" applyProtection="1">
      <alignment horizontal="center"/>
      <protection locked="0"/>
    </xf>
    <xf numFmtId="166" fontId="78" fillId="0" borderId="0" xfId="1121" applyFont="1" applyBorder="1" applyAlignment="1" applyProtection="1">
      <alignment vertical="center"/>
    </xf>
    <xf numFmtId="3" fontId="78" fillId="0" borderId="10" xfId="1121" applyNumberFormat="1" applyFont="1" applyFill="1" applyBorder="1" applyAlignment="1" applyProtection="1">
      <alignment horizontal="center"/>
    </xf>
    <xf numFmtId="3" fontId="6" fillId="0" borderId="10" xfId="1121" applyNumberFormat="1" applyFont="1" applyFill="1" applyBorder="1" applyAlignment="1" applyProtection="1">
      <alignment horizontal="center" vertical="center" wrapText="1"/>
    </xf>
    <xf numFmtId="0" fontId="79" fillId="0" borderId="0" xfId="496" applyFont="1" applyProtection="1"/>
    <xf numFmtId="0" fontId="80" fillId="0" borderId="0" xfId="496" applyFont="1" applyProtection="1"/>
    <xf numFmtId="0" fontId="79" fillId="0" borderId="0" xfId="496" applyFont="1" applyBorder="1" applyProtection="1"/>
    <xf numFmtId="3" fontId="12" fillId="0" borderId="10" xfId="0" applyNumberFormat="1" applyFont="1" applyBorder="1" applyAlignment="1" applyProtection="1">
      <alignment vertical="center"/>
    </xf>
    <xf numFmtId="165" fontId="70" fillId="0" borderId="0" xfId="0" applyNumberFormat="1" applyFont="1" applyAlignment="1" applyProtection="1">
      <alignment vertical="center"/>
    </xf>
    <xf numFmtId="167" fontId="70" fillId="0" borderId="0" xfId="1121" applyNumberFormat="1" applyFont="1" applyAlignment="1" applyProtection="1">
      <alignment vertical="center"/>
    </xf>
    <xf numFmtId="3" fontId="12" fillId="25" borderId="10" xfId="0" applyNumberFormat="1" applyFont="1" applyFill="1" applyBorder="1" applyAlignment="1" applyProtection="1">
      <alignment horizontal="right" vertical="center"/>
    </xf>
    <xf numFmtId="3" fontId="12" fillId="25" borderId="11" xfId="0" applyNumberFormat="1" applyFont="1" applyFill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0" fontId="12" fillId="0" borderId="0" xfId="0" applyFont="1" applyAlignment="1" applyProtection="1">
      <alignment vertical="center"/>
    </xf>
    <xf numFmtId="0" fontId="70" fillId="0" borderId="0" xfId="0" applyFont="1" applyAlignment="1" applyProtection="1">
      <alignment vertical="center"/>
    </xf>
    <xf numFmtId="3" fontId="12" fillId="0" borderId="12" xfId="0" applyNumberFormat="1" applyFont="1" applyBorder="1" applyAlignment="1" applyProtection="1">
      <alignment vertical="center"/>
    </xf>
    <xf numFmtId="3" fontId="12" fillId="25" borderId="12" xfId="0" applyNumberFormat="1" applyFont="1" applyFill="1" applyBorder="1" applyAlignment="1" applyProtection="1">
      <alignment horizontal="right" vertical="center"/>
    </xf>
    <xf numFmtId="3" fontId="12" fillId="0" borderId="13" xfId="0" applyNumberFormat="1" applyFont="1" applyBorder="1" applyAlignment="1" applyProtection="1">
      <alignment vertical="center"/>
    </xf>
    <xf numFmtId="0" fontId="12" fillId="0" borderId="0" xfId="0" applyFont="1" applyProtection="1"/>
    <xf numFmtId="3" fontId="6" fillId="0" borderId="10" xfId="0" applyNumberFormat="1" applyFont="1" applyBorder="1" applyAlignment="1" applyProtection="1">
      <alignment vertical="center"/>
      <protection locked="0"/>
    </xf>
    <xf numFmtId="3" fontId="12" fillId="0" borderId="12" xfId="0" applyNumberFormat="1" applyFont="1" applyFill="1" applyBorder="1" applyAlignment="1" applyProtection="1">
      <alignment horizontal="right" vertical="center"/>
      <protection locked="0"/>
    </xf>
    <xf numFmtId="0" fontId="78" fillId="39" borderId="10" xfId="0" applyFont="1" applyFill="1" applyBorder="1" applyAlignment="1" applyProtection="1">
      <alignment horizontal="left" vertical="center" wrapText="1" indent="1"/>
    </xf>
    <xf numFmtId="0" fontId="27" fillId="39" borderId="10" xfId="0" applyFont="1" applyFill="1" applyBorder="1" applyAlignment="1" applyProtection="1">
      <alignment horizontal="left" vertical="center" wrapText="1" indent="1"/>
    </xf>
    <xf numFmtId="0" fontId="70" fillId="0" borderId="0" xfId="0" applyFont="1" applyProtection="1"/>
    <xf numFmtId="0" fontId="79" fillId="0" borderId="0" xfId="0" applyFont="1" applyProtection="1"/>
    <xf numFmtId="3" fontId="12" fillId="0" borderId="0" xfId="0" applyNumberFormat="1" applyFont="1" applyBorder="1" applyAlignment="1" applyProtection="1">
      <alignment horizontal="centerContinuous"/>
    </xf>
    <xf numFmtId="167" fontId="70" fillId="0" borderId="0" xfId="1121" applyNumberFormat="1" applyFont="1" applyProtection="1"/>
    <xf numFmtId="0" fontId="9" fillId="0" borderId="0" xfId="0" applyFont="1" applyAlignment="1" applyProtection="1">
      <alignment horizontal="center" vertical="center"/>
    </xf>
    <xf numFmtId="3" fontId="7" fillId="0" borderId="0" xfId="0" applyNumberFormat="1" applyFont="1" applyBorder="1" applyAlignment="1" applyProtection="1">
      <alignment horizontal="centerContinuous"/>
    </xf>
    <xf numFmtId="9" fontId="12" fillId="0" borderId="14" xfId="1108" applyFont="1" applyBorder="1" applyAlignment="1" applyProtection="1">
      <alignment horizontal="center" vertical="center"/>
    </xf>
    <xf numFmtId="9" fontId="12" fillId="0" borderId="15" xfId="1108" applyFont="1" applyBorder="1" applyAlignment="1" applyProtection="1">
      <alignment horizontal="center" vertical="center"/>
    </xf>
    <xf numFmtId="0" fontId="70" fillId="0" borderId="0" xfId="0" applyFont="1" applyAlignment="1" applyProtection="1">
      <alignment horizontal="center" vertical="center"/>
    </xf>
    <xf numFmtId="0" fontId="9" fillId="0" borderId="10" xfId="0" applyFont="1" applyBorder="1" applyAlignment="1" applyProtection="1">
      <alignment horizontal="center" vertical="center"/>
    </xf>
    <xf numFmtId="0" fontId="9" fillId="0" borderId="12" xfId="0" applyFont="1" applyBorder="1" applyAlignment="1" applyProtection="1">
      <alignment horizontal="center" vertical="center"/>
    </xf>
    <xf numFmtId="0" fontId="9" fillId="0" borderId="16" xfId="0" applyFont="1" applyBorder="1" applyAlignment="1" applyProtection="1">
      <alignment horizontal="center" vertical="center"/>
    </xf>
    <xf numFmtId="0" fontId="12" fillId="0" borderId="10" xfId="0" applyFont="1" applyBorder="1" applyAlignment="1" applyProtection="1">
      <alignment horizontal="center" vertical="center"/>
    </xf>
    <xf numFmtId="0" fontId="9" fillId="0" borderId="10" xfId="0" applyFont="1" applyBorder="1" applyAlignment="1" applyProtection="1">
      <alignment horizontal="right" vertical="center"/>
    </xf>
    <xf numFmtId="3" fontId="9" fillId="0" borderId="10" xfId="0" applyNumberFormat="1" applyFont="1" applyBorder="1" applyAlignment="1" applyProtection="1">
      <alignment horizontal="centerContinuous"/>
    </xf>
    <xf numFmtId="3" fontId="9" fillId="0" borderId="12" xfId="0" applyNumberFormat="1" applyFont="1" applyBorder="1" applyAlignment="1" applyProtection="1">
      <alignment horizontal="centerContinuous"/>
    </xf>
    <xf numFmtId="0" fontId="12" fillId="0" borderId="10" xfId="0" applyFont="1" applyFill="1" applyBorder="1" applyAlignment="1" applyProtection="1">
      <alignment vertical="center" wrapText="1"/>
    </xf>
    <xf numFmtId="0" fontId="79" fillId="0" borderId="0" xfId="0" applyFont="1" applyAlignment="1" applyProtection="1">
      <alignment vertical="center"/>
    </xf>
    <xf numFmtId="165" fontId="12" fillId="0" borderId="0" xfId="0" applyNumberFormat="1" applyFont="1" applyAlignment="1" applyProtection="1">
      <alignment vertical="center"/>
    </xf>
    <xf numFmtId="167" fontId="12" fillId="0" borderId="0" xfId="1121" applyNumberFormat="1" applyFont="1" applyAlignment="1" applyProtection="1">
      <alignment vertical="center"/>
    </xf>
    <xf numFmtId="0" fontId="6" fillId="0" borderId="10" xfId="0" applyFont="1" applyFill="1" applyBorder="1" applyAlignment="1" applyProtection="1">
      <alignment vertical="center" wrapText="1"/>
    </xf>
    <xf numFmtId="0" fontId="12" fillId="40" borderId="0" xfId="0" applyFont="1" applyFill="1" applyAlignment="1" applyProtection="1">
      <alignment vertical="center"/>
    </xf>
    <xf numFmtId="0" fontId="9" fillId="0" borderId="16" xfId="0" applyFont="1" applyFill="1" applyBorder="1" applyAlignment="1" applyProtection="1">
      <alignment horizontal="center" vertical="center"/>
    </xf>
    <xf numFmtId="170" fontId="70" fillId="0" borderId="0" xfId="1121" applyNumberFormat="1" applyFont="1" applyAlignment="1" applyProtection="1">
      <alignment vertical="center"/>
    </xf>
    <xf numFmtId="166" fontId="70" fillId="0" borderId="0" xfId="1121" applyFont="1" applyAlignment="1" applyProtection="1">
      <alignment vertical="center"/>
    </xf>
    <xf numFmtId="0" fontId="9" fillId="0" borderId="17" xfId="0" applyFont="1" applyBorder="1" applyAlignment="1" applyProtection="1">
      <alignment horizontal="center" vertical="center"/>
    </xf>
    <xf numFmtId="0" fontId="12" fillId="0" borderId="11" xfId="0" applyFont="1" applyFill="1" applyBorder="1" applyAlignment="1" applyProtection="1">
      <alignment vertical="center" wrapText="1"/>
    </xf>
    <xf numFmtId="0" fontId="9" fillId="0" borderId="0" xfId="0" applyFont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vertical="center" wrapText="1"/>
    </xf>
    <xf numFmtId="0" fontId="12" fillId="0" borderId="0" xfId="0" applyFont="1" applyBorder="1" applyAlignment="1" applyProtection="1">
      <alignment horizontal="left" vertical="center" wrapText="1"/>
    </xf>
    <xf numFmtId="9" fontId="9" fillId="0" borderId="14" xfId="0" applyNumberFormat="1" applyFont="1" applyFill="1" applyBorder="1" applyAlignment="1" applyProtection="1">
      <alignment horizontal="center" vertical="center"/>
    </xf>
    <xf numFmtId="9" fontId="9" fillId="0" borderId="14" xfId="0" applyNumberFormat="1" applyFont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16" xfId="0" applyFont="1" applyBorder="1" applyAlignment="1" applyProtection="1">
      <alignment horizontal="center" vertical="center" wrapText="1"/>
    </xf>
    <xf numFmtId="3" fontId="12" fillId="25" borderId="10" xfId="0" applyNumberFormat="1" applyFont="1" applyFill="1" applyBorder="1" applyAlignment="1" applyProtection="1">
      <alignment horizontal="center" vertical="center"/>
    </xf>
    <xf numFmtId="3" fontId="70" fillId="0" borderId="0" xfId="0" applyNumberFormat="1" applyFont="1" applyAlignment="1" applyProtection="1">
      <alignment vertical="center"/>
    </xf>
    <xf numFmtId="167" fontId="70" fillId="0" borderId="0" xfId="0" applyNumberFormat="1" applyFont="1" applyAlignment="1" applyProtection="1">
      <alignment vertical="center"/>
    </xf>
    <xf numFmtId="0" fontId="9" fillId="0" borderId="17" xfId="0" applyFont="1" applyBorder="1" applyAlignment="1" applyProtection="1">
      <alignment horizontal="center" vertical="center" wrapText="1"/>
    </xf>
    <xf numFmtId="3" fontId="12" fillId="25" borderId="11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Protection="1"/>
    <xf numFmtId="3" fontId="12" fillId="25" borderId="10" xfId="0" applyNumberFormat="1" applyFont="1" applyFill="1" applyBorder="1" applyAlignment="1" applyProtection="1">
      <alignment horizontal="right" vertical="center"/>
      <protection locked="0"/>
    </xf>
    <xf numFmtId="165" fontId="81" fillId="0" borderId="0" xfId="0" applyNumberFormat="1" applyFont="1" applyAlignment="1" applyProtection="1">
      <alignment vertical="center"/>
    </xf>
    <xf numFmtId="167" fontId="81" fillId="0" borderId="0" xfId="1121" applyNumberFormat="1" applyFont="1" applyAlignment="1" applyProtection="1">
      <alignment vertical="center"/>
    </xf>
    <xf numFmtId="0" fontId="81" fillId="0" borderId="0" xfId="0" applyFont="1" applyAlignment="1" applyProtection="1">
      <alignment vertical="center"/>
    </xf>
    <xf numFmtId="170" fontId="81" fillId="0" borderId="0" xfId="1121" applyNumberFormat="1" applyFont="1" applyAlignment="1" applyProtection="1">
      <alignment vertical="center"/>
    </xf>
    <xf numFmtId="166" fontId="81" fillId="0" borderId="0" xfId="1121" applyFont="1" applyAlignment="1" applyProtection="1">
      <alignment vertical="center"/>
    </xf>
    <xf numFmtId="3" fontId="24" fillId="0" borderId="10" xfId="1121" applyNumberFormat="1" applyFont="1" applyFill="1" applyBorder="1" applyAlignment="1" applyProtection="1">
      <alignment horizontal="center" wrapText="1"/>
      <protection locked="0"/>
    </xf>
    <xf numFmtId="0" fontId="12" fillId="0" borderId="0" xfId="496" applyFont="1" applyAlignment="1" applyProtection="1">
      <alignment vertical="center"/>
    </xf>
    <xf numFmtId="0" fontId="12" fillId="0" borderId="0" xfId="496" applyFont="1" applyProtection="1"/>
    <xf numFmtId="0" fontId="6" fillId="0" borderId="10" xfId="0" applyFont="1" applyFill="1" applyBorder="1" applyAlignment="1" applyProtection="1">
      <alignment horizontal="center" vertical="center" wrapText="1"/>
    </xf>
    <xf numFmtId="0" fontId="6" fillId="0" borderId="10" xfId="0" applyFont="1" applyFill="1" applyBorder="1" applyAlignment="1" applyProtection="1">
      <alignment horizontal="left" vertical="center" wrapText="1" indent="1"/>
    </xf>
    <xf numFmtId="0" fontId="12" fillId="0" borderId="12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168" fontId="12" fillId="0" borderId="0" xfId="0" applyNumberFormat="1" applyFont="1" applyBorder="1" applyAlignment="1" applyProtection="1">
      <alignment horizontal="center"/>
      <protection locked="0"/>
    </xf>
    <xf numFmtId="3" fontId="7" fillId="0" borderId="0" xfId="0" applyNumberFormat="1" applyFont="1" applyBorder="1" applyAlignment="1" applyProtection="1">
      <alignment horizontal="center"/>
    </xf>
    <xf numFmtId="3" fontId="72" fillId="0" borderId="0" xfId="0" applyNumberFormat="1" applyFont="1" applyFill="1" applyAlignment="1" applyProtection="1">
      <alignment vertical="center"/>
    </xf>
    <xf numFmtId="0" fontId="70" fillId="0" borderId="0" xfId="496" applyFont="1" applyAlignment="1" applyProtection="1">
      <alignment vertical="center"/>
    </xf>
    <xf numFmtId="0" fontId="82" fillId="0" borderId="0" xfId="496" applyFont="1" applyProtection="1"/>
    <xf numFmtId="0" fontId="83" fillId="0" borderId="10" xfId="0" applyFont="1" applyBorder="1" applyAlignment="1" applyProtection="1">
      <alignment horizontal="left" vertical="center" wrapText="1" indent="2"/>
    </xf>
    <xf numFmtId="0" fontId="84" fillId="0" borderId="0" xfId="0" applyFont="1" applyProtection="1"/>
    <xf numFmtId="0" fontId="85" fillId="0" borderId="0" xfId="0" applyFont="1" applyAlignment="1" applyProtection="1">
      <alignment horizontal="center"/>
    </xf>
    <xf numFmtId="166" fontId="84" fillId="0" borderId="0" xfId="1121" applyFont="1" applyBorder="1" applyProtection="1"/>
    <xf numFmtId="0" fontId="84" fillId="0" borderId="0" xfId="0" applyFont="1" applyAlignment="1" applyProtection="1">
      <alignment vertical="center"/>
    </xf>
    <xf numFmtId="0" fontId="86" fillId="0" borderId="0" xfId="0" applyFont="1" applyFill="1" applyAlignment="1" applyProtection="1">
      <alignment vertical="center"/>
    </xf>
    <xf numFmtId="166" fontId="86" fillId="0" borderId="0" xfId="1121" applyFont="1" applyFill="1" applyBorder="1" applyAlignment="1" applyProtection="1">
      <alignment vertical="center"/>
    </xf>
    <xf numFmtId="0" fontId="84" fillId="0" borderId="0" xfId="0" applyFont="1" applyFill="1" applyAlignment="1" applyProtection="1">
      <alignment vertical="center"/>
    </xf>
    <xf numFmtId="3" fontId="87" fillId="0" borderId="0" xfId="0" applyNumberFormat="1" applyFont="1" applyProtection="1"/>
    <xf numFmtId="166" fontId="87" fillId="0" borderId="0" xfId="1121" applyFont="1" applyBorder="1" applyProtection="1"/>
    <xf numFmtId="0" fontId="87" fillId="0" borderId="0" xfId="0" applyFont="1" applyProtection="1"/>
    <xf numFmtId="0" fontId="87" fillId="0" borderId="0" xfId="0" applyFont="1" applyAlignment="1" applyProtection="1">
      <alignment vertical="center"/>
    </xf>
    <xf numFmtId="166" fontId="87" fillId="0" borderId="0" xfId="1121" applyFont="1" applyBorder="1" applyAlignment="1" applyProtection="1">
      <alignment vertical="center"/>
    </xf>
    <xf numFmtId="167" fontId="87" fillId="0" borderId="0" xfId="1121" applyNumberFormat="1" applyFont="1" applyAlignment="1" applyProtection="1">
      <alignment vertical="center"/>
    </xf>
    <xf numFmtId="0" fontId="73" fillId="0" borderId="0" xfId="0" applyFont="1" applyFill="1" applyAlignment="1" applyProtection="1">
      <alignment vertical="center"/>
    </xf>
    <xf numFmtId="0" fontId="73" fillId="0" borderId="0" xfId="0" applyFont="1" applyAlignment="1" applyProtection="1">
      <alignment vertical="center"/>
    </xf>
    <xf numFmtId="0" fontId="88" fillId="0" borderId="0" xfId="0" applyFont="1"/>
    <xf numFmtId="3" fontId="12" fillId="0" borderId="10" xfId="0" applyNumberFormat="1" applyFont="1" applyFill="1" applyBorder="1" applyAlignment="1" applyProtection="1">
      <alignment horizontal="center" vertical="center" wrapText="1"/>
      <protection locked="0"/>
    </xf>
    <xf numFmtId="3" fontId="12" fillId="41" borderId="10" xfId="0" applyNumberFormat="1" applyFont="1" applyFill="1" applyBorder="1" applyAlignment="1" applyProtection="1">
      <alignment horizontal="right" vertical="center"/>
      <protection locked="0"/>
    </xf>
    <xf numFmtId="0" fontId="12" fillId="0" borderId="18" xfId="0" applyFont="1" applyFill="1" applyBorder="1" applyAlignment="1" applyProtection="1">
      <alignment horizontal="left" vertical="center" wrapText="1"/>
    </xf>
    <xf numFmtId="0" fontId="12" fillId="0" borderId="19" xfId="0" applyFont="1" applyFill="1" applyBorder="1" applyAlignment="1" applyProtection="1">
      <alignment horizontal="left" vertical="center" wrapText="1"/>
    </xf>
    <xf numFmtId="3" fontId="6" fillId="0" borderId="10" xfId="1121" applyNumberFormat="1" applyFont="1" applyFill="1" applyBorder="1" applyAlignment="1" applyProtection="1">
      <alignment horizontal="center" vertical="center" wrapText="1"/>
      <protection locked="0"/>
    </xf>
    <xf numFmtId="3" fontId="6" fillId="0" borderId="10" xfId="1121" applyNumberFormat="1" applyFont="1" applyFill="1" applyBorder="1" applyAlignment="1" applyProtection="1">
      <alignment horizontal="center" wrapText="1"/>
      <protection locked="0"/>
    </xf>
    <xf numFmtId="170" fontId="83" fillId="42" borderId="10" xfId="1121" applyNumberFormat="1" applyFont="1" applyFill="1" applyBorder="1" applyAlignment="1" applyProtection="1">
      <alignment horizontal="center" vertical="center" wrapText="1"/>
      <protection locked="0"/>
    </xf>
    <xf numFmtId="3" fontId="12" fillId="0" borderId="10" xfId="0" applyNumberFormat="1" applyFont="1" applyFill="1" applyBorder="1" applyAlignment="1" applyProtection="1">
      <alignment horizontal="center" vertical="center" wrapText="1"/>
    </xf>
    <xf numFmtId="3" fontId="12" fillId="0" borderId="10" xfId="0" applyNumberFormat="1" applyFont="1" applyBorder="1" applyAlignment="1" applyProtection="1">
      <alignment horizontal="right" vertical="center"/>
    </xf>
    <xf numFmtId="3" fontId="6" fillId="0" borderId="10" xfId="0" applyNumberFormat="1" applyFont="1" applyBorder="1" applyAlignment="1" applyProtection="1">
      <alignment vertical="center"/>
    </xf>
    <xf numFmtId="3" fontId="12" fillId="41" borderId="10" xfId="0" applyNumberFormat="1" applyFont="1" applyFill="1" applyBorder="1" applyAlignment="1" applyProtection="1">
      <alignment horizontal="right" vertical="center"/>
    </xf>
    <xf numFmtId="3" fontId="12" fillId="0" borderId="12" xfId="0" applyNumberFormat="1" applyFont="1" applyFill="1" applyBorder="1" applyAlignment="1" applyProtection="1">
      <alignment horizontal="right" vertical="center"/>
    </xf>
    <xf numFmtId="0" fontId="14" fillId="0" borderId="0" xfId="0" applyFont="1" applyBorder="1" applyAlignment="1" applyProtection="1">
      <alignment horizontal="center" vertical="center"/>
    </xf>
    <xf numFmtId="0" fontId="15" fillId="0" borderId="0" xfId="0" applyFont="1" applyBorder="1" applyAlignment="1" applyProtection="1">
      <alignment horizontal="center" vertical="center"/>
    </xf>
    <xf numFmtId="0" fontId="12" fillId="0" borderId="18" xfId="0" applyFont="1" applyFill="1" applyBorder="1" applyAlignment="1" applyProtection="1">
      <alignment horizontal="left" vertical="center" wrapText="1"/>
    </xf>
    <xf numFmtId="0" fontId="12" fillId="0" borderId="19" xfId="0" applyFont="1" applyFill="1" applyBorder="1" applyAlignment="1" applyProtection="1">
      <alignment horizontal="left" vertical="center" wrapText="1"/>
    </xf>
    <xf numFmtId="0" fontId="12" fillId="0" borderId="27" xfId="0" applyFont="1" applyFill="1" applyBorder="1" applyAlignment="1" applyProtection="1">
      <alignment horizontal="left" vertical="center" wrapText="1"/>
    </xf>
    <xf numFmtId="0" fontId="12" fillId="0" borderId="28" xfId="0" applyFont="1" applyFill="1" applyBorder="1" applyAlignment="1" applyProtection="1">
      <alignment horizontal="left" vertical="center" wrapText="1"/>
    </xf>
    <xf numFmtId="0" fontId="9" fillId="0" borderId="18" xfId="0" applyFont="1" applyBorder="1" applyAlignment="1" applyProtection="1">
      <alignment horizontal="center" vertical="center"/>
    </xf>
    <xf numFmtId="0" fontId="9" fillId="0" borderId="19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 wrapText="1"/>
    </xf>
    <xf numFmtId="0" fontId="9" fillId="0" borderId="20" xfId="0" applyFont="1" applyBorder="1" applyAlignment="1" applyProtection="1">
      <alignment horizontal="center" vertical="center"/>
    </xf>
    <xf numFmtId="0" fontId="9" fillId="0" borderId="16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/>
    </xf>
    <xf numFmtId="0" fontId="9" fillId="0" borderId="10" xfId="0" applyFont="1" applyBorder="1" applyAlignment="1" applyProtection="1">
      <alignment horizontal="center" vertical="center"/>
    </xf>
    <xf numFmtId="0" fontId="9" fillId="0" borderId="20" xfId="0" applyFont="1" applyBorder="1" applyAlignment="1" applyProtection="1">
      <alignment horizontal="center" vertical="center" wrapText="1"/>
    </xf>
    <xf numFmtId="0" fontId="9" fillId="0" borderId="16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9" fillId="0" borderId="12" xfId="0" applyFont="1" applyBorder="1" applyAlignment="1" applyProtection="1">
      <alignment horizontal="center" vertical="center" wrapText="1"/>
    </xf>
    <xf numFmtId="0" fontId="9" fillId="0" borderId="10" xfId="0" applyFont="1" applyFill="1" applyBorder="1" applyAlignment="1" applyProtection="1">
      <alignment horizontal="center" vertical="center"/>
    </xf>
    <xf numFmtId="0" fontId="12" fillId="0" borderId="10" xfId="0" applyFont="1" applyFill="1" applyBorder="1" applyAlignment="1" applyProtection="1">
      <alignment horizontal="center" vertical="center"/>
    </xf>
    <xf numFmtId="0" fontId="12" fillId="0" borderId="10" xfId="0" applyFont="1" applyBorder="1" applyAlignment="1" applyProtection="1">
      <alignment horizontal="center" vertical="center"/>
    </xf>
    <xf numFmtId="0" fontId="9" fillId="0" borderId="21" xfId="0" applyFont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horizontal="center" vertical="center"/>
    </xf>
    <xf numFmtId="0" fontId="9" fillId="0" borderId="23" xfId="0" applyFont="1" applyBorder="1" applyAlignment="1" applyProtection="1">
      <alignment horizontal="center" vertical="center"/>
    </xf>
    <xf numFmtId="0" fontId="9" fillId="0" borderId="24" xfId="0" applyFont="1" applyBorder="1" applyAlignment="1" applyProtection="1">
      <alignment horizontal="center" vertical="center"/>
    </xf>
    <xf numFmtId="0" fontId="9" fillId="0" borderId="25" xfId="0" applyFont="1" applyBorder="1" applyAlignment="1" applyProtection="1">
      <alignment horizontal="center" vertical="center"/>
    </xf>
    <xf numFmtId="0" fontId="9" fillId="0" borderId="26" xfId="0" applyFont="1" applyBorder="1" applyAlignment="1" applyProtection="1">
      <alignment horizontal="center" vertical="center"/>
    </xf>
    <xf numFmtId="168" fontId="12" fillId="0" borderId="0" xfId="0" applyNumberFormat="1" applyFont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 vertical="center"/>
    </xf>
    <xf numFmtId="0" fontId="9" fillId="0" borderId="21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9" fillId="0" borderId="24" xfId="0" applyFont="1" applyBorder="1" applyAlignment="1" applyProtection="1">
      <alignment horizontal="center" vertical="center" wrapText="1"/>
    </xf>
    <xf numFmtId="0" fontId="9" fillId="0" borderId="25" xfId="0" applyFont="1" applyBorder="1" applyAlignment="1" applyProtection="1">
      <alignment horizontal="center" vertical="center" wrapText="1"/>
    </xf>
    <xf numFmtId="0" fontId="9" fillId="0" borderId="26" xfId="0" applyFont="1" applyBorder="1" applyAlignment="1" applyProtection="1">
      <alignment horizontal="center" vertical="center" wrapText="1"/>
    </xf>
    <xf numFmtId="9" fontId="12" fillId="0" borderId="18" xfId="0" applyNumberFormat="1" applyFont="1" applyBorder="1" applyAlignment="1" applyProtection="1">
      <alignment horizontal="center" vertical="center"/>
    </xf>
    <xf numFmtId="9" fontId="12" fillId="0" borderId="19" xfId="0" applyNumberFormat="1" applyFont="1" applyBorder="1" applyAlignment="1" applyProtection="1">
      <alignment horizontal="center" vertical="center"/>
    </xf>
    <xf numFmtId="0" fontId="9" fillId="0" borderId="29" xfId="0" applyFont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 vertical="center"/>
    </xf>
    <xf numFmtId="0" fontId="9" fillId="0" borderId="31" xfId="0" applyFont="1" applyBorder="1" applyAlignment="1" applyProtection="1">
      <alignment horizontal="center" vertical="center"/>
    </xf>
    <xf numFmtId="169" fontId="12" fillId="0" borderId="18" xfId="0" applyNumberFormat="1" applyFont="1" applyBorder="1" applyAlignment="1" applyProtection="1">
      <alignment horizontal="center" vertical="center"/>
    </xf>
    <xf numFmtId="169" fontId="12" fillId="0" borderId="19" xfId="0" applyNumberFormat="1" applyFont="1" applyBorder="1" applyAlignment="1" applyProtection="1">
      <alignment horizontal="center" vertical="center"/>
    </xf>
    <xf numFmtId="0" fontId="20" fillId="0" borderId="0" xfId="496" applyFont="1" applyAlignment="1" applyProtection="1">
      <alignment horizontal="center" vertical="center"/>
    </xf>
  </cellXfs>
  <cellStyles count="1288">
    <cellStyle name="”ќђќ‘ћ‚›‰" xfId="1"/>
    <cellStyle name="”љ‘ђћ‚ђќќ›‰" xfId="2"/>
    <cellStyle name="„…ќ…†ќ›‰" xfId="3"/>
    <cellStyle name="‡ђѓћ‹ћ‚ћљ1" xfId="4"/>
    <cellStyle name="‡ђѓћ‹ћ‚ћљ2" xfId="5"/>
    <cellStyle name="’ћѓћ‚›‰" xfId="6"/>
    <cellStyle name="" xfId="7"/>
    <cellStyle name="" xfId="8"/>
    <cellStyle name="" xfId="9"/>
    <cellStyle name="" xfId="10"/>
    <cellStyle name="" xfId="11"/>
    <cellStyle name="1" xfId="12"/>
    <cellStyle name="2" xfId="13"/>
    <cellStyle name="1 indent" xfId="14"/>
    <cellStyle name="2 indents" xfId="15"/>
    <cellStyle name="20% - Accent1" xfId="16"/>
    <cellStyle name="20% - Accent2" xfId="17"/>
    <cellStyle name="20% - Accent3" xfId="18"/>
    <cellStyle name="20% - Accent4" xfId="19"/>
    <cellStyle name="20% - Accent5" xfId="20"/>
    <cellStyle name="20% - Accent6" xfId="21"/>
    <cellStyle name="20% - Акцент1 10" xfId="22"/>
    <cellStyle name="20% - Акцент1 11" xfId="23"/>
    <cellStyle name="20% - Акцент1 12" xfId="24"/>
    <cellStyle name="20% - Акцент1 13" xfId="25"/>
    <cellStyle name="20% - Акцент1 14" xfId="26"/>
    <cellStyle name="20% - Акцент1 15" xfId="27"/>
    <cellStyle name="20% - Акцент1 16" xfId="28"/>
    <cellStyle name="20% - Акцент1 17" xfId="29"/>
    <cellStyle name="20% - Акцент1 18" xfId="30"/>
    <cellStyle name="20% - Акцент1 19" xfId="31"/>
    <cellStyle name="20% - Акцент1 2" xfId="32"/>
    <cellStyle name="20% - Акцент1 20" xfId="33"/>
    <cellStyle name="20% - Акцент1 21" xfId="34"/>
    <cellStyle name="20% - Акцент1 22" xfId="35"/>
    <cellStyle name="20% - Акцент1 23" xfId="36"/>
    <cellStyle name="20% - Акцент1 24" xfId="37"/>
    <cellStyle name="20% - Акцент1 25" xfId="38"/>
    <cellStyle name="20% - Акцент1 26" xfId="39"/>
    <cellStyle name="20% - Акцент1 3" xfId="40"/>
    <cellStyle name="20% - Акцент1 4" xfId="41"/>
    <cellStyle name="20% - Акцент1 5" xfId="42"/>
    <cellStyle name="20% - Акцент1 6" xfId="43"/>
    <cellStyle name="20% - Акцент1 7" xfId="44"/>
    <cellStyle name="20% - Акцент1 8" xfId="45"/>
    <cellStyle name="20% - Акцент1 9" xfId="46"/>
    <cellStyle name="20% - Акцент2 10" xfId="47"/>
    <cellStyle name="20% - Акцент2 11" xfId="48"/>
    <cellStyle name="20% - Акцент2 12" xfId="49"/>
    <cellStyle name="20% - Акцент2 13" xfId="50"/>
    <cellStyle name="20% - Акцент2 14" xfId="51"/>
    <cellStyle name="20% - Акцент2 15" xfId="52"/>
    <cellStyle name="20% - Акцент2 16" xfId="53"/>
    <cellStyle name="20% - Акцент2 17" xfId="54"/>
    <cellStyle name="20% - Акцент2 18" xfId="55"/>
    <cellStyle name="20% - Акцент2 19" xfId="56"/>
    <cellStyle name="20% - Акцент2 2" xfId="57"/>
    <cellStyle name="20% - Акцент2 20" xfId="58"/>
    <cellStyle name="20% - Акцент2 21" xfId="59"/>
    <cellStyle name="20% - Акцент2 22" xfId="60"/>
    <cellStyle name="20% - Акцент2 23" xfId="61"/>
    <cellStyle name="20% - Акцент2 24" xfId="62"/>
    <cellStyle name="20% - Акцент2 25" xfId="63"/>
    <cellStyle name="20% - Акцент2 26" xfId="64"/>
    <cellStyle name="20% - Акцент2 3" xfId="65"/>
    <cellStyle name="20% - Акцент2 4" xfId="66"/>
    <cellStyle name="20% - Акцент2 5" xfId="67"/>
    <cellStyle name="20% - Акцент2 6" xfId="68"/>
    <cellStyle name="20% - Акцент2 7" xfId="69"/>
    <cellStyle name="20% - Акцент2 8" xfId="70"/>
    <cellStyle name="20% - Акцент2 9" xfId="71"/>
    <cellStyle name="20% - Акцент3 10" xfId="72"/>
    <cellStyle name="20% - Акцент3 11" xfId="73"/>
    <cellStyle name="20% - Акцент3 12" xfId="74"/>
    <cellStyle name="20% - Акцент3 13" xfId="75"/>
    <cellStyle name="20% - Акцент3 14" xfId="76"/>
    <cellStyle name="20% - Акцент3 15" xfId="77"/>
    <cellStyle name="20% - Акцент3 16" xfId="78"/>
    <cellStyle name="20% - Акцент3 17" xfId="79"/>
    <cellStyle name="20% - Акцент3 18" xfId="80"/>
    <cellStyle name="20% - Акцент3 19" xfId="81"/>
    <cellStyle name="20% - Акцент3 2" xfId="82"/>
    <cellStyle name="20% - Акцент3 20" xfId="83"/>
    <cellStyle name="20% - Акцент3 21" xfId="84"/>
    <cellStyle name="20% - Акцент3 22" xfId="85"/>
    <cellStyle name="20% - Акцент3 23" xfId="86"/>
    <cellStyle name="20% - Акцент3 24" xfId="87"/>
    <cellStyle name="20% - Акцент3 25" xfId="88"/>
    <cellStyle name="20% - Акцент3 26" xfId="89"/>
    <cellStyle name="20% - Акцент3 3" xfId="90"/>
    <cellStyle name="20% - Акцент3 4" xfId="91"/>
    <cellStyle name="20% - Акцент3 5" xfId="92"/>
    <cellStyle name="20% - Акцент3 6" xfId="93"/>
    <cellStyle name="20% - Акцент3 7" xfId="94"/>
    <cellStyle name="20% - Акцент3 8" xfId="95"/>
    <cellStyle name="20% - Акцент3 9" xfId="96"/>
    <cellStyle name="20% - Акцент4 10" xfId="97"/>
    <cellStyle name="20% - Акцент4 11" xfId="98"/>
    <cellStyle name="20% - Акцент4 12" xfId="99"/>
    <cellStyle name="20% - Акцент4 13" xfId="100"/>
    <cellStyle name="20% - Акцент4 14" xfId="101"/>
    <cellStyle name="20% - Акцент4 15" xfId="102"/>
    <cellStyle name="20% - Акцент4 16" xfId="103"/>
    <cellStyle name="20% - Акцент4 17" xfId="104"/>
    <cellStyle name="20% - Акцент4 18" xfId="105"/>
    <cellStyle name="20% - Акцент4 19" xfId="106"/>
    <cellStyle name="20% - Акцент4 2" xfId="107"/>
    <cellStyle name="20% - Акцент4 20" xfId="108"/>
    <cellStyle name="20% - Акцент4 21" xfId="109"/>
    <cellStyle name="20% - Акцент4 22" xfId="110"/>
    <cellStyle name="20% - Акцент4 23" xfId="111"/>
    <cellStyle name="20% - Акцент4 24" xfId="112"/>
    <cellStyle name="20% - Акцент4 25" xfId="113"/>
    <cellStyle name="20% - Акцент4 26" xfId="114"/>
    <cellStyle name="20% - Акцент4 3" xfId="115"/>
    <cellStyle name="20% - Акцент4 4" xfId="116"/>
    <cellStyle name="20% - Акцент4 5" xfId="117"/>
    <cellStyle name="20% - Акцент4 6" xfId="118"/>
    <cellStyle name="20% - Акцент4 7" xfId="119"/>
    <cellStyle name="20% - Акцент4 8" xfId="120"/>
    <cellStyle name="20% - Акцент4 9" xfId="121"/>
    <cellStyle name="20% - Акцент5 10" xfId="122"/>
    <cellStyle name="20% - Акцент5 11" xfId="123"/>
    <cellStyle name="20% - Акцент5 12" xfId="124"/>
    <cellStyle name="20% - Акцент5 13" xfId="125"/>
    <cellStyle name="20% - Акцент5 14" xfId="126"/>
    <cellStyle name="20% - Акцент5 15" xfId="127"/>
    <cellStyle name="20% - Акцент5 16" xfId="128"/>
    <cellStyle name="20% - Акцент5 17" xfId="129"/>
    <cellStyle name="20% - Акцент5 18" xfId="130"/>
    <cellStyle name="20% - Акцент5 19" xfId="131"/>
    <cellStyle name="20% - Акцент5 2" xfId="132"/>
    <cellStyle name="20% - Акцент5 20" xfId="133"/>
    <cellStyle name="20% - Акцент5 21" xfId="134"/>
    <cellStyle name="20% - Акцент5 22" xfId="135"/>
    <cellStyle name="20% - Акцент5 23" xfId="136"/>
    <cellStyle name="20% - Акцент5 24" xfId="137"/>
    <cellStyle name="20% - Акцент5 25" xfId="138"/>
    <cellStyle name="20% - Акцент5 26" xfId="139"/>
    <cellStyle name="20% - Акцент5 3" xfId="140"/>
    <cellStyle name="20% - Акцент5 4" xfId="141"/>
    <cellStyle name="20% - Акцент5 5" xfId="142"/>
    <cellStyle name="20% - Акцент5 6" xfId="143"/>
    <cellStyle name="20% - Акцент5 7" xfId="144"/>
    <cellStyle name="20% - Акцент5 8" xfId="145"/>
    <cellStyle name="20% - Акцент5 9" xfId="146"/>
    <cellStyle name="20% - Акцент6 10" xfId="147"/>
    <cellStyle name="20% - Акцент6 11" xfId="148"/>
    <cellStyle name="20% - Акцент6 12" xfId="149"/>
    <cellStyle name="20% - Акцент6 13" xfId="150"/>
    <cellStyle name="20% - Акцент6 14" xfId="151"/>
    <cellStyle name="20% - Акцент6 15" xfId="152"/>
    <cellStyle name="20% - Акцент6 16" xfId="153"/>
    <cellStyle name="20% - Акцент6 17" xfId="154"/>
    <cellStyle name="20% - Акцент6 18" xfId="155"/>
    <cellStyle name="20% - Акцент6 19" xfId="156"/>
    <cellStyle name="20% - Акцент6 2" xfId="157"/>
    <cellStyle name="20% - Акцент6 20" xfId="158"/>
    <cellStyle name="20% - Акцент6 21" xfId="159"/>
    <cellStyle name="20% - Акцент6 22" xfId="160"/>
    <cellStyle name="20% - Акцент6 23" xfId="161"/>
    <cellStyle name="20% - Акцент6 24" xfId="162"/>
    <cellStyle name="20% - Акцент6 25" xfId="163"/>
    <cellStyle name="20% - Акцент6 26" xfId="164"/>
    <cellStyle name="20% - Акцент6 3" xfId="165"/>
    <cellStyle name="20% - Акцент6 4" xfId="166"/>
    <cellStyle name="20% - Акцент6 5" xfId="167"/>
    <cellStyle name="20% - Акцент6 6" xfId="168"/>
    <cellStyle name="20% - Акцент6 7" xfId="169"/>
    <cellStyle name="20% - Акцент6 8" xfId="170"/>
    <cellStyle name="20% - Акцент6 9" xfId="171"/>
    <cellStyle name="4 indents" xfId="172"/>
    <cellStyle name="40% - Accent1" xfId="173"/>
    <cellStyle name="40% - Accent2" xfId="174"/>
    <cellStyle name="40% - Accent3" xfId="175"/>
    <cellStyle name="40% - Accent4" xfId="176"/>
    <cellStyle name="40% - Accent5" xfId="177"/>
    <cellStyle name="40% - Accent6" xfId="178"/>
    <cellStyle name="40% - Акцент1 10" xfId="179"/>
    <cellStyle name="40% - Акцент1 11" xfId="180"/>
    <cellStyle name="40% - Акцент1 12" xfId="181"/>
    <cellStyle name="40% - Акцент1 13" xfId="182"/>
    <cellStyle name="40% - Акцент1 14" xfId="183"/>
    <cellStyle name="40% - Акцент1 15" xfId="184"/>
    <cellStyle name="40% - Акцент1 16" xfId="185"/>
    <cellStyle name="40% - Акцент1 17" xfId="186"/>
    <cellStyle name="40% - Акцент1 18" xfId="187"/>
    <cellStyle name="40% - Акцент1 19" xfId="188"/>
    <cellStyle name="40% - Акцент1 2" xfId="189"/>
    <cellStyle name="40% - Акцент1 20" xfId="190"/>
    <cellStyle name="40% - Акцент1 21" xfId="191"/>
    <cellStyle name="40% - Акцент1 22" xfId="192"/>
    <cellStyle name="40% - Акцент1 23" xfId="193"/>
    <cellStyle name="40% - Акцент1 24" xfId="194"/>
    <cellStyle name="40% - Акцент1 25" xfId="195"/>
    <cellStyle name="40% - Акцент1 26" xfId="196"/>
    <cellStyle name="40% - Акцент1 3" xfId="197"/>
    <cellStyle name="40% - Акцент1 4" xfId="198"/>
    <cellStyle name="40% - Акцент1 5" xfId="199"/>
    <cellStyle name="40% - Акцент1 6" xfId="200"/>
    <cellStyle name="40% - Акцент1 7" xfId="201"/>
    <cellStyle name="40% - Акцент1 8" xfId="202"/>
    <cellStyle name="40% - Акцент1 9" xfId="203"/>
    <cellStyle name="40% - Акцент2 10" xfId="204"/>
    <cellStyle name="40% - Акцент2 11" xfId="205"/>
    <cellStyle name="40% - Акцент2 12" xfId="206"/>
    <cellStyle name="40% - Акцент2 13" xfId="207"/>
    <cellStyle name="40% - Акцент2 14" xfId="208"/>
    <cellStyle name="40% - Акцент2 15" xfId="209"/>
    <cellStyle name="40% - Акцент2 16" xfId="210"/>
    <cellStyle name="40% - Акцент2 17" xfId="211"/>
    <cellStyle name="40% - Акцент2 18" xfId="212"/>
    <cellStyle name="40% - Акцент2 19" xfId="213"/>
    <cellStyle name="40% - Акцент2 2" xfId="214"/>
    <cellStyle name="40% - Акцент2 20" xfId="215"/>
    <cellStyle name="40% - Акцент2 21" xfId="216"/>
    <cellStyle name="40% - Акцент2 22" xfId="217"/>
    <cellStyle name="40% - Акцент2 23" xfId="218"/>
    <cellStyle name="40% - Акцент2 24" xfId="219"/>
    <cellStyle name="40% - Акцент2 25" xfId="220"/>
    <cellStyle name="40% - Акцент2 26" xfId="221"/>
    <cellStyle name="40% - Акцент2 3" xfId="222"/>
    <cellStyle name="40% - Акцент2 4" xfId="223"/>
    <cellStyle name="40% - Акцент2 5" xfId="224"/>
    <cellStyle name="40% - Акцент2 6" xfId="225"/>
    <cellStyle name="40% - Акцент2 7" xfId="226"/>
    <cellStyle name="40% - Акцент2 8" xfId="227"/>
    <cellStyle name="40% - Акцент2 9" xfId="228"/>
    <cellStyle name="40% - Акцент3 10" xfId="229"/>
    <cellStyle name="40% - Акцент3 11" xfId="230"/>
    <cellStyle name="40% - Акцент3 12" xfId="231"/>
    <cellStyle name="40% - Акцент3 13" xfId="232"/>
    <cellStyle name="40% - Акцент3 14" xfId="233"/>
    <cellStyle name="40% - Акцент3 15" xfId="234"/>
    <cellStyle name="40% - Акцент3 16" xfId="235"/>
    <cellStyle name="40% - Акцент3 17" xfId="236"/>
    <cellStyle name="40% - Акцент3 18" xfId="237"/>
    <cellStyle name="40% - Акцент3 19" xfId="238"/>
    <cellStyle name="40% - Акцент3 2" xfId="239"/>
    <cellStyle name="40% - Акцент3 20" xfId="240"/>
    <cellStyle name="40% - Акцент3 21" xfId="241"/>
    <cellStyle name="40% - Акцент3 22" xfId="242"/>
    <cellStyle name="40% - Акцент3 23" xfId="243"/>
    <cellStyle name="40% - Акцент3 24" xfId="244"/>
    <cellStyle name="40% - Акцент3 25" xfId="245"/>
    <cellStyle name="40% - Акцент3 26" xfId="246"/>
    <cellStyle name="40% - Акцент3 3" xfId="247"/>
    <cellStyle name="40% - Акцент3 4" xfId="248"/>
    <cellStyle name="40% - Акцент3 5" xfId="249"/>
    <cellStyle name="40% - Акцент3 6" xfId="250"/>
    <cellStyle name="40% - Акцент3 7" xfId="251"/>
    <cellStyle name="40% - Акцент3 8" xfId="252"/>
    <cellStyle name="40% - Акцент3 9" xfId="253"/>
    <cellStyle name="40% - Акцент4 10" xfId="254"/>
    <cellStyle name="40% - Акцент4 11" xfId="255"/>
    <cellStyle name="40% - Акцент4 12" xfId="256"/>
    <cellStyle name="40% - Акцент4 13" xfId="257"/>
    <cellStyle name="40% - Акцент4 14" xfId="258"/>
    <cellStyle name="40% - Акцент4 15" xfId="259"/>
    <cellStyle name="40% - Акцент4 16" xfId="260"/>
    <cellStyle name="40% - Акцент4 17" xfId="261"/>
    <cellStyle name="40% - Акцент4 18" xfId="262"/>
    <cellStyle name="40% - Акцент4 19" xfId="263"/>
    <cellStyle name="40% - Акцент4 2" xfId="264"/>
    <cellStyle name="40% - Акцент4 20" xfId="265"/>
    <cellStyle name="40% - Акцент4 21" xfId="266"/>
    <cellStyle name="40% - Акцент4 22" xfId="267"/>
    <cellStyle name="40% - Акцент4 23" xfId="268"/>
    <cellStyle name="40% - Акцент4 24" xfId="269"/>
    <cellStyle name="40% - Акцент4 25" xfId="270"/>
    <cellStyle name="40% - Акцент4 26" xfId="271"/>
    <cellStyle name="40% - Акцент4 3" xfId="272"/>
    <cellStyle name="40% - Акцент4 4" xfId="273"/>
    <cellStyle name="40% - Акцент4 5" xfId="274"/>
    <cellStyle name="40% - Акцент4 6" xfId="275"/>
    <cellStyle name="40% - Акцент4 7" xfId="276"/>
    <cellStyle name="40% - Акцент4 8" xfId="277"/>
    <cellStyle name="40% - Акцент4 9" xfId="278"/>
    <cellStyle name="40% - Акцент5 10" xfId="279"/>
    <cellStyle name="40% - Акцент5 11" xfId="280"/>
    <cellStyle name="40% - Акцент5 12" xfId="281"/>
    <cellStyle name="40% - Акцент5 13" xfId="282"/>
    <cellStyle name="40% - Акцент5 14" xfId="283"/>
    <cellStyle name="40% - Акцент5 15" xfId="284"/>
    <cellStyle name="40% - Акцент5 16" xfId="285"/>
    <cellStyle name="40% - Акцент5 17" xfId="286"/>
    <cellStyle name="40% - Акцент5 18" xfId="287"/>
    <cellStyle name="40% - Акцент5 19" xfId="288"/>
    <cellStyle name="40% - Акцент5 2" xfId="289"/>
    <cellStyle name="40% - Акцент5 20" xfId="290"/>
    <cellStyle name="40% - Акцент5 21" xfId="291"/>
    <cellStyle name="40% - Акцент5 22" xfId="292"/>
    <cellStyle name="40% - Акцент5 23" xfId="293"/>
    <cellStyle name="40% - Акцент5 24" xfId="294"/>
    <cellStyle name="40% - Акцент5 25" xfId="295"/>
    <cellStyle name="40% - Акцент5 26" xfId="296"/>
    <cellStyle name="40% - Акцент5 3" xfId="297"/>
    <cellStyle name="40% - Акцент5 4" xfId="298"/>
    <cellStyle name="40% - Акцент5 5" xfId="299"/>
    <cellStyle name="40% - Акцент5 6" xfId="300"/>
    <cellStyle name="40% - Акцент5 7" xfId="301"/>
    <cellStyle name="40% - Акцент5 8" xfId="302"/>
    <cellStyle name="40% - Акцент5 9" xfId="303"/>
    <cellStyle name="40% - Акцент6 10" xfId="304"/>
    <cellStyle name="40% - Акцент6 11" xfId="305"/>
    <cellStyle name="40% - Акцент6 12" xfId="306"/>
    <cellStyle name="40% - Акцент6 13" xfId="307"/>
    <cellStyle name="40% - Акцент6 14" xfId="308"/>
    <cellStyle name="40% - Акцент6 15" xfId="309"/>
    <cellStyle name="40% - Акцент6 16" xfId="310"/>
    <cellStyle name="40% - Акцент6 17" xfId="311"/>
    <cellStyle name="40% - Акцент6 18" xfId="312"/>
    <cellStyle name="40% - Акцент6 19" xfId="313"/>
    <cellStyle name="40% - Акцент6 2" xfId="314"/>
    <cellStyle name="40% - Акцент6 20" xfId="315"/>
    <cellStyle name="40% - Акцент6 21" xfId="316"/>
    <cellStyle name="40% - Акцент6 22" xfId="317"/>
    <cellStyle name="40% - Акцент6 23" xfId="318"/>
    <cellStyle name="40% - Акцент6 24" xfId="319"/>
    <cellStyle name="40% - Акцент6 25" xfId="320"/>
    <cellStyle name="40% - Акцент6 26" xfId="321"/>
    <cellStyle name="40% - Акцент6 3" xfId="322"/>
    <cellStyle name="40% - Акцент6 4" xfId="323"/>
    <cellStyle name="40% - Акцент6 5" xfId="324"/>
    <cellStyle name="40% - Акцент6 6" xfId="325"/>
    <cellStyle name="40% - Акцент6 7" xfId="326"/>
    <cellStyle name="40% - Акцент6 8" xfId="327"/>
    <cellStyle name="40% - Акцент6 9" xfId="328"/>
    <cellStyle name="60% - Accent1" xfId="329"/>
    <cellStyle name="60% - Accent2" xfId="330"/>
    <cellStyle name="60% - Accent3" xfId="331"/>
    <cellStyle name="60% - Accent4" xfId="332"/>
    <cellStyle name="60% - Accent5" xfId="333"/>
    <cellStyle name="60% - Accent6" xfId="334"/>
    <cellStyle name="Accent1" xfId="335"/>
    <cellStyle name="Accent2" xfId="336"/>
    <cellStyle name="Accent3" xfId="337"/>
    <cellStyle name="Accent4" xfId="338"/>
    <cellStyle name="Accent5" xfId="339"/>
    <cellStyle name="Accent6" xfId="340"/>
    <cellStyle name="Bad" xfId="341"/>
    <cellStyle name="Calculation" xfId="342"/>
    <cellStyle name="Check Cell" xfId="343"/>
    <cellStyle name="Column_Title" xfId="344"/>
    <cellStyle name="Comma [0]_1 MAIN" xfId="345"/>
    <cellStyle name="Comma 2" xfId="346"/>
    <cellStyle name="Comma_1 MAIN" xfId="347"/>
    <cellStyle name="Comma0" xfId="348"/>
    <cellStyle name="common" xfId="349"/>
    <cellStyle name="Currency_Copy of SEI1098d" xfId="350"/>
    <cellStyle name="Currency0" xfId="351"/>
    <cellStyle name="Date" xfId="352"/>
    <cellStyle name="Euro" xfId="353"/>
    <cellStyle name="Excel.Chart" xfId="354"/>
    <cellStyle name="Explanatory Text" xfId="355"/>
    <cellStyle name="Fixed" xfId="356"/>
    <cellStyle name="Good" xfId="357"/>
    <cellStyle name="Heading 1" xfId="358"/>
    <cellStyle name="Heading 2" xfId="359"/>
    <cellStyle name="Heading 3" xfId="360"/>
    <cellStyle name="Heading 4" xfId="361"/>
    <cellStyle name="imf-one decimal" xfId="362"/>
    <cellStyle name="Input" xfId="363"/>
    <cellStyle name="Linked Cell" xfId="364"/>
    <cellStyle name="Millares [0]_11.1.3. bis" xfId="365"/>
    <cellStyle name="Millares_11.1.3. bis" xfId="366"/>
    <cellStyle name="Moneda [0]_11.1.3. bis" xfId="367"/>
    <cellStyle name="Moneda_11.1.3. bis" xfId="368"/>
    <cellStyle name="mystyle" xfId="369"/>
    <cellStyle name="Neutral" xfId="370"/>
    <cellStyle name="Normal - Style1" xfId="371"/>
    <cellStyle name="Normal 2" xfId="372"/>
    <cellStyle name="Normal 2 2" xfId="373"/>
    <cellStyle name="Normal_1 MAIN" xfId="374"/>
    <cellStyle name="Note" xfId="375"/>
    <cellStyle name="Output" xfId="376"/>
    <cellStyle name="Percent 2" xfId="377"/>
    <cellStyle name="Percent_Copy of SEI1098d" xfId="378"/>
    <cellStyle name="percentage difference" xfId="379"/>
    <cellStyle name="Title" xfId="380"/>
    <cellStyle name="Total" xfId="381"/>
    <cellStyle name="Warning Text" xfId="382"/>
    <cellStyle name="Обычный" xfId="0" builtinId="0"/>
    <cellStyle name="Обычный 10" xfId="383"/>
    <cellStyle name="Обычный 10 10" xfId="384"/>
    <cellStyle name="Обычный 10 11" xfId="385"/>
    <cellStyle name="Обычный 10 2" xfId="386"/>
    <cellStyle name="Обычный 10 2 2" xfId="387"/>
    <cellStyle name="Обычный 10 2 2 2" xfId="388"/>
    <cellStyle name="Обычный 10 2 3" xfId="389"/>
    <cellStyle name="Обычный 10 3" xfId="390"/>
    <cellStyle name="Обычный 10 3 2" xfId="391"/>
    <cellStyle name="Обычный 10 3 3" xfId="392"/>
    <cellStyle name="Обычный 10 4" xfId="393"/>
    <cellStyle name="Обычный 10 5" xfId="394"/>
    <cellStyle name="Обычный 10 6" xfId="395"/>
    <cellStyle name="Обычный 10 7" xfId="396"/>
    <cellStyle name="Обычный 10 8" xfId="397"/>
    <cellStyle name="Обычный 10 9" xfId="398"/>
    <cellStyle name="Обычный 100" xfId="399"/>
    <cellStyle name="Обычный 100 2" xfId="400"/>
    <cellStyle name="Обычный 100 2 2" xfId="401"/>
    <cellStyle name="Обычный 101" xfId="402"/>
    <cellStyle name="Обычный 102" xfId="403"/>
    <cellStyle name="Обычный 103" xfId="404"/>
    <cellStyle name="Обычный 104" xfId="405"/>
    <cellStyle name="Обычный 106" xfId="406"/>
    <cellStyle name="Обычный 107" xfId="407"/>
    <cellStyle name="Обычный 109" xfId="408"/>
    <cellStyle name="Обычный 11" xfId="409"/>
    <cellStyle name="Обычный 11 2" xfId="410"/>
    <cellStyle name="Обычный 11 2 2" xfId="411"/>
    <cellStyle name="Обычный 11 3" xfId="412"/>
    <cellStyle name="Обычный 11 4" xfId="413"/>
    <cellStyle name="Обычный 11 6" xfId="414"/>
    <cellStyle name="Обычный 110" xfId="415"/>
    <cellStyle name="Обычный 112" xfId="416"/>
    <cellStyle name="Обычный 113" xfId="417"/>
    <cellStyle name="Обычный 115" xfId="418"/>
    <cellStyle name="Обычный 116" xfId="419"/>
    <cellStyle name="Обычный 118" xfId="420"/>
    <cellStyle name="Обычный 12" xfId="421"/>
    <cellStyle name="Обычный 12 2" xfId="422"/>
    <cellStyle name="Обычный 12 2 2" xfId="423"/>
    <cellStyle name="Обычный 12 3" xfId="424"/>
    <cellStyle name="Обычный 12 4" xfId="425"/>
    <cellStyle name="Обычный 12 5" xfId="426"/>
    <cellStyle name="Обычный 12 6" xfId="427"/>
    <cellStyle name="Обычный 12 7" xfId="428"/>
    <cellStyle name="Обычный 12 8" xfId="429"/>
    <cellStyle name="Обычный 120" xfId="430"/>
    <cellStyle name="Обычный 121" xfId="431"/>
    <cellStyle name="Обычный 122" xfId="432"/>
    <cellStyle name="Обычный 123" xfId="433"/>
    <cellStyle name="Обычный 13" xfId="434"/>
    <cellStyle name="Обычный 13 2" xfId="435"/>
    <cellStyle name="Обычный 13 2 2" xfId="436"/>
    <cellStyle name="Обычный 14" xfId="437"/>
    <cellStyle name="Обычный 14 2" xfId="438"/>
    <cellStyle name="Обычный 14 2 2" xfId="439"/>
    <cellStyle name="Обычный 14 3" xfId="440"/>
    <cellStyle name="Обычный 14 4" xfId="441"/>
    <cellStyle name="Обычный 14 5" xfId="442"/>
    <cellStyle name="Обычный 144" xfId="443"/>
    <cellStyle name="Обычный 147" xfId="444"/>
    <cellStyle name="Обычный 148" xfId="445"/>
    <cellStyle name="Обычный 15" xfId="446"/>
    <cellStyle name="Обычный 15 2" xfId="447"/>
    <cellStyle name="Обычный 15 2 2" xfId="448"/>
    <cellStyle name="Обычный 15 2 3" xfId="449"/>
    <cellStyle name="Обычный 15 2 4" xfId="450"/>
    <cellStyle name="Обычный 15 2 5" xfId="451"/>
    <cellStyle name="Обычный 15 2 6" xfId="452"/>
    <cellStyle name="Обычный 15 3" xfId="453"/>
    <cellStyle name="Обычный 15 4" xfId="454"/>
    <cellStyle name="Обычный 15 5" xfId="455"/>
    <cellStyle name="Обычный 16" xfId="456"/>
    <cellStyle name="Обычный 16 10" xfId="457"/>
    <cellStyle name="Обычный 16 11" xfId="458"/>
    <cellStyle name="Обычный 16 12" xfId="459"/>
    <cellStyle name="Обычный 16 13" xfId="460"/>
    <cellStyle name="Обычный 16 14" xfId="461"/>
    <cellStyle name="Обычный 16 2" xfId="462"/>
    <cellStyle name="Обычный 16 2 2" xfId="463"/>
    <cellStyle name="Обычный 16 3" xfId="464"/>
    <cellStyle name="Обычный 16 3 2" xfId="465"/>
    <cellStyle name="Обычный 16 4" xfId="466"/>
    <cellStyle name="Обычный 16 4 2" xfId="467"/>
    <cellStyle name="Обычный 16 5" xfId="468"/>
    <cellStyle name="Обычный 16 6" xfId="469"/>
    <cellStyle name="Обычный 16 7" xfId="470"/>
    <cellStyle name="Обычный 16 8" xfId="471"/>
    <cellStyle name="Обычный 16 9" xfId="472"/>
    <cellStyle name="Обычный 17" xfId="473"/>
    <cellStyle name="Обычный 17 2" xfId="474"/>
    <cellStyle name="Обычный 17 2 2" xfId="475"/>
    <cellStyle name="Обычный 17 3" xfId="476"/>
    <cellStyle name="Обычный 17 4" xfId="477"/>
    <cellStyle name="Обычный 18" xfId="478"/>
    <cellStyle name="Обычный 18 2" xfId="479"/>
    <cellStyle name="Обычный 18 2 2" xfId="480"/>
    <cellStyle name="Обычный 18 2 2 2" xfId="481"/>
    <cellStyle name="Обычный 18 2 3" xfId="482"/>
    <cellStyle name="Обычный 18 2 4" xfId="483"/>
    <cellStyle name="Обычный 18 3" xfId="484"/>
    <cellStyle name="Обычный 18 3 2" xfId="485"/>
    <cellStyle name="Обычный 18 4" xfId="486"/>
    <cellStyle name="Обычный 18 5" xfId="487"/>
    <cellStyle name="Обычный 18 6" xfId="488"/>
    <cellStyle name="Обычный 188" xfId="489"/>
    <cellStyle name="Обычный 19" xfId="490"/>
    <cellStyle name="Обычный 19 2" xfId="491"/>
    <cellStyle name="Обычный 19 2 2" xfId="492"/>
    <cellStyle name="Обычный 19 2 3" xfId="493"/>
    <cellStyle name="Обычный 19 3" xfId="494"/>
    <cellStyle name="Обычный 190" xfId="495"/>
    <cellStyle name="Обычный 2" xfId="496"/>
    <cellStyle name="Обычный 2 10" xfId="497"/>
    <cellStyle name="Обычный 2 11" xfId="498"/>
    <cellStyle name="Обычный 2 12" xfId="499"/>
    <cellStyle name="Обычный 2 13" xfId="500"/>
    <cellStyle name="Обычный 2 14" xfId="501"/>
    <cellStyle name="Обычный 2 15" xfId="502"/>
    <cellStyle name="Обычный 2 16" xfId="503"/>
    <cellStyle name="Обычный 2 17" xfId="504"/>
    <cellStyle name="Обычный 2 18" xfId="505"/>
    <cellStyle name="Обычный 2 19" xfId="506"/>
    <cellStyle name="Обычный 2 2" xfId="507"/>
    <cellStyle name="Обычный 2 2 10" xfId="508"/>
    <cellStyle name="Обычный 2 2 10 2" xfId="509"/>
    <cellStyle name="Обычный 2 2 11" xfId="510"/>
    <cellStyle name="Обычный 2 2 11 2" xfId="511"/>
    <cellStyle name="Обычный 2 2 12" xfId="512"/>
    <cellStyle name="Обычный 2 2 12 2" xfId="513"/>
    <cellStyle name="Обычный 2 2 13" xfId="514"/>
    <cellStyle name="Обычный 2 2 13 2" xfId="515"/>
    <cellStyle name="Обычный 2 2 14" xfId="516"/>
    <cellStyle name="Обычный 2 2 14 2" xfId="517"/>
    <cellStyle name="Обычный 2 2 15" xfId="518"/>
    <cellStyle name="Обычный 2 2 15 2" xfId="519"/>
    <cellStyle name="Обычный 2 2 16" xfId="520"/>
    <cellStyle name="Обычный 2 2 16 2" xfId="521"/>
    <cellStyle name="Обычный 2 2 17" xfId="522"/>
    <cellStyle name="Обычный 2 2 17 2" xfId="523"/>
    <cellStyle name="Обычный 2 2 18" xfId="524"/>
    <cellStyle name="Обычный 2 2 18 2" xfId="525"/>
    <cellStyle name="Обычный 2 2 19" xfId="526"/>
    <cellStyle name="Обычный 2 2 19 2" xfId="527"/>
    <cellStyle name="Обычный 2 2 2" xfId="528"/>
    <cellStyle name="Обычный 2 2 2 10" xfId="529"/>
    <cellStyle name="Обычный 2 2 2 11" xfId="530"/>
    <cellStyle name="Обычный 2 2 2 12" xfId="531"/>
    <cellStyle name="Обычный 2 2 2 13" xfId="532"/>
    <cellStyle name="Обычный 2 2 2 14" xfId="533"/>
    <cellStyle name="Обычный 2 2 2 15" xfId="534"/>
    <cellStyle name="Обычный 2 2 2 16" xfId="535"/>
    <cellStyle name="Обычный 2 2 2 17" xfId="536"/>
    <cellStyle name="Обычный 2 2 2 18" xfId="537"/>
    <cellStyle name="Обычный 2 2 2 19" xfId="538"/>
    <cellStyle name="Обычный 2 2 2 2" xfId="539"/>
    <cellStyle name="Обычный 2 2 2 2 10" xfId="540"/>
    <cellStyle name="Обычный 2 2 2 2 11" xfId="541"/>
    <cellStyle name="Обычный 2 2 2 2 12" xfId="542"/>
    <cellStyle name="Обычный 2 2 2 2 13" xfId="543"/>
    <cellStyle name="Обычный 2 2 2 2 14" xfId="544"/>
    <cellStyle name="Обычный 2 2 2 2 15" xfId="545"/>
    <cellStyle name="Обычный 2 2 2 2 16" xfId="546"/>
    <cellStyle name="Обычный 2 2 2 2 17" xfId="547"/>
    <cellStyle name="Обычный 2 2 2 2 18" xfId="548"/>
    <cellStyle name="Обычный 2 2 2 2 19" xfId="549"/>
    <cellStyle name="Обычный 2 2 2 2 2" xfId="550"/>
    <cellStyle name="Обычный 2 2 2 2 20" xfId="551"/>
    <cellStyle name="Обычный 2 2 2 2 21" xfId="552"/>
    <cellStyle name="Обычный 2 2 2 2 22" xfId="553"/>
    <cellStyle name="Обычный 2 2 2 2 23" xfId="554"/>
    <cellStyle name="Обычный 2 2 2 2 24" xfId="555"/>
    <cellStyle name="Обычный 2 2 2 2 25" xfId="556"/>
    <cellStyle name="Обычный 2 2 2 2 26" xfId="557"/>
    <cellStyle name="Обычный 2 2 2 2 27" xfId="558"/>
    <cellStyle name="Обычный 2 2 2 2 28" xfId="559"/>
    <cellStyle name="Обычный 2 2 2 2 29" xfId="560"/>
    <cellStyle name="Обычный 2 2 2 2 3" xfId="561"/>
    <cellStyle name="Обычный 2 2 2 2 30" xfId="562"/>
    <cellStyle name="Обычный 2 2 2 2 4" xfId="563"/>
    <cellStyle name="Обычный 2 2 2 2 5" xfId="564"/>
    <cellStyle name="Обычный 2 2 2 2 6" xfId="565"/>
    <cellStyle name="Обычный 2 2 2 2 7" xfId="566"/>
    <cellStyle name="Обычный 2 2 2 2 8" xfId="567"/>
    <cellStyle name="Обычный 2 2 2 2 9" xfId="568"/>
    <cellStyle name="Обычный 2 2 2 20" xfId="569"/>
    <cellStyle name="Обычный 2 2 2 21" xfId="570"/>
    <cellStyle name="Обычный 2 2 2 22" xfId="571"/>
    <cellStyle name="Обычный 2 2 2 23" xfId="572"/>
    <cellStyle name="Обычный 2 2 2 24" xfId="573"/>
    <cellStyle name="Обычный 2 2 2 25" xfId="574"/>
    <cellStyle name="Обычный 2 2 2 26" xfId="575"/>
    <cellStyle name="Обычный 2 2 2 27" xfId="576"/>
    <cellStyle name="Обычный 2 2 2 28" xfId="577"/>
    <cellStyle name="Обычный 2 2 2 29" xfId="578"/>
    <cellStyle name="Обычный 2 2 2 3" xfId="579"/>
    <cellStyle name="Обычный 2 2 2 30" xfId="580"/>
    <cellStyle name="Обычный 2 2 2 31" xfId="581"/>
    <cellStyle name="Обычный 2 2 2 4" xfId="582"/>
    <cellStyle name="Обычный 2 2 2 5" xfId="583"/>
    <cellStyle name="Обычный 2 2 2 6" xfId="584"/>
    <cellStyle name="Обычный 2 2 2 7" xfId="585"/>
    <cellStyle name="Обычный 2 2 2 8" xfId="586"/>
    <cellStyle name="Обычный 2 2 2 9" xfId="587"/>
    <cellStyle name="Обычный 2 2 20" xfId="588"/>
    <cellStyle name="Обычный 2 2 20 2" xfId="589"/>
    <cellStyle name="Обычный 2 2 21" xfId="590"/>
    <cellStyle name="Обычный 2 2 21 2" xfId="591"/>
    <cellStyle name="Обычный 2 2 22" xfId="592"/>
    <cellStyle name="Обычный 2 2 22 2" xfId="593"/>
    <cellStyle name="Обычный 2 2 23" xfId="594"/>
    <cellStyle name="Обычный 2 2 23 2" xfId="595"/>
    <cellStyle name="Обычный 2 2 24" xfId="596"/>
    <cellStyle name="Обычный 2 2 24 2" xfId="597"/>
    <cellStyle name="Обычный 2 2 25" xfId="598"/>
    <cellStyle name="Обычный 2 2 25 2" xfId="599"/>
    <cellStyle name="Обычный 2 2 26" xfId="600"/>
    <cellStyle name="Обычный 2 2 26 2" xfId="601"/>
    <cellStyle name="Обычный 2 2 27" xfId="602"/>
    <cellStyle name="Обычный 2 2 27 2" xfId="603"/>
    <cellStyle name="Обычный 2 2 28" xfId="604"/>
    <cellStyle name="Обычный 2 2 28 2" xfId="605"/>
    <cellStyle name="Обычный 2 2 29" xfId="606"/>
    <cellStyle name="Обычный 2 2 29 2" xfId="607"/>
    <cellStyle name="Обычный 2 2 3" xfId="608"/>
    <cellStyle name="Обычный 2 2 3 2" xfId="609"/>
    <cellStyle name="Обычный 2 2 30" xfId="610"/>
    <cellStyle name="Обычный 2 2 30 2" xfId="611"/>
    <cellStyle name="Обычный 2 2 31" xfId="612"/>
    <cellStyle name="Обычный 2 2 31 2" xfId="613"/>
    <cellStyle name="Обычный 2 2 32" xfId="614"/>
    <cellStyle name="Обычный 2 2 4" xfId="615"/>
    <cellStyle name="Обычный 2 2 4 2" xfId="616"/>
    <cellStyle name="Обычный 2 2 5" xfId="617"/>
    <cellStyle name="Обычный 2 2 5 2" xfId="618"/>
    <cellStyle name="Обычный 2 2 6" xfId="619"/>
    <cellStyle name="Обычный 2 2 6 2" xfId="620"/>
    <cellStyle name="Обычный 2 2 7" xfId="621"/>
    <cellStyle name="Обычный 2 2 7 2" xfId="622"/>
    <cellStyle name="Обычный 2 2 8" xfId="623"/>
    <cellStyle name="Обычный 2 2 8 2" xfId="624"/>
    <cellStyle name="Обычный 2 2 9" xfId="625"/>
    <cellStyle name="Обычный 2 2 9 2" xfId="626"/>
    <cellStyle name="Обычный 2 20" xfId="627"/>
    <cellStyle name="Обычный 2 21" xfId="628"/>
    <cellStyle name="Обычный 2 22" xfId="629"/>
    <cellStyle name="Обычный 2 23" xfId="630"/>
    <cellStyle name="Обычный 2 24" xfId="631"/>
    <cellStyle name="Обычный 2 25" xfId="632"/>
    <cellStyle name="Обычный 2 26" xfId="633"/>
    <cellStyle name="Обычный 2 27" xfId="634"/>
    <cellStyle name="Обычный 2 28" xfId="635"/>
    <cellStyle name="Обычный 2 29" xfId="636"/>
    <cellStyle name="Обычный 2 3" xfId="637"/>
    <cellStyle name="Обычный 2 3 2" xfId="638"/>
    <cellStyle name="Обычный 2 3 3" xfId="639"/>
    <cellStyle name="Обычный 2 30" xfId="640"/>
    <cellStyle name="Обычный 2 31" xfId="641"/>
    <cellStyle name="Обычный 2 32" xfId="642"/>
    <cellStyle name="Обычный 2 33" xfId="643"/>
    <cellStyle name="Обычный 2 34" xfId="644"/>
    <cellStyle name="Обычный 2 34 2" xfId="645"/>
    <cellStyle name="Обычный 2 35" xfId="646"/>
    <cellStyle name="Обычный 2 36" xfId="647"/>
    <cellStyle name="Обычный 2 4" xfId="648"/>
    <cellStyle name="Обычный 2 4 2" xfId="649"/>
    <cellStyle name="Обычный 2 4 3" xfId="650"/>
    <cellStyle name="Обычный 2 5" xfId="651"/>
    <cellStyle name="Обычный 2 5 2" xfId="652"/>
    <cellStyle name="Обычный 2 5 3" xfId="653"/>
    <cellStyle name="Обычный 2 6" xfId="654"/>
    <cellStyle name="Обычный 2 7" xfId="655"/>
    <cellStyle name="Обычный 2 8" xfId="656"/>
    <cellStyle name="Обычный 2 9" xfId="657"/>
    <cellStyle name="Обычный 20" xfId="658"/>
    <cellStyle name="Обычный 20 10" xfId="659"/>
    <cellStyle name="Обычный 20 11" xfId="660"/>
    <cellStyle name="Обычный 20 12" xfId="661"/>
    <cellStyle name="Обычный 20 13" xfId="662"/>
    <cellStyle name="Обычный 20 14" xfId="663"/>
    <cellStyle name="Обычный 20 15" xfId="664"/>
    <cellStyle name="Обычный 20 16" xfId="665"/>
    <cellStyle name="Обычный 20 17" xfId="666"/>
    <cellStyle name="Обычный 20 18" xfId="667"/>
    <cellStyle name="Обычный 20 19" xfId="668"/>
    <cellStyle name="Обычный 20 2" xfId="669"/>
    <cellStyle name="Обычный 20 2 2" xfId="670"/>
    <cellStyle name="Обычный 20 2 2 2" xfId="671"/>
    <cellStyle name="Обычный 20 2 3" xfId="672"/>
    <cellStyle name="Обычный 20 2 4" xfId="673"/>
    <cellStyle name="Обычный 20 20" xfId="674"/>
    <cellStyle name="Обычный 20 21" xfId="675"/>
    <cellStyle name="Обычный 20 22" xfId="676"/>
    <cellStyle name="Обычный 20 23" xfId="677"/>
    <cellStyle name="Обычный 20 24" xfId="678"/>
    <cellStyle name="Обычный 20 25" xfId="679"/>
    <cellStyle name="Обычный 20 26" xfId="680"/>
    <cellStyle name="Обычный 20 27" xfId="681"/>
    <cellStyle name="Обычный 20 28" xfId="682"/>
    <cellStyle name="Обычный 20 29" xfId="683"/>
    <cellStyle name="Обычный 20 3" xfId="684"/>
    <cellStyle name="Обычный 20 3 2" xfId="685"/>
    <cellStyle name="Обычный 20 30" xfId="686"/>
    <cellStyle name="Обычный 20 31" xfId="687"/>
    <cellStyle name="Обычный 20 32" xfId="688"/>
    <cellStyle name="Обычный 20 4" xfId="689"/>
    <cellStyle name="Обычный 20 5" xfId="690"/>
    <cellStyle name="Обычный 20 6" xfId="691"/>
    <cellStyle name="Обычный 20 7" xfId="692"/>
    <cellStyle name="Обычный 20 8" xfId="693"/>
    <cellStyle name="Обычный 20 9" xfId="694"/>
    <cellStyle name="Обычный 21" xfId="695"/>
    <cellStyle name="Обычный 21 2" xfId="696"/>
    <cellStyle name="Обычный 21 2 2" xfId="697"/>
    <cellStyle name="Обычный 21 2 3" xfId="698"/>
    <cellStyle name="Обычный 21 2 4" xfId="699"/>
    <cellStyle name="Обычный 22" xfId="700"/>
    <cellStyle name="Обычный 22 10" xfId="701"/>
    <cellStyle name="Обычный 22 11" xfId="702"/>
    <cellStyle name="Обычный 22 12" xfId="703"/>
    <cellStyle name="Обычный 22 13" xfId="704"/>
    <cellStyle name="Обычный 22 14" xfId="705"/>
    <cellStyle name="Обычный 22 15" xfId="706"/>
    <cellStyle name="Обычный 22 16" xfId="707"/>
    <cellStyle name="Обычный 22 17" xfId="708"/>
    <cellStyle name="Обычный 22 18" xfId="709"/>
    <cellStyle name="Обычный 22 19" xfId="710"/>
    <cellStyle name="Обычный 22 2" xfId="711"/>
    <cellStyle name="Обычный 22 2 2" xfId="712"/>
    <cellStyle name="Обычный 22 2 3" xfId="713"/>
    <cellStyle name="Обычный 22 20" xfId="714"/>
    <cellStyle name="Обычный 22 21" xfId="715"/>
    <cellStyle name="Обычный 22 22" xfId="716"/>
    <cellStyle name="Обычный 22 23" xfId="717"/>
    <cellStyle name="Обычный 22 24" xfId="718"/>
    <cellStyle name="Обычный 22 25" xfId="719"/>
    <cellStyle name="Обычный 22 26" xfId="720"/>
    <cellStyle name="Обычный 22 27" xfId="721"/>
    <cellStyle name="Обычный 22 28" xfId="722"/>
    <cellStyle name="Обычный 22 29" xfId="723"/>
    <cellStyle name="Обычный 22 3" xfId="724"/>
    <cellStyle name="Обычный 22 30" xfId="725"/>
    <cellStyle name="Обычный 22 31" xfId="726"/>
    <cellStyle name="Обычный 22 32" xfId="727"/>
    <cellStyle name="Обычный 22 4" xfId="728"/>
    <cellStyle name="Обычный 22 5" xfId="729"/>
    <cellStyle name="Обычный 22 6" xfId="730"/>
    <cellStyle name="Обычный 22 7" xfId="731"/>
    <cellStyle name="Обычный 22 8" xfId="732"/>
    <cellStyle name="Обычный 22 9" xfId="733"/>
    <cellStyle name="Обычный 23" xfId="734"/>
    <cellStyle name="Обычный 24" xfId="735"/>
    <cellStyle name="Обычный 24 2" xfId="736"/>
    <cellStyle name="Обычный 24 3" xfId="737"/>
    <cellStyle name="Обычный 24 4" xfId="738"/>
    <cellStyle name="Обычный 25" xfId="739"/>
    <cellStyle name="Обычный 25 2" xfId="740"/>
    <cellStyle name="Обычный 256" xfId="741"/>
    <cellStyle name="Обычный 256 2" xfId="742"/>
    <cellStyle name="Обычный 26" xfId="743"/>
    <cellStyle name="Обычный 26 10" xfId="744"/>
    <cellStyle name="Обычный 26 11" xfId="745"/>
    <cellStyle name="Обычный 26 12" xfId="746"/>
    <cellStyle name="Обычный 26 13" xfId="747"/>
    <cellStyle name="Обычный 26 14" xfId="748"/>
    <cellStyle name="Обычный 26 15" xfId="749"/>
    <cellStyle name="Обычный 26 16" xfId="750"/>
    <cellStyle name="Обычный 26 17" xfId="751"/>
    <cellStyle name="Обычный 26 18" xfId="752"/>
    <cellStyle name="Обычный 26 19" xfId="753"/>
    <cellStyle name="Обычный 26 2" xfId="754"/>
    <cellStyle name="Обычный 26 20" xfId="755"/>
    <cellStyle name="Обычный 26 21" xfId="756"/>
    <cellStyle name="Обычный 26 22" xfId="757"/>
    <cellStyle name="Обычный 26 23" xfId="758"/>
    <cellStyle name="Обычный 26 24" xfId="759"/>
    <cellStyle name="Обычный 26 25" xfId="760"/>
    <cellStyle name="Обычный 26 26" xfId="761"/>
    <cellStyle name="Обычный 26 27" xfId="762"/>
    <cellStyle name="Обычный 26 28" xfId="763"/>
    <cellStyle name="Обычный 26 29" xfId="764"/>
    <cellStyle name="Обычный 26 3" xfId="765"/>
    <cellStyle name="Обычный 26 3 2" xfId="766"/>
    <cellStyle name="Обычный 26 30" xfId="767"/>
    <cellStyle name="Обычный 26 31" xfId="768"/>
    <cellStyle name="Обычный 26 32" xfId="769"/>
    <cellStyle name="Обычный 26 4" xfId="770"/>
    <cellStyle name="Обычный 26 5" xfId="771"/>
    <cellStyle name="Обычный 26 6" xfId="772"/>
    <cellStyle name="Обычный 26 7" xfId="773"/>
    <cellStyle name="Обычный 26 8" xfId="774"/>
    <cellStyle name="Обычный 26 9" xfId="775"/>
    <cellStyle name="Обычный 27" xfId="776"/>
    <cellStyle name="Обычный 27 2" xfId="777"/>
    <cellStyle name="Обычный 28" xfId="778"/>
    <cellStyle name="Обычный 29" xfId="779"/>
    <cellStyle name="Обычный 3" xfId="780"/>
    <cellStyle name="Обычный 3 2" xfId="781"/>
    <cellStyle name="Обычный 3 2 2" xfId="782"/>
    <cellStyle name="Обычный 3 2 2 2" xfId="783"/>
    <cellStyle name="Обычный 3 2 3" xfId="784"/>
    <cellStyle name="Обычный 3 2 4" xfId="785"/>
    <cellStyle name="Обычный 3 3" xfId="786"/>
    <cellStyle name="Обычный 3 3 2" xfId="787"/>
    <cellStyle name="Обычный 3 3 2 2" xfId="788"/>
    <cellStyle name="Обычный 3 3 3" xfId="789"/>
    <cellStyle name="Обычный 3 4" xfId="790"/>
    <cellStyle name="Обычный 3 5" xfId="791"/>
    <cellStyle name="Обычный 3 5 2" xfId="792"/>
    <cellStyle name="Обычный 3 6" xfId="793"/>
    <cellStyle name="Обычный 3 7" xfId="794"/>
    <cellStyle name="Обычный 3 8" xfId="795"/>
    <cellStyle name="Обычный 30" xfId="796"/>
    <cellStyle name="Обычный 30 2" xfId="797"/>
    <cellStyle name="Обычный 31" xfId="798"/>
    <cellStyle name="Обычный 31 2" xfId="799"/>
    <cellStyle name="Обычный 32" xfId="800"/>
    <cellStyle name="Обычный 32 2" xfId="801"/>
    <cellStyle name="Обычный 33" xfId="802"/>
    <cellStyle name="Обычный 33 2" xfId="803"/>
    <cellStyle name="Обычный 34" xfId="804"/>
    <cellStyle name="Обычный 34 2" xfId="805"/>
    <cellStyle name="Обычный 35" xfId="806"/>
    <cellStyle name="Обычный 35 10" xfId="807"/>
    <cellStyle name="Обычный 35 11" xfId="808"/>
    <cellStyle name="Обычный 35 12" xfId="809"/>
    <cellStyle name="Обычный 35 13" xfId="810"/>
    <cellStyle name="Обычный 35 14" xfId="811"/>
    <cellStyle name="Обычный 35 15" xfId="812"/>
    <cellStyle name="Обычный 35 16" xfId="813"/>
    <cellStyle name="Обычный 35 17" xfId="814"/>
    <cellStyle name="Обычный 35 18" xfId="815"/>
    <cellStyle name="Обычный 35 19" xfId="816"/>
    <cellStyle name="Обычный 35 2" xfId="817"/>
    <cellStyle name="Обычный 35 2 2" xfId="818"/>
    <cellStyle name="Обычный 35 20" xfId="819"/>
    <cellStyle name="Обычный 35 21" xfId="820"/>
    <cellStyle name="Обычный 35 22" xfId="821"/>
    <cellStyle name="Обычный 35 23" xfId="822"/>
    <cellStyle name="Обычный 35 24" xfId="823"/>
    <cellStyle name="Обычный 35 25" xfId="824"/>
    <cellStyle name="Обычный 35 26" xfId="825"/>
    <cellStyle name="Обычный 35 27" xfId="826"/>
    <cellStyle name="Обычный 35 28" xfId="827"/>
    <cellStyle name="Обычный 35 29" xfId="828"/>
    <cellStyle name="Обычный 35 3" xfId="829"/>
    <cellStyle name="Обычный 35 30" xfId="830"/>
    <cellStyle name="Обычный 35 31" xfId="831"/>
    <cellStyle name="Обычный 35 4" xfId="832"/>
    <cellStyle name="Обычный 35 5" xfId="833"/>
    <cellStyle name="Обычный 35 6" xfId="834"/>
    <cellStyle name="Обычный 35 7" xfId="835"/>
    <cellStyle name="Обычный 35 8" xfId="836"/>
    <cellStyle name="Обычный 35 9" xfId="837"/>
    <cellStyle name="Обычный 36" xfId="838"/>
    <cellStyle name="Обычный 36 2" xfId="839"/>
    <cellStyle name="Обычный 37" xfId="840"/>
    <cellStyle name="Обычный 37 2" xfId="841"/>
    <cellStyle name="Обычный 38" xfId="842"/>
    <cellStyle name="Обычный 38 2" xfId="843"/>
    <cellStyle name="Обычный 39" xfId="844"/>
    <cellStyle name="Обычный 39 2" xfId="845"/>
    <cellStyle name="Обычный 4" xfId="846"/>
    <cellStyle name="Обычный 4 2" xfId="847"/>
    <cellStyle name="Обычный 4 2 2" xfId="848"/>
    <cellStyle name="Обычный 4 2 3" xfId="849"/>
    <cellStyle name="Обычный 4 3" xfId="850"/>
    <cellStyle name="Обычный 4 3 2" xfId="851"/>
    <cellStyle name="Обычный 4 4" xfId="852"/>
    <cellStyle name="Обычный 4 4 2" xfId="853"/>
    <cellStyle name="Обычный 4 5" xfId="854"/>
    <cellStyle name="Обычный 40" xfId="855"/>
    <cellStyle name="Обычный 40 10" xfId="856"/>
    <cellStyle name="Обычный 40 11" xfId="857"/>
    <cellStyle name="Обычный 40 12" xfId="858"/>
    <cellStyle name="Обычный 40 13" xfId="859"/>
    <cellStyle name="Обычный 40 14" xfId="860"/>
    <cellStyle name="Обычный 40 15" xfId="861"/>
    <cellStyle name="Обычный 40 16" xfId="862"/>
    <cellStyle name="Обычный 40 17" xfId="863"/>
    <cellStyle name="Обычный 40 18" xfId="864"/>
    <cellStyle name="Обычный 40 19" xfId="865"/>
    <cellStyle name="Обычный 40 2" xfId="866"/>
    <cellStyle name="Обычный 40 2 2" xfId="867"/>
    <cellStyle name="Обычный 40 20" xfId="868"/>
    <cellStyle name="Обычный 40 21" xfId="869"/>
    <cellStyle name="Обычный 40 22" xfId="870"/>
    <cellStyle name="Обычный 40 23" xfId="871"/>
    <cellStyle name="Обычный 40 24" xfId="872"/>
    <cellStyle name="Обычный 40 25" xfId="873"/>
    <cellStyle name="Обычный 40 26" xfId="874"/>
    <cellStyle name="Обычный 40 27" xfId="875"/>
    <cellStyle name="Обычный 40 28" xfId="876"/>
    <cellStyle name="Обычный 40 29" xfId="877"/>
    <cellStyle name="Обычный 40 3" xfId="878"/>
    <cellStyle name="Обычный 40 30" xfId="879"/>
    <cellStyle name="Обычный 40 31" xfId="880"/>
    <cellStyle name="Обычный 40 32" xfId="881"/>
    <cellStyle name="Обычный 40 4" xfId="882"/>
    <cellStyle name="Обычный 40 5" xfId="883"/>
    <cellStyle name="Обычный 40 6" xfId="884"/>
    <cellStyle name="Обычный 40 7" xfId="885"/>
    <cellStyle name="Обычный 40 8" xfId="886"/>
    <cellStyle name="Обычный 40 9" xfId="887"/>
    <cellStyle name="Обычный 41" xfId="888"/>
    <cellStyle name="Обычный 41 10" xfId="889"/>
    <cellStyle name="Обычный 41 11" xfId="890"/>
    <cellStyle name="Обычный 41 12" xfId="891"/>
    <cellStyle name="Обычный 41 13" xfId="892"/>
    <cellStyle name="Обычный 41 14" xfId="893"/>
    <cellStyle name="Обычный 41 15" xfId="894"/>
    <cellStyle name="Обычный 41 16" xfId="895"/>
    <cellStyle name="Обычный 41 17" xfId="896"/>
    <cellStyle name="Обычный 41 18" xfId="897"/>
    <cellStyle name="Обычный 41 19" xfId="898"/>
    <cellStyle name="Обычный 41 2" xfId="899"/>
    <cellStyle name="Обычный 41 2 2" xfId="900"/>
    <cellStyle name="Обычный 41 20" xfId="901"/>
    <cellStyle name="Обычный 41 21" xfId="902"/>
    <cellStyle name="Обычный 41 22" xfId="903"/>
    <cellStyle name="Обычный 41 23" xfId="904"/>
    <cellStyle name="Обычный 41 24" xfId="905"/>
    <cellStyle name="Обычный 41 25" xfId="906"/>
    <cellStyle name="Обычный 41 26" xfId="907"/>
    <cellStyle name="Обычный 41 27" xfId="908"/>
    <cellStyle name="Обычный 41 28" xfId="909"/>
    <cellStyle name="Обычный 41 29" xfId="910"/>
    <cellStyle name="Обычный 41 3" xfId="911"/>
    <cellStyle name="Обычный 41 30" xfId="912"/>
    <cellStyle name="Обычный 41 31" xfId="913"/>
    <cellStyle name="Обычный 41 32" xfId="914"/>
    <cellStyle name="Обычный 41 4" xfId="915"/>
    <cellStyle name="Обычный 41 5" xfId="916"/>
    <cellStyle name="Обычный 41 6" xfId="917"/>
    <cellStyle name="Обычный 41 7" xfId="918"/>
    <cellStyle name="Обычный 41 8" xfId="919"/>
    <cellStyle name="Обычный 41 9" xfId="920"/>
    <cellStyle name="Обычный 42" xfId="921"/>
    <cellStyle name="Обычный 43" xfId="922"/>
    <cellStyle name="Обычный 44" xfId="923"/>
    <cellStyle name="Обычный 45" xfId="924"/>
    <cellStyle name="Обычный 46" xfId="925"/>
    <cellStyle name="Обычный 47" xfId="926"/>
    <cellStyle name="Обычный 47 2" xfId="927"/>
    <cellStyle name="Обычный 47 3" xfId="928"/>
    <cellStyle name="Обычный 47 4" xfId="929"/>
    <cellStyle name="Обычный 47 5" xfId="930"/>
    <cellStyle name="Обычный 47 6" xfId="931"/>
    <cellStyle name="Обычный 47 7" xfId="932"/>
    <cellStyle name="Обычный 48" xfId="933"/>
    <cellStyle name="Обычный 48 2" xfId="934"/>
    <cellStyle name="Обычный 48 3" xfId="935"/>
    <cellStyle name="Обычный 49" xfId="936"/>
    <cellStyle name="Обычный 5" xfId="937"/>
    <cellStyle name="Обычный 5 2" xfId="938"/>
    <cellStyle name="Обычный 5 2 2" xfId="939"/>
    <cellStyle name="Обычный 5 2 2 2" xfId="940"/>
    <cellStyle name="Обычный 5 2 3" xfId="941"/>
    <cellStyle name="Обычный 5 3" xfId="942"/>
    <cellStyle name="Обычный 5 3 2" xfId="943"/>
    <cellStyle name="Обычный 5 3 2 2" xfId="944"/>
    <cellStyle name="Обычный 5 3 3" xfId="945"/>
    <cellStyle name="Обычный 5 3 4" xfId="946"/>
    <cellStyle name="Обычный 5 4" xfId="947"/>
    <cellStyle name="Обычный 5 4 2" xfId="948"/>
    <cellStyle name="Обычный 5 5" xfId="949"/>
    <cellStyle name="Обычный 5 5 2" xfId="950"/>
    <cellStyle name="Обычный 5 6" xfId="951"/>
    <cellStyle name="Обычный 5 6 2" xfId="952"/>
    <cellStyle name="Обычный 5 7" xfId="953"/>
    <cellStyle name="Обычный 5 7 2" xfId="954"/>
    <cellStyle name="Обычный 5 8" xfId="955"/>
    <cellStyle name="Обычный 5 8 2" xfId="956"/>
    <cellStyle name="Обычный 50" xfId="957"/>
    <cellStyle name="Обычный 51" xfId="958"/>
    <cellStyle name="Обычный 52" xfId="959"/>
    <cellStyle name="Обычный 53" xfId="960"/>
    <cellStyle name="Обычный 54" xfId="961"/>
    <cellStyle name="Обычный 55" xfId="962"/>
    <cellStyle name="Обычный 56" xfId="963"/>
    <cellStyle name="Обычный 57" xfId="964"/>
    <cellStyle name="Обычный 58" xfId="965"/>
    <cellStyle name="Обычный 59" xfId="966"/>
    <cellStyle name="Обычный 6" xfId="967"/>
    <cellStyle name="Обычный 6 2" xfId="968"/>
    <cellStyle name="Обычный 6 2 2" xfId="969"/>
    <cellStyle name="Обычный 6 2 3" xfId="970"/>
    <cellStyle name="Обычный 6 3" xfId="971"/>
    <cellStyle name="Обычный 6 3 2" xfId="972"/>
    <cellStyle name="Обычный 6 4" xfId="973"/>
    <cellStyle name="Обычный 6 5" xfId="974"/>
    <cellStyle name="Обычный 6 6" xfId="975"/>
    <cellStyle name="Обычный 60" xfId="976"/>
    <cellStyle name="Обычный 61" xfId="977"/>
    <cellStyle name="Обычный 62" xfId="978"/>
    <cellStyle name="Обычный 63" xfId="979"/>
    <cellStyle name="Обычный 64" xfId="980"/>
    <cellStyle name="Обычный 65" xfId="981"/>
    <cellStyle name="Обычный 65 2" xfId="982"/>
    <cellStyle name="Обычный 66" xfId="983"/>
    <cellStyle name="Обычный 66 2" xfId="984"/>
    <cellStyle name="Обычный 66 3" xfId="985"/>
    <cellStyle name="Обычный 67" xfId="986"/>
    <cellStyle name="Обычный 68" xfId="987"/>
    <cellStyle name="Обычный 69" xfId="988"/>
    <cellStyle name="Обычный 7" xfId="989"/>
    <cellStyle name="Обычный 7 2" xfId="990"/>
    <cellStyle name="Обычный 7 2 2" xfId="991"/>
    <cellStyle name="Обычный 7 2 3" xfId="992"/>
    <cellStyle name="Обычный 7 3" xfId="993"/>
    <cellStyle name="Обычный 7 3 2" xfId="994"/>
    <cellStyle name="Обычный 7 4" xfId="995"/>
    <cellStyle name="Обычный 7 4 2" xfId="996"/>
    <cellStyle name="Обычный 7 5" xfId="997"/>
    <cellStyle name="Обычный 70" xfId="998"/>
    <cellStyle name="Обычный 71" xfId="999"/>
    <cellStyle name="Обычный 72" xfId="1000"/>
    <cellStyle name="Обычный 73" xfId="1001"/>
    <cellStyle name="Обычный 73 2" xfId="1002"/>
    <cellStyle name="Обычный 73 3" xfId="1003"/>
    <cellStyle name="Обычный 73 4" xfId="1004"/>
    <cellStyle name="Обычный 74" xfId="1005"/>
    <cellStyle name="Обычный 75" xfId="1006"/>
    <cellStyle name="Обычный 75 2" xfId="1007"/>
    <cellStyle name="Обычный 76" xfId="1008"/>
    <cellStyle name="Обычный 77" xfId="1009"/>
    <cellStyle name="Обычный 78" xfId="1010"/>
    <cellStyle name="Обычный 78 2" xfId="1011"/>
    <cellStyle name="Обычный 78 3" xfId="1012"/>
    <cellStyle name="Обычный 79" xfId="1013"/>
    <cellStyle name="Обычный 8" xfId="1014"/>
    <cellStyle name="Обычный 8 2" xfId="1015"/>
    <cellStyle name="Обычный 8 2 2" xfId="1016"/>
    <cellStyle name="Обычный 8 2 3" xfId="1017"/>
    <cellStyle name="Обычный 8 3" xfId="1018"/>
    <cellStyle name="Обычный 8 3 2" xfId="1019"/>
    <cellStyle name="Обычный 8 4" xfId="1020"/>
    <cellStyle name="Обычный 8 5" xfId="1021"/>
    <cellStyle name="Обычный 8 6" xfId="1022"/>
    <cellStyle name="Обычный 80" xfId="1023"/>
    <cellStyle name="Обычный 81" xfId="1024"/>
    <cellStyle name="Обычный 82" xfId="1025"/>
    <cellStyle name="Обычный 83" xfId="1026"/>
    <cellStyle name="Обычный 84" xfId="1027"/>
    <cellStyle name="Обычный 85" xfId="1028"/>
    <cellStyle name="Обычный 86" xfId="1029"/>
    <cellStyle name="Обычный 87" xfId="1030"/>
    <cellStyle name="Обычный 87 2" xfId="1031"/>
    <cellStyle name="Обычный 87 3" xfId="1032"/>
    <cellStyle name="Обычный 88" xfId="1033"/>
    <cellStyle name="Обычный 88 2" xfId="1034"/>
    <cellStyle name="Обычный 88 3" xfId="1035"/>
    <cellStyle name="Обычный 89" xfId="1036"/>
    <cellStyle name="Обычный 9" xfId="1037"/>
    <cellStyle name="Обычный 9 2" xfId="1038"/>
    <cellStyle name="Обычный 9 2 2" xfId="1039"/>
    <cellStyle name="Обычный 9 2 3" xfId="1040"/>
    <cellStyle name="Обычный 9 3" xfId="1041"/>
    <cellStyle name="Обычный 9 3 2" xfId="1042"/>
    <cellStyle name="Обычный 9 4" xfId="1043"/>
    <cellStyle name="Обычный 90" xfId="1044"/>
    <cellStyle name="Обычный 90 2" xfId="1045"/>
    <cellStyle name="Обычный 91" xfId="1046"/>
    <cellStyle name="Обычный 92" xfId="1047"/>
    <cellStyle name="Обычный 92 2" xfId="1048"/>
    <cellStyle name="Обычный 93" xfId="1049"/>
    <cellStyle name="Обычный 93 2" xfId="1050"/>
    <cellStyle name="Обычный 93 3" xfId="1051"/>
    <cellStyle name="Обычный 94" xfId="1052"/>
    <cellStyle name="Обычный 94 2" xfId="1053"/>
    <cellStyle name="Обычный 94 3" xfId="1054"/>
    <cellStyle name="Обычный 95" xfId="1055"/>
    <cellStyle name="Обычный 95 2" xfId="1056"/>
    <cellStyle name="Обычный 96" xfId="1057"/>
    <cellStyle name="Обычный 97" xfId="1058"/>
    <cellStyle name="Обычный 97 2" xfId="1059"/>
    <cellStyle name="Обычный 98" xfId="1060"/>
    <cellStyle name="Обычный 99" xfId="1061"/>
    <cellStyle name="Обычный 99 2" xfId="1062"/>
    <cellStyle name="Обычный 99 2 2" xfId="1063"/>
    <cellStyle name="Примечание 10" xfId="1064"/>
    <cellStyle name="Примечание 11" xfId="1065"/>
    <cellStyle name="Примечание 12" xfId="1066"/>
    <cellStyle name="Примечание 13" xfId="1067"/>
    <cellStyle name="Примечание 14" xfId="1068"/>
    <cellStyle name="Примечание 15" xfId="1069"/>
    <cellStyle name="Примечание 16" xfId="1070"/>
    <cellStyle name="Примечание 17" xfId="1071"/>
    <cellStyle name="Примечание 18" xfId="1072"/>
    <cellStyle name="Примечание 19" xfId="1073"/>
    <cellStyle name="Примечание 2" xfId="1074"/>
    <cellStyle name="Примечание 2 2" xfId="1075"/>
    <cellStyle name="Примечание 2 3" xfId="1076"/>
    <cellStyle name="Примечание 20" xfId="1077"/>
    <cellStyle name="Примечание 21" xfId="1078"/>
    <cellStyle name="Примечание 22" xfId="1079"/>
    <cellStyle name="Примечание 23" xfId="1080"/>
    <cellStyle name="Примечание 24" xfId="1081"/>
    <cellStyle name="Примечание 25" xfId="1082"/>
    <cellStyle name="Примечание 26" xfId="1083"/>
    <cellStyle name="Примечание 27" xfId="1084"/>
    <cellStyle name="Примечание 28" xfId="1085"/>
    <cellStyle name="Примечание 29" xfId="1086"/>
    <cellStyle name="Примечание 3" xfId="1087"/>
    <cellStyle name="Примечание 3 2" xfId="1088"/>
    <cellStyle name="Примечание 3 3" xfId="1089"/>
    <cellStyle name="Примечание 30" xfId="1090"/>
    <cellStyle name="Примечание 4" xfId="1091"/>
    <cellStyle name="Примечание 4 2" xfId="1092"/>
    <cellStyle name="Примечание 4 3" xfId="1093"/>
    <cellStyle name="Примечание 5" xfId="1094"/>
    <cellStyle name="Примечание 5 2" xfId="1095"/>
    <cellStyle name="Примечание 5 3" xfId="1096"/>
    <cellStyle name="Примечание 6" xfId="1097"/>
    <cellStyle name="Примечание 6 2" xfId="1098"/>
    <cellStyle name="Примечание 6 3" xfId="1099"/>
    <cellStyle name="Примечание 7" xfId="1100"/>
    <cellStyle name="Примечание 7 2" xfId="1101"/>
    <cellStyle name="Примечание 7 3" xfId="1102"/>
    <cellStyle name="Примечание 8" xfId="1103"/>
    <cellStyle name="Примечание 8 2" xfId="1104"/>
    <cellStyle name="Примечание 8 3" xfId="1105"/>
    <cellStyle name="Примечание 9" xfId="1106"/>
    <cellStyle name="Примечание 9 2" xfId="1107"/>
    <cellStyle name="Процентный" xfId="1108" builtinId="5"/>
    <cellStyle name="Процентный 2" xfId="1109"/>
    <cellStyle name="Процентный 2 2" xfId="1110"/>
    <cellStyle name="Процентный 2 2 2" xfId="1111"/>
    <cellStyle name="Процентный 2 2 3" xfId="1112"/>
    <cellStyle name="Процентный 2 3" xfId="1113"/>
    <cellStyle name="Процентный 2 4" xfId="1114"/>
    <cellStyle name="Процентный 2 5" xfId="1115"/>
    <cellStyle name="Процентный 2 6" xfId="1116"/>
    <cellStyle name="Процентный 2 7" xfId="1117"/>
    <cellStyle name="Процентный 3" xfId="1118"/>
    <cellStyle name="Процентный 4" xfId="1119"/>
    <cellStyle name="Стиль 1" xfId="1120"/>
    <cellStyle name="Финансовый" xfId="1121" builtinId="3"/>
    <cellStyle name="Финансовый [0] 2" xfId="1122"/>
    <cellStyle name="Финансовый [0] 2 2" xfId="1123"/>
    <cellStyle name="Финансовый [0] 67" xfId="1124"/>
    <cellStyle name="Финансовый 10" xfId="1125"/>
    <cellStyle name="Финансовый 10 2" xfId="1126"/>
    <cellStyle name="Финансовый 11" xfId="1127"/>
    <cellStyle name="Финансовый 11 2" xfId="1128"/>
    <cellStyle name="Финансовый 13" xfId="1129"/>
    <cellStyle name="Финансовый 13 2" xfId="1130"/>
    <cellStyle name="Финансовый 13 3" xfId="1131"/>
    <cellStyle name="Финансовый 17" xfId="1132"/>
    <cellStyle name="Финансовый 19" xfId="1133"/>
    <cellStyle name="Финансовый 19 2" xfId="1134"/>
    <cellStyle name="Финансовый 19 3" xfId="1135"/>
    <cellStyle name="Финансовый 2" xfId="1136"/>
    <cellStyle name="Финансовый 2 10" xfId="1137"/>
    <cellStyle name="Финансовый 2 11" xfId="1138"/>
    <cellStyle name="Финансовый 2 12" xfId="1139"/>
    <cellStyle name="Финансовый 2 13" xfId="1140"/>
    <cellStyle name="Финансовый 2 14" xfId="1141"/>
    <cellStyle name="Финансовый 2 15" xfId="1142"/>
    <cellStyle name="Финансовый 2 16" xfId="1143"/>
    <cellStyle name="Финансовый 2 17" xfId="1144"/>
    <cellStyle name="Финансовый 2 18" xfId="1145"/>
    <cellStyle name="Финансовый 2 19" xfId="1146"/>
    <cellStyle name="Финансовый 2 2" xfId="1147"/>
    <cellStyle name="Финансовый 2 2 2" xfId="1148"/>
    <cellStyle name="Финансовый 2 2 2 2" xfId="1149"/>
    <cellStyle name="Финансовый 2 2 2 3" xfId="1150"/>
    <cellStyle name="Финансовый 2 2 3" xfId="1151"/>
    <cellStyle name="Финансовый 2 2 4" xfId="1152"/>
    <cellStyle name="Финансовый 2 20" xfId="1153"/>
    <cellStyle name="Финансовый 2 21" xfId="1154"/>
    <cellStyle name="Финансовый 2 22" xfId="1155"/>
    <cellStyle name="Финансовый 2 23" xfId="1156"/>
    <cellStyle name="Финансовый 2 24" xfId="1157"/>
    <cellStyle name="Финансовый 2 25" xfId="1158"/>
    <cellStyle name="Финансовый 2 26" xfId="1159"/>
    <cellStyle name="Финансовый 2 27" xfId="1160"/>
    <cellStyle name="Финансовый 2 28" xfId="1161"/>
    <cellStyle name="Финансовый 2 29" xfId="1162"/>
    <cellStyle name="Финансовый 2 3" xfId="1163"/>
    <cellStyle name="Финансовый 2 3 2" xfId="1164"/>
    <cellStyle name="Финансовый 2 3 3" xfId="1165"/>
    <cellStyle name="Финансовый 2 3 4" xfId="1166"/>
    <cellStyle name="Финансовый 2 30" xfId="1167"/>
    <cellStyle name="Финансовый 2 4" xfId="1168"/>
    <cellStyle name="Финансовый 2 4 2" xfId="1169"/>
    <cellStyle name="Финансовый 2 4 3" xfId="1170"/>
    <cellStyle name="Финансовый 2 4 4" xfId="1171"/>
    <cellStyle name="Финансовый 2 5" xfId="1172"/>
    <cellStyle name="Финансовый 2 5 2" xfId="1173"/>
    <cellStyle name="Финансовый 2 6" xfId="1174"/>
    <cellStyle name="Финансовый 2 6 2" xfId="1175"/>
    <cellStyle name="Финансовый 2 7" xfId="1176"/>
    <cellStyle name="Финансовый 2 8" xfId="1177"/>
    <cellStyle name="Финансовый 2 9" xfId="1178"/>
    <cellStyle name="Финансовый 20" xfId="1179"/>
    <cellStyle name="Финансовый 21" xfId="1180"/>
    <cellStyle name="Финансовый 23" xfId="1181"/>
    <cellStyle name="Финансовый 24" xfId="1182"/>
    <cellStyle name="Финансовый 25" xfId="1183"/>
    <cellStyle name="Финансовый 26" xfId="1184"/>
    <cellStyle name="Финансовый 27" xfId="1185"/>
    <cellStyle name="Финансовый 28" xfId="1186"/>
    <cellStyle name="Финансовый 3" xfId="1187"/>
    <cellStyle name="Финансовый 3 10" xfId="1188"/>
    <cellStyle name="Финансовый 3 11" xfId="1189"/>
    <cellStyle name="Финансовый 3 12" xfId="1190"/>
    <cellStyle name="Финансовый 3 13" xfId="1191"/>
    <cellStyle name="Финансовый 3 14" xfId="1192"/>
    <cellStyle name="Финансовый 3 15" xfId="1193"/>
    <cellStyle name="Финансовый 3 16" xfId="1194"/>
    <cellStyle name="Финансовый 3 17" xfId="1195"/>
    <cellStyle name="Финансовый 3 18" xfId="1196"/>
    <cellStyle name="Финансовый 3 19" xfId="1197"/>
    <cellStyle name="Финансовый 3 2" xfId="1198"/>
    <cellStyle name="Финансовый 3 2 2" xfId="1199"/>
    <cellStyle name="Финансовый 3 2 2 2" xfId="1200"/>
    <cellStyle name="Финансовый 3 2 2 3" xfId="1201"/>
    <cellStyle name="Финансовый 3 2 3" xfId="1202"/>
    <cellStyle name="Финансовый 3 2 3 2" xfId="1203"/>
    <cellStyle name="Финансовый 3 2 4" xfId="1204"/>
    <cellStyle name="Финансовый 3 2 5" xfId="1205"/>
    <cellStyle name="Финансовый 3 2 6" xfId="1206"/>
    <cellStyle name="Финансовый 3 20" xfId="1207"/>
    <cellStyle name="Финансовый 3 21" xfId="1208"/>
    <cellStyle name="Финансовый 3 22" xfId="1209"/>
    <cellStyle name="Финансовый 3 3" xfId="1210"/>
    <cellStyle name="Финансовый 3 3 2" xfId="1211"/>
    <cellStyle name="Финансовый 3 3 3" xfId="1212"/>
    <cellStyle name="Финансовый 3 4" xfId="1213"/>
    <cellStyle name="Финансовый 3 4 2" xfId="1214"/>
    <cellStyle name="Финансовый 3 4 3" xfId="1215"/>
    <cellStyle name="Финансовый 3 5" xfId="1216"/>
    <cellStyle name="Финансовый 3 5 2" xfId="1217"/>
    <cellStyle name="Финансовый 3 5 3" xfId="1218"/>
    <cellStyle name="Финансовый 3 5 4" xfId="1219"/>
    <cellStyle name="Финансовый 3 6" xfId="1220"/>
    <cellStyle name="Финансовый 3 6 2" xfId="1221"/>
    <cellStyle name="Финансовый 3 7" xfId="1222"/>
    <cellStyle name="Финансовый 3 7 2" xfId="1223"/>
    <cellStyle name="Финансовый 3 8" xfId="1224"/>
    <cellStyle name="Финансовый 3 9" xfId="1225"/>
    <cellStyle name="Финансовый 30" xfId="1226"/>
    <cellStyle name="Финансовый 31" xfId="1227"/>
    <cellStyle name="Финансовый 31 2" xfId="1228"/>
    <cellStyle name="Финансовый 32" xfId="1229"/>
    <cellStyle name="Финансовый 32 2" xfId="1230"/>
    <cellStyle name="Финансовый 33" xfId="1231"/>
    <cellStyle name="Финансовый 33 2" xfId="1232"/>
    <cellStyle name="Финансовый 34" xfId="1233"/>
    <cellStyle name="Финансовый 34 2" xfId="1234"/>
    <cellStyle name="Финансовый 35" xfId="1235"/>
    <cellStyle name="Финансовый 35 2" xfId="1236"/>
    <cellStyle name="Финансовый 36" xfId="1237"/>
    <cellStyle name="Финансовый 36 2" xfId="1238"/>
    <cellStyle name="Финансовый 37" xfId="1239"/>
    <cellStyle name="Финансовый 37 2" xfId="1240"/>
    <cellStyle name="Финансовый 38" xfId="1241"/>
    <cellStyle name="Финансовый 38 2" xfId="1242"/>
    <cellStyle name="Финансовый 39" xfId="1243"/>
    <cellStyle name="Финансовый 4" xfId="1244"/>
    <cellStyle name="Финансовый 4 2" xfId="1245"/>
    <cellStyle name="Финансовый 4 2 2" xfId="1246"/>
    <cellStyle name="Финансовый 4 2 2 2" xfId="1247"/>
    <cellStyle name="Финансовый 4 2 3" xfId="1248"/>
    <cellStyle name="Финансовый 4 3" xfId="1249"/>
    <cellStyle name="Финансовый 4 3 2" xfId="1250"/>
    <cellStyle name="Финансовый 4 4" xfId="1251"/>
    <cellStyle name="Финансовый 4 4 2" xfId="1252"/>
    <cellStyle name="Финансовый 4 5" xfId="1253"/>
    <cellStyle name="Финансовый 4 6" xfId="1254"/>
    <cellStyle name="Финансовый 4 7" xfId="1255"/>
    <cellStyle name="Финансовый 4 8" xfId="1256"/>
    <cellStyle name="Финансовый 4 9" xfId="1257"/>
    <cellStyle name="Финансовый 40" xfId="1258"/>
    <cellStyle name="Финансовый 41" xfId="1259"/>
    <cellStyle name="Финансовый 42" xfId="1260"/>
    <cellStyle name="Финансовый 42 2" xfId="1261"/>
    <cellStyle name="Финансовый 44" xfId="1262"/>
    <cellStyle name="Финансовый 46" xfId="1263"/>
    <cellStyle name="Финансовый 47" xfId="1264"/>
    <cellStyle name="Финансовый 5" xfId="1265"/>
    <cellStyle name="Финансовый 5 2" xfId="1266"/>
    <cellStyle name="Финансовый 5 2 2" xfId="1267"/>
    <cellStyle name="Финансовый 5 3" xfId="1268"/>
    <cellStyle name="Финансовый 5 3 2" xfId="1269"/>
    <cellStyle name="Финансовый 5 3 3" xfId="1270"/>
    <cellStyle name="Финансовый 5 4" xfId="1271"/>
    <cellStyle name="Финансовый 5 5" xfId="1272"/>
    <cellStyle name="Финансовый 6" xfId="1273"/>
    <cellStyle name="Финансовый 6 2" xfId="1274"/>
    <cellStyle name="Финансовый 6 2 2" xfId="1275"/>
    <cellStyle name="Финансовый 6 2 3" xfId="1276"/>
    <cellStyle name="Финансовый 6 3" xfId="1277"/>
    <cellStyle name="Финансовый 6 4" xfId="1278"/>
    <cellStyle name="Финансовый 7" xfId="1279"/>
    <cellStyle name="Финансовый 7 2" xfId="1280"/>
    <cellStyle name="Финансовый 7 2 2" xfId="1281"/>
    <cellStyle name="Финансовый 7 2 3" xfId="1282"/>
    <cellStyle name="Финансовый 7 3" xfId="1283"/>
    <cellStyle name="Финансовый 8" xfId="1284"/>
    <cellStyle name="Финансовый 8 2" xfId="1285"/>
    <cellStyle name="Финансовый 9" xfId="1286"/>
    <cellStyle name="Џђћ–…ќ’ќ›‰" xfId="1287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5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45">
          <cell r="C45">
            <v>7102133905</v>
          </cell>
          <cell r="D45">
            <v>4620137920</v>
          </cell>
          <cell r="E45">
            <v>2481995985</v>
          </cell>
        </row>
        <row r="72">
          <cell r="C72">
            <v>0</v>
          </cell>
        </row>
      </sheetData>
      <sheetData sheetId="1"/>
      <sheetData sheetId="2"/>
      <sheetData sheetId="3">
        <row r="31">
          <cell r="C31">
            <v>58202411</v>
          </cell>
          <cell r="D31">
            <v>40941994</v>
          </cell>
        </row>
        <row r="33">
          <cell r="S33">
            <v>53908309</v>
          </cell>
          <cell r="U33">
            <v>9624791</v>
          </cell>
        </row>
      </sheetData>
      <sheetData sheetId="4">
        <row r="30">
          <cell r="C30">
            <v>0</v>
          </cell>
        </row>
        <row r="31">
          <cell r="C31">
            <v>17260417</v>
          </cell>
        </row>
        <row r="33">
          <cell r="C33">
            <v>44283518</v>
          </cell>
        </row>
      </sheetData>
      <sheetData sheetId="5"/>
      <sheetData sheetId="6"/>
      <sheetData sheetId="7">
        <row r="4">
          <cell r="C4">
            <v>755824963</v>
          </cell>
          <cell r="D4">
            <v>274349557</v>
          </cell>
          <cell r="E4">
            <v>481475406</v>
          </cell>
        </row>
        <row r="7">
          <cell r="C7">
            <v>128730452</v>
          </cell>
          <cell r="D7">
            <v>11513104</v>
          </cell>
          <cell r="E7">
            <v>117217348</v>
          </cell>
        </row>
        <row r="10">
          <cell r="C10">
            <v>0</v>
          </cell>
          <cell r="D10">
            <v>0</v>
          </cell>
          <cell r="E10">
            <v>0</v>
          </cell>
        </row>
        <row r="19">
          <cell r="C19">
            <v>0</v>
          </cell>
          <cell r="D19">
            <v>0</v>
          </cell>
          <cell r="E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T62"/>
  <sheetViews>
    <sheetView tabSelected="1" zoomScaleSheetLayoutView="70" workbookViewId="0">
      <pane xSplit="2" ySplit="4" topLeftCell="C7" activePane="bottomRight" state="frozen"/>
      <selection activeCell="B3" sqref="B3"/>
      <selection pane="topRight" activeCell="B3" sqref="B3"/>
      <selection pane="bottomLeft" activeCell="B3" sqref="B3"/>
      <selection pane="bottomRight" activeCell="C4" sqref="C4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4.5703125" style="199" customWidth="1"/>
    <col min="5" max="5" width="27.42578125" style="201" customWidth="1"/>
    <col min="6" max="6" width="15.28515625" style="199" customWidth="1"/>
    <col min="7" max="7" width="9.140625" style="199"/>
    <col min="8" max="8" width="17.42578125" style="199" bestFit="1" customWidth="1"/>
    <col min="9" max="20" width="9.140625" style="199"/>
    <col min="21" max="16384" width="9.140625" style="10"/>
  </cols>
  <sheetData>
    <row r="1" spans="1:20" ht="23.25" customHeight="1">
      <c r="A1" s="227" t="s">
        <v>212</v>
      </c>
      <c r="B1" s="228"/>
      <c r="C1" s="9" t="s">
        <v>208</v>
      </c>
      <c r="E1" s="200" t="s">
        <v>237</v>
      </c>
    </row>
    <row r="2" spans="1:20">
      <c r="A2" s="47"/>
      <c r="B2" s="47"/>
      <c r="C2" s="47"/>
    </row>
    <row r="3" spans="1:20" ht="15.75">
      <c r="A3" s="11"/>
      <c r="B3" s="192" t="s">
        <v>236</v>
      </c>
      <c r="C3" s="193">
        <v>44196</v>
      </c>
    </row>
    <row r="4" spans="1:20" s="12" customFormat="1" ht="43.5" customHeight="1">
      <c r="A4" s="94" t="s">
        <v>90</v>
      </c>
      <c r="B4" s="94" t="s">
        <v>62</v>
      </c>
      <c r="C4" s="94" t="s">
        <v>3</v>
      </c>
      <c r="D4" s="202"/>
      <c r="E4" s="99"/>
      <c r="F4" s="98"/>
      <c r="G4" s="98"/>
      <c r="H4" s="98"/>
      <c r="I4" s="98"/>
      <c r="J4" s="98"/>
      <c r="K4" s="98"/>
      <c r="L4" s="98"/>
      <c r="M4" s="202"/>
      <c r="N4" s="202"/>
      <c r="O4" s="202"/>
      <c r="P4" s="202"/>
      <c r="Q4" s="202"/>
      <c r="R4" s="202"/>
      <c r="S4" s="202"/>
      <c r="T4" s="202"/>
    </row>
    <row r="5" spans="1:20" ht="12.75" customHeight="1">
      <c r="A5" s="84" t="s">
        <v>67</v>
      </c>
      <c r="B5" s="14" t="s">
        <v>159</v>
      </c>
      <c r="C5" s="15"/>
      <c r="E5" s="97"/>
      <c r="F5" s="96"/>
      <c r="G5" s="96"/>
      <c r="H5" s="96"/>
      <c r="I5" s="96"/>
      <c r="J5" s="96"/>
      <c r="K5" s="96"/>
      <c r="L5" s="96"/>
    </row>
    <row r="6" spans="1:20" ht="12.75" customHeight="1">
      <c r="A6" s="13">
        <v>1</v>
      </c>
      <c r="B6" s="14" t="s">
        <v>160</v>
      </c>
      <c r="C6" s="16"/>
      <c r="E6" s="97"/>
      <c r="F6" s="96"/>
      <c r="G6" s="96"/>
      <c r="H6" s="96"/>
      <c r="I6" s="96"/>
      <c r="J6" s="96"/>
      <c r="K6" s="96"/>
      <c r="L6" s="96"/>
    </row>
    <row r="7" spans="1:20" s="23" customFormat="1" ht="18" customHeight="1">
      <c r="A7" s="20" t="s">
        <v>163</v>
      </c>
      <c r="B7" s="21" t="s">
        <v>161</v>
      </c>
      <c r="C7" s="16">
        <f>+C8+C9</f>
        <v>1641584276</v>
      </c>
      <c r="D7" s="203"/>
      <c r="E7" s="76"/>
      <c r="F7" s="100"/>
      <c r="G7" s="100"/>
      <c r="H7" s="100"/>
      <c r="I7" s="100"/>
      <c r="J7" s="100"/>
      <c r="K7" s="100"/>
      <c r="L7" s="100"/>
      <c r="M7" s="203"/>
      <c r="N7" s="203"/>
      <c r="O7" s="203"/>
      <c r="P7" s="203"/>
      <c r="Q7" s="203"/>
      <c r="R7" s="203"/>
      <c r="S7" s="203"/>
      <c r="T7" s="203"/>
    </row>
    <row r="8" spans="1:20" s="12" customFormat="1" ht="18" customHeight="1">
      <c r="A8" s="30" t="s">
        <v>68</v>
      </c>
      <c r="B8" s="89" t="s">
        <v>69</v>
      </c>
      <c r="C8" s="48">
        <v>1641584276</v>
      </c>
      <c r="D8" s="202"/>
      <c r="E8" s="99"/>
      <c r="F8" s="98"/>
      <c r="G8" s="98"/>
      <c r="H8" s="98"/>
      <c r="I8" s="98"/>
      <c r="J8" s="98"/>
      <c r="K8" s="98"/>
      <c r="L8" s="98"/>
      <c r="M8" s="202"/>
      <c r="N8" s="202"/>
      <c r="O8" s="202"/>
      <c r="P8" s="202"/>
      <c r="Q8" s="202"/>
      <c r="R8" s="202"/>
      <c r="S8" s="202"/>
      <c r="T8" s="202"/>
    </row>
    <row r="9" spans="1:20" s="12" customFormat="1" ht="18" customHeight="1">
      <c r="A9" s="30" t="s">
        <v>70</v>
      </c>
      <c r="B9" s="89" t="s">
        <v>71</v>
      </c>
      <c r="C9" s="49">
        <v>0</v>
      </c>
      <c r="D9" s="202"/>
      <c r="E9" s="99"/>
      <c r="F9" s="98"/>
      <c r="G9" s="98"/>
      <c r="H9" s="98"/>
      <c r="I9" s="98"/>
      <c r="J9" s="98"/>
      <c r="K9" s="98"/>
      <c r="L9" s="98"/>
      <c r="M9" s="202"/>
      <c r="N9" s="202"/>
      <c r="O9" s="202"/>
      <c r="P9" s="202"/>
      <c r="Q9" s="202"/>
      <c r="R9" s="202"/>
      <c r="S9" s="202"/>
      <c r="T9" s="202"/>
    </row>
    <row r="10" spans="1:20" s="23" customFormat="1" ht="18" customHeight="1">
      <c r="A10" s="20" t="s">
        <v>164</v>
      </c>
      <c r="B10" s="21" t="s">
        <v>162</v>
      </c>
      <c r="C10" s="73"/>
      <c r="D10" s="203"/>
      <c r="E10" s="76"/>
      <c r="F10" s="100"/>
      <c r="G10" s="100"/>
      <c r="H10" s="100"/>
      <c r="I10" s="100"/>
      <c r="J10" s="100"/>
      <c r="K10" s="100"/>
      <c r="L10" s="100"/>
      <c r="M10" s="203"/>
      <c r="N10" s="203"/>
      <c r="O10" s="203"/>
      <c r="P10" s="203"/>
      <c r="Q10" s="203"/>
      <c r="R10" s="203"/>
      <c r="S10" s="203"/>
      <c r="T10" s="203"/>
    </row>
    <row r="11" spans="1:20" s="12" customFormat="1" ht="18" customHeight="1">
      <c r="A11" s="30" t="s">
        <v>165</v>
      </c>
      <c r="B11" s="89" t="s">
        <v>166</v>
      </c>
      <c r="C11" s="74">
        <f>+C12+C13-C14-C15</f>
        <v>-15476437</v>
      </c>
      <c r="D11" s="202"/>
      <c r="E11" s="99"/>
      <c r="F11" s="98"/>
      <c r="G11" s="98"/>
      <c r="H11" s="98"/>
      <c r="I11" s="98"/>
      <c r="J11" s="98"/>
      <c r="K11" s="98"/>
      <c r="L11" s="98"/>
      <c r="M11" s="202"/>
      <c r="N11" s="202"/>
      <c r="O11" s="202"/>
      <c r="P11" s="202"/>
      <c r="Q11" s="202"/>
      <c r="R11" s="202"/>
      <c r="S11" s="202"/>
      <c r="T11" s="202"/>
    </row>
    <row r="12" spans="1:20" s="12" customFormat="1" ht="18" customHeight="1">
      <c r="A12" s="30" t="s">
        <v>74</v>
      </c>
      <c r="B12" s="89" t="s">
        <v>77</v>
      </c>
      <c r="C12" s="75">
        <v>34361846</v>
      </c>
      <c r="D12" s="202"/>
      <c r="E12" s="99"/>
      <c r="F12" s="98"/>
      <c r="G12" s="98"/>
      <c r="H12" s="98"/>
      <c r="I12" s="98"/>
      <c r="J12" s="98"/>
      <c r="K12" s="98"/>
      <c r="L12" s="98"/>
      <c r="M12" s="202"/>
      <c r="N12" s="202"/>
      <c r="O12" s="202"/>
      <c r="P12" s="202"/>
      <c r="Q12" s="202"/>
      <c r="R12" s="202"/>
      <c r="S12" s="202"/>
      <c r="T12" s="202"/>
    </row>
    <row r="13" spans="1:20" s="12" customFormat="1" ht="18" customHeight="1">
      <c r="A13" s="25" t="s">
        <v>70</v>
      </c>
      <c r="B13" s="90" t="s">
        <v>78</v>
      </c>
      <c r="C13" s="75">
        <v>0</v>
      </c>
      <c r="D13" s="202"/>
      <c r="E13" s="99"/>
      <c r="F13" s="98"/>
      <c r="G13" s="98"/>
      <c r="H13" s="98"/>
      <c r="I13" s="98"/>
      <c r="J13" s="98"/>
      <c r="K13" s="98"/>
      <c r="L13" s="98"/>
      <c r="M13" s="202"/>
      <c r="N13" s="202"/>
      <c r="O13" s="202"/>
      <c r="P13" s="202"/>
      <c r="Q13" s="202"/>
      <c r="R13" s="202"/>
      <c r="S13" s="202"/>
      <c r="T13" s="202"/>
    </row>
    <row r="14" spans="1:20" s="23" customFormat="1" ht="18" customHeight="1">
      <c r="A14" s="37" t="s">
        <v>72</v>
      </c>
      <c r="B14" s="87" t="s">
        <v>167</v>
      </c>
      <c r="C14" s="219">
        <v>49838283</v>
      </c>
      <c r="D14" s="203"/>
      <c r="E14" s="76"/>
      <c r="F14" s="100"/>
      <c r="G14" s="100"/>
      <c r="H14" s="100"/>
      <c r="I14" s="100"/>
      <c r="J14" s="100"/>
      <c r="K14" s="100"/>
      <c r="L14" s="100"/>
      <c r="M14" s="203"/>
      <c r="N14" s="203"/>
      <c r="O14" s="203"/>
      <c r="P14" s="203"/>
      <c r="Q14" s="203"/>
      <c r="R14" s="203"/>
      <c r="S14" s="203"/>
      <c r="T14" s="203"/>
    </row>
    <row r="15" spans="1:20" s="23" customFormat="1" ht="18" customHeight="1">
      <c r="A15" s="37" t="s">
        <v>79</v>
      </c>
      <c r="B15" s="87" t="s">
        <v>168</v>
      </c>
      <c r="C15" s="219">
        <v>0</v>
      </c>
      <c r="D15" s="203"/>
      <c r="E15" s="76"/>
      <c r="F15" s="100"/>
      <c r="G15" s="100"/>
      <c r="H15" s="100"/>
      <c r="I15" s="100"/>
      <c r="J15" s="100"/>
      <c r="K15" s="100"/>
      <c r="L15" s="100"/>
      <c r="M15" s="203"/>
      <c r="N15" s="203"/>
      <c r="O15" s="203"/>
      <c r="P15" s="203"/>
      <c r="Q15" s="203"/>
      <c r="R15" s="203"/>
      <c r="S15" s="203"/>
      <c r="T15" s="203"/>
    </row>
    <row r="16" spans="1:20" s="12" customFormat="1" ht="18" customHeight="1">
      <c r="A16" s="25" t="s">
        <v>169</v>
      </c>
      <c r="B16" s="90" t="s">
        <v>80</v>
      </c>
      <c r="C16" s="73">
        <v>0</v>
      </c>
      <c r="D16" s="202"/>
      <c r="E16" s="99"/>
      <c r="F16" s="98"/>
      <c r="G16" s="98"/>
      <c r="H16" s="98"/>
      <c r="I16" s="98"/>
      <c r="J16" s="98"/>
      <c r="K16" s="98"/>
      <c r="L16" s="98"/>
      <c r="M16" s="202"/>
      <c r="N16" s="202"/>
      <c r="O16" s="202"/>
      <c r="P16" s="202"/>
      <c r="Q16" s="202"/>
      <c r="R16" s="202"/>
      <c r="S16" s="202"/>
      <c r="T16" s="202"/>
    </row>
    <row r="17" spans="1:20" s="12" customFormat="1" ht="18" customHeight="1">
      <c r="A17" s="25" t="s">
        <v>170</v>
      </c>
      <c r="B17" s="90" t="s">
        <v>4</v>
      </c>
      <c r="C17" s="73">
        <v>0</v>
      </c>
      <c r="D17" s="202"/>
      <c r="E17" s="99"/>
      <c r="F17" s="98"/>
      <c r="G17" s="98"/>
      <c r="H17" s="98"/>
      <c r="I17" s="98"/>
      <c r="J17" s="98"/>
      <c r="K17" s="98"/>
      <c r="L17" s="98"/>
      <c r="M17" s="202"/>
      <c r="N17" s="202"/>
      <c r="O17" s="202"/>
      <c r="P17" s="202"/>
      <c r="Q17" s="202"/>
      <c r="R17" s="202"/>
      <c r="S17" s="202"/>
      <c r="T17" s="202"/>
    </row>
    <row r="18" spans="1:20" s="12" customFormat="1" ht="18" customHeight="1">
      <c r="A18" s="25"/>
      <c r="B18" s="90" t="s">
        <v>171</v>
      </c>
      <c r="C18" s="74">
        <f>+C7+C10+C11+C16+C17</f>
        <v>1626107839</v>
      </c>
      <c r="D18" s="202"/>
      <c r="E18" s="99"/>
      <c r="F18" s="98"/>
      <c r="G18" s="98"/>
      <c r="H18" s="98"/>
      <c r="I18" s="98"/>
      <c r="J18" s="98"/>
      <c r="K18" s="98"/>
      <c r="L18" s="98"/>
      <c r="M18" s="202"/>
      <c r="N18" s="202"/>
      <c r="O18" s="202"/>
      <c r="P18" s="202"/>
      <c r="Q18" s="202"/>
      <c r="R18" s="202"/>
      <c r="S18" s="202"/>
      <c r="T18" s="202"/>
    </row>
    <row r="19" spans="1:20" s="12" customFormat="1" ht="18" customHeight="1">
      <c r="A19" s="25" t="s">
        <v>199</v>
      </c>
      <c r="B19" s="90" t="s">
        <v>172</v>
      </c>
      <c r="C19" s="74">
        <f>C21+C22+C23</f>
        <v>6707220</v>
      </c>
      <c r="D19" s="202"/>
      <c r="E19" s="99"/>
      <c r="F19" s="98"/>
      <c r="G19" s="98"/>
      <c r="H19" s="98"/>
      <c r="I19" s="98"/>
      <c r="J19" s="98"/>
      <c r="K19" s="98"/>
      <c r="L19" s="98"/>
      <c r="M19" s="202"/>
      <c r="N19" s="202"/>
      <c r="O19" s="202"/>
      <c r="P19" s="202"/>
      <c r="Q19" s="202"/>
      <c r="R19" s="202"/>
      <c r="S19" s="202"/>
      <c r="T19" s="202"/>
    </row>
    <row r="20" spans="1:20" s="12" customFormat="1" ht="22.5" customHeight="1">
      <c r="A20" s="25" t="s">
        <v>74</v>
      </c>
      <c r="B20" s="90" t="s">
        <v>82</v>
      </c>
      <c r="C20" s="73">
        <v>1613409</v>
      </c>
      <c r="D20" s="202"/>
      <c r="E20" s="99"/>
      <c r="F20" s="98"/>
      <c r="G20" s="98"/>
      <c r="H20" s="98"/>
      <c r="I20" s="98"/>
      <c r="J20" s="98"/>
      <c r="K20" s="98"/>
      <c r="L20" s="98"/>
      <c r="M20" s="202"/>
      <c r="N20" s="202"/>
      <c r="O20" s="202"/>
      <c r="P20" s="202"/>
      <c r="Q20" s="202"/>
      <c r="R20" s="202"/>
      <c r="S20" s="202"/>
      <c r="T20" s="202"/>
    </row>
    <row r="21" spans="1:20" s="12" customFormat="1" ht="29.25" customHeight="1">
      <c r="A21" s="25" t="s">
        <v>70</v>
      </c>
      <c r="B21" s="90" t="s">
        <v>13</v>
      </c>
      <c r="C21" s="73">
        <v>6707220</v>
      </c>
      <c r="D21" s="202"/>
      <c r="E21" s="99"/>
      <c r="F21" s="98"/>
      <c r="G21" s="98"/>
      <c r="H21" s="98"/>
      <c r="I21" s="98"/>
      <c r="J21" s="98"/>
      <c r="K21" s="98"/>
      <c r="L21" s="98"/>
      <c r="M21" s="202"/>
      <c r="N21" s="202"/>
      <c r="O21" s="202"/>
      <c r="P21" s="202"/>
      <c r="Q21" s="202"/>
      <c r="R21" s="202"/>
      <c r="S21" s="202"/>
      <c r="T21" s="202"/>
    </row>
    <row r="22" spans="1:20" s="12" customFormat="1" ht="22.5" customHeight="1">
      <c r="A22" s="25" t="s">
        <v>72</v>
      </c>
      <c r="B22" s="90" t="s">
        <v>5</v>
      </c>
      <c r="C22" s="73">
        <v>0</v>
      </c>
      <c r="D22" s="202"/>
      <c r="E22" s="99"/>
      <c r="F22" s="98"/>
      <c r="G22" s="98"/>
      <c r="H22" s="98"/>
      <c r="I22" s="98"/>
      <c r="J22" s="98"/>
      <c r="K22" s="98"/>
      <c r="L22" s="98"/>
      <c r="M22" s="202"/>
      <c r="N22" s="202"/>
      <c r="O22" s="202"/>
      <c r="P22" s="202"/>
      <c r="Q22" s="202"/>
      <c r="R22" s="202"/>
      <c r="S22" s="202"/>
      <c r="T22" s="202"/>
    </row>
    <row r="23" spans="1:20" s="35" customFormat="1" ht="22.5" customHeight="1">
      <c r="A23" s="189" t="s">
        <v>79</v>
      </c>
      <c r="B23" s="190" t="s">
        <v>229</v>
      </c>
      <c r="C23" s="73">
        <v>0</v>
      </c>
      <c r="D23" s="205"/>
      <c r="E23" s="109"/>
      <c r="F23" s="108"/>
      <c r="G23" s="108"/>
      <c r="H23" s="108"/>
      <c r="I23" s="108"/>
      <c r="J23" s="108"/>
      <c r="K23" s="108"/>
      <c r="L23" s="108"/>
      <c r="M23" s="205"/>
      <c r="N23" s="205"/>
      <c r="O23" s="205"/>
      <c r="P23" s="205"/>
      <c r="Q23" s="205"/>
      <c r="R23" s="205"/>
      <c r="S23" s="205"/>
      <c r="T23" s="205"/>
    </row>
    <row r="24" spans="1:20" s="23" customFormat="1" ht="15" customHeight="1">
      <c r="A24" s="20" t="s">
        <v>173</v>
      </c>
      <c r="B24" s="21" t="s">
        <v>174</v>
      </c>
      <c r="C24" s="19">
        <f>+C18-C19</f>
        <v>1619400619</v>
      </c>
      <c r="D24" s="203"/>
      <c r="E24" s="76"/>
      <c r="F24" s="100"/>
      <c r="G24" s="100"/>
      <c r="H24" s="100"/>
      <c r="I24" s="100"/>
      <c r="J24" s="100"/>
      <c r="K24" s="100"/>
      <c r="L24" s="100"/>
      <c r="M24" s="203"/>
      <c r="N24" s="203"/>
      <c r="O24" s="203"/>
      <c r="P24" s="203"/>
      <c r="Q24" s="203"/>
      <c r="R24" s="203"/>
      <c r="S24" s="203"/>
      <c r="T24" s="203"/>
    </row>
    <row r="25" spans="1:20" ht="16.5" customHeight="1">
      <c r="A25" s="17">
        <v>2</v>
      </c>
      <c r="B25" s="24" t="s">
        <v>175</v>
      </c>
      <c r="C25" s="18"/>
      <c r="E25" s="97"/>
      <c r="F25" s="96"/>
      <c r="G25" s="96"/>
      <c r="H25" s="96"/>
      <c r="I25" s="96"/>
      <c r="J25" s="96"/>
      <c r="K25" s="96"/>
      <c r="L25" s="96"/>
    </row>
    <row r="26" spans="1:20" s="23" customFormat="1" ht="18" customHeight="1">
      <c r="A26" s="37" t="s">
        <v>176</v>
      </c>
      <c r="B26" s="87" t="s">
        <v>73</v>
      </c>
      <c r="C26" s="85">
        <f>+C27+C28</f>
        <v>144180</v>
      </c>
      <c r="D26" s="203"/>
      <c r="E26" s="76"/>
      <c r="F26" s="100"/>
      <c r="G26" s="100"/>
      <c r="H26" s="100"/>
      <c r="I26" s="100"/>
      <c r="J26" s="100"/>
      <c r="K26" s="100"/>
      <c r="L26" s="100"/>
      <c r="M26" s="203"/>
      <c r="N26" s="203"/>
      <c r="O26" s="203"/>
      <c r="P26" s="203"/>
      <c r="Q26" s="203"/>
      <c r="R26" s="203"/>
      <c r="S26" s="203"/>
      <c r="T26" s="203"/>
    </row>
    <row r="27" spans="1:20" s="23" customFormat="1" ht="18" customHeight="1">
      <c r="A27" s="37" t="s">
        <v>74</v>
      </c>
      <c r="B27" s="87" t="s">
        <v>75</v>
      </c>
      <c r="C27" s="219">
        <v>144180</v>
      </c>
      <c r="D27" s="203"/>
      <c r="E27" s="204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</row>
    <row r="28" spans="1:20" s="23" customFormat="1" ht="18" customHeight="1">
      <c r="A28" s="37" t="s">
        <v>70</v>
      </c>
      <c r="B28" s="87" t="s">
        <v>76</v>
      </c>
      <c r="C28" s="219">
        <v>0</v>
      </c>
      <c r="D28" s="203"/>
      <c r="E28" s="204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</row>
    <row r="29" spans="1:20" s="23" customFormat="1" ht="18" customHeight="1">
      <c r="A29" s="37" t="s">
        <v>177</v>
      </c>
      <c r="B29" s="87" t="s">
        <v>178</v>
      </c>
      <c r="C29" s="219">
        <v>0</v>
      </c>
      <c r="D29" s="203"/>
      <c r="E29" s="204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</row>
    <row r="30" spans="1:20">
      <c r="A30" s="25" t="s">
        <v>179</v>
      </c>
      <c r="B30" s="88" t="s">
        <v>180</v>
      </c>
      <c r="C30" s="220">
        <v>0</v>
      </c>
    </row>
    <row r="31" spans="1:20" s="23" customFormat="1" ht="29.25" customHeight="1">
      <c r="A31" s="37" t="s">
        <v>181</v>
      </c>
      <c r="B31" s="87" t="s">
        <v>12</v>
      </c>
      <c r="C31" s="219">
        <v>0</v>
      </c>
      <c r="D31" s="203"/>
      <c r="E31" s="204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</row>
    <row r="32" spans="1:20" s="27" customFormat="1">
      <c r="A32" s="26" t="s">
        <v>81</v>
      </c>
      <c r="B32" s="77" t="s">
        <v>182</v>
      </c>
      <c r="C32" s="74">
        <f>+C26+C29+C30+C31</f>
        <v>144180</v>
      </c>
      <c r="D32" s="206"/>
      <c r="E32" s="207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</row>
    <row r="33" spans="1:20" s="27" customFormat="1" ht="16.5" customHeight="1">
      <c r="A33" s="26" t="s">
        <v>83</v>
      </c>
      <c r="B33" s="95" t="s">
        <v>183</v>
      </c>
      <c r="C33" s="19">
        <f>+C24+C32</f>
        <v>1619544799</v>
      </c>
      <c r="D33" s="208"/>
      <c r="E33" s="207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</row>
    <row r="34" spans="1:20" s="29" customFormat="1" ht="13.5" customHeight="1">
      <c r="A34" s="28"/>
      <c r="B34" s="28" t="s">
        <v>85</v>
      </c>
      <c r="C34" s="19"/>
      <c r="D34" s="209"/>
      <c r="E34" s="210"/>
      <c r="F34" s="209"/>
      <c r="G34" s="209"/>
      <c r="H34" s="211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</row>
    <row r="35" spans="1:20" s="23" customFormat="1" ht="18" customHeight="1">
      <c r="A35" s="37" t="s">
        <v>184</v>
      </c>
      <c r="B35" s="87" t="s">
        <v>222</v>
      </c>
      <c r="C35" s="186">
        <v>6530517</v>
      </c>
      <c r="D35" s="203"/>
      <c r="E35" s="204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</row>
    <row r="36" spans="1:20" s="23" customFormat="1" ht="25.5">
      <c r="A36" s="37" t="s">
        <v>185</v>
      </c>
      <c r="B36" s="87" t="s">
        <v>17</v>
      </c>
      <c r="C36" s="120">
        <f>IF(F36&lt;(C44*1.25%),F36,(C44*1.25%))</f>
        <v>0</v>
      </c>
      <c r="D36" s="203"/>
      <c r="E36" s="198" t="s">
        <v>207</v>
      </c>
      <c r="F36" s="221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</row>
    <row r="37" spans="1:20" s="23" customFormat="1" ht="18" customHeight="1">
      <c r="A37" s="37" t="s">
        <v>186</v>
      </c>
      <c r="B37" s="87" t="s">
        <v>6</v>
      </c>
      <c r="C37" s="219">
        <v>5492492</v>
      </c>
      <c r="D37" s="100"/>
      <c r="E37" s="76"/>
      <c r="F37" s="195">
        <f>+[6]Balance!$C$72</f>
        <v>0</v>
      </c>
      <c r="G37" s="100"/>
      <c r="H37" s="100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</row>
    <row r="38" spans="1:20" s="23" customFormat="1" ht="18" customHeight="1">
      <c r="A38" s="37" t="s">
        <v>187</v>
      </c>
      <c r="B38" s="87" t="s">
        <v>188</v>
      </c>
      <c r="C38" s="219">
        <v>0</v>
      </c>
      <c r="D38" s="100"/>
      <c r="E38" s="76"/>
      <c r="F38" s="195">
        <f>+F36-F37</f>
        <v>0</v>
      </c>
      <c r="G38" s="100"/>
      <c r="H38" s="100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</row>
    <row r="39" spans="1:20" s="23" customFormat="1" ht="18" customHeight="1">
      <c r="A39" s="37" t="s">
        <v>189</v>
      </c>
      <c r="B39" s="87" t="s">
        <v>7</v>
      </c>
      <c r="C39" s="219">
        <v>0</v>
      </c>
      <c r="D39" s="100"/>
      <c r="E39" s="76"/>
      <c r="F39" s="100"/>
      <c r="G39" s="100"/>
      <c r="H39" s="100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</row>
    <row r="40" spans="1:20" s="23" customFormat="1" ht="18" customHeight="1">
      <c r="A40" s="37" t="s">
        <v>190</v>
      </c>
      <c r="B40" s="87" t="s">
        <v>86</v>
      </c>
      <c r="C40" s="219">
        <f>IF(C41&lt;(C33/3),0,(C41-C33/3)*-1)</f>
        <v>0</v>
      </c>
      <c r="D40" s="100"/>
      <c r="E40" s="76"/>
      <c r="F40" s="100"/>
      <c r="G40" s="100"/>
      <c r="H40" s="100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</row>
    <row r="41" spans="1:20" ht="18.75" customHeight="1">
      <c r="A41" s="30"/>
      <c r="B41" s="31" t="s">
        <v>42</v>
      </c>
      <c r="C41" s="19">
        <f>SUM(C35:C39)</f>
        <v>12023009</v>
      </c>
      <c r="D41" s="101"/>
      <c r="E41" s="97"/>
      <c r="F41" s="96"/>
      <c r="G41" s="96"/>
      <c r="H41" s="96"/>
    </row>
    <row r="42" spans="1:20" s="12" customFormat="1" ht="22.5" customHeight="1">
      <c r="A42" s="51" t="s">
        <v>84</v>
      </c>
      <c r="B42" s="32" t="s">
        <v>44</v>
      </c>
      <c r="C42" s="33">
        <f>+C40+C41</f>
        <v>12023009</v>
      </c>
      <c r="D42" s="107"/>
      <c r="E42" s="99"/>
      <c r="F42" s="98"/>
      <c r="G42" s="98"/>
      <c r="H42" s="98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</row>
    <row r="43" spans="1:20" s="12" customFormat="1" ht="15.75" customHeight="1">
      <c r="A43" s="28" t="s">
        <v>87</v>
      </c>
      <c r="B43" s="32" t="s">
        <v>191</v>
      </c>
      <c r="C43" s="34">
        <f>+C33+C40+C41</f>
        <v>1631567808</v>
      </c>
      <c r="D43" s="107"/>
      <c r="E43" s="99"/>
      <c r="F43" s="98"/>
      <c r="G43" s="98"/>
      <c r="H43" s="98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</row>
    <row r="44" spans="1:20" s="12" customFormat="1" ht="21.75" customHeight="1">
      <c r="A44" s="28" t="s">
        <v>10</v>
      </c>
      <c r="B44" s="21" t="s">
        <v>192</v>
      </c>
      <c r="C44" s="34">
        <f>+C45+C46+C47</f>
        <v>8435368632.523077</v>
      </c>
      <c r="D44" s="98"/>
      <c r="E44" s="99"/>
      <c r="F44" s="98"/>
      <c r="G44" s="98"/>
      <c r="H44" s="98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</row>
    <row r="45" spans="1:20" s="23" customFormat="1" ht="18" customHeight="1">
      <c r="A45" s="37" t="s">
        <v>74</v>
      </c>
      <c r="B45" s="87" t="s">
        <v>18</v>
      </c>
      <c r="C45" s="120">
        <f>+'Calculation of Risk Weighted As'!J78</f>
        <v>7995721865.6000004</v>
      </c>
      <c r="D45" s="100"/>
      <c r="E45" s="76"/>
      <c r="F45" s="100"/>
      <c r="G45" s="100"/>
      <c r="H45" s="100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</row>
    <row r="46" spans="1:20" s="23" customFormat="1" ht="18" customHeight="1">
      <c r="A46" s="37" t="s">
        <v>70</v>
      </c>
      <c r="B46" s="87" t="s">
        <v>8</v>
      </c>
      <c r="C46" s="85">
        <f>+'Calculation of Risk'!C21</f>
        <v>381645959.23076922</v>
      </c>
      <c r="D46" s="100"/>
      <c r="E46" s="76"/>
      <c r="F46" s="100"/>
      <c r="G46" s="100"/>
      <c r="H46" s="100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</row>
    <row r="47" spans="1:20" s="23" customFormat="1" ht="18" customHeight="1">
      <c r="A47" s="37" t="s">
        <v>72</v>
      </c>
      <c r="B47" s="87" t="s">
        <v>9</v>
      </c>
      <c r="C47" s="85">
        <f>+'Calculation of Risk'!C27</f>
        <v>58000807.692307696</v>
      </c>
      <c r="D47" s="100"/>
      <c r="E47" s="76"/>
      <c r="F47" s="100"/>
      <c r="G47" s="100"/>
      <c r="H47" s="100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</row>
    <row r="48" spans="1:20" s="29" customFormat="1" ht="21.75" customHeight="1">
      <c r="A48" s="51" t="s">
        <v>11</v>
      </c>
      <c r="B48" s="52" t="s">
        <v>193</v>
      </c>
      <c r="C48" s="53">
        <f>IFERROR((+C24/C44),0)</f>
        <v>0.19197745700837571</v>
      </c>
      <c r="D48" s="104"/>
      <c r="E48" s="105"/>
      <c r="F48" s="104"/>
      <c r="G48" s="104"/>
      <c r="H48" s="104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</row>
    <row r="49" spans="1:20" s="29" customFormat="1" ht="21.75" customHeight="1">
      <c r="A49" s="51" t="s">
        <v>88</v>
      </c>
      <c r="B49" s="52" t="s">
        <v>194</v>
      </c>
      <c r="C49" s="53">
        <f>IFERROR((+C33/C44),0)</f>
        <v>0.19199454932600651</v>
      </c>
      <c r="D49" s="104"/>
      <c r="E49" s="105"/>
      <c r="F49" s="104"/>
      <c r="G49" s="104"/>
      <c r="H49" s="104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</row>
    <row r="50" spans="1:20" s="29" customFormat="1" ht="21.75" customHeight="1">
      <c r="A50" s="51" t="s">
        <v>45</v>
      </c>
      <c r="B50" s="52" t="s">
        <v>195</v>
      </c>
      <c r="C50" s="53">
        <f>IFERROR((+C43/C44),0)</f>
        <v>0.19341985858322672</v>
      </c>
      <c r="D50" s="104"/>
      <c r="E50" s="105"/>
      <c r="F50" s="104"/>
      <c r="G50" s="104"/>
      <c r="H50" s="104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</row>
    <row r="51" spans="1:20" s="35" customFormat="1" ht="21.75" customHeight="1">
      <c r="A51" s="28" t="s">
        <v>46</v>
      </c>
      <c r="B51" s="21" t="s">
        <v>31</v>
      </c>
      <c r="C51" s="36">
        <f>SUM(C52:C54)-C55</f>
        <v>7999982100</v>
      </c>
      <c r="D51" s="108"/>
      <c r="E51" s="109"/>
      <c r="F51" s="110"/>
      <c r="G51" s="108"/>
      <c r="H51" s="108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</row>
    <row r="52" spans="1:20" s="40" customFormat="1" ht="21.75" customHeight="1">
      <c r="A52" s="37" t="s">
        <v>74</v>
      </c>
      <c r="B52" s="38" t="s">
        <v>51</v>
      </c>
      <c r="C52" s="117">
        <v>7102133905</v>
      </c>
      <c r="D52" s="111"/>
      <c r="E52" s="112"/>
      <c r="F52" s="113"/>
      <c r="G52" s="111"/>
      <c r="H52" s="111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</row>
    <row r="53" spans="1:20" s="40" customFormat="1" ht="21.75" customHeight="1">
      <c r="A53" s="37" t="s">
        <v>70</v>
      </c>
      <c r="B53" s="38" t="s">
        <v>196</v>
      </c>
      <c r="C53" s="117">
        <f>SUM('Calculation of Risk Weighted As'!F58:I66)</f>
        <v>904555415</v>
      </c>
      <c r="D53" s="113">
        <f>+'Calculation of Risk Weighted As'!J78</f>
        <v>7995721865.6000004</v>
      </c>
      <c r="E53" s="112"/>
      <c r="F53" s="113"/>
      <c r="G53" s="111"/>
      <c r="H53" s="111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</row>
    <row r="54" spans="1:20" s="43" customFormat="1" ht="21.75" customHeight="1">
      <c r="A54" s="41" t="s">
        <v>72</v>
      </c>
      <c r="B54" s="42" t="s">
        <v>197</v>
      </c>
      <c r="C54" s="39">
        <f>SUM('Calculation of Risk Weighted As'!J69:J75)</f>
        <v>0</v>
      </c>
      <c r="D54" s="114"/>
      <c r="E54" s="115"/>
      <c r="F54" s="114"/>
      <c r="G54" s="114"/>
      <c r="H54" s="11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</row>
    <row r="55" spans="1:20" s="43" customFormat="1" ht="21.75" customHeight="1">
      <c r="A55" s="41" t="s">
        <v>79</v>
      </c>
      <c r="B55" s="42" t="s">
        <v>198</v>
      </c>
      <c r="C55" s="78">
        <f>+C19</f>
        <v>6707220</v>
      </c>
      <c r="D55" s="114"/>
      <c r="E55" s="115"/>
      <c r="F55" s="114"/>
      <c r="G55" s="114"/>
      <c r="H55" s="114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</row>
    <row r="56" spans="1:20" s="29" customFormat="1" ht="21.75" customHeight="1">
      <c r="A56" s="51" t="s">
        <v>47</v>
      </c>
      <c r="B56" s="52" t="s">
        <v>52</v>
      </c>
      <c r="C56" s="53">
        <f>IFERROR((+C33/C51),0)</f>
        <v>0.2024435528424495</v>
      </c>
      <c r="D56" s="104"/>
      <c r="E56" s="105"/>
      <c r="F56" s="104"/>
      <c r="G56" s="104"/>
      <c r="H56" s="104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</row>
    <row r="57" spans="1:20">
      <c r="B57" s="44"/>
      <c r="D57" s="96"/>
      <c r="E57" s="97"/>
      <c r="F57" s="96"/>
      <c r="G57" s="96"/>
      <c r="H57" s="96"/>
    </row>
    <row r="58" spans="1:20" s="1" customFormat="1">
      <c r="A58" s="5"/>
      <c r="B58" s="2" t="s">
        <v>0</v>
      </c>
      <c r="D58" s="8"/>
      <c r="E58" s="8"/>
      <c r="F58" s="8"/>
      <c r="G58" s="8"/>
      <c r="H58" s="8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</row>
    <row r="59" spans="1:20" s="1" customFormat="1">
      <c r="A59" s="5"/>
      <c r="B59" s="2"/>
      <c r="D59" s="8"/>
      <c r="E59" s="8"/>
      <c r="F59" s="8"/>
      <c r="G59" s="8"/>
      <c r="H59" s="8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</row>
    <row r="60" spans="1:20" s="1" customFormat="1">
      <c r="A60" s="5"/>
      <c r="B60" s="2" t="s">
        <v>1</v>
      </c>
      <c r="D60" s="8"/>
      <c r="E60" s="8"/>
      <c r="F60" s="8"/>
      <c r="G60" s="8"/>
      <c r="H60" s="8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</row>
    <row r="61" spans="1:20">
      <c r="B61" s="46"/>
      <c r="D61" s="96"/>
      <c r="E61" s="97"/>
      <c r="F61" s="96"/>
      <c r="G61" s="96"/>
      <c r="H61" s="96"/>
    </row>
    <row r="62" spans="1:20">
      <c r="D62" s="96"/>
      <c r="E62" s="97"/>
      <c r="F62" s="96"/>
      <c r="G62" s="96"/>
      <c r="H62" s="96"/>
    </row>
  </sheetData>
  <sheetProtection password="CACA" sheet="1" objects="1" scenarios="1"/>
  <mergeCells count="1">
    <mergeCell ref="A1:B1"/>
  </mergeCells>
  <dataValidations count="1">
    <dataValidation type="date" operator="greaterThan" allowBlank="1" showInputMessage="1" showErrorMessage="1" prompt="Введите дату в формате ЧЧ.ММ.ГГГГ" sqref="C3">
      <formula1>DATE(96,1,1)</formula1>
    </dataValidation>
  </dataValidations>
  <printOptions horizontalCentered="1"/>
  <pageMargins left="0.19685039370078741" right="0.19685039370078741" top="0.39370078740157483" bottom="0.39370078740157483" header="0.15748031496062992" footer="0.51181102362204722"/>
  <pageSetup paperSize="9" scale="7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0.28515625" style="96" bestFit="1" customWidth="1"/>
    <col min="5" max="5" width="19.42578125" style="97" bestFit="1" customWidth="1"/>
    <col min="6" max="6" width="9.28515625" style="96" bestFit="1" customWidth="1"/>
    <col min="7" max="7" width="9.140625" style="96"/>
    <col min="8" max="8" width="17.42578125" style="96" bestFit="1" customWidth="1"/>
    <col min="9" max="16384" width="9.140625" style="10"/>
  </cols>
  <sheetData>
    <row r="1" spans="1:8" ht="23.25" customHeight="1">
      <c r="A1" s="227" t="s">
        <v>212</v>
      </c>
      <c r="B1" s="228"/>
      <c r="C1" s="9" t="s">
        <v>208</v>
      </c>
    </row>
    <row r="2" spans="1:8">
      <c r="A2" s="47"/>
      <c r="B2" s="47"/>
      <c r="C2" s="47"/>
    </row>
    <row r="3" spans="1:8" ht="15.75">
      <c r="A3" s="11"/>
      <c r="B3" s="81" t="e">
        <f>#REF!</f>
        <v>#REF!</v>
      </c>
      <c r="C3" s="80" t="e">
        <f>+#REF!</f>
        <v>#REF!</v>
      </c>
    </row>
    <row r="4" spans="1:8" s="12" customFormat="1" ht="43.5" customHeight="1">
      <c r="A4" s="94" t="s">
        <v>90</v>
      </c>
      <c r="B4" s="94" t="s">
        <v>62</v>
      </c>
      <c r="C4" s="94" t="s">
        <v>3</v>
      </c>
      <c r="D4" s="98"/>
      <c r="E4" s="99"/>
      <c r="F4" s="98"/>
      <c r="G4" s="98"/>
      <c r="H4" s="98"/>
    </row>
    <row r="5" spans="1:8" ht="12.75" customHeight="1">
      <c r="A5" s="84" t="s">
        <v>67</v>
      </c>
      <c r="B5" s="14" t="s">
        <v>159</v>
      </c>
      <c r="C5" s="15"/>
    </row>
    <row r="6" spans="1:8" ht="12.75" customHeight="1">
      <c r="A6" s="13">
        <v>1</v>
      </c>
      <c r="B6" s="14" t="s">
        <v>160</v>
      </c>
      <c r="C6" s="16"/>
    </row>
    <row r="7" spans="1:8" s="23" customFormat="1" ht="18" customHeight="1">
      <c r="A7" s="20" t="s">
        <v>163</v>
      </c>
      <c r="B7" s="21" t="s">
        <v>161</v>
      </c>
      <c r="C7" s="53" t="s">
        <v>158</v>
      </c>
      <c r="D7" s="100"/>
      <c r="E7" s="76"/>
      <c r="F7" s="100"/>
      <c r="G7" s="100"/>
      <c r="H7" s="100"/>
    </row>
    <row r="8" spans="1:8" s="12" customFormat="1" ht="18" customHeight="1">
      <c r="A8" s="30" t="s">
        <v>68</v>
      </c>
      <c r="B8" s="89" t="s">
        <v>69</v>
      </c>
      <c r="C8" s="48"/>
      <c r="D8" s="98"/>
      <c r="E8" s="99"/>
      <c r="F8" s="98"/>
      <c r="G8" s="98"/>
      <c r="H8" s="98"/>
    </row>
    <row r="9" spans="1:8" s="12" customFormat="1" ht="18" customHeight="1">
      <c r="A9" s="30" t="s">
        <v>70</v>
      </c>
      <c r="B9" s="89" t="s">
        <v>71</v>
      </c>
      <c r="C9" s="49"/>
      <c r="D9" s="98"/>
      <c r="E9" s="99"/>
      <c r="F9" s="98"/>
      <c r="G9" s="98"/>
      <c r="H9" s="98"/>
    </row>
    <row r="10" spans="1:8" s="23" customFormat="1" ht="18" customHeight="1">
      <c r="A10" s="20" t="s">
        <v>164</v>
      </c>
      <c r="B10" s="21" t="s">
        <v>162</v>
      </c>
      <c r="C10" s="73">
        <v>0</v>
      </c>
      <c r="D10" s="100"/>
      <c r="E10" s="76"/>
      <c r="F10" s="100"/>
      <c r="G10" s="100"/>
      <c r="H10" s="100"/>
    </row>
    <row r="11" spans="1:8" s="12" customFormat="1" ht="18" customHeight="1">
      <c r="A11" s="30" t="s">
        <v>165</v>
      </c>
      <c r="B11" s="89" t="s">
        <v>166</v>
      </c>
      <c r="C11" s="53" t="s">
        <v>158</v>
      </c>
      <c r="D11" s="98"/>
      <c r="E11" s="99"/>
      <c r="F11" s="98"/>
      <c r="G11" s="98"/>
      <c r="H11" s="98"/>
    </row>
    <row r="12" spans="1:8" s="12" customFormat="1" ht="18" customHeight="1">
      <c r="A12" s="30" t="s">
        <v>74</v>
      </c>
      <c r="B12" s="89" t="s">
        <v>77</v>
      </c>
      <c r="C12" s="75"/>
      <c r="D12" s="98"/>
      <c r="E12" s="99"/>
      <c r="F12" s="98"/>
      <c r="G12" s="98"/>
      <c r="H12" s="98"/>
    </row>
    <row r="13" spans="1:8" s="12" customFormat="1" ht="18" customHeight="1">
      <c r="A13" s="25" t="s">
        <v>70</v>
      </c>
      <c r="B13" s="90" t="s">
        <v>78</v>
      </c>
      <c r="C13" s="75"/>
      <c r="D13" s="98"/>
      <c r="E13" s="99"/>
      <c r="F13" s="98"/>
      <c r="G13" s="98"/>
      <c r="H13" s="98"/>
    </row>
    <row r="14" spans="1:8" s="23" customFormat="1" ht="18" customHeight="1">
      <c r="A14" s="37" t="s">
        <v>72</v>
      </c>
      <c r="B14" s="87" t="s">
        <v>167</v>
      </c>
      <c r="C14" s="72"/>
      <c r="D14" s="100"/>
      <c r="E14" s="76"/>
      <c r="F14" s="100"/>
      <c r="G14" s="100"/>
      <c r="H14" s="100"/>
    </row>
    <row r="15" spans="1:8" s="23" customFormat="1" ht="18" customHeight="1">
      <c r="A15" s="37" t="s">
        <v>79</v>
      </c>
      <c r="B15" s="87" t="s">
        <v>168</v>
      </c>
      <c r="C15" s="72"/>
      <c r="D15" s="100"/>
      <c r="E15" s="76"/>
      <c r="F15" s="100"/>
      <c r="G15" s="100"/>
      <c r="H15" s="100"/>
    </row>
    <row r="16" spans="1:8" s="12" customFormat="1" ht="18" customHeight="1">
      <c r="A16" s="25" t="s">
        <v>169</v>
      </c>
      <c r="B16" s="90" t="s">
        <v>80</v>
      </c>
      <c r="C16" s="73"/>
      <c r="D16" s="98"/>
      <c r="E16" s="99"/>
      <c r="F16" s="98"/>
      <c r="G16" s="98"/>
      <c r="H16" s="98"/>
    </row>
    <row r="17" spans="1:8" s="12" customFormat="1" ht="18" customHeight="1">
      <c r="A17" s="25" t="s">
        <v>170</v>
      </c>
      <c r="B17" s="90" t="s">
        <v>4</v>
      </c>
      <c r="C17" s="73"/>
      <c r="D17" s="98"/>
      <c r="E17" s="99"/>
      <c r="F17" s="98"/>
      <c r="G17" s="98"/>
      <c r="H17" s="98"/>
    </row>
    <row r="18" spans="1:8" s="12" customFormat="1" ht="18" customHeight="1">
      <c r="A18" s="25"/>
      <c r="B18" s="90" t="s">
        <v>171</v>
      </c>
      <c r="C18" s="53" t="s">
        <v>158</v>
      </c>
      <c r="D18" s="98"/>
      <c r="E18" s="99"/>
      <c r="F18" s="98"/>
      <c r="G18" s="98"/>
      <c r="H18" s="98"/>
    </row>
    <row r="19" spans="1:8" s="12" customFormat="1" ht="18" customHeight="1">
      <c r="A19" s="25" t="s">
        <v>199</v>
      </c>
      <c r="B19" s="90" t="s">
        <v>172</v>
      </c>
      <c r="C19" s="53" t="s">
        <v>158</v>
      </c>
      <c r="D19" s="98"/>
      <c r="E19" s="99"/>
      <c r="F19" s="98"/>
      <c r="G19" s="98"/>
      <c r="H19" s="98"/>
    </row>
    <row r="20" spans="1:8" s="23" customFormat="1" ht="18" customHeight="1">
      <c r="A20" s="83" t="s">
        <v>74</v>
      </c>
      <c r="B20" s="139" t="s">
        <v>82</v>
      </c>
      <c r="C20" s="72"/>
      <c r="D20" s="100"/>
      <c r="E20" s="76"/>
      <c r="F20" s="100"/>
      <c r="G20" s="100"/>
      <c r="H20" s="100"/>
    </row>
    <row r="21" spans="1:8" s="22" customFormat="1" ht="25.5">
      <c r="A21" s="83" t="s">
        <v>70</v>
      </c>
      <c r="B21" s="87" t="s">
        <v>13</v>
      </c>
      <c r="C21" s="72"/>
      <c r="D21" s="100"/>
      <c r="E21" s="76"/>
      <c r="F21" s="100"/>
      <c r="G21" s="100"/>
      <c r="H21" s="100"/>
    </row>
    <row r="22" spans="1:8" s="23" customFormat="1" ht="18" customHeight="1">
      <c r="A22" s="83" t="s">
        <v>72</v>
      </c>
      <c r="B22" s="87" t="s">
        <v>5</v>
      </c>
      <c r="C22" s="72"/>
      <c r="D22" s="100"/>
      <c r="E22" s="76"/>
      <c r="F22" s="100"/>
      <c r="G22" s="100"/>
      <c r="H22" s="100"/>
    </row>
    <row r="23" spans="1:8" s="23" customFormat="1" ht="15" customHeight="1">
      <c r="A23" s="20" t="s">
        <v>173</v>
      </c>
      <c r="B23" s="21" t="s">
        <v>174</v>
      </c>
      <c r="C23" s="53" t="s">
        <v>158</v>
      </c>
      <c r="D23" s="100"/>
      <c r="E23" s="76"/>
      <c r="F23" s="100"/>
      <c r="G23" s="100"/>
      <c r="H23" s="100"/>
    </row>
    <row r="24" spans="1:8" ht="16.5" customHeight="1">
      <c r="A24" s="17">
        <v>2</v>
      </c>
      <c r="B24" s="24" t="s">
        <v>175</v>
      </c>
      <c r="C24" s="18"/>
    </row>
    <row r="25" spans="1:8" s="23" customFormat="1" ht="18" customHeight="1">
      <c r="A25" s="37" t="s">
        <v>176</v>
      </c>
      <c r="B25" s="87" t="s">
        <v>73</v>
      </c>
      <c r="C25" s="85">
        <f>+C26+C27</f>
        <v>0</v>
      </c>
      <c r="D25" s="100"/>
      <c r="E25" s="76"/>
      <c r="F25" s="100"/>
      <c r="G25" s="100"/>
      <c r="H25" s="100"/>
    </row>
    <row r="26" spans="1:8" s="23" customFormat="1" ht="18" customHeight="1">
      <c r="A26" s="37" t="s">
        <v>74</v>
      </c>
      <c r="B26" s="87" t="s">
        <v>75</v>
      </c>
      <c r="C26" s="72"/>
      <c r="D26" s="100"/>
      <c r="E26" s="76"/>
      <c r="F26" s="100"/>
      <c r="G26" s="100"/>
      <c r="H26" s="100"/>
    </row>
    <row r="27" spans="1:8" s="23" customFormat="1" ht="18" customHeight="1">
      <c r="A27" s="37" t="s">
        <v>70</v>
      </c>
      <c r="B27" s="87" t="s">
        <v>76</v>
      </c>
      <c r="C27" s="72"/>
      <c r="D27" s="100"/>
      <c r="E27" s="76"/>
      <c r="F27" s="100"/>
      <c r="G27" s="100"/>
      <c r="H27" s="100"/>
    </row>
    <row r="28" spans="1:8" s="23" customFormat="1" ht="18" customHeight="1">
      <c r="A28" s="37" t="s">
        <v>177</v>
      </c>
      <c r="B28" s="87" t="s">
        <v>178</v>
      </c>
      <c r="C28" s="72">
        <v>0</v>
      </c>
      <c r="D28" s="100"/>
      <c r="E28" s="76"/>
      <c r="F28" s="100"/>
      <c r="G28" s="100"/>
      <c r="H28" s="100"/>
    </row>
    <row r="29" spans="1:8">
      <c r="A29" s="25" t="s">
        <v>179</v>
      </c>
      <c r="B29" s="88" t="s">
        <v>180</v>
      </c>
      <c r="C29" s="50">
        <v>0</v>
      </c>
    </row>
    <row r="30" spans="1:8" s="23" customFormat="1" ht="29.25" customHeight="1">
      <c r="A30" s="37" t="s">
        <v>181</v>
      </c>
      <c r="B30" s="87" t="s">
        <v>12</v>
      </c>
      <c r="C30" s="72">
        <v>0</v>
      </c>
      <c r="D30" s="100"/>
      <c r="E30" s="76"/>
      <c r="F30" s="100"/>
      <c r="G30" s="100"/>
      <c r="H30" s="100"/>
    </row>
    <row r="31" spans="1:8" s="27" customFormat="1">
      <c r="A31" s="26" t="s">
        <v>81</v>
      </c>
      <c r="B31" s="77" t="s">
        <v>182</v>
      </c>
      <c r="C31" s="74">
        <f>+C25+C28+C29+C30</f>
        <v>0</v>
      </c>
      <c r="D31" s="101"/>
      <c r="E31" s="102"/>
      <c r="F31" s="103"/>
      <c r="G31" s="103"/>
      <c r="H31" s="103"/>
    </row>
    <row r="32" spans="1:8" s="27" customFormat="1" ht="16.5" customHeight="1">
      <c r="A32" s="26" t="s">
        <v>83</v>
      </c>
      <c r="B32" s="95" t="s">
        <v>183</v>
      </c>
      <c r="C32" s="53" t="s">
        <v>158</v>
      </c>
      <c r="D32" s="103"/>
      <c r="E32" s="102"/>
      <c r="F32" s="103"/>
      <c r="G32" s="103"/>
      <c r="H32" s="103"/>
    </row>
    <row r="33" spans="1:8" s="29" customFormat="1" ht="13.5" customHeight="1">
      <c r="A33" s="28"/>
      <c r="B33" s="28" t="s">
        <v>85</v>
      </c>
      <c r="C33" s="19"/>
      <c r="D33" s="104"/>
      <c r="E33" s="105"/>
      <c r="F33" s="104"/>
      <c r="G33" s="104"/>
      <c r="H33" s="106"/>
    </row>
    <row r="34" spans="1:8" s="23" customFormat="1" ht="18" customHeight="1">
      <c r="A34" s="37" t="s">
        <v>184</v>
      </c>
      <c r="B34" s="138" t="s">
        <v>222</v>
      </c>
      <c r="C34" s="72"/>
      <c r="D34" s="100"/>
      <c r="E34" s="76"/>
      <c r="F34" s="100"/>
      <c r="G34" s="100"/>
      <c r="H34" s="100"/>
    </row>
    <row r="35" spans="1:8" s="23" customFormat="1" ht="25.5">
      <c r="A35" s="37" t="s">
        <v>185</v>
      </c>
      <c r="B35" s="87" t="s">
        <v>17</v>
      </c>
      <c r="C35" s="120" t="e">
        <f>IF(#REF!&lt;(C43*1.25%),#REF!,(C43*1.25%))</f>
        <v>#REF!</v>
      </c>
      <c r="D35" s="100"/>
      <c r="E35" s="76"/>
      <c r="F35" s="100"/>
      <c r="G35" s="100"/>
      <c r="H35" s="100"/>
    </row>
    <row r="36" spans="1:8" s="23" customFormat="1" ht="18" customHeight="1">
      <c r="A36" s="37" t="s">
        <v>186</v>
      </c>
      <c r="B36" s="87" t="s">
        <v>6</v>
      </c>
      <c r="C36" s="72"/>
      <c r="D36" s="100"/>
      <c r="E36" s="76"/>
      <c r="F36" s="100"/>
      <c r="G36" s="100"/>
      <c r="H36" s="100"/>
    </row>
    <row r="37" spans="1:8" s="23" customFormat="1" ht="18" customHeight="1">
      <c r="A37" s="37" t="s">
        <v>187</v>
      </c>
      <c r="B37" s="87" t="s">
        <v>188</v>
      </c>
      <c r="C37" s="72"/>
      <c r="D37" s="100"/>
      <c r="E37" s="76"/>
      <c r="F37" s="100"/>
      <c r="G37" s="100"/>
      <c r="H37" s="100"/>
    </row>
    <row r="38" spans="1:8" s="23" customFormat="1" ht="18" customHeight="1">
      <c r="A38" s="37" t="s">
        <v>189</v>
      </c>
      <c r="B38" s="87" t="s">
        <v>7</v>
      </c>
      <c r="C38" s="72"/>
      <c r="D38" s="100"/>
      <c r="E38" s="76"/>
      <c r="F38" s="100"/>
      <c r="G38" s="100"/>
      <c r="H38" s="100"/>
    </row>
    <row r="39" spans="1:8" s="23" customFormat="1" ht="18" customHeight="1">
      <c r="A39" s="37" t="s">
        <v>190</v>
      </c>
      <c r="B39" s="87" t="s">
        <v>86</v>
      </c>
      <c r="C39" s="53" t="s">
        <v>158</v>
      </c>
      <c r="D39" s="100"/>
      <c r="E39" s="76"/>
      <c r="F39" s="100"/>
      <c r="G39" s="100"/>
      <c r="H39" s="100"/>
    </row>
    <row r="40" spans="1:8" ht="18.75" customHeight="1">
      <c r="A40" s="30"/>
      <c r="B40" s="31" t="s">
        <v>42</v>
      </c>
      <c r="C40" s="19" t="e">
        <f>SUM(C34:C38)</f>
        <v>#REF!</v>
      </c>
      <c r="D40" s="101"/>
    </row>
    <row r="41" spans="1:8" s="12" customFormat="1" ht="22.5" customHeight="1">
      <c r="A41" s="51" t="s">
        <v>84</v>
      </c>
      <c r="B41" s="32" t="s">
        <v>44</v>
      </c>
      <c r="C41" s="53" t="s">
        <v>158</v>
      </c>
      <c r="D41" s="107"/>
      <c r="E41" s="99"/>
      <c r="F41" s="98"/>
      <c r="G41" s="98"/>
      <c r="H41" s="98"/>
    </row>
    <row r="42" spans="1:8" s="12" customFormat="1" ht="15.75" customHeight="1">
      <c r="A42" s="28" t="s">
        <v>87</v>
      </c>
      <c r="B42" s="32" t="s">
        <v>191</v>
      </c>
      <c r="C42" s="53" t="s">
        <v>158</v>
      </c>
      <c r="D42" s="107"/>
      <c r="E42" s="99"/>
      <c r="F42" s="98"/>
      <c r="G42" s="98"/>
      <c r="H42" s="98"/>
    </row>
    <row r="43" spans="1:8" s="12" customFormat="1" ht="21.75" customHeight="1">
      <c r="A43" s="28" t="s">
        <v>10</v>
      </c>
      <c r="B43" s="21" t="s">
        <v>192</v>
      </c>
      <c r="C43" s="34">
        <f>+C44+C45+C46</f>
        <v>8435368632.523077</v>
      </c>
      <c r="D43" s="98"/>
      <c r="E43" s="99"/>
      <c r="F43" s="98"/>
      <c r="G43" s="98"/>
      <c r="H43" s="98"/>
    </row>
    <row r="44" spans="1:8" s="23" customFormat="1" ht="18" customHeight="1">
      <c r="A44" s="37" t="s">
        <v>74</v>
      </c>
      <c r="B44" s="87" t="s">
        <v>18</v>
      </c>
      <c r="C44" s="85">
        <f>+'Calculation of Risk Weighted As'!J78</f>
        <v>7995721865.6000004</v>
      </c>
      <c r="D44" s="100"/>
      <c r="E44" s="76"/>
      <c r="F44" s="100"/>
      <c r="G44" s="100"/>
      <c r="H44" s="100"/>
    </row>
    <row r="45" spans="1:8" s="23" customFormat="1" ht="18" customHeight="1">
      <c r="A45" s="37" t="s">
        <v>70</v>
      </c>
      <c r="B45" s="87" t="s">
        <v>8</v>
      </c>
      <c r="C45" s="85">
        <f>+'Calculation of Risk'!C21</f>
        <v>381645959.23076922</v>
      </c>
      <c r="D45" s="100"/>
      <c r="E45" s="76"/>
      <c r="F45" s="100"/>
      <c r="G45" s="100"/>
      <c r="H45" s="100"/>
    </row>
    <row r="46" spans="1:8" s="23" customFormat="1" ht="18" customHeight="1">
      <c r="A46" s="37" t="s">
        <v>72</v>
      </c>
      <c r="B46" s="87" t="s">
        <v>9</v>
      </c>
      <c r="C46" s="85">
        <f>+'Calculation of Risk'!C27</f>
        <v>58000807.692307696</v>
      </c>
      <c r="D46" s="100"/>
      <c r="E46" s="76">
        <f>+'Calculation of Risk'!G11</f>
        <v>0</v>
      </c>
      <c r="F46" s="100"/>
      <c r="G46" s="100"/>
      <c r="H46" s="100"/>
    </row>
    <row r="47" spans="1:8" s="29" customFormat="1" ht="21.75" customHeight="1">
      <c r="A47" s="51" t="s">
        <v>11</v>
      </c>
      <c r="B47" s="52" t="s">
        <v>193</v>
      </c>
      <c r="C47" s="53" t="s">
        <v>158</v>
      </c>
      <c r="D47" s="104"/>
      <c r="E47" s="105"/>
      <c r="F47" s="104"/>
      <c r="G47" s="104"/>
      <c r="H47" s="104"/>
    </row>
    <row r="48" spans="1:8" s="29" customFormat="1" ht="21.75" customHeight="1">
      <c r="A48" s="51" t="s">
        <v>88</v>
      </c>
      <c r="B48" s="52" t="s">
        <v>194</v>
      </c>
      <c r="C48" s="53" t="s">
        <v>158</v>
      </c>
      <c r="D48" s="104"/>
      <c r="E48" s="105"/>
      <c r="F48" s="104"/>
      <c r="G48" s="104"/>
      <c r="H48" s="104"/>
    </row>
    <row r="49" spans="1:8" s="29" customFormat="1" ht="21.75" customHeight="1">
      <c r="A49" s="51" t="s">
        <v>45</v>
      </c>
      <c r="B49" s="52" t="s">
        <v>195</v>
      </c>
      <c r="C49" s="53" t="s">
        <v>158</v>
      </c>
      <c r="D49" s="104"/>
      <c r="E49" s="105"/>
      <c r="F49" s="104"/>
      <c r="G49" s="104"/>
      <c r="H49" s="104"/>
    </row>
    <row r="50" spans="1:8" s="35" customFormat="1" ht="21.75" customHeight="1">
      <c r="A50" s="28" t="s">
        <v>46</v>
      </c>
      <c r="B50" s="21" t="s">
        <v>31</v>
      </c>
      <c r="C50" s="53" t="s">
        <v>158</v>
      </c>
      <c r="D50" s="108"/>
      <c r="E50" s="109"/>
      <c r="F50" s="110"/>
      <c r="G50" s="108"/>
      <c r="H50" s="108"/>
    </row>
    <row r="51" spans="1:8" s="40" customFormat="1" ht="21.75" customHeight="1">
      <c r="A51" s="37" t="s">
        <v>74</v>
      </c>
      <c r="B51" s="38" t="s">
        <v>51</v>
      </c>
      <c r="C51" s="39" t="e">
        <f>+#REF!</f>
        <v>#REF!</v>
      </c>
      <c r="D51" s="111"/>
      <c r="E51" s="112"/>
      <c r="F51" s="113"/>
      <c r="G51" s="111"/>
      <c r="H51" s="111"/>
    </row>
    <row r="52" spans="1:8" s="40" customFormat="1" ht="21.75" customHeight="1">
      <c r="A52" s="37" t="s">
        <v>70</v>
      </c>
      <c r="B52" s="38" t="s">
        <v>196</v>
      </c>
      <c r="C52" s="117">
        <f>SUM('Calculation of Risk Weighted As'!F58:I66)</f>
        <v>904555415</v>
      </c>
      <c r="D52" s="113">
        <f>+'Calculation of Risk Weighted As'!J78</f>
        <v>7995721865.6000004</v>
      </c>
      <c r="E52" s="112"/>
      <c r="F52" s="113"/>
      <c r="G52" s="111"/>
      <c r="H52" s="111"/>
    </row>
    <row r="53" spans="1:8" s="43" customFormat="1" ht="21.75" customHeight="1">
      <c r="A53" s="41" t="s">
        <v>72</v>
      </c>
      <c r="B53" s="42" t="s">
        <v>197</v>
      </c>
      <c r="C53" s="119">
        <f>SUM('Calculation of Risk Weighted As'!J69:J75)</f>
        <v>0</v>
      </c>
      <c r="D53" s="116"/>
      <c r="E53" s="118"/>
      <c r="F53" s="114"/>
      <c r="G53" s="114"/>
      <c r="H53" s="114"/>
    </row>
    <row r="54" spans="1:8" s="43" customFormat="1" ht="21.75" customHeight="1">
      <c r="A54" s="41" t="s">
        <v>79</v>
      </c>
      <c r="B54" s="42" t="s">
        <v>198</v>
      </c>
      <c r="C54" s="78" t="str">
        <f>+C19</f>
        <v>Формула</v>
      </c>
      <c r="D54" s="114"/>
      <c r="E54" s="115"/>
      <c r="F54" s="114"/>
      <c r="G54" s="114"/>
      <c r="H54" s="114"/>
    </row>
    <row r="55" spans="1:8" s="29" customFormat="1" ht="21.75" customHeight="1">
      <c r="A55" s="51" t="s">
        <v>47</v>
      </c>
      <c r="B55" s="52" t="s">
        <v>52</v>
      </c>
      <c r="C55" s="53" t="s">
        <v>158</v>
      </c>
      <c r="D55" s="104"/>
      <c r="E55" s="105"/>
      <c r="F55" s="104"/>
      <c r="G55" s="104"/>
      <c r="H55" s="104"/>
    </row>
    <row r="56" spans="1:8">
      <c r="B56" s="44"/>
    </row>
    <row r="57" spans="1:8" s="1" customFormat="1">
      <c r="A57" s="5"/>
      <c r="B57" s="2" t="s">
        <v>0</v>
      </c>
      <c r="D57" s="8"/>
      <c r="E57" s="8"/>
      <c r="F57" s="8"/>
      <c r="G57" s="8"/>
      <c r="H57" s="8"/>
    </row>
    <row r="58" spans="1:8" s="1" customFormat="1">
      <c r="A58" s="5"/>
      <c r="B58" s="2"/>
      <c r="D58" s="8"/>
      <c r="E58" s="8"/>
      <c r="F58" s="8"/>
      <c r="G58" s="8"/>
      <c r="H58" s="8"/>
    </row>
    <row r="59" spans="1:8" s="1" customFormat="1">
      <c r="A59" s="5"/>
      <c r="B59" s="2" t="s">
        <v>1</v>
      </c>
      <c r="D59" s="8"/>
      <c r="E59" s="8"/>
      <c r="F59" s="8"/>
      <c r="G59" s="8"/>
      <c r="H59" s="8"/>
    </row>
    <row r="60" spans="1:8">
      <c r="B60" s="46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IV82"/>
  <sheetViews>
    <sheetView zoomScaleSheetLayoutView="85" workbookViewId="0">
      <pane xSplit="2" ySplit="6" topLeftCell="C40" activePane="bottomRight" state="frozen"/>
      <selection activeCell="B3" sqref="B3"/>
      <selection pane="topRight" activeCell="B3" sqref="B3"/>
      <selection pane="bottomLeft" activeCell="B3" sqref="B3"/>
      <selection pane="bottomRight" activeCell="I60" sqref="I60"/>
    </sheetView>
  </sheetViews>
  <sheetFormatPr defaultRowHeight="12.75"/>
  <cols>
    <col min="1" max="1" width="5.42578125" style="144" customWidth="1"/>
    <col min="2" max="2" width="67" style="135" customWidth="1"/>
    <col min="3" max="3" width="12.5703125" style="135" customWidth="1"/>
    <col min="4" max="5" width="14.7109375" style="135" customWidth="1"/>
    <col min="6" max="9" width="15.28515625" style="135" customWidth="1"/>
    <col min="10" max="10" width="18.140625" style="143" customWidth="1"/>
    <col min="11" max="13" width="16.42578125" style="140" customWidth="1"/>
    <col min="14" max="16" width="10.28515625" style="140" customWidth="1"/>
    <col min="17" max="20" width="9.140625" style="141"/>
    <col min="21" max="16384" width="9.140625" style="135"/>
  </cols>
  <sheetData>
    <row r="1" spans="1:20" ht="26.25" customHeight="1">
      <c r="A1" s="254" t="s">
        <v>89</v>
      </c>
      <c r="B1" s="254"/>
      <c r="C1" s="254"/>
      <c r="D1" s="254"/>
      <c r="E1" s="254"/>
      <c r="F1" s="254"/>
      <c r="G1" s="254"/>
      <c r="H1" s="254"/>
      <c r="I1" s="235" t="s">
        <v>209</v>
      </c>
      <c r="J1" s="235"/>
    </row>
    <row r="2" spans="1:20" ht="25.5" customHeight="1" thickBot="1">
      <c r="B2" s="145" t="str">
        <f>+'Bank Capital Calc'!B3</f>
        <v xml:space="preserve">Наименование банка </v>
      </c>
      <c r="D2" s="142"/>
      <c r="E2" s="142"/>
      <c r="G2" s="253">
        <f>+'Bank Capital Calc'!C3</f>
        <v>44196</v>
      </c>
      <c r="H2" s="253"/>
      <c r="J2" s="79" t="s">
        <v>200</v>
      </c>
      <c r="K2" s="143"/>
    </row>
    <row r="3" spans="1:20">
      <c r="A3" s="236" t="s">
        <v>90</v>
      </c>
      <c r="B3" s="238" t="s">
        <v>62</v>
      </c>
      <c r="C3" s="146">
        <v>0</v>
      </c>
      <c r="D3" s="146">
        <v>0.2</v>
      </c>
      <c r="E3" s="146">
        <v>0.3</v>
      </c>
      <c r="F3" s="146">
        <v>0.5</v>
      </c>
      <c r="G3" s="146">
        <v>1</v>
      </c>
      <c r="H3" s="146">
        <v>1.5</v>
      </c>
      <c r="I3" s="146">
        <v>2</v>
      </c>
      <c r="J3" s="147">
        <v>3</v>
      </c>
      <c r="K3" s="148"/>
      <c r="L3" s="143"/>
    </row>
    <row r="4" spans="1:20" ht="20.25" customHeight="1">
      <c r="A4" s="237"/>
      <c r="B4" s="239"/>
      <c r="C4" s="149" t="s">
        <v>91</v>
      </c>
      <c r="D4" s="149" t="s">
        <v>91</v>
      </c>
      <c r="E4" s="149" t="s">
        <v>91</v>
      </c>
      <c r="F4" s="149" t="s">
        <v>91</v>
      </c>
      <c r="G4" s="149" t="s">
        <v>91</v>
      </c>
      <c r="H4" s="149" t="s">
        <v>91</v>
      </c>
      <c r="I4" s="149" t="s">
        <v>91</v>
      </c>
      <c r="J4" s="150" t="s">
        <v>91</v>
      </c>
      <c r="L4" s="143"/>
    </row>
    <row r="5" spans="1:20" ht="20.25" customHeight="1">
      <c r="A5" s="151"/>
      <c r="B5" s="149"/>
      <c r="C5" s="149" t="s">
        <v>238</v>
      </c>
      <c r="D5" s="149" t="s">
        <v>239</v>
      </c>
      <c r="E5" s="149" t="s">
        <v>240</v>
      </c>
      <c r="F5" s="149" t="s">
        <v>241</v>
      </c>
      <c r="G5" s="149" t="s">
        <v>242</v>
      </c>
      <c r="H5" s="149" t="s">
        <v>243</v>
      </c>
      <c r="I5" s="149" t="s">
        <v>244</v>
      </c>
      <c r="J5" s="150" t="s">
        <v>245</v>
      </c>
      <c r="L5" s="143"/>
    </row>
    <row r="6" spans="1:20">
      <c r="A6" s="151"/>
      <c r="B6" s="152" t="s">
        <v>63</v>
      </c>
      <c r="C6" s="152" t="s">
        <v>64</v>
      </c>
      <c r="D6" s="152" t="s">
        <v>65</v>
      </c>
      <c r="E6" s="152" t="s">
        <v>66</v>
      </c>
      <c r="F6" s="152" t="s">
        <v>92</v>
      </c>
      <c r="G6" s="152" t="s">
        <v>93</v>
      </c>
      <c r="H6" s="152" t="s">
        <v>116</v>
      </c>
      <c r="I6" s="152" t="s">
        <v>136</v>
      </c>
      <c r="J6" s="191" t="s">
        <v>137</v>
      </c>
      <c r="L6" s="143"/>
    </row>
    <row r="7" spans="1:20">
      <c r="A7" s="151"/>
      <c r="B7" s="153" t="s">
        <v>94</v>
      </c>
      <c r="C7" s="154"/>
      <c r="D7" s="154"/>
      <c r="E7" s="154"/>
      <c r="F7" s="154"/>
      <c r="G7" s="154"/>
      <c r="H7" s="154"/>
      <c r="I7" s="154"/>
      <c r="J7" s="155"/>
      <c r="L7" s="143"/>
    </row>
    <row r="8" spans="1:20" s="130" customFormat="1">
      <c r="A8" s="151" t="s">
        <v>95</v>
      </c>
      <c r="B8" s="156" t="s">
        <v>96</v>
      </c>
      <c r="C8" s="6">
        <v>140761428</v>
      </c>
      <c r="D8" s="127"/>
      <c r="E8" s="127"/>
      <c r="F8" s="127"/>
      <c r="G8" s="127"/>
      <c r="H8" s="127"/>
      <c r="I8" s="127"/>
      <c r="J8" s="133"/>
      <c r="K8" s="125"/>
      <c r="L8" s="126"/>
      <c r="M8" s="131"/>
      <c r="N8" s="131"/>
      <c r="O8" s="131"/>
      <c r="P8" s="131"/>
      <c r="Q8" s="157"/>
      <c r="R8" s="157"/>
      <c r="S8" s="157"/>
      <c r="T8" s="157"/>
    </row>
    <row r="9" spans="1:20" s="130" customFormat="1">
      <c r="A9" s="151" t="s">
        <v>138</v>
      </c>
      <c r="B9" s="156" t="s">
        <v>97</v>
      </c>
      <c r="C9" s="127"/>
      <c r="D9" s="6">
        <v>8510926</v>
      </c>
      <c r="E9" s="127"/>
      <c r="F9" s="127"/>
      <c r="G9" s="127"/>
      <c r="H9" s="127"/>
      <c r="I9" s="127"/>
      <c r="J9" s="133"/>
      <c r="K9" s="125"/>
      <c r="L9" s="126"/>
      <c r="M9" s="131"/>
      <c r="N9" s="131"/>
      <c r="O9" s="131"/>
      <c r="P9" s="131"/>
      <c r="Q9" s="157"/>
      <c r="R9" s="157"/>
      <c r="S9" s="157"/>
      <c r="T9" s="157"/>
    </row>
    <row r="10" spans="1:20" s="130" customFormat="1">
      <c r="A10" s="151" t="s">
        <v>139</v>
      </c>
      <c r="B10" s="156" t="s">
        <v>98</v>
      </c>
      <c r="C10" s="6">
        <v>0</v>
      </c>
      <c r="D10" s="6">
        <v>105262662</v>
      </c>
      <c r="E10" s="127"/>
      <c r="F10" s="127"/>
      <c r="G10" s="127"/>
      <c r="H10" s="127"/>
      <c r="I10" s="127"/>
      <c r="J10" s="133"/>
      <c r="K10" s="125"/>
      <c r="L10" s="126"/>
      <c r="M10" s="131"/>
      <c r="N10" s="131"/>
      <c r="O10" s="131"/>
      <c r="P10" s="131"/>
      <c r="Q10" s="157"/>
      <c r="R10" s="157"/>
      <c r="S10" s="157"/>
      <c r="T10" s="157"/>
    </row>
    <row r="11" spans="1:20" s="130" customFormat="1" ht="17.25" customHeight="1">
      <c r="A11" s="151" t="s">
        <v>140</v>
      </c>
      <c r="B11" s="156" t="s">
        <v>227</v>
      </c>
      <c r="C11" s="127"/>
      <c r="D11" s="6"/>
      <c r="E11" s="6"/>
      <c r="F11" s="6"/>
      <c r="G11" s="7"/>
      <c r="H11" s="6">
        <v>580224505</v>
      </c>
      <c r="I11" s="127"/>
      <c r="J11" s="133"/>
      <c r="K11" s="125"/>
      <c r="L11" s="126"/>
      <c r="M11" s="131"/>
      <c r="N11" s="131"/>
      <c r="O11" s="131"/>
      <c r="P11" s="131"/>
      <c r="Q11" s="157"/>
      <c r="R11" s="157"/>
      <c r="S11" s="157"/>
      <c r="T11" s="157"/>
    </row>
    <row r="12" spans="1:20" s="130" customFormat="1">
      <c r="A12" s="151" t="s">
        <v>141</v>
      </c>
      <c r="B12" s="156" t="s">
        <v>100</v>
      </c>
      <c r="C12" s="127"/>
      <c r="D12" s="127"/>
      <c r="E12" s="127"/>
      <c r="F12" s="127"/>
      <c r="G12" s="127"/>
      <c r="H12" s="127"/>
      <c r="I12" s="127"/>
      <c r="J12" s="133"/>
      <c r="K12" s="158"/>
      <c r="L12" s="159"/>
    </row>
    <row r="13" spans="1:20" s="130" customFormat="1">
      <c r="A13" s="151" t="s">
        <v>22</v>
      </c>
      <c r="B13" s="156" t="s">
        <v>101</v>
      </c>
      <c r="C13" s="6">
        <v>135000000</v>
      </c>
      <c r="D13" s="127"/>
      <c r="E13" s="127"/>
      <c r="F13" s="127"/>
      <c r="G13" s="127"/>
      <c r="H13" s="127"/>
      <c r="I13" s="127"/>
      <c r="J13" s="133"/>
      <c r="K13" s="158"/>
      <c r="L13" s="159"/>
    </row>
    <row r="14" spans="1:20" s="130" customFormat="1" ht="42" customHeight="1">
      <c r="A14" s="151" t="s">
        <v>23</v>
      </c>
      <c r="B14" s="156" t="s">
        <v>61</v>
      </c>
      <c r="C14" s="6">
        <v>0</v>
      </c>
      <c r="D14" s="127"/>
      <c r="E14" s="127"/>
      <c r="F14" s="127"/>
      <c r="G14" s="127"/>
      <c r="H14" s="127"/>
      <c r="I14" s="127"/>
      <c r="J14" s="133"/>
      <c r="K14" s="158"/>
      <c r="L14" s="159"/>
    </row>
    <row r="15" spans="1:20" s="130" customFormat="1">
      <c r="A15" s="151" t="s">
        <v>33</v>
      </c>
      <c r="B15" s="156" t="s">
        <v>201</v>
      </c>
      <c r="C15" s="127"/>
      <c r="D15" s="6">
        <v>0</v>
      </c>
      <c r="E15" s="127"/>
      <c r="F15" s="6">
        <v>0</v>
      </c>
      <c r="G15" s="127"/>
      <c r="H15" s="127"/>
      <c r="I15" s="127"/>
      <c r="J15" s="133"/>
      <c r="K15" s="158"/>
      <c r="L15" s="159"/>
    </row>
    <row r="16" spans="1:20" s="130" customFormat="1">
      <c r="A16" s="151" t="s">
        <v>34</v>
      </c>
      <c r="B16" s="156" t="s">
        <v>102</v>
      </c>
      <c r="C16" s="6">
        <v>0</v>
      </c>
      <c r="D16" s="127"/>
      <c r="E16" s="127"/>
      <c r="F16" s="127"/>
      <c r="G16" s="7">
        <v>11874000</v>
      </c>
      <c r="H16" s="127"/>
      <c r="I16" s="127"/>
      <c r="J16" s="133"/>
      <c r="K16" s="158"/>
      <c r="L16" s="159"/>
    </row>
    <row r="17" spans="1:256" s="130" customFormat="1" ht="25.5">
      <c r="A17" s="151" t="s">
        <v>142</v>
      </c>
      <c r="B17" s="160" t="s">
        <v>50</v>
      </c>
      <c r="C17" s="136">
        <v>0</v>
      </c>
      <c r="D17" s="127"/>
      <c r="E17" s="127"/>
      <c r="F17" s="127"/>
      <c r="G17" s="127"/>
      <c r="H17" s="127"/>
      <c r="I17" s="127"/>
      <c r="J17" s="133"/>
      <c r="K17" s="158"/>
      <c r="L17" s="159"/>
    </row>
    <row r="18" spans="1:256" s="130" customFormat="1" ht="42" customHeight="1">
      <c r="A18" s="151" t="s">
        <v>143</v>
      </c>
      <c r="B18" s="156" t="s">
        <v>56</v>
      </c>
      <c r="C18" s="127"/>
      <c r="D18" s="6">
        <v>0</v>
      </c>
      <c r="E18" s="127"/>
      <c r="F18" s="127"/>
      <c r="G18" s="127"/>
      <c r="H18" s="127"/>
      <c r="I18" s="127"/>
      <c r="J18" s="133"/>
      <c r="K18" s="158"/>
      <c r="L18" s="159"/>
    </row>
    <row r="19" spans="1:256" s="130" customFormat="1" ht="25.5">
      <c r="A19" s="151" t="s">
        <v>144</v>
      </c>
      <c r="B19" s="156" t="s">
        <v>53</v>
      </c>
      <c r="C19" s="127"/>
      <c r="D19" s="6">
        <v>0</v>
      </c>
      <c r="E19" s="127"/>
      <c r="F19" s="6">
        <v>0</v>
      </c>
      <c r="G19" s="127"/>
      <c r="H19" s="127"/>
      <c r="I19" s="127"/>
      <c r="J19" s="133"/>
      <c r="K19" s="158"/>
      <c r="L19" s="159"/>
    </row>
    <row r="20" spans="1:256" s="130" customFormat="1" ht="25.5">
      <c r="A20" s="151" t="s">
        <v>145</v>
      </c>
      <c r="B20" s="156" t="s">
        <v>213</v>
      </c>
      <c r="C20" s="6">
        <v>0</v>
      </c>
      <c r="D20" s="180"/>
      <c r="E20" s="127"/>
      <c r="F20" s="127"/>
      <c r="G20" s="127"/>
      <c r="H20" s="127"/>
      <c r="I20" s="127"/>
      <c r="J20" s="133"/>
      <c r="K20" s="158"/>
      <c r="L20" s="159"/>
    </row>
    <row r="21" spans="1:256" s="130" customFormat="1" ht="38.25">
      <c r="A21" s="151" t="s">
        <v>156</v>
      </c>
      <c r="B21" s="156" t="s">
        <v>54</v>
      </c>
      <c r="C21" s="127"/>
      <c r="D21" s="6">
        <v>0</v>
      </c>
      <c r="E21" s="127"/>
      <c r="F21" s="127"/>
      <c r="G21" s="127"/>
      <c r="H21" s="127"/>
      <c r="I21" s="127"/>
      <c r="J21" s="133"/>
      <c r="K21" s="158"/>
      <c r="L21" s="159"/>
    </row>
    <row r="22" spans="1:256" s="130" customFormat="1">
      <c r="A22" s="151" t="s">
        <v>157</v>
      </c>
      <c r="B22" s="156" t="s">
        <v>103</v>
      </c>
      <c r="C22" s="127"/>
      <c r="D22" s="127"/>
      <c r="E22" s="127"/>
      <c r="F22" s="127"/>
      <c r="G22" s="127"/>
      <c r="H22" s="127"/>
      <c r="I22" s="127"/>
      <c r="J22" s="133"/>
      <c r="K22" s="158"/>
      <c r="L22" s="159"/>
    </row>
    <row r="23" spans="1:256" s="130" customFormat="1" ht="25.5">
      <c r="A23" s="151" t="s">
        <v>22</v>
      </c>
      <c r="B23" s="156" t="s">
        <v>19</v>
      </c>
      <c r="C23" s="6">
        <v>0</v>
      </c>
      <c r="D23" s="6">
        <v>0</v>
      </c>
      <c r="E23" s="127"/>
      <c r="F23" s="127"/>
      <c r="G23" s="127"/>
      <c r="H23" s="127"/>
      <c r="I23" s="127"/>
      <c r="J23" s="133"/>
      <c r="K23" s="158"/>
      <c r="L23" s="159"/>
    </row>
    <row r="24" spans="1:256" s="130" customFormat="1">
      <c r="A24" s="151" t="s">
        <v>23</v>
      </c>
      <c r="B24" s="156" t="s">
        <v>214</v>
      </c>
      <c r="C24" s="6">
        <v>0</v>
      </c>
      <c r="D24" s="127"/>
      <c r="E24" s="127"/>
      <c r="F24" s="127"/>
      <c r="G24" s="127"/>
      <c r="H24" s="127"/>
      <c r="I24" s="127"/>
      <c r="J24" s="133"/>
      <c r="K24" s="158"/>
      <c r="L24" s="159"/>
    </row>
    <row r="25" spans="1:256" s="130" customFormat="1" ht="54" customHeight="1">
      <c r="A25" s="151" t="s">
        <v>33</v>
      </c>
      <c r="B25" s="156" t="s">
        <v>57</v>
      </c>
      <c r="C25" s="127"/>
      <c r="D25" s="216">
        <v>0</v>
      </c>
      <c r="E25" s="127"/>
      <c r="F25" s="127"/>
      <c r="G25" s="127"/>
      <c r="H25" s="127"/>
      <c r="I25" s="127"/>
      <c r="J25" s="133"/>
      <c r="K25" s="158"/>
      <c r="L25" s="159"/>
    </row>
    <row r="26" spans="1:256" s="130" customFormat="1" ht="25.5">
      <c r="A26" s="151" t="s">
        <v>34</v>
      </c>
      <c r="B26" s="156" t="s">
        <v>58</v>
      </c>
      <c r="C26" s="216">
        <v>0</v>
      </c>
      <c r="D26" s="127"/>
      <c r="E26" s="127"/>
      <c r="F26" s="216">
        <v>67067856</v>
      </c>
      <c r="G26" s="6">
        <v>0</v>
      </c>
      <c r="H26" s="127"/>
      <c r="I26" s="127"/>
      <c r="J26" s="133"/>
      <c r="K26" s="158"/>
      <c r="L26" s="159"/>
    </row>
    <row r="27" spans="1:256" s="130" customFormat="1" ht="17.25" customHeight="1">
      <c r="A27" s="151" t="s">
        <v>35</v>
      </c>
      <c r="B27" s="156" t="s">
        <v>15</v>
      </c>
      <c r="C27" s="127"/>
      <c r="D27" s="127"/>
      <c r="E27" s="127"/>
      <c r="F27" s="127"/>
      <c r="G27" s="216">
        <v>163131023</v>
      </c>
      <c r="H27" s="127"/>
      <c r="I27" s="127"/>
      <c r="J27" s="133"/>
      <c r="K27" s="158"/>
      <c r="L27" s="159"/>
    </row>
    <row r="28" spans="1:256" s="130" customFormat="1" ht="17.25" customHeight="1">
      <c r="A28" s="151" t="s">
        <v>36</v>
      </c>
      <c r="B28" s="156" t="s">
        <v>16</v>
      </c>
      <c r="C28" s="127"/>
      <c r="D28" s="127"/>
      <c r="E28" s="127"/>
      <c r="F28" s="127"/>
      <c r="G28" s="6">
        <v>0</v>
      </c>
      <c r="H28" s="127"/>
      <c r="I28" s="127"/>
      <c r="J28" s="133"/>
      <c r="K28" s="158"/>
      <c r="L28" s="159"/>
    </row>
    <row r="29" spans="1:256" s="130" customFormat="1" ht="17.25" customHeight="1">
      <c r="A29" s="151" t="s">
        <v>37</v>
      </c>
      <c r="B29" s="156" t="s">
        <v>43</v>
      </c>
      <c r="C29" s="127"/>
      <c r="D29" s="127"/>
      <c r="E29" s="127"/>
      <c r="F29" s="127"/>
      <c r="G29" s="127"/>
      <c r="H29" s="6"/>
      <c r="I29" s="127"/>
      <c r="J29" s="133"/>
      <c r="K29" s="158"/>
      <c r="L29" s="159"/>
    </row>
    <row r="30" spans="1:256" s="161" customFormat="1" ht="20.25" customHeight="1">
      <c r="A30" s="151" t="s">
        <v>202</v>
      </c>
      <c r="B30" s="156" t="s">
        <v>219</v>
      </c>
      <c r="C30" s="216">
        <v>0</v>
      </c>
      <c r="D30" s="127"/>
      <c r="E30" s="127"/>
      <c r="F30" s="127"/>
      <c r="G30" s="6"/>
      <c r="H30" s="6">
        <f>45220+4275+148876+29050707</f>
        <v>29249078</v>
      </c>
      <c r="I30" s="6">
        <f>148791710+9029981+274699</f>
        <v>158096390</v>
      </c>
      <c r="J30" s="137">
        <v>18754</v>
      </c>
      <c r="K30" s="158"/>
      <c r="L30" s="159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</row>
    <row r="31" spans="1:256" s="161" customFormat="1" ht="20.25" customHeight="1">
      <c r="A31" s="151" t="s">
        <v>216</v>
      </c>
      <c r="B31" s="156" t="s">
        <v>217</v>
      </c>
      <c r="C31" s="216">
        <v>0</v>
      </c>
      <c r="D31" s="127"/>
      <c r="E31" s="127"/>
      <c r="F31" s="127"/>
      <c r="G31" s="6"/>
      <c r="H31" s="6">
        <v>6893065</v>
      </c>
      <c r="I31" s="127"/>
      <c r="J31" s="137">
        <f>55513753+241168</f>
        <v>55754921</v>
      </c>
      <c r="K31" s="125"/>
      <c r="L31" s="126"/>
      <c r="M31" s="131"/>
      <c r="N31" s="131"/>
      <c r="O31" s="131"/>
      <c r="P31" s="131"/>
      <c r="Q31" s="157"/>
      <c r="R31" s="157"/>
      <c r="S31" s="157"/>
      <c r="T31" s="157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</row>
    <row r="32" spans="1:256" s="161" customFormat="1" ht="20.25" customHeight="1">
      <c r="A32" s="162" t="s">
        <v>218</v>
      </c>
      <c r="B32" s="156" t="s">
        <v>228</v>
      </c>
      <c r="C32" s="216">
        <v>0</v>
      </c>
      <c r="D32" s="127"/>
      <c r="E32" s="127"/>
      <c r="F32" s="127"/>
      <c r="G32" s="6">
        <v>1260211</v>
      </c>
      <c r="H32" s="6">
        <v>19925016</v>
      </c>
      <c r="I32" s="6">
        <v>124195374</v>
      </c>
      <c r="J32" s="137">
        <v>77293</v>
      </c>
      <c r="K32" s="158"/>
      <c r="L32" s="159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</row>
    <row r="33" spans="1:20" s="130" customFormat="1" ht="17.25" customHeight="1">
      <c r="A33" s="162" t="s">
        <v>220</v>
      </c>
      <c r="B33" s="156" t="s">
        <v>221</v>
      </c>
      <c r="C33" s="127"/>
      <c r="D33" s="127"/>
      <c r="E33" s="127"/>
      <c r="F33" s="127"/>
      <c r="G33" s="216">
        <v>4911224416</v>
      </c>
      <c r="H33" s="127"/>
      <c r="I33" s="127"/>
      <c r="J33" s="133"/>
      <c r="K33" s="125"/>
      <c r="L33" s="126"/>
      <c r="M33" s="131"/>
      <c r="N33" s="131"/>
      <c r="O33" s="131"/>
      <c r="P33" s="131"/>
      <c r="Q33" s="157"/>
      <c r="R33" s="157"/>
      <c r="S33" s="157"/>
      <c r="T33" s="157"/>
    </row>
    <row r="34" spans="1:20" s="130" customFormat="1" ht="17.25" customHeight="1">
      <c r="A34" s="151" t="s">
        <v>146</v>
      </c>
      <c r="B34" s="156" t="s">
        <v>104</v>
      </c>
      <c r="C34" s="127"/>
      <c r="D34" s="127"/>
      <c r="E34" s="127"/>
      <c r="F34" s="127"/>
      <c r="G34" s="127"/>
      <c r="H34" s="6">
        <v>53908309</v>
      </c>
      <c r="I34" s="127"/>
      <c r="J34" s="6"/>
      <c r="K34" s="125">
        <f>+'[6]Bank Assets Analysis'!$S$33</f>
        <v>53908309</v>
      </c>
      <c r="L34" s="126"/>
      <c r="M34" s="131"/>
      <c r="N34" s="131"/>
      <c r="O34" s="131"/>
      <c r="P34" s="131"/>
      <c r="Q34" s="157"/>
      <c r="R34" s="157"/>
      <c r="S34" s="157"/>
      <c r="T34" s="157"/>
    </row>
    <row r="35" spans="1:20" s="130" customFormat="1" ht="17.25" customHeight="1">
      <c r="A35" s="151" t="s">
        <v>147</v>
      </c>
      <c r="B35" s="156" t="s">
        <v>21</v>
      </c>
      <c r="C35" s="127"/>
      <c r="D35" s="127"/>
      <c r="E35" s="127"/>
      <c r="F35" s="127"/>
      <c r="G35" s="127"/>
      <c r="H35" s="6">
        <v>58202411</v>
      </c>
      <c r="I35" s="127"/>
      <c r="J35" s="6"/>
      <c r="K35" s="125">
        <f>+'[6]Bank Assets Analysis'!$C$31+'[6]Bank Assets Analysis'!$C$30</f>
        <v>58202411</v>
      </c>
      <c r="L35" s="126"/>
      <c r="M35" s="131"/>
      <c r="N35" s="131"/>
      <c r="O35" s="131"/>
      <c r="P35" s="131"/>
      <c r="Q35" s="157"/>
      <c r="R35" s="157"/>
      <c r="S35" s="157"/>
      <c r="T35" s="157"/>
    </row>
    <row r="36" spans="1:20" s="130" customFormat="1" ht="17.25" customHeight="1">
      <c r="A36" s="151" t="s">
        <v>148</v>
      </c>
      <c r="B36" s="156" t="s">
        <v>215</v>
      </c>
      <c r="C36" s="127"/>
      <c r="D36" s="127"/>
      <c r="E36" s="127"/>
      <c r="F36" s="127"/>
      <c r="G36" s="7">
        <v>5665027</v>
      </c>
      <c r="H36" s="127"/>
      <c r="I36" s="127"/>
      <c r="J36" s="133"/>
      <c r="K36" s="125"/>
      <c r="L36" s="126"/>
      <c r="M36" s="131"/>
      <c r="N36" s="131"/>
      <c r="O36" s="131"/>
      <c r="P36" s="131"/>
      <c r="Q36" s="157"/>
      <c r="R36" s="157"/>
      <c r="S36" s="157"/>
      <c r="T36" s="157"/>
    </row>
    <row r="37" spans="1:20" s="130" customFormat="1" ht="17.25" customHeight="1">
      <c r="A37" s="151" t="s">
        <v>149</v>
      </c>
      <c r="B37" s="156" t="s">
        <v>20</v>
      </c>
      <c r="C37" s="127"/>
      <c r="D37" s="127"/>
      <c r="E37" s="127"/>
      <c r="F37" s="127"/>
      <c r="G37" s="127"/>
      <c r="H37" s="127"/>
      <c r="I37" s="127"/>
      <c r="J37" s="133"/>
      <c r="K37" s="125"/>
      <c r="L37" s="126"/>
      <c r="M37" s="131"/>
      <c r="N37" s="131"/>
      <c r="O37" s="131"/>
      <c r="P37" s="131"/>
      <c r="Q37" s="157"/>
      <c r="R37" s="157"/>
      <c r="S37" s="157"/>
      <c r="T37" s="157"/>
    </row>
    <row r="38" spans="1:20" s="130" customFormat="1" ht="25.5">
      <c r="A38" s="151" t="s">
        <v>74</v>
      </c>
      <c r="B38" s="156" t="s">
        <v>105</v>
      </c>
      <c r="C38" s="127"/>
      <c r="D38" s="127"/>
      <c r="E38" s="127"/>
      <c r="F38" s="127"/>
      <c r="G38" s="7">
        <v>165194315</v>
      </c>
      <c r="H38" s="127"/>
      <c r="I38" s="127"/>
      <c r="J38" s="133"/>
      <c r="K38" s="125"/>
      <c r="L38" s="126"/>
      <c r="M38" s="131"/>
      <c r="N38" s="131"/>
      <c r="O38" s="131"/>
      <c r="P38" s="131"/>
      <c r="Q38" s="157"/>
      <c r="R38" s="157"/>
      <c r="S38" s="157"/>
      <c r="T38" s="157"/>
    </row>
    <row r="39" spans="1:20" s="130" customFormat="1" ht="15.75" customHeight="1">
      <c r="A39" s="151" t="s">
        <v>70</v>
      </c>
      <c r="B39" s="156" t="s">
        <v>210</v>
      </c>
      <c r="C39" s="127"/>
      <c r="D39" s="127"/>
      <c r="E39" s="127"/>
      <c r="F39" s="127"/>
      <c r="G39" s="7">
        <v>0</v>
      </c>
      <c r="H39" s="127"/>
      <c r="I39" s="127"/>
      <c r="J39" s="133"/>
      <c r="K39" s="125"/>
      <c r="L39" s="126"/>
      <c r="M39" s="131"/>
      <c r="N39" s="131"/>
      <c r="O39" s="131"/>
      <c r="P39" s="131"/>
      <c r="Q39" s="157"/>
      <c r="R39" s="157"/>
      <c r="S39" s="157"/>
      <c r="T39" s="157"/>
    </row>
    <row r="40" spans="1:20" s="130" customFormat="1" ht="25.5">
      <c r="A40" s="151" t="s">
        <v>72</v>
      </c>
      <c r="B40" s="156" t="s">
        <v>55</v>
      </c>
      <c r="C40" s="127"/>
      <c r="D40" s="127"/>
      <c r="E40" s="127"/>
      <c r="F40" s="127"/>
      <c r="G40" s="127"/>
      <c r="H40" s="6">
        <v>1005589</v>
      </c>
      <c r="I40" s="127"/>
      <c r="J40" s="133"/>
      <c r="K40" s="125"/>
      <c r="L40" s="126"/>
      <c r="M40" s="131"/>
      <c r="N40" s="131"/>
      <c r="O40" s="131"/>
      <c r="P40" s="131"/>
      <c r="Q40" s="157"/>
      <c r="R40" s="157"/>
      <c r="S40" s="157"/>
      <c r="T40" s="157"/>
    </row>
    <row r="41" spans="1:20" s="130" customFormat="1" ht="18.75" customHeight="1">
      <c r="A41" s="151" t="s">
        <v>79</v>
      </c>
      <c r="B41" s="156" t="s">
        <v>14</v>
      </c>
      <c r="C41" s="127"/>
      <c r="D41" s="127"/>
      <c r="E41" s="127"/>
      <c r="F41" s="127"/>
      <c r="G41" s="127"/>
      <c r="H41" s="6">
        <v>0</v>
      </c>
      <c r="I41" s="127"/>
      <c r="J41" s="133"/>
      <c r="K41" s="125"/>
      <c r="L41" s="126"/>
      <c r="M41" s="131"/>
      <c r="N41" s="131"/>
      <c r="O41" s="131"/>
      <c r="P41" s="131"/>
      <c r="Q41" s="157"/>
      <c r="R41" s="157"/>
      <c r="S41" s="157"/>
      <c r="T41" s="157"/>
    </row>
    <row r="42" spans="1:20" s="130" customFormat="1" ht="25.5">
      <c r="A42" s="151" t="s">
        <v>150</v>
      </c>
      <c r="B42" s="156" t="s">
        <v>106</v>
      </c>
      <c r="C42" s="6">
        <v>0</v>
      </c>
      <c r="D42" s="127"/>
      <c r="E42" s="127"/>
      <c r="F42" s="127"/>
      <c r="G42" s="127"/>
      <c r="H42" s="127"/>
      <c r="I42" s="127"/>
      <c r="J42" s="133"/>
      <c r="K42" s="125"/>
      <c r="L42" s="163"/>
      <c r="M42" s="163"/>
      <c r="N42" s="164"/>
      <c r="O42" s="131"/>
      <c r="P42" s="131"/>
      <c r="Q42" s="157"/>
      <c r="R42" s="157"/>
      <c r="S42" s="157"/>
      <c r="T42" s="157"/>
    </row>
    <row r="43" spans="1:20" s="130" customFormat="1" ht="16.5" customHeight="1">
      <c r="A43" s="151" t="s">
        <v>151</v>
      </c>
      <c r="B43" s="156" t="s">
        <v>107</v>
      </c>
      <c r="C43" s="127"/>
      <c r="D43" s="127"/>
      <c r="E43" s="127"/>
      <c r="F43" s="127"/>
      <c r="G43" s="6">
        <v>6707219.7800000003</v>
      </c>
      <c r="H43" s="127"/>
      <c r="I43" s="127"/>
      <c r="J43" s="133"/>
      <c r="K43" s="125"/>
      <c r="L43" s="126"/>
      <c r="M43" s="131"/>
      <c r="N43" s="131"/>
      <c r="O43" s="131"/>
      <c r="P43" s="131"/>
      <c r="Q43" s="157"/>
      <c r="R43" s="157"/>
      <c r="S43" s="157"/>
      <c r="T43" s="157"/>
    </row>
    <row r="44" spans="1:20" s="130" customFormat="1" ht="15.75" customHeight="1">
      <c r="A44" s="151" t="s">
        <v>152</v>
      </c>
      <c r="B44" s="156" t="s">
        <v>108</v>
      </c>
      <c r="C44" s="86">
        <f>+'Bank Capital Calc'!C20</f>
        <v>1613409</v>
      </c>
      <c r="D44" s="127"/>
      <c r="E44" s="127"/>
      <c r="F44" s="127"/>
      <c r="G44" s="127"/>
      <c r="H44" s="127"/>
      <c r="I44" s="127"/>
      <c r="J44" s="133"/>
      <c r="K44" s="125"/>
      <c r="L44" s="126"/>
      <c r="M44" s="131"/>
      <c r="N44" s="131"/>
      <c r="O44" s="131"/>
      <c r="P44" s="131"/>
      <c r="Q44" s="157"/>
      <c r="R44" s="157"/>
      <c r="S44" s="157"/>
      <c r="T44" s="157"/>
    </row>
    <row r="45" spans="1:20" s="130" customFormat="1" ht="25.5">
      <c r="A45" s="151" t="s">
        <v>153</v>
      </c>
      <c r="B45" s="156" t="s">
        <v>109</v>
      </c>
      <c r="C45" s="127"/>
      <c r="D45" s="127"/>
      <c r="E45" s="127"/>
      <c r="F45" s="127"/>
      <c r="G45" s="127"/>
      <c r="H45" s="6">
        <v>349952</v>
      </c>
      <c r="I45" s="127"/>
      <c r="J45" s="133"/>
      <c r="K45" s="125"/>
      <c r="L45" s="126"/>
      <c r="M45" s="131"/>
      <c r="N45" s="131"/>
      <c r="O45" s="131"/>
      <c r="P45" s="131"/>
      <c r="Q45" s="157"/>
      <c r="R45" s="157"/>
      <c r="S45" s="157"/>
      <c r="T45" s="157"/>
    </row>
    <row r="46" spans="1:20" s="130" customFormat="1" ht="14.25" customHeight="1">
      <c r="A46" s="151" t="s">
        <v>154</v>
      </c>
      <c r="B46" s="156" t="s">
        <v>110</v>
      </c>
      <c r="C46" s="6">
        <v>0</v>
      </c>
      <c r="D46" s="127"/>
      <c r="E46" s="127"/>
      <c r="F46" s="127"/>
      <c r="G46" s="6">
        <v>290960755.22000027</v>
      </c>
      <c r="H46" s="127"/>
      <c r="I46" s="127"/>
      <c r="J46" s="133"/>
      <c r="K46" s="125"/>
      <c r="L46" s="126"/>
      <c r="M46" s="131"/>
      <c r="N46" s="131"/>
      <c r="O46" s="131"/>
      <c r="P46" s="131"/>
      <c r="Q46" s="157"/>
      <c r="R46" s="157"/>
      <c r="S46" s="157"/>
      <c r="T46" s="157"/>
    </row>
    <row r="47" spans="1:20" s="130" customFormat="1">
      <c r="A47" s="151" t="s">
        <v>155</v>
      </c>
      <c r="B47" s="156" t="s">
        <v>111</v>
      </c>
      <c r="C47" s="124">
        <f t="shared" ref="C47:J47" si="0">SUM(C8:C46)</f>
        <v>277374837</v>
      </c>
      <c r="D47" s="124">
        <f t="shared" si="0"/>
        <v>113773588</v>
      </c>
      <c r="E47" s="124">
        <f>SUM(E8:E46)</f>
        <v>0</v>
      </c>
      <c r="F47" s="124">
        <f t="shared" si="0"/>
        <v>67067856</v>
      </c>
      <c r="G47" s="124">
        <f t="shared" si="0"/>
        <v>5556016967</v>
      </c>
      <c r="H47" s="124">
        <f t="shared" si="0"/>
        <v>749757925</v>
      </c>
      <c r="I47" s="124">
        <f t="shared" si="0"/>
        <v>282291764</v>
      </c>
      <c r="J47" s="132">
        <f t="shared" si="0"/>
        <v>55850968</v>
      </c>
      <c r="K47" s="125">
        <f>SUM(C47:J47)</f>
        <v>7102133905</v>
      </c>
      <c r="L47" s="126">
        <f>+[6]Balance!$C$45</f>
        <v>7102133905</v>
      </c>
      <c r="M47" s="125">
        <f>+K47-L47</f>
        <v>0</v>
      </c>
      <c r="N47" s="131"/>
      <c r="O47" s="131"/>
      <c r="P47" s="131"/>
      <c r="Q47" s="157"/>
      <c r="R47" s="157"/>
      <c r="S47" s="157"/>
      <c r="T47" s="157"/>
    </row>
    <row r="48" spans="1:20" s="130" customFormat="1">
      <c r="A48" s="151" t="s">
        <v>48</v>
      </c>
      <c r="B48" s="156" t="s">
        <v>112</v>
      </c>
      <c r="C48" s="127"/>
      <c r="D48" s="124">
        <f t="shared" ref="D48:J48" si="1">D47*D3</f>
        <v>22754717.600000001</v>
      </c>
      <c r="E48" s="124">
        <f t="shared" si="1"/>
        <v>0</v>
      </c>
      <c r="F48" s="124">
        <f t="shared" si="1"/>
        <v>33533928</v>
      </c>
      <c r="G48" s="124">
        <f t="shared" si="1"/>
        <v>5556016967</v>
      </c>
      <c r="H48" s="124">
        <f t="shared" si="1"/>
        <v>1124636887.5</v>
      </c>
      <c r="I48" s="124">
        <f t="shared" si="1"/>
        <v>564583528</v>
      </c>
      <c r="J48" s="132">
        <f t="shared" si="1"/>
        <v>167552904</v>
      </c>
      <c r="K48" s="125"/>
      <c r="L48" s="126"/>
      <c r="M48" s="131"/>
      <c r="N48" s="131"/>
      <c r="O48" s="131"/>
      <c r="P48" s="131"/>
      <c r="Q48" s="157"/>
      <c r="R48" s="157"/>
      <c r="S48" s="157"/>
      <c r="T48" s="157"/>
    </row>
    <row r="49" spans="1:20" s="130" customFormat="1" ht="13.5" thickBot="1">
      <c r="A49" s="165" t="s">
        <v>49</v>
      </c>
      <c r="B49" s="166" t="s">
        <v>113</v>
      </c>
      <c r="C49" s="128"/>
      <c r="D49" s="128"/>
      <c r="E49" s="128"/>
      <c r="F49" s="128"/>
      <c r="G49" s="128"/>
      <c r="H49" s="128"/>
      <c r="I49" s="128"/>
      <c r="J49" s="134">
        <f>SUM(D48:J48)</f>
        <v>7469078932.1000004</v>
      </c>
      <c r="K49" s="125"/>
      <c r="L49" s="126"/>
      <c r="M49" s="131"/>
      <c r="N49" s="131"/>
      <c r="O49" s="131"/>
      <c r="P49" s="131"/>
      <c r="Q49" s="157"/>
      <c r="R49" s="157"/>
      <c r="S49" s="157"/>
      <c r="T49" s="157"/>
    </row>
    <row r="50" spans="1:20" s="130" customFormat="1">
      <c r="A50" s="167"/>
      <c r="B50" s="168"/>
      <c r="C50" s="129"/>
      <c r="D50" s="129"/>
      <c r="E50" s="129"/>
      <c r="F50" s="129"/>
      <c r="G50" s="129"/>
      <c r="J50" s="126"/>
      <c r="K50" s="131"/>
      <c r="L50" s="131"/>
      <c r="M50" s="131"/>
      <c r="N50" s="131"/>
      <c r="O50" s="131"/>
      <c r="P50" s="131"/>
      <c r="Q50" s="157"/>
      <c r="R50" s="157"/>
      <c r="S50" s="157"/>
      <c r="T50" s="157"/>
    </row>
    <row r="51" spans="1:20" s="130" customFormat="1" ht="13.5" thickBot="1">
      <c r="A51" s="167"/>
      <c r="B51" s="169"/>
      <c r="C51" s="169"/>
      <c r="D51" s="169"/>
      <c r="E51" s="169"/>
      <c r="F51" s="169"/>
      <c r="G51" s="169"/>
      <c r="H51" s="169"/>
      <c r="I51" s="129"/>
      <c r="K51" s="126"/>
      <c r="L51" s="131"/>
      <c r="M51" s="131"/>
      <c r="N51" s="131"/>
      <c r="O51" s="131"/>
      <c r="P51" s="131"/>
      <c r="Q51" s="157"/>
      <c r="R51" s="157"/>
      <c r="S51" s="157"/>
      <c r="T51" s="157"/>
    </row>
    <row r="52" spans="1:20" s="130" customFormat="1" ht="12.75" customHeight="1">
      <c r="A52" s="240" t="s">
        <v>90</v>
      </c>
      <c r="B52" s="247" t="s">
        <v>62</v>
      </c>
      <c r="C52" s="248"/>
      <c r="D52" s="255" t="s">
        <v>114</v>
      </c>
      <c r="E52" s="256"/>
      <c r="F52" s="170">
        <v>0</v>
      </c>
      <c r="G52" s="171">
        <v>0.2</v>
      </c>
      <c r="H52" s="171">
        <v>0.5</v>
      </c>
      <c r="I52" s="171">
        <v>1</v>
      </c>
      <c r="J52" s="242" t="s">
        <v>115</v>
      </c>
      <c r="K52" s="126"/>
      <c r="L52" s="131"/>
      <c r="M52" s="131"/>
      <c r="N52" s="131"/>
      <c r="O52" s="131"/>
      <c r="P52" s="131"/>
      <c r="Q52" s="157"/>
      <c r="R52" s="157"/>
      <c r="S52" s="157"/>
      <c r="T52" s="157"/>
    </row>
    <row r="53" spans="1:20" s="130" customFormat="1" ht="9.75" customHeight="1">
      <c r="A53" s="241"/>
      <c r="B53" s="249"/>
      <c r="C53" s="250"/>
      <c r="D53" s="257"/>
      <c r="E53" s="258"/>
      <c r="F53" s="244" t="s">
        <v>91</v>
      </c>
      <c r="G53" s="239" t="s">
        <v>91</v>
      </c>
      <c r="H53" s="239" t="s">
        <v>91</v>
      </c>
      <c r="I53" s="239" t="s">
        <v>91</v>
      </c>
      <c r="J53" s="243"/>
      <c r="K53" s="126"/>
      <c r="L53" s="131"/>
      <c r="M53" s="131"/>
      <c r="N53" s="131"/>
      <c r="O53" s="131"/>
      <c r="P53" s="131"/>
      <c r="Q53" s="157"/>
      <c r="R53" s="157"/>
      <c r="S53" s="157"/>
      <c r="T53" s="157"/>
    </row>
    <row r="54" spans="1:20" s="130" customFormat="1" ht="17.25" customHeight="1">
      <c r="A54" s="241"/>
      <c r="B54" s="251"/>
      <c r="C54" s="252"/>
      <c r="D54" s="259"/>
      <c r="E54" s="260"/>
      <c r="F54" s="245"/>
      <c r="G54" s="246"/>
      <c r="H54" s="246"/>
      <c r="I54" s="246"/>
      <c r="J54" s="243"/>
      <c r="K54" s="126"/>
      <c r="L54" s="131"/>
      <c r="M54" s="131"/>
      <c r="N54" s="131"/>
      <c r="O54" s="131"/>
      <c r="P54" s="131"/>
      <c r="Q54" s="157"/>
      <c r="R54" s="157"/>
      <c r="S54" s="157"/>
      <c r="T54" s="157"/>
    </row>
    <row r="55" spans="1:20" s="130" customFormat="1">
      <c r="A55" s="241"/>
      <c r="B55" s="233" t="s">
        <v>63</v>
      </c>
      <c r="C55" s="234"/>
      <c r="D55" s="149" t="s">
        <v>64</v>
      </c>
      <c r="E55" s="149"/>
      <c r="F55" s="172" t="s">
        <v>65</v>
      </c>
      <c r="G55" s="149" t="s">
        <v>66</v>
      </c>
      <c r="H55" s="149" t="s">
        <v>92</v>
      </c>
      <c r="I55" s="149" t="s">
        <v>93</v>
      </c>
      <c r="J55" s="150" t="s">
        <v>116</v>
      </c>
      <c r="K55" s="126"/>
      <c r="L55" s="131"/>
      <c r="M55" s="131"/>
      <c r="N55" s="131"/>
      <c r="O55" s="131"/>
      <c r="P55" s="131"/>
      <c r="Q55" s="157"/>
      <c r="R55" s="157"/>
      <c r="S55" s="157"/>
      <c r="T55" s="157"/>
    </row>
    <row r="56" spans="1:20" s="130" customFormat="1">
      <c r="A56" s="263" t="s">
        <v>117</v>
      </c>
      <c r="B56" s="264"/>
      <c r="C56" s="264"/>
      <c r="D56" s="264"/>
      <c r="E56" s="264"/>
      <c r="F56" s="264"/>
      <c r="G56" s="264"/>
      <c r="H56" s="264"/>
      <c r="I56" s="264"/>
      <c r="J56" s="265"/>
      <c r="K56" s="126"/>
      <c r="L56" s="131"/>
      <c r="M56" s="131"/>
      <c r="N56" s="131"/>
      <c r="O56" s="131"/>
      <c r="P56" s="131"/>
      <c r="Q56" s="157"/>
      <c r="R56" s="157"/>
      <c r="S56" s="157"/>
      <c r="T56" s="157"/>
    </row>
    <row r="57" spans="1:20" s="130" customFormat="1">
      <c r="A57" s="173">
        <v>1</v>
      </c>
      <c r="B57" s="229" t="s">
        <v>118</v>
      </c>
      <c r="C57" s="230"/>
      <c r="D57" s="127"/>
      <c r="E57" s="127"/>
      <c r="F57" s="127"/>
      <c r="G57" s="127"/>
      <c r="H57" s="127"/>
      <c r="I57" s="127"/>
      <c r="J57" s="133"/>
      <c r="K57" s="126"/>
      <c r="L57" s="131"/>
      <c r="M57" s="131"/>
      <c r="N57" s="131"/>
      <c r="O57" s="131"/>
      <c r="P57" s="131"/>
      <c r="Q57" s="157"/>
      <c r="R57" s="157"/>
      <c r="S57" s="157"/>
      <c r="T57" s="157"/>
    </row>
    <row r="58" spans="1:20" s="130" customFormat="1">
      <c r="A58" s="173" t="s">
        <v>68</v>
      </c>
      <c r="B58" s="229" t="s">
        <v>119</v>
      </c>
      <c r="C58" s="230"/>
      <c r="D58" s="261">
        <v>0.5</v>
      </c>
      <c r="E58" s="262"/>
      <c r="F58" s="7"/>
      <c r="G58" s="7"/>
      <c r="H58" s="7"/>
      <c r="I58" s="7">
        <v>755824963</v>
      </c>
      <c r="J58" s="132">
        <f>(G58*0.1)+(H58*0.25)+(I58*0.5)</f>
        <v>377912481.5</v>
      </c>
      <c r="K58" s="126"/>
      <c r="L58" s="131"/>
      <c r="M58" s="131"/>
      <c r="N58" s="131"/>
      <c r="O58" s="131"/>
      <c r="P58" s="131"/>
      <c r="Q58" s="157"/>
      <c r="R58" s="157"/>
      <c r="S58" s="157"/>
      <c r="T58" s="157"/>
    </row>
    <row r="59" spans="1:20" s="130" customFormat="1">
      <c r="A59" s="173" t="s">
        <v>70</v>
      </c>
      <c r="B59" s="229" t="s">
        <v>120</v>
      </c>
      <c r="C59" s="230"/>
      <c r="D59" s="261">
        <v>0.2</v>
      </c>
      <c r="E59" s="262"/>
      <c r="F59" s="7"/>
      <c r="G59" s="7"/>
      <c r="H59" s="7"/>
      <c r="I59" s="7"/>
      <c r="J59" s="132">
        <f>(G59*0.04)+(H59*0.1)+(I59*0.2)</f>
        <v>0</v>
      </c>
      <c r="K59" s="126"/>
      <c r="L59" s="131"/>
      <c r="M59" s="131"/>
      <c r="N59" s="131"/>
      <c r="O59" s="131"/>
      <c r="P59" s="131"/>
      <c r="Q59" s="157"/>
      <c r="R59" s="157"/>
      <c r="S59" s="157"/>
      <c r="T59" s="157"/>
    </row>
    <row r="60" spans="1:20" s="130" customFormat="1" ht="26.25" customHeight="1">
      <c r="A60" s="173">
        <v>2</v>
      </c>
      <c r="B60" s="229" t="s">
        <v>230</v>
      </c>
      <c r="C60" s="230"/>
      <c r="D60" s="261">
        <v>1</v>
      </c>
      <c r="E60" s="262"/>
      <c r="F60" s="7"/>
      <c r="G60" s="7"/>
      <c r="H60" s="7"/>
      <c r="I60" s="7">
        <v>20000000</v>
      </c>
      <c r="J60" s="132">
        <f>(G60*0.2)+(H60*0.5)+(I60*1)</f>
        <v>20000000</v>
      </c>
      <c r="K60" s="126"/>
      <c r="L60" s="131"/>
      <c r="M60" s="131"/>
      <c r="N60" s="131"/>
      <c r="O60" s="131"/>
      <c r="P60" s="131"/>
      <c r="Q60" s="157"/>
      <c r="R60" s="157"/>
      <c r="S60" s="157"/>
      <c r="T60" s="157"/>
    </row>
    <row r="61" spans="1:20" s="130" customFormat="1">
      <c r="A61" s="173">
        <v>3</v>
      </c>
      <c r="B61" s="229" t="s">
        <v>121</v>
      </c>
      <c r="C61" s="230"/>
      <c r="D61" s="261">
        <v>1</v>
      </c>
      <c r="E61" s="262"/>
      <c r="F61" s="7"/>
      <c r="G61" s="127"/>
      <c r="H61" s="127"/>
      <c r="I61" s="7">
        <v>128730452</v>
      </c>
      <c r="J61" s="132">
        <f>(G61*0.2)+(H61*0.5)+(I61*1)</f>
        <v>128730452</v>
      </c>
      <c r="K61" s="126"/>
      <c r="L61" s="131"/>
      <c r="M61" s="131"/>
      <c r="N61" s="131"/>
      <c r="O61" s="131"/>
      <c r="P61" s="131"/>
      <c r="Q61" s="157"/>
      <c r="R61" s="157"/>
      <c r="S61" s="157"/>
      <c r="T61" s="157"/>
    </row>
    <row r="62" spans="1:20" s="130" customFormat="1">
      <c r="A62" s="173">
        <v>4</v>
      </c>
      <c r="B62" s="229" t="s">
        <v>122</v>
      </c>
      <c r="C62" s="230"/>
      <c r="D62" s="174"/>
      <c r="E62" s="174"/>
      <c r="F62" s="127"/>
      <c r="G62" s="127"/>
      <c r="H62" s="127"/>
      <c r="I62" s="127"/>
      <c r="J62" s="133"/>
      <c r="K62" s="126"/>
      <c r="L62" s="131"/>
      <c r="M62" s="131"/>
      <c r="N62" s="131"/>
      <c r="O62" s="131"/>
      <c r="P62" s="131"/>
      <c r="Q62" s="157"/>
      <c r="R62" s="157"/>
      <c r="S62" s="157"/>
      <c r="T62" s="157"/>
    </row>
    <row r="63" spans="1:20" s="130" customFormat="1">
      <c r="A63" s="173" t="s">
        <v>68</v>
      </c>
      <c r="B63" s="229" t="s">
        <v>123</v>
      </c>
      <c r="C63" s="230"/>
      <c r="D63" s="261">
        <v>1</v>
      </c>
      <c r="E63" s="262"/>
      <c r="F63" s="7"/>
      <c r="G63" s="7"/>
      <c r="H63" s="7"/>
      <c r="I63" s="7"/>
      <c r="J63" s="132">
        <f>(G63*0.2)+(H63*0.5)+(I63*1)</f>
        <v>0</v>
      </c>
      <c r="K63" s="126"/>
      <c r="L63" s="131"/>
      <c r="M63" s="131"/>
      <c r="N63" s="131"/>
      <c r="O63" s="131"/>
      <c r="P63" s="131"/>
      <c r="Q63" s="157"/>
      <c r="R63" s="157"/>
      <c r="S63" s="157"/>
      <c r="T63" s="157"/>
    </row>
    <row r="64" spans="1:20" s="130" customFormat="1">
      <c r="A64" s="173" t="s">
        <v>70</v>
      </c>
      <c r="B64" s="229" t="s">
        <v>124</v>
      </c>
      <c r="C64" s="230"/>
      <c r="D64" s="261">
        <v>0.5</v>
      </c>
      <c r="E64" s="262"/>
      <c r="F64" s="7"/>
      <c r="G64" s="7"/>
      <c r="H64" s="7"/>
      <c r="I64" s="7"/>
      <c r="J64" s="132">
        <f>(G64*0.1)+(H64*0.25)+(I64*0.5)</f>
        <v>0</v>
      </c>
      <c r="K64" s="126"/>
      <c r="L64" s="131"/>
      <c r="M64" s="131"/>
      <c r="N64" s="131"/>
      <c r="O64" s="131"/>
      <c r="P64" s="131"/>
      <c r="Q64" s="157"/>
      <c r="R64" s="157"/>
      <c r="S64" s="157"/>
      <c r="T64" s="157"/>
    </row>
    <row r="65" spans="1:20" s="130" customFormat="1" ht="12.75" customHeight="1">
      <c r="A65" s="173" t="s">
        <v>72</v>
      </c>
      <c r="B65" s="229" t="s">
        <v>231</v>
      </c>
      <c r="C65" s="230"/>
      <c r="D65" s="261">
        <v>0.2</v>
      </c>
      <c r="E65" s="262"/>
      <c r="F65" s="7"/>
      <c r="G65" s="7"/>
      <c r="H65" s="7"/>
      <c r="I65" s="7"/>
      <c r="J65" s="132">
        <f>(G65*0.04)+(H65*0.1)+(I65*0.2)</f>
        <v>0</v>
      </c>
      <c r="K65" s="126"/>
      <c r="L65" s="131"/>
      <c r="M65" s="131"/>
      <c r="N65" s="131"/>
      <c r="O65" s="131"/>
      <c r="P65" s="131"/>
      <c r="Q65" s="157"/>
      <c r="R65" s="157"/>
      <c r="S65" s="157"/>
      <c r="T65" s="157"/>
    </row>
    <row r="66" spans="1:20" s="130" customFormat="1">
      <c r="A66" s="173" t="s">
        <v>79</v>
      </c>
      <c r="B66" s="229" t="s">
        <v>203</v>
      </c>
      <c r="C66" s="230"/>
      <c r="D66" s="261">
        <v>1</v>
      </c>
      <c r="E66" s="262"/>
      <c r="F66" s="7"/>
      <c r="G66" s="127"/>
      <c r="H66" s="127"/>
      <c r="I66" s="7"/>
      <c r="J66" s="132">
        <f>(G66*0.2)+(H66*0.5)+(I66*1)</f>
        <v>0</v>
      </c>
      <c r="K66" s="126"/>
      <c r="L66" s="131"/>
      <c r="M66" s="131"/>
      <c r="N66" s="131"/>
      <c r="O66" s="131"/>
      <c r="P66" s="131"/>
      <c r="Q66" s="157"/>
      <c r="R66" s="157"/>
      <c r="S66" s="157"/>
      <c r="T66" s="157"/>
    </row>
    <row r="67" spans="1:20" s="130" customFormat="1">
      <c r="A67" s="173">
        <v>5</v>
      </c>
      <c r="B67" s="217" t="s">
        <v>125</v>
      </c>
      <c r="C67" s="218"/>
      <c r="D67" s="174"/>
      <c r="E67" s="174"/>
      <c r="F67" s="127"/>
      <c r="G67" s="127"/>
      <c r="H67" s="127"/>
      <c r="I67" s="127"/>
      <c r="J67" s="133"/>
      <c r="K67" s="126"/>
      <c r="L67" s="131"/>
      <c r="M67" s="131"/>
      <c r="N67" s="131"/>
      <c r="O67" s="131"/>
      <c r="P67" s="131"/>
      <c r="Q67" s="157"/>
      <c r="R67" s="157"/>
      <c r="S67" s="157"/>
      <c r="T67" s="157"/>
    </row>
    <row r="68" spans="1:20" s="130" customFormat="1">
      <c r="A68" s="173" t="s">
        <v>68</v>
      </c>
      <c r="B68" s="217" t="s">
        <v>126</v>
      </c>
      <c r="C68" s="218"/>
      <c r="D68" s="174"/>
      <c r="E68" s="174"/>
      <c r="F68" s="127"/>
      <c r="G68" s="127"/>
      <c r="H68" s="127"/>
      <c r="I68" s="127"/>
      <c r="J68" s="133"/>
      <c r="K68" s="126"/>
      <c r="L68" s="131"/>
      <c r="M68" s="131"/>
      <c r="N68" s="131"/>
      <c r="O68" s="131"/>
      <c r="P68" s="131"/>
      <c r="Q68" s="157"/>
      <c r="R68" s="157"/>
      <c r="S68" s="157"/>
      <c r="T68" s="157"/>
    </row>
    <row r="69" spans="1:20" s="130" customFormat="1">
      <c r="A69" s="173" t="s">
        <v>127</v>
      </c>
      <c r="B69" s="217" t="s">
        <v>232</v>
      </c>
      <c r="C69" s="218"/>
      <c r="D69" s="266">
        <v>5.0000000000000001E-3</v>
      </c>
      <c r="E69" s="267"/>
      <c r="F69" s="7"/>
      <c r="G69" s="7"/>
      <c r="H69" s="7"/>
      <c r="I69" s="7"/>
      <c r="J69" s="132">
        <f>(G69*0.001)+(H69*0.0025)+(I69*0.005)</f>
        <v>0</v>
      </c>
      <c r="K69" s="126"/>
      <c r="L69" s="131"/>
      <c r="M69" s="131"/>
      <c r="N69" s="131"/>
      <c r="O69" s="131"/>
      <c r="P69" s="131"/>
      <c r="Q69" s="157"/>
      <c r="R69" s="157"/>
      <c r="S69" s="157"/>
      <c r="T69" s="157"/>
    </row>
    <row r="70" spans="1:20" s="130" customFormat="1">
      <c r="A70" s="173" t="s">
        <v>128</v>
      </c>
      <c r="B70" s="217" t="s">
        <v>233</v>
      </c>
      <c r="C70" s="218"/>
      <c r="D70" s="261">
        <v>0.01</v>
      </c>
      <c r="E70" s="262"/>
      <c r="F70" s="7"/>
      <c r="G70" s="7"/>
      <c r="H70" s="7"/>
      <c r="I70" s="7"/>
      <c r="J70" s="132">
        <f>(G70*0.002)+(H70*0.005)+(I70*0.01)</f>
        <v>0</v>
      </c>
      <c r="K70" s="126"/>
      <c r="L70" s="131"/>
      <c r="M70" s="131"/>
      <c r="N70" s="131"/>
      <c r="O70" s="131"/>
      <c r="P70" s="131"/>
      <c r="Q70" s="157"/>
      <c r="R70" s="157"/>
      <c r="S70" s="157"/>
      <c r="T70" s="157"/>
    </row>
    <row r="71" spans="1:20" s="130" customFormat="1">
      <c r="A71" s="173" t="s">
        <v>129</v>
      </c>
      <c r="B71" s="217" t="s">
        <v>234</v>
      </c>
      <c r="C71" s="218"/>
      <c r="D71" s="261">
        <v>0.02</v>
      </c>
      <c r="E71" s="262"/>
      <c r="F71" s="7"/>
      <c r="G71" s="7"/>
      <c r="H71" s="7"/>
      <c r="I71" s="7"/>
      <c r="J71" s="124">
        <f>(G71*0.004)+(H71*0.01)+(I71*0.02)</f>
        <v>0</v>
      </c>
      <c r="K71" s="126"/>
      <c r="L71" s="131"/>
      <c r="M71" s="131"/>
      <c r="N71" s="131"/>
      <c r="O71" s="131"/>
      <c r="P71" s="131"/>
      <c r="Q71" s="157"/>
      <c r="R71" s="157"/>
      <c r="S71" s="157"/>
      <c r="T71" s="157"/>
    </row>
    <row r="72" spans="1:20" s="130" customFormat="1">
      <c r="A72" s="173" t="s">
        <v>70</v>
      </c>
      <c r="B72" s="217" t="s">
        <v>235</v>
      </c>
      <c r="C72" s="218"/>
      <c r="D72" s="174"/>
      <c r="E72" s="174"/>
      <c r="F72" s="127"/>
      <c r="G72" s="127"/>
      <c r="H72" s="127"/>
      <c r="I72" s="127"/>
      <c r="J72" s="133"/>
      <c r="K72" s="126"/>
      <c r="L72" s="131"/>
      <c r="M72" s="131"/>
      <c r="N72" s="131"/>
      <c r="O72" s="131"/>
      <c r="P72" s="131"/>
      <c r="Q72" s="157"/>
      <c r="R72" s="157"/>
      <c r="S72" s="157"/>
      <c r="T72" s="157"/>
    </row>
    <row r="73" spans="1:20" s="130" customFormat="1">
      <c r="A73" s="173" t="s">
        <v>130</v>
      </c>
      <c r="B73" s="217" t="s">
        <v>232</v>
      </c>
      <c r="C73" s="218"/>
      <c r="D73" s="261">
        <v>0.02</v>
      </c>
      <c r="E73" s="262"/>
      <c r="F73" s="7"/>
      <c r="G73" s="7"/>
      <c r="H73" s="7"/>
      <c r="I73" s="7"/>
      <c r="J73" s="132">
        <f>(G73*0.004)+(H73*0.01)+(I73*0.02)</f>
        <v>0</v>
      </c>
      <c r="K73" s="126"/>
      <c r="L73" s="131"/>
      <c r="M73" s="131"/>
      <c r="N73" s="131"/>
      <c r="O73" s="131"/>
      <c r="P73" s="131"/>
      <c r="Q73" s="157"/>
      <c r="R73" s="157"/>
      <c r="S73" s="157"/>
      <c r="T73" s="157"/>
    </row>
    <row r="74" spans="1:20" s="130" customFormat="1">
      <c r="A74" s="173" t="s">
        <v>131</v>
      </c>
      <c r="B74" s="217" t="s">
        <v>233</v>
      </c>
      <c r="C74" s="218"/>
      <c r="D74" s="261">
        <v>0.05</v>
      </c>
      <c r="E74" s="262"/>
      <c r="F74" s="7"/>
      <c r="G74" s="7"/>
      <c r="H74" s="7"/>
      <c r="I74" s="7"/>
      <c r="J74" s="132">
        <f>(G74*0.01)+(H74*0.025)+(I74*0.05)</f>
        <v>0</v>
      </c>
      <c r="K74" s="126"/>
      <c r="L74" s="131"/>
      <c r="M74" s="131"/>
      <c r="N74" s="131"/>
      <c r="O74" s="131"/>
      <c r="P74" s="131"/>
      <c r="Q74" s="157"/>
      <c r="R74" s="157"/>
      <c r="S74" s="157"/>
      <c r="T74" s="157"/>
    </row>
    <row r="75" spans="1:20" s="130" customFormat="1">
      <c r="A75" s="173" t="s">
        <v>132</v>
      </c>
      <c r="B75" s="217" t="s">
        <v>234</v>
      </c>
      <c r="C75" s="218"/>
      <c r="D75" s="261">
        <v>0.08</v>
      </c>
      <c r="E75" s="262"/>
      <c r="F75" s="7"/>
      <c r="G75" s="7"/>
      <c r="H75" s="7"/>
      <c r="I75" s="7"/>
      <c r="J75" s="132">
        <f>(G75*0.016)+(H75*0.04)+(I75*0.08)</f>
        <v>0</v>
      </c>
      <c r="K75" s="126"/>
      <c r="L75" s="131"/>
      <c r="M75" s="131"/>
      <c r="N75" s="131"/>
      <c r="O75" s="131"/>
      <c r="P75" s="131"/>
      <c r="Q75" s="157"/>
      <c r="R75" s="157"/>
      <c r="S75" s="157"/>
      <c r="T75" s="157"/>
    </row>
    <row r="76" spans="1:20" s="130" customFormat="1">
      <c r="A76" s="173">
        <v>6</v>
      </c>
      <c r="B76" s="229" t="s">
        <v>133</v>
      </c>
      <c r="C76" s="230"/>
      <c r="D76" s="174"/>
      <c r="E76" s="174"/>
      <c r="F76" s="124">
        <f>SUM(F58:F75)</f>
        <v>0</v>
      </c>
      <c r="G76" s="124">
        <f>SUM(G58:G75)</f>
        <v>0</v>
      </c>
      <c r="H76" s="124">
        <f>SUM(H58:H75)</f>
        <v>0</v>
      </c>
      <c r="I76" s="124">
        <f>SUM(I58:I75)</f>
        <v>904555415</v>
      </c>
      <c r="J76" s="133"/>
      <c r="K76" s="175">
        <f>SUM(F76:I76)</f>
        <v>904555415</v>
      </c>
      <c r="L76" s="175">
        <f>+[6]Commitments!$C$4+[6]Commitments!$C$7+[6]Commitments!$C$10+[6]Commitments!$C$19+[6]Commitments!$C$20+[6]Commitments!$C$21+[6]Commitments!$C$22</f>
        <v>884555415</v>
      </c>
      <c r="M76" s="176">
        <f>+K76-L76</f>
        <v>20000000</v>
      </c>
      <c r="N76" s="131"/>
      <c r="O76" s="131"/>
      <c r="P76" s="131"/>
      <c r="Q76" s="157"/>
      <c r="R76" s="157"/>
      <c r="S76" s="157"/>
      <c r="T76" s="157"/>
    </row>
    <row r="77" spans="1:20" s="130" customFormat="1">
      <c r="A77" s="173">
        <v>7</v>
      </c>
      <c r="B77" s="229" t="s">
        <v>134</v>
      </c>
      <c r="C77" s="230"/>
      <c r="D77" s="174"/>
      <c r="E77" s="174"/>
      <c r="F77" s="127"/>
      <c r="G77" s="127"/>
      <c r="H77" s="127"/>
      <c r="I77" s="127"/>
      <c r="J77" s="132">
        <f>SUM(J58:J75)</f>
        <v>526642933.5</v>
      </c>
      <c r="K77" s="126"/>
      <c r="L77" s="131"/>
      <c r="M77" s="131"/>
      <c r="N77" s="131"/>
      <c r="O77" s="131"/>
      <c r="P77" s="131"/>
      <c r="Q77" s="157"/>
      <c r="R77" s="157"/>
      <c r="S77" s="157"/>
      <c r="T77" s="157"/>
    </row>
    <row r="78" spans="1:20" s="130" customFormat="1" ht="13.5" thickBot="1">
      <c r="A78" s="177">
        <v>8</v>
      </c>
      <c r="B78" s="231" t="s">
        <v>135</v>
      </c>
      <c r="C78" s="232"/>
      <c r="D78" s="178"/>
      <c r="E78" s="178"/>
      <c r="F78" s="128"/>
      <c r="G78" s="128"/>
      <c r="H78" s="128"/>
      <c r="I78" s="128"/>
      <c r="J78" s="134">
        <f>SUM(J77+J49)</f>
        <v>7995721865.6000004</v>
      </c>
      <c r="K78" s="126">
        <f>+J78*0.15</f>
        <v>1199358279.8399999</v>
      </c>
      <c r="L78" s="131"/>
      <c r="M78" s="131"/>
      <c r="N78" s="131"/>
      <c r="O78" s="131"/>
      <c r="P78" s="131"/>
      <c r="Q78" s="157"/>
      <c r="R78" s="157"/>
      <c r="S78" s="157"/>
      <c r="T78" s="157"/>
    </row>
    <row r="79" spans="1:20">
      <c r="J79" s="135"/>
      <c r="K79" s="143"/>
    </row>
    <row r="80" spans="1:20">
      <c r="B80" s="179" t="s">
        <v>0</v>
      </c>
      <c r="C80" s="179"/>
      <c r="J80" s="135"/>
      <c r="K80" s="143"/>
    </row>
    <row r="81" spans="2:11">
      <c r="B81" s="179"/>
      <c r="C81" s="179"/>
      <c r="J81" s="135"/>
      <c r="K81" s="143"/>
    </row>
    <row r="82" spans="2:11">
      <c r="B82" s="179" t="s">
        <v>1</v>
      </c>
    </row>
  </sheetData>
  <sheetProtection password="CACA" sheet="1" objects="1" scenarios="1"/>
  <mergeCells count="42">
    <mergeCell ref="D75:E75"/>
    <mergeCell ref="D65:E65"/>
    <mergeCell ref="D66:E66"/>
    <mergeCell ref="D69:E69"/>
    <mergeCell ref="D70:E70"/>
    <mergeCell ref="D71:E71"/>
    <mergeCell ref="D74:E74"/>
    <mergeCell ref="D73:E73"/>
    <mergeCell ref="D64:E64"/>
    <mergeCell ref="B64:C64"/>
    <mergeCell ref="A56:J56"/>
    <mergeCell ref="B57:C57"/>
    <mergeCell ref="B58:C58"/>
    <mergeCell ref="B59:C59"/>
    <mergeCell ref="D58:E58"/>
    <mergeCell ref="D59:E59"/>
    <mergeCell ref="D60:E60"/>
    <mergeCell ref="D61:E61"/>
    <mergeCell ref="D63:E63"/>
    <mergeCell ref="I1:J1"/>
    <mergeCell ref="A3:A4"/>
    <mergeCell ref="B3:B4"/>
    <mergeCell ref="A52:A55"/>
    <mergeCell ref="J52:J54"/>
    <mergeCell ref="F53:F54"/>
    <mergeCell ref="G53:G54"/>
    <mergeCell ref="H53:H54"/>
    <mergeCell ref="I53:I54"/>
    <mergeCell ref="B52:C54"/>
    <mergeCell ref="G2:H2"/>
    <mergeCell ref="A1:H1"/>
    <mergeCell ref="D52:E54"/>
    <mergeCell ref="B76:C76"/>
    <mergeCell ref="B77:C77"/>
    <mergeCell ref="B78:C78"/>
    <mergeCell ref="B55:C55"/>
    <mergeCell ref="B65:C65"/>
    <mergeCell ref="B66:C66"/>
    <mergeCell ref="B60:C60"/>
    <mergeCell ref="B61:C61"/>
    <mergeCell ref="B62:C62"/>
    <mergeCell ref="B63:C63"/>
  </mergeCells>
  <phoneticPr fontId="8" type="noConversion"/>
  <conditionalFormatting sqref="K47">
    <cfRule type="cellIs" dxfId="17" priority="17" operator="notEqual">
      <formula>$L$47</formula>
    </cfRule>
  </conditionalFormatting>
  <conditionalFormatting sqref="K34">
    <cfRule type="cellIs" dxfId="16" priority="7" operator="notEqual">
      <formula>$H$34+$J$34</formula>
    </cfRule>
  </conditionalFormatting>
  <conditionalFormatting sqref="K35">
    <cfRule type="cellIs" dxfId="15" priority="6" operator="notEqual">
      <formula>$H$35+$J$35</formula>
    </cfRule>
  </conditionalFormatting>
  <conditionalFormatting sqref="H34">
    <cfRule type="cellIs" dxfId="14" priority="5" operator="notEqual">
      <formula>$K$34-$J$34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8:F61 F66 H45 C44 C42 G41:H41 F73:I75 I61 F69:I71 I63:I66 F63:H65 G43 G36:G40 G46:J46 H34:H35 G33 G58:I60 D15 G29 C24 F15 F26:G26 G31:J31 C18 H27:J29 D19:D21 C20 C13:C14 D23 C16 D25 G16:G17 F19 D11:H11 C8 D9:D10 C10 C26 C30:C32">
      <formula1>-1E+22</formula1>
      <formula2>1E+22</formula2>
    </dataValidation>
    <dataValidation type="whole" operator="greaterThanOrEqual" allowBlank="1" showInputMessage="1" showErrorMessage="1" sqref="F62:I62 G66:H66 F72:I72 G61:H61 F67:I68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pageSetUpPr fitToPage="1"/>
  </sheetPr>
  <dimension ref="A1:IV82"/>
  <sheetViews>
    <sheetView zoomScaleSheetLayoutView="100" workbookViewId="0">
      <pane xSplit="2" ySplit="6" topLeftCell="C43" activePane="bottomRight" state="frozen"/>
      <selection activeCell="B3" sqref="B3"/>
      <selection pane="topRight" activeCell="B3" sqref="B3"/>
      <selection pane="bottomLeft" activeCell="B3" sqref="B3"/>
      <selection pane="bottomRight" activeCell="I59" sqref="I59"/>
    </sheetView>
  </sheetViews>
  <sheetFormatPr defaultRowHeight="12.75"/>
  <cols>
    <col min="1" max="1" width="5.42578125" style="144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4.7109375" style="135" customWidth="1"/>
    <col min="10" max="10" width="18.140625" style="143" customWidth="1"/>
    <col min="11" max="13" width="16.42578125" style="140" customWidth="1"/>
    <col min="14" max="16" width="10.28515625" style="140" customWidth="1"/>
    <col min="17" max="20" width="9.140625" style="141"/>
    <col min="21" max="16384" width="9.140625" style="135"/>
  </cols>
  <sheetData>
    <row r="1" spans="1:20" ht="26.25" customHeight="1">
      <c r="A1" s="254" t="s">
        <v>223</v>
      </c>
      <c r="B1" s="254"/>
      <c r="C1" s="254"/>
      <c r="D1" s="254"/>
      <c r="E1" s="254"/>
      <c r="F1" s="254"/>
      <c r="G1" s="254"/>
      <c r="H1" s="254"/>
      <c r="I1" s="235" t="s">
        <v>225</v>
      </c>
      <c r="J1" s="235"/>
    </row>
    <row r="2" spans="1:20" ht="25.5" customHeight="1" thickBot="1">
      <c r="B2" s="194" t="str">
        <f>+'Bank Capital Calc'!B3</f>
        <v xml:space="preserve">Наименование банка </v>
      </c>
      <c r="D2" s="142"/>
      <c r="E2" s="142"/>
      <c r="G2" s="253">
        <f>+'Bank Capital Calc'!C3</f>
        <v>44196</v>
      </c>
      <c r="H2" s="253"/>
      <c r="J2" s="79" t="s">
        <v>200</v>
      </c>
      <c r="K2" s="143"/>
    </row>
    <row r="3" spans="1:20">
      <c r="A3" s="236" t="s">
        <v>90</v>
      </c>
      <c r="B3" s="238" t="s">
        <v>62</v>
      </c>
      <c r="C3" s="146">
        <v>0</v>
      </c>
      <c r="D3" s="146">
        <v>0.2</v>
      </c>
      <c r="E3" s="146">
        <v>0.3</v>
      </c>
      <c r="F3" s="146">
        <v>0.5</v>
      </c>
      <c r="G3" s="146">
        <v>1</v>
      </c>
      <c r="H3" s="146">
        <v>1.5</v>
      </c>
      <c r="I3" s="146">
        <v>2</v>
      </c>
      <c r="J3" s="147">
        <v>3</v>
      </c>
      <c r="K3" s="148"/>
      <c r="L3" s="143"/>
    </row>
    <row r="4" spans="1:20" ht="20.25" customHeight="1">
      <c r="A4" s="237"/>
      <c r="B4" s="239"/>
      <c r="C4" s="149" t="s">
        <v>91</v>
      </c>
      <c r="D4" s="149" t="s">
        <v>91</v>
      </c>
      <c r="E4" s="149" t="s">
        <v>91</v>
      </c>
      <c r="F4" s="149" t="s">
        <v>91</v>
      </c>
      <c r="G4" s="149" t="s">
        <v>91</v>
      </c>
      <c r="H4" s="149" t="s">
        <v>91</v>
      </c>
      <c r="I4" s="149" t="s">
        <v>91</v>
      </c>
      <c r="J4" s="150" t="s">
        <v>91</v>
      </c>
      <c r="L4" s="143"/>
    </row>
    <row r="5" spans="1:20" ht="20.25" customHeight="1">
      <c r="A5" s="151"/>
      <c r="B5" s="149"/>
      <c r="C5" s="149" t="s">
        <v>238</v>
      </c>
      <c r="D5" s="149" t="s">
        <v>239</v>
      </c>
      <c r="E5" s="149" t="s">
        <v>240</v>
      </c>
      <c r="F5" s="149" t="s">
        <v>241</v>
      </c>
      <c r="G5" s="149" t="s">
        <v>242</v>
      </c>
      <c r="H5" s="149" t="s">
        <v>243</v>
      </c>
      <c r="I5" s="149" t="s">
        <v>244</v>
      </c>
      <c r="J5" s="150" t="s">
        <v>245</v>
      </c>
      <c r="L5" s="143"/>
    </row>
    <row r="6" spans="1:20">
      <c r="A6" s="151"/>
      <c r="B6" s="152" t="s">
        <v>63</v>
      </c>
      <c r="C6" s="152" t="s">
        <v>64</v>
      </c>
      <c r="D6" s="152" t="s">
        <v>65</v>
      </c>
      <c r="E6" s="152" t="s">
        <v>66</v>
      </c>
      <c r="F6" s="152" t="s">
        <v>92</v>
      </c>
      <c r="G6" s="152" t="s">
        <v>93</v>
      </c>
      <c r="H6" s="152" t="s">
        <v>116</v>
      </c>
      <c r="I6" s="152" t="s">
        <v>136</v>
      </c>
      <c r="J6" s="150" t="s">
        <v>137</v>
      </c>
      <c r="L6" s="143"/>
    </row>
    <row r="7" spans="1:20">
      <c r="A7" s="151"/>
      <c r="B7" s="153" t="s">
        <v>94</v>
      </c>
      <c r="C7" s="154"/>
      <c r="D7" s="154"/>
      <c r="E7" s="154"/>
      <c r="F7" s="154"/>
      <c r="G7" s="154"/>
      <c r="H7" s="154"/>
      <c r="I7" s="154"/>
      <c r="J7" s="155"/>
      <c r="L7" s="143"/>
    </row>
    <row r="8" spans="1:20" s="130" customFormat="1">
      <c r="A8" s="151" t="s">
        <v>95</v>
      </c>
      <c r="B8" s="156" t="s">
        <v>96</v>
      </c>
      <c r="C8" s="6">
        <v>62685950</v>
      </c>
      <c r="D8" s="127"/>
      <c r="E8" s="127"/>
      <c r="F8" s="127"/>
      <c r="G8" s="127"/>
      <c r="H8" s="127"/>
      <c r="I8" s="127"/>
      <c r="J8" s="133"/>
      <c r="K8" s="125"/>
      <c r="L8" s="126"/>
      <c r="M8" s="131"/>
      <c r="N8" s="131"/>
      <c r="O8" s="131"/>
      <c r="P8" s="131"/>
      <c r="Q8" s="157"/>
      <c r="R8" s="157"/>
      <c r="S8" s="157"/>
      <c r="T8" s="157"/>
    </row>
    <row r="9" spans="1:20" s="130" customFormat="1">
      <c r="A9" s="151" t="s">
        <v>138</v>
      </c>
      <c r="B9" s="156" t="s">
        <v>97</v>
      </c>
      <c r="C9" s="127"/>
      <c r="D9" s="6">
        <v>6194945</v>
      </c>
      <c r="E9" s="127"/>
      <c r="F9" s="127"/>
      <c r="G9" s="127"/>
      <c r="H9" s="127"/>
      <c r="I9" s="127"/>
      <c r="J9" s="133"/>
      <c r="K9" s="125"/>
      <c r="L9" s="126"/>
      <c r="M9" s="131"/>
      <c r="N9" s="131"/>
      <c r="O9" s="131"/>
      <c r="P9" s="131"/>
      <c r="Q9" s="157"/>
      <c r="R9" s="157"/>
      <c r="S9" s="157"/>
      <c r="T9" s="157"/>
    </row>
    <row r="10" spans="1:20" s="130" customFormat="1">
      <c r="A10" s="151" t="s">
        <v>139</v>
      </c>
      <c r="B10" s="156" t="s">
        <v>98</v>
      </c>
      <c r="C10" s="215">
        <v>0</v>
      </c>
      <c r="D10" s="215">
        <v>105262662</v>
      </c>
      <c r="E10" s="127"/>
      <c r="F10" s="127"/>
      <c r="G10" s="127"/>
      <c r="H10" s="127"/>
      <c r="I10" s="127"/>
      <c r="J10" s="133"/>
      <c r="K10" s="125"/>
      <c r="L10" s="126"/>
      <c r="M10" s="131"/>
      <c r="N10" s="131"/>
      <c r="O10" s="131"/>
      <c r="P10" s="131"/>
      <c r="Q10" s="157"/>
      <c r="R10" s="157"/>
      <c r="S10" s="157"/>
      <c r="T10" s="157"/>
    </row>
    <row r="11" spans="1:20" s="130" customFormat="1" ht="17.25" customHeight="1">
      <c r="A11" s="151" t="s">
        <v>140</v>
      </c>
      <c r="B11" s="156" t="s">
        <v>227</v>
      </c>
      <c r="C11" s="127"/>
      <c r="D11" s="6"/>
      <c r="E11" s="6"/>
      <c r="F11" s="6"/>
      <c r="G11" s="7"/>
      <c r="H11" s="6">
        <v>324137587</v>
      </c>
      <c r="I11" s="127"/>
      <c r="J11" s="133"/>
      <c r="K11" s="125"/>
      <c r="L11" s="126"/>
      <c r="M11" s="131"/>
      <c r="N11" s="131"/>
      <c r="O11" s="131"/>
      <c r="P11" s="131"/>
      <c r="Q11" s="157"/>
      <c r="R11" s="157"/>
      <c r="S11" s="157"/>
      <c r="T11" s="157"/>
    </row>
    <row r="12" spans="1:20" s="130" customFormat="1">
      <c r="A12" s="151" t="s">
        <v>141</v>
      </c>
      <c r="B12" s="156" t="s">
        <v>100</v>
      </c>
      <c r="C12" s="127"/>
      <c r="D12" s="127"/>
      <c r="E12" s="127"/>
      <c r="F12" s="127"/>
      <c r="G12" s="127"/>
      <c r="H12" s="127"/>
      <c r="I12" s="127"/>
      <c r="J12" s="133"/>
      <c r="K12" s="158"/>
      <c r="L12" s="159"/>
    </row>
    <row r="13" spans="1:20" s="130" customFormat="1">
      <c r="A13" s="151" t="s">
        <v>22</v>
      </c>
      <c r="B13" s="156" t="s">
        <v>101</v>
      </c>
      <c r="C13" s="6">
        <v>135000000</v>
      </c>
      <c r="D13" s="127"/>
      <c r="E13" s="127"/>
      <c r="F13" s="127"/>
      <c r="G13" s="127"/>
      <c r="H13" s="127"/>
      <c r="I13" s="127"/>
      <c r="J13" s="133"/>
      <c r="K13" s="158"/>
      <c r="L13" s="159"/>
    </row>
    <row r="14" spans="1:20" s="130" customFormat="1" ht="42" customHeight="1">
      <c r="A14" s="151" t="s">
        <v>23</v>
      </c>
      <c r="B14" s="156" t="s">
        <v>61</v>
      </c>
      <c r="C14" s="6">
        <v>0</v>
      </c>
      <c r="D14" s="127"/>
      <c r="E14" s="127"/>
      <c r="F14" s="127"/>
      <c r="G14" s="127"/>
      <c r="H14" s="127"/>
      <c r="I14" s="127"/>
      <c r="J14" s="133"/>
      <c r="K14" s="158"/>
      <c r="L14" s="159"/>
    </row>
    <row r="15" spans="1:20" s="130" customFormat="1">
      <c r="A15" s="151" t="s">
        <v>33</v>
      </c>
      <c r="B15" s="156" t="s">
        <v>201</v>
      </c>
      <c r="C15" s="127"/>
      <c r="D15" s="6">
        <v>0</v>
      </c>
      <c r="E15" s="127"/>
      <c r="F15" s="6">
        <v>0</v>
      </c>
      <c r="G15" s="127"/>
      <c r="H15" s="127"/>
      <c r="I15" s="127"/>
      <c r="J15" s="133"/>
      <c r="K15" s="158"/>
      <c r="L15" s="159"/>
    </row>
    <row r="16" spans="1:20" s="130" customFormat="1">
      <c r="A16" s="151" t="s">
        <v>34</v>
      </c>
      <c r="B16" s="156" t="s">
        <v>102</v>
      </c>
      <c r="C16" s="6">
        <v>0</v>
      </c>
      <c r="D16" s="127"/>
      <c r="E16" s="127"/>
      <c r="F16" s="127"/>
      <c r="G16" s="7">
        <v>11874000</v>
      </c>
      <c r="H16" s="127"/>
      <c r="I16" s="127"/>
      <c r="J16" s="133"/>
      <c r="K16" s="158"/>
      <c r="L16" s="159"/>
    </row>
    <row r="17" spans="1:256" s="130" customFormat="1" ht="25.5">
      <c r="A17" s="151" t="s">
        <v>142</v>
      </c>
      <c r="B17" s="160" t="s">
        <v>50</v>
      </c>
      <c r="C17" s="136">
        <v>0</v>
      </c>
      <c r="D17" s="127"/>
      <c r="E17" s="127"/>
      <c r="F17" s="127"/>
      <c r="G17" s="127"/>
      <c r="H17" s="127"/>
      <c r="I17" s="127"/>
      <c r="J17" s="133"/>
      <c r="K17" s="158"/>
      <c r="L17" s="159"/>
    </row>
    <row r="18" spans="1:256" s="130" customFormat="1" ht="42" customHeight="1">
      <c r="A18" s="151" t="s">
        <v>143</v>
      </c>
      <c r="B18" s="156" t="s">
        <v>56</v>
      </c>
      <c r="C18" s="127"/>
      <c r="D18" s="6">
        <v>0</v>
      </c>
      <c r="E18" s="127"/>
      <c r="F18" s="127"/>
      <c r="G18" s="127"/>
      <c r="H18" s="127"/>
      <c r="I18" s="127"/>
      <c r="J18" s="133"/>
      <c r="K18" s="158"/>
      <c r="L18" s="159"/>
    </row>
    <row r="19" spans="1:256" s="130" customFormat="1" ht="25.5">
      <c r="A19" s="151" t="s">
        <v>144</v>
      </c>
      <c r="B19" s="156" t="s">
        <v>53</v>
      </c>
      <c r="C19" s="127"/>
      <c r="D19" s="6">
        <v>0</v>
      </c>
      <c r="E19" s="127"/>
      <c r="F19" s="6">
        <v>0</v>
      </c>
      <c r="G19" s="127"/>
      <c r="H19" s="127"/>
      <c r="I19" s="127"/>
      <c r="J19" s="133"/>
      <c r="K19" s="158"/>
      <c r="L19" s="159"/>
    </row>
    <row r="20" spans="1:256" s="130" customFormat="1" ht="25.5">
      <c r="A20" s="151" t="s">
        <v>145</v>
      </c>
      <c r="B20" s="156" t="s">
        <v>213</v>
      </c>
      <c r="C20" s="6">
        <v>0</v>
      </c>
      <c r="D20" s="180"/>
      <c r="E20" s="127"/>
      <c r="F20" s="127"/>
      <c r="G20" s="127"/>
      <c r="H20" s="127"/>
      <c r="I20" s="127"/>
      <c r="J20" s="133"/>
      <c r="K20" s="158"/>
      <c r="L20" s="159"/>
    </row>
    <row r="21" spans="1:256" s="130" customFormat="1" ht="38.25">
      <c r="A21" s="151" t="s">
        <v>156</v>
      </c>
      <c r="B21" s="156" t="s">
        <v>54</v>
      </c>
      <c r="C21" s="127"/>
      <c r="D21" s="6">
        <v>0</v>
      </c>
      <c r="E21" s="127"/>
      <c r="F21" s="127"/>
      <c r="G21" s="127"/>
      <c r="H21" s="127"/>
      <c r="I21" s="127"/>
      <c r="J21" s="133"/>
      <c r="K21" s="158"/>
      <c r="L21" s="159"/>
    </row>
    <row r="22" spans="1:256" s="130" customFormat="1">
      <c r="A22" s="151" t="s">
        <v>157</v>
      </c>
      <c r="B22" s="156" t="s">
        <v>103</v>
      </c>
      <c r="C22" s="127"/>
      <c r="D22" s="127"/>
      <c r="E22" s="127"/>
      <c r="F22" s="127"/>
      <c r="G22" s="127"/>
      <c r="H22" s="127"/>
      <c r="I22" s="127"/>
      <c r="J22" s="133"/>
      <c r="K22" s="158"/>
      <c r="L22" s="159"/>
    </row>
    <row r="23" spans="1:256" s="130" customFormat="1" ht="25.5">
      <c r="A23" s="151" t="s">
        <v>22</v>
      </c>
      <c r="B23" s="156" t="s">
        <v>19</v>
      </c>
      <c r="C23" s="6">
        <v>0</v>
      </c>
      <c r="D23" s="6">
        <v>0</v>
      </c>
      <c r="E23" s="127"/>
      <c r="F23" s="127"/>
      <c r="G23" s="127"/>
      <c r="H23" s="127"/>
      <c r="I23" s="127"/>
      <c r="J23" s="133"/>
      <c r="K23" s="158"/>
      <c r="L23" s="159"/>
    </row>
    <row r="24" spans="1:256" s="130" customFormat="1">
      <c r="A24" s="151" t="s">
        <v>23</v>
      </c>
      <c r="B24" s="156" t="s">
        <v>214</v>
      </c>
      <c r="C24" s="6">
        <v>0</v>
      </c>
      <c r="D24" s="127"/>
      <c r="E24" s="127"/>
      <c r="F24" s="127"/>
      <c r="G24" s="127"/>
      <c r="H24" s="127"/>
      <c r="I24" s="127"/>
      <c r="J24" s="133"/>
      <c r="K24" s="158"/>
      <c r="L24" s="159"/>
    </row>
    <row r="25" spans="1:256" s="130" customFormat="1" ht="54" customHeight="1">
      <c r="A25" s="151" t="s">
        <v>33</v>
      </c>
      <c r="B25" s="156" t="s">
        <v>57</v>
      </c>
      <c r="C25" s="127"/>
      <c r="D25" s="216">
        <v>0</v>
      </c>
      <c r="E25" s="127"/>
      <c r="F25" s="127"/>
      <c r="G25" s="127"/>
      <c r="H25" s="127"/>
      <c r="I25" s="127"/>
      <c r="J25" s="133"/>
      <c r="K25" s="158"/>
      <c r="L25" s="159"/>
    </row>
    <row r="26" spans="1:256" s="130" customFormat="1" ht="25.5">
      <c r="A26" s="151" t="s">
        <v>34</v>
      </c>
      <c r="B26" s="156" t="s">
        <v>58</v>
      </c>
      <c r="C26" s="216">
        <v>0</v>
      </c>
      <c r="D26" s="127"/>
      <c r="E26" s="127"/>
      <c r="F26" s="216">
        <v>67067856</v>
      </c>
      <c r="G26" s="216">
        <v>0</v>
      </c>
      <c r="H26" s="127"/>
      <c r="I26" s="127"/>
      <c r="J26" s="133"/>
      <c r="K26" s="158"/>
      <c r="L26" s="159"/>
    </row>
    <row r="27" spans="1:256" s="130" customFormat="1" ht="17.25" customHeight="1">
      <c r="A27" s="151" t="s">
        <v>35</v>
      </c>
      <c r="B27" s="156" t="s">
        <v>15</v>
      </c>
      <c r="C27" s="127"/>
      <c r="D27" s="127"/>
      <c r="E27" s="127"/>
      <c r="F27" s="127"/>
      <c r="G27" s="216">
        <v>153506262</v>
      </c>
      <c r="H27" s="127"/>
      <c r="I27" s="127"/>
      <c r="J27" s="133"/>
      <c r="K27" s="158"/>
      <c r="L27" s="159"/>
    </row>
    <row r="28" spans="1:256" s="130" customFormat="1" ht="17.25" customHeight="1">
      <c r="A28" s="151" t="s">
        <v>36</v>
      </c>
      <c r="B28" s="156" t="s">
        <v>16</v>
      </c>
      <c r="C28" s="127"/>
      <c r="D28" s="127"/>
      <c r="E28" s="127"/>
      <c r="F28" s="127"/>
      <c r="G28" s="6">
        <v>0</v>
      </c>
      <c r="H28" s="127"/>
      <c r="I28" s="127"/>
      <c r="J28" s="133"/>
      <c r="K28" s="158"/>
      <c r="L28" s="159"/>
    </row>
    <row r="29" spans="1:256" s="130" customFormat="1" ht="17.25" customHeight="1">
      <c r="A29" s="151" t="s">
        <v>37</v>
      </c>
      <c r="B29" s="156" t="s">
        <v>43</v>
      </c>
      <c r="C29" s="127"/>
      <c r="D29" s="127"/>
      <c r="E29" s="127"/>
      <c r="F29" s="127"/>
      <c r="G29" s="127"/>
      <c r="H29" s="216">
        <v>0</v>
      </c>
      <c r="I29" s="127"/>
      <c r="J29" s="133"/>
      <c r="K29" s="158"/>
      <c r="L29" s="159"/>
    </row>
    <row r="30" spans="1:256" s="161" customFormat="1" ht="20.25" customHeight="1">
      <c r="A30" s="151" t="s">
        <v>202</v>
      </c>
      <c r="B30" s="156" t="s">
        <v>219</v>
      </c>
      <c r="C30" s="216"/>
      <c r="D30" s="127"/>
      <c r="E30" s="127"/>
      <c r="F30" s="127"/>
      <c r="G30" s="6"/>
      <c r="H30" s="6">
        <f>45220+4275+148876+29050707</f>
        <v>29249078</v>
      </c>
      <c r="I30" s="6">
        <f>148791710+9029981+274699</f>
        <v>158096390</v>
      </c>
      <c r="J30" s="137">
        <v>18754</v>
      </c>
      <c r="K30" s="158"/>
      <c r="L30" s="159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</row>
    <row r="31" spans="1:256" s="161" customFormat="1" ht="20.25" customHeight="1">
      <c r="A31" s="151" t="s">
        <v>216</v>
      </c>
      <c r="B31" s="156" t="s">
        <v>217</v>
      </c>
      <c r="C31" s="216"/>
      <c r="D31" s="127"/>
      <c r="E31" s="127"/>
      <c r="F31" s="127"/>
      <c r="G31" s="6"/>
      <c r="H31" s="6">
        <v>6893065</v>
      </c>
      <c r="I31" s="127"/>
      <c r="J31" s="137">
        <f>55513753+241168</f>
        <v>55754921</v>
      </c>
      <c r="K31" s="125"/>
      <c r="L31" s="126"/>
      <c r="M31" s="131"/>
      <c r="N31" s="131"/>
      <c r="O31" s="131"/>
      <c r="P31" s="131"/>
      <c r="Q31" s="157"/>
      <c r="R31" s="157"/>
      <c r="S31" s="157"/>
      <c r="T31" s="157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</row>
    <row r="32" spans="1:256" s="161" customFormat="1" ht="20.25" customHeight="1">
      <c r="A32" s="162" t="s">
        <v>218</v>
      </c>
      <c r="B32" s="156" t="s">
        <v>228</v>
      </c>
      <c r="C32" s="216"/>
      <c r="D32" s="127"/>
      <c r="E32" s="127"/>
      <c r="F32" s="127"/>
      <c r="G32" s="6">
        <v>1260211</v>
      </c>
      <c r="H32" s="6">
        <v>19925016</v>
      </c>
      <c r="I32" s="6">
        <v>124195374</v>
      </c>
      <c r="J32" s="137">
        <v>77293</v>
      </c>
      <c r="K32" s="158"/>
      <c r="L32" s="159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</row>
    <row r="33" spans="1:20" s="130" customFormat="1" ht="17.25" customHeight="1">
      <c r="A33" s="162" t="s">
        <v>220</v>
      </c>
      <c r="B33" s="156" t="s">
        <v>221</v>
      </c>
      <c r="C33" s="127"/>
      <c r="D33" s="127"/>
      <c r="E33" s="127"/>
      <c r="F33" s="127"/>
      <c r="G33" s="216">
        <v>2949202946</v>
      </c>
      <c r="H33" s="127"/>
      <c r="I33" s="127"/>
      <c r="J33" s="133"/>
      <c r="K33" s="181"/>
      <c r="L33" s="182"/>
      <c r="M33" s="183"/>
      <c r="N33" s="183"/>
      <c r="O33" s="183"/>
      <c r="P33" s="183"/>
      <c r="Q33" s="157"/>
      <c r="R33" s="157"/>
      <c r="S33" s="157"/>
      <c r="T33" s="157"/>
    </row>
    <row r="34" spans="1:20" s="130" customFormat="1" ht="17.25" customHeight="1">
      <c r="A34" s="151" t="s">
        <v>146</v>
      </c>
      <c r="B34" s="156" t="s">
        <v>104</v>
      </c>
      <c r="C34" s="127"/>
      <c r="D34" s="127"/>
      <c r="E34" s="127"/>
      <c r="F34" s="127"/>
      <c r="G34" s="127"/>
      <c r="H34" s="6">
        <v>44283518</v>
      </c>
      <c r="I34" s="127"/>
      <c r="J34" s="137"/>
      <c r="K34" s="125">
        <f>+'[6]Bank Assets Analysis (нац)'!$C$33</f>
        <v>44283518</v>
      </c>
      <c r="L34" s="182"/>
      <c r="M34" s="183"/>
      <c r="N34" s="183"/>
      <c r="O34" s="183"/>
      <c r="P34" s="183"/>
      <c r="Q34" s="157"/>
      <c r="R34" s="157"/>
      <c r="S34" s="157"/>
      <c r="T34" s="157"/>
    </row>
    <row r="35" spans="1:20" s="130" customFormat="1" ht="17.25" customHeight="1">
      <c r="A35" s="151" t="s">
        <v>147</v>
      </c>
      <c r="B35" s="156" t="s">
        <v>21</v>
      </c>
      <c r="C35" s="127"/>
      <c r="D35" s="127"/>
      <c r="E35" s="127"/>
      <c r="F35" s="127"/>
      <c r="G35" s="127"/>
      <c r="H35" s="6">
        <v>17260417</v>
      </c>
      <c r="I35" s="127"/>
      <c r="J35" s="137"/>
      <c r="K35" s="125">
        <f>+'[6]Bank Assets Analysis (нац)'!$C$30+'[6]Bank Assets Analysis (нац)'!$C$31</f>
        <v>17260417</v>
      </c>
      <c r="L35" s="182"/>
      <c r="M35" s="183"/>
      <c r="N35" s="183"/>
      <c r="O35" s="183"/>
      <c r="P35" s="183"/>
      <c r="Q35" s="157"/>
      <c r="R35" s="157"/>
      <c r="S35" s="157"/>
      <c r="T35" s="157"/>
    </row>
    <row r="36" spans="1:20" s="130" customFormat="1" ht="17.25" customHeight="1">
      <c r="A36" s="151" t="s">
        <v>148</v>
      </c>
      <c r="B36" s="156" t="s">
        <v>215</v>
      </c>
      <c r="C36" s="127"/>
      <c r="D36" s="127"/>
      <c r="E36" s="127"/>
      <c r="F36" s="127"/>
      <c r="G36" s="7">
        <v>3343451</v>
      </c>
      <c r="H36" s="127"/>
      <c r="I36" s="127"/>
      <c r="J36" s="133"/>
      <c r="K36" s="181"/>
      <c r="L36" s="182"/>
      <c r="M36" s="183"/>
      <c r="N36" s="183"/>
      <c r="O36" s="183"/>
      <c r="P36" s="183"/>
      <c r="Q36" s="157"/>
      <c r="R36" s="157"/>
      <c r="S36" s="157"/>
      <c r="T36" s="157"/>
    </row>
    <row r="37" spans="1:20" s="130" customFormat="1" ht="17.25" customHeight="1">
      <c r="A37" s="151" t="s">
        <v>149</v>
      </c>
      <c r="B37" s="156" t="s">
        <v>20</v>
      </c>
      <c r="C37" s="127"/>
      <c r="D37" s="127"/>
      <c r="E37" s="127"/>
      <c r="F37" s="127"/>
      <c r="G37" s="127"/>
      <c r="H37" s="127"/>
      <c r="I37" s="127"/>
      <c r="J37" s="133"/>
      <c r="K37" s="181"/>
      <c r="L37" s="182"/>
      <c r="M37" s="183"/>
      <c r="N37" s="183"/>
      <c r="O37" s="183"/>
      <c r="P37" s="183"/>
      <c r="Q37" s="157"/>
      <c r="R37" s="157"/>
      <c r="S37" s="157"/>
      <c r="T37" s="157"/>
    </row>
    <row r="38" spans="1:20" s="130" customFormat="1" ht="25.5">
      <c r="A38" s="151" t="s">
        <v>74</v>
      </c>
      <c r="B38" s="156" t="s">
        <v>105</v>
      </c>
      <c r="C38" s="127"/>
      <c r="D38" s="127"/>
      <c r="E38" s="127"/>
      <c r="F38" s="127"/>
      <c r="G38" s="7">
        <v>165194315</v>
      </c>
      <c r="H38" s="127"/>
      <c r="I38" s="127"/>
      <c r="J38" s="133"/>
      <c r="K38" s="181"/>
      <c r="L38" s="182"/>
      <c r="M38" s="183"/>
      <c r="N38" s="183"/>
      <c r="O38" s="183"/>
      <c r="P38" s="183"/>
      <c r="Q38" s="157"/>
      <c r="R38" s="157"/>
      <c r="S38" s="157"/>
      <c r="T38" s="157"/>
    </row>
    <row r="39" spans="1:20" s="130" customFormat="1" ht="15.75" customHeight="1">
      <c r="A39" s="151" t="s">
        <v>70</v>
      </c>
      <c r="B39" s="156" t="s">
        <v>210</v>
      </c>
      <c r="C39" s="127"/>
      <c r="D39" s="127"/>
      <c r="E39" s="127"/>
      <c r="F39" s="127"/>
      <c r="G39" s="7">
        <v>0</v>
      </c>
      <c r="H39" s="127"/>
      <c r="I39" s="127"/>
      <c r="J39" s="133"/>
      <c r="K39" s="181"/>
      <c r="L39" s="182"/>
      <c r="M39" s="183"/>
      <c r="N39" s="183"/>
      <c r="O39" s="183"/>
      <c r="P39" s="183"/>
      <c r="Q39" s="157"/>
      <c r="R39" s="157"/>
      <c r="S39" s="157"/>
      <c r="T39" s="157"/>
    </row>
    <row r="40" spans="1:20" s="130" customFormat="1" ht="25.5">
      <c r="A40" s="151" t="s">
        <v>72</v>
      </c>
      <c r="B40" s="156" t="s">
        <v>55</v>
      </c>
      <c r="C40" s="127"/>
      <c r="D40" s="127"/>
      <c r="E40" s="127"/>
      <c r="F40" s="127"/>
      <c r="G40" s="127"/>
      <c r="H40" s="6">
        <v>1005589</v>
      </c>
      <c r="I40" s="127"/>
      <c r="J40" s="133"/>
      <c r="K40" s="181"/>
      <c r="L40" s="182"/>
      <c r="M40" s="183"/>
      <c r="N40" s="183"/>
      <c r="O40" s="183"/>
      <c r="P40" s="183"/>
      <c r="Q40" s="157"/>
      <c r="R40" s="157"/>
      <c r="S40" s="157"/>
      <c r="T40" s="157"/>
    </row>
    <row r="41" spans="1:20" s="130" customFormat="1" ht="18.75" customHeight="1">
      <c r="A41" s="151" t="s">
        <v>79</v>
      </c>
      <c r="B41" s="156" t="s">
        <v>14</v>
      </c>
      <c r="C41" s="127"/>
      <c r="D41" s="127"/>
      <c r="E41" s="127"/>
      <c r="F41" s="127"/>
      <c r="G41" s="127"/>
      <c r="H41" s="6">
        <v>0</v>
      </c>
      <c r="I41" s="127"/>
      <c r="J41" s="133"/>
      <c r="K41" s="181"/>
      <c r="L41" s="182"/>
      <c r="M41" s="183"/>
      <c r="N41" s="183"/>
      <c r="O41" s="183"/>
      <c r="P41" s="183"/>
      <c r="Q41" s="157"/>
      <c r="R41" s="157"/>
      <c r="S41" s="157"/>
      <c r="T41" s="157"/>
    </row>
    <row r="42" spans="1:20" s="130" customFormat="1" ht="25.5">
      <c r="A42" s="151" t="s">
        <v>150</v>
      </c>
      <c r="B42" s="156" t="s">
        <v>106</v>
      </c>
      <c r="C42" s="6">
        <v>0</v>
      </c>
      <c r="D42" s="127"/>
      <c r="E42" s="127"/>
      <c r="F42" s="127"/>
      <c r="G42" s="127"/>
      <c r="H42" s="127"/>
      <c r="I42" s="127"/>
      <c r="J42" s="133"/>
      <c r="K42" s="181"/>
      <c r="L42" s="184"/>
      <c r="M42" s="184"/>
      <c r="N42" s="185"/>
      <c r="O42" s="183"/>
      <c r="P42" s="183"/>
      <c r="Q42" s="157"/>
      <c r="R42" s="157"/>
      <c r="S42" s="157"/>
      <c r="T42" s="157"/>
    </row>
    <row r="43" spans="1:20" s="130" customFormat="1" ht="16.5" customHeight="1">
      <c r="A43" s="151" t="s">
        <v>151</v>
      </c>
      <c r="B43" s="156" t="s">
        <v>107</v>
      </c>
      <c r="C43" s="127"/>
      <c r="D43" s="127"/>
      <c r="E43" s="127"/>
      <c r="F43" s="127"/>
      <c r="G43" s="6">
        <v>6707219.7800000003</v>
      </c>
      <c r="H43" s="127"/>
      <c r="I43" s="127"/>
      <c r="J43" s="133"/>
      <c r="K43" s="181"/>
      <c r="L43" s="182"/>
      <c r="M43" s="183"/>
      <c r="N43" s="183"/>
      <c r="O43" s="183"/>
      <c r="P43" s="183"/>
      <c r="Q43" s="157"/>
      <c r="R43" s="157"/>
      <c r="S43" s="157"/>
      <c r="T43" s="157"/>
    </row>
    <row r="44" spans="1:20" s="130" customFormat="1" ht="15.75" customHeight="1">
      <c r="A44" s="151" t="s">
        <v>152</v>
      </c>
      <c r="B44" s="156" t="s">
        <v>108</v>
      </c>
      <c r="C44" s="6">
        <v>1613409</v>
      </c>
      <c r="D44" s="127"/>
      <c r="E44" s="127"/>
      <c r="F44" s="127"/>
      <c r="G44" s="127"/>
      <c r="H44" s="127"/>
      <c r="I44" s="127"/>
      <c r="J44" s="133"/>
      <c r="K44" s="181"/>
      <c r="L44" s="182"/>
      <c r="M44" s="183"/>
      <c r="N44" s="183"/>
      <c r="O44" s="183"/>
      <c r="P44" s="183"/>
      <c r="Q44" s="157"/>
      <c r="R44" s="157"/>
      <c r="S44" s="157"/>
      <c r="T44" s="157"/>
    </row>
    <row r="45" spans="1:20" s="130" customFormat="1" ht="25.5">
      <c r="A45" s="151" t="s">
        <v>153</v>
      </c>
      <c r="B45" s="156" t="s">
        <v>109</v>
      </c>
      <c r="C45" s="127"/>
      <c r="D45" s="127"/>
      <c r="E45" s="127"/>
      <c r="F45" s="127"/>
      <c r="G45" s="127"/>
      <c r="H45" s="6">
        <v>349952</v>
      </c>
      <c r="I45" s="127"/>
      <c r="J45" s="133"/>
      <c r="K45" s="181"/>
      <c r="L45" s="182"/>
      <c r="M45" s="183"/>
      <c r="N45" s="183"/>
      <c r="O45" s="183"/>
      <c r="P45" s="183"/>
      <c r="Q45" s="157"/>
      <c r="R45" s="157"/>
      <c r="S45" s="157"/>
      <c r="T45" s="157"/>
    </row>
    <row r="46" spans="1:20" s="130" customFormat="1" ht="14.25" customHeight="1">
      <c r="A46" s="151" t="s">
        <v>154</v>
      </c>
      <c r="B46" s="156" t="s">
        <v>110</v>
      </c>
      <c r="C46" s="6"/>
      <c r="D46" s="127"/>
      <c r="E46" s="127"/>
      <c r="F46" s="127"/>
      <c r="G46" s="6">
        <v>169977739.21999931</v>
      </c>
      <c r="H46" s="127"/>
      <c r="I46" s="127"/>
      <c r="J46" s="133"/>
      <c r="K46" s="181"/>
      <c r="L46" s="182"/>
      <c r="M46" s="183"/>
      <c r="N46" s="183"/>
      <c r="O46" s="183"/>
      <c r="P46" s="183"/>
      <c r="Q46" s="157"/>
      <c r="R46" s="157"/>
      <c r="S46" s="157"/>
      <c r="T46" s="157"/>
    </row>
    <row r="47" spans="1:20" s="130" customFormat="1">
      <c r="A47" s="151" t="s">
        <v>155</v>
      </c>
      <c r="B47" s="156" t="s">
        <v>111</v>
      </c>
      <c r="C47" s="124">
        <f t="shared" ref="C47:J47" si="0">SUM(C8:C46)</f>
        <v>199299359</v>
      </c>
      <c r="D47" s="124">
        <f t="shared" si="0"/>
        <v>111457607</v>
      </c>
      <c r="E47" s="124">
        <f>SUM(E8:E46)</f>
        <v>0</v>
      </c>
      <c r="F47" s="124">
        <f t="shared" si="0"/>
        <v>67067856</v>
      </c>
      <c r="G47" s="124">
        <f t="shared" si="0"/>
        <v>3461066143.9999995</v>
      </c>
      <c r="H47" s="124">
        <f t="shared" si="0"/>
        <v>443104222</v>
      </c>
      <c r="I47" s="124">
        <f t="shared" si="0"/>
        <v>282291764</v>
      </c>
      <c r="J47" s="132">
        <f t="shared" si="0"/>
        <v>55850968</v>
      </c>
      <c r="K47" s="181">
        <f>SUM(C47:J47)</f>
        <v>4620137920</v>
      </c>
      <c r="L47" s="126">
        <f>+[6]Balance!$D$45</f>
        <v>4620137920</v>
      </c>
      <c r="M47" s="181">
        <f>+K47-L47</f>
        <v>0</v>
      </c>
      <c r="N47" s="183"/>
      <c r="O47" s="183"/>
      <c r="P47" s="183"/>
      <c r="Q47" s="157"/>
      <c r="R47" s="157"/>
      <c r="S47" s="157"/>
      <c r="T47" s="157"/>
    </row>
    <row r="48" spans="1:20" s="130" customFormat="1">
      <c r="A48" s="151" t="s">
        <v>48</v>
      </c>
      <c r="B48" s="156" t="s">
        <v>112</v>
      </c>
      <c r="C48" s="127"/>
      <c r="D48" s="124">
        <f t="shared" ref="D48:J48" si="1">D47*D3</f>
        <v>22291521.400000002</v>
      </c>
      <c r="E48" s="124">
        <f t="shared" si="1"/>
        <v>0</v>
      </c>
      <c r="F48" s="124">
        <f t="shared" si="1"/>
        <v>33533928</v>
      </c>
      <c r="G48" s="124">
        <f t="shared" si="1"/>
        <v>3461066143.9999995</v>
      </c>
      <c r="H48" s="124">
        <f t="shared" si="1"/>
        <v>664656333</v>
      </c>
      <c r="I48" s="124">
        <f t="shared" si="1"/>
        <v>564583528</v>
      </c>
      <c r="J48" s="132">
        <f t="shared" si="1"/>
        <v>167552904</v>
      </c>
      <c r="K48" s="181"/>
      <c r="L48" s="182"/>
      <c r="M48" s="183"/>
      <c r="N48" s="183"/>
      <c r="O48" s="183"/>
      <c r="P48" s="183"/>
      <c r="Q48" s="157"/>
      <c r="R48" s="157"/>
      <c r="S48" s="157"/>
      <c r="T48" s="157"/>
    </row>
    <row r="49" spans="1:20" s="130" customFormat="1" ht="13.5" thickBot="1">
      <c r="A49" s="165" t="s">
        <v>49</v>
      </c>
      <c r="B49" s="166" t="s">
        <v>113</v>
      </c>
      <c r="C49" s="128"/>
      <c r="D49" s="128"/>
      <c r="E49" s="128"/>
      <c r="F49" s="128"/>
      <c r="G49" s="128"/>
      <c r="H49" s="128"/>
      <c r="I49" s="128"/>
      <c r="J49" s="134">
        <f>SUM(D48:J48)</f>
        <v>4913684358.3999996</v>
      </c>
      <c r="K49" s="181"/>
      <c r="L49" s="182"/>
      <c r="M49" s="183"/>
      <c r="N49" s="183"/>
      <c r="O49" s="183"/>
      <c r="P49" s="183"/>
      <c r="Q49" s="157"/>
      <c r="R49" s="157"/>
      <c r="S49" s="157"/>
      <c r="T49" s="157"/>
    </row>
    <row r="50" spans="1:20" s="130" customFormat="1">
      <c r="A50" s="167"/>
      <c r="B50" s="168"/>
      <c r="C50" s="129"/>
      <c r="D50" s="129"/>
      <c r="E50" s="129"/>
      <c r="F50" s="129"/>
      <c r="G50" s="129"/>
      <c r="J50" s="126"/>
      <c r="K50" s="183"/>
      <c r="L50" s="183"/>
      <c r="M50" s="183"/>
      <c r="N50" s="183"/>
      <c r="O50" s="183"/>
      <c r="P50" s="183"/>
      <c r="Q50" s="157"/>
      <c r="R50" s="157"/>
      <c r="S50" s="157"/>
      <c r="T50" s="157"/>
    </row>
    <row r="51" spans="1:20" s="130" customFormat="1" ht="13.5" thickBot="1">
      <c r="A51" s="167"/>
      <c r="B51" s="169"/>
      <c r="C51" s="169"/>
      <c r="D51" s="169"/>
      <c r="E51" s="169"/>
      <c r="F51" s="169"/>
      <c r="G51" s="169"/>
      <c r="H51" s="169"/>
      <c r="I51" s="129"/>
      <c r="K51" s="182"/>
      <c r="L51" s="183"/>
      <c r="M51" s="183"/>
      <c r="N51" s="183"/>
      <c r="O51" s="183"/>
      <c r="P51" s="183"/>
      <c r="Q51" s="157"/>
      <c r="R51" s="157"/>
      <c r="S51" s="157"/>
      <c r="T51" s="157"/>
    </row>
    <row r="52" spans="1:20" s="130" customFormat="1" ht="12.75" customHeight="1">
      <c r="A52" s="240" t="s">
        <v>90</v>
      </c>
      <c r="B52" s="247" t="s">
        <v>62</v>
      </c>
      <c r="C52" s="248"/>
      <c r="D52" s="255" t="s">
        <v>114</v>
      </c>
      <c r="E52" s="256"/>
      <c r="F52" s="170">
        <v>0</v>
      </c>
      <c r="G52" s="171">
        <v>0.2</v>
      </c>
      <c r="H52" s="171">
        <v>0.5</v>
      </c>
      <c r="I52" s="171">
        <v>1</v>
      </c>
      <c r="J52" s="242" t="s">
        <v>115</v>
      </c>
      <c r="K52" s="182"/>
      <c r="L52" s="183"/>
      <c r="M52" s="183"/>
      <c r="N52" s="183"/>
      <c r="O52" s="183"/>
      <c r="P52" s="183"/>
      <c r="Q52" s="157"/>
      <c r="R52" s="157"/>
      <c r="S52" s="157"/>
      <c r="T52" s="157"/>
    </row>
    <row r="53" spans="1:20" s="130" customFormat="1" ht="9.75" customHeight="1">
      <c r="A53" s="241"/>
      <c r="B53" s="249"/>
      <c r="C53" s="250"/>
      <c r="D53" s="257"/>
      <c r="E53" s="258"/>
      <c r="F53" s="244" t="s">
        <v>91</v>
      </c>
      <c r="G53" s="239" t="s">
        <v>91</v>
      </c>
      <c r="H53" s="239" t="s">
        <v>91</v>
      </c>
      <c r="I53" s="239" t="s">
        <v>91</v>
      </c>
      <c r="J53" s="243"/>
      <c r="K53" s="126"/>
      <c r="L53" s="131"/>
      <c r="M53" s="131"/>
      <c r="N53" s="131"/>
      <c r="O53" s="131"/>
      <c r="P53" s="131"/>
      <c r="Q53" s="157"/>
      <c r="R53" s="157"/>
      <c r="S53" s="157"/>
      <c r="T53" s="157"/>
    </row>
    <row r="54" spans="1:20" s="130" customFormat="1" ht="17.25" customHeight="1">
      <c r="A54" s="241"/>
      <c r="B54" s="251"/>
      <c r="C54" s="252"/>
      <c r="D54" s="259"/>
      <c r="E54" s="260"/>
      <c r="F54" s="245"/>
      <c r="G54" s="246"/>
      <c r="H54" s="246"/>
      <c r="I54" s="246"/>
      <c r="J54" s="243"/>
      <c r="K54" s="126"/>
      <c r="L54" s="131"/>
      <c r="M54" s="131"/>
      <c r="N54" s="131"/>
      <c r="O54" s="131"/>
      <c r="P54" s="131"/>
      <c r="Q54" s="157"/>
      <c r="R54" s="157"/>
      <c r="S54" s="157"/>
      <c r="T54" s="157"/>
    </row>
    <row r="55" spans="1:20" s="130" customFormat="1">
      <c r="A55" s="241"/>
      <c r="B55" s="233" t="s">
        <v>63</v>
      </c>
      <c r="C55" s="234"/>
      <c r="D55" s="149" t="s">
        <v>64</v>
      </c>
      <c r="E55" s="149"/>
      <c r="F55" s="172" t="s">
        <v>65</v>
      </c>
      <c r="G55" s="149" t="s">
        <v>66</v>
      </c>
      <c r="H55" s="149" t="s">
        <v>92</v>
      </c>
      <c r="I55" s="149" t="s">
        <v>93</v>
      </c>
      <c r="J55" s="150" t="s">
        <v>116</v>
      </c>
      <c r="K55" s="126"/>
      <c r="L55" s="131"/>
      <c r="M55" s="131"/>
      <c r="N55" s="131"/>
      <c r="O55" s="131"/>
      <c r="P55" s="131"/>
      <c r="Q55" s="157"/>
      <c r="R55" s="157"/>
      <c r="S55" s="157"/>
      <c r="T55" s="157"/>
    </row>
    <row r="56" spans="1:20" s="130" customFormat="1">
      <c r="A56" s="263" t="s">
        <v>117</v>
      </c>
      <c r="B56" s="264"/>
      <c r="C56" s="264"/>
      <c r="D56" s="264"/>
      <c r="E56" s="264"/>
      <c r="F56" s="264"/>
      <c r="G56" s="264"/>
      <c r="H56" s="264"/>
      <c r="I56" s="264"/>
      <c r="J56" s="265"/>
      <c r="K56" s="126"/>
      <c r="L56" s="131"/>
      <c r="M56" s="131"/>
      <c r="N56" s="131"/>
      <c r="O56" s="131"/>
      <c r="P56" s="131"/>
      <c r="Q56" s="157"/>
      <c r="R56" s="157"/>
      <c r="S56" s="157"/>
      <c r="T56" s="157"/>
    </row>
    <row r="57" spans="1:20" s="130" customFormat="1">
      <c r="A57" s="173">
        <v>1</v>
      </c>
      <c r="B57" s="229" t="s">
        <v>118</v>
      </c>
      <c r="C57" s="230"/>
      <c r="D57" s="127"/>
      <c r="E57" s="127"/>
      <c r="F57" s="127"/>
      <c r="G57" s="127"/>
      <c r="H57" s="127"/>
      <c r="I57" s="127"/>
      <c r="J57" s="133"/>
      <c r="K57" s="126"/>
      <c r="L57" s="131"/>
      <c r="M57" s="131"/>
      <c r="N57" s="131"/>
      <c r="O57" s="131"/>
      <c r="P57" s="131"/>
      <c r="Q57" s="157"/>
      <c r="R57" s="157"/>
      <c r="S57" s="157"/>
      <c r="T57" s="157"/>
    </row>
    <row r="58" spans="1:20" s="130" customFormat="1">
      <c r="A58" s="173" t="s">
        <v>68</v>
      </c>
      <c r="B58" s="229" t="s">
        <v>119</v>
      </c>
      <c r="C58" s="230"/>
      <c r="D58" s="261">
        <v>0.5</v>
      </c>
      <c r="E58" s="262"/>
      <c r="F58" s="7"/>
      <c r="G58" s="7"/>
      <c r="H58" s="7"/>
      <c r="I58" s="7">
        <v>274349557</v>
      </c>
      <c r="J58" s="132">
        <f>(G58*0.1)+(H58*0.25)+(I58*0.5)</f>
        <v>137174778.5</v>
      </c>
      <c r="K58" s="126"/>
      <c r="L58" s="131"/>
      <c r="M58" s="131"/>
      <c r="N58" s="131"/>
      <c r="O58" s="131"/>
      <c r="P58" s="131"/>
      <c r="Q58" s="157"/>
      <c r="R58" s="157"/>
      <c r="S58" s="157"/>
      <c r="T58" s="157"/>
    </row>
    <row r="59" spans="1:20" s="130" customFormat="1">
      <c r="A59" s="173" t="s">
        <v>70</v>
      </c>
      <c r="B59" s="229" t="s">
        <v>120</v>
      </c>
      <c r="C59" s="230"/>
      <c r="D59" s="261">
        <v>0.2</v>
      </c>
      <c r="E59" s="262"/>
      <c r="F59" s="7"/>
      <c r="G59" s="7"/>
      <c r="H59" s="7"/>
      <c r="I59" s="7"/>
      <c r="J59" s="132">
        <f>(G59*0.04)+(H59*0.1)+(I59*0.2)</f>
        <v>0</v>
      </c>
      <c r="K59" s="126"/>
      <c r="L59" s="131"/>
      <c r="M59" s="131"/>
      <c r="N59" s="131"/>
      <c r="O59" s="131"/>
      <c r="P59" s="131"/>
      <c r="Q59" s="157"/>
      <c r="R59" s="157"/>
      <c r="S59" s="157"/>
      <c r="T59" s="157"/>
    </row>
    <row r="60" spans="1:20" s="130" customFormat="1" ht="26.25" customHeight="1">
      <c r="A60" s="173">
        <v>2</v>
      </c>
      <c r="B60" s="229" t="s">
        <v>230</v>
      </c>
      <c r="C60" s="230"/>
      <c r="D60" s="261">
        <v>1</v>
      </c>
      <c r="E60" s="262"/>
      <c r="F60" s="7"/>
      <c r="G60" s="7"/>
      <c r="H60" s="7"/>
      <c r="I60" s="7">
        <v>20000000</v>
      </c>
      <c r="J60" s="132">
        <f>(G60*0.2)+(H60*0.5)+(I60*1)</f>
        <v>20000000</v>
      </c>
      <c r="K60" s="126"/>
      <c r="L60" s="131"/>
      <c r="M60" s="131"/>
      <c r="N60" s="131"/>
      <c r="O60" s="131"/>
      <c r="P60" s="131"/>
      <c r="Q60" s="157"/>
      <c r="R60" s="157"/>
      <c r="S60" s="157"/>
      <c r="T60" s="157"/>
    </row>
    <row r="61" spans="1:20" s="130" customFormat="1">
      <c r="A61" s="173">
        <v>3</v>
      </c>
      <c r="B61" s="229" t="s">
        <v>121</v>
      </c>
      <c r="C61" s="230"/>
      <c r="D61" s="261">
        <v>1</v>
      </c>
      <c r="E61" s="262"/>
      <c r="F61" s="7"/>
      <c r="G61" s="127"/>
      <c r="H61" s="127"/>
      <c r="I61" s="7">
        <v>11513104</v>
      </c>
      <c r="J61" s="132">
        <f>(G61*0.2)+(H61*0.5)+(I61*1)</f>
        <v>11513104</v>
      </c>
      <c r="K61" s="126"/>
      <c r="L61" s="131"/>
      <c r="M61" s="131"/>
      <c r="N61" s="131"/>
      <c r="O61" s="131"/>
      <c r="P61" s="131"/>
      <c r="Q61" s="157"/>
      <c r="R61" s="157"/>
      <c r="S61" s="157"/>
      <c r="T61" s="157"/>
    </row>
    <row r="62" spans="1:20" s="130" customFormat="1">
      <c r="A62" s="173">
        <v>4</v>
      </c>
      <c r="B62" s="229" t="s">
        <v>122</v>
      </c>
      <c r="C62" s="230"/>
      <c r="D62" s="174"/>
      <c r="E62" s="174"/>
      <c r="F62" s="127"/>
      <c r="G62" s="127"/>
      <c r="H62" s="127"/>
      <c r="I62" s="127"/>
      <c r="J62" s="133"/>
      <c r="K62" s="126"/>
      <c r="L62" s="131"/>
      <c r="M62" s="131"/>
      <c r="N62" s="131"/>
      <c r="O62" s="131"/>
      <c r="P62" s="131"/>
      <c r="Q62" s="157"/>
      <c r="R62" s="157"/>
      <c r="S62" s="157"/>
      <c r="T62" s="157"/>
    </row>
    <row r="63" spans="1:20" s="130" customFormat="1">
      <c r="A63" s="173" t="s">
        <v>68</v>
      </c>
      <c r="B63" s="229" t="s">
        <v>123</v>
      </c>
      <c r="C63" s="230"/>
      <c r="D63" s="261">
        <v>1</v>
      </c>
      <c r="E63" s="262"/>
      <c r="F63" s="7"/>
      <c r="G63" s="7"/>
      <c r="H63" s="7"/>
      <c r="I63" s="7"/>
      <c r="J63" s="132">
        <f>(G63*0.2)+(H63*0.5)+(I63*1)</f>
        <v>0</v>
      </c>
      <c r="K63" s="126"/>
      <c r="L63" s="131"/>
      <c r="M63" s="131"/>
      <c r="N63" s="131"/>
      <c r="O63" s="131"/>
      <c r="P63" s="131"/>
      <c r="Q63" s="157"/>
      <c r="R63" s="157"/>
      <c r="S63" s="157"/>
      <c r="T63" s="157"/>
    </row>
    <row r="64" spans="1:20" s="130" customFormat="1">
      <c r="A64" s="173" t="s">
        <v>70</v>
      </c>
      <c r="B64" s="229" t="s">
        <v>124</v>
      </c>
      <c r="C64" s="230"/>
      <c r="D64" s="261">
        <v>0.5</v>
      </c>
      <c r="E64" s="262"/>
      <c r="F64" s="7"/>
      <c r="G64" s="7"/>
      <c r="H64" s="7"/>
      <c r="I64" s="7"/>
      <c r="J64" s="132">
        <f>(G64*0.1)+(H64*0.25)+(I64*0.5)</f>
        <v>0</v>
      </c>
      <c r="K64" s="126"/>
      <c r="L64" s="131"/>
      <c r="M64" s="131"/>
      <c r="N64" s="131"/>
      <c r="O64" s="131"/>
      <c r="P64" s="131"/>
      <c r="Q64" s="157"/>
      <c r="R64" s="157"/>
      <c r="S64" s="157"/>
      <c r="T64" s="157"/>
    </row>
    <row r="65" spans="1:20" s="130" customFormat="1" ht="12.75" customHeight="1">
      <c r="A65" s="173" t="s">
        <v>72</v>
      </c>
      <c r="B65" s="229" t="s">
        <v>231</v>
      </c>
      <c r="C65" s="230"/>
      <c r="D65" s="261">
        <v>0.2</v>
      </c>
      <c r="E65" s="262"/>
      <c r="F65" s="7"/>
      <c r="G65" s="7"/>
      <c r="H65" s="7"/>
      <c r="I65" s="7"/>
      <c r="J65" s="132">
        <f>(G65*0.04)+(H65*0.1)+(I65*0.2)</f>
        <v>0</v>
      </c>
      <c r="K65" s="126"/>
      <c r="L65" s="131"/>
      <c r="M65" s="131"/>
      <c r="N65" s="131"/>
      <c r="O65" s="131"/>
      <c r="P65" s="131"/>
      <c r="Q65" s="157"/>
      <c r="R65" s="157"/>
      <c r="S65" s="157"/>
      <c r="T65" s="157"/>
    </row>
    <row r="66" spans="1:20" s="130" customFormat="1">
      <c r="A66" s="173" t="s">
        <v>79</v>
      </c>
      <c r="B66" s="229" t="s">
        <v>203</v>
      </c>
      <c r="C66" s="230"/>
      <c r="D66" s="261">
        <v>1</v>
      </c>
      <c r="E66" s="262"/>
      <c r="F66" s="7"/>
      <c r="G66" s="127"/>
      <c r="H66" s="127"/>
      <c r="I66" s="7"/>
      <c r="J66" s="132">
        <f>(G66*0.2)+(H66*0.5)+(I66*1)</f>
        <v>0</v>
      </c>
      <c r="K66" s="126"/>
      <c r="L66" s="131"/>
      <c r="M66" s="131"/>
      <c r="N66" s="131"/>
      <c r="O66" s="131"/>
      <c r="P66" s="131"/>
      <c r="Q66" s="157"/>
      <c r="R66" s="157"/>
      <c r="S66" s="157"/>
      <c r="T66" s="157"/>
    </row>
    <row r="67" spans="1:20" s="130" customFormat="1">
      <c r="A67" s="173">
        <v>5</v>
      </c>
      <c r="B67" s="217" t="s">
        <v>125</v>
      </c>
      <c r="C67" s="218"/>
      <c r="D67" s="174"/>
      <c r="E67" s="174"/>
      <c r="F67" s="127"/>
      <c r="G67" s="127"/>
      <c r="H67" s="127"/>
      <c r="I67" s="127"/>
      <c r="J67" s="133"/>
      <c r="K67" s="126"/>
      <c r="L67" s="131"/>
      <c r="M67" s="131"/>
      <c r="N67" s="131"/>
      <c r="O67" s="131"/>
      <c r="P67" s="131"/>
      <c r="Q67" s="157"/>
      <c r="R67" s="157"/>
      <c r="S67" s="157"/>
      <c r="T67" s="157"/>
    </row>
    <row r="68" spans="1:20" s="130" customFormat="1">
      <c r="A68" s="173" t="s">
        <v>68</v>
      </c>
      <c r="B68" s="217" t="s">
        <v>126</v>
      </c>
      <c r="C68" s="218"/>
      <c r="D68" s="174"/>
      <c r="E68" s="174"/>
      <c r="F68" s="127"/>
      <c r="G68" s="127"/>
      <c r="H68" s="127"/>
      <c r="I68" s="127"/>
      <c r="J68" s="133"/>
      <c r="K68" s="126"/>
      <c r="L68" s="131"/>
      <c r="M68" s="131"/>
      <c r="N68" s="131"/>
      <c r="O68" s="131"/>
      <c r="P68" s="131"/>
      <c r="Q68" s="157"/>
      <c r="R68" s="157"/>
      <c r="S68" s="157"/>
      <c r="T68" s="157"/>
    </row>
    <row r="69" spans="1:20" s="130" customFormat="1">
      <c r="A69" s="173" t="s">
        <v>127</v>
      </c>
      <c r="B69" s="217" t="s">
        <v>232</v>
      </c>
      <c r="C69" s="218"/>
      <c r="D69" s="266">
        <v>5.0000000000000001E-3</v>
      </c>
      <c r="E69" s="267"/>
      <c r="F69" s="7"/>
      <c r="G69" s="7"/>
      <c r="H69" s="7"/>
      <c r="I69" s="7"/>
      <c r="J69" s="132">
        <f>(G69*0.001)+(H69*0.0025)+(I69*0.005)</f>
        <v>0</v>
      </c>
      <c r="K69" s="126"/>
      <c r="L69" s="131"/>
      <c r="M69" s="131"/>
      <c r="N69" s="131"/>
      <c r="O69" s="131"/>
      <c r="P69" s="131"/>
      <c r="Q69" s="157"/>
      <c r="R69" s="157"/>
      <c r="S69" s="157"/>
      <c r="T69" s="157"/>
    </row>
    <row r="70" spans="1:20" s="130" customFormat="1">
      <c r="A70" s="173" t="s">
        <v>128</v>
      </c>
      <c r="B70" s="217" t="s">
        <v>233</v>
      </c>
      <c r="C70" s="218"/>
      <c r="D70" s="261">
        <v>0.01</v>
      </c>
      <c r="E70" s="262"/>
      <c r="F70" s="7"/>
      <c r="G70" s="7"/>
      <c r="H70" s="7"/>
      <c r="I70" s="7"/>
      <c r="J70" s="132">
        <f>(G70*0.002)+(H70*0.005)+(I70*0.01)</f>
        <v>0</v>
      </c>
      <c r="K70" s="126"/>
      <c r="L70" s="131"/>
      <c r="M70" s="131"/>
      <c r="N70" s="131"/>
      <c r="O70" s="131"/>
      <c r="P70" s="131"/>
      <c r="Q70" s="157"/>
      <c r="R70" s="157"/>
      <c r="S70" s="157"/>
      <c r="T70" s="157"/>
    </row>
    <row r="71" spans="1:20" s="130" customFormat="1">
      <c r="A71" s="173" t="s">
        <v>129</v>
      </c>
      <c r="B71" s="217" t="s">
        <v>234</v>
      </c>
      <c r="C71" s="218"/>
      <c r="D71" s="261">
        <v>0.02</v>
      </c>
      <c r="E71" s="262"/>
      <c r="F71" s="7"/>
      <c r="G71" s="7"/>
      <c r="H71" s="7"/>
      <c r="I71" s="7"/>
      <c r="J71" s="124">
        <f>(G71*0.004)+(H71*0.01)+(I71*0.02)</f>
        <v>0</v>
      </c>
      <c r="K71" s="126"/>
      <c r="L71" s="131"/>
      <c r="M71" s="131"/>
      <c r="N71" s="131"/>
      <c r="O71" s="131"/>
      <c r="P71" s="131"/>
      <c r="Q71" s="157"/>
      <c r="R71" s="157"/>
      <c r="S71" s="157"/>
      <c r="T71" s="157"/>
    </row>
    <row r="72" spans="1:20" s="130" customFormat="1">
      <c r="A72" s="173" t="s">
        <v>70</v>
      </c>
      <c r="B72" s="217" t="s">
        <v>235</v>
      </c>
      <c r="C72" s="218"/>
      <c r="D72" s="174"/>
      <c r="E72" s="174"/>
      <c r="F72" s="127"/>
      <c r="G72" s="127"/>
      <c r="H72" s="127"/>
      <c r="I72" s="127"/>
      <c r="J72" s="133"/>
      <c r="K72" s="126"/>
      <c r="L72" s="131"/>
      <c r="M72" s="131"/>
      <c r="N72" s="131"/>
      <c r="O72" s="131"/>
      <c r="P72" s="131"/>
      <c r="Q72" s="157"/>
      <c r="R72" s="157"/>
      <c r="S72" s="157"/>
      <c r="T72" s="157"/>
    </row>
    <row r="73" spans="1:20" s="130" customFormat="1">
      <c r="A73" s="173" t="s">
        <v>130</v>
      </c>
      <c r="B73" s="217" t="s">
        <v>232</v>
      </c>
      <c r="C73" s="218"/>
      <c r="D73" s="261">
        <v>0.02</v>
      </c>
      <c r="E73" s="262"/>
      <c r="F73" s="7"/>
      <c r="G73" s="7"/>
      <c r="H73" s="7"/>
      <c r="I73" s="7"/>
      <c r="J73" s="132">
        <f>(G73*0.004)+(H73*0.01)+(I73*0.02)</f>
        <v>0</v>
      </c>
      <c r="K73" s="126"/>
      <c r="L73" s="131"/>
      <c r="M73" s="131"/>
      <c r="N73" s="131"/>
      <c r="O73" s="131"/>
      <c r="P73" s="131"/>
      <c r="Q73" s="157"/>
      <c r="R73" s="157"/>
      <c r="S73" s="157"/>
      <c r="T73" s="157"/>
    </row>
    <row r="74" spans="1:20" s="130" customFormat="1">
      <c r="A74" s="173" t="s">
        <v>131</v>
      </c>
      <c r="B74" s="217" t="s">
        <v>233</v>
      </c>
      <c r="C74" s="218"/>
      <c r="D74" s="261">
        <v>0.05</v>
      </c>
      <c r="E74" s="262"/>
      <c r="F74" s="7"/>
      <c r="G74" s="7"/>
      <c r="H74" s="7"/>
      <c r="I74" s="7"/>
      <c r="J74" s="132">
        <f>(G74*0.01)+(H74*0.025)+(I74*0.05)</f>
        <v>0</v>
      </c>
      <c r="K74" s="126"/>
      <c r="L74" s="131"/>
      <c r="M74" s="131"/>
      <c r="N74" s="131"/>
      <c r="O74" s="131"/>
      <c r="P74" s="131"/>
      <c r="Q74" s="157"/>
      <c r="R74" s="157"/>
      <c r="S74" s="157"/>
      <c r="T74" s="157"/>
    </row>
    <row r="75" spans="1:20" s="130" customFormat="1">
      <c r="A75" s="173" t="s">
        <v>132</v>
      </c>
      <c r="B75" s="217" t="s">
        <v>234</v>
      </c>
      <c r="C75" s="218"/>
      <c r="D75" s="261">
        <v>0.08</v>
      </c>
      <c r="E75" s="262"/>
      <c r="F75" s="7"/>
      <c r="G75" s="7"/>
      <c r="H75" s="7"/>
      <c r="I75" s="7"/>
      <c r="J75" s="132">
        <f>(G75*0.016)+(H75*0.04)+(I75*0.08)</f>
        <v>0</v>
      </c>
      <c r="K75" s="126"/>
      <c r="L75" s="131"/>
      <c r="M75" s="131"/>
      <c r="N75" s="131"/>
      <c r="O75" s="131"/>
      <c r="P75" s="131"/>
      <c r="Q75" s="157"/>
      <c r="R75" s="157"/>
      <c r="S75" s="157"/>
      <c r="T75" s="157"/>
    </row>
    <row r="76" spans="1:20" s="130" customFormat="1">
      <c r="A76" s="173">
        <v>6</v>
      </c>
      <c r="B76" s="229" t="s">
        <v>133</v>
      </c>
      <c r="C76" s="230"/>
      <c r="D76" s="174"/>
      <c r="E76" s="174"/>
      <c r="F76" s="124">
        <f>SUM(F58:F75)</f>
        <v>0</v>
      </c>
      <c r="G76" s="124">
        <f>SUM(G58:G75)</f>
        <v>0</v>
      </c>
      <c r="H76" s="124">
        <f>SUM(H58:H75)</f>
        <v>0</v>
      </c>
      <c r="I76" s="124">
        <f>SUM(I58:I75)</f>
        <v>305862661</v>
      </c>
      <c r="J76" s="133"/>
      <c r="K76" s="175">
        <f>SUM(F76:I76)</f>
        <v>305862661</v>
      </c>
      <c r="L76" s="175">
        <f>+[6]Commitments!$D$4+[6]Commitments!$D$7+[6]Commitments!$D$10+[6]Commitments!$D$19+[6]Commitments!$D$20+[6]Commitments!$D$21+[6]Commitments!$D$22</f>
        <v>285862661</v>
      </c>
      <c r="M76" s="176">
        <f>+K76-L76</f>
        <v>20000000</v>
      </c>
      <c r="N76" s="131"/>
      <c r="O76" s="131"/>
      <c r="P76" s="131"/>
      <c r="Q76" s="157"/>
      <c r="R76" s="157"/>
      <c r="S76" s="157"/>
      <c r="T76" s="157"/>
    </row>
    <row r="77" spans="1:20" s="130" customFormat="1">
      <c r="A77" s="173">
        <v>7</v>
      </c>
      <c r="B77" s="229" t="s">
        <v>134</v>
      </c>
      <c r="C77" s="230"/>
      <c r="D77" s="174"/>
      <c r="E77" s="174"/>
      <c r="F77" s="127"/>
      <c r="G77" s="127"/>
      <c r="H77" s="127"/>
      <c r="I77" s="127"/>
      <c r="J77" s="132">
        <f>SUM(J58:J75)</f>
        <v>168687882.5</v>
      </c>
      <c r="K77" s="126"/>
      <c r="L77" s="131"/>
      <c r="M77" s="131"/>
      <c r="N77" s="131"/>
      <c r="O77" s="131"/>
      <c r="P77" s="131"/>
      <c r="Q77" s="157"/>
      <c r="R77" s="157"/>
      <c r="S77" s="157"/>
      <c r="T77" s="157"/>
    </row>
    <row r="78" spans="1:20" s="130" customFormat="1" ht="13.5" thickBot="1">
      <c r="A78" s="177">
        <v>8</v>
      </c>
      <c r="B78" s="231" t="s">
        <v>135</v>
      </c>
      <c r="C78" s="232"/>
      <c r="D78" s="178"/>
      <c r="E78" s="178"/>
      <c r="F78" s="128"/>
      <c r="G78" s="128"/>
      <c r="H78" s="128"/>
      <c r="I78" s="128"/>
      <c r="J78" s="134">
        <f>SUM(J77+J49)</f>
        <v>5082372240.8999996</v>
      </c>
      <c r="K78" s="126">
        <f>+J78*0.15</f>
        <v>762355836.13499987</v>
      </c>
      <c r="L78" s="131"/>
      <c r="M78" s="131"/>
      <c r="N78" s="131"/>
      <c r="O78" s="131"/>
      <c r="P78" s="131"/>
      <c r="Q78" s="157"/>
      <c r="R78" s="157"/>
      <c r="S78" s="157"/>
      <c r="T78" s="157"/>
    </row>
    <row r="79" spans="1:20">
      <c r="J79" s="135"/>
      <c r="K79" s="143"/>
    </row>
    <row r="80" spans="1:20">
      <c r="B80" s="179" t="s">
        <v>0</v>
      </c>
      <c r="C80" s="179"/>
      <c r="J80" s="135"/>
      <c r="K80" s="143"/>
    </row>
    <row r="81" spans="2:11">
      <c r="B81" s="179"/>
      <c r="C81" s="179"/>
      <c r="J81" s="135"/>
      <c r="K81" s="143"/>
    </row>
    <row r="82" spans="2:11">
      <c r="B82" s="179" t="s">
        <v>1</v>
      </c>
    </row>
  </sheetData>
  <sheetProtection password="CACA" sheet="1" objects="1" scenarios="1"/>
  <mergeCells count="42">
    <mergeCell ref="B78:C78"/>
    <mergeCell ref="D73:E73"/>
    <mergeCell ref="D74:E74"/>
    <mergeCell ref="D75:E75"/>
    <mergeCell ref="B65:C65"/>
    <mergeCell ref="D65:E65"/>
    <mergeCell ref="B66:C66"/>
    <mergeCell ref="D66:E66"/>
    <mergeCell ref="B76:C76"/>
    <mergeCell ref="B77:C77"/>
    <mergeCell ref="D69:E69"/>
    <mergeCell ref="D70:E70"/>
    <mergeCell ref="D71:E71"/>
    <mergeCell ref="B64:C64"/>
    <mergeCell ref="D64:E64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B63:C63"/>
    <mergeCell ref="D63:E63"/>
    <mergeCell ref="A56:J56"/>
    <mergeCell ref="B57:C57"/>
    <mergeCell ref="A1:H1"/>
    <mergeCell ref="I1:J1"/>
    <mergeCell ref="G2:H2"/>
    <mergeCell ref="A3:A4"/>
    <mergeCell ref="B3:B4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</mergeCells>
  <conditionalFormatting sqref="K47">
    <cfRule type="cellIs" dxfId="13" priority="23" operator="notEqual">
      <formula>$L$47</formula>
    </cfRule>
  </conditionalFormatting>
  <conditionalFormatting sqref="H34">
    <cfRule type="cellIs" dxfId="12" priority="4" operator="notEqual">
      <formula>$K$34-$J$34</formula>
    </cfRule>
  </conditionalFormatting>
  <conditionalFormatting sqref="H35">
    <cfRule type="cellIs" dxfId="11" priority="3" operator="notEqual">
      <formula>$K$35-$J$35</formula>
    </cfRule>
  </conditionalFormatting>
  <conditionalFormatting sqref="K34">
    <cfRule type="cellIs" dxfId="10" priority="2" operator="notEqual">
      <formula>$H$34+$J$34</formula>
    </cfRule>
  </conditionalFormatting>
  <conditionalFormatting sqref="K35">
    <cfRule type="cellIs" dxfId="9" priority="1" operator="notEqual">
      <formula>$H$35+$J$35</formula>
    </cfRule>
  </conditionalFormatting>
  <dataValidations count="2">
    <dataValidation type="whole" operator="greaterThanOrEqual" allowBlank="1" showInputMessage="1" showErrorMessage="1" sqref="F62:I62 G66:H66 F72:I72 G61:H61 F67:I68">
      <formula1>0</formula1>
    </dataValidation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58:I60 F66 H45 D11:H11 G41:H41 F73:I75 I61 F69:I71 F58:F61 I63:I66 F63:H65 G43 G36:G40 G46:J46 H34:H35 G33 C42 D15 G29 C24 F15 F26 G31:J31 C18 H27:J29 D19:D21 C20 C13:C14 D23 C16 D25 G16:G17 F19 C10 D9 C8 C44">
      <formula1>-1E+22</formula1>
      <formula2>1E+22</formula2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4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pageSetUpPr fitToPage="1"/>
  </sheetPr>
  <dimension ref="A1:IV82"/>
  <sheetViews>
    <sheetView zoomScaleSheetLayoutView="100" workbookViewId="0">
      <pane xSplit="2" ySplit="6" topLeftCell="C16" activePane="bottomRight" state="frozen"/>
      <selection activeCell="B3" sqref="B3"/>
      <selection pane="topRight" activeCell="B3" sqref="B3"/>
      <selection pane="bottomLeft" activeCell="B3" sqref="B3"/>
      <selection pane="bottomRight" activeCell="H29" sqref="H29"/>
    </sheetView>
  </sheetViews>
  <sheetFormatPr defaultRowHeight="12.75"/>
  <cols>
    <col min="1" max="1" width="5.42578125" style="144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4.7109375" style="135" customWidth="1"/>
    <col min="10" max="10" width="18.140625" style="143" customWidth="1"/>
    <col min="11" max="13" width="16.42578125" style="140" customWidth="1"/>
    <col min="14" max="16" width="10.28515625" style="140" customWidth="1"/>
    <col min="17" max="20" width="9.140625" style="141"/>
    <col min="21" max="16384" width="9.140625" style="135"/>
  </cols>
  <sheetData>
    <row r="1" spans="1:20" ht="26.25" customHeight="1">
      <c r="A1" s="254" t="s">
        <v>224</v>
      </c>
      <c r="B1" s="254"/>
      <c r="C1" s="254"/>
      <c r="D1" s="254"/>
      <c r="E1" s="254"/>
      <c r="F1" s="254"/>
      <c r="G1" s="254"/>
      <c r="H1" s="254"/>
      <c r="I1" s="235" t="s">
        <v>226</v>
      </c>
      <c r="J1" s="235"/>
    </row>
    <row r="2" spans="1:20" ht="25.5" customHeight="1" thickBot="1">
      <c r="B2" s="194" t="str">
        <f>+'Bank Capital Calc'!B3</f>
        <v xml:space="preserve">Наименование банка </v>
      </c>
      <c r="D2" s="142"/>
      <c r="E2" s="142"/>
      <c r="G2" s="253">
        <f>+'Bank Capital Calc'!C3</f>
        <v>44196</v>
      </c>
      <c r="H2" s="253"/>
      <c r="J2" s="79" t="s">
        <v>200</v>
      </c>
      <c r="K2" s="143"/>
    </row>
    <row r="3" spans="1:20">
      <c r="A3" s="236" t="s">
        <v>90</v>
      </c>
      <c r="B3" s="238" t="s">
        <v>62</v>
      </c>
      <c r="C3" s="146">
        <v>0</v>
      </c>
      <c r="D3" s="146">
        <v>0.2</v>
      </c>
      <c r="E3" s="146">
        <v>0.3</v>
      </c>
      <c r="F3" s="146">
        <v>0.5</v>
      </c>
      <c r="G3" s="146">
        <v>1</v>
      </c>
      <c r="H3" s="146">
        <v>1.5</v>
      </c>
      <c r="I3" s="146">
        <v>2</v>
      </c>
      <c r="J3" s="147">
        <v>3</v>
      </c>
      <c r="K3" s="148"/>
      <c r="L3" s="143"/>
    </row>
    <row r="4" spans="1:20" ht="20.25" customHeight="1">
      <c r="A4" s="237"/>
      <c r="B4" s="239"/>
      <c r="C4" s="149" t="s">
        <v>91</v>
      </c>
      <c r="D4" s="149" t="s">
        <v>91</v>
      </c>
      <c r="E4" s="149" t="s">
        <v>91</v>
      </c>
      <c r="F4" s="149" t="s">
        <v>91</v>
      </c>
      <c r="G4" s="149" t="s">
        <v>91</v>
      </c>
      <c r="H4" s="149" t="s">
        <v>91</v>
      </c>
      <c r="I4" s="149" t="s">
        <v>91</v>
      </c>
      <c r="J4" s="150" t="s">
        <v>91</v>
      </c>
      <c r="L4" s="143"/>
    </row>
    <row r="5" spans="1:20" ht="20.25" customHeight="1">
      <c r="A5" s="151"/>
      <c r="B5" s="149"/>
      <c r="C5" s="149" t="s">
        <v>238</v>
      </c>
      <c r="D5" s="149" t="s">
        <v>239</v>
      </c>
      <c r="E5" s="149" t="s">
        <v>240</v>
      </c>
      <c r="F5" s="149" t="s">
        <v>241</v>
      </c>
      <c r="G5" s="149" t="s">
        <v>242</v>
      </c>
      <c r="H5" s="149" t="s">
        <v>243</v>
      </c>
      <c r="I5" s="149" t="s">
        <v>244</v>
      </c>
      <c r="J5" s="150" t="s">
        <v>245</v>
      </c>
      <c r="L5" s="143"/>
    </row>
    <row r="6" spans="1:20">
      <c r="A6" s="151"/>
      <c r="B6" s="152" t="s">
        <v>63</v>
      </c>
      <c r="C6" s="152" t="s">
        <v>64</v>
      </c>
      <c r="D6" s="152" t="s">
        <v>65</v>
      </c>
      <c r="E6" s="152" t="s">
        <v>66</v>
      </c>
      <c r="F6" s="152" t="s">
        <v>92</v>
      </c>
      <c r="G6" s="152" t="s">
        <v>93</v>
      </c>
      <c r="H6" s="152" t="s">
        <v>116</v>
      </c>
      <c r="I6" s="152" t="s">
        <v>136</v>
      </c>
      <c r="J6" s="191" t="s">
        <v>137</v>
      </c>
      <c r="L6" s="143"/>
    </row>
    <row r="7" spans="1:20">
      <c r="A7" s="151"/>
      <c r="B7" s="153" t="s">
        <v>94</v>
      </c>
      <c r="C7" s="154"/>
      <c r="D7" s="154"/>
      <c r="E7" s="154"/>
      <c r="F7" s="154"/>
      <c r="G7" s="154"/>
      <c r="H7" s="154"/>
      <c r="I7" s="154"/>
      <c r="J7" s="155"/>
      <c r="L7" s="143"/>
    </row>
    <row r="8" spans="1:20" s="130" customFormat="1">
      <c r="A8" s="151" t="s">
        <v>95</v>
      </c>
      <c r="B8" s="156" t="s">
        <v>96</v>
      </c>
      <c r="C8" s="86">
        <f>+'Calculation of Risk Weighted As'!C8-'Calculation of Risk Weighte нац'!C8</f>
        <v>78075478</v>
      </c>
      <c r="D8" s="127"/>
      <c r="E8" s="127"/>
      <c r="F8" s="127"/>
      <c r="G8" s="127"/>
      <c r="H8" s="127"/>
      <c r="I8" s="127"/>
      <c r="J8" s="133"/>
      <c r="K8" s="125"/>
      <c r="L8" s="126"/>
      <c r="M8" s="131"/>
      <c r="N8" s="131"/>
      <c r="O8" s="131"/>
      <c r="P8" s="131"/>
      <c r="Q8" s="157"/>
      <c r="R8" s="157"/>
      <c r="S8" s="157"/>
      <c r="T8" s="157"/>
    </row>
    <row r="9" spans="1:20" s="130" customFormat="1">
      <c r="A9" s="151" t="s">
        <v>138</v>
      </c>
      <c r="B9" s="156" t="s">
        <v>97</v>
      </c>
      <c r="C9" s="127"/>
      <c r="D9" s="86">
        <f>+'Calculation of Risk Weighted As'!D9-'Calculation of Risk Weighte нац'!D9</f>
        <v>2315981</v>
      </c>
      <c r="E9" s="127"/>
      <c r="F9" s="127"/>
      <c r="G9" s="127"/>
      <c r="H9" s="127"/>
      <c r="I9" s="127"/>
      <c r="J9" s="133"/>
      <c r="K9" s="125"/>
      <c r="L9" s="126"/>
      <c r="M9" s="131"/>
      <c r="N9" s="131"/>
      <c r="O9" s="131"/>
      <c r="P9" s="131"/>
      <c r="Q9" s="157"/>
      <c r="R9" s="157"/>
      <c r="S9" s="157"/>
      <c r="T9" s="157"/>
    </row>
    <row r="10" spans="1:20" s="130" customFormat="1">
      <c r="A10" s="151" t="s">
        <v>139</v>
      </c>
      <c r="B10" s="156" t="s">
        <v>98</v>
      </c>
      <c r="C10" s="222"/>
      <c r="D10" s="222">
        <f>+'Calculation of Risk Weighted As'!D10-'Calculation of Risk Weighte нац'!D10</f>
        <v>0</v>
      </c>
      <c r="E10" s="127"/>
      <c r="F10" s="127"/>
      <c r="G10" s="127"/>
      <c r="H10" s="127"/>
      <c r="I10" s="127"/>
      <c r="J10" s="133"/>
      <c r="K10" s="125"/>
      <c r="L10" s="126"/>
      <c r="M10" s="131"/>
      <c r="N10" s="131"/>
      <c r="O10" s="131"/>
      <c r="P10" s="131"/>
      <c r="Q10" s="157"/>
      <c r="R10" s="157"/>
      <c r="S10" s="157"/>
      <c r="T10" s="157"/>
    </row>
    <row r="11" spans="1:20" s="130" customFormat="1" ht="17.25" customHeight="1">
      <c r="A11" s="151" t="s">
        <v>140</v>
      </c>
      <c r="B11" s="156" t="s">
        <v>227</v>
      </c>
      <c r="C11" s="127"/>
      <c r="D11" s="86">
        <f>+'Calculation of Risk Weighted As'!D11-'Calculation of Risk Weighte нац'!D11</f>
        <v>0</v>
      </c>
      <c r="E11" s="86">
        <f>+'Calculation of Risk Weighted As'!E11-'Calculation of Risk Weighte нац'!E11</f>
        <v>0</v>
      </c>
      <c r="F11" s="86">
        <f>+'Calculation of Risk Weighted As'!F11-'Calculation of Risk Weighte нац'!F11</f>
        <v>0</v>
      </c>
      <c r="G11" s="223">
        <f>+'Calculation of Risk Weighted As'!G11-'Calculation of Risk Weighte нац'!G11</f>
        <v>0</v>
      </c>
      <c r="H11" s="86">
        <f>+'Calculation of Risk Weighted As'!H11-'Calculation of Risk Weighte нац'!H11</f>
        <v>256086918</v>
      </c>
      <c r="I11" s="127"/>
      <c r="J11" s="133"/>
      <c r="K11" s="125"/>
      <c r="L11" s="126"/>
      <c r="M11" s="131"/>
      <c r="N11" s="131"/>
      <c r="O11" s="131"/>
      <c r="P11" s="131"/>
      <c r="Q11" s="157"/>
      <c r="R11" s="157"/>
      <c r="S11" s="157"/>
      <c r="T11" s="157"/>
    </row>
    <row r="12" spans="1:20" s="130" customFormat="1">
      <c r="A12" s="151" t="s">
        <v>141</v>
      </c>
      <c r="B12" s="156" t="s">
        <v>100</v>
      </c>
      <c r="C12" s="127"/>
      <c r="D12" s="127"/>
      <c r="E12" s="127"/>
      <c r="F12" s="127"/>
      <c r="G12" s="127"/>
      <c r="H12" s="127"/>
      <c r="I12" s="127"/>
      <c r="J12" s="133"/>
      <c r="K12" s="158"/>
      <c r="L12" s="159"/>
    </row>
    <row r="13" spans="1:20" s="130" customFormat="1">
      <c r="A13" s="151" t="s">
        <v>22</v>
      </c>
      <c r="B13" s="156" t="s">
        <v>101</v>
      </c>
      <c r="C13" s="86">
        <f>+'Calculation of Risk Weighted As'!C13-'Calculation of Risk Weighte нац'!C13</f>
        <v>0</v>
      </c>
      <c r="D13" s="127"/>
      <c r="E13" s="127"/>
      <c r="F13" s="127"/>
      <c r="G13" s="127"/>
      <c r="H13" s="127"/>
      <c r="I13" s="127"/>
      <c r="J13" s="133"/>
      <c r="K13" s="158"/>
      <c r="L13" s="159"/>
    </row>
    <row r="14" spans="1:20" s="130" customFormat="1" ht="42" customHeight="1">
      <c r="A14" s="151" t="s">
        <v>23</v>
      </c>
      <c r="B14" s="156" t="s">
        <v>61</v>
      </c>
      <c r="C14" s="86">
        <f>+'Calculation of Risk Weighted As'!C14-'Calculation of Risk Weighte нац'!C14</f>
        <v>0</v>
      </c>
      <c r="D14" s="127"/>
      <c r="E14" s="127"/>
      <c r="F14" s="127"/>
      <c r="G14" s="127"/>
      <c r="H14" s="127"/>
      <c r="I14" s="127"/>
      <c r="J14" s="133"/>
      <c r="K14" s="158"/>
      <c r="L14" s="159"/>
    </row>
    <row r="15" spans="1:20" s="130" customFormat="1">
      <c r="A15" s="151" t="s">
        <v>33</v>
      </c>
      <c r="B15" s="156" t="s">
        <v>201</v>
      </c>
      <c r="C15" s="127"/>
      <c r="D15" s="86">
        <f>+'Calculation of Risk Weighted As'!D15-'Calculation of Risk Weighte нац'!D15</f>
        <v>0</v>
      </c>
      <c r="E15" s="127"/>
      <c r="F15" s="86">
        <f>+'Calculation of Risk Weighted As'!F15-'Calculation of Risk Weighte нац'!F15</f>
        <v>0</v>
      </c>
      <c r="G15" s="127"/>
      <c r="H15" s="127"/>
      <c r="I15" s="127"/>
      <c r="J15" s="133"/>
      <c r="K15" s="158"/>
      <c r="L15" s="159"/>
    </row>
    <row r="16" spans="1:20" s="130" customFormat="1">
      <c r="A16" s="151" t="s">
        <v>34</v>
      </c>
      <c r="B16" s="156" t="s">
        <v>102</v>
      </c>
      <c r="C16" s="86">
        <f>+'Calculation of Risk Weighted As'!C16-'Calculation of Risk Weighte нац'!C16</f>
        <v>0</v>
      </c>
      <c r="D16" s="127"/>
      <c r="E16" s="127"/>
      <c r="F16" s="127"/>
      <c r="G16" s="223">
        <f>+'Calculation of Risk Weighted As'!G16-'Calculation of Risk Weighte нац'!G16</f>
        <v>0</v>
      </c>
      <c r="H16" s="127"/>
      <c r="I16" s="127"/>
      <c r="J16" s="133"/>
      <c r="K16" s="158"/>
      <c r="L16" s="159"/>
    </row>
    <row r="17" spans="1:256" s="130" customFormat="1" ht="25.5">
      <c r="A17" s="151" t="s">
        <v>142</v>
      </c>
      <c r="B17" s="160" t="s">
        <v>50</v>
      </c>
      <c r="C17" s="224">
        <f>+'Calculation of Risk Weighted As'!C17-'Calculation of Risk Weighte нац'!C17</f>
        <v>0</v>
      </c>
      <c r="D17" s="127"/>
      <c r="E17" s="127"/>
      <c r="F17" s="127"/>
      <c r="G17" s="127"/>
      <c r="H17" s="127"/>
      <c r="I17" s="127"/>
      <c r="J17" s="133"/>
      <c r="K17" s="158"/>
      <c r="L17" s="159"/>
    </row>
    <row r="18" spans="1:256" s="130" customFormat="1" ht="42" customHeight="1">
      <c r="A18" s="151" t="s">
        <v>143</v>
      </c>
      <c r="B18" s="156" t="s">
        <v>56</v>
      </c>
      <c r="C18" s="127"/>
      <c r="D18" s="86">
        <f>+'Calculation of Risk Weighted As'!D18-'Calculation of Risk Weighte нац'!D18</f>
        <v>0</v>
      </c>
      <c r="E18" s="127"/>
      <c r="F18" s="127"/>
      <c r="G18" s="127"/>
      <c r="H18" s="127"/>
      <c r="I18" s="127"/>
      <c r="J18" s="133"/>
      <c r="K18" s="158"/>
      <c r="L18" s="159"/>
    </row>
    <row r="19" spans="1:256" s="130" customFormat="1" ht="25.5">
      <c r="A19" s="151" t="s">
        <v>144</v>
      </c>
      <c r="B19" s="156" t="s">
        <v>53</v>
      </c>
      <c r="C19" s="127"/>
      <c r="D19" s="86">
        <f>+'Calculation of Risk Weighted As'!D19-'Calculation of Risk Weighte нац'!D19</f>
        <v>0</v>
      </c>
      <c r="E19" s="127"/>
      <c r="F19" s="86">
        <f>+'Calculation of Risk Weighted As'!F19-'Calculation of Risk Weighte нац'!F19</f>
        <v>0</v>
      </c>
      <c r="G19" s="127"/>
      <c r="H19" s="127"/>
      <c r="I19" s="127"/>
      <c r="J19" s="133"/>
      <c r="K19" s="158"/>
      <c r="L19" s="159"/>
    </row>
    <row r="20" spans="1:256" s="130" customFormat="1" ht="25.5">
      <c r="A20" s="151" t="s">
        <v>145</v>
      </c>
      <c r="B20" s="156" t="s">
        <v>213</v>
      </c>
      <c r="C20" s="86">
        <f>+'Calculation of Risk Weighted As'!C20-'Calculation of Risk Weighte нац'!C20</f>
        <v>0</v>
      </c>
      <c r="D20" s="127"/>
      <c r="E20" s="127"/>
      <c r="F20" s="127"/>
      <c r="G20" s="127"/>
      <c r="H20" s="127"/>
      <c r="I20" s="127"/>
      <c r="J20" s="133"/>
      <c r="K20" s="158"/>
      <c r="L20" s="159"/>
    </row>
    <row r="21" spans="1:256" s="130" customFormat="1" ht="38.25">
      <c r="A21" s="151" t="s">
        <v>156</v>
      </c>
      <c r="B21" s="156" t="s">
        <v>54</v>
      </c>
      <c r="C21" s="127"/>
      <c r="D21" s="86">
        <f>+'Calculation of Risk Weighted As'!D21-'Calculation of Risk Weighte нац'!D21</f>
        <v>0</v>
      </c>
      <c r="E21" s="127"/>
      <c r="F21" s="127"/>
      <c r="G21" s="127"/>
      <c r="H21" s="127"/>
      <c r="I21" s="127"/>
      <c r="J21" s="133"/>
      <c r="K21" s="158"/>
      <c r="L21" s="159"/>
    </row>
    <row r="22" spans="1:256" s="130" customFormat="1">
      <c r="A22" s="151" t="s">
        <v>157</v>
      </c>
      <c r="B22" s="156" t="s">
        <v>103</v>
      </c>
      <c r="C22" s="127"/>
      <c r="D22" s="127"/>
      <c r="E22" s="127"/>
      <c r="F22" s="127"/>
      <c r="G22" s="127"/>
      <c r="H22" s="127"/>
      <c r="I22" s="127"/>
      <c r="J22" s="133"/>
      <c r="K22" s="158"/>
      <c r="L22" s="159"/>
    </row>
    <row r="23" spans="1:256" s="130" customFormat="1" ht="25.5">
      <c r="A23" s="151" t="s">
        <v>22</v>
      </c>
      <c r="B23" s="156" t="s">
        <v>19</v>
      </c>
      <c r="C23" s="86">
        <f>+'Calculation of Risk Weighted As'!C23-'Calculation of Risk Weighte нац'!C23</f>
        <v>0</v>
      </c>
      <c r="D23" s="86">
        <f>+'Calculation of Risk Weighted As'!D23-'Calculation of Risk Weighte нац'!D23</f>
        <v>0</v>
      </c>
      <c r="E23" s="127"/>
      <c r="F23" s="127"/>
      <c r="G23" s="127"/>
      <c r="H23" s="127"/>
      <c r="I23" s="127"/>
      <c r="J23" s="133"/>
      <c r="K23" s="158"/>
      <c r="L23" s="159"/>
    </row>
    <row r="24" spans="1:256" s="130" customFormat="1">
      <c r="A24" s="151" t="s">
        <v>23</v>
      </c>
      <c r="B24" s="156" t="s">
        <v>214</v>
      </c>
      <c r="C24" s="86">
        <f>+'Calculation of Risk Weighted As'!C24-'Calculation of Risk Weighte нац'!C24</f>
        <v>0</v>
      </c>
      <c r="D24" s="127"/>
      <c r="E24" s="127"/>
      <c r="F24" s="127"/>
      <c r="G24" s="127"/>
      <c r="H24" s="127"/>
      <c r="I24" s="127"/>
      <c r="J24" s="133"/>
      <c r="K24" s="158"/>
      <c r="L24" s="159"/>
    </row>
    <row r="25" spans="1:256" s="130" customFormat="1" ht="54" customHeight="1">
      <c r="A25" s="151" t="s">
        <v>33</v>
      </c>
      <c r="B25" s="156" t="s">
        <v>57</v>
      </c>
      <c r="C25" s="127"/>
      <c r="D25" s="225">
        <f>+'Calculation of Risk Weighted As'!D25-'Calculation of Risk Weighte нац'!D25</f>
        <v>0</v>
      </c>
      <c r="E25" s="127"/>
      <c r="F25" s="127"/>
      <c r="G25" s="127"/>
      <c r="H25" s="127"/>
      <c r="I25" s="127"/>
      <c r="J25" s="133"/>
      <c r="K25" s="158"/>
      <c r="L25" s="159"/>
    </row>
    <row r="26" spans="1:256" s="130" customFormat="1" ht="25.5">
      <c r="A26" s="151" t="s">
        <v>34</v>
      </c>
      <c r="B26" s="156" t="s">
        <v>58</v>
      </c>
      <c r="C26" s="225">
        <f>+'Calculation of Risk Weighted As'!C26-'Calculation of Risk Weighte нац'!C26</f>
        <v>0</v>
      </c>
      <c r="D26" s="127"/>
      <c r="E26" s="127"/>
      <c r="F26" s="225">
        <f>+'Calculation of Risk Weighted As'!F26-'Calculation of Risk Weighte нац'!F26</f>
        <v>0</v>
      </c>
      <c r="G26" s="225">
        <f>+'Calculation of Risk Weighted As'!G26-'Calculation of Risk Weighte нац'!G26</f>
        <v>0</v>
      </c>
      <c r="H26" s="127"/>
      <c r="I26" s="127"/>
      <c r="J26" s="133"/>
      <c r="K26" s="158"/>
      <c r="L26" s="159"/>
    </row>
    <row r="27" spans="1:256" s="130" customFormat="1" ht="17.25" customHeight="1">
      <c r="A27" s="151" t="s">
        <v>35</v>
      </c>
      <c r="B27" s="156" t="s">
        <v>15</v>
      </c>
      <c r="C27" s="127"/>
      <c r="D27" s="127"/>
      <c r="E27" s="127"/>
      <c r="F27" s="127"/>
      <c r="G27" s="225">
        <f>+'Calculation of Risk Weighted As'!G27-'Calculation of Risk Weighte нац'!G27</f>
        <v>9624761</v>
      </c>
      <c r="H27" s="127"/>
      <c r="I27" s="127"/>
      <c r="J27" s="133"/>
      <c r="K27" s="158"/>
      <c r="L27" s="159"/>
    </row>
    <row r="28" spans="1:256" s="130" customFormat="1" ht="17.25" customHeight="1">
      <c r="A28" s="151" t="s">
        <v>36</v>
      </c>
      <c r="B28" s="156" t="s">
        <v>16</v>
      </c>
      <c r="C28" s="127"/>
      <c r="D28" s="127"/>
      <c r="E28" s="127"/>
      <c r="F28" s="127"/>
      <c r="G28" s="86">
        <f>+'Calculation of Risk Weighted As'!G28-'Calculation of Risk Weighte нац'!G28</f>
        <v>0</v>
      </c>
      <c r="H28" s="127"/>
      <c r="I28" s="127"/>
      <c r="J28" s="133"/>
      <c r="K28" s="158"/>
      <c r="L28" s="159"/>
    </row>
    <row r="29" spans="1:256" s="130" customFormat="1" ht="17.25" customHeight="1">
      <c r="A29" s="151" t="s">
        <v>37</v>
      </c>
      <c r="B29" s="156" t="s">
        <v>43</v>
      </c>
      <c r="C29" s="127"/>
      <c r="D29" s="127"/>
      <c r="E29" s="127"/>
      <c r="F29" s="127"/>
      <c r="G29" s="127"/>
      <c r="H29" s="86">
        <f>+'Calculation of Risk Weighted As'!H29-'Calculation of Risk Weighte нац'!H29</f>
        <v>0</v>
      </c>
      <c r="I29" s="127"/>
      <c r="J29" s="133"/>
      <c r="K29" s="158"/>
      <c r="L29" s="159"/>
    </row>
    <row r="30" spans="1:256" s="161" customFormat="1" ht="20.25" customHeight="1">
      <c r="A30" s="151" t="s">
        <v>202</v>
      </c>
      <c r="B30" s="156" t="s">
        <v>219</v>
      </c>
      <c r="C30" s="225">
        <f>+'Calculation of Risk Weighted As'!C30-'Calculation of Risk Weighte нац'!C30</f>
        <v>0</v>
      </c>
      <c r="D30" s="127"/>
      <c r="E30" s="127"/>
      <c r="F30" s="127"/>
      <c r="G30" s="86">
        <f>+'Calculation of Risk Weighted As'!G30-'Calculation of Risk Weighte нац'!G30</f>
        <v>0</v>
      </c>
      <c r="H30" s="86">
        <f>+'Calculation of Risk Weighted As'!H30-'Calculation of Risk Weighte нац'!H30</f>
        <v>0</v>
      </c>
      <c r="I30" s="86">
        <f>+'Calculation of Risk Weighted As'!I30-'Calculation of Risk Weighte нац'!I30</f>
        <v>0</v>
      </c>
      <c r="J30" s="226">
        <f>+'Calculation of Risk Weighted As'!J30-'Calculation of Risk Weighte нац'!J30</f>
        <v>0</v>
      </c>
      <c r="K30" s="158"/>
      <c r="L30" s="159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</row>
    <row r="31" spans="1:256" s="161" customFormat="1" ht="20.25" customHeight="1">
      <c r="A31" s="151" t="s">
        <v>216</v>
      </c>
      <c r="B31" s="156" t="s">
        <v>217</v>
      </c>
      <c r="C31" s="225">
        <f>+'Calculation of Risk Weighted As'!C31-'Calculation of Risk Weighte нац'!C31</f>
        <v>0</v>
      </c>
      <c r="D31" s="127"/>
      <c r="E31" s="127"/>
      <c r="F31" s="127"/>
      <c r="G31" s="127"/>
      <c r="H31" s="127"/>
      <c r="I31" s="127"/>
      <c r="J31" s="226">
        <f>+'Calculation of Risk Weighted As'!J31-'Calculation of Risk Weighte нац'!J31</f>
        <v>0</v>
      </c>
      <c r="K31" s="125"/>
      <c r="L31" s="126"/>
      <c r="M31" s="131"/>
      <c r="N31" s="131"/>
      <c r="O31" s="131"/>
      <c r="P31" s="131"/>
      <c r="Q31" s="157"/>
      <c r="R31" s="157"/>
      <c r="S31" s="157"/>
      <c r="T31" s="157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</row>
    <row r="32" spans="1:256" s="161" customFormat="1" ht="20.25" customHeight="1">
      <c r="A32" s="162" t="s">
        <v>218</v>
      </c>
      <c r="B32" s="156" t="s">
        <v>228</v>
      </c>
      <c r="C32" s="225">
        <f>+'Calculation of Risk Weighted As'!C32-'Calculation of Risk Weighte нац'!C32</f>
        <v>0</v>
      </c>
      <c r="D32" s="127"/>
      <c r="E32" s="127"/>
      <c r="F32" s="127"/>
      <c r="G32" s="86">
        <f>+'Calculation of Risk Weighted As'!G32-'Calculation of Risk Weighte нац'!G32</f>
        <v>0</v>
      </c>
      <c r="H32" s="86">
        <f>+'Calculation of Risk Weighted As'!H32-'Calculation of Risk Weighte нац'!H32</f>
        <v>0</v>
      </c>
      <c r="I32" s="86">
        <f>+'Calculation of Risk Weighted As'!I32-'Calculation of Risk Weighte нац'!I32</f>
        <v>0</v>
      </c>
      <c r="J32" s="226">
        <f>+'Calculation of Risk Weighted As'!J32-'Calculation of Risk Weighte нац'!J32</f>
        <v>0</v>
      </c>
      <c r="K32" s="158"/>
      <c r="L32" s="159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</row>
    <row r="33" spans="1:20" s="130" customFormat="1" ht="17.25" customHeight="1">
      <c r="A33" s="162" t="s">
        <v>220</v>
      </c>
      <c r="B33" s="156" t="s">
        <v>221</v>
      </c>
      <c r="C33" s="127"/>
      <c r="D33" s="127"/>
      <c r="E33" s="127"/>
      <c r="F33" s="127"/>
      <c r="G33" s="225">
        <f>+'Calculation of Risk Weighted As'!G33-'Calculation of Risk Weighte нац'!G33</f>
        <v>1962021470</v>
      </c>
      <c r="H33" s="127"/>
      <c r="I33" s="127"/>
      <c r="J33" s="133"/>
      <c r="K33" s="125"/>
      <c r="L33" s="126"/>
      <c r="M33" s="131"/>
      <c r="N33" s="131"/>
      <c r="O33" s="131"/>
      <c r="P33" s="131"/>
      <c r="Q33" s="157"/>
      <c r="R33" s="157"/>
      <c r="S33" s="157"/>
      <c r="T33" s="157"/>
    </row>
    <row r="34" spans="1:20" s="130" customFormat="1" ht="17.25" customHeight="1">
      <c r="A34" s="151" t="s">
        <v>146</v>
      </c>
      <c r="B34" s="156" t="s">
        <v>104</v>
      </c>
      <c r="C34" s="127"/>
      <c r="D34" s="127"/>
      <c r="E34" s="127"/>
      <c r="F34" s="127"/>
      <c r="G34" s="127"/>
      <c r="H34" s="86">
        <f>+'Calculation of Risk Weighted As'!H34-'Calculation of Risk Weighte нац'!H34</f>
        <v>9624791</v>
      </c>
      <c r="I34" s="127"/>
      <c r="J34" s="86">
        <f>+'Calculation of Risk Weighted As'!J34-'Calculation of Risk Weighte нац'!J34</f>
        <v>0</v>
      </c>
      <c r="K34" s="125">
        <f>+'[6]Bank Assets Analysis'!$U$33</f>
        <v>9624791</v>
      </c>
      <c r="L34" s="126"/>
      <c r="M34" s="131"/>
      <c r="N34" s="131"/>
      <c r="O34" s="131"/>
      <c r="P34" s="131"/>
      <c r="Q34" s="157"/>
      <c r="R34" s="157"/>
      <c r="S34" s="157"/>
      <c r="T34" s="157"/>
    </row>
    <row r="35" spans="1:20" s="130" customFormat="1" ht="17.25" customHeight="1">
      <c r="A35" s="151" t="s">
        <v>147</v>
      </c>
      <c r="B35" s="156" t="s">
        <v>21</v>
      </c>
      <c r="C35" s="127"/>
      <c r="D35" s="127"/>
      <c r="E35" s="127"/>
      <c r="F35" s="127"/>
      <c r="G35" s="127"/>
      <c r="H35" s="86">
        <f>+'Calculation of Risk Weighted As'!H35-'Calculation of Risk Weighte нац'!H35</f>
        <v>40941994</v>
      </c>
      <c r="I35" s="127"/>
      <c r="J35" s="86">
        <f>+'Calculation of Risk Weighted As'!J35-'Calculation of Risk Weighte нац'!J35</f>
        <v>0</v>
      </c>
      <c r="K35" s="125">
        <f>+'[6]Bank Assets Analysis'!$D$30+'[6]Bank Assets Analysis'!$D$31</f>
        <v>40941994</v>
      </c>
      <c r="L35" s="126"/>
      <c r="M35" s="131"/>
      <c r="N35" s="131"/>
      <c r="O35" s="131"/>
      <c r="P35" s="131"/>
      <c r="Q35" s="157"/>
      <c r="R35" s="157"/>
      <c r="S35" s="157"/>
      <c r="T35" s="157"/>
    </row>
    <row r="36" spans="1:20" s="130" customFormat="1" ht="17.25" customHeight="1">
      <c r="A36" s="151" t="s">
        <v>148</v>
      </c>
      <c r="B36" s="156" t="s">
        <v>215</v>
      </c>
      <c r="C36" s="127"/>
      <c r="D36" s="127"/>
      <c r="E36" s="127"/>
      <c r="F36" s="127"/>
      <c r="G36" s="223">
        <f>+'Calculation of Risk Weighted As'!G36-'Calculation of Risk Weighte нац'!G36</f>
        <v>2321576</v>
      </c>
      <c r="H36" s="127"/>
      <c r="I36" s="127"/>
      <c r="J36" s="133"/>
      <c r="K36" s="125"/>
      <c r="L36" s="126"/>
      <c r="M36" s="131"/>
      <c r="N36" s="131"/>
      <c r="O36" s="131"/>
      <c r="P36" s="131"/>
      <c r="Q36" s="157"/>
      <c r="R36" s="157"/>
      <c r="S36" s="157"/>
      <c r="T36" s="157"/>
    </row>
    <row r="37" spans="1:20" s="130" customFormat="1" ht="17.25" customHeight="1">
      <c r="A37" s="151" t="s">
        <v>149</v>
      </c>
      <c r="B37" s="156" t="s">
        <v>20</v>
      </c>
      <c r="C37" s="127"/>
      <c r="D37" s="127"/>
      <c r="E37" s="127"/>
      <c r="F37" s="127"/>
      <c r="G37" s="127"/>
      <c r="H37" s="127"/>
      <c r="I37" s="127"/>
      <c r="J37" s="133"/>
      <c r="K37" s="125"/>
      <c r="L37" s="126"/>
      <c r="M37" s="131"/>
      <c r="N37" s="131"/>
      <c r="O37" s="131"/>
      <c r="P37" s="131"/>
      <c r="Q37" s="157"/>
      <c r="R37" s="157"/>
      <c r="S37" s="157"/>
      <c r="T37" s="157"/>
    </row>
    <row r="38" spans="1:20" s="130" customFormat="1" ht="25.5">
      <c r="A38" s="151" t="s">
        <v>74</v>
      </c>
      <c r="B38" s="156" t="s">
        <v>105</v>
      </c>
      <c r="C38" s="127"/>
      <c r="D38" s="127"/>
      <c r="E38" s="127"/>
      <c r="F38" s="127"/>
      <c r="G38" s="223">
        <f>+'Calculation of Risk Weighted As'!G38-'Calculation of Risk Weighte нац'!G38</f>
        <v>0</v>
      </c>
      <c r="H38" s="127"/>
      <c r="I38" s="127"/>
      <c r="J38" s="133"/>
      <c r="K38" s="125"/>
      <c r="L38" s="126"/>
      <c r="M38" s="131"/>
      <c r="N38" s="131"/>
      <c r="O38" s="131"/>
      <c r="P38" s="131"/>
      <c r="Q38" s="157"/>
      <c r="R38" s="157"/>
      <c r="S38" s="157"/>
      <c r="T38" s="157"/>
    </row>
    <row r="39" spans="1:20" s="130" customFormat="1" ht="15.75" customHeight="1">
      <c r="A39" s="151" t="s">
        <v>70</v>
      </c>
      <c r="B39" s="156" t="s">
        <v>210</v>
      </c>
      <c r="C39" s="127"/>
      <c r="D39" s="127"/>
      <c r="E39" s="127"/>
      <c r="F39" s="127"/>
      <c r="G39" s="223">
        <f>+'Calculation of Risk Weighted As'!G39-'Calculation of Risk Weighte нац'!G39</f>
        <v>0</v>
      </c>
      <c r="H39" s="127"/>
      <c r="I39" s="127"/>
      <c r="J39" s="133"/>
      <c r="K39" s="125"/>
      <c r="L39" s="126"/>
      <c r="M39" s="131"/>
      <c r="N39" s="131"/>
      <c r="O39" s="131"/>
      <c r="P39" s="131"/>
      <c r="Q39" s="157"/>
      <c r="R39" s="157"/>
      <c r="S39" s="157"/>
      <c r="T39" s="157"/>
    </row>
    <row r="40" spans="1:20" s="130" customFormat="1" ht="25.5">
      <c r="A40" s="151" t="s">
        <v>72</v>
      </c>
      <c r="B40" s="156" t="s">
        <v>55</v>
      </c>
      <c r="C40" s="127"/>
      <c r="D40" s="127"/>
      <c r="E40" s="127"/>
      <c r="F40" s="127"/>
      <c r="G40" s="127"/>
      <c r="H40" s="86">
        <f>+'Calculation of Risk Weighted As'!H40-'Calculation of Risk Weighte нац'!H40</f>
        <v>0</v>
      </c>
      <c r="I40" s="127"/>
      <c r="J40" s="133"/>
      <c r="K40" s="125"/>
      <c r="L40" s="126"/>
      <c r="M40" s="131"/>
      <c r="N40" s="131"/>
      <c r="O40" s="131"/>
      <c r="P40" s="131"/>
      <c r="Q40" s="157"/>
      <c r="R40" s="157"/>
      <c r="S40" s="157"/>
      <c r="T40" s="157"/>
    </row>
    <row r="41" spans="1:20" s="130" customFormat="1" ht="18.75" customHeight="1">
      <c r="A41" s="151" t="s">
        <v>79</v>
      </c>
      <c r="B41" s="156" t="s">
        <v>14</v>
      </c>
      <c r="C41" s="127"/>
      <c r="D41" s="127"/>
      <c r="E41" s="127"/>
      <c r="F41" s="127"/>
      <c r="G41" s="127"/>
      <c r="H41" s="86">
        <f>+'Calculation of Risk Weighted As'!H41-'Calculation of Risk Weighte нац'!H41</f>
        <v>0</v>
      </c>
      <c r="I41" s="127"/>
      <c r="J41" s="133"/>
      <c r="K41" s="125"/>
      <c r="L41" s="126"/>
      <c r="M41" s="131"/>
      <c r="N41" s="131"/>
      <c r="O41" s="131"/>
      <c r="P41" s="131"/>
      <c r="Q41" s="157"/>
      <c r="R41" s="157"/>
      <c r="S41" s="157"/>
      <c r="T41" s="157"/>
    </row>
    <row r="42" spans="1:20" s="130" customFormat="1" ht="25.5">
      <c r="A42" s="151" t="s">
        <v>150</v>
      </c>
      <c r="B42" s="156" t="s">
        <v>106</v>
      </c>
      <c r="C42" s="86">
        <f>+'Calculation of Risk Weighted As'!C42-'Calculation of Risk Weighte нац'!C42</f>
        <v>0</v>
      </c>
      <c r="D42" s="127"/>
      <c r="E42" s="127"/>
      <c r="F42" s="127"/>
      <c r="G42" s="127"/>
      <c r="H42" s="127"/>
      <c r="I42" s="127"/>
      <c r="J42" s="133"/>
      <c r="K42" s="125"/>
      <c r="L42" s="163"/>
      <c r="M42" s="163"/>
      <c r="N42" s="164"/>
      <c r="O42" s="131"/>
      <c r="P42" s="131"/>
      <c r="Q42" s="157"/>
      <c r="R42" s="157"/>
      <c r="S42" s="157"/>
      <c r="T42" s="157"/>
    </row>
    <row r="43" spans="1:20" s="130" customFormat="1" ht="16.5" customHeight="1">
      <c r="A43" s="151" t="s">
        <v>151</v>
      </c>
      <c r="B43" s="156" t="s">
        <v>107</v>
      </c>
      <c r="C43" s="127"/>
      <c r="D43" s="127"/>
      <c r="E43" s="127"/>
      <c r="F43" s="127"/>
      <c r="G43" s="223">
        <f>+'Calculation of Risk Weighted As'!G43-'Calculation of Risk Weighte нац'!G43</f>
        <v>0</v>
      </c>
      <c r="H43" s="127"/>
      <c r="I43" s="127"/>
      <c r="J43" s="133"/>
      <c r="K43" s="125"/>
      <c r="L43" s="126"/>
      <c r="M43" s="131"/>
      <c r="N43" s="131"/>
      <c r="O43" s="131"/>
      <c r="P43" s="131"/>
      <c r="Q43" s="157"/>
      <c r="R43" s="157"/>
      <c r="S43" s="157"/>
      <c r="T43" s="157"/>
    </row>
    <row r="44" spans="1:20" s="130" customFormat="1" ht="15.75" customHeight="1">
      <c r="A44" s="151" t="s">
        <v>152</v>
      </c>
      <c r="B44" s="156" t="s">
        <v>108</v>
      </c>
      <c r="C44" s="86">
        <f>+'Calculation of Risk Weighted As'!C44-'Calculation of Risk Weighte нац'!C44</f>
        <v>0</v>
      </c>
      <c r="D44" s="127"/>
      <c r="E44" s="127"/>
      <c r="F44" s="127"/>
      <c r="G44" s="127"/>
      <c r="H44" s="127"/>
      <c r="I44" s="127"/>
      <c r="J44" s="133"/>
      <c r="K44" s="125"/>
      <c r="L44" s="126"/>
      <c r="M44" s="131"/>
      <c r="N44" s="131"/>
      <c r="O44" s="131"/>
      <c r="P44" s="131"/>
      <c r="Q44" s="157"/>
      <c r="R44" s="157"/>
      <c r="S44" s="157"/>
      <c r="T44" s="157"/>
    </row>
    <row r="45" spans="1:20" s="130" customFormat="1" ht="25.5">
      <c r="A45" s="151" t="s">
        <v>153</v>
      </c>
      <c r="B45" s="156" t="s">
        <v>109</v>
      </c>
      <c r="C45" s="127"/>
      <c r="D45" s="127"/>
      <c r="E45" s="127"/>
      <c r="F45" s="127"/>
      <c r="G45" s="127"/>
      <c r="H45" s="86">
        <f>+'Calculation of Risk Weighted As'!H45-'Calculation of Risk Weighte нац'!H45</f>
        <v>0</v>
      </c>
      <c r="I45" s="127"/>
      <c r="J45" s="133"/>
      <c r="K45" s="125"/>
      <c r="L45" s="126"/>
      <c r="M45" s="131"/>
      <c r="N45" s="131"/>
      <c r="O45" s="131"/>
      <c r="P45" s="131"/>
      <c r="Q45" s="157"/>
      <c r="R45" s="157"/>
      <c r="S45" s="157"/>
      <c r="T45" s="157"/>
    </row>
    <row r="46" spans="1:20" s="130" customFormat="1" ht="14.25" customHeight="1">
      <c r="A46" s="151" t="s">
        <v>154</v>
      </c>
      <c r="B46" s="156" t="s">
        <v>110</v>
      </c>
      <c r="C46" s="86">
        <f>+'Calculation of Risk Weighted As'!C46-'Calculation of Risk Weighte нац'!C46</f>
        <v>0</v>
      </c>
      <c r="D46" s="127"/>
      <c r="E46" s="127"/>
      <c r="F46" s="127"/>
      <c r="G46" s="223">
        <f>+'Calculation of Risk Weighted As'!G46-'Calculation of Risk Weighte нац'!G46</f>
        <v>120983016.00000095</v>
      </c>
      <c r="H46" s="127"/>
      <c r="I46" s="127"/>
      <c r="J46" s="133"/>
      <c r="K46" s="125"/>
      <c r="L46" s="126"/>
      <c r="M46" s="131"/>
      <c r="N46" s="131"/>
      <c r="O46" s="131"/>
      <c r="P46" s="131"/>
      <c r="Q46" s="157"/>
      <c r="R46" s="157"/>
      <c r="S46" s="157"/>
      <c r="T46" s="157"/>
    </row>
    <row r="47" spans="1:20" s="130" customFormat="1">
      <c r="A47" s="151" t="s">
        <v>155</v>
      </c>
      <c r="B47" s="156" t="s">
        <v>111</v>
      </c>
      <c r="C47" s="124">
        <f t="shared" ref="C47:J47" si="0">SUM(C8:C46)</f>
        <v>78075478</v>
      </c>
      <c r="D47" s="124">
        <f t="shared" si="0"/>
        <v>2315981</v>
      </c>
      <c r="E47" s="124">
        <f>SUM(E8:E46)</f>
        <v>0</v>
      </c>
      <c r="F47" s="124">
        <f t="shared" si="0"/>
        <v>0</v>
      </c>
      <c r="G47" s="124">
        <f t="shared" si="0"/>
        <v>2094950823.000001</v>
      </c>
      <c r="H47" s="124">
        <f t="shared" si="0"/>
        <v>306653703</v>
      </c>
      <c r="I47" s="124">
        <f t="shared" si="0"/>
        <v>0</v>
      </c>
      <c r="J47" s="132">
        <f t="shared" si="0"/>
        <v>0</v>
      </c>
      <c r="K47" s="125">
        <f>SUM(C47:J47)</f>
        <v>2481995985.000001</v>
      </c>
      <c r="L47" s="126">
        <f>+[6]Balance!$E$45</f>
        <v>2481995985</v>
      </c>
      <c r="M47" s="125">
        <f>+K47-L47</f>
        <v>0</v>
      </c>
      <c r="N47" s="131"/>
      <c r="O47" s="131"/>
      <c r="P47" s="131"/>
      <c r="Q47" s="157"/>
      <c r="R47" s="157"/>
      <c r="S47" s="157"/>
      <c r="T47" s="157"/>
    </row>
    <row r="48" spans="1:20" s="130" customFormat="1">
      <c r="A48" s="151" t="s">
        <v>48</v>
      </c>
      <c r="B48" s="156" t="s">
        <v>112</v>
      </c>
      <c r="C48" s="127"/>
      <c r="D48" s="124">
        <f t="shared" ref="D48:J48" si="1">D47*D3</f>
        <v>463196.2</v>
      </c>
      <c r="E48" s="124">
        <f t="shared" si="1"/>
        <v>0</v>
      </c>
      <c r="F48" s="124">
        <f t="shared" si="1"/>
        <v>0</v>
      </c>
      <c r="G48" s="124">
        <f t="shared" si="1"/>
        <v>2094950823.000001</v>
      </c>
      <c r="H48" s="124">
        <f t="shared" si="1"/>
        <v>459980554.5</v>
      </c>
      <c r="I48" s="124">
        <f t="shared" si="1"/>
        <v>0</v>
      </c>
      <c r="J48" s="132">
        <f t="shared" si="1"/>
        <v>0</v>
      </c>
      <c r="K48" s="125"/>
      <c r="L48" s="126"/>
      <c r="M48" s="131"/>
      <c r="N48" s="131"/>
      <c r="O48" s="131"/>
      <c r="P48" s="131"/>
      <c r="Q48" s="157"/>
      <c r="R48" s="157"/>
      <c r="S48" s="157"/>
      <c r="T48" s="157"/>
    </row>
    <row r="49" spans="1:20" s="130" customFormat="1" ht="13.5" thickBot="1">
      <c r="A49" s="165" t="s">
        <v>49</v>
      </c>
      <c r="B49" s="166" t="s">
        <v>113</v>
      </c>
      <c r="C49" s="128"/>
      <c r="D49" s="128"/>
      <c r="E49" s="128"/>
      <c r="F49" s="128"/>
      <c r="G49" s="128"/>
      <c r="H49" s="128"/>
      <c r="I49" s="128"/>
      <c r="J49" s="134">
        <f>SUM(D48:J48)</f>
        <v>2555394573.7000008</v>
      </c>
      <c r="K49" s="125"/>
      <c r="L49" s="126"/>
      <c r="M49" s="131"/>
      <c r="N49" s="131"/>
      <c r="O49" s="131"/>
      <c r="P49" s="131"/>
      <c r="Q49" s="157"/>
      <c r="R49" s="157"/>
      <c r="S49" s="157"/>
      <c r="T49" s="157"/>
    </row>
    <row r="50" spans="1:20" s="130" customFormat="1">
      <c r="A50" s="167"/>
      <c r="B50" s="168"/>
      <c r="C50" s="129"/>
      <c r="D50" s="129"/>
      <c r="E50" s="129"/>
      <c r="F50" s="129"/>
      <c r="G50" s="129"/>
      <c r="J50" s="126"/>
      <c r="K50" s="131"/>
      <c r="L50" s="131"/>
      <c r="M50" s="131"/>
      <c r="N50" s="131"/>
      <c r="O50" s="131"/>
      <c r="P50" s="131"/>
      <c r="Q50" s="157"/>
      <c r="R50" s="157"/>
      <c r="S50" s="157"/>
      <c r="T50" s="157"/>
    </row>
    <row r="51" spans="1:20" s="130" customFormat="1" ht="13.5" thickBot="1">
      <c r="A51" s="167"/>
      <c r="B51" s="169"/>
      <c r="C51" s="169"/>
      <c r="D51" s="169"/>
      <c r="E51" s="169"/>
      <c r="F51" s="169"/>
      <c r="G51" s="169"/>
      <c r="H51" s="169"/>
      <c r="I51" s="129"/>
      <c r="K51" s="126"/>
      <c r="L51" s="131"/>
      <c r="M51" s="131"/>
      <c r="N51" s="131"/>
      <c r="O51" s="131"/>
      <c r="P51" s="131"/>
      <c r="Q51" s="157"/>
      <c r="R51" s="157"/>
      <c r="S51" s="157"/>
      <c r="T51" s="157"/>
    </row>
    <row r="52" spans="1:20" s="130" customFormat="1" ht="12.75" customHeight="1">
      <c r="A52" s="240" t="s">
        <v>90</v>
      </c>
      <c r="B52" s="247" t="s">
        <v>62</v>
      </c>
      <c r="C52" s="248"/>
      <c r="D52" s="255" t="s">
        <v>114</v>
      </c>
      <c r="E52" s="256"/>
      <c r="F52" s="170">
        <v>0</v>
      </c>
      <c r="G52" s="171">
        <v>0.2</v>
      </c>
      <c r="H52" s="171">
        <v>0.5</v>
      </c>
      <c r="I52" s="171">
        <v>1</v>
      </c>
      <c r="J52" s="242" t="s">
        <v>115</v>
      </c>
      <c r="K52" s="126"/>
      <c r="L52" s="131"/>
      <c r="M52" s="131"/>
      <c r="N52" s="131"/>
      <c r="O52" s="131"/>
      <c r="P52" s="131"/>
      <c r="Q52" s="157"/>
      <c r="R52" s="157"/>
      <c r="S52" s="157"/>
      <c r="T52" s="157"/>
    </row>
    <row r="53" spans="1:20" s="130" customFormat="1" ht="9.75" customHeight="1">
      <c r="A53" s="241"/>
      <c r="B53" s="249"/>
      <c r="C53" s="250"/>
      <c r="D53" s="257"/>
      <c r="E53" s="258"/>
      <c r="F53" s="244" t="s">
        <v>91</v>
      </c>
      <c r="G53" s="239" t="s">
        <v>91</v>
      </c>
      <c r="H53" s="239" t="s">
        <v>91</v>
      </c>
      <c r="I53" s="239" t="s">
        <v>91</v>
      </c>
      <c r="J53" s="243"/>
      <c r="K53" s="126"/>
      <c r="L53" s="131"/>
      <c r="M53" s="131"/>
      <c r="N53" s="131"/>
      <c r="O53" s="131"/>
      <c r="P53" s="131"/>
      <c r="Q53" s="157"/>
      <c r="R53" s="157"/>
      <c r="S53" s="157"/>
      <c r="T53" s="157"/>
    </row>
    <row r="54" spans="1:20" s="130" customFormat="1" ht="17.25" customHeight="1">
      <c r="A54" s="241"/>
      <c r="B54" s="251"/>
      <c r="C54" s="252"/>
      <c r="D54" s="259"/>
      <c r="E54" s="260"/>
      <c r="F54" s="245"/>
      <c r="G54" s="246"/>
      <c r="H54" s="246"/>
      <c r="I54" s="246"/>
      <c r="J54" s="243"/>
      <c r="K54" s="126"/>
      <c r="L54" s="131"/>
      <c r="M54" s="131"/>
      <c r="N54" s="131"/>
      <c r="O54" s="131"/>
      <c r="P54" s="131"/>
      <c r="Q54" s="157"/>
      <c r="R54" s="157"/>
      <c r="S54" s="157"/>
      <c r="T54" s="157"/>
    </row>
    <row r="55" spans="1:20" s="130" customFormat="1">
      <c r="A55" s="241"/>
      <c r="B55" s="233" t="s">
        <v>63</v>
      </c>
      <c r="C55" s="234"/>
      <c r="D55" s="233" t="s">
        <v>64</v>
      </c>
      <c r="E55" s="234"/>
      <c r="F55" s="172" t="s">
        <v>65</v>
      </c>
      <c r="G55" s="149" t="s">
        <v>66</v>
      </c>
      <c r="H55" s="149" t="s">
        <v>92</v>
      </c>
      <c r="I55" s="149" t="s">
        <v>93</v>
      </c>
      <c r="J55" s="150" t="s">
        <v>116</v>
      </c>
      <c r="K55" s="126"/>
      <c r="L55" s="131"/>
      <c r="M55" s="131"/>
      <c r="N55" s="131"/>
      <c r="O55" s="131"/>
      <c r="P55" s="131"/>
      <c r="Q55" s="157"/>
      <c r="R55" s="157"/>
      <c r="S55" s="157"/>
      <c r="T55" s="157"/>
    </row>
    <row r="56" spans="1:20" s="130" customFormat="1">
      <c r="A56" s="263" t="s">
        <v>117</v>
      </c>
      <c r="B56" s="264"/>
      <c r="C56" s="264"/>
      <c r="D56" s="264"/>
      <c r="E56" s="264"/>
      <c r="F56" s="264"/>
      <c r="G56" s="264"/>
      <c r="H56" s="264"/>
      <c r="I56" s="264"/>
      <c r="J56" s="265"/>
      <c r="K56" s="126"/>
      <c r="L56" s="131"/>
      <c r="M56" s="131"/>
      <c r="N56" s="131"/>
      <c r="O56" s="131"/>
      <c r="P56" s="131"/>
      <c r="Q56" s="157"/>
      <c r="R56" s="157"/>
      <c r="S56" s="157"/>
      <c r="T56" s="157"/>
    </row>
    <row r="57" spans="1:20" s="130" customFormat="1">
      <c r="A57" s="173">
        <v>1</v>
      </c>
      <c r="B57" s="229" t="s">
        <v>118</v>
      </c>
      <c r="C57" s="230"/>
      <c r="D57" s="127"/>
      <c r="E57" s="127"/>
      <c r="F57" s="127"/>
      <c r="G57" s="127"/>
      <c r="H57" s="127"/>
      <c r="I57" s="127"/>
      <c r="J57" s="133"/>
      <c r="K57" s="126"/>
      <c r="L57" s="131"/>
      <c r="M57" s="131"/>
      <c r="N57" s="131"/>
      <c r="O57" s="131"/>
      <c r="P57" s="131"/>
      <c r="Q57" s="157"/>
      <c r="R57" s="157"/>
      <c r="S57" s="157"/>
      <c r="T57" s="157"/>
    </row>
    <row r="58" spans="1:20" s="130" customFormat="1">
      <c r="A58" s="173" t="s">
        <v>68</v>
      </c>
      <c r="B58" s="229" t="s">
        <v>119</v>
      </c>
      <c r="C58" s="230"/>
      <c r="D58" s="261">
        <v>0.5</v>
      </c>
      <c r="E58" s="262"/>
      <c r="F58" s="86">
        <f>+'Calculation of Risk Weighted As'!F58-'Calculation of Risk Weighte нац'!F58</f>
        <v>0</v>
      </c>
      <c r="G58" s="86">
        <f>+'Calculation of Risk Weighted As'!G58-'Calculation of Risk Weighte нац'!G58</f>
        <v>0</v>
      </c>
      <c r="H58" s="86">
        <f>+'Calculation of Risk Weighted As'!H58-'Calculation of Risk Weighte нац'!H58</f>
        <v>0</v>
      </c>
      <c r="I58" s="86">
        <f>+'Calculation of Risk Weighted As'!I58-'Calculation of Risk Weighte нац'!I58</f>
        <v>481475406</v>
      </c>
      <c r="J58" s="132">
        <f>(G58*0.1)+(H58*0.25)+(I58*0.5)</f>
        <v>240737703</v>
      </c>
      <c r="K58" s="126"/>
      <c r="L58" s="131"/>
      <c r="M58" s="131"/>
      <c r="N58" s="131"/>
      <c r="O58" s="131"/>
      <c r="P58" s="131"/>
      <c r="Q58" s="157"/>
      <c r="R58" s="157"/>
      <c r="S58" s="157"/>
      <c r="T58" s="157"/>
    </row>
    <row r="59" spans="1:20" s="130" customFormat="1">
      <c r="A59" s="173" t="s">
        <v>70</v>
      </c>
      <c r="B59" s="229" t="s">
        <v>120</v>
      </c>
      <c r="C59" s="230"/>
      <c r="D59" s="261">
        <v>0.2</v>
      </c>
      <c r="E59" s="262"/>
      <c r="F59" s="86">
        <f>+'Calculation of Risk Weighted As'!F59-'Calculation of Risk Weighte нац'!F59</f>
        <v>0</v>
      </c>
      <c r="G59" s="86">
        <f>+'Calculation of Risk Weighted As'!G59-'Calculation of Risk Weighte нац'!G59</f>
        <v>0</v>
      </c>
      <c r="H59" s="86">
        <f>+'Calculation of Risk Weighted As'!H59-'Calculation of Risk Weighte нац'!H59</f>
        <v>0</v>
      </c>
      <c r="I59" s="86">
        <f>+'Calculation of Risk Weighted As'!I59-'Calculation of Risk Weighte нац'!I59</f>
        <v>0</v>
      </c>
      <c r="J59" s="132">
        <f>(G59*0.04)+(H59*0.1)+(I59*0.2)</f>
        <v>0</v>
      </c>
      <c r="K59" s="126"/>
      <c r="L59" s="131"/>
      <c r="M59" s="131"/>
      <c r="N59" s="131"/>
      <c r="O59" s="131"/>
      <c r="P59" s="131"/>
      <c r="Q59" s="157"/>
      <c r="R59" s="157"/>
      <c r="S59" s="157"/>
      <c r="T59" s="157"/>
    </row>
    <row r="60" spans="1:20" s="130" customFormat="1" ht="26.25" customHeight="1">
      <c r="A60" s="173">
        <v>2</v>
      </c>
      <c r="B60" s="229" t="s">
        <v>230</v>
      </c>
      <c r="C60" s="230"/>
      <c r="D60" s="261">
        <v>1</v>
      </c>
      <c r="E60" s="262"/>
      <c r="F60" s="86">
        <f>+'Calculation of Risk Weighted As'!F60-'Calculation of Risk Weighte нац'!F60</f>
        <v>0</v>
      </c>
      <c r="G60" s="86">
        <f>+'Calculation of Risk Weighted As'!G60-'Calculation of Risk Weighte нац'!G60</f>
        <v>0</v>
      </c>
      <c r="H60" s="86">
        <f>+'Calculation of Risk Weighted As'!H60-'Calculation of Risk Weighte нац'!H60</f>
        <v>0</v>
      </c>
      <c r="I60" s="86">
        <f>+'Calculation of Risk Weighted As'!I60-'Calculation of Risk Weighte нац'!I60</f>
        <v>0</v>
      </c>
      <c r="J60" s="132">
        <f>(G60*0.2)+(H60*0.5)+(I60*1)</f>
        <v>0</v>
      </c>
      <c r="K60" s="126"/>
      <c r="L60" s="131"/>
      <c r="M60" s="131"/>
      <c r="N60" s="131"/>
      <c r="O60" s="131"/>
      <c r="P60" s="131"/>
      <c r="Q60" s="157"/>
      <c r="R60" s="157"/>
      <c r="S60" s="157"/>
      <c r="T60" s="157"/>
    </row>
    <row r="61" spans="1:20" s="130" customFormat="1">
      <c r="A61" s="173">
        <v>3</v>
      </c>
      <c r="B61" s="229" t="s">
        <v>121</v>
      </c>
      <c r="C61" s="230"/>
      <c r="D61" s="261">
        <v>1</v>
      </c>
      <c r="E61" s="262"/>
      <c r="F61" s="86">
        <f>+'Calculation of Risk Weighted As'!F61-'Calculation of Risk Weighte нац'!F61</f>
        <v>0</v>
      </c>
      <c r="G61" s="127"/>
      <c r="H61" s="127"/>
      <c r="I61" s="86">
        <f>+'Calculation of Risk Weighted As'!I61-'Calculation of Risk Weighte нац'!I61</f>
        <v>117217348</v>
      </c>
      <c r="J61" s="132">
        <f>(G61*0.2)+(H61*0.5)+(I61*1)</f>
        <v>117217348</v>
      </c>
      <c r="K61" s="126"/>
      <c r="L61" s="131"/>
      <c r="M61" s="131"/>
      <c r="N61" s="131"/>
      <c r="O61" s="131"/>
      <c r="P61" s="131"/>
      <c r="Q61" s="157"/>
      <c r="R61" s="157"/>
      <c r="S61" s="157"/>
      <c r="T61" s="157"/>
    </row>
    <row r="62" spans="1:20" s="130" customFormat="1">
      <c r="A62" s="173">
        <v>4</v>
      </c>
      <c r="B62" s="229" t="s">
        <v>122</v>
      </c>
      <c r="C62" s="230"/>
      <c r="D62" s="174"/>
      <c r="E62" s="174"/>
      <c r="F62" s="127"/>
      <c r="G62" s="127"/>
      <c r="H62" s="127"/>
      <c r="I62" s="127"/>
      <c r="J62" s="133"/>
      <c r="K62" s="126"/>
      <c r="L62" s="131"/>
      <c r="M62" s="131"/>
      <c r="N62" s="131"/>
      <c r="O62" s="131"/>
      <c r="P62" s="131"/>
      <c r="Q62" s="157"/>
      <c r="R62" s="157"/>
      <c r="S62" s="157"/>
      <c r="T62" s="157"/>
    </row>
    <row r="63" spans="1:20" s="130" customFormat="1">
      <c r="A63" s="173" t="s">
        <v>68</v>
      </c>
      <c r="B63" s="229" t="s">
        <v>123</v>
      </c>
      <c r="C63" s="230"/>
      <c r="D63" s="261">
        <v>1</v>
      </c>
      <c r="E63" s="262"/>
      <c r="F63" s="86">
        <f>+'Calculation of Risk Weighted As'!F63-'Calculation of Risk Weighte нац'!F63</f>
        <v>0</v>
      </c>
      <c r="G63" s="86">
        <f>+'Calculation of Risk Weighted As'!G63-'Calculation of Risk Weighte нац'!G63</f>
        <v>0</v>
      </c>
      <c r="H63" s="86">
        <f>+'Calculation of Risk Weighted As'!H63-'Calculation of Risk Weighte нац'!H63</f>
        <v>0</v>
      </c>
      <c r="I63" s="86">
        <f>+'Calculation of Risk Weighted As'!I63-'Calculation of Risk Weighte нац'!I63</f>
        <v>0</v>
      </c>
      <c r="J63" s="132">
        <f>(G63*0.2)+(H63*0.5)+(I63*1)</f>
        <v>0</v>
      </c>
      <c r="K63" s="126"/>
      <c r="L63" s="131"/>
      <c r="M63" s="131"/>
      <c r="N63" s="131"/>
      <c r="O63" s="131"/>
      <c r="P63" s="131"/>
      <c r="Q63" s="157"/>
      <c r="R63" s="157"/>
      <c r="S63" s="157"/>
      <c r="T63" s="157"/>
    </row>
    <row r="64" spans="1:20" s="130" customFormat="1">
      <c r="A64" s="173" t="s">
        <v>70</v>
      </c>
      <c r="B64" s="229" t="s">
        <v>124</v>
      </c>
      <c r="C64" s="230"/>
      <c r="D64" s="261">
        <v>0.5</v>
      </c>
      <c r="E64" s="262"/>
      <c r="F64" s="86">
        <f>+'Calculation of Risk Weighted As'!F64-'Calculation of Risk Weighte нац'!F64</f>
        <v>0</v>
      </c>
      <c r="G64" s="86">
        <f>+'Calculation of Risk Weighted As'!G64-'Calculation of Risk Weighte нац'!G64</f>
        <v>0</v>
      </c>
      <c r="H64" s="86">
        <f>+'Calculation of Risk Weighted As'!H64-'Calculation of Risk Weighte нац'!H64</f>
        <v>0</v>
      </c>
      <c r="I64" s="86">
        <f>+'Calculation of Risk Weighted As'!I64-'Calculation of Risk Weighte нац'!I64</f>
        <v>0</v>
      </c>
      <c r="J64" s="132">
        <f>(G64*0.1)+(H64*0.25)+(I64*0.5)</f>
        <v>0</v>
      </c>
      <c r="K64" s="126"/>
      <c r="L64" s="131"/>
      <c r="M64" s="131"/>
      <c r="N64" s="131"/>
      <c r="O64" s="131"/>
      <c r="P64" s="131"/>
      <c r="Q64" s="157"/>
      <c r="R64" s="157"/>
      <c r="S64" s="157"/>
      <c r="T64" s="157"/>
    </row>
    <row r="65" spans="1:20" s="130" customFormat="1" ht="12.75" customHeight="1">
      <c r="A65" s="173" t="s">
        <v>72</v>
      </c>
      <c r="B65" s="229" t="s">
        <v>231</v>
      </c>
      <c r="C65" s="230"/>
      <c r="D65" s="261">
        <v>0.2</v>
      </c>
      <c r="E65" s="262"/>
      <c r="F65" s="86">
        <f>+'Calculation of Risk Weighted As'!F65-'Calculation of Risk Weighte нац'!F65</f>
        <v>0</v>
      </c>
      <c r="G65" s="86">
        <f>+'Calculation of Risk Weighted As'!G65-'Calculation of Risk Weighte нац'!G65</f>
        <v>0</v>
      </c>
      <c r="H65" s="86">
        <f>+'Calculation of Risk Weighted As'!H65-'Calculation of Risk Weighte нац'!H65</f>
        <v>0</v>
      </c>
      <c r="I65" s="86">
        <f>+'Calculation of Risk Weighted As'!I65-'Calculation of Risk Weighte нац'!I65</f>
        <v>0</v>
      </c>
      <c r="J65" s="132">
        <f>(G65*0.04)+(H65*0.1)+(I65*0.2)</f>
        <v>0</v>
      </c>
      <c r="K65" s="126"/>
      <c r="L65" s="131"/>
      <c r="M65" s="131"/>
      <c r="N65" s="131"/>
      <c r="O65" s="131"/>
      <c r="P65" s="131"/>
      <c r="Q65" s="157"/>
      <c r="R65" s="157"/>
      <c r="S65" s="157"/>
      <c r="T65" s="157"/>
    </row>
    <row r="66" spans="1:20" s="130" customFormat="1">
      <c r="A66" s="173" t="s">
        <v>79</v>
      </c>
      <c r="B66" s="229" t="s">
        <v>203</v>
      </c>
      <c r="C66" s="230"/>
      <c r="D66" s="261">
        <v>1</v>
      </c>
      <c r="E66" s="262"/>
      <c r="F66" s="86">
        <f>+'Calculation of Risk Weighted As'!F66-'Calculation of Risk Weighte нац'!F66</f>
        <v>0</v>
      </c>
      <c r="G66" s="127"/>
      <c r="H66" s="127"/>
      <c r="I66" s="86">
        <f>+'Calculation of Risk Weighted As'!I66-'Calculation of Risk Weighte нац'!I66</f>
        <v>0</v>
      </c>
      <c r="J66" s="132">
        <f>(G66*0.2)+(H66*0.5)+(I66*1)</f>
        <v>0</v>
      </c>
      <c r="K66" s="126"/>
      <c r="L66" s="131"/>
      <c r="M66" s="131"/>
      <c r="N66" s="131"/>
      <c r="O66" s="131"/>
      <c r="P66" s="131"/>
      <c r="Q66" s="157"/>
      <c r="R66" s="157"/>
      <c r="S66" s="157"/>
      <c r="T66" s="157"/>
    </row>
    <row r="67" spans="1:20" s="130" customFormat="1">
      <c r="A67" s="173">
        <v>5</v>
      </c>
      <c r="B67" s="217" t="s">
        <v>125</v>
      </c>
      <c r="C67" s="218"/>
      <c r="D67" s="174"/>
      <c r="E67" s="174"/>
      <c r="F67" s="127"/>
      <c r="G67" s="127"/>
      <c r="H67" s="127"/>
      <c r="I67" s="127"/>
      <c r="J67" s="133"/>
      <c r="K67" s="126"/>
      <c r="L67" s="131"/>
      <c r="M67" s="131"/>
      <c r="N67" s="131"/>
      <c r="O67" s="131"/>
      <c r="P67" s="131"/>
      <c r="Q67" s="157"/>
      <c r="R67" s="157"/>
      <c r="S67" s="157"/>
      <c r="T67" s="157"/>
    </row>
    <row r="68" spans="1:20" s="130" customFormat="1">
      <c r="A68" s="173" t="s">
        <v>68</v>
      </c>
      <c r="B68" s="217" t="s">
        <v>126</v>
      </c>
      <c r="C68" s="218"/>
      <c r="D68" s="174"/>
      <c r="E68" s="174"/>
      <c r="F68" s="127"/>
      <c r="G68" s="127"/>
      <c r="H68" s="127"/>
      <c r="I68" s="127"/>
      <c r="J68" s="133"/>
      <c r="K68" s="126"/>
      <c r="L68" s="131"/>
      <c r="M68" s="131"/>
      <c r="N68" s="131"/>
      <c r="O68" s="131"/>
      <c r="P68" s="131"/>
      <c r="Q68" s="157"/>
      <c r="R68" s="157"/>
      <c r="S68" s="157"/>
      <c r="T68" s="157"/>
    </row>
    <row r="69" spans="1:20" s="130" customFormat="1">
      <c r="A69" s="173" t="s">
        <v>127</v>
      </c>
      <c r="B69" s="217" t="s">
        <v>232</v>
      </c>
      <c r="C69" s="218"/>
      <c r="D69" s="266">
        <v>5.0000000000000001E-3</v>
      </c>
      <c r="E69" s="267"/>
      <c r="F69" s="86">
        <f>+'Calculation of Risk Weighted As'!F69-'Calculation of Risk Weighte нац'!F69</f>
        <v>0</v>
      </c>
      <c r="G69" s="86">
        <f>+'Calculation of Risk Weighted As'!G69-'Calculation of Risk Weighte нац'!G69</f>
        <v>0</v>
      </c>
      <c r="H69" s="86">
        <f>+'Calculation of Risk Weighted As'!H69-'Calculation of Risk Weighte нац'!H69</f>
        <v>0</v>
      </c>
      <c r="I69" s="86">
        <f>+'Calculation of Risk Weighted As'!I69-'Calculation of Risk Weighte нац'!I69</f>
        <v>0</v>
      </c>
      <c r="J69" s="132">
        <f>(G69*0.001)+(H69*0.0025)+(I69*0.005)</f>
        <v>0</v>
      </c>
      <c r="K69" s="126"/>
      <c r="L69" s="131"/>
      <c r="M69" s="131"/>
      <c r="N69" s="131"/>
      <c r="O69" s="131"/>
      <c r="P69" s="131"/>
      <c r="Q69" s="157"/>
      <c r="R69" s="157"/>
      <c r="S69" s="157"/>
      <c r="T69" s="157"/>
    </row>
    <row r="70" spans="1:20" s="130" customFormat="1">
      <c r="A70" s="173" t="s">
        <v>128</v>
      </c>
      <c r="B70" s="217" t="s">
        <v>233</v>
      </c>
      <c r="C70" s="218"/>
      <c r="D70" s="261">
        <v>0.01</v>
      </c>
      <c r="E70" s="262"/>
      <c r="F70" s="86">
        <f>+'Calculation of Risk Weighted As'!F70-'Calculation of Risk Weighte нац'!F70</f>
        <v>0</v>
      </c>
      <c r="G70" s="86">
        <f>+'Calculation of Risk Weighted As'!G70-'Calculation of Risk Weighte нац'!G70</f>
        <v>0</v>
      </c>
      <c r="H70" s="86">
        <f>+'Calculation of Risk Weighted As'!H70-'Calculation of Risk Weighte нац'!H70</f>
        <v>0</v>
      </c>
      <c r="I70" s="86">
        <f>+'Calculation of Risk Weighted As'!I70-'Calculation of Risk Weighte нац'!I70</f>
        <v>0</v>
      </c>
      <c r="J70" s="132">
        <f>(G70*0.002)+(H70*0.005)+(I70*0.01)</f>
        <v>0</v>
      </c>
      <c r="K70" s="126"/>
      <c r="L70" s="131"/>
      <c r="M70" s="131"/>
      <c r="N70" s="131"/>
      <c r="O70" s="131"/>
      <c r="P70" s="131"/>
      <c r="Q70" s="157"/>
      <c r="R70" s="157"/>
      <c r="S70" s="157"/>
      <c r="T70" s="157"/>
    </row>
    <row r="71" spans="1:20" s="130" customFormat="1">
      <c r="A71" s="173" t="s">
        <v>129</v>
      </c>
      <c r="B71" s="217" t="s">
        <v>234</v>
      </c>
      <c r="C71" s="218"/>
      <c r="D71" s="261">
        <v>0.02</v>
      </c>
      <c r="E71" s="262"/>
      <c r="F71" s="86">
        <f>+'Calculation of Risk Weighted As'!F71-'Calculation of Risk Weighte нац'!F71</f>
        <v>0</v>
      </c>
      <c r="G71" s="86">
        <f>+'Calculation of Risk Weighted As'!G71-'Calculation of Risk Weighte нац'!G71</f>
        <v>0</v>
      </c>
      <c r="H71" s="86">
        <f>+'Calculation of Risk Weighted As'!H71-'Calculation of Risk Weighte нац'!H71</f>
        <v>0</v>
      </c>
      <c r="I71" s="86">
        <f>+'Calculation of Risk Weighted As'!I71-'Calculation of Risk Weighte нац'!I71</f>
        <v>0</v>
      </c>
      <c r="J71" s="124">
        <f>(G71*0.004)+(H71*0.01)+(I71*0.02)</f>
        <v>0</v>
      </c>
      <c r="K71" s="126"/>
      <c r="L71" s="131"/>
      <c r="M71" s="131"/>
      <c r="N71" s="131"/>
      <c r="O71" s="131"/>
      <c r="P71" s="131"/>
      <c r="Q71" s="157"/>
      <c r="R71" s="157"/>
      <c r="S71" s="157"/>
      <c r="T71" s="157"/>
    </row>
    <row r="72" spans="1:20" s="130" customFormat="1">
      <c r="A72" s="173" t="s">
        <v>70</v>
      </c>
      <c r="B72" s="217" t="s">
        <v>235</v>
      </c>
      <c r="C72" s="218"/>
      <c r="D72" s="174"/>
      <c r="E72" s="174"/>
      <c r="F72" s="127"/>
      <c r="G72" s="127"/>
      <c r="H72" s="127"/>
      <c r="I72" s="127"/>
      <c r="J72" s="133"/>
      <c r="K72" s="126"/>
      <c r="L72" s="131"/>
      <c r="M72" s="131"/>
      <c r="N72" s="131"/>
      <c r="O72" s="131"/>
      <c r="P72" s="131"/>
      <c r="Q72" s="157"/>
      <c r="R72" s="157"/>
      <c r="S72" s="157"/>
      <c r="T72" s="157"/>
    </row>
    <row r="73" spans="1:20" s="130" customFormat="1">
      <c r="A73" s="173" t="s">
        <v>130</v>
      </c>
      <c r="B73" s="217" t="s">
        <v>232</v>
      </c>
      <c r="C73" s="218"/>
      <c r="D73" s="261">
        <v>0.02</v>
      </c>
      <c r="E73" s="262"/>
      <c r="F73" s="86">
        <f>+'Calculation of Risk Weighted As'!F73-'Calculation of Risk Weighte нац'!F73</f>
        <v>0</v>
      </c>
      <c r="G73" s="86">
        <f>+'Calculation of Risk Weighted As'!G73-'Calculation of Risk Weighte нац'!G73</f>
        <v>0</v>
      </c>
      <c r="H73" s="86">
        <f>+'Calculation of Risk Weighted As'!H73-'Calculation of Risk Weighte нац'!H73</f>
        <v>0</v>
      </c>
      <c r="I73" s="86">
        <f>+'Calculation of Risk Weighted As'!I73-'Calculation of Risk Weighte нац'!I73</f>
        <v>0</v>
      </c>
      <c r="J73" s="132">
        <f>(G73*0.004)+(H73*0.01)+(I73*0.02)</f>
        <v>0</v>
      </c>
      <c r="K73" s="126"/>
      <c r="L73" s="131"/>
      <c r="M73" s="131"/>
      <c r="N73" s="131"/>
      <c r="O73" s="131"/>
      <c r="P73" s="131"/>
      <c r="Q73" s="157"/>
      <c r="R73" s="157"/>
      <c r="S73" s="157"/>
      <c r="T73" s="157"/>
    </row>
    <row r="74" spans="1:20" s="130" customFormat="1">
      <c r="A74" s="173" t="s">
        <v>131</v>
      </c>
      <c r="B74" s="217" t="s">
        <v>233</v>
      </c>
      <c r="C74" s="218"/>
      <c r="D74" s="261">
        <v>0.05</v>
      </c>
      <c r="E74" s="262"/>
      <c r="F74" s="86">
        <f>+'Calculation of Risk Weighted As'!F74-'Calculation of Risk Weighte нац'!F74</f>
        <v>0</v>
      </c>
      <c r="G74" s="86">
        <f>+'Calculation of Risk Weighted As'!G74-'Calculation of Risk Weighte нац'!G74</f>
        <v>0</v>
      </c>
      <c r="H74" s="86">
        <f>+'Calculation of Risk Weighted As'!H74-'Calculation of Risk Weighte нац'!H74</f>
        <v>0</v>
      </c>
      <c r="I74" s="86">
        <f>+'Calculation of Risk Weighted As'!I74-'Calculation of Risk Weighte нац'!I74</f>
        <v>0</v>
      </c>
      <c r="J74" s="132">
        <f>(G74*0.01)+(H74*0.025)+(I74*0.05)</f>
        <v>0</v>
      </c>
      <c r="K74" s="126"/>
      <c r="L74" s="131"/>
      <c r="M74" s="131"/>
      <c r="N74" s="131"/>
      <c r="O74" s="131"/>
      <c r="P74" s="131"/>
      <c r="Q74" s="157"/>
      <c r="R74" s="157"/>
      <c r="S74" s="157"/>
      <c r="T74" s="157"/>
    </row>
    <row r="75" spans="1:20" s="130" customFormat="1">
      <c r="A75" s="173" t="s">
        <v>132</v>
      </c>
      <c r="B75" s="217" t="s">
        <v>234</v>
      </c>
      <c r="C75" s="218"/>
      <c r="D75" s="261">
        <v>0.08</v>
      </c>
      <c r="E75" s="262"/>
      <c r="F75" s="86">
        <f>+'Calculation of Risk Weighted As'!F75-'Calculation of Risk Weighte нац'!F75</f>
        <v>0</v>
      </c>
      <c r="G75" s="86">
        <f>+'Calculation of Risk Weighted As'!G75-'Calculation of Risk Weighte нац'!G75</f>
        <v>0</v>
      </c>
      <c r="H75" s="86">
        <f>+'Calculation of Risk Weighted As'!H75-'Calculation of Risk Weighte нац'!H75</f>
        <v>0</v>
      </c>
      <c r="I75" s="86">
        <f>+'Calculation of Risk Weighted As'!I75-'Calculation of Risk Weighte нац'!I75</f>
        <v>0</v>
      </c>
      <c r="J75" s="132">
        <f>(G75*0.016)+(H75*0.04)+(I75*0.08)</f>
        <v>0</v>
      </c>
      <c r="K75" s="126"/>
      <c r="L75" s="131"/>
      <c r="M75" s="131"/>
      <c r="N75" s="131"/>
      <c r="O75" s="131"/>
      <c r="P75" s="131"/>
      <c r="Q75" s="157"/>
      <c r="R75" s="157"/>
      <c r="S75" s="157"/>
      <c r="T75" s="157"/>
    </row>
    <row r="76" spans="1:20" s="130" customFormat="1">
      <c r="A76" s="173">
        <v>6</v>
      </c>
      <c r="B76" s="229" t="s">
        <v>133</v>
      </c>
      <c r="C76" s="230"/>
      <c r="D76" s="174"/>
      <c r="E76" s="174"/>
      <c r="F76" s="124">
        <f>SUM(F58:F75)</f>
        <v>0</v>
      </c>
      <c r="G76" s="124">
        <f>SUM(G58:G75)</f>
        <v>0</v>
      </c>
      <c r="H76" s="124">
        <f>SUM(H58:H75)</f>
        <v>0</v>
      </c>
      <c r="I76" s="124">
        <f>SUM(I58:I75)</f>
        <v>598692754</v>
      </c>
      <c r="J76" s="133"/>
      <c r="K76" s="175">
        <f>+F76+G76+H76+I76</f>
        <v>598692754</v>
      </c>
      <c r="L76" s="175">
        <f>+[6]Commitments!$E$4+[6]Commitments!$E$7+[6]Commitments!$E$10+[6]Commitments!$E$19+[6]Commitments!$E$20+[6]Commitments!$E$21+[6]Commitments!$E$22</f>
        <v>598692754</v>
      </c>
      <c r="M76" s="176">
        <f>+K76-L76</f>
        <v>0</v>
      </c>
      <c r="N76" s="131"/>
      <c r="O76" s="131"/>
      <c r="P76" s="131"/>
      <c r="Q76" s="157"/>
      <c r="R76" s="157"/>
      <c r="S76" s="157"/>
      <c r="T76" s="157"/>
    </row>
    <row r="77" spans="1:20" s="130" customFormat="1">
      <c r="A77" s="173">
        <v>7</v>
      </c>
      <c r="B77" s="229" t="s">
        <v>134</v>
      </c>
      <c r="C77" s="230"/>
      <c r="D77" s="174"/>
      <c r="E77" s="174"/>
      <c r="F77" s="127"/>
      <c r="G77" s="127"/>
      <c r="H77" s="127"/>
      <c r="I77" s="127"/>
      <c r="J77" s="132">
        <f>SUM(J58:J75)</f>
        <v>357955051</v>
      </c>
      <c r="K77" s="126"/>
      <c r="L77" s="131"/>
      <c r="M77" s="131"/>
      <c r="N77" s="131"/>
      <c r="O77" s="131"/>
      <c r="P77" s="131"/>
      <c r="Q77" s="157"/>
      <c r="R77" s="157"/>
      <c r="S77" s="157"/>
      <c r="T77" s="157"/>
    </row>
    <row r="78" spans="1:20" s="130" customFormat="1" ht="13.5" thickBot="1">
      <c r="A78" s="177">
        <v>8</v>
      </c>
      <c r="B78" s="231" t="s">
        <v>135</v>
      </c>
      <c r="C78" s="232"/>
      <c r="D78" s="178"/>
      <c r="E78" s="178"/>
      <c r="F78" s="128"/>
      <c r="G78" s="128"/>
      <c r="H78" s="128"/>
      <c r="I78" s="128"/>
      <c r="J78" s="134">
        <f>SUM(J77+J49)</f>
        <v>2913349624.7000008</v>
      </c>
      <c r="K78" s="126">
        <f>+J78*0.15</f>
        <v>437002443.7050001</v>
      </c>
      <c r="L78" s="131"/>
      <c r="M78" s="131"/>
      <c r="N78" s="131"/>
      <c r="O78" s="131"/>
      <c r="P78" s="131"/>
      <c r="Q78" s="157"/>
      <c r="R78" s="157"/>
      <c r="S78" s="157"/>
      <c r="T78" s="157"/>
    </row>
    <row r="79" spans="1:20">
      <c r="J79" s="135"/>
      <c r="K79" s="143"/>
    </row>
    <row r="80" spans="1:20">
      <c r="B80" s="179" t="s">
        <v>0</v>
      </c>
      <c r="C80" s="179"/>
      <c r="J80" s="135"/>
      <c r="K80" s="143"/>
    </row>
    <row r="81" spans="2:11">
      <c r="B81" s="179"/>
      <c r="C81" s="179"/>
      <c r="J81" s="135"/>
      <c r="K81" s="143"/>
    </row>
    <row r="82" spans="2:11">
      <c r="B82" s="179" t="s">
        <v>1</v>
      </c>
    </row>
  </sheetData>
  <sheetProtection password="CACA" sheet="1" objects="1" scenarios="1"/>
  <mergeCells count="43">
    <mergeCell ref="B64:C64"/>
    <mergeCell ref="D64:E64"/>
    <mergeCell ref="D60:E60"/>
    <mergeCell ref="B76:C76"/>
    <mergeCell ref="B77:C77"/>
    <mergeCell ref="B60:C60"/>
    <mergeCell ref="D71:E71"/>
    <mergeCell ref="B65:C65"/>
    <mergeCell ref="D65:E65"/>
    <mergeCell ref="B66:C66"/>
    <mergeCell ref="D66:E66"/>
    <mergeCell ref="B78:C78"/>
    <mergeCell ref="D55:E55"/>
    <mergeCell ref="D73:E73"/>
    <mergeCell ref="D74:E74"/>
    <mergeCell ref="D75:E75"/>
    <mergeCell ref="D69:E69"/>
    <mergeCell ref="D70:E70"/>
    <mergeCell ref="B61:C61"/>
    <mergeCell ref="D61:E61"/>
    <mergeCell ref="B62:C62"/>
    <mergeCell ref="B63:C63"/>
    <mergeCell ref="D63:E63"/>
    <mergeCell ref="B58:C58"/>
    <mergeCell ref="D58:E58"/>
    <mergeCell ref="B59:C59"/>
    <mergeCell ref="D59:E59"/>
    <mergeCell ref="A56:J56"/>
    <mergeCell ref="B57:C57"/>
    <mergeCell ref="A1:H1"/>
    <mergeCell ref="I1:J1"/>
    <mergeCell ref="G2:H2"/>
    <mergeCell ref="A3:A4"/>
    <mergeCell ref="B3:B4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</mergeCells>
  <conditionalFormatting sqref="K47">
    <cfRule type="cellIs" dxfId="8" priority="55" operator="notEqual">
      <formula>$L$47</formula>
    </cfRule>
  </conditionalFormatting>
  <conditionalFormatting sqref="H29">
    <cfRule type="cellIs" dxfId="7" priority="45" operator="notEqual">
      <formula>$K$35</formula>
    </cfRule>
  </conditionalFormatting>
  <conditionalFormatting sqref="H29">
    <cfRule type="cellIs" dxfId="6" priority="43" operator="notEqual">
      <formula>$K$36</formula>
    </cfRule>
  </conditionalFormatting>
  <conditionalFormatting sqref="H29">
    <cfRule type="cellIs" dxfId="5" priority="35" operator="notEqual">
      <formula>$K$35</formula>
    </cfRule>
  </conditionalFormatting>
  <conditionalFormatting sqref="H29">
    <cfRule type="cellIs" dxfId="4" priority="33" operator="notEqual">
      <formula>$K$36</formula>
    </cfRule>
  </conditionalFormatting>
  <conditionalFormatting sqref="K34">
    <cfRule type="cellIs" dxfId="3" priority="4" operator="notEqual">
      <formula>$H$34+$J$34</formula>
    </cfRule>
  </conditionalFormatting>
  <conditionalFormatting sqref="K35">
    <cfRule type="cellIs" dxfId="2" priority="3" operator="notEqual">
      <formula>$H$35+$J$35</formula>
    </cfRule>
  </conditionalFormatting>
  <conditionalFormatting sqref="H34">
    <cfRule type="cellIs" dxfId="1" priority="2" operator="notEqual">
      <formula>$K$34-$J$34</formula>
    </cfRule>
  </conditionalFormatting>
  <conditionalFormatting sqref="H35">
    <cfRule type="cellIs" dxfId="0" priority="1" operator="notEqual">
      <formula>$K$35-$J$35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60:H60 I65:I66 G43 C42 G33 H40:H41 F69:I71 F60:F61 F65:F66 C46 F58:I59 I60:I61 G36:G41 H34:H35 H45 F73:I75 G46:J46 G65:H65 F63:I64 F26:G26 C13:C14 E11:H11 D18:D21 D15 D25 C16:C18 F19 C24 G16:G17 C23:D23 F15 C20 J34:J35 C44 C8 D9:D11 C26 C30:C32 G27:J32">
      <formula1>-1E+22</formula1>
      <formula2>1E+22</formula2>
    </dataValidation>
    <dataValidation type="whole" operator="greaterThanOrEqual" allowBlank="1" showInputMessage="1" showErrorMessage="1" sqref="F62:I62 G66:H66 F72:I72 G61:H61 F67:I68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Y32"/>
  <sheetViews>
    <sheetView view="pageBreakPreview" topLeftCell="A4" zoomScaleSheetLayoutView="100" workbookViewId="0">
      <selection activeCell="C23" sqref="C23"/>
    </sheetView>
  </sheetViews>
  <sheetFormatPr defaultRowHeight="12.75"/>
  <cols>
    <col min="1" max="1" width="8.85546875" style="54" customWidth="1"/>
    <col min="2" max="2" width="58.42578125" style="54" bestFit="1" customWidth="1"/>
    <col min="3" max="3" width="21.28515625" style="66" customWidth="1"/>
    <col min="4" max="4" width="15.5703125" style="67" customWidth="1"/>
    <col min="5" max="5" width="15" style="67" customWidth="1"/>
    <col min="6" max="15" width="9.140625" style="67"/>
    <col min="16" max="19" width="9.140625" style="121"/>
    <col min="20" max="25" width="9.140625" style="55"/>
    <col min="26" max="16384" width="9.140625" style="54"/>
  </cols>
  <sheetData>
    <row r="1" spans="1:25" s="70" customFormat="1" ht="27.75" customHeight="1">
      <c r="A1" s="268" t="s">
        <v>29</v>
      </c>
      <c r="B1" s="268"/>
      <c r="C1" s="268"/>
      <c r="D1" s="196"/>
      <c r="E1" s="196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</row>
    <row r="2" spans="1:25">
      <c r="B2" s="197" t="str">
        <f>IF(C3&gt;0," "&amp;TEXT(C3,"д ММММ, гггг"),"Число,Месяц,Год")</f>
        <v xml:space="preserve"> 31 Декабрь, 2020</v>
      </c>
      <c r="C2" s="71" t="s">
        <v>211</v>
      </c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5" ht="15.75" customHeight="1">
      <c r="B3" s="56" t="str">
        <f>+'Bank Capital Calc'!B3</f>
        <v xml:space="preserve">Наименование банка </v>
      </c>
      <c r="C3" s="82">
        <f>+'Bank Capital Calc'!C3</f>
        <v>44196</v>
      </c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5" ht="43.5" customHeight="1">
      <c r="A4" s="94" t="s">
        <v>90</v>
      </c>
      <c r="B4" s="94" t="s">
        <v>24</v>
      </c>
      <c r="C4" s="94" t="s">
        <v>2</v>
      </c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5" ht="21.75" customHeight="1">
      <c r="A5" s="57" t="s">
        <v>95</v>
      </c>
      <c r="B5" s="91" t="str">
        <f>+"Валовый доход банка за "&amp;(E$7-3)&amp;" год"</f>
        <v>Валовый доход банка за 2017 год</v>
      </c>
      <c r="C5" s="58">
        <f>+C6+C8-C7-C9</f>
        <v>215368224</v>
      </c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ht="21.75" customHeight="1">
      <c r="A6" s="57" t="s">
        <v>99</v>
      </c>
      <c r="B6" s="59" t="s">
        <v>25</v>
      </c>
      <c r="C6" s="4">
        <v>222901466</v>
      </c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</row>
    <row r="7" spans="1:25" ht="21.75" customHeight="1">
      <c r="A7" s="57" t="s">
        <v>26</v>
      </c>
      <c r="B7" s="59" t="s">
        <v>27</v>
      </c>
      <c r="C7" s="4">
        <v>146139315</v>
      </c>
      <c r="E7" s="67" t="str">
        <f>RIGHT(B2,4)</f>
        <v>2020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</row>
    <row r="8" spans="1:25" ht="21.75" customHeight="1">
      <c r="A8" s="57" t="s">
        <v>28</v>
      </c>
      <c r="B8" s="59" t="s">
        <v>204</v>
      </c>
      <c r="C8" s="4">
        <v>164180943</v>
      </c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</row>
    <row r="9" spans="1:25" ht="21.75" customHeight="1">
      <c r="A9" s="57" t="s">
        <v>206</v>
      </c>
      <c r="B9" s="59" t="s">
        <v>205</v>
      </c>
      <c r="C9" s="4">
        <v>25574870</v>
      </c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</row>
    <row r="10" spans="1:25" ht="21.75" customHeight="1">
      <c r="A10" s="57" t="s">
        <v>138</v>
      </c>
      <c r="B10" s="91" t="str">
        <f>+"Валовый доход банка за "&amp;(E$7-2)&amp;" год"</f>
        <v>Валовый доход банка за 2018 год</v>
      </c>
      <c r="C10" s="58">
        <f>+C11+C13-C12-C14</f>
        <v>334481566</v>
      </c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</row>
    <row r="11" spans="1:25" ht="21.75" customHeight="1">
      <c r="A11" s="57" t="s">
        <v>99</v>
      </c>
      <c r="B11" s="59" t="s">
        <v>25</v>
      </c>
      <c r="C11" s="4">
        <v>446360945</v>
      </c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</row>
    <row r="12" spans="1:25" ht="21.75" customHeight="1">
      <c r="A12" s="57" t="s">
        <v>26</v>
      </c>
      <c r="B12" s="59" t="s">
        <v>27</v>
      </c>
      <c r="C12" s="4">
        <v>228795878</v>
      </c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</row>
    <row r="13" spans="1:25" ht="21.75" customHeight="1">
      <c r="A13" s="57" t="s">
        <v>28</v>
      </c>
      <c r="B13" s="59" t="s">
        <v>204</v>
      </c>
      <c r="C13" s="4">
        <v>158773389</v>
      </c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</row>
    <row r="14" spans="1:25" ht="21.75" customHeight="1">
      <c r="A14" s="57" t="s">
        <v>206</v>
      </c>
      <c r="B14" s="59" t="s">
        <v>205</v>
      </c>
      <c r="C14" s="4">
        <v>41856890</v>
      </c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</row>
    <row r="15" spans="1:25" ht="21.75" customHeight="1">
      <c r="A15" s="57" t="s">
        <v>139</v>
      </c>
      <c r="B15" s="91" t="str">
        <f>+"Валовый доход банка за "&amp;(E$7-1)&amp;" год"</f>
        <v>Валовый доход банка за 2019 год</v>
      </c>
      <c r="C15" s="58">
        <f>+C16+C18-C17-C19</f>
        <v>442429704</v>
      </c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</row>
    <row r="16" spans="1:25" ht="21.75" customHeight="1">
      <c r="A16" s="57" t="s">
        <v>99</v>
      </c>
      <c r="B16" s="59" t="s">
        <v>25</v>
      </c>
      <c r="C16" s="4">
        <v>721477049</v>
      </c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</row>
    <row r="17" spans="1:25" ht="21.75" customHeight="1">
      <c r="A17" s="57" t="s">
        <v>26</v>
      </c>
      <c r="B17" s="59" t="s">
        <v>27</v>
      </c>
      <c r="C17" s="4">
        <v>403296964</v>
      </c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</row>
    <row r="18" spans="1:25" ht="21.75" customHeight="1">
      <c r="A18" s="57" t="s">
        <v>28</v>
      </c>
      <c r="B18" s="59" t="s">
        <v>204</v>
      </c>
      <c r="C18" s="4">
        <v>216790378</v>
      </c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</row>
    <row r="19" spans="1:25" ht="21.75" customHeight="1">
      <c r="A19" s="57" t="s">
        <v>206</v>
      </c>
      <c r="B19" s="59" t="s">
        <v>205</v>
      </c>
      <c r="C19" s="4">
        <v>92540759</v>
      </c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</row>
    <row r="20" spans="1:25" ht="31.5" customHeight="1">
      <c r="A20" s="57" t="s">
        <v>140</v>
      </c>
      <c r="B20" s="60" t="s">
        <v>38</v>
      </c>
      <c r="C20" s="58">
        <f>(C5+C10+C15)/3</f>
        <v>330759831.33333331</v>
      </c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</row>
    <row r="21" spans="1:25" ht="22.5" customHeight="1">
      <c r="A21" s="57" t="s">
        <v>141</v>
      </c>
      <c r="B21" s="61" t="s">
        <v>39</v>
      </c>
      <c r="C21" s="62">
        <f>+(100/C28)*C20*15%</f>
        <v>381645959.23076922</v>
      </c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</row>
    <row r="22" spans="1:25" ht="13.5" customHeight="1">
      <c r="A22" s="94"/>
      <c r="B22" s="94"/>
      <c r="C22" s="94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</row>
    <row r="23" spans="1:25" ht="21.75" customHeight="1">
      <c r="A23" s="57" t="s">
        <v>142</v>
      </c>
      <c r="B23" s="59" t="s">
        <v>32</v>
      </c>
      <c r="C23" s="4">
        <v>75401050</v>
      </c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</row>
    <row r="24" spans="1:25" ht="21.75" customHeight="1">
      <c r="A24" s="57" t="s">
        <v>143</v>
      </c>
      <c r="B24" s="59" t="s">
        <v>59</v>
      </c>
      <c r="C24" s="4">
        <v>0</v>
      </c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</row>
    <row r="25" spans="1:25" ht="22.5" customHeight="1">
      <c r="A25" s="57" t="s">
        <v>144</v>
      </c>
      <c r="B25" s="59" t="s">
        <v>60</v>
      </c>
      <c r="C25" s="4">
        <v>0</v>
      </c>
    </row>
    <row r="26" spans="1:25" ht="22.5" customHeight="1">
      <c r="A26" s="57" t="s">
        <v>145</v>
      </c>
      <c r="B26" s="63" t="s">
        <v>30</v>
      </c>
      <c r="C26" s="58">
        <f>ABS(C23+(C24-C25))</f>
        <v>75401050</v>
      </c>
      <c r="D26" s="68">
        <f>+C26*0.1</f>
        <v>7540105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22"/>
    </row>
    <row r="27" spans="1:25" ht="22.5" customHeight="1">
      <c r="A27" s="57" t="s">
        <v>156</v>
      </c>
      <c r="B27" s="92" t="s">
        <v>40</v>
      </c>
      <c r="C27" s="58">
        <f>+(100/C28)*(C26*10%)</f>
        <v>58000807.692307696</v>
      </c>
    </row>
    <row r="28" spans="1:25" s="65" customFormat="1" ht="14.25">
      <c r="A28" s="57" t="s">
        <v>157</v>
      </c>
      <c r="B28" s="59" t="s">
        <v>41</v>
      </c>
      <c r="C28" s="93">
        <v>13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121"/>
      <c r="Q28" s="123"/>
      <c r="R28" s="123"/>
      <c r="S28" s="123"/>
      <c r="T28" s="64"/>
      <c r="U28" s="64"/>
      <c r="V28" s="64"/>
      <c r="W28" s="64"/>
      <c r="X28" s="64"/>
      <c r="Y28" s="64"/>
    </row>
    <row r="29" spans="1:25"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123"/>
    </row>
    <row r="30" spans="1:25">
      <c r="A30" s="3" t="s">
        <v>0</v>
      </c>
    </row>
    <row r="31" spans="1:25">
      <c r="A31" s="3"/>
    </row>
    <row r="32" spans="1:25">
      <c r="A32" s="3" t="s">
        <v>1</v>
      </c>
    </row>
  </sheetData>
  <sheetProtection password="CB4C" sheet="1" objects="1" scenarios="1"/>
  <mergeCells count="1">
    <mergeCell ref="A1:C1"/>
  </mergeCells>
  <phoneticPr fontId="23" type="noConversion"/>
  <printOptions horizontalCentered="1"/>
  <pageMargins left="0.19685039370078741" right="0.19685039370078741" top="0.33" bottom="0.19685039370078741" header="0.32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Bank Capital Calc</vt:lpstr>
      <vt:lpstr>Bank Capital Calc (2)</vt:lpstr>
      <vt:lpstr>Calculation of Risk Weighted As</vt:lpstr>
      <vt:lpstr>Calculation of Risk Weighte нац</vt:lpstr>
      <vt:lpstr>Calculation of Risk Weighte ин</vt:lpstr>
      <vt:lpstr>Calculation of Risk</vt:lpstr>
      <vt:lpstr>'Bank Capital Calc'!Область_печати</vt:lpstr>
      <vt:lpstr>'Bank Capital Calc (2)'!Область_печати</vt:lpstr>
      <vt:lpstr>'Calculation of Risk'!Область_печати</vt:lpstr>
      <vt:lpstr>'Calculation of Risk Weighte ин'!Область_печати</vt:lpstr>
      <vt:lpstr>'Calculation of Risk Weighte нац'!Область_печати</vt:lpstr>
      <vt:lpstr>'Calculation of Risk Weighted As'!Область_печати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Suxrob Axmedov</cp:lastModifiedBy>
  <cp:lastPrinted>2020-03-10T06:41:37Z</cp:lastPrinted>
  <dcterms:created xsi:type="dcterms:W3CDTF">2014-01-27T05:06:32Z</dcterms:created>
  <dcterms:modified xsi:type="dcterms:W3CDTF">2022-10-19T13:07:48Z</dcterms:modified>
</cp:coreProperties>
</file>