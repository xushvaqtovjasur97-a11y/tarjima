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Руслан\ҳРуслан-Академия-05.04.2023\Руслан-2023\Докторлик диссертация\Докторлик дис-14.06.2023\Банклар маълумоти\Микрокредитбанк-31.12.2016-31.12.2023\2021\"/>
    </mc:Choice>
  </mc:AlternateContent>
  <xr:revisionPtr revIDLastSave="0" documentId="13_ncr:1_{B545CE41-540D-45EE-BA13-C9E3C8537DC9}" xr6:coauthVersionLast="47" xr6:coauthVersionMax="47" xr10:uidLastSave="{00000000-0000-0000-0000-000000000000}"/>
  <bookViews>
    <workbookView xWindow="540" yWindow="120" windowWidth="9795" windowHeight="10455" tabRatio="923" firstSheet="1" activeTab="1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loans type" sheetId="40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Deposits_av rate" sheetId="30" r:id="rId14"/>
    <sheet name="Economic Normatives" sheetId="20" r:id="rId15"/>
    <sheet name="Miscellaneous" sheetId="21" r:id="rId16"/>
    <sheet name="ПФУ" sheetId="4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add21" localSheetId="16" hidden="1">[1]tab17!#REF!</definedName>
    <definedName name="___add21" localSheetId="16" hidden="1">[1]tab17!#REF!</definedName>
    <definedName name="__123Graph_A" localSheetId="16" hidden="1">'[2]tab 19'!#REF!</definedName>
    <definedName name="__123Graph_B" localSheetId="16" hidden="1">[3]tab17!#REF!</definedName>
    <definedName name="__123Graph_X" localSheetId="16" hidden="1">[3]tab17!#REF!</definedName>
    <definedName name="__add21" localSheetId="16" hidden="1">[1]tab17!#REF!</definedName>
    <definedName name="_10__123Graph_AREALEX_WAGE" localSheetId="16" hidden="1">'[2]tab 19'!#REF!</definedName>
    <definedName name="_10__123Graph_BREALEX_WAGE" localSheetId="16" hidden="1">#REF!</definedName>
    <definedName name="_12__123Graph_BREALEX_WAGE" localSheetId="16" hidden="1">#REF!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6" hidden="1">#REF!</definedName>
    <definedName name="_18__123Graph_XCHART_2" hidden="1">[4]A!$C$39:$AJ$39</definedName>
    <definedName name="_19__123Graph_CCHART_1" hidden="1">[4]A!$C$24:$AJ$24</definedName>
    <definedName name="_19__123Graph_XREALEX_WAGE" localSheetId="16" hidden="1">#REF!</definedName>
    <definedName name="_20__123Graph_BREALEX_WAGE" localSheetId="16" hidden="1">#REF!</definedName>
    <definedName name="_22__123Graph_XREALEX_WAGE" localSheetId="16" hidden="1">#REF!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6" hidden="1">#REF!</definedName>
    <definedName name="_36__123Graph_XREALEX_WAGE" localSheetId="16" hidden="1">#REF!</definedName>
    <definedName name="_5__123Graph_AREALEX_WAGE" localSheetId="16" hidden="1">'[2]tab 19'!#REF!</definedName>
    <definedName name="_6__123Graph_AREALEX_WAGE" localSheetId="16" hidden="1">'[5]tab 19'!#REF!</definedName>
    <definedName name="_8__123Graph_AREALEX_WAGE" localSheetId="16" hidden="1">'[2]tab 19'!#REF!</definedName>
    <definedName name="_add21" localSheetId="16" hidden="1">[1]tab17!#REF!</definedName>
    <definedName name="_Key1" localSheetId="16" hidden="1">#REF!</definedName>
    <definedName name="_Key2" localSheetId="16" hidden="1">#REF!</definedName>
    <definedName name="_Parse_Out" localSheetId="16" hidden="1">#REF!</definedName>
    <definedName name="_Sort" localSheetId="16" hidden="1">#REF!</definedName>
    <definedName name="jop" localSheetId="12">#REF!</definedName>
    <definedName name="kol" localSheetId="12">#REF!</definedName>
    <definedName name="RISKTOTASS" localSheetId="7">SUM('[6]Calculation of Risk Weighted As'!$C$38:$F$38)</definedName>
    <definedName name="RISKTOTASS" localSheetId="16">SUM('[7]Calculation of Risk Weighted As'!$C$41:$G$41)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6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9">' Largest risk'!$A$1:$S$70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Classification'!$A$1:$Z$76</definedName>
    <definedName name="_xlnm.Print_Area" localSheetId="0">'Asset quality'!$A$1:$S$69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10">'Charge-offs and Recoveries'!$A$1:$J$53</definedName>
    <definedName name="_xlnm.Print_Area" localSheetId="13">'Deposits_av rate'!$A$1:$N$21</definedName>
    <definedName name="_xlnm.Print_Area" localSheetId="14">'Economic Normatives'!$A$1:$K$49</definedName>
    <definedName name="_xlnm.Print_Area" localSheetId="1">'Income '!$A$1:$E$83</definedName>
    <definedName name="_xlnm.Print_Area" localSheetId="4">'Loans Receivable'!$A$1:$Y$97</definedName>
    <definedName name="_xlnm.Print_Area" localSheetId="7">'loans type'!$A$1:$Z$43</definedName>
    <definedName name="_xlnm.Print_Area" localSheetId="11">'loans_av rate'!$A$1:$H$45</definedName>
    <definedName name="_xlnm.Print_Area" localSheetId="15">Miscellaneous!$A$1:$C$30</definedName>
    <definedName name="_xlnm.Print_Area" localSheetId="8">'Transactions of related parties'!$A$1:$T$70</definedName>
    <definedName name="_xlnm.Print_Area" localSheetId="16">ПФУ!$A$1:$B$44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3" l="1"/>
  <c r="F40" i="13"/>
  <c r="F39" i="13"/>
  <c r="F38" i="13"/>
  <c r="F37" i="13"/>
  <c r="F36" i="13"/>
  <c r="F35" i="13"/>
  <c r="F46" i="13"/>
  <c r="F45" i="13"/>
  <c r="F44" i="13"/>
  <c r="D8" i="30" l="1"/>
  <c r="D15" i="30"/>
  <c r="D14" i="30"/>
  <c r="D13" i="30"/>
  <c r="D12" i="30"/>
  <c r="D11" i="30"/>
  <c r="D10" i="30"/>
  <c r="D9" i="30"/>
  <c r="J15" i="30"/>
  <c r="J14" i="30"/>
  <c r="J13" i="30"/>
  <c r="J12" i="30"/>
  <c r="J11" i="30"/>
  <c r="J10" i="30"/>
  <c r="J9" i="30"/>
  <c r="J8" i="30"/>
  <c r="U77" i="10" l="1"/>
  <c r="Q77" i="10"/>
  <c r="M77" i="10"/>
  <c r="D54" i="42" l="1"/>
  <c r="C54" i="42"/>
  <c r="B54" i="42"/>
  <c r="B32" i="42" s="1"/>
  <c r="B29" i="42" s="1"/>
  <c r="D53" i="42"/>
  <c r="C53" i="42"/>
  <c r="B53" i="42"/>
  <c r="D52" i="42"/>
  <c r="C52" i="42"/>
  <c r="B52" i="42"/>
  <c r="D51" i="42"/>
  <c r="C51" i="42"/>
  <c r="B51" i="42"/>
  <c r="D50" i="42"/>
  <c r="C50" i="42"/>
  <c r="B50" i="42"/>
  <c r="D49" i="42"/>
  <c r="C49" i="42"/>
  <c r="B49" i="42"/>
  <c r="D48" i="42"/>
  <c r="C48" i="42"/>
  <c r="B48" i="42"/>
  <c r="D47" i="42"/>
  <c r="C47" i="42"/>
  <c r="B47" i="42"/>
  <c r="B38" i="42"/>
  <c r="B9" i="42"/>
  <c r="B6" i="42"/>
  <c r="G24" i="30"/>
  <c r="C24" i="30"/>
  <c r="AB11" i="40"/>
  <c r="AC11" i="40"/>
  <c r="AB16" i="40"/>
  <c r="AC16" i="40"/>
  <c r="AB21" i="40"/>
  <c r="AC21" i="40"/>
  <c r="AB22" i="40"/>
  <c r="AB23" i="40"/>
  <c r="AC23" i="40"/>
  <c r="AB24" i="40"/>
  <c r="AB27" i="40"/>
  <c r="AC27" i="40"/>
  <c r="AB28" i="40"/>
  <c r="AC28" i="40"/>
  <c r="AB29" i="40"/>
  <c r="AC29" i="40"/>
  <c r="AB30" i="40"/>
  <c r="AC30" i="40"/>
  <c r="AB31" i="40"/>
  <c r="AC31" i="40"/>
  <c r="AB32" i="40"/>
  <c r="AC32" i="40"/>
  <c r="C99" i="24"/>
  <c r="C69" i="2" l="1"/>
  <c r="C68" i="2"/>
  <c r="C67" i="2"/>
  <c r="C66" i="2"/>
  <c r="C65" i="2"/>
  <c r="C64" i="2"/>
  <c r="C63" i="2"/>
  <c r="C62" i="2"/>
  <c r="C61" i="2"/>
  <c r="C59" i="2"/>
  <c r="AA63" i="44" l="1"/>
  <c r="AA62" i="44"/>
  <c r="AA61" i="44"/>
  <c r="AA60" i="44"/>
  <c r="AA59" i="44"/>
  <c r="AA58" i="44"/>
  <c r="AA57" i="44"/>
  <c r="AA56" i="44"/>
  <c r="AA55" i="44"/>
  <c r="AA54" i="44"/>
  <c r="AA53" i="44"/>
  <c r="AA52" i="44"/>
  <c r="AA51" i="44"/>
  <c r="AA50" i="44"/>
  <c r="AA49" i="44"/>
  <c r="AA48" i="44"/>
  <c r="AA47" i="44"/>
  <c r="AA46" i="44"/>
  <c r="AA45" i="44"/>
  <c r="AA44" i="44"/>
  <c r="AA43" i="44"/>
  <c r="AA42" i="44"/>
  <c r="AA41" i="44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25" i="44"/>
  <c r="AA24" i="44"/>
  <c r="AA23" i="44"/>
  <c r="AA22" i="44"/>
  <c r="Y64" i="44"/>
  <c r="X64" i="44"/>
  <c r="V64" i="44"/>
  <c r="T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Y64" i="43"/>
  <c r="X64" i="43"/>
  <c r="V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B3" i="44" l="1"/>
  <c r="U3" i="44"/>
  <c r="V3" i="44"/>
  <c r="G9" i="44"/>
  <c r="G10" i="44"/>
  <c r="Z10" i="44" s="1"/>
  <c r="G11" i="44"/>
  <c r="Z11" i="44" s="1"/>
  <c r="G12" i="44"/>
  <c r="Z12" i="44" s="1"/>
  <c r="G13" i="44"/>
  <c r="Z13" i="44" s="1"/>
  <c r="AA13" i="44" s="1"/>
  <c r="G14" i="44"/>
  <c r="Z14" i="44" s="1"/>
  <c r="AA14" i="44" s="1"/>
  <c r="G15" i="44"/>
  <c r="Z15" i="44" s="1"/>
  <c r="AA15" i="44" s="1"/>
  <c r="G16" i="44"/>
  <c r="Z16" i="44" s="1"/>
  <c r="AA16" i="44" s="1"/>
  <c r="G17" i="44"/>
  <c r="Z17" i="44" s="1"/>
  <c r="G18" i="44"/>
  <c r="Z18" i="44" s="1"/>
  <c r="G19" i="44"/>
  <c r="Z19" i="44" s="1"/>
  <c r="G20" i="44"/>
  <c r="Z20" i="44" s="1"/>
  <c r="G21" i="44"/>
  <c r="Z21" i="44" s="1"/>
  <c r="AA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34" i="44"/>
  <c r="Z34" i="44" s="1"/>
  <c r="G35" i="44"/>
  <c r="Z35" i="44" s="1"/>
  <c r="G36" i="44"/>
  <c r="Z36" i="44" s="1"/>
  <c r="G37" i="44"/>
  <c r="Z37" i="44" s="1"/>
  <c r="G38" i="44"/>
  <c r="Z38" i="44" s="1"/>
  <c r="G39" i="44"/>
  <c r="Z39" i="44" s="1"/>
  <c r="G40" i="44"/>
  <c r="Z40" i="44" s="1"/>
  <c r="G41" i="44"/>
  <c r="Z41" i="44" s="1"/>
  <c r="G42" i="44"/>
  <c r="Z42" i="44" s="1"/>
  <c r="G43" i="44"/>
  <c r="Z43" i="44" s="1"/>
  <c r="G44" i="44"/>
  <c r="Z44" i="44" s="1"/>
  <c r="G45" i="44"/>
  <c r="Z45" i="44" s="1"/>
  <c r="G46" i="44"/>
  <c r="Z46" i="44" s="1"/>
  <c r="G47" i="44"/>
  <c r="Z47" i="44" s="1"/>
  <c r="G48" i="44"/>
  <c r="Z48" i="44" s="1"/>
  <c r="G49" i="44"/>
  <c r="Z49" i="44" s="1"/>
  <c r="G50" i="44"/>
  <c r="Z50" i="44" s="1"/>
  <c r="G51" i="44"/>
  <c r="Z51" i="44" s="1"/>
  <c r="G52" i="44"/>
  <c r="Z52" i="44" s="1"/>
  <c r="G53" i="44"/>
  <c r="Z53" i="44" s="1"/>
  <c r="G54" i="44"/>
  <c r="Z54" i="44" s="1"/>
  <c r="G55" i="44"/>
  <c r="Z55" i="44" s="1"/>
  <c r="G56" i="44"/>
  <c r="Z56" i="44" s="1"/>
  <c r="G57" i="44"/>
  <c r="Z57" i="44" s="1"/>
  <c r="G58" i="44"/>
  <c r="Z58" i="44" s="1"/>
  <c r="G59" i="44"/>
  <c r="Z59" i="44" s="1"/>
  <c r="G60" i="44"/>
  <c r="Z60" i="44" s="1"/>
  <c r="G61" i="44"/>
  <c r="Z61" i="44" s="1"/>
  <c r="G62" i="44"/>
  <c r="Z62" i="44" s="1"/>
  <c r="G63" i="44"/>
  <c r="Z63" i="44" s="1"/>
  <c r="B3" i="43"/>
  <c r="U3" i="43"/>
  <c r="V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47" i="43"/>
  <c r="Z47" i="43" s="1"/>
  <c r="G48" i="43"/>
  <c r="Z48" i="43" s="1"/>
  <c r="G49" i="43"/>
  <c r="Z49" i="43" s="1"/>
  <c r="G50" i="43"/>
  <c r="Z50" i="43" s="1"/>
  <c r="G51" i="43"/>
  <c r="Z51" i="43" s="1"/>
  <c r="G52" i="43"/>
  <c r="Z52" i="43" s="1"/>
  <c r="G53" i="43"/>
  <c r="Z53" i="43" s="1"/>
  <c r="G54" i="43"/>
  <c r="Z54" i="43" s="1"/>
  <c r="G55" i="43"/>
  <c r="Z55" i="43" s="1"/>
  <c r="G56" i="43"/>
  <c r="Z56" i="43" s="1"/>
  <c r="G57" i="43"/>
  <c r="Z57" i="43" s="1"/>
  <c r="G58" i="43"/>
  <c r="Z58" i="43" s="1"/>
  <c r="G59" i="43"/>
  <c r="Z59" i="43" s="1"/>
  <c r="G60" i="43"/>
  <c r="Z60" i="43" s="1"/>
  <c r="G61" i="43"/>
  <c r="Z61" i="43" s="1"/>
  <c r="G62" i="43"/>
  <c r="Z62" i="43" s="1"/>
  <c r="G63" i="43"/>
  <c r="Z63" i="43" s="1"/>
  <c r="AA63" i="43" s="1"/>
  <c r="AA38" i="43" l="1"/>
  <c r="AA24" i="43"/>
  <c r="AA31" i="43"/>
  <c r="AA10" i="44"/>
  <c r="G64" i="43"/>
  <c r="AA26" i="43"/>
  <c r="AA30" i="43"/>
  <c r="AA20" i="44"/>
  <c r="AA19" i="44"/>
  <c r="AA12" i="44"/>
  <c r="AA11" i="44"/>
  <c r="Z9" i="44"/>
  <c r="G64" i="44"/>
  <c r="AA18" i="44"/>
  <c r="AA17" i="44"/>
  <c r="Z9" i="43"/>
  <c r="AA52" i="43" s="1"/>
  <c r="AA61" i="43" l="1"/>
  <c r="AA56" i="43"/>
  <c r="AA58" i="43"/>
  <c r="AA60" i="43"/>
  <c r="AA62" i="43"/>
  <c r="AA57" i="43"/>
  <c r="AA59" i="43"/>
  <c r="AA29" i="43"/>
  <c r="AA34" i="43"/>
  <c r="AA35" i="43"/>
  <c r="AA37" i="43"/>
  <c r="AA18" i="43"/>
  <c r="AA13" i="43"/>
  <c r="AA21" i="43"/>
  <c r="AA39" i="43"/>
  <c r="AA43" i="43"/>
  <c r="AA47" i="43"/>
  <c r="AA51" i="43"/>
  <c r="AA55" i="43"/>
  <c r="AA12" i="43"/>
  <c r="AA16" i="43"/>
  <c r="AA22" i="43"/>
  <c r="AA32" i="43"/>
  <c r="AA42" i="43"/>
  <c r="AA46" i="43"/>
  <c r="AA50" i="43"/>
  <c r="AA54" i="43"/>
  <c r="AA33" i="43"/>
  <c r="AA36" i="43"/>
  <c r="AA27" i="43"/>
  <c r="AA25" i="43"/>
  <c r="AA17" i="43"/>
  <c r="AA19" i="43"/>
  <c r="AA11" i="43"/>
  <c r="AA15" i="43"/>
  <c r="AA23" i="43"/>
  <c r="AA41" i="43"/>
  <c r="AA45" i="43"/>
  <c r="AA49" i="43"/>
  <c r="AA53" i="43"/>
  <c r="AA10" i="43"/>
  <c r="AA14" i="43"/>
  <c r="AA20" i="43"/>
  <c r="AA28" i="43"/>
  <c r="AA40" i="43"/>
  <c r="AA44" i="43"/>
  <c r="AA48" i="43"/>
  <c r="AA9" i="43"/>
  <c r="Z64" i="43"/>
  <c r="AA9" i="44"/>
  <c r="Z65" i="44" s="1"/>
  <c r="Z64" i="44"/>
  <c r="Z65" i="43" l="1"/>
  <c r="AA65" i="43" s="1"/>
  <c r="X65" i="43" s="1"/>
  <c r="AA65" i="44"/>
  <c r="O65" i="44" s="1"/>
  <c r="V65" i="44" l="1"/>
  <c r="T65" i="44"/>
  <c r="X65" i="44"/>
  <c r="M65" i="44"/>
  <c r="N65" i="44"/>
  <c r="I65" i="44"/>
  <c r="Y65" i="44"/>
  <c r="J65" i="44"/>
  <c r="Q65" i="44"/>
  <c r="K65" i="44"/>
  <c r="H65" i="44"/>
  <c r="L65" i="44"/>
  <c r="R65" i="44"/>
  <c r="G65" i="44"/>
  <c r="P65" i="44"/>
  <c r="S65" i="44"/>
  <c r="P65" i="43"/>
  <c r="T65" i="43"/>
  <c r="R65" i="43"/>
  <c r="Y65" i="43"/>
  <c r="Q65" i="43"/>
  <c r="I65" i="43"/>
  <c r="M65" i="43"/>
  <c r="J65" i="43"/>
  <c r="G65" i="43"/>
  <c r="L65" i="43"/>
  <c r="V65" i="43"/>
  <c r="K65" i="43"/>
  <c r="H65" i="43"/>
  <c r="S65" i="43"/>
  <c r="N65" i="43"/>
  <c r="O65" i="43"/>
  <c r="J8" i="13"/>
  <c r="I8" i="13"/>
  <c r="H8" i="13"/>
  <c r="G8" i="13"/>
  <c r="F8" i="13"/>
  <c r="E8" i="13"/>
  <c r="D8" i="13"/>
  <c r="C8" i="13"/>
  <c r="J18" i="13"/>
  <c r="I18" i="13"/>
  <c r="H18" i="13"/>
  <c r="G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G25" i="13" l="1"/>
  <c r="H25" i="13"/>
  <c r="E25" i="13"/>
  <c r="D25" i="13"/>
  <c r="J25" i="13"/>
  <c r="I25" i="13"/>
  <c r="D49" i="13"/>
  <c r="E49" i="13"/>
  <c r="F49" i="13"/>
  <c r="G49" i="13"/>
  <c r="H49" i="13"/>
  <c r="I49" i="13"/>
  <c r="C73" i="2" l="1"/>
  <c r="C16" i="21" l="1"/>
  <c r="C12" i="21" s="1"/>
  <c r="I3" i="13" l="1"/>
  <c r="J4" i="13" s="1"/>
  <c r="C28" i="13" l="1"/>
  <c r="I28" i="13"/>
  <c r="C4" i="13"/>
  <c r="AB30" i="10"/>
  <c r="AA30" i="10"/>
  <c r="AB68" i="10"/>
  <c r="AA68" i="10"/>
  <c r="AB51" i="10"/>
  <c r="AA51" i="10"/>
  <c r="AB50" i="10"/>
  <c r="AB71" i="10" s="1"/>
  <c r="AA50" i="10"/>
  <c r="AA71" i="10" s="1"/>
  <c r="C45" i="2"/>
  <c r="C44" i="2"/>
  <c r="C49" i="13" l="1"/>
  <c r="C25" i="13"/>
  <c r="D70" i="10" l="1"/>
  <c r="D69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E11" i="40" l="1"/>
  <c r="G11" i="40"/>
  <c r="I11" i="40"/>
  <c r="J11" i="40"/>
  <c r="K11" i="40"/>
  <c r="L11" i="40"/>
  <c r="M11" i="40"/>
  <c r="N11" i="40"/>
  <c r="O11" i="40"/>
  <c r="P11" i="40"/>
  <c r="Q11" i="40"/>
  <c r="R11" i="40"/>
  <c r="T11" i="40"/>
  <c r="U11" i="40"/>
  <c r="V11" i="40"/>
  <c r="W11" i="40"/>
  <c r="X11" i="40"/>
  <c r="Y11" i="40"/>
  <c r="Z11" i="40"/>
  <c r="C12" i="40"/>
  <c r="S12" i="40"/>
  <c r="C13" i="40"/>
  <c r="S13" i="40"/>
  <c r="C14" i="40"/>
  <c r="S14" i="40"/>
  <c r="C15" i="40"/>
  <c r="S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T16" i="40"/>
  <c r="U16" i="40"/>
  <c r="V16" i="40"/>
  <c r="W16" i="40"/>
  <c r="X16" i="40"/>
  <c r="Y16" i="40"/>
  <c r="Z16" i="40"/>
  <c r="C17" i="40"/>
  <c r="S17" i="40"/>
  <c r="C18" i="40"/>
  <c r="S18" i="40"/>
  <c r="C19" i="40"/>
  <c r="S19" i="40"/>
  <c r="C20" i="40"/>
  <c r="S20" i="40"/>
  <c r="C21" i="40"/>
  <c r="S21" i="40"/>
  <c r="C22" i="40"/>
  <c r="S22" i="40"/>
  <c r="C23" i="40"/>
  <c r="S23" i="40"/>
  <c r="C24" i="40"/>
  <c r="S24" i="40"/>
  <c r="E26" i="40"/>
  <c r="E25" i="40" s="1"/>
  <c r="F25" i="40" s="1"/>
  <c r="G26" i="40"/>
  <c r="H26" i="40" s="1"/>
  <c r="J26" i="40"/>
  <c r="J25" i="40" s="1"/>
  <c r="K26" i="40"/>
  <c r="K25" i="40" s="1"/>
  <c r="L26" i="40"/>
  <c r="L25" i="40" s="1"/>
  <c r="M26" i="40"/>
  <c r="M25" i="40" s="1"/>
  <c r="N26" i="40"/>
  <c r="N25" i="40" s="1"/>
  <c r="O26" i="40"/>
  <c r="O25" i="40" s="1"/>
  <c r="P26" i="40"/>
  <c r="P25" i="40" s="1"/>
  <c r="Q26" i="40"/>
  <c r="Q25" i="40" s="1"/>
  <c r="R26" i="40"/>
  <c r="R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S27" i="40"/>
  <c r="C28" i="40"/>
  <c r="S28" i="40"/>
  <c r="C29" i="40"/>
  <c r="S29" i="40"/>
  <c r="C30" i="40"/>
  <c r="S30" i="40"/>
  <c r="C31" i="40"/>
  <c r="S31" i="40"/>
  <c r="C32" i="40"/>
  <c r="S32" i="40"/>
  <c r="G33" i="40"/>
  <c r="H33" i="40" s="1"/>
  <c r="I33" i="40"/>
  <c r="J33" i="40"/>
  <c r="K33" i="40"/>
  <c r="L33" i="40"/>
  <c r="M33" i="40"/>
  <c r="N33" i="40"/>
  <c r="O33" i="40"/>
  <c r="P33" i="40"/>
  <c r="Q33" i="40"/>
  <c r="R33" i="40"/>
  <c r="T33" i="40"/>
  <c r="U33" i="40"/>
  <c r="V33" i="40"/>
  <c r="W33" i="40"/>
  <c r="X33" i="40"/>
  <c r="Y33" i="40"/>
  <c r="Z33" i="40"/>
  <c r="C34" i="40"/>
  <c r="S34" i="40"/>
  <c r="C35" i="40"/>
  <c r="S35" i="40"/>
  <c r="C36" i="40"/>
  <c r="S36" i="40"/>
  <c r="C37" i="40"/>
  <c r="S37" i="40"/>
  <c r="C38" i="40"/>
  <c r="S38" i="40"/>
  <c r="S39" i="40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G34" i="9"/>
  <c r="H29" i="9" s="1"/>
  <c r="E34" i="9"/>
  <c r="F28" i="9" s="1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F24" i="9" s="1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I26" i="40" l="1"/>
  <c r="I25" i="40" s="1"/>
  <c r="Z9" i="40"/>
  <c r="Z8" i="40" s="1"/>
  <c r="H30" i="9"/>
  <c r="V9" i="40"/>
  <c r="Q9" i="40"/>
  <c r="M9" i="40"/>
  <c r="M8" i="40" s="1"/>
  <c r="I9" i="40"/>
  <c r="Y9" i="40"/>
  <c r="Y8" i="40" s="1"/>
  <c r="G9" i="40"/>
  <c r="F20" i="9"/>
  <c r="H25" i="9"/>
  <c r="R9" i="40"/>
  <c r="J9" i="40"/>
  <c r="J8" i="40" s="1"/>
  <c r="I34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4" i="9"/>
  <c r="S11" i="40"/>
  <c r="F17" i="9"/>
  <c r="J34" i="9"/>
  <c r="H27" i="9"/>
  <c r="H9" i="9"/>
  <c r="H10" i="9"/>
  <c r="I22" i="9"/>
  <c r="H16" i="9"/>
  <c r="H17" i="9"/>
  <c r="F25" i="9"/>
  <c r="H26" i="9"/>
  <c r="H31" i="9"/>
  <c r="H32" i="9"/>
  <c r="F34" i="9"/>
  <c r="F12" i="9"/>
  <c r="F13" i="9"/>
  <c r="F9" i="9"/>
  <c r="S33" i="40"/>
  <c r="S26" i="40"/>
  <c r="S25" i="40" s="1"/>
  <c r="W9" i="40"/>
  <c r="X9" i="40"/>
  <c r="T9" i="40"/>
  <c r="U9" i="40"/>
  <c r="S16" i="40"/>
  <c r="N9" i="40"/>
  <c r="O9" i="40"/>
  <c r="P9" i="40"/>
  <c r="K9" i="40"/>
  <c r="K8" i="40" s="1"/>
  <c r="L9" i="40"/>
  <c r="L8" i="40" s="1"/>
  <c r="F26" i="40"/>
  <c r="E9" i="40"/>
  <c r="E8" i="40" s="1"/>
  <c r="F11" i="40"/>
  <c r="C26" i="40"/>
  <c r="C16" i="40"/>
  <c r="D16" i="40" s="1"/>
  <c r="C11" i="40"/>
  <c r="D11" i="40" s="1"/>
  <c r="H11" i="40"/>
  <c r="G25" i="40"/>
  <c r="H25" i="40" s="1"/>
  <c r="F10" i="9"/>
  <c r="F18" i="9"/>
  <c r="F30" i="9"/>
  <c r="F11" i="9"/>
  <c r="F19" i="9"/>
  <c r="F31" i="9"/>
  <c r="F14" i="9"/>
  <c r="F26" i="9"/>
  <c r="F15" i="9"/>
  <c r="F27" i="9"/>
  <c r="F16" i="9"/>
  <c r="T8" i="40" l="1"/>
  <c r="P8" i="40"/>
  <c r="I8" i="40"/>
  <c r="N8" i="40"/>
  <c r="O8" i="40"/>
  <c r="Q8" i="40"/>
  <c r="R8" i="40"/>
  <c r="X8" i="40"/>
  <c r="W8" i="40"/>
  <c r="V8" i="40"/>
  <c r="U8" i="40"/>
  <c r="H9" i="40"/>
  <c r="S9" i="40"/>
  <c r="F9" i="40"/>
  <c r="F8" i="40" s="1"/>
  <c r="D26" i="40"/>
  <c r="C25" i="40"/>
  <c r="D25" i="40" s="1"/>
  <c r="C9" i="40"/>
  <c r="G8" i="40"/>
  <c r="D9" i="40" l="1"/>
  <c r="S8" i="40"/>
  <c r="H8" i="40"/>
  <c r="C8" i="40"/>
  <c r="D8" i="40" l="1"/>
  <c r="Y91" i="24"/>
  <c r="X91" i="24"/>
  <c r="W91" i="24"/>
  <c r="V91" i="24"/>
  <c r="U91" i="24"/>
  <c r="T91" i="24"/>
  <c r="S91" i="24"/>
  <c r="R91" i="24"/>
  <c r="Q91" i="24"/>
  <c r="P91" i="24"/>
  <c r="N91" i="24"/>
  <c r="M91" i="24"/>
  <c r="L91" i="24"/>
  <c r="K91" i="24"/>
  <c r="J91" i="24"/>
  <c r="I91" i="24"/>
  <c r="H91" i="24"/>
  <c r="F91" i="24"/>
  <c r="G91" i="24" s="1"/>
  <c r="D91" i="24"/>
  <c r="E91" i="24" s="1"/>
  <c r="Y90" i="24"/>
  <c r="X90" i="24"/>
  <c r="W90" i="24"/>
  <c r="V90" i="24"/>
  <c r="U90" i="24"/>
  <c r="T90" i="24"/>
  <c r="S90" i="24"/>
  <c r="R90" i="24"/>
  <c r="Q90" i="24"/>
  <c r="P90" i="24"/>
  <c r="N90" i="24"/>
  <c r="M90" i="24"/>
  <c r="L90" i="24"/>
  <c r="K90" i="24"/>
  <c r="J90" i="24"/>
  <c r="I90" i="24"/>
  <c r="H90" i="24"/>
  <c r="G90" i="24"/>
  <c r="F90" i="24"/>
  <c r="E90" i="24"/>
  <c r="D90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89" i="24"/>
  <c r="H89" i="24"/>
  <c r="F89" i="24"/>
  <c r="D89" i="24"/>
  <c r="Y88" i="24"/>
  <c r="X88" i="24"/>
  <c r="W88" i="24"/>
  <c r="V88" i="24"/>
  <c r="U88" i="24"/>
  <c r="T88" i="24"/>
  <c r="S88" i="24"/>
  <c r="R88" i="24"/>
  <c r="Q88" i="24"/>
  <c r="P88" i="24"/>
  <c r="N88" i="24"/>
  <c r="M88" i="24"/>
  <c r="L88" i="24"/>
  <c r="K88" i="24"/>
  <c r="J88" i="24"/>
  <c r="I88" i="24"/>
  <c r="H88" i="24"/>
  <c r="G88" i="24"/>
  <c r="F88" i="24"/>
  <c r="E88" i="24"/>
  <c r="D88" i="24"/>
  <c r="Y87" i="24"/>
  <c r="X87" i="24"/>
  <c r="W87" i="24"/>
  <c r="V87" i="24"/>
  <c r="U87" i="24"/>
  <c r="T87" i="24"/>
  <c r="S87" i="24"/>
  <c r="R87" i="24"/>
  <c r="Q87" i="24"/>
  <c r="P87" i="24"/>
  <c r="N87" i="24"/>
  <c r="M87" i="24"/>
  <c r="L87" i="24"/>
  <c r="K87" i="24"/>
  <c r="J87" i="24"/>
  <c r="I87" i="24"/>
  <c r="H87" i="24"/>
  <c r="F87" i="24"/>
  <c r="G87" i="24" s="1"/>
  <c r="D87" i="24"/>
  <c r="E87" i="24" s="1"/>
  <c r="Y86" i="24"/>
  <c r="X86" i="24"/>
  <c r="W86" i="24"/>
  <c r="V86" i="24"/>
  <c r="U86" i="24"/>
  <c r="T86" i="24"/>
  <c r="S86" i="24"/>
  <c r="R86" i="24"/>
  <c r="Q86" i="24"/>
  <c r="P86" i="24"/>
  <c r="N86" i="24"/>
  <c r="M86" i="24"/>
  <c r="L86" i="24"/>
  <c r="K86" i="24"/>
  <c r="J86" i="24"/>
  <c r="I86" i="24"/>
  <c r="H86" i="24"/>
  <c r="G86" i="24"/>
  <c r="F86" i="24"/>
  <c r="E86" i="24"/>
  <c r="D86" i="24"/>
  <c r="Y85" i="24"/>
  <c r="X85" i="24"/>
  <c r="W85" i="24"/>
  <c r="V85" i="24"/>
  <c r="U85" i="24"/>
  <c r="T85" i="24"/>
  <c r="S85" i="24"/>
  <c r="R85" i="24"/>
  <c r="Q85" i="24"/>
  <c r="P85" i="24"/>
  <c r="N85" i="24"/>
  <c r="M85" i="24"/>
  <c r="L85" i="24"/>
  <c r="K85" i="24"/>
  <c r="J85" i="24"/>
  <c r="I85" i="24"/>
  <c r="H85" i="24"/>
  <c r="G85" i="24"/>
  <c r="F85" i="24"/>
  <c r="E85" i="24"/>
  <c r="D85" i="24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G84" i="24"/>
  <c r="F84" i="24"/>
  <c r="E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G83" i="24" s="1"/>
  <c r="D83" i="24"/>
  <c r="E83" i="24" s="1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G82" i="24" s="1"/>
  <c r="D82" i="24"/>
  <c r="E82" i="24" s="1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G81" i="24" s="1"/>
  <c r="D81" i="24"/>
  <c r="E81" i="24" s="1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G80" i="24" s="1"/>
  <c r="D80" i="24"/>
  <c r="E80" i="24" s="1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D78" i="24"/>
  <c r="E78" i="24" s="1"/>
  <c r="O77" i="24"/>
  <c r="C77" i="24" s="1"/>
  <c r="O76" i="24"/>
  <c r="C76" i="24" s="1"/>
  <c r="O75" i="24"/>
  <c r="C75" i="24" s="1"/>
  <c r="O74" i="24"/>
  <c r="O88" i="24" s="1"/>
  <c r="O73" i="24"/>
  <c r="C73" i="24" s="1"/>
  <c r="O72" i="24"/>
  <c r="C72" i="24" s="1"/>
  <c r="O71" i="24"/>
  <c r="C71" i="24" s="1"/>
  <c r="O70" i="24"/>
  <c r="C70" i="24" s="1"/>
  <c r="O69" i="24"/>
  <c r="C69" i="24" s="1"/>
  <c r="O68" i="24"/>
  <c r="C68" i="24" s="1"/>
  <c r="O67" i="24"/>
  <c r="C67" i="24" s="1"/>
  <c r="Y65" i="24"/>
  <c r="X65" i="24"/>
  <c r="W65" i="24"/>
  <c r="V65" i="24"/>
  <c r="U65" i="24"/>
  <c r="T65" i="24"/>
  <c r="S65" i="24"/>
  <c r="R65" i="24"/>
  <c r="Q65" i="24"/>
  <c r="P65" i="24"/>
  <c r="N65" i="24"/>
  <c r="M65" i="24"/>
  <c r="L65" i="24"/>
  <c r="K65" i="24"/>
  <c r="J65" i="24"/>
  <c r="I65" i="24"/>
  <c r="H65" i="24"/>
  <c r="F65" i="24"/>
  <c r="G65" i="24" s="1"/>
  <c r="D65" i="24"/>
  <c r="E65" i="24" s="1"/>
  <c r="O64" i="24"/>
  <c r="C64" i="24" s="1"/>
  <c r="O63" i="24"/>
  <c r="O62" i="24"/>
  <c r="C62" i="24" s="1"/>
  <c r="O61" i="24"/>
  <c r="C61" i="24" s="1"/>
  <c r="O60" i="24"/>
  <c r="C60" i="24" s="1"/>
  <c r="O59" i="24"/>
  <c r="C59" i="24" s="1"/>
  <c r="O58" i="24"/>
  <c r="C58" i="24" s="1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I56" i="24"/>
  <c r="H56" i="24"/>
  <c r="F56" i="24"/>
  <c r="G56" i="24" s="1"/>
  <c r="D56" i="24"/>
  <c r="E56" i="24" s="1"/>
  <c r="O55" i="24"/>
  <c r="C55" i="24" s="1"/>
  <c r="O54" i="24"/>
  <c r="C54" i="24" s="1"/>
  <c r="O53" i="24"/>
  <c r="C53" i="24" s="1"/>
  <c r="O52" i="24"/>
  <c r="C52" i="24" s="1"/>
  <c r="O51" i="24"/>
  <c r="C51" i="24" s="1"/>
  <c r="O50" i="24"/>
  <c r="Y48" i="24"/>
  <c r="X48" i="24"/>
  <c r="W48" i="24"/>
  <c r="V48" i="24"/>
  <c r="U48" i="24"/>
  <c r="T48" i="24"/>
  <c r="S48" i="24"/>
  <c r="R48" i="24"/>
  <c r="Q48" i="24"/>
  <c r="P48" i="24"/>
  <c r="N48" i="24"/>
  <c r="M48" i="24"/>
  <c r="L48" i="24"/>
  <c r="K48" i="24"/>
  <c r="J48" i="24"/>
  <c r="I48" i="24"/>
  <c r="H48" i="24"/>
  <c r="F48" i="24"/>
  <c r="G48" i="24" s="1"/>
  <c r="D48" i="24"/>
  <c r="E48" i="24" s="1"/>
  <c r="O47" i="24"/>
  <c r="C47" i="24" s="1"/>
  <c r="O46" i="24"/>
  <c r="C46" i="24" s="1"/>
  <c r="O45" i="24"/>
  <c r="C45" i="24" s="1"/>
  <c r="O44" i="24"/>
  <c r="C44" i="24" s="1"/>
  <c r="O43" i="24"/>
  <c r="C43" i="24" s="1"/>
  <c r="O42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I40" i="24"/>
  <c r="H40" i="24"/>
  <c r="F40" i="24"/>
  <c r="G40" i="24" s="1"/>
  <c r="D40" i="24"/>
  <c r="E40" i="24" s="1"/>
  <c r="O39" i="24"/>
  <c r="C39" i="24" s="1"/>
  <c r="O38" i="24"/>
  <c r="C38" i="24" s="1"/>
  <c r="O37" i="24"/>
  <c r="C37" i="24" s="1"/>
  <c r="O36" i="24"/>
  <c r="C36" i="24" s="1"/>
  <c r="O35" i="24"/>
  <c r="C35" i="24" s="1"/>
  <c r="O34" i="24"/>
  <c r="Y32" i="24"/>
  <c r="X32" i="24"/>
  <c r="W32" i="24"/>
  <c r="V32" i="24"/>
  <c r="U32" i="24"/>
  <c r="T32" i="24"/>
  <c r="S32" i="24"/>
  <c r="R32" i="24"/>
  <c r="Q32" i="24"/>
  <c r="P32" i="24"/>
  <c r="N32" i="24"/>
  <c r="M32" i="24"/>
  <c r="L32" i="24"/>
  <c r="K32" i="24"/>
  <c r="J32" i="24"/>
  <c r="I32" i="24"/>
  <c r="H32" i="24"/>
  <c r="F32" i="24"/>
  <c r="G32" i="24" s="1"/>
  <c r="D32" i="24"/>
  <c r="E32" i="24" s="1"/>
  <c r="O31" i="24"/>
  <c r="C31" i="24" s="1"/>
  <c r="O30" i="24"/>
  <c r="C30" i="24" s="1"/>
  <c r="O29" i="24"/>
  <c r="C29" i="24" s="1"/>
  <c r="O28" i="24"/>
  <c r="C28" i="24" s="1"/>
  <c r="O27" i="24"/>
  <c r="O26" i="24"/>
  <c r="C26" i="24" s="1"/>
  <c r="Y24" i="24"/>
  <c r="X24" i="24"/>
  <c r="W24" i="24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H24" i="24"/>
  <c r="F24" i="24"/>
  <c r="G24" i="24" s="1"/>
  <c r="D24" i="24"/>
  <c r="E24" i="24" s="1"/>
  <c r="O23" i="24"/>
  <c r="C23" i="24" s="1"/>
  <c r="O22" i="24"/>
  <c r="C22" i="24" s="1"/>
  <c r="O21" i="24"/>
  <c r="C21" i="24" s="1"/>
  <c r="O20" i="24"/>
  <c r="C20" i="24" s="1"/>
  <c r="O19" i="24"/>
  <c r="O18" i="24"/>
  <c r="C18" i="24" s="1"/>
  <c r="O17" i="24"/>
  <c r="C17" i="24" s="1"/>
  <c r="Y15" i="24"/>
  <c r="X15" i="24"/>
  <c r="W15" i="24"/>
  <c r="V15" i="24"/>
  <c r="U15" i="24"/>
  <c r="T15" i="24"/>
  <c r="S15" i="24"/>
  <c r="R15" i="24"/>
  <c r="Q15" i="24"/>
  <c r="P15" i="24"/>
  <c r="N15" i="24"/>
  <c r="M15" i="24"/>
  <c r="L15" i="24"/>
  <c r="K15" i="24"/>
  <c r="J15" i="24"/>
  <c r="I15" i="24"/>
  <c r="H15" i="24"/>
  <c r="F15" i="24"/>
  <c r="G15" i="24" s="1"/>
  <c r="D15" i="24"/>
  <c r="E15" i="24" s="1"/>
  <c r="O14" i="24"/>
  <c r="C14" i="24" s="1"/>
  <c r="O13" i="24"/>
  <c r="O12" i="24"/>
  <c r="C12" i="24" s="1"/>
  <c r="O11" i="24"/>
  <c r="C11" i="24" s="1"/>
  <c r="O10" i="24"/>
  <c r="O9" i="24"/>
  <c r="C9" i="24" s="1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O89" i="24" l="1"/>
  <c r="C89" i="24" s="1"/>
  <c r="C18" i="9" s="1"/>
  <c r="O56" i="24"/>
  <c r="C56" i="24" s="1"/>
  <c r="C30" i="9" s="1"/>
  <c r="J92" i="24"/>
  <c r="O40" i="24"/>
  <c r="C40" i="24" s="1"/>
  <c r="C28" i="9" s="1"/>
  <c r="O85" i="24"/>
  <c r="C85" i="24" s="1"/>
  <c r="C10" i="9" s="1"/>
  <c r="U92" i="24"/>
  <c r="O32" i="24"/>
  <c r="C32" i="24" s="1"/>
  <c r="C27" i="9" s="1"/>
  <c r="S92" i="24"/>
  <c r="W92" i="24"/>
  <c r="O87" i="24"/>
  <c r="C87" i="24" s="1"/>
  <c r="C11" i="9" s="1"/>
  <c r="T92" i="24"/>
  <c r="O81" i="24"/>
  <c r="C81" i="24" s="1"/>
  <c r="C13" i="9" s="1"/>
  <c r="G89" i="24"/>
  <c r="K92" i="24"/>
  <c r="L92" i="24"/>
  <c r="O15" i="24"/>
  <c r="C15" i="24" s="1"/>
  <c r="C25" i="9" s="1"/>
  <c r="C10" i="24"/>
  <c r="C13" i="24"/>
  <c r="O24" i="24"/>
  <c r="C24" i="24" s="1"/>
  <c r="C26" i="9" s="1"/>
  <c r="C27" i="24"/>
  <c r="O48" i="24"/>
  <c r="C48" i="24" s="1"/>
  <c r="C29" i="9" s="1"/>
  <c r="M92" i="24"/>
  <c r="R92" i="24"/>
  <c r="V92" i="24"/>
  <c r="H92" i="24"/>
  <c r="O90" i="24"/>
  <c r="C90" i="24" s="1"/>
  <c r="C19" i="9" s="1"/>
  <c r="Q92" i="24"/>
  <c r="Y92" i="24"/>
  <c r="I92" i="24"/>
  <c r="O80" i="24"/>
  <c r="C80" i="24" s="1"/>
  <c r="O91" i="24"/>
  <c r="C91" i="24" s="1"/>
  <c r="C20" i="9" s="1"/>
  <c r="P92" i="24"/>
  <c r="X92" i="24"/>
  <c r="O86" i="24"/>
  <c r="C86" i="24" s="1"/>
  <c r="C9" i="9" s="1"/>
  <c r="C88" i="24"/>
  <c r="C17" i="9" s="1"/>
  <c r="O82" i="24"/>
  <c r="C82" i="24" s="1"/>
  <c r="C14" i="9" s="1"/>
  <c r="C19" i="24"/>
  <c r="C74" i="24"/>
  <c r="O83" i="24"/>
  <c r="C83" i="24" s="1"/>
  <c r="E89" i="24"/>
  <c r="C42" i="24"/>
  <c r="C63" i="24"/>
  <c r="O65" i="24"/>
  <c r="C65" i="24" s="1"/>
  <c r="C31" i="9" s="1"/>
  <c r="O84" i="24"/>
  <c r="C84" i="24" s="1"/>
  <c r="C16" i="9" s="1"/>
  <c r="C34" i="24"/>
  <c r="G78" i="24"/>
  <c r="O78" i="24"/>
  <c r="C78" i="24" s="1"/>
  <c r="C32" i="9" s="1"/>
  <c r="D92" i="24"/>
  <c r="N92" i="24"/>
  <c r="F92" i="24"/>
  <c r="C50" i="24"/>
  <c r="C12" i="9" l="1"/>
  <c r="AA9" i="40"/>
  <c r="C15" i="9"/>
  <c r="E92" i="24"/>
  <c r="G92" i="24"/>
  <c r="O92" i="24"/>
  <c r="C92" i="24" s="1"/>
  <c r="C34" i="9"/>
  <c r="AA8" i="40" l="1"/>
  <c r="B15" i="42"/>
  <c r="C100" i="24"/>
  <c r="C22" i="9"/>
  <c r="D19" i="9" s="1"/>
  <c r="D31" i="9"/>
  <c r="D29" i="9"/>
  <c r="D27" i="9"/>
  <c r="D25" i="9"/>
  <c r="D32" i="9"/>
  <c r="D30" i="9"/>
  <c r="D34" i="9"/>
  <c r="D28" i="9"/>
  <c r="D26" i="9"/>
  <c r="D17" i="9" l="1"/>
  <c r="D11" i="9"/>
  <c r="D13" i="9"/>
  <c r="D14" i="9"/>
  <c r="D9" i="9"/>
  <c r="D10" i="9"/>
  <c r="D16" i="9"/>
  <c r="D20" i="9"/>
  <c r="D12" i="9"/>
  <c r="D22" i="9"/>
  <c r="D18" i="9"/>
  <c r="D15" i="9"/>
  <c r="B3" i="42"/>
  <c r="B2" i="21" l="1"/>
  <c r="A2" i="42" l="1"/>
  <c r="I2" i="20"/>
  <c r="V3" i="40"/>
  <c r="F3" i="35"/>
  <c r="U2" i="10"/>
  <c r="T3" i="9"/>
  <c r="T3" i="24"/>
  <c r="C3" i="6"/>
  <c r="C3" i="3"/>
  <c r="C3" i="2"/>
  <c r="B2" i="20"/>
  <c r="B2" i="30"/>
  <c r="B3" i="40"/>
  <c r="B3" i="35"/>
  <c r="B2" i="10"/>
  <c r="B3" i="9"/>
  <c r="B3" i="24"/>
  <c r="B3" i="6"/>
  <c r="B3" i="3"/>
  <c r="B3" i="2"/>
  <c r="W77" i="10" l="1"/>
  <c r="S77" i="10"/>
  <c r="O77" i="10"/>
  <c r="O7" i="42" l="1"/>
  <c r="P68" i="10" l="1"/>
  <c r="K68" i="10"/>
  <c r="P13" i="42" l="1"/>
  <c r="P16" i="42"/>
  <c r="O10" i="42"/>
  <c r="P10" i="42"/>
  <c r="P7" i="42"/>
  <c r="P15" i="42"/>
  <c r="P14" i="42"/>
  <c r="P12" i="42"/>
  <c r="P11" i="42"/>
  <c r="P9" i="42"/>
  <c r="P8" i="42"/>
  <c r="P6" i="42"/>
  <c r="P5" i="42"/>
  <c r="O12" i="42"/>
  <c r="O11" i="42"/>
  <c r="O9" i="42"/>
  <c r="O8" i="42"/>
  <c r="O6" i="42"/>
  <c r="O5" i="42"/>
  <c r="B21" i="42" l="1"/>
  <c r="L9" i="35"/>
  <c r="K9" i="35" l="1"/>
  <c r="J9" i="35" l="1"/>
  <c r="C77" i="2" l="1"/>
  <c r="C76" i="2"/>
  <c r="C53" i="2"/>
  <c r="C52" i="2"/>
  <c r="C51" i="2"/>
  <c r="C50" i="2"/>
  <c r="C49" i="2"/>
  <c r="C42" i="2"/>
  <c r="C41" i="2"/>
  <c r="C40" i="2"/>
  <c r="C39" i="2"/>
  <c r="C38" i="2"/>
  <c r="C34" i="2"/>
  <c r="C33" i="2"/>
  <c r="C32" i="2"/>
  <c r="C31" i="2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C54" i="2" l="1"/>
  <c r="D70" i="2"/>
  <c r="C52" i="41" l="1"/>
  <c r="C25" i="41"/>
  <c r="C31" i="41" s="1"/>
  <c r="C54" i="41"/>
  <c r="C3" i="41"/>
  <c r="B3" i="41"/>
  <c r="X68" i="10" l="1"/>
  <c r="W68" i="10"/>
  <c r="V68" i="10"/>
  <c r="U68" i="10"/>
  <c r="T68" i="10"/>
  <c r="S68" i="10"/>
  <c r="R68" i="10"/>
  <c r="Q68" i="10"/>
  <c r="O68" i="10"/>
  <c r="N68" i="10"/>
  <c r="M68" i="10"/>
  <c r="L68" i="10"/>
  <c r="J68" i="10"/>
  <c r="I68" i="10"/>
  <c r="H68" i="10"/>
  <c r="G68" i="10"/>
  <c r="F68" i="10"/>
  <c r="E68" i="10"/>
  <c r="Z64" i="10"/>
  <c r="Y64" i="10"/>
  <c r="C64" i="10"/>
  <c r="Z67" i="10"/>
  <c r="Y67" i="10"/>
  <c r="C67" i="10"/>
  <c r="Z66" i="10"/>
  <c r="Y66" i="10"/>
  <c r="C66" i="10"/>
  <c r="Z65" i="10"/>
  <c r="Y65" i="10"/>
  <c r="C65" i="10"/>
  <c r="Z63" i="10"/>
  <c r="Y63" i="10"/>
  <c r="C63" i="10"/>
  <c r="Z62" i="10"/>
  <c r="Y62" i="10"/>
  <c r="C62" i="10"/>
  <c r="Z61" i="10"/>
  <c r="Y61" i="10"/>
  <c r="C61" i="10"/>
  <c r="Z60" i="10"/>
  <c r="Y60" i="10"/>
  <c r="C60" i="10"/>
  <c r="Z59" i="10"/>
  <c r="Y59" i="10"/>
  <c r="C59" i="10"/>
  <c r="Z58" i="10"/>
  <c r="Y58" i="10"/>
  <c r="C58" i="10"/>
  <c r="Z57" i="10"/>
  <c r="Y57" i="10"/>
  <c r="C57" i="10"/>
  <c r="Z56" i="10"/>
  <c r="Y56" i="10"/>
  <c r="C56" i="10"/>
  <c r="Z55" i="10"/>
  <c r="Y55" i="10"/>
  <c r="C55" i="10"/>
  <c r="Z54" i="10"/>
  <c r="Y54" i="10"/>
  <c r="C54" i="10"/>
  <c r="E27" i="2"/>
  <c r="E16" i="2"/>
  <c r="D27" i="2"/>
  <c r="D16" i="2"/>
  <c r="E46" i="2"/>
  <c r="D46" i="2"/>
  <c r="E54" i="2"/>
  <c r="D54" i="2"/>
  <c r="C70" i="2"/>
  <c r="B26" i="42" s="1"/>
  <c r="I77" i="10"/>
  <c r="G77" i="10"/>
  <c r="M50" i="10"/>
  <c r="Q50" i="10"/>
  <c r="Q71" i="10" s="1"/>
  <c r="U50" i="10"/>
  <c r="U71" i="10" l="1"/>
  <c r="B14" i="42"/>
  <c r="B13" i="42" s="1"/>
  <c r="Z68" i="10"/>
  <c r="D68" i="10"/>
  <c r="M71" i="10"/>
  <c r="Y68" i="10"/>
  <c r="C68" i="10"/>
  <c r="D23" i="2"/>
  <c r="D28" i="2" s="1"/>
  <c r="D30" i="2" s="1"/>
  <c r="D35" i="2" s="1"/>
  <c r="D56" i="2" s="1"/>
  <c r="D72" i="2" s="1"/>
  <c r="E23" i="2"/>
  <c r="E28" i="2" s="1"/>
  <c r="E30" i="2" s="1"/>
  <c r="E35" i="2" s="1"/>
  <c r="E56" i="2" s="1"/>
  <c r="E72" i="2" s="1"/>
  <c r="E75" i="2" s="1"/>
  <c r="E79" i="2" s="1"/>
  <c r="D75" i="2" l="1"/>
  <c r="D79" i="2" s="1"/>
  <c r="C55" i="26" l="1"/>
  <c r="I55" i="26"/>
  <c r="N64" i="26" l="1"/>
  <c r="C64" i="26" s="1"/>
  <c r="I64" i="26"/>
  <c r="N63" i="26" l="1"/>
  <c r="C9" i="30" l="1"/>
  <c r="E48" i="35" l="1"/>
  <c r="C15" i="30" l="1"/>
  <c r="C14" i="30"/>
  <c r="C13" i="30"/>
  <c r="C12" i="30"/>
  <c r="C11" i="30"/>
  <c r="C10" i="30"/>
  <c r="I15" i="30"/>
  <c r="I14" i="30"/>
  <c r="I13" i="30"/>
  <c r="I12" i="30"/>
  <c r="I11" i="30"/>
  <c r="I10" i="30"/>
  <c r="I8" i="30"/>
  <c r="C8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AA16" i="40" s="1"/>
  <c r="C14" i="35"/>
  <c r="C13" i="35"/>
  <c r="C12" i="35"/>
  <c r="C11" i="35"/>
  <c r="C10" i="35"/>
  <c r="AA11" i="40" s="1"/>
  <c r="AA28" i="40" l="1"/>
  <c r="AA29" i="40"/>
  <c r="AA30" i="40"/>
  <c r="AA27" i="40"/>
  <c r="AA31" i="40"/>
  <c r="AA21" i="40"/>
  <c r="AA32" i="40"/>
  <c r="AA24" i="40"/>
  <c r="AA22" i="40"/>
  <c r="AA23" i="40"/>
  <c r="H31" i="10"/>
  <c r="P62" i="26" l="1"/>
  <c r="C34" i="26" l="1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C60" i="26" l="1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I31" i="26"/>
  <c r="C30" i="26"/>
  <c r="I30" i="26"/>
  <c r="C29" i="26"/>
  <c r="I29" i="26"/>
  <c r="C28" i="26"/>
  <c r="I28" i="26"/>
  <c r="C27" i="26"/>
  <c r="I27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3" i="35" l="1"/>
  <c r="H33" i="35" s="1"/>
  <c r="E33" i="35"/>
  <c r="F33" i="35" s="1"/>
  <c r="C33" i="35"/>
  <c r="G24" i="35"/>
  <c r="E24" i="35"/>
  <c r="C24" i="35"/>
  <c r="G16" i="35"/>
  <c r="H16" i="35" s="1"/>
  <c r="E16" i="35"/>
  <c r="F16" i="35" s="1"/>
  <c r="C16" i="35"/>
  <c r="D16" i="35" s="1"/>
  <c r="G8" i="35"/>
  <c r="E8" i="35"/>
  <c r="C8" i="35"/>
  <c r="C16" i="30"/>
  <c r="C25" i="30" s="1"/>
  <c r="C26" i="30" s="1"/>
  <c r="D33" i="35" l="1"/>
  <c r="AC25" i="40"/>
  <c r="AB25" i="40"/>
  <c r="AA25" i="40"/>
  <c r="L8" i="35"/>
  <c r="L10" i="35" s="1"/>
  <c r="D8" i="35"/>
  <c r="J8" i="35"/>
  <c r="F8" i="35"/>
  <c r="K8" i="35"/>
  <c r="K10" i="35" s="1"/>
  <c r="G51" i="35"/>
  <c r="H8" i="35"/>
  <c r="D16" i="30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J10" i="35" l="1"/>
  <c r="C62" i="26"/>
  <c r="I62" i="26"/>
  <c r="Z33" i="9"/>
  <c r="Z24" i="9"/>
  <c r="Z23" i="9"/>
  <c r="Z21" i="9"/>
  <c r="C6" i="10" l="1"/>
  <c r="M16" i="30" l="1"/>
  <c r="M28" i="30" s="1"/>
  <c r="G16" i="30"/>
  <c r="G25" i="30" s="1"/>
  <c r="G26" i="30" s="1"/>
  <c r="E16" i="30"/>
  <c r="F16" i="30" s="1"/>
  <c r="N16" i="30" l="1"/>
  <c r="H16" i="30"/>
  <c r="M9" i="26"/>
  <c r="L9" i="26"/>
  <c r="K9" i="26"/>
  <c r="J9" i="26"/>
  <c r="K2" i="30" l="1"/>
  <c r="C27" i="2" l="1"/>
  <c r="S62" i="26" l="1"/>
  <c r="R62" i="26"/>
  <c r="Q62" i="26"/>
  <c r="O62" i="26"/>
  <c r="N62" i="26"/>
  <c r="X31" i="10" l="1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T30" i="10"/>
  <c r="S30" i="10"/>
  <c r="R30" i="10"/>
  <c r="Q30" i="10"/>
  <c r="AE9" i="40" s="1"/>
  <c r="AE10" i="40" s="1"/>
  <c r="P30" i="10"/>
  <c r="O30" i="10"/>
  <c r="N30" i="10"/>
  <c r="M30" i="10"/>
  <c r="AD9" i="40" s="1"/>
  <c r="AD10" i="40" s="1"/>
  <c r="L30" i="10"/>
  <c r="K30" i="10"/>
  <c r="J30" i="10"/>
  <c r="I30" i="10"/>
  <c r="H30" i="10"/>
  <c r="G30" i="10"/>
  <c r="AB8" i="40" s="1"/>
  <c r="F30" i="10"/>
  <c r="E30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AF8" i="40" s="1"/>
  <c r="V50" i="10"/>
  <c r="V71" i="10" s="1"/>
  <c r="T50" i="10"/>
  <c r="T71" i="10" s="1"/>
  <c r="S50" i="10"/>
  <c r="AE8" i="40" s="1"/>
  <c r="R50" i="10"/>
  <c r="R71" i="10" s="1"/>
  <c r="P50" i="10"/>
  <c r="P71" i="10" s="1"/>
  <c r="O50" i="10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G50" i="35"/>
  <c r="G52" i="35" s="1"/>
  <c r="C69" i="10"/>
  <c r="C7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50" i="35" l="1"/>
  <c r="C52" i="35" s="1"/>
  <c r="AC8" i="40"/>
  <c r="AB9" i="40"/>
  <c r="AB10" i="40" s="1"/>
  <c r="AF9" i="40"/>
  <c r="AF10" i="40" s="1"/>
  <c r="AC9" i="40"/>
  <c r="AC10" i="40" s="1"/>
  <c r="AD8" i="40"/>
  <c r="B11" i="42"/>
  <c r="Y31" i="10"/>
  <c r="I71" i="10"/>
  <c r="I79" i="10"/>
  <c r="M79" i="10"/>
  <c r="Q79" i="10"/>
  <c r="U79" i="10"/>
  <c r="K71" i="10"/>
  <c r="S71" i="10"/>
  <c r="S79" i="10"/>
  <c r="W71" i="10"/>
  <c r="W79" i="10"/>
  <c r="O71" i="10"/>
  <c r="O79" i="10"/>
  <c r="E71" i="10"/>
  <c r="G71" i="10"/>
  <c r="G79" i="10"/>
  <c r="Z30" i="10"/>
  <c r="Y30" i="10"/>
  <c r="Z31" i="10"/>
  <c r="D30" i="10"/>
  <c r="G54" i="35" s="1"/>
  <c r="D31" i="10"/>
  <c r="D50" i="10"/>
  <c r="D71" i="10" s="1"/>
  <c r="C51" i="10"/>
  <c r="C31" i="10"/>
  <c r="C30" i="10"/>
  <c r="C54" i="35" s="1"/>
  <c r="D51" i="10"/>
  <c r="C50" i="10"/>
  <c r="C71" i="10" s="1"/>
  <c r="Z50" i="10"/>
  <c r="Z71" i="10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C56" i="35" l="1"/>
  <c r="C48" i="35"/>
  <c r="G48" i="35"/>
  <c r="G56" i="35"/>
  <c r="S9" i="26" l="1"/>
  <c r="W78" i="10" s="1"/>
  <c r="W80" i="10" s="1"/>
  <c r="R9" i="26"/>
  <c r="S78" i="10" s="1"/>
  <c r="S80" i="10" s="1"/>
  <c r="Q9" i="26"/>
  <c r="O78" i="10" s="1"/>
  <c r="O80" i="10" s="1"/>
  <c r="I12" i="26"/>
  <c r="I9" i="26" s="1"/>
  <c r="E9" i="26" l="1"/>
  <c r="O9" i="26"/>
  <c r="G78" i="10" s="1"/>
  <c r="G80" i="10" s="1"/>
  <c r="H9" i="26"/>
  <c r="G9" i="26"/>
  <c r="F9" i="26"/>
  <c r="C12" i="26" l="1"/>
  <c r="Z22" i="9"/>
  <c r="C70" i="3"/>
  <c r="C61" i="3"/>
  <c r="C52" i="3"/>
  <c r="C36" i="3"/>
  <c r="C28" i="3"/>
  <c r="C19" i="3"/>
  <c r="C14" i="3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Y34" i="10"/>
  <c r="C46" i="2"/>
  <c r="C7" i="6"/>
  <c r="K32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6" i="2"/>
  <c r="C23" i="2"/>
  <c r="C28" i="2" s="1"/>
  <c r="AC34" i="10"/>
  <c r="AC48" i="10"/>
  <c r="AC44" i="10"/>
  <c r="AC42" i="10"/>
  <c r="AC40" i="10"/>
  <c r="AC38" i="10"/>
  <c r="AC36" i="10"/>
  <c r="AC46" i="10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C22" i="10"/>
  <c r="AC16" i="10"/>
  <c r="AC26" i="10"/>
  <c r="AC18" i="10"/>
  <c r="AC10" i="10"/>
  <c r="AC28" i="10"/>
  <c r="AC20" i="10"/>
  <c r="AC14" i="10"/>
  <c r="AC8" i="10"/>
  <c r="AC24" i="10"/>
  <c r="Y50" i="10"/>
  <c r="C42" i="3"/>
  <c r="G16" i="2" s="1"/>
  <c r="C63" i="3"/>
  <c r="C72" i="3" s="1"/>
  <c r="G28" i="2" s="1"/>
  <c r="Z34" i="9"/>
  <c r="K32" i="9" l="1"/>
  <c r="K34" i="9"/>
  <c r="K31" i="9"/>
  <c r="K29" i="9"/>
  <c r="K28" i="9"/>
  <c r="K30" i="9"/>
  <c r="K27" i="9"/>
  <c r="K26" i="9"/>
  <c r="K25" i="9"/>
  <c r="AC12" i="10"/>
  <c r="C30" i="2"/>
  <c r="AC6" i="10"/>
  <c r="Y71" i="10"/>
  <c r="B23" i="42" l="1"/>
  <c r="B27" i="42"/>
  <c r="C35" i="2"/>
  <c r="C56" i="2" s="1"/>
  <c r="C72" i="2" s="1"/>
  <c r="B17" i="42" s="1"/>
  <c r="E46" i="41"/>
  <c r="C45" i="41"/>
  <c r="C44" i="41"/>
  <c r="D52" i="41"/>
  <c r="B24" i="42" l="1"/>
  <c r="B22" i="42" s="1"/>
  <c r="B25" i="42"/>
  <c r="C75" i="2"/>
  <c r="C79" i="2" s="1"/>
  <c r="B20" i="42" s="1"/>
  <c r="B19" i="42" s="1"/>
  <c r="C46" i="41"/>
  <c r="C43" i="41" s="1"/>
  <c r="C35" i="41" s="1"/>
  <c r="C40" i="41" s="1"/>
  <c r="C8" i="6" l="1"/>
  <c r="C14" i="6" s="1"/>
  <c r="K44" i="20"/>
  <c r="C51" i="41"/>
  <c r="K27" i="20" l="1"/>
  <c r="K25" i="20"/>
  <c r="P9" i="30" l="1"/>
  <c r="D8" i="6" l="1"/>
  <c r="I9" i="30" l="1"/>
  <c r="K16" i="30"/>
  <c r="L16" i="30" s="1"/>
  <c r="P11" i="30"/>
  <c r="Q11" i="30" s="1"/>
  <c r="P14" i="30"/>
  <c r="Q14" i="30" s="1"/>
  <c r="M27" i="30"/>
  <c r="M29" i="30" s="1"/>
  <c r="I16" i="30" l="1"/>
  <c r="Q9" i="30"/>
  <c r="P12" i="30"/>
  <c r="Q12" i="30" s="1"/>
  <c r="P15" i="30"/>
  <c r="Q15" i="30" s="1"/>
  <c r="J16" i="30" l="1"/>
  <c r="I28" i="30"/>
  <c r="P13" i="30"/>
  <c r="Q13" i="30" s="1"/>
  <c r="P10" i="30"/>
  <c r="Q10" i="30" s="1"/>
  <c r="I21" i="20" l="1"/>
  <c r="K21" i="20" s="1"/>
  <c r="I27" i="30" l="1"/>
  <c r="I29" i="30" s="1"/>
  <c r="I18" i="20" l="1"/>
  <c r="K18" i="20" s="1"/>
  <c r="D14" i="6" l="1"/>
  <c r="B35" i="42"/>
  <c r="B39" i="42" l="1"/>
  <c r="B37" i="42" s="1"/>
  <c r="B12" i="42"/>
  <c r="B10" i="42" s="1"/>
  <c r="P8" i="30" l="1"/>
  <c r="Q8" i="30" s="1"/>
  <c r="P16" i="30" l="1"/>
  <c r="Q16" i="30" s="1"/>
  <c r="K77" i="10" l="1"/>
  <c r="K79" i="10" s="1"/>
  <c r="P9" i="26"/>
  <c r="K78" i="10" s="1"/>
  <c r="K80" i="10" s="1"/>
  <c r="N26" i="26"/>
  <c r="N9" i="26" s="1"/>
  <c r="C26" i="26" l="1"/>
  <c r="Y78" i="10"/>
  <c r="Y80" i="10" s="1"/>
  <c r="Y77" i="10"/>
  <c r="Y79" i="10" s="1"/>
  <c r="C39" i="40" l="1"/>
  <c r="C33" i="40" s="1"/>
  <c r="D33" i="40" s="1"/>
  <c r="E33" i="40"/>
  <c r="F33" i="40" l="1"/>
  <c r="C31" i="26" l="1"/>
  <c r="F18" i="13"/>
  <c r="F25" i="13" s="1"/>
  <c r="B36" i="42" l="1"/>
  <c r="C72" i="26"/>
  <c r="B30" i="42" l="1"/>
  <c r="B28" i="42" s="1"/>
  <c r="B34" i="42"/>
  <c r="O14" i="42"/>
  <c r="B18" i="42" s="1"/>
  <c r="B16" i="42" s="1"/>
  <c r="O16" i="42"/>
  <c r="O15" i="42"/>
  <c r="O13" i="42"/>
  <c r="D9" i="26" l="1"/>
  <c r="E77" i="10"/>
  <c r="E79" i="10" s="1"/>
  <c r="C40" i="26"/>
  <c r="C9" i="26" s="1"/>
  <c r="B8" i="42" l="1"/>
  <c r="B7" i="42" s="1"/>
  <c r="I36" i="20"/>
  <c r="K36" i="20" s="1"/>
  <c r="I23" i="20"/>
  <c r="K23" i="20" s="1"/>
  <c r="I34" i="20"/>
  <c r="K34" i="20" s="1"/>
  <c r="I29" i="20"/>
  <c r="K29" i="20" s="1"/>
  <c r="I39" i="20"/>
  <c r="K39" i="20" s="1"/>
  <c r="I41" i="20"/>
  <c r="K41" i="20" s="1"/>
  <c r="I11" i="20"/>
  <c r="K11" i="20" s="1"/>
  <c r="I9" i="20"/>
  <c r="K9" i="20" s="1"/>
  <c r="I13" i="20"/>
  <c r="K13" i="20" s="1"/>
  <c r="B5" i="42" l="1"/>
  <c r="B4" i="42" s="1"/>
  <c r="I7" i="20" l="1"/>
  <c r="K7" i="20" s="1"/>
  <c r="I20" i="20"/>
  <c r="K20" i="20" s="1"/>
  <c r="I19" i="20"/>
  <c r="K19" i="20" s="1"/>
  <c r="B33" i="42" l="1"/>
  <c r="B31" i="42" s="1"/>
  <c r="I17" i="20" l="1"/>
  <c r="K17" i="20" s="1"/>
  <c r="I16" i="20"/>
  <c r="K16" i="20" s="1"/>
</calcChain>
</file>

<file path=xl/sharedStrings.xml><?xml version="1.0" encoding="utf-8"?>
<sst xmlns="http://schemas.openxmlformats.org/spreadsheetml/2006/main" count="1863" uniqueCount="1012">
  <si>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</si>
  <si>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</si>
  <si>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</si>
  <si>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</si>
  <si>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</si>
  <si>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</si>
  <si>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</si>
  <si>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</si>
  <si>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</si>
  <si>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</si>
  <si>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</si>
  <si>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</si>
  <si>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</si>
  <si>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</si>
  <si>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</si>
  <si>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</si>
  <si>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</si>
  <si>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</si>
  <si>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</si>
  <si>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</si>
  <si>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</si>
  <si>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</si>
  <si>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</si>
  <si>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</si>
  <si>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</si>
  <si>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</si>
  <si>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</si>
  <si>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</si>
  <si>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</si>
  <si>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</si>
  <si>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</si>
  <si>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</si>
  <si>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</si>
  <si>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</si>
  <si>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</si>
  <si>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</si>
  <si>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</si>
  <si>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</si>
  <si>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</si>
  <si>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</si>
  <si>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</si>
  <si>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</si>
  <si>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</si>
  <si>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</si>
  <si>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</si>
  <si>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</si>
  <si>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</si>
  <si>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</si>
  <si>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</si>
  <si>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</si>
  <si>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</si>
  <si>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</si>
  <si>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</si>
  <si>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</si>
  <si>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>Гарантированные Правительством Республики Узбекистан в иностранной валюте (экв.сум)</t>
  </si>
  <si>
    <t>2.2</t>
  </si>
  <si>
    <t>Общие резервы (1%)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</si>
  <si>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</si>
  <si>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</si>
  <si>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</si>
  <si>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</si>
  <si>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</si>
  <si>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</si>
  <si>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</si>
  <si>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</si>
  <si>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</si>
  <si>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</si>
  <si>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</si>
  <si>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</si>
  <si>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</si>
  <si>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</si>
  <si>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</si>
  <si>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</si>
  <si>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</si>
  <si>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</si>
  <si>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</si>
  <si>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</si>
  <si>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</si>
  <si>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</si>
  <si>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</si>
  <si>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</si>
  <si>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</si>
  <si>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</si>
  <si>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</si>
  <si>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</si>
  <si>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</si>
  <si>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Другие ценные бумаги</t>
  </si>
  <si>
    <t>(Ж)</t>
  </si>
  <si>
    <t>Аккредитивы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</si>
  <si>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</si>
  <si>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</si>
  <si>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</si>
  <si>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</si>
  <si>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</si>
  <si>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</si>
  <si>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</si>
  <si>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</si>
  <si>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</si>
  <si>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</si>
  <si>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</si>
  <si>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</si>
  <si>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</si>
  <si>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</si>
  <si>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</si>
  <si>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</si>
  <si>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</si>
  <si>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</si>
  <si>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</si>
  <si>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</si>
  <si>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</si>
  <si>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</si>
  <si>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</si>
  <si>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</si>
  <si>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</si>
  <si>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</si>
  <si>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</si>
  <si>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</si>
  <si>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</si>
  <si>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</si>
  <si>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</si>
  <si>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</si>
  <si>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</si>
  <si>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</si>
  <si>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</si>
  <si>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</si>
  <si>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</si>
  <si>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</si>
  <si>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</si>
  <si>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</si>
  <si>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</si>
  <si>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</si>
  <si>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</si>
  <si>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</si>
  <si>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</si>
  <si>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</si>
  <si>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</si>
  <si>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</si>
  <si>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</si>
  <si>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</si>
  <si>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</si>
  <si>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</si>
  <si>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</si>
  <si>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</si>
  <si>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</si>
  <si>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</si>
  <si>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</si>
  <si>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</si>
  <si>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</si>
  <si>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</si>
  <si>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</si>
  <si>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</si>
  <si>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</si>
  <si>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</si>
  <si>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</si>
  <si>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</si>
  <si>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</si>
  <si>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</si>
  <si>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</si>
  <si>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</si>
  <si>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</si>
  <si>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</si>
  <si>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</si>
  <si>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</si>
  <si>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</si>
  <si>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</si>
  <si>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</si>
  <si>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</si>
  <si>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</si>
  <si>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</si>
  <si>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</si>
  <si>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</si>
  <si>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</si>
  <si>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</si>
  <si>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</si>
  <si>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</si>
  <si>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</si>
  <si>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</si>
  <si>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</si>
  <si>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</si>
  <si>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</si>
  <si>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</si>
  <si>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</si>
  <si>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</si>
  <si>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</si>
  <si>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</si>
  <si>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</si>
  <si>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</si>
  <si>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</si>
  <si>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</si>
  <si>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</si>
  <si>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</si>
  <si>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</si>
  <si>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</si>
  <si>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</si>
  <si>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</si>
  <si>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В</t>
  </si>
  <si>
    <t>Е</t>
  </si>
  <si>
    <t>в иностранной валюте</t>
  </si>
  <si>
    <t>ВСЕГО</t>
  </si>
  <si>
    <t>Бессрочные</t>
  </si>
  <si>
    <t>3.</t>
  </si>
  <si>
    <t>К получению из других банков</t>
  </si>
  <si>
    <t>Другие активы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</si>
  <si>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</si>
  <si>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</si>
  <si>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</si>
  <si>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</si>
  <si>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</si>
  <si>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</si>
  <si>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</si>
  <si>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</si>
  <si>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</si>
  <si>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</si>
  <si>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</si>
  <si>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</si>
  <si>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</si>
  <si>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</si>
  <si>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</si>
  <si>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</si>
  <si>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</si>
  <si>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</si>
  <si>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</si>
  <si>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</si>
  <si>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</si>
  <si>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</si>
  <si>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</si>
  <si>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</si>
  <si>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</si>
  <si>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</si>
  <si>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</si>
  <si>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</si>
  <si>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</si>
  <si>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</si>
  <si>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</si>
  <si>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</si>
  <si>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</si>
  <si>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</si>
  <si>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</si>
  <si>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</si>
  <si>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</si>
  <si>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</si>
  <si>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</si>
  <si>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</si>
  <si>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</si>
  <si>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</si>
  <si>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</si>
  <si>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</si>
  <si>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</si>
  <si>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</si>
  <si>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</si>
  <si>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</si>
  <si>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</si>
  <si>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</si>
  <si>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</si>
  <si>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</si>
  <si>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</si>
  <si>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</si>
  <si>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</si>
  <si>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</si>
  <si>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</si>
  <si>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</si>
  <si>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</si>
  <si>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</si>
  <si>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</si>
  <si>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</si>
  <si>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</si>
  <si>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</si>
  <si>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</si>
  <si>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</si>
  <si>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</si>
  <si>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</si>
  <si>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</si>
  <si>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</si>
  <si>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</si>
  <si>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</si>
  <si>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</si>
  <si>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</si>
  <si>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</si>
  <si>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</si>
  <si>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</si>
  <si>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</si>
  <si>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</si>
  <si>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</si>
  <si>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</si>
  <si>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</si>
  <si>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</si>
  <si>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</si>
  <si>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</si>
  <si>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</si>
  <si>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</si>
  <si>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</si>
  <si>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</si>
  <si>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</si>
  <si>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</si>
  <si>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</si>
  <si>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</si>
  <si>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</si>
  <si>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</si>
  <si>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</si>
  <si>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</si>
  <si>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</si>
  <si>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</si>
  <si>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</si>
  <si>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</si>
  <si>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</si>
  <si>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</si>
  <si>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</si>
  <si>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</si>
  <si>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</si>
  <si>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</si>
  <si>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</si>
  <si>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</si>
  <si>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</si>
  <si>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</si>
  <si>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</si>
  <si>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</si>
  <si>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</si>
  <si>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</si>
  <si>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</si>
  <si>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</si>
  <si>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</si>
  <si>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</si>
  <si>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</si>
  <si>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</si>
  <si>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</si>
  <si>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</si>
  <si>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</si>
  <si>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</si>
  <si>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</si>
  <si>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</si>
  <si>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</si>
  <si>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</si>
  <si>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</si>
  <si>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</si>
  <si>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</si>
  <si>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</si>
  <si>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</si>
  <si>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</si>
  <si>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</si>
  <si>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</si>
  <si>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</si>
  <si>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</si>
  <si>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</si>
  <si>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</si>
  <si>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</si>
  <si>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</si>
  <si>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</si>
  <si>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</si>
  <si>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</si>
  <si>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</si>
  <si>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</si>
  <si>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</si>
  <si>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</si>
  <si>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</si>
  <si>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</si>
  <si>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</si>
  <si>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</si>
  <si>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</si>
  <si>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</si>
  <si>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</si>
  <si>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</si>
  <si>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</si>
  <si>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</si>
  <si>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</si>
  <si>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</si>
  <si>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</si>
  <si>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</si>
  <si>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</si>
  <si>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</si>
  <si>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</si>
  <si>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</si>
  <si>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</si>
  <si>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</si>
  <si>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</si>
  <si>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</si>
  <si>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</si>
  <si>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</si>
  <si>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</si>
  <si>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</si>
  <si>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</si>
  <si>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</si>
  <si>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</si>
  <si>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</si>
  <si>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</si>
  <si>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</si>
  <si>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</si>
  <si>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</si>
  <si>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</si>
  <si>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</si>
  <si>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</si>
  <si>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</si>
  <si>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</si>
  <si>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</si>
  <si>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</si>
  <si>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</si>
  <si>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</si>
  <si>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</si>
  <si>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</si>
  <si>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</si>
  <si>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</si>
  <si>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</si>
  <si>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</si>
  <si>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</si>
  <si>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</si>
  <si>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</si>
  <si>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</si>
  <si>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</si>
  <si>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</si>
  <si>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</si>
  <si>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</si>
  <si>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</si>
  <si>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</si>
  <si>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</si>
  <si>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</si>
  <si>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</si>
  <si>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</si>
  <si>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</si>
  <si>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</si>
  <si>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</si>
  <si>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</si>
  <si>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</si>
  <si>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</si>
  <si>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</si>
  <si>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</si>
  <si>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</si>
  <si>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</si>
  <si>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</si>
  <si>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</si>
  <si>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</si>
  <si>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</si>
  <si>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</si>
  <si>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</si>
  <si>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</si>
  <si>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</si>
  <si>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</si>
  <si>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</si>
  <si>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</si>
  <si>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</si>
  <si>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</si>
  <si>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</si>
  <si>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</si>
  <si>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</si>
  <si>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</si>
  <si>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</si>
  <si>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</si>
  <si>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</si>
  <si>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</si>
  <si>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</si>
  <si>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</si>
  <si>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</si>
  <si>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</si>
  <si>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</si>
  <si>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</si>
  <si>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</si>
  <si>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</si>
  <si>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</si>
  <si>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</si>
  <si>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</si>
  <si>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</si>
  <si>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</si>
  <si>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</si>
  <si>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</si>
  <si>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</si>
  <si>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</si>
  <si>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</si>
  <si>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</si>
  <si>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</si>
  <si>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</si>
  <si>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</si>
  <si>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</si>
  <si>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</si>
  <si>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</si>
  <si>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</si>
  <si>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</si>
  <si>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</si>
  <si>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</si>
  <si>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</si>
  <si>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</si>
  <si>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</si>
  <si>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</si>
  <si>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</si>
  <si>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</si>
  <si>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</si>
  <si>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</si>
  <si>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</si>
  <si>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</si>
  <si>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</si>
  <si>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</si>
  <si>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</si>
  <si>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</si>
  <si>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</si>
  <si>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</si>
  <si>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</si>
  <si>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</si>
  <si>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</si>
  <si>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</si>
  <si>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</si>
  <si>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</si>
  <si>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</si>
  <si>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</si>
  <si>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</si>
  <si>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</si>
  <si>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</si>
  <si>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</si>
  <si>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</si>
  <si>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</si>
  <si>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</si>
  <si>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</si>
  <si>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</si>
  <si>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</si>
  <si>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</si>
  <si>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</si>
  <si>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</si>
  <si>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</si>
  <si>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</si>
  <si>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</si>
  <si>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</si>
  <si>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</si>
  <si>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</si>
  <si>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</si>
  <si>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</si>
  <si>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</si>
  <si>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</si>
  <si>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</si>
  <si>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</si>
  <si>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</si>
  <si>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</si>
  <si>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</si>
  <si>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</si>
  <si>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</si>
  <si>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</si>
  <si>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</si>
  <si>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</si>
  <si>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</si>
  <si>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</si>
  <si>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</si>
  <si>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</si>
  <si>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</si>
  <si>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</si>
  <si>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</si>
  <si>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</si>
  <si>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</si>
  <si>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</si>
  <si>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</si>
  <si>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</si>
  <si>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</si>
  <si>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</si>
  <si>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</si>
  <si>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</si>
  <si>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</si>
  <si>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</si>
  <si>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</si>
  <si>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</si>
  <si>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</si>
  <si>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</si>
  <si>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</si>
  <si>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</si>
  <si>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</si>
  <si>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</si>
  <si>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</si>
  <si>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</si>
  <si>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 xml:space="preserve">Кассовая наличность и другие платежные документы </t>
  </si>
  <si>
    <t xml:space="preserve">1.  </t>
  </si>
  <si>
    <t>Численность работников банка по штатному расписанию</t>
  </si>
  <si>
    <t>Фактическая численность работников банка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</si>
  <si>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</si>
  <si>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</si>
  <si>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</si>
  <si>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</si>
  <si>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</si>
  <si>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</si>
  <si>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</si>
  <si>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</si>
  <si>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</si>
  <si>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Коэффициент достаточности основного Капитала Уровня 1</t>
  </si>
  <si>
    <t>Основной капитал Уровня I</t>
  </si>
  <si>
    <t xml:space="preserve">3.1. </t>
  </si>
  <si>
    <t>Сумма</t>
  </si>
  <si>
    <t>От 31 до 90 дней</t>
  </si>
  <si>
    <t>От 91 до 180 дней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</si>
  <si>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</si>
  <si>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</si>
  <si>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</si>
  <si>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</si>
  <si>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</si>
  <si>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</si>
  <si>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</si>
  <si>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</si>
  <si>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</si>
  <si>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</si>
  <si>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</si>
  <si>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Таблица-13</t>
  </si>
  <si>
    <t>Таблица-20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</si>
  <si>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</si>
  <si>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</si>
  <si>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</si>
  <si>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</si>
  <si>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</si>
  <si>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</si>
  <si>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</si>
  <si>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</si>
  <si>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</si>
  <si>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</si>
  <si>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</si>
  <si>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Таблица-5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</si>
  <si>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</si>
  <si>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</si>
  <si>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</si>
  <si>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</si>
  <si>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</si>
  <si>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</si>
  <si>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</si>
  <si>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</si>
  <si>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</si>
  <si>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</si>
  <si>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</si>
  <si>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</si>
  <si>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</si>
  <si>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</si>
  <si>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</si>
  <si>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</si>
  <si>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</si>
  <si>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</si>
  <si>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</si>
  <si>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</si>
  <si>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</si>
  <si>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</si>
  <si>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</si>
  <si>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</si>
  <si>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</si>
  <si>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</si>
  <si>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</si>
  <si>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</si>
  <si>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</si>
  <si>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</si>
  <si>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</si>
  <si>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</si>
  <si>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</si>
  <si>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</si>
  <si>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</si>
  <si>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</si>
  <si>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</si>
  <si>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Показатели ликвидности</t>
  </si>
  <si>
    <t>Т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</si>
  <si>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</si>
  <si>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</si>
  <si>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</si>
  <si>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</si>
  <si>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</si>
  <si>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</si>
  <si>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</si>
  <si>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</si>
  <si>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</si>
  <si>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</si>
  <si>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</si>
  <si>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</si>
  <si>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</si>
  <si>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</si>
  <si>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</si>
  <si>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</si>
  <si>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</si>
  <si>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</si>
  <si>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</si>
  <si>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</si>
  <si>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</si>
  <si>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</si>
  <si>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</si>
  <si>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</si>
  <si>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</si>
  <si>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</si>
  <si>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</si>
  <si>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</si>
  <si>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</si>
  <si>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</si>
  <si>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Начисляемые 
кредиты</t>
  </si>
  <si>
    <t>Долгосрочные кредиты, предоставленные негосударственным некоммерческим организациям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</si>
  <si>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</si>
  <si>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</si>
  <si>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</si>
  <si>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</si>
  <si>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</si>
  <si>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</si>
  <si>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</si>
  <si>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Физлица</t>
  </si>
  <si>
    <t>Юрзлица</t>
  </si>
  <si>
    <t>Сроки, погашения средств</t>
  </si>
  <si>
    <t>От 1 до 7 дней</t>
  </si>
  <si>
    <t>От 8 до 30 дней</t>
  </si>
  <si>
    <t>Итого (сумма строк 1, 2, 3, 4, 5, 6, 7, 8 )</t>
  </si>
  <si>
    <t>Кредиты переведённые в статус ненаращивания процентов</t>
  </si>
  <si>
    <t>Нацвалюта</t>
  </si>
  <si>
    <t>Инвалюта</t>
  </si>
  <si>
    <t>51</t>
  </si>
  <si>
    <t>Отсроченная дебиторская задолженность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</si>
  <si>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</si>
  <si>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</si>
  <si>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</si>
  <si>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</si>
  <si>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</si>
  <si>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</si>
  <si>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</si>
  <si>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</si>
  <si>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</si>
  <si>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</si>
  <si>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</si>
  <si>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</si>
  <si>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</si>
  <si>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</si>
  <si>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</si>
  <si>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</si>
  <si>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</si>
  <si>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</si>
  <si>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</si>
  <si>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</si>
  <si>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</si>
  <si>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</si>
  <si>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</si>
  <si>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</si>
  <si>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</si>
  <si>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</si>
  <si>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</si>
  <si>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</si>
  <si>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</si>
  <si>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</si>
  <si>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</si>
  <si>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</si>
  <si>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</si>
  <si>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</si>
  <si>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</si>
  <si>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</si>
  <si>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</si>
  <si>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</si>
  <si>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</si>
  <si>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</si>
  <si>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</si>
  <si>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</si>
  <si>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</si>
  <si>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</si>
  <si>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</si>
  <si>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</si>
  <si>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</si>
  <si>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</si>
  <si>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</si>
  <si>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</si>
  <si>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</si>
  <si>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</si>
  <si>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</si>
  <si>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</si>
  <si>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</si>
  <si>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</si>
  <si>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</si>
  <si>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</si>
  <si>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</si>
  <si>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на реконструкцию недвижимого имущества</t>
  </si>
  <si>
    <t>из них на приобретения автомобиля</t>
  </si>
  <si>
    <t>РАСЧЕТ ПРУДЕНЦИАЛЬНЫХ НОРМАТИВОВ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</si>
  <si>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</si>
  <si>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</si>
  <si>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</si>
  <si>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</si>
  <si>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</si>
  <si>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</si>
  <si>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</si>
  <si>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</si>
  <si>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</si>
  <si>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</si>
  <si>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Информация о структуре кредитного портфеля</t>
  </si>
  <si>
    <t xml:space="preserve">  д.</t>
  </si>
  <si>
    <t>90908-90958</t>
  </si>
  <si>
    <t>Краткосрочные обязательства</t>
  </si>
  <si>
    <t xml:space="preserve">               Нормативный показатель по инвестициям банка в недвижимость</t>
  </si>
  <si>
    <t xml:space="preserve"> 6.1</t>
  </si>
  <si>
    <t>Совокупная сумма всех инвестиций банка в недвижимость</t>
  </si>
  <si>
    <t>Сумма всех инвестиций банка в недвижимость</t>
  </si>
  <si>
    <t xml:space="preserve">Количество центров банковских услуг </t>
  </si>
  <si>
    <t>в том числе имеющие основной счет в банке</t>
  </si>
  <si>
    <t xml:space="preserve">Показатели финансовой устойчивости </t>
  </si>
  <si>
    <t>Основные показатели</t>
  </si>
  <si>
    <t>Регулятивный капитал к активам взвешанных с учетом риска</t>
  </si>
  <si>
    <t>Всего Регулятивный капитал</t>
  </si>
  <si>
    <t>Активы взвешанные с учетом риска</t>
  </si>
  <si>
    <t>Регулятивный  капитал 1 - уровня к Активам взвешанных с учетом риска</t>
  </si>
  <si>
    <t>Регулятивный капитал 1- уровня</t>
  </si>
  <si>
    <t>Недействующие ссуды за вычетом резервов/общий объем капитала</t>
  </si>
  <si>
    <t>Недействующие ссуды за вычетом резервов</t>
  </si>
  <si>
    <t>Совокупный капитал на конец периода</t>
  </si>
  <si>
    <t>Недействующие ссуды/общая сумма ссуд</t>
  </si>
  <si>
    <t>Недействующие ссуды</t>
  </si>
  <si>
    <t>Общая сумма ссуд</t>
  </si>
  <si>
    <t>Рентабельность активов</t>
  </si>
  <si>
    <t>Чистая прибыль до уплаты налогов</t>
  </si>
  <si>
    <t>Всего активы (средний за период)</t>
  </si>
  <si>
    <t>Рентабельность капитала</t>
  </si>
  <si>
    <t>Совокупный капитал (средний за период)</t>
  </si>
  <si>
    <t>Процентная маржа/валовой доход</t>
  </si>
  <si>
    <t xml:space="preserve">Процентная маржа </t>
  </si>
  <si>
    <t xml:space="preserve">Валовой доход </t>
  </si>
  <si>
    <t>Непроцентные расходы/валовой доход</t>
  </si>
  <si>
    <t>Непроцентные расходы</t>
  </si>
  <si>
    <t>Валовой доход</t>
  </si>
  <si>
    <t>Ликвидные активы/всего активы</t>
  </si>
  <si>
    <t>Всего активы</t>
  </si>
  <si>
    <t>Ликвидные активы/краткосрочные обязательства</t>
  </si>
  <si>
    <t>Совокупный капитал на конец периода/Всего активы</t>
  </si>
  <si>
    <t>Чистая открытая валютная позиция /Совокупный капитал на конец периода</t>
  </si>
  <si>
    <t xml:space="preserve">Чистая открытая валютная позиция </t>
  </si>
  <si>
    <t>Актив</t>
  </si>
  <si>
    <t>Капитал</t>
  </si>
  <si>
    <t xml:space="preserve">Наличные денежные средства и Драгоценные металлы </t>
  </si>
  <si>
    <t>Месяц</t>
  </si>
  <si>
    <t>1 января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</si>
  <si>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</si>
  <si>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</si>
  <si>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</si>
  <si>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</si>
  <si>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</si>
  <si>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</si>
  <si>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</si>
  <si>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</si>
  <si>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</si>
  <si>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</si>
  <si>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</si>
  <si>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</si>
  <si>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</si>
  <si>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</si>
  <si>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Индивидуальные предприниматели</t>
  </si>
  <si>
    <t xml:space="preserve">Чистая прибыль </t>
  </si>
  <si>
    <t>Максимальный размер риска на одного заемщика или группу взаимосвязанных заемщиков, обеспеченные</t>
  </si>
  <si>
    <t>Максимальный размер риска на одного заемщика или группу взаимосвязанных заемщиков,обеспеченные</t>
  </si>
  <si>
    <t>Максимальный размер необеспеченного актива на одного заемщика или группу взаимосвязанных заемщиков (не включая риски по межбанковским операциям)</t>
  </si>
  <si>
    <t>Максимальный размер риска на одного связанного с банком лица, обеспеченные</t>
  </si>
  <si>
    <t>Возврат резервов, с формированных на покрытие потерь по активам</t>
  </si>
  <si>
    <t>Возврат списанных кредитов</t>
  </si>
  <si>
    <t>списанные кредиты за баланс в отчётном месяце</t>
  </si>
  <si>
    <t>возврат списанных кредитов в отчётном месяце</t>
  </si>
  <si>
    <t>ОТЧЕТ О CПИСАННЫХ И ВОЗВРАЩЕННЫХ КРЕДИТАХ И ЛИЗИНГАХ, 
А ТАКЖЕ РЕЗЕРВАХ ПО НИМ</t>
  </si>
  <si>
    <t>Часть 1 Списания и возврат сумму кредитов и лизинга за последние 12 месяцев</t>
  </si>
  <si>
    <t>Отрасли экономики
 и виды кредитования</t>
  </si>
  <si>
    <t>Списания и возврат кредитов и лизингов</t>
  </si>
  <si>
    <t>Списанние на 
забалансовый счет</t>
  </si>
  <si>
    <t>Возврат из 
забалансового счета</t>
  </si>
  <si>
    <t xml:space="preserve"> Итоговое списанние из забалансового счета</t>
  </si>
  <si>
    <t>1.7.</t>
  </si>
  <si>
    <t>1.8.</t>
  </si>
  <si>
    <t>Ипотечный кредит</t>
  </si>
  <si>
    <t>Автокредит</t>
  </si>
  <si>
    <t>Микрозаймы и овердрафты (все нецелевые кредиты)</t>
  </si>
  <si>
    <t>Часть 2 Списанные и возвращенные резервы по кредитам и лизингам за последние 12 месяцев</t>
  </si>
  <si>
    <t>Списания и возврат резервов по кредитам и лизингам</t>
  </si>
  <si>
    <t>Списание резервов</t>
  </si>
  <si>
    <t>Возврат резервов</t>
  </si>
  <si>
    <t>в этой строке указываются количество юридических лиц, которые имеют основной счет в банке</t>
  </si>
  <si>
    <t xml:space="preserve">в этой строке указываются количество всех юридических лиц </t>
  </si>
  <si>
    <r>
      <t xml:space="preserve">     д</t>
    </r>
    <r>
      <rPr>
        <sz val="8"/>
        <rFont val="Arial Cyr"/>
        <family val="2"/>
        <charset val="204"/>
      </rPr>
      <t xml:space="preserve">1. </t>
    </r>
  </si>
  <si>
    <r>
      <t xml:space="preserve">     д</t>
    </r>
    <r>
      <rPr>
        <sz val="8"/>
        <rFont val="Arial Cyr"/>
        <family val="2"/>
        <charset val="204"/>
      </rPr>
      <t xml:space="preserve">2. </t>
    </r>
  </si>
  <si>
    <t xml:space="preserve">               Нормативы по операциям со связанными с банком лицами</t>
  </si>
  <si>
    <t>Заполняется в ручную</t>
  </si>
  <si>
    <t xml:space="preserve">Максимальный размер риска на один банк или группу взаимосвязанных банков-заемщиков по межбанковским операциям </t>
  </si>
  <si>
    <t>Совокупная сумма всех крупных рисков</t>
  </si>
  <si>
    <t xml:space="preserve">Совокупная сумма рисков по всем связанным с банком лицам </t>
  </si>
  <si>
    <t>№4</t>
  </si>
  <si>
    <t>Подпись Председателя Правления:</t>
  </si>
  <si>
    <t>САМАЯ КРУПНАЯ СДЕЛКА, ЗАКЛЮЧЁННАЯ С ОДНИМ СВЯЗАННЫМ ЛИЦОМ</t>
  </si>
  <si>
    <t>ИТОГО СДЕЛКИ СО СВЯЗАННЫМИ ЛИЦАМИ</t>
  </si>
  <si>
    <t>Е8</t>
  </si>
  <si>
    <t>Е7</t>
  </si>
  <si>
    <t>Е6</t>
  </si>
  <si>
    <t>Е5</t>
  </si>
  <si>
    <t>Е4</t>
  </si>
  <si>
    <t>Е3</t>
  </si>
  <si>
    <t>Е2</t>
  </si>
  <si>
    <t>Е1</t>
  </si>
  <si>
    <t>по степени риска</t>
  </si>
  <si>
    <t>остаток</t>
  </si>
  <si>
    <t>Вид обеспечения</t>
  </si>
  <si>
    <t>Другие активы доходы по ним</t>
  </si>
  <si>
    <t>Неиспользованные кредитные линии/безотзывные обязательства/ другие обязательства по выдаче кредитов доходы по ним</t>
  </si>
  <si>
    <t>Гарантии/поручительства и доходы по ним</t>
  </si>
  <si>
    <t>Аккредитивы и доходы по ним</t>
  </si>
  <si>
    <t>Инвестиции и доходы по ним</t>
  </si>
  <si>
    <t>Кредиты/лизинги/факторинги и доходы по ним</t>
  </si>
  <si>
    <t>Межбанковские кредиты и депозиты, остатки на кор счетах, средства для межбанковских взаиморасчетов, другие размещенные средства (кроме овернайта и клиринговых операций) и доходы по ним</t>
  </si>
  <si>
    <t>внебалансовые</t>
  </si>
  <si>
    <t>балансовые</t>
  </si>
  <si>
    <t xml:space="preserve">Текущая задолженность,  нетто </t>
  </si>
  <si>
    <t>Источник кредита</t>
  </si>
  <si>
    <t>Резерв</t>
  </si>
  <si>
    <t>Классификация</t>
  </si>
  <si>
    <t>Вычеты из норматива</t>
  </si>
  <si>
    <t>Пересмотрения</t>
  </si>
  <si>
    <t>Текущая задолженность, брутто</t>
  </si>
  <si>
    <t>Номер группы</t>
  </si>
  <si>
    <t xml:space="preserve">Код валюты </t>
  </si>
  <si>
    <t>Вид деятельности</t>
  </si>
  <si>
    <t>ИНН</t>
  </si>
  <si>
    <t>Наименования клиента</t>
  </si>
  <si>
    <t>Таблица-11</t>
  </si>
  <si>
    <t>ОТЧЕТ О СДЕЛКАХ, ЗАКЛЮЧЕННЫХ СО СВЯЗАННЫМИ ЛИЦАМИ</t>
  </si>
  <si>
    <t xml:space="preserve">САМЫЙ КРУПНЫЙ АКТИВ, ВЫДАННЫЙ БАНКОМ </t>
  </si>
  <si>
    <t xml:space="preserve">ИТОГО КРУПНЫХ АКТИВОВ </t>
  </si>
  <si>
    <t>Таблица-12</t>
  </si>
  <si>
    <t>ОТЧЕТ О КРУПНЫХ РИСКАХ</t>
  </si>
  <si>
    <t>Движение по резервам за последние 
12 месяцев</t>
  </si>
  <si>
    <t>"Микрокредитбанк"</t>
  </si>
  <si>
    <t>Исматуллоев Акрам Акмалович</t>
  </si>
  <si>
    <t>AA5013105</t>
  </si>
  <si>
    <t>000</t>
  </si>
  <si>
    <t>Пулатова Муниса Тоировна</t>
  </si>
  <si>
    <t>AA1343647</t>
  </si>
  <si>
    <t>Ахмаджонов Абдулазиз Абдусатторович</t>
  </si>
  <si>
    <t>AA1266275</t>
  </si>
  <si>
    <t>Тогаев Даврон Дусмамат уғли</t>
  </si>
  <si>
    <t>CT1881274</t>
  </si>
  <si>
    <t>Саматов Юнус Уралович</t>
  </si>
  <si>
    <t>CS0384112</t>
  </si>
  <si>
    <t>Каримкулов Хикматулло</t>
  </si>
  <si>
    <t>BG0108618</t>
  </si>
  <si>
    <t>Саксонов Азизбек Нурбобоевич</t>
  </si>
  <si>
    <t>CE2612031</t>
  </si>
  <si>
    <t>Бабаджанов Шухрат Адилбекович</t>
  </si>
  <si>
    <t>AA1901433</t>
  </si>
  <si>
    <t>Бегматов Бобур Яхшиевич</t>
  </si>
  <si>
    <t>CN2398457</t>
  </si>
  <si>
    <t>Муминов Юсуп Машарипович</t>
  </si>
  <si>
    <t>CE2162465</t>
  </si>
  <si>
    <t>Мирзанов Толиб Исломович</t>
  </si>
  <si>
    <t>CT0670437</t>
  </si>
  <si>
    <t>Артиков Рустам Таджимович</t>
  </si>
  <si>
    <t>AA5731093</t>
  </si>
  <si>
    <t>Саидова Ноила Абдусаттаровна</t>
  </si>
  <si>
    <t>CT2253236</t>
  </si>
  <si>
    <t>Джумабаев Рахмонали Умаралиевич</t>
  </si>
  <si>
    <t>AA0807312</t>
  </si>
  <si>
    <t>Хасанов Жамшид Рустамжанович</t>
  </si>
  <si>
    <t>CH1484515</t>
  </si>
  <si>
    <t>Авазов Дилшод Уразбаевич</t>
  </si>
  <si>
    <t>AA2615008</t>
  </si>
  <si>
    <t>Кодиров Акмал Уккибоевич</t>
  </si>
  <si>
    <t>AA1515434</t>
  </si>
  <si>
    <t>Паннаев Бобур Бекпулатович</t>
  </si>
  <si>
    <t>AA6432623</t>
  </si>
  <si>
    <t>Худойберганова Сайёра Уткировна</t>
  </si>
  <si>
    <t>AA1356913</t>
  </si>
  <si>
    <t>Эрдонаев Олим Тожиевич</t>
  </si>
  <si>
    <t>CS1661937</t>
  </si>
  <si>
    <t>Кушназаров Акбар Нарханович</t>
  </si>
  <si>
    <t>AA1814951</t>
  </si>
  <si>
    <t>Mamarakhimov Abror Xaldarovich</t>
  </si>
  <si>
    <t>AA1545194</t>
  </si>
  <si>
    <t>KHOLOV TAKHIR SADULLAYEVICH</t>
  </si>
  <si>
    <t>AA1598158</t>
  </si>
  <si>
    <t>ARAMOV RASHID RAVSHANOVICH</t>
  </si>
  <si>
    <t>AA1574588</t>
  </si>
  <si>
    <t>SOLIEV SARDORBEK XOLMIRZAYEVICH</t>
  </si>
  <si>
    <t>AA1507783</t>
  </si>
  <si>
    <t>SIDDIKOV SHOKHRUKH IBRAGIMJONOVICH</t>
  </si>
  <si>
    <t>AA0281567</t>
  </si>
  <si>
    <t>OMONOV OTAJON JURAQULOVICH</t>
  </si>
  <si>
    <t>AA8332674</t>
  </si>
  <si>
    <t>Пардаев Эшдавлат Абдумуминович</t>
  </si>
  <si>
    <t>CS0139454</t>
  </si>
  <si>
    <t>MUQIMOV AZAMAT SAIDOVICH</t>
  </si>
  <si>
    <t>AA0093700</t>
  </si>
  <si>
    <t>BESHIMOV AZAMAT XAMROBOYEVICH</t>
  </si>
  <si>
    <t>AB9725681</t>
  </si>
  <si>
    <t>NARZULLAYEV YAKUB BOBOMURODOVICH</t>
  </si>
  <si>
    <t>AB9773826</t>
  </si>
  <si>
    <t>TOPILOV SHERZOD SAIDKARIMOVICH</t>
  </si>
  <si>
    <t>AA1771771</t>
  </si>
  <si>
    <t>AZLAROV ABDULLA ABDULXAYEVICH</t>
  </si>
  <si>
    <t>AB0145415</t>
  </si>
  <si>
    <t>MADUMAROV XUSNIDDIN KOMILOVICH</t>
  </si>
  <si>
    <t>AA0620069</t>
  </si>
  <si>
    <t>ESHMATOV MASRUR QURBONOVICH</t>
  </si>
  <si>
    <t>AA1344338</t>
  </si>
  <si>
    <t>TAYLAKOV ISMOIL RAMIZOVICH</t>
  </si>
  <si>
    <t>AA4589423</t>
  </si>
  <si>
    <t>MIRZAEV BAKHODIR XUSANOVICH</t>
  </si>
  <si>
    <t>AA6739140</t>
  </si>
  <si>
    <t>JUMAYEV NURALI ISOXONOVICH</t>
  </si>
  <si>
    <t>AA1395310</t>
  </si>
  <si>
    <t>OTAQOZIYEV ABRORJON ABDULLAYEVICH</t>
  </si>
  <si>
    <t>AB6494562</t>
  </si>
  <si>
    <t>SALIMOV OYBEK FURKATOVICH</t>
  </si>
  <si>
    <t>AA4037527</t>
  </si>
  <si>
    <t>ATAMURODOV TOLQIN TOYMURODOVICH</t>
  </si>
  <si>
    <t>AA2113404</t>
  </si>
  <si>
    <t>IBROHIMOV MAQSUDBEK MASHARIPOVICH</t>
  </si>
  <si>
    <t>AA9871111</t>
  </si>
  <si>
    <t>Болтаев Шухрат Ахмедович</t>
  </si>
  <si>
    <t>AA2698055</t>
  </si>
  <si>
    <t>ABDULLAYEV QURBON QAHRAMONOVICH</t>
  </si>
  <si>
    <t>AA2756710</t>
  </si>
  <si>
    <t>TANGIRBERDIYEV OZIM KARIMOVICH</t>
  </si>
  <si>
    <t>AA5895939</t>
  </si>
  <si>
    <t>Юнусов Агзам Эргашевич</t>
  </si>
  <si>
    <t>AA3151210</t>
  </si>
  <si>
    <t>BURIYEV ESHTUKTAR SATTAROVICH</t>
  </si>
  <si>
    <t>AA8622548</t>
  </si>
  <si>
    <t>ИП ООО "EPSILON DEVELOPMENT COMPANY"</t>
  </si>
  <si>
    <t>нефт</t>
  </si>
  <si>
    <t>ООО "SESAME"</t>
  </si>
  <si>
    <t>ВВ-</t>
  </si>
  <si>
    <t>Фитч Рейтингс</t>
  </si>
  <si>
    <t>AXMEDOV SUXROB RUSTAMOVICH</t>
  </si>
  <si>
    <t>AC0072658</t>
  </si>
  <si>
    <t>SAFAROV ABDUMAJIT ABDUXAMITOVICH</t>
  </si>
  <si>
    <t>AB9651590</t>
  </si>
  <si>
    <t>Abdullaev Nurbek Komiljonovich</t>
  </si>
  <si>
    <t>AB0302136</t>
  </si>
  <si>
    <t>SHARIPOV JAMSHID NORQOBILOVICH</t>
  </si>
  <si>
    <t>AA1115939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</si>
</sst>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0.000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#,##0.0_р_."/>
    <numFmt numFmtId="183" formatCode="&quot;   &quot;@"/>
    <numFmt numFmtId="184" formatCode="&quot;      &quot;@"/>
    <numFmt numFmtId="185" formatCode="&quot;            &quot;@"/>
    <numFmt numFmtId="186" formatCode="_-* #,##0.00\ &quot;сум&quot;_-;\-* #,##0.00\ &quot;сум&quot;_-;_-* &quot;-&quot;??\ &quot;сум&quot;_-;_-@_-"/>
    <numFmt numFmtId="187" formatCode="&quot;$&quot;#,##0\ ;\(&quot;$&quot;#,##0\)"/>
    <numFmt numFmtId="188" formatCode="_([$€-2]* #,##0.00_);_([$€-2]* \(#,##0.00\);_([$€-2]* &quot;-&quot;??_)"/>
    <numFmt numFmtId="189" formatCode="General_)"/>
    <numFmt numFmtId="190" formatCode="_(* #,##0_);_(* \(#,##0\);_(* &quot;-&quot;_);_(@_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[Black]#,##0.0;[Black]\-#,##0.0;;"/>
    <numFmt numFmtId="194" formatCode="0.0"/>
    <numFmt numFmtId="195" formatCode="#,##0_ ;[Red]\-#,##0\ "/>
  </numFmts>
  <fonts count="14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b/>
      <sz val="20"/>
      <color rgb="FFFF0000"/>
      <name val="Arial Cyr"/>
      <charset val="204"/>
    </font>
    <font>
      <sz val="12"/>
      <color theme="0" tint="-0.249977111117893"/>
      <name val="Arial Cyr"/>
      <family val="2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9"/>
      <color rgb="FFFF0000"/>
      <name val="Arial Cyr"/>
      <family val="2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theme="0" tint="-0.34998626667073579"/>
      <name val="Times New Roman"/>
      <family val="1"/>
      <charset val="204"/>
    </font>
    <font>
      <b/>
      <sz val="25"/>
      <name val="Arial Cyr"/>
      <family val="2"/>
      <charset val="204"/>
    </font>
    <font>
      <i/>
      <sz val="10"/>
      <color theme="0" tint="-0.14999847407452621"/>
      <name val="Arial Cyr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b/>
      <sz val="12"/>
      <color rgb="FF7030A0"/>
      <name val="Arial Cyr"/>
      <charset val="204"/>
    </font>
    <font>
      <sz val="10"/>
      <color indexed="22"/>
      <name val="Arial Cyr"/>
      <family val="2"/>
      <charset val="204"/>
    </font>
    <font>
      <b/>
      <sz val="10"/>
      <color indexed="22"/>
      <name val="Arial Cyr"/>
      <charset val="204"/>
    </font>
    <font>
      <b/>
      <sz val="20"/>
      <color rgb="FFFFFF00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89">
    <xf numFmtId="0" fontId="0" fillId="0" borderId="0"/>
    <xf numFmtId="0" fontId="28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166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2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7" fillId="0" borderId="17">
      <protection locked="0"/>
    </xf>
    <xf numFmtId="173" fontId="89" fillId="0" borderId="0">
      <protection locked="0"/>
    </xf>
    <xf numFmtId="174" fontId="89" fillId="0" borderId="17">
      <protection locked="0"/>
    </xf>
    <xf numFmtId="175" fontId="89" fillId="0" borderId="0">
      <protection locked="0"/>
    </xf>
    <xf numFmtId="4" fontId="89" fillId="0" borderId="0">
      <protection locked="0"/>
    </xf>
    <xf numFmtId="176" fontId="89" fillId="0" borderId="0">
      <protection locked="0"/>
    </xf>
    <xf numFmtId="174" fontId="90" fillId="0" borderId="0">
      <protection locked="0"/>
    </xf>
    <xf numFmtId="174" fontId="91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92" fillId="0" borderId="5">
      <alignment horizontal="center"/>
    </xf>
    <xf numFmtId="16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93" fillId="0" borderId="0"/>
    <xf numFmtId="0" fontId="32" fillId="0" borderId="0"/>
    <xf numFmtId="9" fontId="38" fillId="0" borderId="0" applyFont="0" applyFill="0" applyBorder="0" applyAlignment="0" applyProtection="0"/>
    <xf numFmtId="0" fontId="9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9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" fillId="0" borderId="0"/>
    <xf numFmtId="0" fontId="95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4" fillId="0" borderId="0"/>
    <xf numFmtId="0" fontId="96" fillId="0" borderId="0"/>
    <xf numFmtId="0" fontId="1" fillId="0" borderId="0"/>
    <xf numFmtId="0" fontId="1" fillId="0" borderId="0"/>
    <xf numFmtId="0" fontId="95" fillId="0" borderId="0"/>
    <xf numFmtId="0" fontId="1" fillId="0" borderId="0"/>
    <xf numFmtId="0" fontId="94" fillId="0" borderId="0"/>
    <xf numFmtId="0" fontId="97" fillId="0" borderId="0"/>
    <xf numFmtId="0" fontId="9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95" fillId="0" borderId="0"/>
    <xf numFmtId="0" fontId="94" fillId="0" borderId="0"/>
    <xf numFmtId="0" fontId="1" fillId="0" borderId="0"/>
    <xf numFmtId="0" fontId="9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5" fillId="0" borderId="0"/>
    <xf numFmtId="0" fontId="32" fillId="0" borderId="0"/>
    <xf numFmtId="0" fontId="94" fillId="0" borderId="0"/>
    <xf numFmtId="0" fontId="32" fillId="0" borderId="0"/>
    <xf numFmtId="0" fontId="9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96" fillId="0" borderId="0"/>
    <xf numFmtId="0" fontId="1" fillId="0" borderId="0"/>
    <xf numFmtId="0" fontId="94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6" fillId="0" borderId="0"/>
    <xf numFmtId="0" fontId="94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96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2" fillId="0" borderId="0"/>
    <xf numFmtId="0" fontId="2" fillId="0" borderId="0"/>
    <xf numFmtId="0" fontId="38" fillId="0" borderId="0"/>
    <xf numFmtId="0" fontId="1" fillId="0" borderId="0"/>
    <xf numFmtId="0" fontId="38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1" fillId="0" borderId="0"/>
    <xf numFmtId="0" fontId="96" fillId="0" borderId="0"/>
    <xf numFmtId="0" fontId="94" fillId="0" borderId="0"/>
    <xf numFmtId="0" fontId="99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00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1" fillId="0" borderId="0"/>
    <xf numFmtId="0" fontId="1" fillId="0" borderId="0"/>
    <xf numFmtId="0" fontId="100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01" fillId="0" borderId="0"/>
    <xf numFmtId="0" fontId="38" fillId="0" borderId="0"/>
    <xf numFmtId="0" fontId="96" fillId="0" borderId="0"/>
    <xf numFmtId="0" fontId="94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3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96" fillId="0" borderId="0"/>
    <xf numFmtId="0" fontId="1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32" fillId="0" borderId="0"/>
    <xf numFmtId="0" fontId="94" fillId="0" borderId="0"/>
    <xf numFmtId="0" fontId="94" fillId="0" borderId="0"/>
    <xf numFmtId="0" fontId="3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1" fillId="0" borderId="0"/>
    <xf numFmtId="0" fontId="38" fillId="0" borderId="0"/>
    <xf numFmtId="0" fontId="38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38" fillId="0" borderId="0"/>
    <xf numFmtId="0" fontId="95" fillId="0" borderId="0"/>
    <xf numFmtId="0" fontId="95" fillId="0" borderId="0"/>
    <xf numFmtId="0" fontId="38" fillId="0" borderId="0"/>
    <xf numFmtId="0" fontId="95" fillId="0" borderId="0"/>
    <xf numFmtId="0" fontId="95" fillId="0" borderId="0"/>
    <xf numFmtId="0" fontId="38" fillId="0" borderId="0"/>
    <xf numFmtId="0" fontId="38" fillId="0" borderId="0"/>
    <xf numFmtId="0" fontId="36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6" fillId="0" borderId="0" applyFont="0" applyFill="0" applyBorder="0" applyAlignment="0" applyProtection="0"/>
    <xf numFmtId="0" fontId="103" fillId="0" borderId="0"/>
    <xf numFmtId="165" fontId="2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98" fillId="0" borderId="0" applyFont="0" applyFill="0" applyBorder="0" applyAlignment="0" applyProtection="0"/>
    <xf numFmtId="164" fontId="98" fillId="0" borderId="0" applyFont="0" applyFill="0" applyBorder="0" applyAlignment="0" applyProtection="0"/>
    <xf numFmtId="164" fontId="9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72" fontId="9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5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9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81" fontId="96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7" fillId="0" borderId="0">
      <protection locked="0"/>
    </xf>
    <xf numFmtId="0" fontId="7" fillId="0" borderId="0">
      <alignment vertical="top"/>
    </xf>
    <xf numFmtId="183" fontId="115" fillId="0" borderId="0" applyFont="0" applyFill="0" applyBorder="0" applyAlignment="0" applyProtection="0"/>
    <xf numFmtId="184" fontId="115" fillId="0" borderId="0" applyFont="0" applyFill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5" borderId="0" applyNumberFormat="0" applyBorder="0" applyAlignment="0" applyProtection="0"/>
    <xf numFmtId="0" fontId="98" fillId="26" borderId="0" applyNumberFormat="0" applyBorder="0" applyAlignment="0" applyProtection="0"/>
    <xf numFmtId="0" fontId="98" fillId="27" borderId="0" applyNumberFormat="0" applyBorder="0" applyAlignment="0" applyProtection="0"/>
    <xf numFmtId="185" fontId="115" fillId="0" borderId="0" applyFont="0" applyFill="0" applyBorder="0" applyAlignment="0" applyProtection="0"/>
    <xf numFmtId="0" fontId="98" fillId="28" borderId="0" applyNumberFormat="0" applyBorder="0" applyAlignment="0" applyProtection="0"/>
    <xf numFmtId="0" fontId="98" fillId="29" borderId="0" applyNumberFormat="0" applyBorder="0" applyAlignment="0" applyProtection="0"/>
    <xf numFmtId="0" fontId="98" fillId="30" borderId="0" applyNumberFormat="0" applyBorder="0" applyAlignment="0" applyProtection="0"/>
    <xf numFmtId="0" fontId="98" fillId="25" borderId="0" applyNumberFormat="0" applyBorder="0" applyAlignment="0" applyProtection="0"/>
    <xf numFmtId="0" fontId="98" fillId="28" borderId="0" applyNumberFormat="0" applyBorder="0" applyAlignment="0" applyProtection="0"/>
    <xf numFmtId="0" fontId="98" fillId="31" borderId="0" applyNumberFormat="0" applyBorder="0" applyAlignment="0" applyProtection="0"/>
    <xf numFmtId="0" fontId="116" fillId="32" borderId="0" applyNumberFormat="0" applyBorder="0" applyAlignment="0" applyProtection="0"/>
    <xf numFmtId="0" fontId="116" fillId="29" borderId="0" applyNumberFormat="0" applyBorder="0" applyAlignment="0" applyProtection="0"/>
    <xf numFmtId="0" fontId="116" fillId="30" borderId="0" applyNumberFormat="0" applyBorder="0" applyAlignment="0" applyProtection="0"/>
    <xf numFmtId="0" fontId="116" fillId="33" borderId="0" applyNumberFormat="0" applyBorder="0" applyAlignment="0" applyProtection="0"/>
    <xf numFmtId="0" fontId="116" fillId="34" borderId="0" applyNumberFormat="0" applyBorder="0" applyAlignment="0" applyProtection="0"/>
    <xf numFmtId="0" fontId="116" fillId="35" borderId="0" applyNumberFormat="0" applyBorder="0" applyAlignment="0" applyProtection="0"/>
    <xf numFmtId="0" fontId="116" fillId="36" borderId="0" applyNumberFormat="0" applyBorder="0" applyAlignment="0" applyProtection="0"/>
    <xf numFmtId="0" fontId="116" fillId="37" borderId="0" applyNumberFormat="0" applyBorder="0" applyAlignment="0" applyProtection="0"/>
    <xf numFmtId="0" fontId="116" fillId="38" borderId="0" applyNumberFormat="0" applyBorder="0" applyAlignment="0" applyProtection="0"/>
    <xf numFmtId="0" fontId="116" fillId="33" borderId="0" applyNumberFormat="0" applyBorder="0" applyAlignment="0" applyProtection="0"/>
    <xf numFmtId="0" fontId="116" fillId="34" borderId="0" applyNumberFormat="0" applyBorder="0" applyAlignment="0" applyProtection="0"/>
    <xf numFmtId="0" fontId="116" fillId="39" borderId="0" applyNumberFormat="0" applyBorder="0" applyAlignment="0" applyProtection="0"/>
    <xf numFmtId="0" fontId="117" fillId="23" borderId="0" applyNumberFormat="0" applyBorder="0" applyAlignment="0" applyProtection="0"/>
    <xf numFmtId="0" fontId="118" fillId="40" borderId="20" applyNumberFormat="0" applyAlignment="0" applyProtection="0"/>
    <xf numFmtId="0" fontId="119" fillId="41" borderId="21" applyNumberFormat="0" applyAlignment="0" applyProtection="0"/>
    <xf numFmtId="177" fontId="120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14" fillId="0" borderId="0" applyNumberFormat="0" applyFont="0" applyFill="0" applyBorder="0" applyAlignment="0"/>
    <xf numFmtId="186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121" fillId="0" borderId="0"/>
    <xf numFmtId="0" fontId="122" fillId="0" borderId="0" applyNumberFormat="0" applyFill="0" applyBorder="0" applyAlignment="0" applyProtection="0"/>
    <xf numFmtId="2" fontId="32" fillId="0" borderId="0" applyFont="0" applyFill="0" applyBorder="0" applyAlignment="0" applyProtection="0"/>
    <xf numFmtId="0" fontId="123" fillId="24" borderId="0" applyNumberFormat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22" applyNumberFormat="0" applyFill="0" applyAlignment="0" applyProtection="0"/>
    <xf numFmtId="0" fontId="126" fillId="0" borderId="0" applyNumberFormat="0" applyFill="0" applyBorder="0" applyAlignment="0" applyProtection="0"/>
    <xf numFmtId="172" fontId="115" fillId="0" borderId="0" applyFont="0" applyFill="0" applyBorder="0" applyAlignment="0" applyProtection="0"/>
    <xf numFmtId="0" fontId="127" fillId="27" borderId="20" applyNumberFormat="0" applyAlignment="0" applyProtection="0"/>
    <xf numFmtId="0" fontId="128" fillId="0" borderId="23" applyNumberFormat="0" applyFill="0" applyAlignment="0" applyProtection="0"/>
    <xf numFmtId="19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72" fontId="129" fillId="0" borderId="0" applyFill="0" applyBorder="0"/>
    <xf numFmtId="0" fontId="130" fillId="42" borderId="0" applyNumberFormat="0" applyBorder="0" applyAlignment="0" applyProtection="0"/>
    <xf numFmtId="0" fontId="129" fillId="0" borderId="0"/>
    <xf numFmtId="0" fontId="38" fillId="43" borderId="24" applyNumberFormat="0" applyFont="0" applyAlignment="0" applyProtection="0"/>
    <xf numFmtId="0" fontId="131" fillId="40" borderId="25" applyNumberFormat="0" applyAlignment="0" applyProtection="0"/>
    <xf numFmtId="9" fontId="32" fillId="0" borderId="0" applyFont="0" applyFill="0" applyBorder="0" applyAlignment="0" applyProtection="0"/>
    <xf numFmtId="193" fontId="115" fillId="0" borderId="0" applyFont="0" applyFill="0" applyBorder="0" applyAlignment="0" applyProtection="0"/>
    <xf numFmtId="0" fontId="132" fillId="0" borderId="0" applyNumberFormat="0" applyFill="0" applyBorder="0" applyAlignment="0" applyProtection="0"/>
    <xf numFmtId="0" fontId="32" fillId="0" borderId="26" applyNumberFormat="0" applyFont="0" applyFill="0" applyAlignment="0" applyProtection="0"/>
    <xf numFmtId="0" fontId="133" fillId="0" borderId="0" applyNumberFormat="0" applyFill="0" applyBorder="0" applyAlignment="0" applyProtection="0"/>
    <xf numFmtId="0" fontId="2" fillId="0" borderId="0"/>
  </cellStyleXfs>
  <cellXfs count="864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6" fillId="0" borderId="0" xfId="0" applyFont="1" applyBorder="1"/>
    <xf numFmtId="3" fontId="3" fillId="2" borderId="3" xfId="0" applyNumberFormat="1" applyFont="1" applyFill="1" applyBorder="1"/>
    <xf numFmtId="0" fontId="4" fillId="0" borderId="0" xfId="0" applyFont="1" applyBorder="1" applyAlignment="1">
      <alignment horizontal="centerContinuous"/>
    </xf>
    <xf numFmtId="3" fontId="3" fillId="0" borderId="1" xfId="0" applyNumberFormat="1" applyFont="1" applyBorder="1" applyProtection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Protection="1"/>
    <xf numFmtId="3" fontId="12" fillId="0" borderId="0" xfId="0" applyNumberFormat="1" applyFont="1" applyBorder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0" fontId="12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/>
    <xf numFmtId="0" fontId="8" fillId="0" borderId="0" xfId="0" applyFont="1" applyBorder="1"/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Continuous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49" fontId="33" fillId="5" borderId="1" xfId="4" applyNumberFormat="1" applyFont="1" applyFill="1" applyBorder="1" applyAlignment="1" applyProtection="1">
      <alignment horizontal="center" vertical="center" wrapText="1"/>
    </xf>
    <xf numFmtId="49" fontId="34" fillId="0" borderId="1" xfId="4" applyNumberFormat="1" applyFont="1" applyFill="1" applyBorder="1" applyAlignment="1" applyProtection="1">
      <alignment horizontal="center" vertical="center" wrapText="1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35" fillId="0" borderId="0" xfId="4" applyNumberFormat="1" applyFont="1" applyFill="1" applyBorder="1" applyAlignment="1" applyProtection="1">
      <alignment vertical="top" wrapText="1"/>
    </xf>
    <xf numFmtId="170" fontId="2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167" fontId="3" fillId="0" borderId="3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3" fillId="0" borderId="0" xfId="0" applyNumberFormat="1" applyFont="1" applyBorder="1" applyProtection="1"/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31" fillId="0" borderId="4" xfId="0" applyFont="1" applyBorder="1" applyAlignment="1">
      <alignment horizontal="center" vertical="center"/>
    </xf>
    <xf numFmtId="3" fontId="31" fillId="0" borderId="1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31" fillId="0" borderId="1" xfId="0" applyFont="1" applyBorder="1" applyAlignment="1">
      <alignment horizontal="left" vertical="center" wrapText="1" indent="4"/>
    </xf>
    <xf numFmtId="0" fontId="33" fillId="5" borderId="1" xfId="4" applyNumberFormat="1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left" vertical="center" indent="1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30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3" fillId="0" borderId="0" xfId="0" applyFont="1" applyBorder="1" applyProtection="1"/>
    <xf numFmtId="0" fontId="39" fillId="0" borderId="0" xfId="0" applyFont="1"/>
    <xf numFmtId="3" fontId="39" fillId="0" borderId="0" xfId="0" applyNumberFormat="1" applyFont="1" applyBorder="1" applyAlignment="1">
      <alignment horizontal="centerContinuous"/>
    </xf>
    <xf numFmtId="0" fontId="8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 applyProtection="1">
      <alignment horizontal="right" vertical="center"/>
      <protection locked="0"/>
    </xf>
    <xf numFmtId="3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3" fontId="8" fillId="0" borderId="1" xfId="0" applyNumberFormat="1" applyFont="1" applyBorder="1" applyAlignment="1" applyProtection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40" fillId="0" borderId="0" xfId="0" applyFont="1" applyProtection="1">
      <protection hidden="1"/>
    </xf>
    <xf numFmtId="0" fontId="2" fillId="0" borderId="0" xfId="0" applyFont="1" applyFill="1" applyProtection="1"/>
    <xf numFmtId="0" fontId="2" fillId="0" borderId="0" xfId="0" applyFont="1" applyBorder="1" applyProtection="1"/>
    <xf numFmtId="169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 applyProtection="1"/>
    <xf numFmtId="0" fontId="20" fillId="0" borderId="0" xfId="0" applyFont="1" applyBorder="1" applyAlignment="1" applyProtection="1">
      <alignment wrapText="1"/>
    </xf>
    <xf numFmtId="0" fontId="20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wrapText="1"/>
    </xf>
    <xf numFmtId="0" fontId="19" fillId="0" borderId="1" xfId="0" applyFont="1" applyBorder="1" applyAlignment="1" applyProtection="1">
      <alignment horizontal="center" vertical="center"/>
    </xf>
    <xf numFmtId="169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center" wrapText="1"/>
    </xf>
    <xf numFmtId="3" fontId="20" fillId="0" borderId="1" xfId="3" applyNumberFormat="1" applyFont="1" applyFill="1" applyBorder="1" applyAlignment="1" applyProtection="1">
      <alignment horizontal="center" wrapText="1"/>
    </xf>
    <xf numFmtId="3" fontId="29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left" vertical="center" wrapText="1" indent="2"/>
    </xf>
    <xf numFmtId="0" fontId="26" fillId="0" borderId="0" xfId="0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0" fontId="19" fillId="0" borderId="1" xfId="0" applyFont="1" applyFill="1" applyBorder="1" applyAlignment="1" applyProtection="1">
      <alignment horizontal="left" vertical="center" indent="2"/>
    </xf>
    <xf numFmtId="0" fontId="20" fillId="0" borderId="1" xfId="0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center" wrapText="1"/>
    </xf>
    <xf numFmtId="0" fontId="29" fillId="0" borderId="0" xfId="0" applyFont="1" applyProtection="1"/>
    <xf numFmtId="0" fontId="29" fillId="0" borderId="1" xfId="0" applyFont="1" applyFill="1" applyBorder="1" applyAlignment="1" applyProtection="1">
      <alignment horizontal="center" vertical="center" wrapText="1"/>
    </xf>
    <xf numFmtId="0" fontId="29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left" vertical="center" indent="2"/>
    </xf>
    <xf numFmtId="0" fontId="19" fillId="0" borderId="1" xfId="0" applyFont="1" applyBorder="1" applyAlignment="1" applyProtection="1">
      <alignment horizontal="left" vertical="center" wrapText="1" indent="2"/>
    </xf>
    <xf numFmtId="3" fontId="29" fillId="0" borderId="1" xfId="3" applyNumberFormat="1" applyFont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vertical="center"/>
    </xf>
    <xf numFmtId="0" fontId="36" fillId="0" borderId="1" xfId="0" applyFont="1" applyFill="1" applyBorder="1" applyAlignment="1" applyProtection="1">
      <alignment horizontal="center" vertical="center" wrapText="1"/>
    </xf>
    <xf numFmtId="0" fontId="36" fillId="0" borderId="1" xfId="0" applyFont="1" applyFill="1" applyBorder="1" applyAlignment="1" applyProtection="1">
      <alignment horizontal="left" vertical="center" wrapText="1" indent="2"/>
    </xf>
    <xf numFmtId="3" fontId="36" fillId="0" borderId="1" xfId="3" applyNumberFormat="1" applyFont="1" applyFill="1" applyBorder="1" applyAlignment="1" applyProtection="1">
      <alignment horizontal="center"/>
    </xf>
    <xf numFmtId="0" fontId="36" fillId="0" borderId="0" xfId="0" applyFont="1" applyFill="1" applyAlignment="1" applyProtection="1">
      <alignment vertical="center"/>
    </xf>
    <xf numFmtId="0" fontId="36" fillId="0" borderId="1" xfId="0" applyFont="1" applyBorder="1" applyAlignment="1" applyProtection="1">
      <alignment horizontal="center" vertical="center" wrapText="1"/>
    </xf>
    <xf numFmtId="0" fontId="36" fillId="0" borderId="1" xfId="0" applyFont="1" applyBorder="1" applyAlignment="1" applyProtection="1">
      <alignment horizontal="left" vertical="center" wrapText="1" indent="2"/>
    </xf>
    <xf numFmtId="0" fontId="36" fillId="0" borderId="0" xfId="0" applyFont="1" applyAlignment="1" applyProtection="1">
      <alignment vertical="center"/>
    </xf>
    <xf numFmtId="0" fontId="19" fillId="0" borderId="0" xfId="0" applyFont="1" applyBorder="1" applyProtection="1"/>
    <xf numFmtId="169" fontId="20" fillId="0" borderId="0" xfId="3" applyNumberFormat="1" applyFont="1" applyProtection="1"/>
    <xf numFmtId="0" fontId="19" fillId="0" borderId="0" xfId="0" applyFont="1" applyFill="1" applyBorder="1" applyAlignment="1" applyProtection="1">
      <alignment horizontal="right"/>
    </xf>
    <xf numFmtId="170" fontId="20" fillId="0" borderId="0" xfId="0" applyNumberFormat="1" applyFont="1" applyBorder="1" applyAlignment="1" applyProtection="1">
      <alignment wrapText="1"/>
    </xf>
    <xf numFmtId="3" fontId="36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9" fillId="0" borderId="1" xfId="0" applyFont="1" applyBorder="1" applyAlignment="1" applyProtection="1">
      <alignment horizontal="center" vertical="center" wrapText="1"/>
    </xf>
    <xf numFmtId="0" fontId="29" fillId="0" borderId="1" xfId="0" applyFont="1" applyBorder="1" applyAlignment="1" applyProtection="1">
      <alignment horizontal="left" vertical="center" wrapText="1" indent="2"/>
    </xf>
    <xf numFmtId="10" fontId="29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4" fillId="0" borderId="1" xfId="5" applyNumberFormat="1" applyFont="1" applyFill="1" applyBorder="1" applyAlignment="1" applyProtection="1">
      <alignment horizontal="left" vertical="center" wrapText="1" indent="2"/>
    </xf>
    <xf numFmtId="0" fontId="35" fillId="0" borderId="1" xfId="5" applyNumberFormat="1" applyFont="1" applyFill="1" applyBorder="1" applyAlignment="1" applyProtection="1">
      <alignment horizontal="left" vertical="center" wrapText="1" indent="2"/>
    </xf>
    <xf numFmtId="16" fontId="34" fillId="0" borderId="1" xfId="5" applyNumberFormat="1" applyFont="1" applyFill="1" applyBorder="1" applyAlignment="1" applyProtection="1">
      <alignment horizontal="left" vertical="center" wrapText="1" indent="2"/>
    </xf>
    <xf numFmtId="0" fontId="42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9" fillId="0" borderId="1" xfId="3" applyNumberFormat="1" applyFont="1" applyFill="1" applyBorder="1" applyAlignment="1" applyProtection="1">
      <alignment horizontal="center" vertical="center" wrapText="1"/>
    </xf>
    <xf numFmtId="3" fontId="36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44" fillId="0" borderId="0" xfId="3" applyFont="1" applyFill="1" applyBorder="1" applyAlignment="1" applyProtection="1">
      <alignment vertical="center"/>
    </xf>
    <xf numFmtId="0" fontId="45" fillId="0" borderId="0" xfId="0" applyFont="1" applyBorder="1" applyProtection="1"/>
    <xf numFmtId="0" fontId="46" fillId="0" borderId="0" xfId="0" applyFont="1" applyBorder="1" applyProtection="1"/>
    <xf numFmtId="0" fontId="42" fillId="0" borderId="0" xfId="4" applyNumberFormat="1" applyFont="1" applyFill="1" applyBorder="1" applyAlignment="1" applyProtection="1">
      <alignment horizontal="center" vertical="center"/>
    </xf>
    <xf numFmtId="0" fontId="29" fillId="0" borderId="1" xfId="0" applyFont="1" applyFill="1" applyBorder="1" applyAlignment="1" applyProtection="1">
      <alignment horizontal="left" vertical="center" indent="2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3" fontId="17" fillId="0" borderId="0" xfId="4" applyNumberFormat="1" applyFont="1" applyFill="1" applyBorder="1" applyAlignment="1" applyProtection="1">
      <alignment vertical="top"/>
    </xf>
    <xf numFmtId="3" fontId="33" fillId="5" borderId="1" xfId="4" applyNumberFormat="1" applyFont="1" applyFill="1" applyBorder="1" applyAlignment="1" applyProtection="1">
      <alignment horizontal="center" vertical="center" wrapText="1"/>
    </xf>
    <xf numFmtId="0" fontId="34" fillId="5" borderId="1" xfId="5" applyNumberFormat="1" applyFont="1" applyFill="1" applyBorder="1" applyAlignment="1" applyProtection="1">
      <alignment horizontal="left" vertical="center" wrapText="1" indent="2"/>
    </xf>
    <xf numFmtId="3" fontId="50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15" fontId="17" fillId="0" borderId="0" xfId="5" applyNumberFormat="1" applyFont="1" applyFill="1" applyBorder="1" applyAlignment="1" applyProtection="1">
      <alignment vertical="top"/>
    </xf>
    <xf numFmtId="0" fontId="51" fillId="0" borderId="0" xfId="0" applyFont="1" applyBorder="1" applyAlignment="1">
      <alignment horizontal="center" vertical="center"/>
    </xf>
    <xf numFmtId="170" fontId="0" fillId="0" borderId="0" xfId="0" applyNumberFormat="1" applyFont="1" applyBorder="1" applyAlignment="1">
      <alignment horizontal="left" indent="2"/>
    </xf>
    <xf numFmtId="15" fontId="36" fillId="0" borderId="0" xfId="0" applyNumberFormat="1" applyFont="1" applyBorder="1" applyAlignment="1" applyProtection="1">
      <alignment horizontal="left" wrapText="1" indent="3"/>
    </xf>
    <xf numFmtId="169" fontId="23" fillId="0" borderId="0" xfId="3" applyNumberFormat="1" applyFont="1" applyBorder="1" applyAlignment="1" applyProtection="1">
      <alignment horizontal="left" indent="2"/>
    </xf>
    <xf numFmtId="170" fontId="0" fillId="0" borderId="0" xfId="0" quotePrefix="1" applyNumberFormat="1" applyFont="1" applyBorder="1" applyAlignment="1">
      <alignment horizontal="left"/>
    </xf>
    <xf numFmtId="3" fontId="30" fillId="0" borderId="0" xfId="0" applyNumberFormat="1" applyFont="1"/>
    <xf numFmtId="3" fontId="52" fillId="0" borderId="0" xfId="0" applyNumberFormat="1" applyFont="1" applyAlignment="1">
      <alignment horizontal="center"/>
    </xf>
    <xf numFmtId="0" fontId="49" fillId="0" borderId="0" xfId="5" applyNumberFormat="1" applyFont="1" applyFill="1" applyBorder="1" applyAlignment="1" applyProtection="1">
      <alignment horizontal="center" vertical="top"/>
    </xf>
    <xf numFmtId="15" fontId="53" fillId="0" borderId="0" xfId="5" applyNumberFormat="1" applyFont="1" applyFill="1" applyBorder="1" applyAlignment="1" applyProtection="1">
      <alignment horizontal="center" vertical="center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7" fillId="0" borderId="1" xfId="4" applyNumberFormat="1" applyFont="1" applyFill="1" applyBorder="1" applyAlignment="1" applyProtection="1">
      <alignment horizontal="center" vertical="top" wrapText="1"/>
      <protection locked="0"/>
    </xf>
    <xf numFmtId="3" fontId="2" fillId="0" borderId="1" xfId="0" applyNumberFormat="1" applyFont="1" applyFill="1" applyBorder="1" applyAlignment="1">
      <alignment vertical="center"/>
    </xf>
    <xf numFmtId="0" fontId="55" fillId="0" borderId="1" xfId="0" applyFont="1" applyFill="1" applyBorder="1" applyAlignment="1" applyProtection="1">
      <alignment horizontal="center" vertical="center" wrapText="1"/>
    </xf>
    <xf numFmtId="0" fontId="29" fillId="0" borderId="1" xfId="0" applyFont="1" applyBorder="1" applyAlignment="1" applyProtection="1">
      <alignment horizontal="center" wrapText="1"/>
    </xf>
    <xf numFmtId="0" fontId="7" fillId="0" borderId="0" xfId="0" applyFont="1" applyBorder="1" applyAlignment="1" applyProtection="1">
      <alignment horizontal="centerContinuous" vertical="center"/>
    </xf>
    <xf numFmtId="3" fontId="3" fillId="0" borderId="3" xfId="0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center" vertical="center" wrapText="1"/>
    </xf>
    <xf numFmtId="0" fontId="33" fillId="0" borderId="0" xfId="5" applyNumberFormat="1" applyFont="1" applyFill="1" applyBorder="1" applyAlignment="1" applyProtection="1">
      <alignment horizontal="center" vertical="center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2" fillId="0" borderId="1" xfId="0" applyNumberFormat="1" applyFont="1" applyBorder="1" applyAlignment="1" applyProtection="1">
      <alignment vertical="center"/>
    </xf>
    <xf numFmtId="1" fontId="8" fillId="0" borderId="1" xfId="0" applyNumberFormat="1" applyFont="1" applyBorder="1" applyAlignment="1" applyProtection="1">
      <alignment vertical="center"/>
    </xf>
    <xf numFmtId="9" fontId="8" fillId="0" borderId="1" xfId="0" applyNumberFormat="1" applyFont="1" applyBorder="1" applyAlignment="1" applyProtection="1">
      <alignment vertical="center"/>
    </xf>
    <xf numFmtId="9" fontId="2" fillId="0" borderId="1" xfId="0" applyNumberFormat="1" applyFont="1" applyBorder="1" applyProtection="1"/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6" fillId="0" borderId="1" xfId="0" applyFont="1" applyFill="1" applyBorder="1" applyAlignment="1" applyProtection="1">
      <alignment horizontal="left" vertical="center" wrapText="1" indent="1"/>
    </xf>
    <xf numFmtId="0" fontId="36" fillId="0" borderId="1" xfId="0" applyFont="1" applyFill="1" applyBorder="1" applyAlignment="1" applyProtection="1">
      <alignment horizontal="left" vertical="center" indent="1"/>
    </xf>
    <xf numFmtId="0" fontId="20" fillId="0" borderId="1" xfId="0" applyFont="1" applyBorder="1" applyAlignment="1" applyProtection="1">
      <alignment horizontal="left" vertical="center" wrapText="1" indent="1"/>
    </xf>
    <xf numFmtId="0" fontId="20" fillId="0" borderId="1" xfId="0" applyFont="1" applyFill="1" applyBorder="1" applyAlignment="1" applyProtection="1">
      <alignment horizontal="left" vertical="center" wrapText="1" indent="1"/>
    </xf>
    <xf numFmtId="9" fontId="33" fillId="0" borderId="0" xfId="2" applyFont="1" applyFill="1" applyBorder="1" applyAlignment="1" applyProtection="1">
      <alignment horizontal="center" vertical="center"/>
    </xf>
    <xf numFmtId="9" fontId="34" fillId="0" borderId="1" xfId="2" applyFont="1" applyFill="1" applyBorder="1" applyAlignment="1" applyProtection="1">
      <alignment horizontal="center" vertical="center" wrapTex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171" fontId="34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3" fontId="52" fillId="3" borderId="1" xfId="0" applyNumberFormat="1" applyFont="1" applyFill="1" applyBorder="1" applyAlignment="1" applyProtection="1">
      <alignment horizontal="center" vertical="center" wrapText="1"/>
    </xf>
    <xf numFmtId="3" fontId="58" fillId="3" borderId="1" xfId="0" applyNumberFormat="1" applyFont="1" applyFill="1" applyBorder="1" applyAlignment="1" applyProtection="1">
      <alignment horizontal="center" vertical="center" wrapText="1"/>
    </xf>
    <xf numFmtId="9" fontId="58" fillId="3" borderId="1" xfId="2" applyFont="1" applyFill="1" applyBorder="1" applyAlignment="1" applyProtection="1">
      <alignment horizontal="center" vertical="center" wrapText="1"/>
    </xf>
    <xf numFmtId="3" fontId="30" fillId="3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centerContinuous"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vertical="center" wrapText="1"/>
    </xf>
    <xf numFmtId="0" fontId="29" fillId="0" borderId="1" xfId="0" applyFont="1" applyFill="1" applyBorder="1" applyAlignment="1" applyProtection="1">
      <alignment horizontal="left" vertical="center" wrapText="1" indent="2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30" fillId="0" borderId="3" xfId="0" applyNumberFormat="1" applyFont="1" applyBorder="1" applyAlignment="1" applyProtection="1">
      <alignment vertical="center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0" fontId="33" fillId="5" borderId="1" xfId="5" applyNumberFormat="1" applyFont="1" applyFill="1" applyBorder="1" applyAlignment="1" applyProtection="1">
      <alignment horizontal="left" vertical="center" wrapText="1" indent="2"/>
    </xf>
    <xf numFmtId="0" fontId="48" fillId="5" borderId="1" xfId="5" applyNumberFormat="1" applyFont="1" applyFill="1" applyBorder="1" applyAlignment="1" applyProtection="1">
      <alignment horizontal="left" vertical="center" wrapText="1" indent="4"/>
    </xf>
    <xf numFmtId="0" fontId="34" fillId="5" borderId="1" xfId="5" applyNumberFormat="1" applyFont="1" applyFill="1" applyBorder="1" applyAlignment="1" applyProtection="1">
      <alignment horizontal="left" vertical="center" wrapText="1" indent="1"/>
    </xf>
    <xf numFmtId="0" fontId="34" fillId="0" borderId="1" xfId="5" applyNumberFormat="1" applyFont="1" applyFill="1" applyBorder="1" applyAlignment="1" applyProtection="1">
      <alignment horizontal="left" vertical="center" wrapText="1" indent="1"/>
    </xf>
    <xf numFmtId="3" fontId="30" fillId="0" borderId="1" xfId="0" applyNumberFormat="1" applyFont="1" applyFill="1" applyBorder="1" applyAlignment="1">
      <alignment horizontal="center" vertical="center" wrapText="1"/>
    </xf>
    <xf numFmtId="0" fontId="61" fillId="0" borderId="0" xfId="0" applyFont="1" applyProtection="1"/>
    <xf numFmtId="166" fontId="61" fillId="0" borderId="0" xfId="3" applyFont="1" applyBorder="1" applyProtection="1"/>
    <xf numFmtId="0" fontId="61" fillId="0" borderId="0" xfId="0" applyFont="1" applyAlignment="1" applyProtection="1">
      <alignment vertical="center"/>
    </xf>
    <xf numFmtId="166" fontId="61" fillId="0" borderId="0" xfId="3" applyFont="1" applyBorder="1" applyAlignment="1" applyProtection="1">
      <alignment vertical="center"/>
    </xf>
    <xf numFmtId="0" fontId="44" fillId="0" borderId="0" xfId="0" applyFont="1" applyFill="1" applyAlignment="1" applyProtection="1">
      <alignment vertical="center"/>
    </xf>
    <xf numFmtId="3" fontId="62" fillId="0" borderId="0" xfId="0" applyNumberFormat="1" applyFont="1" applyProtection="1"/>
    <xf numFmtId="166" fontId="62" fillId="0" borderId="0" xfId="3" applyFont="1" applyBorder="1" applyProtection="1"/>
    <xf numFmtId="0" fontId="62" fillId="0" borderId="0" xfId="0" applyFont="1" applyProtection="1"/>
    <xf numFmtId="0" fontId="62" fillId="0" borderId="0" xfId="0" applyFont="1" applyAlignment="1" applyProtection="1">
      <alignment vertical="center"/>
    </xf>
    <xf numFmtId="166" fontId="62" fillId="0" borderId="0" xfId="3" applyFont="1" applyBorder="1" applyAlignment="1" applyProtection="1">
      <alignment vertical="center"/>
    </xf>
    <xf numFmtId="169" fontId="62" fillId="0" borderId="0" xfId="3" applyNumberFormat="1" applyFont="1" applyAlignment="1" applyProtection="1">
      <alignment vertical="center"/>
    </xf>
    <xf numFmtId="3" fontId="61" fillId="0" borderId="0" xfId="0" applyNumberFormat="1" applyFont="1" applyAlignment="1" applyProtection="1">
      <alignment vertical="center"/>
    </xf>
    <xf numFmtId="0" fontId="61" fillId="0" borderId="0" xfId="0" applyFont="1" applyFill="1" applyAlignment="1" applyProtection="1">
      <alignment vertical="center"/>
    </xf>
    <xf numFmtId="166" fontId="61" fillId="0" borderId="0" xfId="3" applyFont="1" applyFill="1" applyBorder="1" applyAlignment="1" applyProtection="1">
      <alignment vertical="center"/>
    </xf>
    <xf numFmtId="3" fontId="61" fillId="0" borderId="0" xfId="0" applyNumberFormat="1" applyFont="1" applyFill="1" applyAlignment="1" applyProtection="1">
      <alignment vertical="center"/>
    </xf>
    <xf numFmtId="0" fontId="63" fillId="0" borderId="0" xfId="0" applyFont="1" applyFill="1" applyAlignment="1" applyProtection="1">
      <alignment vertical="center"/>
    </xf>
    <xf numFmtId="166" fontId="63" fillId="0" borderId="0" xfId="3" applyFont="1" applyFill="1" applyBorder="1" applyAlignment="1" applyProtection="1">
      <alignment vertical="center"/>
    </xf>
    <xf numFmtId="3" fontId="63" fillId="0" borderId="0" xfId="0" applyNumberFormat="1" applyFont="1" applyFill="1" applyAlignment="1" applyProtection="1">
      <alignment vertical="center"/>
    </xf>
    <xf numFmtId="0" fontId="63" fillId="0" borderId="0" xfId="0" applyFont="1" applyAlignment="1" applyProtection="1">
      <alignment vertical="center"/>
    </xf>
    <xf numFmtId="166" fontId="63" fillId="0" borderId="0" xfId="3" applyFont="1" applyBorder="1" applyAlignment="1" applyProtection="1">
      <alignment vertical="center"/>
    </xf>
    <xf numFmtId="0" fontId="64" fillId="0" borderId="0" xfId="0" applyFont="1"/>
    <xf numFmtId="0" fontId="64" fillId="0" borderId="0" xfId="0" applyFont="1" applyAlignment="1">
      <alignment vertical="center"/>
    </xf>
    <xf numFmtId="3" fontId="64" fillId="0" borderId="0" xfId="0" applyNumberFormat="1" applyFont="1" applyAlignment="1">
      <alignment vertical="center"/>
    </xf>
    <xf numFmtId="0" fontId="17" fillId="0" borderId="0" xfId="0" applyFont="1"/>
    <xf numFmtId="0" fontId="65" fillId="0" borderId="0" xfId="0" applyFont="1"/>
    <xf numFmtId="0" fontId="57" fillId="0" borderId="0" xfId="0" applyFont="1"/>
    <xf numFmtId="49" fontId="33" fillId="6" borderId="1" xfId="4" applyNumberFormat="1" applyFont="1" applyFill="1" applyBorder="1" applyAlignment="1" applyProtection="1">
      <alignment horizontal="center" vertical="center" wrapText="1"/>
    </xf>
    <xf numFmtId="0" fontId="33" fillId="6" borderId="1" xfId="4" applyNumberFormat="1" applyFont="1" applyFill="1" applyBorder="1" applyAlignment="1" applyProtection="1">
      <alignment horizontal="center" vertical="center" wrapText="1"/>
    </xf>
    <xf numFmtId="3" fontId="33" fillId="6" borderId="1" xfId="4" applyNumberFormat="1" applyFont="1" applyFill="1" applyBorder="1" applyAlignment="1" applyProtection="1">
      <alignment horizontal="center" vertical="center" wrapText="1"/>
    </xf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7" fillId="6" borderId="1" xfId="4" applyNumberFormat="1" applyFont="1" applyFill="1" applyBorder="1" applyAlignment="1" applyProtection="1">
      <alignment horizontal="center" vertical="center" wrapText="1"/>
    </xf>
    <xf numFmtId="3" fontId="13" fillId="3" borderId="1" xfId="0" applyNumberFormat="1" applyFont="1" applyFill="1" applyBorder="1" applyProtection="1"/>
    <xf numFmtId="3" fontId="13" fillId="0" borderId="1" xfId="0" applyNumberFormat="1" applyFont="1" applyBorder="1" applyAlignment="1" applyProtection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3" fontId="13" fillId="3" borderId="1" xfId="0" applyNumberFormat="1" applyFont="1" applyFill="1" applyBorder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0" fontId="68" fillId="0" borderId="0" xfId="0" applyFont="1" applyAlignment="1" applyProtection="1">
      <alignment vertical="center"/>
    </xf>
    <xf numFmtId="3" fontId="36" fillId="0" borderId="1" xfId="3" applyNumberFormat="1" applyFont="1" applyFill="1" applyBorder="1" applyAlignment="1" applyProtection="1">
      <alignment horizontal="center"/>
      <protection locked="0"/>
    </xf>
    <xf numFmtId="166" fontId="68" fillId="0" borderId="0" xfId="3" applyFont="1" applyBorder="1" applyAlignment="1" applyProtection="1">
      <alignment vertical="center"/>
    </xf>
    <xf numFmtId="3" fontId="68" fillId="0" borderId="1" xfId="3" applyNumberFormat="1" applyFont="1" applyFill="1" applyBorder="1" applyAlignment="1" applyProtection="1">
      <alignment horizontal="center"/>
    </xf>
    <xf numFmtId="3" fontId="43" fillId="0" borderId="0" xfId="0" applyNumberFormat="1" applyFont="1" applyBorder="1" applyAlignment="1">
      <alignment horizontal="center"/>
    </xf>
    <xf numFmtId="0" fontId="49" fillId="0" borderId="0" xfId="4" applyNumberFormat="1" applyFont="1" applyFill="1" applyBorder="1" applyAlignment="1" applyProtection="1">
      <alignment horizontal="center" vertical="center"/>
    </xf>
    <xf numFmtId="3" fontId="47" fillId="3" borderId="5" xfId="0" applyNumberFormat="1" applyFont="1" applyFill="1" applyBorder="1" applyAlignment="1" applyProtection="1">
      <alignment horizontal="center" vertical="center" wrapText="1"/>
    </xf>
    <xf numFmtId="3" fontId="8" fillId="0" borderId="10" xfId="0" applyNumberFormat="1" applyFont="1" applyBorder="1"/>
    <xf numFmtId="3" fontId="8" fillId="0" borderId="0" xfId="0" applyNumberFormat="1" applyFont="1" applyBorder="1"/>
    <xf numFmtId="3" fontId="4" fillId="0" borderId="0" xfId="0" applyNumberFormat="1" applyFont="1" applyBorder="1"/>
    <xf numFmtId="170" fontId="12" fillId="0" borderId="10" xfId="0" applyNumberFormat="1" applyFont="1" applyBorder="1" applyAlignment="1">
      <alignment horizontal="centerContinuous"/>
    </xf>
    <xf numFmtId="0" fontId="39" fillId="0" borderId="0" xfId="0" applyFont="1" applyBorder="1"/>
    <xf numFmtId="3" fontId="71" fillId="0" borderId="0" xfId="0" applyNumberFormat="1" applyFont="1" applyBorder="1" applyAlignment="1">
      <alignment horizontal="centerContinuous"/>
    </xf>
    <xf numFmtId="3" fontId="72" fillId="0" borderId="0" xfId="0" applyNumberFormat="1" applyFont="1" applyBorder="1" applyAlignment="1">
      <alignment horizontal="centerContinuous"/>
    </xf>
    <xf numFmtId="0" fontId="72" fillId="0" borderId="0" xfId="0" applyFont="1" applyBorder="1"/>
    <xf numFmtId="3" fontId="71" fillId="0" borderId="0" xfId="0" applyNumberFormat="1" applyFont="1" applyBorder="1" applyAlignment="1">
      <alignment horizontal="center"/>
    </xf>
    <xf numFmtId="0" fontId="73" fillId="0" borderId="0" xfId="0" applyFont="1"/>
    <xf numFmtId="0" fontId="72" fillId="0" borderId="0" xfId="0" applyFont="1"/>
    <xf numFmtId="0" fontId="74" fillId="0" borderId="0" xfId="4" applyNumberFormat="1" applyFont="1" applyFill="1" applyBorder="1" applyAlignment="1" applyProtection="1">
      <alignment horizontal="right" vertical="top" indent="2"/>
    </xf>
    <xf numFmtId="0" fontId="75" fillId="0" borderId="0" xfId="4" applyNumberFormat="1" applyFont="1" applyFill="1" applyBorder="1" applyAlignment="1" applyProtection="1">
      <alignment vertical="top"/>
    </xf>
    <xf numFmtId="3" fontId="75" fillId="0" borderId="0" xfId="4" applyNumberFormat="1" applyFont="1" applyFill="1" applyBorder="1" applyAlignment="1" applyProtection="1">
      <alignment vertical="top"/>
    </xf>
    <xf numFmtId="0" fontId="77" fillId="5" borderId="1" xfId="5" applyNumberFormat="1" applyFont="1" applyFill="1" applyBorder="1" applyAlignment="1" applyProtection="1">
      <alignment horizontal="center" vertical="center" wrapText="1"/>
    </xf>
    <xf numFmtId="0" fontId="77" fillId="5" borderId="1" xfId="5" applyNumberFormat="1" applyFont="1" applyFill="1" applyBorder="1" applyAlignment="1" applyProtection="1">
      <alignment horizontal="left" vertical="center" wrapText="1" indent="2"/>
    </xf>
    <xf numFmtId="9" fontId="59" fillId="5" borderId="1" xfId="2" applyFont="1" applyFill="1" applyBorder="1" applyAlignment="1" applyProtection="1">
      <alignment horizontal="center" vertical="center" wrapText="1"/>
      <protection locked="0"/>
    </xf>
    <xf numFmtId="0" fontId="59" fillId="0" borderId="0" xfId="5" applyNumberFormat="1" applyFont="1" applyFill="1" applyBorder="1" applyAlignment="1" applyProtection="1">
      <alignment horizontal="center" vertical="center"/>
    </xf>
    <xf numFmtId="0" fontId="59" fillId="0" borderId="0" xfId="5" applyNumberFormat="1" applyFont="1" applyFill="1" applyBorder="1" applyAlignment="1" applyProtection="1">
      <alignment vertical="center"/>
    </xf>
    <xf numFmtId="0" fontId="78" fillId="5" borderId="1" xfId="5" applyNumberFormat="1" applyFont="1" applyFill="1" applyBorder="1" applyAlignment="1" applyProtection="1">
      <alignment horizontal="left" vertical="center" wrapText="1" indent="1"/>
    </xf>
    <xf numFmtId="172" fontId="17" fillId="0" borderId="1" xfId="5" applyNumberFormat="1" applyFont="1" applyFill="1" applyBorder="1" applyAlignment="1" applyProtection="1">
      <alignment horizontal="center" vertical="center" wrapText="1"/>
    </xf>
    <xf numFmtId="172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72" fontId="14" fillId="0" borderId="1" xfId="5" applyNumberFormat="1" applyFont="1" applyFill="1" applyBorder="1" applyAlignment="1" applyProtection="1">
      <alignment horizontal="center" vertical="center" wrapText="1"/>
    </xf>
    <xf numFmtId="171" fontId="33" fillId="0" borderId="1" xfId="2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8" fillId="0" borderId="1" xfId="2" applyFont="1" applyBorder="1" applyAlignment="1" applyProtection="1">
      <alignment horizontal="right" vertical="center"/>
      <protection locked="0"/>
    </xf>
    <xf numFmtId="9" fontId="13" fillId="0" borderId="1" xfId="2" applyFont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</xf>
    <xf numFmtId="9" fontId="13" fillId="0" borderId="1" xfId="2" applyFont="1" applyBorder="1" applyAlignment="1" applyProtection="1">
      <alignment vertical="center"/>
    </xf>
    <xf numFmtId="3" fontId="79" fillId="0" borderId="0" xfId="4" applyNumberFormat="1" applyFont="1" applyFill="1" applyBorder="1" applyAlignment="1" applyProtection="1">
      <alignment vertical="top"/>
    </xf>
    <xf numFmtId="3" fontId="17" fillId="3" borderId="1" xfId="0" applyNumberFormat="1" applyFont="1" applyFill="1" applyBorder="1" applyAlignment="1" applyProtection="1">
      <alignment horizontal="center" vertical="center" wrapText="1"/>
    </xf>
    <xf numFmtId="3" fontId="21" fillId="5" borderId="1" xfId="7" applyNumberFormat="1" applyFont="1" applyFill="1" applyBorder="1" applyAlignment="1" applyProtection="1">
      <alignment horizontal="center" vertical="center" wrapText="1"/>
      <protection locked="0"/>
    </xf>
    <xf numFmtId="172" fontId="18" fillId="5" borderId="1" xfId="7" applyNumberFormat="1" applyFont="1" applyFill="1" applyBorder="1" applyAlignment="1" applyProtection="1">
      <alignment horizontal="center" vertical="center" wrapText="1"/>
    </xf>
    <xf numFmtId="171" fontId="18" fillId="5" borderId="1" xfId="2" applyNumberFormat="1" applyFont="1" applyFill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0" fontId="80" fillId="0" borderId="0" xfId="5" applyNumberFormat="1" applyFont="1" applyFill="1" applyBorder="1" applyAlignment="1" applyProtection="1">
      <alignment horizontal="center" vertical="top"/>
    </xf>
    <xf numFmtId="0" fontId="80" fillId="0" borderId="0" xfId="5" applyNumberFormat="1" applyFont="1" applyFill="1" applyBorder="1" applyAlignment="1" applyProtection="1">
      <alignment vertical="top"/>
    </xf>
    <xf numFmtId="172" fontId="80" fillId="0" borderId="0" xfId="5" applyNumberFormat="1" applyFont="1" applyFill="1" applyBorder="1" applyAlignment="1" applyProtection="1">
      <alignment horizontal="center" vertical="top"/>
    </xf>
    <xf numFmtId="3" fontId="80" fillId="0" borderId="0" xfId="5" applyNumberFormat="1" applyFont="1" applyFill="1" applyBorder="1" applyAlignment="1" applyProtection="1">
      <alignment horizontal="center" vertical="top"/>
    </xf>
    <xf numFmtId="169" fontId="17" fillId="0" borderId="0" xfId="3" applyNumberFormat="1" applyFont="1" applyFill="1" applyBorder="1" applyAlignment="1" applyProtection="1">
      <alignment vertical="top"/>
    </xf>
    <xf numFmtId="169" fontId="80" fillId="0" borderId="0" xfId="3" applyNumberFormat="1" applyFont="1" applyFill="1" applyBorder="1" applyAlignment="1" applyProtection="1">
      <alignment horizontal="center" vertical="top"/>
    </xf>
    <xf numFmtId="0" fontId="8" fillId="0" borderId="0" xfId="0" applyFont="1" applyProtection="1"/>
    <xf numFmtId="169" fontId="80" fillId="0" borderId="0" xfId="3" applyNumberFormat="1" applyFont="1" applyFill="1" applyBorder="1" applyAlignment="1" applyProtection="1">
      <alignment vertical="top"/>
    </xf>
    <xf numFmtId="3" fontId="21" fillId="5" borderId="1" xfId="7" applyNumberFormat="1" applyFont="1" applyFill="1" applyBorder="1" applyAlignment="1" applyProtection="1">
      <alignment horizontal="center" vertical="center" wrapText="1"/>
    </xf>
    <xf numFmtId="3" fontId="81" fillId="0" borderId="0" xfId="5" applyNumberFormat="1" applyFont="1" applyFill="1" applyBorder="1" applyAlignment="1" applyProtection="1">
      <alignment horizontal="center" vertical="center"/>
    </xf>
    <xf numFmtId="3" fontId="82" fillId="0" borderId="0" xfId="5" applyNumberFormat="1" applyFont="1" applyFill="1" applyBorder="1" applyAlignment="1" applyProtection="1">
      <alignment horizontal="center" vertical="center"/>
    </xf>
    <xf numFmtId="3" fontId="9" fillId="0" borderId="1" xfId="3" applyNumberFormat="1" applyFont="1" applyFill="1" applyBorder="1" applyAlignment="1" applyProtection="1">
      <alignment horizontal="center" vertical="center" wrapText="1"/>
    </xf>
    <xf numFmtId="3" fontId="83" fillId="0" borderId="0" xfId="0" applyNumberFormat="1" applyFont="1" applyBorder="1" applyAlignment="1">
      <alignment horizontal="center" vertical="center"/>
    </xf>
    <xf numFmtId="0" fontId="65" fillId="0" borderId="0" xfId="0" applyFont="1" applyFill="1"/>
    <xf numFmtId="0" fontId="0" fillId="0" borderId="0" xfId="0" applyFill="1"/>
    <xf numFmtId="0" fontId="2" fillId="0" borderId="0" xfId="0" applyFont="1" applyFill="1" applyAlignment="1">
      <alignment vertical="center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/>
    <xf numFmtId="0" fontId="38" fillId="0" borderId="0" xfId="0" applyFont="1" applyFill="1"/>
    <xf numFmtId="0" fontId="68" fillId="20" borderId="1" xfId="0" applyFont="1" applyFill="1" applyBorder="1" applyAlignment="1" applyProtection="1">
      <alignment horizontal="left" vertical="center" wrapText="1" indent="1"/>
    </xf>
    <xf numFmtId="0" fontId="42" fillId="0" borderId="0" xfId="9" applyNumberFormat="1" applyFont="1" applyFill="1" applyBorder="1" applyAlignment="1" applyProtection="1">
      <alignment vertical="top"/>
    </xf>
    <xf numFmtId="9" fontId="42" fillId="0" borderId="0" xfId="10" applyFont="1" applyFill="1" applyBorder="1" applyAlignment="1" applyProtection="1">
      <alignment vertical="top"/>
    </xf>
    <xf numFmtId="0" fontId="42" fillId="0" borderId="0" xfId="9" applyNumberFormat="1" applyFont="1" applyFill="1" applyBorder="1" applyAlignment="1" applyProtection="1">
      <alignment vertical="center"/>
    </xf>
    <xf numFmtId="0" fontId="41" fillId="0" borderId="9" xfId="9" applyNumberFormat="1" applyFont="1" applyFill="1" applyBorder="1" applyAlignment="1" applyProtection="1">
      <alignment vertical="center"/>
    </xf>
    <xf numFmtId="0" fontId="42" fillId="0" borderId="0" xfId="9" applyNumberFormat="1" applyFont="1" applyFill="1" applyBorder="1" applyAlignment="1" applyProtection="1">
      <alignment horizontal="center" vertical="center"/>
    </xf>
    <xf numFmtId="0" fontId="74" fillId="5" borderId="1" xfId="9" applyNumberFormat="1" applyFont="1" applyFill="1" applyBorder="1" applyAlignment="1" applyProtection="1">
      <alignment horizontal="left" vertical="center" wrapText="1" indent="2"/>
    </xf>
    <xf numFmtId="0" fontId="41" fillId="5" borderId="1" xfId="9" applyNumberFormat="1" applyFont="1" applyFill="1" applyBorder="1" applyAlignment="1" applyProtection="1">
      <alignment horizontal="left" vertical="center" wrapText="1" indent="2"/>
    </xf>
    <xf numFmtId="3" fontId="49" fillId="0" borderId="1" xfId="9" applyNumberFormat="1" applyFont="1" applyFill="1" applyBorder="1" applyAlignment="1" applyProtection="1">
      <alignment horizontal="center" vertical="center" wrapText="1"/>
    </xf>
    <xf numFmtId="171" fontId="41" fillId="0" borderId="1" xfId="10" applyNumberFormat="1" applyFont="1" applyFill="1" applyBorder="1" applyAlignment="1" applyProtection="1">
      <alignment horizontal="center" vertical="center" wrapText="1"/>
    </xf>
    <xf numFmtId="0" fontId="74" fillId="21" borderId="1" xfId="9" applyNumberFormat="1" applyFont="1" applyFill="1" applyBorder="1" applyAlignment="1" applyProtection="1">
      <alignment horizontal="center" vertical="center" wrapText="1"/>
    </xf>
    <xf numFmtId="0" fontId="74" fillId="21" borderId="1" xfId="9" applyNumberFormat="1" applyFont="1" applyFill="1" applyBorder="1" applyAlignment="1" applyProtection="1">
      <alignment horizontal="left" vertical="center" wrapText="1" indent="1"/>
    </xf>
    <xf numFmtId="171" fontId="74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85" fillId="0" borderId="1" xfId="9" applyNumberFormat="1" applyFont="1" applyFill="1" applyBorder="1" applyAlignment="1" applyProtection="1">
      <alignment horizontal="center" vertical="center" wrapText="1"/>
    </xf>
    <xf numFmtId="0" fontId="85" fillId="5" borderId="1" xfId="9" applyNumberFormat="1" applyFont="1" applyFill="1" applyBorder="1" applyAlignment="1" applyProtection="1">
      <alignment horizontal="left" vertical="center" wrapText="1" indent="1"/>
    </xf>
    <xf numFmtId="0" fontId="86" fillId="0" borderId="0" xfId="9" applyNumberFormat="1" applyFont="1" applyFill="1" applyBorder="1" applyAlignment="1" applyProtection="1">
      <alignment horizontal="center" vertical="center"/>
    </xf>
    <xf numFmtId="0" fontId="74" fillId="0" borderId="1" xfId="9" applyNumberFormat="1" applyFont="1" applyFill="1" applyBorder="1" applyAlignment="1" applyProtection="1">
      <alignment horizontal="center" vertical="center" wrapText="1"/>
    </xf>
    <xf numFmtId="0" fontId="74" fillId="0" borderId="1" xfId="9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>
      <alignment horizontal="left" vertical="center" wrapText="1"/>
    </xf>
    <xf numFmtId="0" fontId="36" fillId="20" borderId="1" xfId="0" applyFont="1" applyFill="1" applyBorder="1" applyAlignment="1" applyProtection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 applyProtection="1">
      <alignment vertical="center"/>
    </xf>
    <xf numFmtId="0" fontId="49" fillId="0" borderId="0" xfId="9" applyNumberFormat="1" applyFont="1" applyFill="1" applyBorder="1" applyAlignment="1" applyProtection="1">
      <alignment horizontal="center" vertical="center"/>
    </xf>
    <xf numFmtId="0" fontId="74" fillId="0" borderId="0" xfId="9" applyNumberFormat="1" applyFont="1" applyFill="1" applyBorder="1" applyAlignment="1" applyProtection="1">
      <alignment horizontal="center" vertical="center" wrapText="1"/>
    </xf>
    <xf numFmtId="0" fontId="74" fillId="0" borderId="0" xfId="9" applyNumberFormat="1" applyFont="1" applyFill="1" applyBorder="1" applyAlignment="1" applyProtection="1">
      <alignment horizontal="left" vertical="center" wrapText="1" indent="1"/>
    </xf>
    <xf numFmtId="172" fontId="42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59" fillId="3" borderId="5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0" fontId="64" fillId="0" borderId="0" xfId="0" applyFont="1" applyFill="1" applyAlignment="1">
      <alignment vertical="center"/>
    </xf>
    <xf numFmtId="0" fontId="74" fillId="5" borderId="1" xfId="9" applyNumberFormat="1" applyFont="1" applyFill="1" applyBorder="1" applyAlignment="1" applyProtection="1">
      <alignment horizontal="left" vertical="center" wrapText="1" indent="1"/>
    </xf>
    <xf numFmtId="3" fontId="42" fillId="0" borderId="1" xfId="9" applyNumberFormat="1" applyFont="1" applyFill="1" applyBorder="1" applyAlignment="1" applyProtection="1">
      <alignment horizontal="center" vertical="center" wrapText="1"/>
    </xf>
    <xf numFmtId="3" fontId="42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49" fillId="21" borderId="1" xfId="9" applyNumberFormat="1" applyFont="1" applyFill="1" applyBorder="1" applyAlignment="1" applyProtection="1">
      <alignment horizontal="center" vertical="center" wrapText="1"/>
    </xf>
    <xf numFmtId="171" fontId="41" fillId="21" borderId="1" xfId="10" applyNumberFormat="1" applyFont="1" applyFill="1" applyBorder="1" applyAlignment="1" applyProtection="1">
      <alignment horizontal="center" vertical="center" wrapText="1"/>
    </xf>
    <xf numFmtId="171" fontId="74" fillId="0" borderId="0" xfId="10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0" fontId="8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</xf>
    <xf numFmtId="170" fontId="0" fillId="0" borderId="0" xfId="0" applyNumberFormat="1" applyFont="1" applyBorder="1" applyAlignment="1" applyProtection="1">
      <alignment horizontal="left" indent="2"/>
    </xf>
    <xf numFmtId="3" fontId="3" fillId="2" borderId="3" xfId="0" applyNumberFormat="1" applyFont="1" applyFill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108" fillId="0" borderId="0" xfId="9" applyNumberFormat="1" applyFont="1" applyFill="1" applyBorder="1" applyAlignment="1" applyProtection="1">
      <alignment vertical="top"/>
    </xf>
    <xf numFmtId="0" fontId="108" fillId="0" borderId="0" xfId="9" applyNumberFormat="1" applyFont="1" applyFill="1" applyBorder="1" applyAlignment="1" applyProtection="1">
      <alignment vertical="center"/>
    </xf>
    <xf numFmtId="0" fontId="108" fillId="0" borderId="0" xfId="9" applyNumberFormat="1" applyFont="1" applyFill="1" applyBorder="1" applyAlignment="1" applyProtection="1">
      <alignment horizontal="center" vertical="center"/>
    </xf>
    <xf numFmtId="3" fontId="108" fillId="3" borderId="1" xfId="0" applyNumberFormat="1" applyFont="1" applyFill="1" applyBorder="1" applyAlignment="1" applyProtection="1">
      <alignment horizontal="center" vertical="center" wrapText="1"/>
    </xf>
    <xf numFmtId="3" fontId="108" fillId="0" borderId="0" xfId="9" applyNumberFormat="1" applyFont="1" applyFill="1" applyBorder="1" applyAlignment="1" applyProtection="1">
      <alignment horizontal="center" vertical="center"/>
    </xf>
    <xf numFmtId="0" fontId="109" fillId="0" borderId="0" xfId="9" applyNumberFormat="1" applyFont="1" applyFill="1" applyBorder="1" applyAlignment="1" applyProtection="1">
      <alignment horizontal="center" vertical="center"/>
    </xf>
    <xf numFmtId="0" fontId="110" fillId="0" borderId="0" xfId="9" applyNumberFormat="1" applyFont="1" applyFill="1" applyBorder="1" applyAlignment="1" applyProtection="1">
      <alignment horizontal="center" vertical="center"/>
    </xf>
    <xf numFmtId="0" fontId="84" fillId="0" borderId="0" xfId="0" applyFont="1" applyProtection="1">
      <protection locked="0"/>
    </xf>
    <xf numFmtId="0" fontId="79" fillId="0" borderId="0" xfId="5" applyNumberFormat="1" applyFont="1" applyFill="1" applyBorder="1" applyAlignment="1" applyProtection="1">
      <alignment vertical="top"/>
    </xf>
    <xf numFmtId="0" fontId="84" fillId="0" borderId="0" xfId="0" applyFont="1" applyProtection="1"/>
    <xf numFmtId="0" fontId="79" fillId="0" borderId="0" xfId="9" applyNumberFormat="1" applyFont="1" applyFill="1" applyBorder="1" applyAlignment="1" applyProtection="1">
      <alignment vertical="top"/>
    </xf>
    <xf numFmtId="169" fontId="56" fillId="0" borderId="0" xfId="3" applyNumberFormat="1" applyFont="1"/>
    <xf numFmtId="0" fontId="56" fillId="0" borderId="0" xfId="0" applyFont="1"/>
    <xf numFmtId="169" fontId="111" fillId="0" borderId="0" xfId="3" applyNumberFormat="1" applyFont="1"/>
    <xf numFmtId="3" fontId="112" fillId="0" borderId="0" xfId="9" applyNumberFormat="1" applyFont="1" applyFill="1" applyBorder="1" applyAlignment="1" applyProtection="1">
      <alignment horizontal="center" vertical="center"/>
    </xf>
    <xf numFmtId="166" fontId="108" fillId="0" borderId="0" xfId="3" applyFont="1" applyFill="1" applyBorder="1" applyAlignment="1" applyProtection="1">
      <alignment horizontal="center" vertical="center"/>
    </xf>
    <xf numFmtId="0" fontId="114" fillId="0" borderId="0" xfId="0" applyFont="1" applyFill="1" applyProtection="1"/>
    <xf numFmtId="0" fontId="114" fillId="0" borderId="0" xfId="0" applyFont="1" applyFill="1" applyBorder="1" applyAlignment="1" applyProtection="1"/>
    <xf numFmtId="14" fontId="114" fillId="0" borderId="0" xfId="0" applyNumberFormat="1" applyFont="1" applyFill="1" applyProtection="1"/>
    <xf numFmtId="0" fontId="113" fillId="0" borderId="1" xfId="1225" applyFont="1" applyFill="1" applyBorder="1" applyAlignment="1" applyProtection="1">
      <alignment horizontal="left" vertical="center" wrapText="1"/>
    </xf>
    <xf numFmtId="0" fontId="114" fillId="0" borderId="18" xfId="1225" applyFont="1" applyFill="1" applyBorder="1" applyAlignment="1" applyProtection="1">
      <alignment horizontal="left" vertical="center" wrapText="1" indent="2"/>
    </xf>
    <xf numFmtId="0" fontId="114" fillId="0" borderId="19" xfId="1225" applyFont="1" applyFill="1" applyBorder="1" applyAlignment="1" applyProtection="1">
      <alignment horizontal="left" vertical="center" wrapText="1" indent="2"/>
    </xf>
    <xf numFmtId="0" fontId="114" fillId="0" borderId="0" xfId="0" applyFont="1" applyFill="1" applyAlignment="1" applyProtection="1">
      <alignment wrapText="1"/>
    </xf>
    <xf numFmtId="0" fontId="114" fillId="0" borderId="0" xfId="0" applyFont="1" applyFill="1" applyAlignment="1" applyProtection="1">
      <alignment horizontal="center"/>
    </xf>
    <xf numFmtId="0" fontId="135" fillId="0" borderId="0" xfId="0" applyFont="1" applyFill="1" applyProtection="1"/>
    <xf numFmtId="0" fontId="2" fillId="0" borderId="1" xfId="0" applyFont="1" applyFill="1" applyBorder="1" applyAlignment="1" applyProtection="1">
      <alignment horizontal="left" vertical="center" wrapText="1" indent="2"/>
    </xf>
    <xf numFmtId="14" fontId="114" fillId="0" borderId="0" xfId="0" applyNumberFormat="1" applyFont="1" applyFill="1" applyAlignment="1" applyProtection="1">
      <alignment horizontal="center" vertical="center"/>
    </xf>
    <xf numFmtId="0" fontId="114" fillId="0" borderId="0" xfId="0" applyFont="1" applyFill="1" applyAlignment="1" applyProtection="1">
      <alignment horizontal="center" vertical="center" wrapText="1"/>
    </xf>
    <xf numFmtId="0" fontId="114" fillId="0" borderId="0" xfId="0" applyFont="1" applyFill="1" applyAlignment="1" applyProtection="1">
      <alignment horizontal="center" vertical="center"/>
    </xf>
    <xf numFmtId="14" fontId="114" fillId="0" borderId="0" xfId="0" applyNumberFormat="1" applyFont="1" applyFill="1" applyAlignment="1" applyProtection="1">
      <alignment horizontal="center" vertical="center" wrapText="1"/>
    </xf>
    <xf numFmtId="3" fontId="114" fillId="0" borderId="0" xfId="0" applyNumberFormat="1" applyFont="1" applyFill="1" applyAlignment="1" applyProtection="1">
      <alignment horizontal="center"/>
    </xf>
    <xf numFmtId="3" fontId="2" fillId="0" borderId="3" xfId="0" applyNumberFormat="1" applyFont="1" applyFill="1" applyBorder="1" applyProtection="1"/>
    <xf numFmtId="0" fontId="16" fillId="0" borderId="0" xfId="0" applyFont="1" applyFill="1" applyProtection="1"/>
    <xf numFmtId="0" fontId="16" fillId="0" borderId="0" xfId="0" applyFont="1" applyFill="1" applyAlignment="1" applyProtection="1">
      <alignment horizontal="center"/>
    </xf>
    <xf numFmtId="3" fontId="16" fillId="0" borderId="0" xfId="0" applyNumberFormat="1" applyFont="1" applyFill="1" applyAlignment="1" applyProtection="1">
      <alignment horizontal="center"/>
    </xf>
    <xf numFmtId="0" fontId="134" fillId="0" borderId="0" xfId="0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34" fillId="0" borderId="0" xfId="0" applyFont="1" applyFill="1" applyBorder="1" applyAlignment="1" applyProtection="1">
      <alignment horizontal="center" vertical="center" wrapText="1"/>
    </xf>
    <xf numFmtId="3" fontId="114" fillId="0" borderId="0" xfId="0" applyNumberFormat="1" applyFont="1" applyFill="1" applyProtection="1"/>
    <xf numFmtId="0" fontId="136" fillId="0" borderId="0" xfId="0" applyFont="1" applyFill="1" applyProtection="1"/>
    <xf numFmtId="194" fontId="136" fillId="0" borderId="0" xfId="0" applyNumberFormat="1" applyFont="1" applyFill="1" applyProtection="1"/>
    <xf numFmtId="194" fontId="137" fillId="0" borderId="0" xfId="0" applyNumberFormat="1" applyFont="1" applyFill="1" applyProtection="1"/>
    <xf numFmtId="10" fontId="113" fillId="0" borderId="1" xfId="1225" applyNumberFormat="1" applyFont="1" applyFill="1" applyBorder="1" applyAlignment="1" applyProtection="1">
      <alignment horizontal="center" vertical="center" wrapText="1"/>
    </xf>
    <xf numFmtId="182" fontId="114" fillId="0" borderId="18" xfId="1225" applyNumberFormat="1" applyFont="1" applyFill="1" applyBorder="1" applyAlignment="1" applyProtection="1">
      <alignment horizontal="center" vertical="center" wrapText="1"/>
    </xf>
    <xf numFmtId="182" fontId="114" fillId="0" borderId="19" xfId="1225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wrapText="1" indent="2"/>
    </xf>
    <xf numFmtId="0" fontId="30" fillId="0" borderId="1" xfId="0" applyFont="1" applyFill="1" applyBorder="1" applyAlignment="1" applyProtection="1">
      <alignment horizontal="center" vertical="center"/>
    </xf>
    <xf numFmtId="49" fontId="136" fillId="0" borderId="0" xfId="0" applyNumberFormat="1" applyFont="1" applyFill="1" applyProtection="1"/>
    <xf numFmtId="0" fontId="136" fillId="0" borderId="0" xfId="0" applyFont="1" applyFill="1" applyAlignment="1" applyProtection="1">
      <alignment horizontal="center"/>
    </xf>
    <xf numFmtId="170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170" fontId="0" fillId="0" borderId="0" xfId="0" applyNumberFormat="1" applyFont="1" applyAlignment="1" applyProtection="1"/>
    <xf numFmtId="0" fontId="6" fillId="0" borderId="1" xfId="0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168" fontId="3" fillId="0" borderId="3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left" vertical="center" indent="4"/>
    </xf>
    <xf numFmtId="0" fontId="31" fillId="0" borderId="1" xfId="0" applyFont="1" applyFill="1" applyBorder="1" applyAlignment="1" applyProtection="1">
      <alignment horizontal="left" vertical="center" indent="4"/>
    </xf>
    <xf numFmtId="2" fontId="3" fillId="0" borderId="3" xfId="0" applyNumberFormat="1" applyFont="1" applyFill="1" applyBorder="1" applyAlignment="1" applyProtection="1">
      <alignment horizontal="center" vertical="center"/>
    </xf>
    <xf numFmtId="0" fontId="15" fillId="0" borderId="4" xfId="0" applyFont="1" applyFill="1" applyBorder="1" applyAlignment="1" applyProtection="1">
      <alignment horizontal="centerContinuous" vertical="center" wrapText="1"/>
    </xf>
    <xf numFmtId="0" fontId="15" fillId="0" borderId="8" xfId="0" applyFont="1" applyFill="1" applyBorder="1" applyAlignment="1" applyProtection="1">
      <alignment horizontal="centerContinuous" vertical="center"/>
    </xf>
    <xf numFmtId="0" fontId="15" fillId="0" borderId="6" xfId="0" applyFont="1" applyFill="1" applyBorder="1" applyAlignment="1" applyProtection="1">
      <alignment horizontal="centerContinuous" vertical="center"/>
    </xf>
    <xf numFmtId="0" fontId="15" fillId="0" borderId="2" xfId="0" applyFont="1" applyFill="1" applyBorder="1" applyAlignment="1" applyProtection="1">
      <alignment horizontal="centerContinuous" vertical="center"/>
    </xf>
    <xf numFmtId="0" fontId="15" fillId="0" borderId="9" xfId="0" applyFont="1" applyFill="1" applyBorder="1" applyAlignment="1" applyProtection="1">
      <alignment horizontal="centerContinuous" vertical="center"/>
    </xf>
    <xf numFmtId="0" fontId="15" fillId="0" borderId="14" xfId="0" applyFont="1" applyFill="1" applyBorder="1" applyAlignment="1" applyProtection="1">
      <alignment horizontal="centerContinuous" vertical="center"/>
    </xf>
    <xf numFmtId="169" fontId="114" fillId="0" borderId="0" xfId="3" applyNumberFormat="1" applyFont="1" applyFill="1" applyAlignment="1" applyProtection="1">
      <alignment horizontal="center" vertical="center"/>
      <protection locked="0"/>
    </xf>
    <xf numFmtId="3" fontId="49" fillId="3" borderId="1" xfId="0" applyNumberFormat="1" applyFont="1" applyFill="1" applyBorder="1" applyAlignment="1" applyProtection="1">
      <alignment horizontal="center" vertical="center" wrapText="1"/>
    </xf>
    <xf numFmtId="170" fontId="49" fillId="3" borderId="1" xfId="0" applyNumberFormat="1" applyFont="1" applyFill="1" applyBorder="1" applyAlignment="1" applyProtection="1">
      <alignment horizontal="center" vertical="center" wrapText="1"/>
    </xf>
    <xf numFmtId="0" fontId="134" fillId="0" borderId="0" xfId="0" applyFont="1" applyFill="1" applyBorder="1" applyAlignment="1" applyProtection="1">
      <alignment horizontal="left" vertical="center" wrapText="1" indent="2"/>
    </xf>
    <xf numFmtId="0" fontId="31" fillId="0" borderId="4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left" vertical="center" wrapText="1" indent="4"/>
    </xf>
    <xf numFmtId="3" fontId="31" fillId="0" borderId="1" xfId="0" applyNumberFormat="1" applyFont="1" applyFill="1" applyBorder="1" applyAlignment="1" applyProtection="1">
      <alignment horizontal="center" vertical="center"/>
      <protection locked="0"/>
    </xf>
    <xf numFmtId="0" fontId="31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4"/>
    </xf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</xf>
    <xf numFmtId="2" fontId="2" fillId="0" borderId="3" xfId="0" applyNumberFormat="1" applyFont="1" applyFill="1" applyBorder="1" applyAlignment="1" applyProtection="1">
      <alignment horizontal="center" vertical="center"/>
    </xf>
    <xf numFmtId="2" fontId="2" fillId="0" borderId="5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5" fillId="0" borderId="0" xfId="0" applyFont="1" applyFill="1" applyBorder="1" applyProtection="1"/>
    <xf numFmtId="3" fontId="47" fillId="0" borderId="0" xfId="0" applyNumberFormat="1" applyFont="1" applyBorder="1" applyAlignment="1">
      <alignment horizontal="center"/>
    </xf>
    <xf numFmtId="15" fontId="42" fillId="0" borderId="0" xfId="4" applyNumberFormat="1" applyFont="1" applyFill="1" applyBorder="1" applyAlignment="1" applyProtection="1">
      <alignment horizontal="center" vertical="top"/>
    </xf>
    <xf numFmtId="3" fontId="8" fillId="0" borderId="0" xfId="0" applyNumberFormat="1" applyFont="1" applyBorder="1" applyAlignment="1">
      <alignment vertical="top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Border="1" applyAlignment="1" applyProtection="1">
      <alignment horizontal="center"/>
    </xf>
    <xf numFmtId="0" fontId="134" fillId="0" borderId="0" xfId="0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Continuous"/>
    </xf>
    <xf numFmtId="172" fontId="138" fillId="0" borderId="0" xfId="5" applyNumberFormat="1" applyFont="1" applyFill="1" applyBorder="1" applyAlignment="1" applyProtection="1">
      <alignment horizontal="center"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3" fontId="22" fillId="3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168" fontId="7" fillId="0" borderId="5" xfId="0" applyNumberFormat="1" applyFont="1" applyFill="1" applyBorder="1" applyAlignment="1" applyProtection="1">
      <alignment horizontal="center" vertical="center"/>
    </xf>
    <xf numFmtId="0" fontId="51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wrapText="1"/>
    </xf>
    <xf numFmtId="0" fontId="4" fillId="0" borderId="0" xfId="0" applyFont="1" applyBorder="1" applyAlignment="1" applyProtection="1">
      <alignment horizontal="center"/>
    </xf>
    <xf numFmtId="170" fontId="2" fillId="0" borderId="0" xfId="0" applyNumberFormat="1" applyFont="1" applyBorder="1" applyAlignment="1" applyProtection="1">
      <alignment horizont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wrapText="1" inden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left" vertical="center" indent="1"/>
    </xf>
    <xf numFmtId="0" fontId="2" fillId="0" borderId="2" xfId="0" quotePrefix="1" applyFont="1" applyBorder="1" applyAlignment="1" applyProtection="1">
      <alignment horizontal="center" vertical="center" wrapText="1"/>
    </xf>
    <xf numFmtId="0" fontId="3" fillId="0" borderId="2" xfId="0" quotePrefix="1" applyFont="1" applyBorder="1" applyAlignment="1" applyProtection="1">
      <alignment horizontal="left" vertical="center" wrapText="1" indent="1"/>
    </xf>
    <xf numFmtId="0" fontId="3" fillId="0" borderId="2" xfId="0" quotePrefix="1" applyFont="1" applyBorder="1" applyAlignment="1" applyProtection="1">
      <alignment horizontal="left" vertical="center" indent="1"/>
    </xf>
    <xf numFmtId="0" fontId="6" fillId="0" borderId="2" xfId="0" quotePrefix="1" applyFont="1" applyBorder="1" applyAlignment="1" applyProtection="1">
      <alignment horizontal="left" vertical="center" indent="1"/>
    </xf>
    <xf numFmtId="3" fontId="25" fillId="0" borderId="0" xfId="0" applyNumberFormat="1" applyFont="1" applyBorder="1" applyProtection="1"/>
    <xf numFmtId="0" fontId="3" fillId="0" borderId="2" xfId="0" applyFont="1" applyFill="1" applyBorder="1" applyAlignment="1" applyProtection="1">
      <alignment horizontal="left" vertical="center" indent="1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left" vertical="center" indent="1"/>
    </xf>
    <xf numFmtId="0" fontId="2" fillId="0" borderId="2" xfId="0" quotePrefix="1" applyFont="1" applyFill="1" applyBorder="1" applyAlignment="1" applyProtection="1">
      <alignment horizontal="center" vertical="center" wrapText="1"/>
    </xf>
    <xf numFmtId="0" fontId="3" fillId="0" borderId="2" xfId="0" quotePrefix="1" applyFont="1" applyFill="1" applyBorder="1" applyAlignment="1" applyProtection="1">
      <alignment horizontal="left" vertical="center" indent="1"/>
    </xf>
    <xf numFmtId="0" fontId="5" fillId="0" borderId="2" xfId="0" quotePrefix="1" applyFont="1" applyFill="1" applyBorder="1" applyAlignment="1" applyProtection="1">
      <alignment horizontal="center" vertical="center" wrapText="1"/>
    </xf>
    <xf numFmtId="0" fontId="6" fillId="0" borderId="2" xfId="0" quotePrefix="1" applyFont="1" applyFill="1" applyBorder="1" applyAlignment="1" applyProtection="1">
      <alignment horizontal="left" vertical="center" indent="1"/>
    </xf>
    <xf numFmtId="0" fontId="30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left" vertical="center" wrapText="1" indent="1"/>
    </xf>
    <xf numFmtId="0" fontId="5" fillId="0" borderId="0" xfId="0" applyFont="1" applyBorder="1" applyProtection="1"/>
    <xf numFmtId="0" fontId="2" fillId="0" borderId="2" xfId="0" quotePrefix="1" applyFont="1" applyFill="1" applyBorder="1" applyAlignment="1" applyProtection="1">
      <alignment horizontal="left" vertical="center" indent="1"/>
    </xf>
    <xf numFmtId="0" fontId="2" fillId="0" borderId="2" xfId="0" applyFont="1" applyFill="1" applyBorder="1" applyAlignment="1" applyProtection="1">
      <alignment horizontal="left" vertical="center" indent="1"/>
    </xf>
    <xf numFmtId="3" fontId="21" fillId="4" borderId="1" xfId="0" applyNumberFormat="1" applyFont="1" applyFill="1" applyBorder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left" vertical="center" wrapText="1" indent="1"/>
    </xf>
    <xf numFmtId="0" fontId="3" fillId="0" borderId="0" xfId="0" quotePrefix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wrapText="1"/>
    </xf>
    <xf numFmtId="0" fontId="31" fillId="0" borderId="0" xfId="0" applyFont="1" applyBorder="1" applyAlignment="1" applyProtection="1">
      <alignment horizontal="center" wrapText="1"/>
    </xf>
    <xf numFmtId="0" fontId="31" fillId="0" borderId="0" xfId="0" applyFont="1" applyFill="1" applyBorder="1" applyAlignment="1" applyProtection="1">
      <alignment horizontal="center" wrapText="1"/>
    </xf>
    <xf numFmtId="0" fontId="2" fillId="0" borderId="0" xfId="0" applyFont="1" applyBorder="1" applyAlignment="1" applyProtection="1">
      <alignment horizontal="center" wrapText="1"/>
    </xf>
    <xf numFmtId="0" fontId="3" fillId="0" borderId="0" xfId="0" applyFont="1" applyFill="1" applyProtection="1"/>
    <xf numFmtId="0" fontId="5" fillId="0" borderId="0" xfId="0" applyFont="1" applyAlignment="1" applyProtection="1">
      <alignment vertical="center"/>
    </xf>
    <xf numFmtId="0" fontId="6" fillId="0" borderId="0" xfId="0" applyFont="1" applyProtection="1"/>
    <xf numFmtId="0" fontId="5" fillId="0" borderId="0" xfId="0" applyFont="1" applyFill="1" applyProtection="1"/>
    <xf numFmtId="0" fontId="76" fillId="0" borderId="0" xfId="4" applyNumberFormat="1" applyFont="1" applyFill="1" applyBorder="1" applyAlignment="1" applyProtection="1">
      <alignment horizontal="center" vertical="top"/>
      <protection locked="0"/>
    </xf>
    <xf numFmtId="3" fontId="13" fillId="0" borderId="1" xfId="0" applyNumberFormat="1" applyFont="1" applyFill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3" fontId="43" fillId="0" borderId="0" xfId="0" applyNumberFormat="1" applyFont="1" applyBorder="1" applyAlignment="1" applyProtection="1">
      <alignment horizontal="centerContinuous" vertical="center"/>
    </xf>
    <xf numFmtId="3" fontId="43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69" fillId="0" borderId="0" xfId="0" applyFont="1" applyProtection="1"/>
    <xf numFmtId="3" fontId="4" fillId="0" borderId="0" xfId="0" applyNumberFormat="1" applyFont="1" applyBorder="1" applyAlignment="1" applyProtection="1">
      <alignment horizontal="centerContinuous"/>
    </xf>
    <xf numFmtId="0" fontId="52" fillId="0" borderId="0" xfId="0" applyFont="1" applyBorder="1" applyAlignment="1" applyProtection="1">
      <alignment horizontal="center"/>
    </xf>
    <xf numFmtId="3" fontId="67" fillId="0" borderId="0" xfId="0" applyNumberFormat="1" applyFont="1" applyBorder="1" applyProtection="1"/>
    <xf numFmtId="3" fontId="67" fillId="0" borderId="0" xfId="0" applyNumberFormat="1" applyFont="1" applyBorder="1" applyAlignment="1" applyProtection="1">
      <alignment horizontal="center"/>
    </xf>
    <xf numFmtId="0" fontId="13" fillId="0" borderId="0" xfId="0" applyFont="1" applyProtection="1"/>
    <xf numFmtId="3" fontId="13" fillId="3" borderId="1" xfId="0" applyNumberFormat="1" applyFont="1" applyFill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center" vertical="center" textRotation="90" wrapText="1"/>
    </xf>
    <xf numFmtId="0" fontId="13" fillId="0" borderId="0" xfId="0" applyFont="1" applyBorder="1" applyProtection="1"/>
    <xf numFmtId="3" fontId="66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Border="1" applyAlignment="1" applyProtection="1">
      <alignment horizontal="center" vertical="center"/>
    </xf>
    <xf numFmtId="3" fontId="8" fillId="0" borderId="3" xfId="0" applyNumberFormat="1" applyFont="1" applyFill="1" applyBorder="1" applyAlignment="1" applyProtection="1">
      <alignment horizontal="center" vertical="center"/>
    </xf>
    <xf numFmtId="3" fontId="8" fillId="0" borderId="3" xfId="0" quotePrefix="1" applyNumberFormat="1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Protection="1"/>
    <xf numFmtId="3" fontId="13" fillId="0" borderId="1" xfId="0" applyNumberFormat="1" applyFont="1" applyBorder="1" applyAlignment="1" applyProtection="1">
      <alignment horizontal="center" vertical="center"/>
    </xf>
    <xf numFmtId="3" fontId="13" fillId="0" borderId="0" xfId="0" applyNumberFormat="1" applyFont="1" applyProtection="1"/>
    <xf numFmtId="9" fontId="13" fillId="0" borderId="0" xfId="0" applyNumberFormat="1" applyFont="1" applyProtection="1"/>
    <xf numFmtId="3" fontId="13" fillId="0" borderId="1" xfId="0" applyNumberFormat="1" applyFont="1" applyFill="1" applyBorder="1" applyAlignment="1" applyProtection="1">
      <alignment horizontal="center" vertical="center"/>
    </xf>
    <xf numFmtId="3" fontId="13" fillId="0" borderId="1" xfId="0" applyNumberFormat="1" applyFont="1" applyFill="1" applyBorder="1" applyAlignment="1" applyProtection="1">
      <alignment vertical="center"/>
    </xf>
    <xf numFmtId="0" fontId="13" fillId="0" borderId="0" xfId="0" applyFont="1" applyFill="1" applyProtection="1"/>
    <xf numFmtId="3" fontId="13" fillId="0" borderId="1" xfId="0" quotePrefix="1" applyNumberFormat="1" applyFont="1" applyFill="1" applyBorder="1" applyAlignment="1" applyProtection="1">
      <alignment horizontal="left" vertical="center"/>
    </xf>
    <xf numFmtId="3" fontId="11" fillId="3" borderId="1" xfId="0" applyNumberFormat="1" applyFont="1" applyFill="1" applyBorder="1" applyAlignment="1" applyProtection="1">
      <alignment vertical="center"/>
    </xf>
    <xf numFmtId="0" fontId="13" fillId="0" borderId="0" xfId="0" applyFont="1" applyFill="1" applyBorder="1" applyProtection="1"/>
    <xf numFmtId="3" fontId="3" fillId="0" borderId="0" xfId="0" applyNumberFormat="1" applyFont="1" applyProtection="1"/>
    <xf numFmtId="3" fontId="10" fillId="0" borderId="0" xfId="0" applyNumberFormat="1" applyFont="1" applyProtection="1"/>
    <xf numFmtId="3" fontId="40" fillId="0" borderId="0" xfId="0" applyNumberFormat="1" applyFont="1" applyProtection="1"/>
    <xf numFmtId="0" fontId="10" fillId="0" borderId="0" xfId="0" applyFont="1" applyProtection="1"/>
    <xf numFmtId="3" fontId="60" fillId="0" borderId="0" xfId="0" applyNumberFormat="1" applyFont="1" applyProtection="1"/>
    <xf numFmtId="0" fontId="4" fillId="0" borderId="0" xfId="0" applyFont="1" applyBorder="1" applyAlignment="1" applyProtection="1">
      <alignment horizontal="center" vertical="center"/>
    </xf>
    <xf numFmtId="170" fontId="2" fillId="0" borderId="0" xfId="0" quotePrefix="1" applyNumberFormat="1" applyFont="1" applyBorder="1" applyAlignment="1" applyProtection="1">
      <alignment horizontal="center" vertical="center"/>
    </xf>
    <xf numFmtId="0" fontId="52" fillId="0" borderId="0" xfId="0" applyFont="1" applyBorder="1" applyAlignment="1" applyProtection="1">
      <alignment horizontal="left" indent="1"/>
    </xf>
    <xf numFmtId="170" fontId="0" fillId="0" borderId="0" xfId="0" quotePrefix="1" applyNumberFormat="1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0" fontId="0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0" fontId="40" fillId="0" borderId="0" xfId="0" applyFont="1" applyProtection="1"/>
    <xf numFmtId="3" fontId="40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31" fillId="0" borderId="0" xfId="0" applyFont="1" applyBorder="1" applyAlignment="1" applyProtection="1">
      <alignment horizontal="center"/>
    </xf>
    <xf numFmtId="0" fontId="31" fillId="0" borderId="0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15" fillId="0" borderId="4" xfId="0" quotePrefix="1" applyFont="1" applyFill="1" applyBorder="1" applyAlignment="1" applyProtection="1">
      <alignment horizontal="centerContinuous" vertical="center" wrapText="1"/>
    </xf>
    <xf numFmtId="0" fontId="2" fillId="0" borderId="0" xfId="0" applyFont="1" applyProtection="1"/>
    <xf numFmtId="0" fontId="4" fillId="0" borderId="0" xfId="0" applyFont="1" applyBorder="1" applyAlignment="1" applyProtection="1">
      <alignment horizontal="left" vertical="center" indent="2"/>
    </xf>
    <xf numFmtId="0" fontId="2" fillId="0" borderId="2" xfId="0" applyFont="1" applyFill="1" applyBorder="1" applyAlignment="1" applyProtection="1">
      <alignment horizontal="center" vertical="center" wrapText="1"/>
    </xf>
    <xf numFmtId="3" fontId="5" fillId="0" borderId="0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3" fontId="31" fillId="0" borderId="1" xfId="0" applyNumberFormat="1" applyFont="1" applyBorder="1" applyAlignment="1" applyProtection="1">
      <alignment horizontal="center" vertical="center"/>
    </xf>
    <xf numFmtId="3" fontId="31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3" fontId="2" fillId="0" borderId="0" xfId="0" applyNumberFormat="1" applyFont="1" applyProtection="1"/>
    <xf numFmtId="170" fontId="2" fillId="0" borderId="0" xfId="0" applyNumberFormat="1" applyFont="1" applyProtection="1"/>
    <xf numFmtId="3" fontId="5" fillId="0" borderId="0" xfId="0" applyNumberFormat="1" applyFont="1" applyAlignment="1" applyProtection="1">
      <alignment horizontal="centerContinuous"/>
    </xf>
    <xf numFmtId="3" fontId="11" fillId="0" borderId="0" xfId="0" quotePrefix="1" applyNumberFormat="1" applyFont="1" applyAlignment="1" applyProtection="1">
      <alignment horizontal="left" vertical="center"/>
    </xf>
    <xf numFmtId="170" fontId="0" fillId="0" borderId="0" xfId="0" applyNumberFormat="1" applyFont="1" applyBorder="1" applyAlignment="1" applyProtection="1"/>
    <xf numFmtId="0" fontId="139" fillId="0" borderId="0" xfId="0" applyFont="1" applyAlignment="1" applyProtection="1">
      <alignment horizontal="center" vertical="center"/>
    </xf>
    <xf numFmtId="3" fontId="8" fillId="0" borderId="10" xfId="0" applyNumberFormat="1" applyFont="1" applyBorder="1" applyProtection="1"/>
    <xf numFmtId="3" fontId="31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Border="1" applyAlignment="1" applyProtection="1">
      <alignment horizontal="left" vertical="center" wrapText="1" indent="1"/>
    </xf>
    <xf numFmtId="3" fontId="2" fillId="0" borderId="1" xfId="0" applyNumberFormat="1" applyFont="1" applyBorder="1" applyAlignment="1" applyProtection="1">
      <alignment horizontal="right"/>
    </xf>
    <xf numFmtId="3" fontId="8" fillId="0" borderId="0" xfId="0" applyNumberFormat="1" applyFont="1" applyProtection="1"/>
    <xf numFmtId="3" fontId="2" fillId="0" borderId="0" xfId="0" applyNumberFormat="1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39" fillId="0" borderId="0" xfId="0" applyFont="1" applyProtection="1"/>
    <xf numFmtId="3" fontId="2" fillId="0" borderId="1" xfId="0" applyNumberFormat="1" applyFont="1" applyBorder="1" applyAlignment="1" applyProtection="1">
      <alignment horizontal="left" vertical="center" wrapText="1" indent="1"/>
      <protection locked="0"/>
    </xf>
    <xf numFmtId="0" fontId="140" fillId="0" borderId="0" xfId="0" applyFont="1" applyFill="1" applyAlignment="1">
      <alignment vertical="center"/>
    </xf>
    <xf numFmtId="0" fontId="16" fillId="0" borderId="0" xfId="0" applyFont="1"/>
    <xf numFmtId="3" fontId="5" fillId="0" borderId="1" xfId="0" applyNumberFormat="1" applyFont="1" applyFill="1" applyBorder="1" applyAlignment="1">
      <alignment horizontal="center" vertical="center" textRotation="90" wrapText="1"/>
    </xf>
    <xf numFmtId="0" fontId="16" fillId="0" borderId="0" xfId="0" applyFont="1" applyAlignment="1">
      <alignment vertical="center"/>
    </xf>
    <xf numFmtId="3" fontId="5" fillId="3" borderId="1" xfId="0" applyNumberFormat="1" applyFont="1" applyFill="1" applyBorder="1" applyAlignment="1" applyProtection="1">
      <alignment horizontal="center" vertical="center" wrapText="1"/>
    </xf>
    <xf numFmtId="3" fontId="16" fillId="0" borderId="0" xfId="0" applyNumberFormat="1" applyFont="1" applyAlignment="1">
      <alignment vertical="center"/>
    </xf>
    <xf numFmtId="0" fontId="16" fillId="0" borderId="0" xfId="0" applyFont="1" applyFill="1" applyAlignment="1">
      <alignment vertical="center"/>
    </xf>
    <xf numFmtId="0" fontId="5" fillId="0" borderId="2" xfId="0" applyFont="1" applyFill="1" applyBorder="1" applyAlignment="1" applyProtection="1">
      <alignment horizontal="left" vertical="center" indent="1"/>
    </xf>
    <xf numFmtId="3" fontId="51" fillId="3" borderId="1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 applyProtection="1">
      <alignment horizontal="center" vertical="center" wrapText="1"/>
    </xf>
    <xf numFmtId="3" fontId="2" fillId="0" borderId="1" xfId="0" applyNumberFormat="1" applyFont="1" applyBorder="1" applyAlignment="1" applyProtection="1">
      <alignment horizontal="right" vertical="center" wrapText="1" indent="1"/>
      <protection locked="0"/>
    </xf>
    <xf numFmtId="0" fontId="31" fillId="0" borderId="2" xfId="0" applyFont="1" applyFill="1" applyBorder="1" applyAlignment="1" applyProtection="1">
      <alignment horizontal="left" vertical="center" indent="1"/>
    </xf>
    <xf numFmtId="0" fontId="141" fillId="0" borderId="0" xfId="0" applyFont="1" applyFill="1" applyProtection="1"/>
    <xf numFmtId="0" fontId="141" fillId="0" borderId="0" xfId="0" applyFont="1" applyProtection="1"/>
    <xf numFmtId="0" fontId="142" fillId="0" borderId="0" xfId="0" applyFont="1" applyAlignment="1" applyProtection="1">
      <alignment vertical="center"/>
    </xf>
    <xf numFmtId="0" fontId="142" fillId="0" borderId="0" xfId="0" applyFont="1" applyProtection="1"/>
    <xf numFmtId="0" fontId="142" fillId="0" borderId="0" xfId="0" applyFont="1" applyFill="1" applyProtection="1"/>
    <xf numFmtId="3" fontId="143" fillId="3" borderId="1" xfId="0" applyNumberFormat="1" applyFont="1" applyFill="1" applyBorder="1" applyAlignment="1" applyProtection="1">
      <alignment horizontal="center" vertical="center" wrapText="1"/>
    </xf>
    <xf numFmtId="3" fontId="51" fillId="3" borderId="1" xfId="0" applyNumberFormat="1" applyFont="1" applyFill="1" applyBorder="1" applyAlignment="1" applyProtection="1">
      <alignment horizontal="center" vertical="center" wrapText="1"/>
    </xf>
    <xf numFmtId="3" fontId="51" fillId="3" borderId="5" xfId="0" applyNumberFormat="1" applyFont="1" applyFill="1" applyBorder="1" applyAlignment="1" applyProtection="1">
      <alignment horizontal="center" vertical="center" wrapText="1"/>
    </xf>
    <xf numFmtId="0" fontId="144" fillId="0" borderId="0" xfId="0" applyFont="1" applyProtection="1"/>
    <xf numFmtId="0" fontId="144" fillId="0" borderId="0" xfId="0" applyFont="1" applyBorder="1" applyProtection="1"/>
    <xf numFmtId="0" fontId="144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3" fontId="2" fillId="0" borderId="3" xfId="1288" applyNumberFormat="1" applyFont="1" applyFill="1" applyBorder="1" applyAlignment="1" applyProtection="1"/>
    <xf numFmtId="3" fontId="2" fillId="0" borderId="1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Border="1" applyAlignment="1" applyProtection="1">
      <alignment vertical="center"/>
    </xf>
    <xf numFmtId="3" fontId="5" fillId="0" borderId="1" xfId="0" applyNumberFormat="1" applyFont="1" applyBorder="1" applyAlignment="1" applyProtection="1">
      <alignment horizontal="left" vertical="center"/>
    </xf>
    <xf numFmtId="3" fontId="2" fillId="4" borderId="7" xfId="0" applyNumberFormat="1" applyFont="1" applyFill="1" applyBorder="1" applyAlignment="1" applyProtection="1">
      <alignment horizontal="right" vertical="top"/>
    </xf>
    <xf numFmtId="3" fontId="5" fillId="0" borderId="1" xfId="0" applyNumberFormat="1" applyFont="1" applyBorder="1" applyAlignment="1" applyProtection="1">
      <alignment horizontal="center" vertical="center"/>
    </xf>
    <xf numFmtId="0" fontId="2" fillId="0" borderId="0" xfId="0" applyFont="1" applyAlignment="1" applyProtection="1">
      <alignment vertical="center" wrapText="1"/>
    </xf>
    <xf numFmtId="3" fontId="2" fillId="0" borderId="1" xfId="0" applyNumberFormat="1" applyFont="1" applyFill="1" applyBorder="1" applyAlignment="1" applyProtection="1">
      <alignment horizontal="right" vertical="center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2" fillId="0" borderId="3" xfId="1288" applyNumberFormat="1" applyFont="1" applyFill="1" applyBorder="1" applyProtection="1"/>
    <xf numFmtId="3" fontId="2" fillId="0" borderId="1" xfId="0" applyNumberFormat="1" applyFont="1" applyFill="1" applyBorder="1" applyAlignment="1" applyProtection="1">
      <alignment horizontal="center" vertical="center"/>
      <protection locked="0"/>
    </xf>
    <xf numFmtId="3" fontId="5" fillId="0" borderId="1" xfId="0" applyNumberFormat="1" applyFont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NumberFormat="1" applyBorder="1" applyProtection="1">
      <protection locked="0"/>
    </xf>
    <xf numFmtId="0" fontId="30" fillId="0" borderId="0" xfId="0" applyFont="1" applyProtection="1"/>
    <xf numFmtId="0" fontId="145" fillId="0" borderId="0" xfId="0" applyFont="1" applyProtection="1"/>
    <xf numFmtId="3" fontId="67" fillId="3" borderId="3" xfId="0" applyNumberFormat="1" applyFont="1" applyFill="1" applyBorder="1" applyAlignment="1" applyProtection="1">
      <alignment horizontal="center" vertical="center" wrapText="1"/>
    </xf>
    <xf numFmtId="3" fontId="2" fillId="0" borderId="0" xfId="0" applyNumberFormat="1" applyFont="1" applyBorder="1" applyAlignment="1" applyProtection="1">
      <alignment horizontal="center"/>
    </xf>
    <xf numFmtId="3" fontId="52" fillId="0" borderId="0" xfId="0" applyNumberFormat="1" applyFont="1" applyAlignment="1" applyProtection="1">
      <alignment horizontal="center"/>
    </xf>
    <xf numFmtId="3" fontId="2" fillId="0" borderId="0" xfId="0" applyNumberFormat="1" applyFont="1" applyAlignment="1" applyProtection="1">
      <alignment horizontal="center"/>
    </xf>
    <xf numFmtId="170" fontId="5" fillId="0" borderId="0" xfId="0" applyNumberFormat="1" applyFont="1" applyAlignment="1" applyProtection="1">
      <alignment horizontal="center"/>
    </xf>
    <xf numFmtId="3" fontId="4" fillId="0" borderId="0" xfId="0" applyNumberFormat="1" applyFont="1" applyAlignment="1" applyProtection="1">
      <alignment horizontal="center"/>
    </xf>
    <xf numFmtId="3" fontId="2" fillId="0" borderId="1" xfId="0" applyNumberFormat="1" applyFont="1" applyBorder="1" applyAlignment="1" applyProtection="1">
      <alignment vertical="center" wrapText="1"/>
    </xf>
    <xf numFmtId="195" fontId="2" fillId="0" borderId="1" xfId="0" applyNumberFormat="1" applyFont="1" applyFill="1" applyBorder="1" applyAlignment="1" applyProtection="1">
      <alignment horizontal="right" vertical="center"/>
    </xf>
    <xf numFmtId="195" fontId="2" fillId="0" borderId="1" xfId="0" applyNumberFormat="1" applyFont="1" applyBorder="1" applyAlignment="1" applyProtection="1">
      <alignment vertical="center" wrapText="1"/>
      <protection locked="0"/>
    </xf>
    <xf numFmtId="195" fontId="2" fillId="0" borderId="1" xfId="0" applyNumberFormat="1" applyFont="1" applyBorder="1" applyAlignment="1" applyProtection="1">
      <alignment vertical="center"/>
      <protection locked="0"/>
    </xf>
    <xf numFmtId="195" fontId="2" fillId="0" borderId="3" xfId="1288" applyNumberFormat="1" applyFont="1" applyFill="1" applyBorder="1" applyProtection="1"/>
    <xf numFmtId="195" fontId="2" fillId="0" borderId="1" xfId="0" applyNumberFormat="1" applyFont="1" applyFill="1" applyBorder="1" applyAlignment="1" applyProtection="1">
      <alignment horizontal="right" vertical="center"/>
      <protection locked="0"/>
    </xf>
    <xf numFmtId="169" fontId="141" fillId="0" borderId="0" xfId="3" applyNumberFormat="1" applyFont="1" applyAlignment="1" applyProtection="1">
      <alignment vertical="center" wrapText="1"/>
    </xf>
    <xf numFmtId="169" fontId="141" fillId="0" borderId="0" xfId="3" applyNumberFormat="1" applyFont="1" applyProtection="1"/>
    <xf numFmtId="169" fontId="142" fillId="0" borderId="0" xfId="3" applyNumberFormat="1" applyFont="1" applyProtection="1"/>
    <xf numFmtId="169" fontId="141" fillId="0" borderId="0" xfId="3" applyNumberFormat="1" applyFont="1" applyAlignment="1" applyProtection="1">
      <alignment vertical="center"/>
    </xf>
    <xf numFmtId="169" fontId="141" fillId="0" borderId="0" xfId="3" applyNumberFormat="1" applyFont="1" applyBorder="1" applyProtection="1"/>
    <xf numFmtId="0" fontId="146" fillId="0" borderId="0" xfId="0" applyFont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3" fontId="8" fillId="0" borderId="1" xfId="0" applyNumberFormat="1" applyFont="1" applyBorder="1" applyAlignment="1" applyProtection="1">
      <alignment vertical="center"/>
      <protection locked="0"/>
    </xf>
    <xf numFmtId="0" fontId="17" fillId="0" borderId="0" xfId="4" applyNumberFormat="1" applyFont="1" applyFill="1" applyBorder="1" applyAlignment="1" applyProtection="1">
      <alignment vertical="top"/>
      <protection locked="0"/>
    </xf>
    <xf numFmtId="168" fontId="7" fillId="0" borderId="5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134" fillId="0" borderId="0" xfId="0" applyFont="1" applyFill="1" applyBorder="1" applyAlignment="1" applyProtection="1">
      <alignment horizontal="center" vertical="center" wrapText="1"/>
    </xf>
    <xf numFmtId="0" fontId="70" fillId="0" borderId="0" xfId="4" applyNumberFormat="1" applyFont="1" applyFill="1" applyBorder="1" applyAlignment="1" applyProtection="1">
      <alignment horizontal="center" vertical="center" wrapText="1"/>
    </xf>
    <xf numFmtId="0" fontId="70" fillId="0" borderId="0" xfId="4" applyNumberFormat="1" applyFont="1" applyFill="1" applyBorder="1" applyAlignment="1" applyProtection="1">
      <alignment horizontal="center" vertical="center"/>
    </xf>
    <xf numFmtId="0" fontId="47" fillId="0" borderId="0" xfId="0" applyFont="1" applyBorder="1" applyAlignment="1" applyProtection="1">
      <alignment horizontal="center" vertical="center" wrapText="1"/>
    </xf>
    <xf numFmtId="3" fontId="47" fillId="3" borderId="5" xfId="0" applyNumberFormat="1" applyFont="1" applyFill="1" applyBorder="1" applyAlignment="1" applyProtection="1">
      <alignment horizontal="center" vertical="center" wrapText="1"/>
    </xf>
    <xf numFmtId="3" fontId="47" fillId="3" borderId="12" xfId="0" applyNumberFormat="1" applyFont="1" applyFill="1" applyBorder="1" applyAlignment="1" applyProtection="1">
      <alignment horizontal="center" vertical="center" wrapText="1"/>
    </xf>
    <xf numFmtId="3" fontId="47" fillId="3" borderId="3" xfId="0" applyNumberFormat="1" applyFont="1" applyFill="1" applyBorder="1" applyAlignment="1" applyProtection="1">
      <alignment horizontal="center" vertical="center" wrapText="1"/>
    </xf>
    <xf numFmtId="3" fontId="47" fillId="3" borderId="7" xfId="0" applyNumberFormat="1" applyFont="1" applyFill="1" applyBorder="1" applyAlignment="1" applyProtection="1">
      <alignment horizontal="center" vertical="center" wrapText="1"/>
    </xf>
    <xf numFmtId="3" fontId="47" fillId="3" borderId="11" xfId="0" applyNumberFormat="1" applyFont="1" applyFill="1" applyBorder="1" applyAlignment="1" applyProtection="1">
      <alignment horizontal="center" vertical="center" wrapText="1"/>
    </xf>
    <xf numFmtId="3" fontId="47" fillId="3" borderId="15" xfId="0" applyNumberFormat="1" applyFont="1" applyFill="1" applyBorder="1" applyAlignment="1" applyProtection="1">
      <alignment horizontal="center" vertical="center" wrapText="1"/>
    </xf>
    <xf numFmtId="3" fontId="47" fillId="3" borderId="10" xfId="0" applyNumberFormat="1" applyFont="1" applyFill="1" applyBorder="1" applyAlignment="1" applyProtection="1">
      <alignment horizontal="center" vertical="center" wrapText="1"/>
    </xf>
    <xf numFmtId="3" fontId="47" fillId="3" borderId="0" xfId="0" applyNumberFormat="1" applyFont="1" applyFill="1" applyBorder="1" applyAlignment="1" applyProtection="1">
      <alignment horizontal="center" vertical="center" wrapText="1"/>
    </xf>
    <xf numFmtId="3" fontId="47" fillId="3" borderId="13" xfId="0" applyNumberFormat="1" applyFont="1" applyFill="1" applyBorder="1" applyAlignment="1" applyProtection="1">
      <alignment horizontal="center" vertical="center" wrapText="1"/>
    </xf>
    <xf numFmtId="3" fontId="47" fillId="3" borderId="2" xfId="0" applyNumberFormat="1" applyFont="1" applyFill="1" applyBorder="1" applyAlignment="1" applyProtection="1">
      <alignment horizontal="center" vertical="center" wrapText="1"/>
    </xf>
    <xf numFmtId="3" fontId="47" fillId="3" borderId="9" xfId="0" applyNumberFormat="1" applyFont="1" applyFill="1" applyBorder="1" applyAlignment="1" applyProtection="1">
      <alignment horizontal="center" vertical="center" wrapText="1"/>
    </xf>
    <xf numFmtId="3" fontId="47" fillId="3" borderId="14" xfId="0" applyNumberFormat="1" applyFont="1" applyFill="1" applyBorder="1" applyAlignment="1" applyProtection="1">
      <alignment horizontal="center" vertical="center" wrapText="1"/>
    </xf>
    <xf numFmtId="3" fontId="47" fillId="3" borderId="4" xfId="0" applyNumberFormat="1" applyFont="1" applyFill="1" applyBorder="1" applyAlignment="1" applyProtection="1">
      <alignment horizontal="center" vertical="center" wrapText="1"/>
    </xf>
    <xf numFmtId="3" fontId="47" fillId="3" borderId="8" xfId="0" applyNumberFormat="1" applyFont="1" applyFill="1" applyBorder="1" applyAlignment="1" applyProtection="1">
      <alignment horizontal="center" vertical="center" wrapText="1"/>
    </xf>
    <xf numFmtId="3" fontId="47" fillId="3" borderId="6" xfId="0" applyNumberFormat="1" applyFont="1" applyFill="1" applyBorder="1" applyAlignment="1" applyProtection="1">
      <alignment horizontal="center" vertical="center" wrapText="1"/>
    </xf>
    <xf numFmtId="170" fontId="49" fillId="0" borderId="9" xfId="4" applyNumberFormat="1" applyFont="1" applyFill="1" applyBorder="1" applyAlignment="1" applyProtection="1">
      <alignment horizontal="center" vertical="top" wrapText="1"/>
      <protection locked="0"/>
    </xf>
    <xf numFmtId="3" fontId="13" fillId="3" borderId="5" xfId="0" applyNumberFormat="1" applyFont="1" applyFill="1" applyBorder="1" applyAlignment="1" applyProtection="1">
      <alignment horizontal="center" vertical="center"/>
    </xf>
    <xf numFmtId="3" fontId="13" fillId="3" borderId="12" xfId="0" applyNumberFormat="1" applyFont="1" applyFill="1" applyBorder="1" applyAlignment="1" applyProtection="1">
      <alignment horizontal="center" vertical="center"/>
    </xf>
    <xf numFmtId="3" fontId="13" fillId="3" borderId="3" xfId="0" applyNumberFormat="1" applyFont="1" applyFill="1" applyBorder="1" applyAlignment="1" applyProtection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wrapText="1"/>
    </xf>
    <xf numFmtId="3" fontId="13" fillId="3" borderId="12" xfId="0" applyNumberFormat="1" applyFont="1" applyFill="1" applyBorder="1" applyAlignment="1" applyProtection="1">
      <alignment horizontal="center" vertical="center" wrapText="1"/>
    </xf>
    <xf numFmtId="3" fontId="13" fillId="3" borderId="3" xfId="0" applyNumberFormat="1" applyFont="1" applyFill="1" applyBorder="1" applyAlignment="1" applyProtection="1">
      <alignment horizontal="center" vertical="center" wrapText="1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170" fontId="67" fillId="0" borderId="0" xfId="0" applyNumberFormat="1" applyFont="1" applyBorder="1" applyAlignment="1" applyProtection="1">
      <alignment horizontal="center"/>
    </xf>
    <xf numFmtId="3" fontId="52" fillId="3" borderId="4" xfId="0" applyNumberFormat="1" applyFont="1" applyFill="1" applyBorder="1" applyAlignment="1" applyProtection="1">
      <alignment horizontal="center" vertical="center" wrapText="1"/>
    </xf>
    <xf numFmtId="3" fontId="52" fillId="3" borderId="6" xfId="0" applyNumberFormat="1" applyFont="1" applyFill="1" applyBorder="1" applyAlignment="1" applyProtection="1">
      <alignment horizontal="center" vertical="center" wrapText="1"/>
    </xf>
    <xf numFmtId="3" fontId="52" fillId="3" borderId="8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>
      <alignment horizontal="center"/>
    </xf>
    <xf numFmtId="3" fontId="52" fillId="3" borderId="7" xfId="0" applyNumberFormat="1" applyFont="1" applyFill="1" applyBorder="1" applyAlignment="1" applyProtection="1">
      <alignment horizontal="center" vertical="center" wrapText="1"/>
    </xf>
    <xf numFmtId="3" fontId="52" fillId="3" borderId="15" xfId="0" applyNumberFormat="1" applyFont="1" applyFill="1" applyBorder="1" applyAlignment="1" applyProtection="1">
      <alignment horizontal="center" vertical="center" wrapText="1"/>
    </xf>
    <xf numFmtId="3" fontId="52" fillId="3" borderId="2" xfId="0" applyNumberFormat="1" applyFont="1" applyFill="1" applyBorder="1" applyAlignment="1" applyProtection="1">
      <alignment horizontal="center" vertical="center" wrapText="1"/>
    </xf>
    <xf numFmtId="3" fontId="52" fillId="3" borderId="14" xfId="0" applyNumberFormat="1" applyFont="1" applyFill="1" applyBorder="1" applyAlignment="1" applyProtection="1">
      <alignment horizontal="center" vertical="center" wrapText="1"/>
    </xf>
    <xf numFmtId="3" fontId="52" fillId="3" borderId="5" xfId="0" applyNumberFormat="1" applyFont="1" applyFill="1" applyBorder="1" applyAlignment="1" applyProtection="1">
      <alignment horizontal="center" vertical="center" wrapText="1"/>
    </xf>
    <xf numFmtId="3" fontId="52" fillId="3" borderId="12" xfId="0" applyNumberFormat="1" applyFont="1" applyFill="1" applyBorder="1" applyAlignment="1" applyProtection="1">
      <alignment horizontal="center" vertical="center" wrapText="1"/>
    </xf>
    <xf numFmtId="3" fontId="52" fillId="3" borderId="3" xfId="0" applyNumberFormat="1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0" fontId="107" fillId="0" borderId="0" xfId="9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42" fillId="3" borderId="3" xfId="0" applyNumberFormat="1" applyFont="1" applyFill="1" applyBorder="1" applyAlignment="1" applyProtection="1">
      <alignment horizontal="center" vertical="center" wrapText="1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1" xfId="0" applyNumberFormat="1" applyFont="1" applyFill="1" applyBorder="1" applyAlignment="1" applyProtection="1">
      <alignment horizontal="center" vertical="center" wrapText="1"/>
    </xf>
    <xf numFmtId="3" fontId="42" fillId="3" borderId="15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9" xfId="0" applyNumberFormat="1" applyFont="1" applyFill="1" applyBorder="1" applyAlignment="1" applyProtection="1">
      <alignment horizontal="center" vertical="center" wrapText="1"/>
    </xf>
    <xf numFmtId="3" fontId="42" fillId="3" borderId="14" xfId="0" applyNumberFormat="1" applyFont="1" applyFill="1" applyBorder="1" applyAlignment="1" applyProtection="1">
      <alignment horizontal="center" vertical="center" wrapText="1"/>
    </xf>
    <xf numFmtId="170" fontId="67" fillId="0" borderId="9" xfId="0" applyNumberFormat="1" applyFont="1" applyBorder="1" applyAlignment="1" applyProtection="1">
      <alignment horizontal="center" wrapText="1"/>
    </xf>
    <xf numFmtId="3" fontId="51" fillId="3" borderId="5" xfId="0" applyNumberFormat="1" applyFont="1" applyFill="1" applyBorder="1" applyAlignment="1" applyProtection="1">
      <alignment horizontal="center" vertical="center" textRotation="90" wrapText="1"/>
    </xf>
    <xf numFmtId="3" fontId="51" fillId="3" borderId="12" xfId="0" applyNumberFormat="1" applyFont="1" applyFill="1" applyBorder="1" applyAlignment="1" applyProtection="1">
      <alignment horizontal="center" vertical="center" textRotation="90" wrapText="1"/>
    </xf>
    <xf numFmtId="3" fontId="51" fillId="3" borderId="3" xfId="0" applyNumberFormat="1" applyFont="1" applyFill="1" applyBorder="1" applyAlignment="1" applyProtection="1">
      <alignment horizontal="center" vertical="center" textRotation="90" wrapText="1"/>
    </xf>
    <xf numFmtId="3" fontId="67" fillId="3" borderId="4" xfId="0" applyNumberFormat="1" applyFont="1" applyFill="1" applyBorder="1" applyAlignment="1" applyProtection="1">
      <alignment horizontal="center" vertical="center" wrapText="1"/>
    </xf>
    <xf numFmtId="3" fontId="67" fillId="3" borderId="8" xfId="0" applyNumberFormat="1" applyFont="1" applyFill="1" applyBorder="1" applyAlignment="1" applyProtection="1">
      <alignment horizontal="center" vertical="center" wrapText="1"/>
    </xf>
    <xf numFmtId="3" fontId="51" fillId="3" borderId="4" xfId="0" applyNumberFormat="1" applyFont="1" applyFill="1" applyBorder="1" applyAlignment="1" applyProtection="1">
      <alignment horizontal="center" vertical="center" textRotation="90" wrapText="1"/>
    </xf>
    <xf numFmtId="3" fontId="51" fillId="3" borderId="6" xfId="0" applyNumberFormat="1" applyFont="1" applyFill="1" applyBorder="1" applyAlignment="1" applyProtection="1">
      <alignment horizontal="center" vertical="center" textRotation="90" wrapText="1"/>
    </xf>
    <xf numFmtId="0" fontId="17" fillId="0" borderId="0" xfId="0" applyFont="1" applyAlignment="1">
      <alignment horizontal="left" indent="1"/>
    </xf>
    <xf numFmtId="3" fontId="2" fillId="0" borderId="9" xfId="0" applyNumberFormat="1" applyFont="1" applyBorder="1" applyAlignment="1" applyProtection="1">
      <alignment horizontal="center"/>
    </xf>
    <xf numFmtId="0" fontId="43" fillId="0" borderId="0" xfId="0" applyFont="1" applyAlignment="1" applyProtection="1">
      <alignment horizontal="center" vertical="center"/>
    </xf>
    <xf numFmtId="170" fontId="0" fillId="0" borderId="9" xfId="0" applyNumberFormat="1" applyFont="1" applyBorder="1" applyAlignment="1" applyProtection="1">
      <alignment horizontal="center"/>
    </xf>
    <xf numFmtId="3" fontId="51" fillId="3" borderId="5" xfId="0" applyNumberFormat="1" applyFont="1" applyFill="1" applyBorder="1" applyAlignment="1" applyProtection="1">
      <alignment horizontal="center" vertical="center" wrapText="1"/>
    </xf>
    <xf numFmtId="3" fontId="51" fillId="3" borderId="12" xfId="0" applyNumberFormat="1" applyFont="1" applyFill="1" applyBorder="1" applyAlignment="1" applyProtection="1">
      <alignment horizontal="center" vertical="center" wrapText="1"/>
    </xf>
    <xf numFmtId="3" fontId="51" fillId="3" borderId="3" xfId="0" applyNumberFormat="1" applyFont="1" applyFill="1" applyBorder="1" applyAlignment="1" applyProtection="1">
      <alignment horizontal="center" vertical="center" wrapText="1"/>
    </xf>
    <xf numFmtId="3" fontId="51" fillId="3" borderId="4" xfId="0" applyNumberFormat="1" applyFont="1" applyFill="1" applyBorder="1" applyAlignment="1" applyProtection="1">
      <alignment horizontal="center" vertical="center" wrapText="1"/>
    </xf>
    <xf numFmtId="3" fontId="51" fillId="3" borderId="6" xfId="0" applyNumberFormat="1" applyFont="1" applyFill="1" applyBorder="1" applyAlignment="1" applyProtection="1">
      <alignment horizontal="center" vertical="center" wrapText="1"/>
    </xf>
    <xf numFmtId="3" fontId="51" fillId="3" borderId="7" xfId="0" applyNumberFormat="1" applyFont="1" applyFill="1" applyBorder="1" applyAlignment="1" applyProtection="1">
      <alignment horizontal="center" vertical="center" wrapText="1"/>
    </xf>
    <xf numFmtId="3" fontId="51" fillId="3" borderId="15" xfId="0" applyNumberFormat="1" applyFont="1" applyFill="1" applyBorder="1" applyAlignment="1" applyProtection="1">
      <alignment horizontal="center" vertical="center" wrapText="1"/>
    </xf>
    <xf numFmtId="3" fontId="51" fillId="3" borderId="2" xfId="0" applyNumberFormat="1" applyFont="1" applyFill="1" applyBorder="1" applyAlignment="1" applyProtection="1">
      <alignment horizontal="center" vertical="center" wrapText="1"/>
    </xf>
    <xf numFmtId="3" fontId="51" fillId="3" borderId="14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 applyProtection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12" xfId="0" applyNumberFormat="1" applyFont="1" applyFill="1" applyBorder="1" applyAlignment="1" applyProtection="1">
      <alignment horizontal="center" vertical="center" wrapText="1"/>
    </xf>
    <xf numFmtId="3" fontId="17" fillId="3" borderId="3" xfId="0" applyNumberFormat="1" applyFont="1" applyFill="1" applyBorder="1" applyAlignment="1" applyProtection="1">
      <alignment horizontal="center" vertical="center" wrapText="1"/>
    </xf>
    <xf numFmtId="3" fontId="51" fillId="3" borderId="1" xfId="0" applyNumberFormat="1" applyFont="1" applyFill="1" applyBorder="1" applyAlignment="1" applyProtection="1">
      <alignment horizontal="center" vertical="center" wrapText="1"/>
    </xf>
    <xf numFmtId="3" fontId="51" fillId="3" borderId="8" xfId="0" applyNumberFormat="1" applyFont="1" applyFill="1" applyBorder="1" applyAlignment="1" applyProtection="1">
      <alignment horizontal="center" vertical="center" wrapText="1"/>
    </xf>
    <xf numFmtId="3" fontId="51" fillId="3" borderId="10" xfId="0" applyNumberFormat="1" applyFont="1" applyFill="1" applyBorder="1" applyAlignment="1" applyProtection="1">
      <alignment horizontal="center" vertical="center" wrapText="1"/>
    </xf>
    <xf numFmtId="3" fontId="51" fillId="3" borderId="13" xfId="0" applyNumberFormat="1" applyFont="1" applyFill="1" applyBorder="1" applyAlignment="1" applyProtection="1">
      <alignment horizontal="center" vertical="center" wrapText="1"/>
    </xf>
    <xf numFmtId="3" fontId="51" fillId="3" borderId="9" xfId="0" applyNumberFormat="1" applyFont="1" applyFill="1" applyBorder="1" applyAlignment="1" applyProtection="1">
      <alignment horizontal="center" vertical="center" wrapText="1"/>
    </xf>
    <xf numFmtId="0" fontId="41" fillId="0" borderId="0" xfId="5" applyNumberFormat="1" applyFont="1" applyFill="1" applyBorder="1" applyAlignment="1" applyProtection="1">
      <alignment horizontal="center" vertical="center" wrapText="1"/>
    </xf>
    <xf numFmtId="0" fontId="33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 applyProtection="1">
      <alignment horizontal="center" vertical="center" wrapText="1"/>
    </xf>
    <xf numFmtId="3" fontId="17" fillId="3" borderId="15" xfId="0" applyNumberFormat="1" applyFont="1" applyFill="1" applyBorder="1" applyAlignment="1" applyProtection="1">
      <alignment horizontal="center" vertical="center" wrapText="1"/>
    </xf>
    <xf numFmtId="3" fontId="17" fillId="3" borderId="2" xfId="0" applyNumberFormat="1" applyFont="1" applyFill="1" applyBorder="1" applyAlignment="1" applyProtection="1">
      <alignment horizontal="center" vertical="center" wrapText="1"/>
    </xf>
    <xf numFmtId="3" fontId="17" fillId="3" borderId="14" xfId="0" applyNumberFormat="1" applyFont="1" applyFill="1" applyBorder="1" applyAlignment="1" applyProtection="1">
      <alignment horizontal="center" vertical="center" wrapText="1"/>
    </xf>
    <xf numFmtId="3" fontId="17" fillId="3" borderId="4" xfId="0" applyNumberFormat="1" applyFont="1" applyFill="1" applyBorder="1" applyAlignment="1" applyProtection="1">
      <alignment horizontal="center" vertical="center" wrapText="1"/>
    </xf>
    <xf numFmtId="3" fontId="17" fillId="3" borderId="8" xfId="0" applyNumberFormat="1" applyFont="1" applyFill="1" applyBorder="1" applyAlignment="1" applyProtection="1">
      <alignment horizontal="center" vertical="center" wrapText="1"/>
    </xf>
    <xf numFmtId="3" fontId="17" fillId="3" borderId="6" xfId="0" applyNumberFormat="1" applyFont="1" applyFill="1" applyBorder="1" applyAlignment="1" applyProtection="1">
      <alignment horizontal="center" vertical="center" wrapText="1"/>
    </xf>
    <xf numFmtId="170" fontId="30" fillId="0" borderId="9" xfId="0" applyNumberFormat="1" applyFont="1" applyBorder="1" applyAlignment="1" applyProtection="1">
      <alignment horizontal="center" wrapText="1"/>
    </xf>
    <xf numFmtId="0" fontId="23" fillId="0" borderId="0" xfId="0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/>
    </xf>
    <xf numFmtId="3" fontId="17" fillId="3" borderId="1" xfId="0" applyNumberFormat="1" applyFont="1" applyFill="1" applyBorder="1" applyAlignment="1" applyProtection="1">
      <alignment horizontal="center" vertical="center" wrapText="1"/>
    </xf>
    <xf numFmtId="170" fontId="17" fillId="0" borderId="9" xfId="5" applyNumberFormat="1" applyFont="1" applyFill="1" applyBorder="1" applyAlignment="1" applyProtection="1">
      <alignment horizontal="center" vertical="top"/>
    </xf>
    <xf numFmtId="0" fontId="41" fillId="0" borderId="0" xfId="5" applyNumberFormat="1" applyFont="1" applyFill="1" applyBorder="1" applyAlignment="1" applyProtection="1">
      <alignment horizontal="center" vertical="top" wrapText="1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68" fontId="7" fillId="0" borderId="5" xfId="0" applyNumberFormat="1" applyFont="1" applyBorder="1" applyAlignment="1" applyProtection="1">
      <alignment horizontal="center" vertical="center"/>
    </xf>
    <xf numFmtId="168" fontId="2" fillId="0" borderId="12" xfId="0" applyNumberFormat="1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 vertical="center"/>
    </xf>
    <xf numFmtId="0" fontId="15" fillId="0" borderId="11" xfId="0" applyFont="1" applyBorder="1" applyAlignment="1" applyProtection="1">
      <alignment horizontal="center" vertical="center"/>
    </xf>
    <xf numFmtId="0" fontId="15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6" xfId="0" applyFont="1" applyBorder="1" applyAlignment="1" applyProtection="1">
      <alignment horizontal="center"/>
    </xf>
    <xf numFmtId="168" fontId="7" fillId="0" borderId="1" xfId="0" applyNumberFormat="1" applyFont="1" applyFill="1" applyBorder="1" applyAlignment="1" applyProtection="1">
      <alignment horizontal="center" vertical="center"/>
    </xf>
    <xf numFmtId="168" fontId="2" fillId="0" borderId="1" xfId="0" applyNumberFormat="1" applyFont="1" applyFill="1" applyBorder="1" applyAlignment="1" applyProtection="1">
      <alignment horizontal="center" vertical="center"/>
    </xf>
    <xf numFmtId="3" fontId="22" fillId="3" borderId="1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5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5" fillId="0" borderId="4" xfId="0" applyFont="1" applyBorder="1" applyAlignment="1" applyProtection="1">
      <alignment horizontal="center" vertical="center" wrapText="1"/>
    </xf>
    <xf numFmtId="0" fontId="15" fillId="0" borderId="8" xfId="0" applyFont="1" applyBorder="1" applyAlignment="1" applyProtection="1">
      <alignment horizontal="center" vertical="center" wrapText="1"/>
    </xf>
    <xf numFmtId="0" fontId="15" fillId="0" borderId="6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/>
    </xf>
    <xf numFmtId="0" fontId="15" fillId="0" borderId="4" xfId="0" applyFont="1" applyBorder="1" applyAlignment="1" applyProtection="1">
      <alignment horizontal="center"/>
    </xf>
    <xf numFmtId="0" fontId="15" fillId="0" borderId="8" xfId="0" applyFont="1" applyBorder="1" applyAlignment="1" applyProtection="1">
      <alignment horizontal="center"/>
    </xf>
    <xf numFmtId="0" fontId="15" fillId="0" borderId="6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</xf>
    <xf numFmtId="0" fontId="15" fillId="0" borderId="11" xfId="0" quotePrefix="1" applyFont="1" applyBorder="1" applyAlignment="1" applyProtection="1">
      <alignment horizontal="center" vertical="center" wrapText="1"/>
    </xf>
    <xf numFmtId="0" fontId="15" fillId="0" borderId="15" xfId="0" quotePrefix="1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/>
    </xf>
    <xf numFmtId="0" fontId="15" fillId="0" borderId="4" xfId="0" applyFont="1" applyBorder="1" applyAlignment="1" applyProtection="1">
      <alignment horizontal="center" vertical="center"/>
    </xf>
    <xf numFmtId="0" fontId="15" fillId="0" borderId="8" xfId="0" applyFont="1" applyBorder="1" applyAlignment="1" applyProtection="1">
      <alignment horizontal="center" vertical="center"/>
    </xf>
    <xf numFmtId="0" fontId="15" fillId="0" borderId="6" xfId="0" applyFont="1" applyBorder="1" applyAlignment="1" applyProtection="1">
      <alignment horizontal="center" vertical="center"/>
    </xf>
    <xf numFmtId="0" fontId="15" fillId="0" borderId="7" xfId="0" applyFont="1" applyBorder="1" applyAlignment="1" applyProtection="1">
      <alignment horizontal="center"/>
    </xf>
    <xf numFmtId="0" fontId="15" fillId="0" borderId="11" xfId="0" applyFont="1" applyBorder="1" applyAlignment="1" applyProtection="1">
      <alignment horizontal="center"/>
    </xf>
    <xf numFmtId="0" fontId="15" fillId="0" borderId="15" xfId="0" applyFont="1" applyBorder="1" applyAlignment="1" applyProtection="1">
      <alignment horizontal="center"/>
    </xf>
    <xf numFmtId="49" fontId="2" fillId="0" borderId="5" xfId="0" applyNumberFormat="1" applyFont="1" applyFill="1" applyBorder="1" applyAlignment="1" applyProtection="1">
      <alignment horizontal="center" vertical="center"/>
    </xf>
    <xf numFmtId="49" fontId="2" fillId="0" borderId="12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15" fillId="0" borderId="7" xfId="0" quotePrefix="1" applyFont="1" applyFill="1" applyBorder="1" applyAlignment="1" applyProtection="1">
      <alignment horizontal="center" vertical="center"/>
    </xf>
    <xf numFmtId="0" fontId="15" fillId="0" borderId="11" xfId="0" quotePrefix="1" applyFont="1" applyFill="1" applyBorder="1" applyAlignment="1" applyProtection="1">
      <alignment horizontal="center" vertical="center"/>
    </xf>
    <xf numFmtId="0" fontId="15" fillId="0" borderId="10" xfId="0" quotePrefix="1" applyFont="1" applyFill="1" applyBorder="1" applyAlignment="1" applyProtection="1">
      <alignment horizontal="center" vertical="center"/>
    </xf>
    <xf numFmtId="0" fontId="15" fillId="0" borderId="0" xfId="0" quotePrefix="1" applyFont="1" applyFill="1" applyBorder="1" applyAlignment="1" applyProtection="1">
      <alignment horizontal="center" vertical="center"/>
    </xf>
    <xf numFmtId="0" fontId="15" fillId="0" borderId="2" xfId="0" quotePrefix="1" applyFont="1" applyFill="1" applyBorder="1" applyAlignment="1" applyProtection="1">
      <alignment horizontal="center" vertical="center"/>
    </xf>
    <xf numFmtId="0" fontId="15" fillId="0" borderId="9" xfId="0" quotePrefix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15" fillId="0" borderId="10" xfId="0" applyFont="1" applyFill="1" applyBorder="1" applyAlignment="1" applyProtection="1">
      <alignment horizontal="center" vertical="center" wrapText="1"/>
    </xf>
    <xf numFmtId="0" fontId="15" fillId="0" borderId="0" xfId="0" quotePrefix="1" applyFont="1" applyFill="1" applyBorder="1" applyAlignment="1" applyProtection="1">
      <alignment horizontal="center" vertical="center" wrapText="1"/>
    </xf>
    <xf numFmtId="0" fontId="15" fillId="0" borderId="13" xfId="0" quotePrefix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168" fontId="7" fillId="0" borderId="5" xfId="0" applyNumberFormat="1" applyFont="1" applyFill="1" applyBorder="1" applyAlignment="1" applyProtection="1">
      <alignment horizontal="center" vertical="center"/>
    </xf>
    <xf numFmtId="168" fontId="2" fillId="0" borderId="3" xfId="0" applyNumberFormat="1" applyFont="1" applyFill="1" applyBorder="1" applyAlignment="1" applyProtection="1">
      <alignment horizontal="center" vertical="center"/>
    </xf>
    <xf numFmtId="0" fontId="15" fillId="0" borderId="4" xfId="0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6" xfId="0" applyFont="1" applyFill="1" applyBorder="1" applyAlignment="1" applyProtection="1">
      <alignment horizontal="center" vertical="center"/>
    </xf>
    <xf numFmtId="0" fontId="15" fillId="0" borderId="7" xfId="0" quotePrefix="1" applyFont="1" applyFill="1" applyBorder="1" applyAlignment="1" applyProtection="1">
      <alignment horizontal="center" vertical="center" wrapText="1"/>
    </xf>
    <xf numFmtId="0" fontId="15" fillId="0" borderId="11" xfId="0" quotePrefix="1" applyFont="1" applyFill="1" applyBorder="1" applyAlignment="1" applyProtection="1">
      <alignment horizontal="center" vertical="center" wrapText="1"/>
    </xf>
    <xf numFmtId="0" fontId="15" fillId="0" borderId="15" xfId="0" quotePrefix="1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0" fillId="0" borderId="3" xfId="0" applyBorder="1" applyProtection="1"/>
    <xf numFmtId="0" fontId="6" fillId="0" borderId="4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 wrapText="1"/>
    </xf>
    <xf numFmtId="0" fontId="0" fillId="0" borderId="15" xfId="0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 applyProtection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 wrapText="1"/>
    </xf>
    <xf numFmtId="0" fontId="0" fillId="0" borderId="14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/>
    </xf>
    <xf numFmtId="0" fontId="5" fillId="0" borderId="8" xfId="0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15" fillId="0" borderId="11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15" fillId="0" borderId="4" xfId="0" applyFont="1" applyFill="1" applyBorder="1" applyAlignment="1" applyProtection="1">
      <alignment horizontal="center" vertical="center" wrapText="1"/>
    </xf>
    <xf numFmtId="0" fontId="15" fillId="0" borderId="8" xfId="0" applyFont="1" applyFill="1" applyBorder="1" applyAlignment="1" applyProtection="1">
      <alignment horizontal="center" vertical="center" wrapText="1"/>
    </xf>
    <xf numFmtId="0" fontId="15" fillId="0" borderId="6" xfId="0" applyFont="1" applyFill="1" applyBorder="1" applyAlignment="1" applyProtection="1">
      <alignment horizontal="center" vertical="center" wrapText="1"/>
    </xf>
    <xf numFmtId="168" fontId="7" fillId="0" borderId="5" xfId="0" applyNumberFormat="1" applyFont="1" applyFill="1" applyBorder="1" applyAlignment="1" applyProtection="1">
      <alignment horizontal="center" vertical="center"/>
      <protection locked="0"/>
    </xf>
    <xf numFmtId="168" fontId="2" fillId="0" borderId="3" xfId="0" applyNumberFormat="1" applyFont="1" applyFill="1" applyBorder="1" applyAlignment="1" applyProtection="1">
      <alignment horizontal="center" vertical="center"/>
      <protection locked="0"/>
    </xf>
    <xf numFmtId="0" fontId="15" fillId="0" borderId="4" xfId="0" applyFont="1" applyFill="1" applyBorder="1" applyAlignment="1" applyProtection="1">
      <alignment horizontal="center"/>
    </xf>
    <xf numFmtId="0" fontId="15" fillId="0" borderId="8" xfId="0" applyFont="1" applyFill="1" applyBorder="1" applyAlignment="1" applyProtection="1">
      <alignment horizontal="center"/>
    </xf>
    <xf numFmtId="0" fontId="15" fillId="0" borderId="6" xfId="0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168" fontId="2" fillId="0" borderId="12" xfId="0" applyNumberFormat="1" applyFont="1" applyFill="1" applyBorder="1" applyAlignment="1" applyProtection="1">
      <alignment horizontal="center" vertical="center"/>
    </xf>
    <xf numFmtId="0" fontId="15" fillId="0" borderId="7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5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5" fillId="0" borderId="2" xfId="0" quotePrefix="1" applyFont="1" applyFill="1" applyBorder="1" applyAlignment="1" applyProtection="1">
      <alignment horizontal="center" vertical="center" wrapText="1"/>
    </xf>
    <xf numFmtId="0" fontId="15" fillId="0" borderId="9" xfId="0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horizontal="center" vertical="center" wrapText="1"/>
    </xf>
    <xf numFmtId="0" fontId="134" fillId="0" borderId="0" xfId="0" applyFont="1" applyFill="1" applyBorder="1" applyAlignment="1" applyProtection="1">
      <alignment horizontal="center" vertical="center" wrapText="1"/>
    </xf>
  </cellXfs>
  <cellStyles count="1289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6" xfId="353" xr:uid="{00000000-0005-0000-0000-000096010000}"/>
    <cellStyle name="Обычный 107" xfId="354" xr:uid="{00000000-0005-0000-0000-000097010000}"/>
    <cellStyle name="Обычный 109" xfId="355" xr:uid="{00000000-0005-0000-0000-000098010000}"/>
    <cellStyle name="Обычный 11" xfId="356" xr:uid="{00000000-0005-0000-0000-000099010000}"/>
    <cellStyle name="Обычный 11 2" xfId="357" xr:uid="{00000000-0005-0000-0000-00009A010000}"/>
    <cellStyle name="Обычный 11 2 2" xfId="358" xr:uid="{00000000-0005-0000-0000-00009B010000}"/>
    <cellStyle name="Обычный 11 3" xfId="359" xr:uid="{00000000-0005-0000-0000-00009C010000}"/>
    <cellStyle name="Обычный 11 4" xfId="360" xr:uid="{00000000-0005-0000-0000-00009D010000}"/>
    <cellStyle name="Обычный 11 6" xfId="361" xr:uid="{00000000-0005-0000-0000-00009E010000}"/>
    <cellStyle name="Обычный 110" xfId="362" xr:uid="{00000000-0005-0000-0000-00009F010000}"/>
    <cellStyle name="Обычный 112" xfId="363" xr:uid="{00000000-0005-0000-0000-0000A0010000}"/>
    <cellStyle name="Обычный 113" xfId="364" xr:uid="{00000000-0005-0000-0000-0000A1010000}"/>
    <cellStyle name="Обычный 115" xfId="365" xr:uid="{00000000-0005-0000-0000-0000A2010000}"/>
    <cellStyle name="Обычный 116" xfId="366" xr:uid="{00000000-0005-0000-0000-0000A3010000}"/>
    <cellStyle name="Обычный 118" xfId="367" xr:uid="{00000000-0005-0000-0000-0000A4010000}"/>
    <cellStyle name="Обычный 12" xfId="368" xr:uid="{00000000-0005-0000-0000-0000A5010000}"/>
    <cellStyle name="Обычный 12 2" xfId="369" xr:uid="{00000000-0005-0000-0000-0000A6010000}"/>
    <cellStyle name="Обычный 12 2 2" xfId="370" xr:uid="{00000000-0005-0000-0000-0000A7010000}"/>
    <cellStyle name="Обычный 12 3" xfId="371" xr:uid="{00000000-0005-0000-0000-0000A8010000}"/>
    <cellStyle name="Обычный 12 4" xfId="372" xr:uid="{00000000-0005-0000-0000-0000A9010000}"/>
    <cellStyle name="Обычный 12 5" xfId="373" xr:uid="{00000000-0005-0000-0000-0000AA010000}"/>
    <cellStyle name="Обычный 12 6" xfId="374" xr:uid="{00000000-0005-0000-0000-0000AB010000}"/>
    <cellStyle name="Обычный 12 7" xfId="375" xr:uid="{00000000-0005-0000-0000-0000AC010000}"/>
    <cellStyle name="Обычный 12 8" xfId="376" xr:uid="{00000000-0005-0000-0000-0000AD010000}"/>
    <cellStyle name="Обычный 120" xfId="377" xr:uid="{00000000-0005-0000-0000-0000AE010000}"/>
    <cellStyle name="Обычный 121" xfId="378" xr:uid="{00000000-0005-0000-0000-0000AF010000}"/>
    <cellStyle name="Обычный 122" xfId="379" xr:uid="{00000000-0005-0000-0000-0000B0010000}"/>
    <cellStyle name="Обычный 123" xfId="380" xr:uid="{00000000-0005-0000-0000-0000B1010000}"/>
    <cellStyle name="Обычный 13" xfId="381" xr:uid="{00000000-0005-0000-0000-0000B2010000}"/>
    <cellStyle name="Обычный 13 2" xfId="382" xr:uid="{00000000-0005-0000-0000-0000B3010000}"/>
    <cellStyle name="Обычный 13 2 2" xfId="383" xr:uid="{00000000-0005-0000-0000-0000B4010000}"/>
    <cellStyle name="Обычный 14" xfId="384" xr:uid="{00000000-0005-0000-0000-0000B5010000}"/>
    <cellStyle name="Обычный 14 2" xfId="385" xr:uid="{00000000-0005-0000-0000-0000B6010000}"/>
    <cellStyle name="Обычный 14 2 2" xfId="386" xr:uid="{00000000-0005-0000-0000-0000B7010000}"/>
    <cellStyle name="Обычный 14 3" xfId="387" xr:uid="{00000000-0005-0000-0000-0000B8010000}"/>
    <cellStyle name="Обычный 14 4" xfId="388" xr:uid="{00000000-0005-0000-0000-0000B9010000}"/>
    <cellStyle name="Обычный 14 5" xfId="389" xr:uid="{00000000-0005-0000-0000-0000BA010000}"/>
    <cellStyle name="Обычный 144" xfId="390" xr:uid="{00000000-0005-0000-0000-0000BB010000}"/>
    <cellStyle name="Обычный 147" xfId="391" xr:uid="{00000000-0005-0000-0000-0000BC010000}"/>
    <cellStyle name="Обычный 148" xfId="392" xr:uid="{00000000-0005-0000-0000-0000BD010000}"/>
    <cellStyle name="Обычный 15" xfId="393" xr:uid="{00000000-0005-0000-0000-0000BE010000}"/>
    <cellStyle name="Обычный 15 2" xfId="394" xr:uid="{00000000-0005-0000-0000-0000BF010000}"/>
    <cellStyle name="Обычный 15 2 2" xfId="395" xr:uid="{00000000-0005-0000-0000-0000C0010000}"/>
    <cellStyle name="Обычный 15 2 3" xfId="396" xr:uid="{00000000-0005-0000-0000-0000C1010000}"/>
    <cellStyle name="Обычный 15 2 4" xfId="397" xr:uid="{00000000-0005-0000-0000-0000C2010000}"/>
    <cellStyle name="Обычный 15 2 5" xfId="398" xr:uid="{00000000-0005-0000-0000-0000C3010000}"/>
    <cellStyle name="Обычный 15 2 6" xfId="399" xr:uid="{00000000-0005-0000-0000-0000C4010000}"/>
    <cellStyle name="Обычный 15 3" xfId="400" xr:uid="{00000000-0005-0000-0000-0000C5010000}"/>
    <cellStyle name="Обычный 15 4" xfId="401" xr:uid="{00000000-0005-0000-0000-0000C6010000}"/>
    <cellStyle name="Обычный 15 5" xfId="402" xr:uid="{00000000-0005-0000-0000-0000C7010000}"/>
    <cellStyle name="Обычный 16" xfId="403" xr:uid="{00000000-0005-0000-0000-0000C8010000}"/>
    <cellStyle name="Обычный 16 10" xfId="404" xr:uid="{00000000-0005-0000-0000-0000C9010000}"/>
    <cellStyle name="Обычный 16 11" xfId="405" xr:uid="{00000000-0005-0000-0000-0000CA010000}"/>
    <cellStyle name="Обычный 16 12" xfId="406" xr:uid="{00000000-0005-0000-0000-0000CB010000}"/>
    <cellStyle name="Обычный 16 13" xfId="407" xr:uid="{00000000-0005-0000-0000-0000CC010000}"/>
    <cellStyle name="Обычный 16 14" xfId="408" xr:uid="{00000000-0005-0000-0000-0000CD010000}"/>
    <cellStyle name="Обычный 16 2" xfId="409" xr:uid="{00000000-0005-0000-0000-0000CE010000}"/>
    <cellStyle name="Обычный 16 2 2" xfId="410" xr:uid="{00000000-0005-0000-0000-0000CF010000}"/>
    <cellStyle name="Обычный 16 3" xfId="411" xr:uid="{00000000-0005-0000-0000-0000D0010000}"/>
    <cellStyle name="Обычный 16 3 2" xfId="412" xr:uid="{00000000-0005-0000-0000-0000D1010000}"/>
    <cellStyle name="Обычный 16 4" xfId="413" xr:uid="{00000000-0005-0000-0000-0000D2010000}"/>
    <cellStyle name="Обычный 16 4 2" xfId="414" xr:uid="{00000000-0005-0000-0000-0000D3010000}"/>
    <cellStyle name="Обычный 16 5" xfId="415" xr:uid="{00000000-0005-0000-0000-0000D4010000}"/>
    <cellStyle name="Обычный 16 6" xfId="416" xr:uid="{00000000-0005-0000-0000-0000D5010000}"/>
    <cellStyle name="Обычный 16 7" xfId="417" xr:uid="{00000000-0005-0000-0000-0000D6010000}"/>
    <cellStyle name="Обычный 16 8" xfId="418" xr:uid="{00000000-0005-0000-0000-0000D7010000}"/>
    <cellStyle name="Обычный 16 9" xfId="419" xr:uid="{00000000-0005-0000-0000-0000D8010000}"/>
    <cellStyle name="Обычный 17" xfId="420" xr:uid="{00000000-0005-0000-0000-0000D9010000}"/>
    <cellStyle name="Обычный 17 2" xfId="421" xr:uid="{00000000-0005-0000-0000-0000DA010000}"/>
    <cellStyle name="Обычный 17 2 2" xfId="422" xr:uid="{00000000-0005-0000-0000-0000DB010000}"/>
    <cellStyle name="Обычный 17 3" xfId="423" xr:uid="{00000000-0005-0000-0000-0000DC010000}"/>
    <cellStyle name="Обычный 17 4" xfId="424" xr:uid="{00000000-0005-0000-0000-0000DD010000}"/>
    <cellStyle name="Обычный 18" xfId="425" xr:uid="{00000000-0005-0000-0000-0000DE010000}"/>
    <cellStyle name="Обычный 18 2" xfId="426" xr:uid="{00000000-0005-0000-0000-0000DF010000}"/>
    <cellStyle name="Обычный 18 2 2" xfId="427" xr:uid="{00000000-0005-0000-0000-0000E0010000}"/>
    <cellStyle name="Обычный 18 2 2 2" xfId="428" xr:uid="{00000000-0005-0000-0000-0000E1010000}"/>
    <cellStyle name="Обычный 18 2 3" xfId="429" xr:uid="{00000000-0005-0000-0000-0000E2010000}"/>
    <cellStyle name="Обычный 18 2 4" xfId="430" xr:uid="{00000000-0005-0000-0000-0000E3010000}"/>
    <cellStyle name="Обычный 18 3" xfId="431" xr:uid="{00000000-0005-0000-0000-0000E4010000}"/>
    <cellStyle name="Обычный 18 3 2" xfId="432" xr:uid="{00000000-0005-0000-0000-0000E5010000}"/>
    <cellStyle name="Обычный 18 4" xfId="433" xr:uid="{00000000-0005-0000-0000-0000E6010000}"/>
    <cellStyle name="Обычный 18 5" xfId="434" xr:uid="{00000000-0005-0000-0000-0000E7010000}"/>
    <cellStyle name="Обычный 18 6" xfId="435" xr:uid="{00000000-0005-0000-0000-0000E8010000}"/>
    <cellStyle name="Обычный 188" xfId="436" xr:uid="{00000000-0005-0000-0000-0000E9010000}"/>
    <cellStyle name="Обычный 19" xfId="437" xr:uid="{00000000-0005-0000-0000-0000EA010000}"/>
    <cellStyle name="Обычный 19 2" xfId="438" xr:uid="{00000000-0005-0000-0000-0000EB010000}"/>
    <cellStyle name="Обычный 19 2 2" xfId="439" xr:uid="{00000000-0005-0000-0000-0000EC010000}"/>
    <cellStyle name="Обычный 19 2 3" xfId="440" xr:uid="{00000000-0005-0000-0000-0000ED010000}"/>
    <cellStyle name="Обычный 19 3" xfId="441" xr:uid="{00000000-0005-0000-0000-0000EE010000}"/>
    <cellStyle name="Обычный 190" xfId="442" xr:uid="{00000000-0005-0000-0000-0000EF010000}"/>
    <cellStyle name="Обычный 2" xfId="1" xr:uid="{00000000-0005-0000-0000-0000F0010000}"/>
    <cellStyle name="Обычный 2 10" xfId="443" xr:uid="{00000000-0005-0000-0000-0000F1010000}"/>
    <cellStyle name="Обычный 2 11" xfId="444" xr:uid="{00000000-0005-0000-0000-0000F2010000}"/>
    <cellStyle name="Обычный 2 12" xfId="445" xr:uid="{00000000-0005-0000-0000-0000F3010000}"/>
    <cellStyle name="Обычный 2 13" xfId="446" xr:uid="{00000000-0005-0000-0000-0000F4010000}"/>
    <cellStyle name="Обычный 2 14" xfId="447" xr:uid="{00000000-0005-0000-0000-0000F5010000}"/>
    <cellStyle name="Обычный 2 15" xfId="448" xr:uid="{00000000-0005-0000-0000-0000F6010000}"/>
    <cellStyle name="Обычный 2 16" xfId="449" xr:uid="{00000000-0005-0000-0000-0000F7010000}"/>
    <cellStyle name="Обычный 2 17" xfId="450" xr:uid="{00000000-0005-0000-0000-0000F8010000}"/>
    <cellStyle name="Обычный 2 18" xfId="451" xr:uid="{00000000-0005-0000-0000-0000F9010000}"/>
    <cellStyle name="Обычный 2 19" xfId="452" xr:uid="{00000000-0005-0000-0000-0000FA010000}"/>
    <cellStyle name="Обычный 2 2" xfId="453" xr:uid="{00000000-0005-0000-0000-0000FB010000}"/>
    <cellStyle name="Обычный 2 2 10" xfId="454" xr:uid="{00000000-0005-0000-0000-0000FC010000}"/>
    <cellStyle name="Обычный 2 2 10 2" xfId="455" xr:uid="{00000000-0005-0000-0000-0000FD010000}"/>
    <cellStyle name="Обычный 2 2 11" xfId="456" xr:uid="{00000000-0005-0000-0000-0000FE010000}"/>
    <cellStyle name="Обычный 2 2 11 2" xfId="457" xr:uid="{00000000-0005-0000-0000-0000FF010000}"/>
    <cellStyle name="Обычный 2 2 12" xfId="458" xr:uid="{00000000-0005-0000-0000-000000020000}"/>
    <cellStyle name="Обычный 2 2 12 2" xfId="459" xr:uid="{00000000-0005-0000-0000-000001020000}"/>
    <cellStyle name="Обычный 2 2 13" xfId="460" xr:uid="{00000000-0005-0000-0000-000002020000}"/>
    <cellStyle name="Обычный 2 2 13 2" xfId="461" xr:uid="{00000000-0005-0000-0000-000003020000}"/>
    <cellStyle name="Обычный 2 2 14" xfId="462" xr:uid="{00000000-0005-0000-0000-000004020000}"/>
    <cellStyle name="Обычный 2 2 14 2" xfId="463" xr:uid="{00000000-0005-0000-0000-000005020000}"/>
    <cellStyle name="Обычный 2 2 15" xfId="464" xr:uid="{00000000-0005-0000-0000-000006020000}"/>
    <cellStyle name="Обычный 2 2 15 2" xfId="465" xr:uid="{00000000-0005-0000-0000-000007020000}"/>
    <cellStyle name="Обычный 2 2 16" xfId="466" xr:uid="{00000000-0005-0000-0000-000008020000}"/>
    <cellStyle name="Обычный 2 2 16 2" xfId="467" xr:uid="{00000000-0005-0000-0000-000009020000}"/>
    <cellStyle name="Обычный 2 2 17" xfId="468" xr:uid="{00000000-0005-0000-0000-00000A020000}"/>
    <cellStyle name="Обычный 2 2 17 2" xfId="469" xr:uid="{00000000-0005-0000-0000-00000B020000}"/>
    <cellStyle name="Обычный 2 2 18" xfId="470" xr:uid="{00000000-0005-0000-0000-00000C020000}"/>
    <cellStyle name="Обычный 2 2 18 2" xfId="471" xr:uid="{00000000-0005-0000-0000-00000D020000}"/>
    <cellStyle name="Обычный 2 2 19" xfId="472" xr:uid="{00000000-0005-0000-0000-00000E020000}"/>
    <cellStyle name="Обычный 2 2 19 2" xfId="473" xr:uid="{00000000-0005-0000-0000-00000F020000}"/>
    <cellStyle name="Обычный 2 2 2" xfId="474" xr:uid="{00000000-0005-0000-0000-000010020000}"/>
    <cellStyle name="Обычный 2 2 2 10" xfId="475" xr:uid="{00000000-0005-0000-0000-000011020000}"/>
    <cellStyle name="Обычный 2 2 2 11" xfId="476" xr:uid="{00000000-0005-0000-0000-000012020000}"/>
    <cellStyle name="Обычный 2 2 2 12" xfId="477" xr:uid="{00000000-0005-0000-0000-000013020000}"/>
    <cellStyle name="Обычный 2 2 2 13" xfId="478" xr:uid="{00000000-0005-0000-0000-000014020000}"/>
    <cellStyle name="Обычный 2 2 2 14" xfId="479" xr:uid="{00000000-0005-0000-0000-000015020000}"/>
    <cellStyle name="Обычный 2 2 2 15" xfId="480" xr:uid="{00000000-0005-0000-0000-000016020000}"/>
    <cellStyle name="Обычный 2 2 2 16" xfId="481" xr:uid="{00000000-0005-0000-0000-000017020000}"/>
    <cellStyle name="Обычный 2 2 2 17" xfId="482" xr:uid="{00000000-0005-0000-0000-000018020000}"/>
    <cellStyle name="Обычный 2 2 2 18" xfId="483" xr:uid="{00000000-0005-0000-0000-000019020000}"/>
    <cellStyle name="Обычный 2 2 2 19" xfId="484" xr:uid="{00000000-0005-0000-0000-00001A020000}"/>
    <cellStyle name="Обычный 2 2 2 2" xfId="485" xr:uid="{00000000-0005-0000-0000-00001B020000}"/>
    <cellStyle name="Обычный 2 2 2 2 10" xfId="486" xr:uid="{00000000-0005-0000-0000-00001C020000}"/>
    <cellStyle name="Обычный 2 2 2 2 11" xfId="487" xr:uid="{00000000-0005-0000-0000-00001D020000}"/>
    <cellStyle name="Обычный 2 2 2 2 12" xfId="488" xr:uid="{00000000-0005-0000-0000-00001E020000}"/>
    <cellStyle name="Обычный 2 2 2 2 13" xfId="489" xr:uid="{00000000-0005-0000-0000-00001F020000}"/>
    <cellStyle name="Обычный 2 2 2 2 14" xfId="490" xr:uid="{00000000-0005-0000-0000-000020020000}"/>
    <cellStyle name="Обычный 2 2 2 2 15" xfId="491" xr:uid="{00000000-0005-0000-0000-000021020000}"/>
    <cellStyle name="Обычный 2 2 2 2 16" xfId="492" xr:uid="{00000000-0005-0000-0000-000022020000}"/>
    <cellStyle name="Обычный 2 2 2 2 17" xfId="493" xr:uid="{00000000-0005-0000-0000-000023020000}"/>
    <cellStyle name="Обычный 2 2 2 2 18" xfId="494" xr:uid="{00000000-0005-0000-0000-000024020000}"/>
    <cellStyle name="Обычный 2 2 2 2 19" xfId="495" xr:uid="{00000000-0005-0000-0000-000025020000}"/>
    <cellStyle name="Обычный 2 2 2 2 2" xfId="496" xr:uid="{00000000-0005-0000-0000-000026020000}"/>
    <cellStyle name="Обычный 2 2 2 2 20" xfId="497" xr:uid="{00000000-0005-0000-0000-000027020000}"/>
    <cellStyle name="Обычный 2 2 2 2 21" xfId="498" xr:uid="{00000000-0005-0000-0000-000028020000}"/>
    <cellStyle name="Обычный 2 2 2 2 22" xfId="499" xr:uid="{00000000-0005-0000-0000-000029020000}"/>
    <cellStyle name="Обычный 2 2 2 2 23" xfId="500" xr:uid="{00000000-0005-0000-0000-00002A020000}"/>
    <cellStyle name="Обычный 2 2 2 2 24" xfId="501" xr:uid="{00000000-0005-0000-0000-00002B020000}"/>
    <cellStyle name="Обычный 2 2 2 2 25" xfId="502" xr:uid="{00000000-0005-0000-0000-00002C020000}"/>
    <cellStyle name="Обычный 2 2 2 2 26" xfId="503" xr:uid="{00000000-0005-0000-0000-00002D020000}"/>
    <cellStyle name="Обычный 2 2 2 2 27" xfId="504" xr:uid="{00000000-0005-0000-0000-00002E020000}"/>
    <cellStyle name="Обычный 2 2 2 2 28" xfId="505" xr:uid="{00000000-0005-0000-0000-00002F020000}"/>
    <cellStyle name="Обычный 2 2 2 2 29" xfId="506" xr:uid="{00000000-0005-0000-0000-000030020000}"/>
    <cellStyle name="Обычный 2 2 2 2 3" xfId="507" xr:uid="{00000000-0005-0000-0000-000031020000}"/>
    <cellStyle name="Обычный 2 2 2 2 30" xfId="508" xr:uid="{00000000-0005-0000-0000-000032020000}"/>
    <cellStyle name="Обычный 2 2 2 2 4" xfId="509" xr:uid="{00000000-0005-0000-0000-000033020000}"/>
    <cellStyle name="Обычный 2 2 2 2 5" xfId="510" xr:uid="{00000000-0005-0000-0000-000034020000}"/>
    <cellStyle name="Обычный 2 2 2 2 6" xfId="511" xr:uid="{00000000-0005-0000-0000-000035020000}"/>
    <cellStyle name="Обычный 2 2 2 2 7" xfId="512" xr:uid="{00000000-0005-0000-0000-000036020000}"/>
    <cellStyle name="Обычный 2 2 2 2 8" xfId="513" xr:uid="{00000000-0005-0000-0000-000037020000}"/>
    <cellStyle name="Обычный 2 2 2 2 9" xfId="514" xr:uid="{00000000-0005-0000-0000-000038020000}"/>
    <cellStyle name="Обычный 2 2 2 20" xfId="515" xr:uid="{00000000-0005-0000-0000-000039020000}"/>
    <cellStyle name="Обычный 2 2 2 21" xfId="516" xr:uid="{00000000-0005-0000-0000-00003A020000}"/>
    <cellStyle name="Обычный 2 2 2 22" xfId="517" xr:uid="{00000000-0005-0000-0000-00003B020000}"/>
    <cellStyle name="Обычный 2 2 2 23" xfId="518" xr:uid="{00000000-0005-0000-0000-00003C020000}"/>
    <cellStyle name="Обычный 2 2 2 24" xfId="519" xr:uid="{00000000-0005-0000-0000-00003D020000}"/>
    <cellStyle name="Обычный 2 2 2 25" xfId="520" xr:uid="{00000000-0005-0000-0000-00003E020000}"/>
    <cellStyle name="Обычный 2 2 2 26" xfId="521" xr:uid="{00000000-0005-0000-0000-00003F020000}"/>
    <cellStyle name="Обычный 2 2 2 27" xfId="522" xr:uid="{00000000-0005-0000-0000-000040020000}"/>
    <cellStyle name="Обычный 2 2 2 28" xfId="523" xr:uid="{00000000-0005-0000-0000-000041020000}"/>
    <cellStyle name="Обычный 2 2 2 29" xfId="524" xr:uid="{00000000-0005-0000-0000-000042020000}"/>
    <cellStyle name="Обычный 2 2 2 3" xfId="525" xr:uid="{00000000-0005-0000-0000-000043020000}"/>
    <cellStyle name="Обычный 2 2 2 30" xfId="526" xr:uid="{00000000-0005-0000-0000-000044020000}"/>
    <cellStyle name="Обычный 2 2 2 31" xfId="527" xr:uid="{00000000-0005-0000-0000-000045020000}"/>
    <cellStyle name="Обычный 2 2 2 4" xfId="528" xr:uid="{00000000-0005-0000-0000-000046020000}"/>
    <cellStyle name="Обычный 2 2 2 5" xfId="529" xr:uid="{00000000-0005-0000-0000-000047020000}"/>
    <cellStyle name="Обычный 2 2 2 6" xfId="530" xr:uid="{00000000-0005-0000-0000-000048020000}"/>
    <cellStyle name="Обычный 2 2 2 7" xfId="531" xr:uid="{00000000-0005-0000-0000-000049020000}"/>
    <cellStyle name="Обычный 2 2 2 8" xfId="532" xr:uid="{00000000-0005-0000-0000-00004A020000}"/>
    <cellStyle name="Обычный 2 2 2 9" xfId="533" xr:uid="{00000000-0005-0000-0000-00004B020000}"/>
    <cellStyle name="Обычный 2 2 20" xfId="534" xr:uid="{00000000-0005-0000-0000-00004C020000}"/>
    <cellStyle name="Обычный 2 2 20 2" xfId="535" xr:uid="{00000000-0005-0000-0000-00004D020000}"/>
    <cellStyle name="Обычный 2 2 21" xfId="536" xr:uid="{00000000-0005-0000-0000-00004E020000}"/>
    <cellStyle name="Обычный 2 2 21 2" xfId="537" xr:uid="{00000000-0005-0000-0000-00004F020000}"/>
    <cellStyle name="Обычный 2 2 22" xfId="538" xr:uid="{00000000-0005-0000-0000-000050020000}"/>
    <cellStyle name="Обычный 2 2 22 2" xfId="539" xr:uid="{00000000-0005-0000-0000-000051020000}"/>
    <cellStyle name="Обычный 2 2 23" xfId="540" xr:uid="{00000000-0005-0000-0000-000052020000}"/>
    <cellStyle name="Обычный 2 2 23 2" xfId="541" xr:uid="{00000000-0005-0000-0000-000053020000}"/>
    <cellStyle name="Обычный 2 2 24" xfId="542" xr:uid="{00000000-0005-0000-0000-000054020000}"/>
    <cellStyle name="Обычный 2 2 24 2" xfId="543" xr:uid="{00000000-0005-0000-0000-000055020000}"/>
    <cellStyle name="Обычный 2 2 25" xfId="544" xr:uid="{00000000-0005-0000-0000-000056020000}"/>
    <cellStyle name="Обычный 2 2 25 2" xfId="545" xr:uid="{00000000-0005-0000-0000-000057020000}"/>
    <cellStyle name="Обычный 2 2 26" xfId="546" xr:uid="{00000000-0005-0000-0000-000058020000}"/>
    <cellStyle name="Обычный 2 2 26 2" xfId="547" xr:uid="{00000000-0005-0000-0000-000059020000}"/>
    <cellStyle name="Обычный 2 2 27" xfId="548" xr:uid="{00000000-0005-0000-0000-00005A020000}"/>
    <cellStyle name="Обычный 2 2 27 2" xfId="549" xr:uid="{00000000-0005-0000-0000-00005B020000}"/>
    <cellStyle name="Обычный 2 2 28" xfId="550" xr:uid="{00000000-0005-0000-0000-00005C020000}"/>
    <cellStyle name="Обычный 2 2 28 2" xfId="551" xr:uid="{00000000-0005-0000-0000-00005D020000}"/>
    <cellStyle name="Обычный 2 2 29" xfId="552" xr:uid="{00000000-0005-0000-0000-00005E020000}"/>
    <cellStyle name="Обычный 2 2 29 2" xfId="553" xr:uid="{00000000-0005-0000-0000-00005F020000}"/>
    <cellStyle name="Обычный 2 2 3" xfId="554" xr:uid="{00000000-0005-0000-0000-000060020000}"/>
    <cellStyle name="Обычный 2 2 3 2" xfId="555" xr:uid="{00000000-0005-0000-0000-000061020000}"/>
    <cellStyle name="Обычный 2 2 30" xfId="556" xr:uid="{00000000-0005-0000-0000-000062020000}"/>
    <cellStyle name="Обычный 2 2 30 2" xfId="557" xr:uid="{00000000-0005-0000-0000-000063020000}"/>
    <cellStyle name="Обычный 2 2 31" xfId="558" xr:uid="{00000000-0005-0000-0000-000064020000}"/>
    <cellStyle name="Обычный 2 2 31 2" xfId="559" xr:uid="{00000000-0005-0000-0000-000065020000}"/>
    <cellStyle name="Обычный 2 2 32" xfId="560" xr:uid="{00000000-0005-0000-0000-000066020000}"/>
    <cellStyle name="Обычный 2 2 4" xfId="561" xr:uid="{00000000-0005-0000-0000-000067020000}"/>
    <cellStyle name="Обычный 2 2 4 2" xfId="562" xr:uid="{00000000-0005-0000-0000-000068020000}"/>
    <cellStyle name="Обычный 2 2 5" xfId="563" xr:uid="{00000000-0005-0000-0000-000069020000}"/>
    <cellStyle name="Обычный 2 2 5 2" xfId="564" xr:uid="{00000000-0005-0000-0000-00006A020000}"/>
    <cellStyle name="Обычный 2 2 6" xfId="565" xr:uid="{00000000-0005-0000-0000-00006B020000}"/>
    <cellStyle name="Обычный 2 2 6 2" xfId="566" xr:uid="{00000000-0005-0000-0000-00006C020000}"/>
    <cellStyle name="Обычный 2 2 7" xfId="567" xr:uid="{00000000-0005-0000-0000-00006D020000}"/>
    <cellStyle name="Обычный 2 2 7 2" xfId="568" xr:uid="{00000000-0005-0000-0000-00006E020000}"/>
    <cellStyle name="Обычный 2 2 8" xfId="569" xr:uid="{00000000-0005-0000-0000-00006F020000}"/>
    <cellStyle name="Обычный 2 2 8 2" xfId="570" xr:uid="{00000000-0005-0000-0000-000070020000}"/>
    <cellStyle name="Обычный 2 2 9" xfId="571" xr:uid="{00000000-0005-0000-0000-000071020000}"/>
    <cellStyle name="Обычный 2 2 9 2" xfId="572" xr:uid="{00000000-0005-0000-0000-000072020000}"/>
    <cellStyle name="Обычный 2 20" xfId="573" xr:uid="{00000000-0005-0000-0000-000073020000}"/>
    <cellStyle name="Обычный 2 21" xfId="574" xr:uid="{00000000-0005-0000-0000-000074020000}"/>
    <cellStyle name="Обычный 2 22" xfId="575" xr:uid="{00000000-0005-0000-0000-000075020000}"/>
    <cellStyle name="Обычный 2 23" xfId="576" xr:uid="{00000000-0005-0000-0000-000076020000}"/>
    <cellStyle name="Обычный 2 24" xfId="577" xr:uid="{00000000-0005-0000-0000-000077020000}"/>
    <cellStyle name="Обычный 2 25" xfId="578" xr:uid="{00000000-0005-0000-0000-000078020000}"/>
    <cellStyle name="Обычный 2 26" xfId="579" xr:uid="{00000000-0005-0000-0000-000079020000}"/>
    <cellStyle name="Обычный 2 27" xfId="580" xr:uid="{00000000-0005-0000-0000-00007A020000}"/>
    <cellStyle name="Обычный 2 28" xfId="581" xr:uid="{00000000-0005-0000-0000-00007B020000}"/>
    <cellStyle name="Обычный 2 29" xfId="582" xr:uid="{00000000-0005-0000-0000-00007C020000}"/>
    <cellStyle name="Обычный 2 3" xfId="583" xr:uid="{00000000-0005-0000-0000-00007D020000}"/>
    <cellStyle name="Обычный 2 3 2" xfId="584" xr:uid="{00000000-0005-0000-0000-00007E020000}"/>
    <cellStyle name="Обычный 2 3 3" xfId="585" xr:uid="{00000000-0005-0000-0000-00007F020000}"/>
    <cellStyle name="Обычный 2 30" xfId="586" xr:uid="{00000000-0005-0000-0000-000080020000}"/>
    <cellStyle name="Обычный 2 31" xfId="587" xr:uid="{00000000-0005-0000-0000-000081020000}"/>
    <cellStyle name="Обычный 2 32" xfId="588" xr:uid="{00000000-0005-0000-0000-000082020000}"/>
    <cellStyle name="Обычный 2 33" xfId="589" xr:uid="{00000000-0005-0000-0000-000083020000}"/>
    <cellStyle name="Обычный 2 34" xfId="590" xr:uid="{00000000-0005-0000-0000-000084020000}"/>
    <cellStyle name="Обычный 2 34 2" xfId="591" xr:uid="{00000000-0005-0000-0000-000085020000}"/>
    <cellStyle name="Обычный 2 35" xfId="592" xr:uid="{00000000-0005-0000-0000-000086020000}"/>
    <cellStyle name="Обычный 2 36" xfId="593" xr:uid="{00000000-0005-0000-0000-000087020000}"/>
    <cellStyle name="Обычный 2 4" xfId="594" xr:uid="{00000000-0005-0000-0000-000088020000}"/>
    <cellStyle name="Обычный 2 4 2" xfId="595" xr:uid="{00000000-0005-0000-0000-000089020000}"/>
    <cellStyle name="Обычный 2 4 3" xfId="596" xr:uid="{00000000-0005-0000-0000-00008A020000}"/>
    <cellStyle name="Обычный 2 5" xfId="597" xr:uid="{00000000-0005-0000-0000-00008B020000}"/>
    <cellStyle name="Обычный 2 5 2" xfId="598" xr:uid="{00000000-0005-0000-0000-00008C020000}"/>
    <cellStyle name="Обычный 2 5 3" xfId="599" xr:uid="{00000000-0005-0000-0000-00008D020000}"/>
    <cellStyle name="Обычный 2 6" xfId="600" xr:uid="{00000000-0005-0000-0000-00008E020000}"/>
    <cellStyle name="Обычный 2 7" xfId="601" xr:uid="{00000000-0005-0000-0000-00008F020000}"/>
    <cellStyle name="Обычный 2 8" xfId="602" xr:uid="{00000000-0005-0000-0000-000090020000}"/>
    <cellStyle name="Обычный 2 9" xfId="603" xr:uid="{00000000-0005-0000-0000-000091020000}"/>
    <cellStyle name="Обычный 20" xfId="604" xr:uid="{00000000-0005-0000-0000-000092020000}"/>
    <cellStyle name="Обычный 20 10" xfId="605" xr:uid="{00000000-0005-0000-0000-000093020000}"/>
    <cellStyle name="Обычный 20 11" xfId="606" xr:uid="{00000000-0005-0000-0000-000094020000}"/>
    <cellStyle name="Обычный 20 12" xfId="607" xr:uid="{00000000-0005-0000-0000-000095020000}"/>
    <cellStyle name="Обычный 20 13" xfId="608" xr:uid="{00000000-0005-0000-0000-000096020000}"/>
    <cellStyle name="Обычный 20 14" xfId="609" xr:uid="{00000000-0005-0000-0000-000097020000}"/>
    <cellStyle name="Обычный 20 15" xfId="610" xr:uid="{00000000-0005-0000-0000-000098020000}"/>
    <cellStyle name="Обычный 20 16" xfId="611" xr:uid="{00000000-0005-0000-0000-000099020000}"/>
    <cellStyle name="Обычный 20 17" xfId="612" xr:uid="{00000000-0005-0000-0000-00009A020000}"/>
    <cellStyle name="Обычный 20 18" xfId="613" xr:uid="{00000000-0005-0000-0000-00009B020000}"/>
    <cellStyle name="Обычный 20 19" xfId="614" xr:uid="{00000000-0005-0000-0000-00009C020000}"/>
    <cellStyle name="Обычный 20 2" xfId="615" xr:uid="{00000000-0005-0000-0000-00009D020000}"/>
    <cellStyle name="Обычный 20 2 2" xfId="616" xr:uid="{00000000-0005-0000-0000-00009E020000}"/>
    <cellStyle name="Обычный 20 2 2 2" xfId="617" xr:uid="{00000000-0005-0000-0000-00009F020000}"/>
    <cellStyle name="Обычный 20 2 3" xfId="618" xr:uid="{00000000-0005-0000-0000-0000A0020000}"/>
    <cellStyle name="Обычный 20 2 4" xfId="619" xr:uid="{00000000-0005-0000-0000-0000A1020000}"/>
    <cellStyle name="Обычный 20 20" xfId="620" xr:uid="{00000000-0005-0000-0000-0000A2020000}"/>
    <cellStyle name="Обычный 20 21" xfId="621" xr:uid="{00000000-0005-0000-0000-0000A3020000}"/>
    <cellStyle name="Обычный 20 22" xfId="622" xr:uid="{00000000-0005-0000-0000-0000A4020000}"/>
    <cellStyle name="Обычный 20 23" xfId="623" xr:uid="{00000000-0005-0000-0000-0000A5020000}"/>
    <cellStyle name="Обычный 20 24" xfId="624" xr:uid="{00000000-0005-0000-0000-0000A6020000}"/>
    <cellStyle name="Обычный 20 25" xfId="625" xr:uid="{00000000-0005-0000-0000-0000A7020000}"/>
    <cellStyle name="Обычный 20 26" xfId="626" xr:uid="{00000000-0005-0000-0000-0000A8020000}"/>
    <cellStyle name="Обычный 20 27" xfId="627" xr:uid="{00000000-0005-0000-0000-0000A9020000}"/>
    <cellStyle name="Обычный 20 28" xfId="628" xr:uid="{00000000-0005-0000-0000-0000AA020000}"/>
    <cellStyle name="Обычный 20 29" xfId="629" xr:uid="{00000000-0005-0000-0000-0000AB020000}"/>
    <cellStyle name="Обычный 20 3" xfId="630" xr:uid="{00000000-0005-0000-0000-0000AC020000}"/>
    <cellStyle name="Обычный 20 3 2" xfId="631" xr:uid="{00000000-0005-0000-0000-0000AD020000}"/>
    <cellStyle name="Обычный 20 30" xfId="632" xr:uid="{00000000-0005-0000-0000-0000AE020000}"/>
    <cellStyle name="Обычный 20 31" xfId="633" xr:uid="{00000000-0005-0000-0000-0000AF020000}"/>
    <cellStyle name="Обычный 20 32" xfId="634" xr:uid="{00000000-0005-0000-0000-0000B0020000}"/>
    <cellStyle name="Обычный 20 4" xfId="635" xr:uid="{00000000-0005-0000-0000-0000B1020000}"/>
    <cellStyle name="Обычный 20 5" xfId="636" xr:uid="{00000000-0005-0000-0000-0000B2020000}"/>
    <cellStyle name="Обычный 20 6" xfId="637" xr:uid="{00000000-0005-0000-0000-0000B3020000}"/>
    <cellStyle name="Обычный 20 7" xfId="638" xr:uid="{00000000-0005-0000-0000-0000B4020000}"/>
    <cellStyle name="Обычный 20 8" xfId="639" xr:uid="{00000000-0005-0000-0000-0000B5020000}"/>
    <cellStyle name="Обычный 20 9" xfId="640" xr:uid="{00000000-0005-0000-0000-0000B6020000}"/>
    <cellStyle name="Обычный 21" xfId="641" xr:uid="{00000000-0005-0000-0000-0000B7020000}"/>
    <cellStyle name="Обычный 21 2" xfId="642" xr:uid="{00000000-0005-0000-0000-0000B8020000}"/>
    <cellStyle name="Обычный 21 2 2" xfId="643" xr:uid="{00000000-0005-0000-0000-0000B9020000}"/>
    <cellStyle name="Обычный 21 2 3" xfId="644" xr:uid="{00000000-0005-0000-0000-0000BA020000}"/>
    <cellStyle name="Обычный 21 2 4" xfId="645" xr:uid="{00000000-0005-0000-0000-0000BB020000}"/>
    <cellStyle name="Обычный 22" xfId="646" xr:uid="{00000000-0005-0000-0000-0000BC020000}"/>
    <cellStyle name="Обычный 22 10" xfId="647" xr:uid="{00000000-0005-0000-0000-0000BD020000}"/>
    <cellStyle name="Обычный 22 11" xfId="648" xr:uid="{00000000-0005-0000-0000-0000BE020000}"/>
    <cellStyle name="Обычный 22 12" xfId="649" xr:uid="{00000000-0005-0000-0000-0000BF020000}"/>
    <cellStyle name="Обычный 22 13" xfId="650" xr:uid="{00000000-0005-0000-0000-0000C0020000}"/>
    <cellStyle name="Обычный 22 14" xfId="651" xr:uid="{00000000-0005-0000-0000-0000C1020000}"/>
    <cellStyle name="Обычный 22 15" xfId="652" xr:uid="{00000000-0005-0000-0000-0000C2020000}"/>
    <cellStyle name="Обычный 22 16" xfId="653" xr:uid="{00000000-0005-0000-0000-0000C3020000}"/>
    <cellStyle name="Обычный 22 17" xfId="654" xr:uid="{00000000-0005-0000-0000-0000C4020000}"/>
    <cellStyle name="Обычный 22 18" xfId="655" xr:uid="{00000000-0005-0000-0000-0000C5020000}"/>
    <cellStyle name="Обычный 22 19" xfId="656" xr:uid="{00000000-0005-0000-0000-0000C6020000}"/>
    <cellStyle name="Обычный 22 2" xfId="657" xr:uid="{00000000-0005-0000-0000-0000C7020000}"/>
    <cellStyle name="Обычный 22 2 2" xfId="658" xr:uid="{00000000-0005-0000-0000-0000C8020000}"/>
    <cellStyle name="Обычный 22 2 3" xfId="659" xr:uid="{00000000-0005-0000-0000-0000C9020000}"/>
    <cellStyle name="Обычный 22 20" xfId="660" xr:uid="{00000000-0005-0000-0000-0000CA020000}"/>
    <cellStyle name="Обычный 22 21" xfId="661" xr:uid="{00000000-0005-0000-0000-0000CB020000}"/>
    <cellStyle name="Обычный 22 22" xfId="662" xr:uid="{00000000-0005-0000-0000-0000CC020000}"/>
    <cellStyle name="Обычный 22 23" xfId="663" xr:uid="{00000000-0005-0000-0000-0000CD020000}"/>
    <cellStyle name="Обычный 22 24" xfId="664" xr:uid="{00000000-0005-0000-0000-0000CE020000}"/>
    <cellStyle name="Обычный 22 25" xfId="665" xr:uid="{00000000-0005-0000-0000-0000CF020000}"/>
    <cellStyle name="Обычный 22 26" xfId="666" xr:uid="{00000000-0005-0000-0000-0000D0020000}"/>
    <cellStyle name="Обычный 22 27" xfId="667" xr:uid="{00000000-0005-0000-0000-0000D1020000}"/>
    <cellStyle name="Обычный 22 28" xfId="668" xr:uid="{00000000-0005-0000-0000-0000D2020000}"/>
    <cellStyle name="Обычный 22 29" xfId="669" xr:uid="{00000000-0005-0000-0000-0000D3020000}"/>
    <cellStyle name="Обычный 22 3" xfId="670" xr:uid="{00000000-0005-0000-0000-0000D4020000}"/>
    <cellStyle name="Обычный 22 30" xfId="671" xr:uid="{00000000-0005-0000-0000-0000D5020000}"/>
    <cellStyle name="Обычный 22 31" xfId="672" xr:uid="{00000000-0005-0000-0000-0000D6020000}"/>
    <cellStyle name="Обычный 22 32" xfId="673" xr:uid="{00000000-0005-0000-0000-0000D7020000}"/>
    <cellStyle name="Обычный 22 4" xfId="674" xr:uid="{00000000-0005-0000-0000-0000D8020000}"/>
    <cellStyle name="Обычный 22 5" xfId="675" xr:uid="{00000000-0005-0000-0000-0000D9020000}"/>
    <cellStyle name="Обычный 22 6" xfId="676" xr:uid="{00000000-0005-0000-0000-0000DA020000}"/>
    <cellStyle name="Обычный 22 7" xfId="677" xr:uid="{00000000-0005-0000-0000-0000DB020000}"/>
    <cellStyle name="Обычный 22 8" xfId="678" xr:uid="{00000000-0005-0000-0000-0000DC020000}"/>
    <cellStyle name="Обычный 22 9" xfId="679" xr:uid="{00000000-0005-0000-0000-0000DD020000}"/>
    <cellStyle name="Обычный 23" xfId="680" xr:uid="{00000000-0005-0000-0000-0000DE020000}"/>
    <cellStyle name="Обычный 24" xfId="681" xr:uid="{00000000-0005-0000-0000-0000DF020000}"/>
    <cellStyle name="Обычный 24 2" xfId="682" xr:uid="{00000000-0005-0000-0000-0000E0020000}"/>
    <cellStyle name="Обычный 24 3" xfId="683" xr:uid="{00000000-0005-0000-0000-0000E1020000}"/>
    <cellStyle name="Обычный 24 4" xfId="684" xr:uid="{00000000-0005-0000-0000-0000E2020000}"/>
    <cellStyle name="Обычный 25" xfId="685" xr:uid="{00000000-0005-0000-0000-0000E3020000}"/>
    <cellStyle name="Обычный 25 2" xfId="686" xr:uid="{00000000-0005-0000-0000-0000E4020000}"/>
    <cellStyle name="Обычный 256" xfId="687" xr:uid="{00000000-0005-0000-0000-0000E5020000}"/>
    <cellStyle name="Обычный 256 2" xfId="688" xr:uid="{00000000-0005-0000-0000-0000E6020000}"/>
    <cellStyle name="Обычный 26" xfId="689" xr:uid="{00000000-0005-0000-0000-0000E7020000}"/>
    <cellStyle name="Обычный 26 10" xfId="690" xr:uid="{00000000-0005-0000-0000-0000E8020000}"/>
    <cellStyle name="Обычный 26 11" xfId="691" xr:uid="{00000000-0005-0000-0000-0000E9020000}"/>
    <cellStyle name="Обычный 26 12" xfId="692" xr:uid="{00000000-0005-0000-0000-0000EA020000}"/>
    <cellStyle name="Обычный 26 13" xfId="693" xr:uid="{00000000-0005-0000-0000-0000EB020000}"/>
    <cellStyle name="Обычный 26 14" xfId="694" xr:uid="{00000000-0005-0000-0000-0000EC020000}"/>
    <cellStyle name="Обычный 26 15" xfId="695" xr:uid="{00000000-0005-0000-0000-0000ED020000}"/>
    <cellStyle name="Обычный 26 16" xfId="696" xr:uid="{00000000-0005-0000-0000-0000EE020000}"/>
    <cellStyle name="Обычный 26 17" xfId="697" xr:uid="{00000000-0005-0000-0000-0000EF020000}"/>
    <cellStyle name="Обычный 26 18" xfId="698" xr:uid="{00000000-0005-0000-0000-0000F0020000}"/>
    <cellStyle name="Обычный 26 19" xfId="699" xr:uid="{00000000-0005-0000-0000-0000F1020000}"/>
    <cellStyle name="Обычный 26 2" xfId="700" xr:uid="{00000000-0005-0000-0000-0000F2020000}"/>
    <cellStyle name="Обычный 26 20" xfId="701" xr:uid="{00000000-0005-0000-0000-0000F3020000}"/>
    <cellStyle name="Обычный 26 21" xfId="702" xr:uid="{00000000-0005-0000-0000-0000F4020000}"/>
    <cellStyle name="Обычный 26 22" xfId="703" xr:uid="{00000000-0005-0000-0000-0000F5020000}"/>
    <cellStyle name="Обычный 26 23" xfId="704" xr:uid="{00000000-0005-0000-0000-0000F6020000}"/>
    <cellStyle name="Обычный 26 24" xfId="705" xr:uid="{00000000-0005-0000-0000-0000F7020000}"/>
    <cellStyle name="Обычный 26 25" xfId="706" xr:uid="{00000000-0005-0000-0000-0000F8020000}"/>
    <cellStyle name="Обычный 26 26" xfId="707" xr:uid="{00000000-0005-0000-0000-0000F9020000}"/>
    <cellStyle name="Обычный 26 27" xfId="708" xr:uid="{00000000-0005-0000-0000-0000FA020000}"/>
    <cellStyle name="Обычный 26 28" xfId="709" xr:uid="{00000000-0005-0000-0000-0000FB020000}"/>
    <cellStyle name="Обычный 26 29" xfId="710" xr:uid="{00000000-0005-0000-0000-0000FC020000}"/>
    <cellStyle name="Обычный 26 3" xfId="711" xr:uid="{00000000-0005-0000-0000-0000FD020000}"/>
    <cellStyle name="Обычный 26 3 2" xfId="712" xr:uid="{00000000-0005-0000-0000-0000FE020000}"/>
    <cellStyle name="Обычный 26 30" xfId="713" xr:uid="{00000000-0005-0000-0000-0000FF020000}"/>
    <cellStyle name="Обычный 26 31" xfId="714" xr:uid="{00000000-0005-0000-0000-000000030000}"/>
    <cellStyle name="Обычный 26 32" xfId="715" xr:uid="{00000000-0005-0000-0000-000001030000}"/>
    <cellStyle name="Обычный 26 4" xfId="716" xr:uid="{00000000-0005-0000-0000-000002030000}"/>
    <cellStyle name="Обычный 26 5" xfId="717" xr:uid="{00000000-0005-0000-0000-000003030000}"/>
    <cellStyle name="Обычный 26 6" xfId="718" xr:uid="{00000000-0005-0000-0000-000004030000}"/>
    <cellStyle name="Обычный 26 7" xfId="719" xr:uid="{00000000-0005-0000-0000-000005030000}"/>
    <cellStyle name="Обычный 26 8" xfId="720" xr:uid="{00000000-0005-0000-0000-000006030000}"/>
    <cellStyle name="Обычный 26 9" xfId="721" xr:uid="{00000000-0005-0000-0000-000007030000}"/>
    <cellStyle name="Обычный 27" xfId="722" xr:uid="{00000000-0005-0000-0000-000008030000}"/>
    <cellStyle name="Обычный 27 2" xfId="723" xr:uid="{00000000-0005-0000-0000-000009030000}"/>
    <cellStyle name="Обычный 28" xfId="724" xr:uid="{00000000-0005-0000-0000-00000A030000}"/>
    <cellStyle name="Обычный 29" xfId="725" xr:uid="{00000000-0005-0000-0000-00000B030000}"/>
    <cellStyle name="Обычный 3" xfId="5" xr:uid="{00000000-0005-0000-0000-00000C030000}"/>
    <cellStyle name="Обычный 3 2" xfId="726" xr:uid="{00000000-0005-0000-0000-00000D030000}"/>
    <cellStyle name="Обычный 3 2 2" xfId="727" xr:uid="{00000000-0005-0000-0000-00000E030000}"/>
    <cellStyle name="Обычный 3 2 2 2" xfId="728" xr:uid="{00000000-0005-0000-0000-00000F030000}"/>
    <cellStyle name="Обычный 3 2 3" xfId="729" xr:uid="{00000000-0005-0000-0000-000010030000}"/>
    <cellStyle name="Обычный 3 2 4" xfId="730" xr:uid="{00000000-0005-0000-0000-000011030000}"/>
    <cellStyle name="Обычный 3 3" xfId="731" xr:uid="{00000000-0005-0000-0000-000012030000}"/>
    <cellStyle name="Обычный 3 3 2" xfId="732" xr:uid="{00000000-0005-0000-0000-000013030000}"/>
    <cellStyle name="Обычный 3 3 2 2" xfId="733" xr:uid="{00000000-0005-0000-0000-000014030000}"/>
    <cellStyle name="Обычный 3 3 3" xfId="734" xr:uid="{00000000-0005-0000-0000-000015030000}"/>
    <cellStyle name="Обычный 3 4" xfId="735" xr:uid="{00000000-0005-0000-0000-000016030000}"/>
    <cellStyle name="Обычный 3 5" xfId="736" xr:uid="{00000000-0005-0000-0000-000017030000}"/>
    <cellStyle name="Обычный 3 5 2" xfId="737" xr:uid="{00000000-0005-0000-0000-000018030000}"/>
    <cellStyle name="Обычный 3 6" xfId="738" xr:uid="{00000000-0005-0000-0000-000019030000}"/>
    <cellStyle name="Обычный 3 7" xfId="739" xr:uid="{00000000-0005-0000-0000-00001A030000}"/>
    <cellStyle name="Обычный 3 8" xfId="9" xr:uid="{00000000-0005-0000-0000-00001B030000}"/>
    <cellStyle name="Обычный 30" xfId="740" xr:uid="{00000000-0005-0000-0000-00001C030000}"/>
    <cellStyle name="Обычный 30 2" xfId="741" xr:uid="{00000000-0005-0000-0000-00001D030000}"/>
    <cellStyle name="Обычный 31" xfId="742" xr:uid="{00000000-0005-0000-0000-00001E030000}"/>
    <cellStyle name="Обычный 31 2" xfId="743" xr:uid="{00000000-0005-0000-0000-00001F030000}"/>
    <cellStyle name="Обычный 32" xfId="744" xr:uid="{00000000-0005-0000-0000-000020030000}"/>
    <cellStyle name="Обычный 32 2" xfId="745" xr:uid="{00000000-0005-0000-0000-000021030000}"/>
    <cellStyle name="Обычный 33" xfId="746" xr:uid="{00000000-0005-0000-0000-000022030000}"/>
    <cellStyle name="Обычный 33 2" xfId="747" xr:uid="{00000000-0005-0000-0000-000023030000}"/>
    <cellStyle name="Обычный 34" xfId="748" xr:uid="{00000000-0005-0000-0000-000024030000}"/>
    <cellStyle name="Обычный 34 2" xfId="749" xr:uid="{00000000-0005-0000-0000-000025030000}"/>
    <cellStyle name="Обычный 35" xfId="750" xr:uid="{00000000-0005-0000-0000-000026030000}"/>
    <cellStyle name="Обычный 35 10" xfId="751" xr:uid="{00000000-0005-0000-0000-000027030000}"/>
    <cellStyle name="Обычный 35 11" xfId="752" xr:uid="{00000000-0005-0000-0000-000028030000}"/>
    <cellStyle name="Обычный 35 12" xfId="753" xr:uid="{00000000-0005-0000-0000-000029030000}"/>
    <cellStyle name="Обычный 35 13" xfId="754" xr:uid="{00000000-0005-0000-0000-00002A030000}"/>
    <cellStyle name="Обычный 35 14" xfId="755" xr:uid="{00000000-0005-0000-0000-00002B030000}"/>
    <cellStyle name="Обычный 35 15" xfId="756" xr:uid="{00000000-0005-0000-0000-00002C030000}"/>
    <cellStyle name="Обычный 35 16" xfId="757" xr:uid="{00000000-0005-0000-0000-00002D030000}"/>
    <cellStyle name="Обычный 35 17" xfId="758" xr:uid="{00000000-0005-0000-0000-00002E030000}"/>
    <cellStyle name="Обычный 35 18" xfId="759" xr:uid="{00000000-0005-0000-0000-00002F030000}"/>
    <cellStyle name="Обычный 35 19" xfId="760" xr:uid="{00000000-0005-0000-0000-000030030000}"/>
    <cellStyle name="Обычный 35 2" xfId="761" xr:uid="{00000000-0005-0000-0000-000031030000}"/>
    <cellStyle name="Обычный 35 2 2" xfId="762" xr:uid="{00000000-0005-0000-0000-000032030000}"/>
    <cellStyle name="Обычный 35 20" xfId="763" xr:uid="{00000000-0005-0000-0000-000033030000}"/>
    <cellStyle name="Обычный 35 21" xfId="764" xr:uid="{00000000-0005-0000-0000-000034030000}"/>
    <cellStyle name="Обычный 35 22" xfId="765" xr:uid="{00000000-0005-0000-0000-000035030000}"/>
    <cellStyle name="Обычный 35 23" xfId="766" xr:uid="{00000000-0005-0000-0000-000036030000}"/>
    <cellStyle name="Обычный 35 24" xfId="767" xr:uid="{00000000-0005-0000-0000-000037030000}"/>
    <cellStyle name="Обычный 35 25" xfId="768" xr:uid="{00000000-0005-0000-0000-000038030000}"/>
    <cellStyle name="Обычный 35 26" xfId="769" xr:uid="{00000000-0005-0000-0000-000039030000}"/>
    <cellStyle name="Обычный 35 27" xfId="770" xr:uid="{00000000-0005-0000-0000-00003A030000}"/>
    <cellStyle name="Обычный 35 28" xfId="771" xr:uid="{00000000-0005-0000-0000-00003B030000}"/>
    <cellStyle name="Обычный 35 29" xfId="772" xr:uid="{00000000-0005-0000-0000-00003C030000}"/>
    <cellStyle name="Обычный 35 3" xfId="773" xr:uid="{00000000-0005-0000-0000-00003D030000}"/>
    <cellStyle name="Обычный 35 30" xfId="774" xr:uid="{00000000-0005-0000-0000-00003E030000}"/>
    <cellStyle name="Обычный 35 31" xfId="775" xr:uid="{00000000-0005-0000-0000-00003F030000}"/>
    <cellStyle name="Обычный 35 4" xfId="776" xr:uid="{00000000-0005-0000-0000-000040030000}"/>
    <cellStyle name="Обычный 35 5" xfId="777" xr:uid="{00000000-0005-0000-0000-000041030000}"/>
    <cellStyle name="Обычный 35 6" xfId="778" xr:uid="{00000000-0005-0000-0000-000042030000}"/>
    <cellStyle name="Обычный 35 7" xfId="779" xr:uid="{00000000-0005-0000-0000-000043030000}"/>
    <cellStyle name="Обычный 35 8" xfId="780" xr:uid="{00000000-0005-0000-0000-000044030000}"/>
    <cellStyle name="Обычный 35 9" xfId="781" xr:uid="{00000000-0005-0000-0000-000045030000}"/>
    <cellStyle name="Обычный 36" xfId="782" xr:uid="{00000000-0005-0000-0000-000046030000}"/>
    <cellStyle name="Обычный 36 2" xfId="783" xr:uid="{00000000-0005-0000-0000-000047030000}"/>
    <cellStyle name="Обычный 37" xfId="784" xr:uid="{00000000-0005-0000-0000-000048030000}"/>
    <cellStyle name="Обычный 37 2" xfId="785" xr:uid="{00000000-0005-0000-0000-000049030000}"/>
    <cellStyle name="Обычный 38" xfId="786" xr:uid="{00000000-0005-0000-0000-00004A030000}"/>
    <cellStyle name="Обычный 38 2" xfId="787" xr:uid="{00000000-0005-0000-0000-00004B030000}"/>
    <cellStyle name="Обычный 39" xfId="788" xr:uid="{00000000-0005-0000-0000-00004C030000}"/>
    <cellStyle name="Обычный 39 2" xfId="789" xr:uid="{00000000-0005-0000-0000-00004D030000}"/>
    <cellStyle name="Обычный 4" xfId="6" xr:uid="{00000000-0005-0000-0000-00004E030000}"/>
    <cellStyle name="Обычный 4 2" xfId="4" xr:uid="{00000000-0005-0000-0000-00004F030000}"/>
    <cellStyle name="Обычный 4 2 2" xfId="790" xr:uid="{00000000-0005-0000-0000-000050030000}"/>
    <cellStyle name="Обычный 4 2 3" xfId="791" xr:uid="{00000000-0005-0000-0000-000051030000}"/>
    <cellStyle name="Обычный 4 3" xfId="792" xr:uid="{00000000-0005-0000-0000-000052030000}"/>
    <cellStyle name="Обычный 4 3 2" xfId="793" xr:uid="{00000000-0005-0000-0000-000053030000}"/>
    <cellStyle name="Обычный 4 4" xfId="794" xr:uid="{00000000-0005-0000-0000-000054030000}"/>
    <cellStyle name="Обычный 4 4 2" xfId="795" xr:uid="{00000000-0005-0000-0000-000055030000}"/>
    <cellStyle name="Обычный 4 5" xfId="796" xr:uid="{00000000-0005-0000-0000-000056030000}"/>
    <cellStyle name="Обычный 40" xfId="797" xr:uid="{00000000-0005-0000-0000-000057030000}"/>
    <cellStyle name="Обычный 40 10" xfId="798" xr:uid="{00000000-0005-0000-0000-000058030000}"/>
    <cellStyle name="Обычный 40 11" xfId="799" xr:uid="{00000000-0005-0000-0000-000059030000}"/>
    <cellStyle name="Обычный 40 12" xfId="800" xr:uid="{00000000-0005-0000-0000-00005A030000}"/>
    <cellStyle name="Обычный 40 13" xfId="801" xr:uid="{00000000-0005-0000-0000-00005B030000}"/>
    <cellStyle name="Обычный 40 14" xfId="802" xr:uid="{00000000-0005-0000-0000-00005C030000}"/>
    <cellStyle name="Обычный 40 15" xfId="803" xr:uid="{00000000-0005-0000-0000-00005D030000}"/>
    <cellStyle name="Обычный 40 16" xfId="804" xr:uid="{00000000-0005-0000-0000-00005E030000}"/>
    <cellStyle name="Обычный 40 17" xfId="805" xr:uid="{00000000-0005-0000-0000-00005F030000}"/>
    <cellStyle name="Обычный 40 18" xfId="806" xr:uid="{00000000-0005-0000-0000-000060030000}"/>
    <cellStyle name="Обычный 40 19" xfId="807" xr:uid="{00000000-0005-0000-0000-000061030000}"/>
    <cellStyle name="Обычный 40 2" xfId="808" xr:uid="{00000000-0005-0000-0000-000062030000}"/>
    <cellStyle name="Обычный 40 2 2" xfId="809" xr:uid="{00000000-0005-0000-0000-000063030000}"/>
    <cellStyle name="Обычный 40 20" xfId="810" xr:uid="{00000000-0005-0000-0000-000064030000}"/>
    <cellStyle name="Обычный 40 21" xfId="811" xr:uid="{00000000-0005-0000-0000-000065030000}"/>
    <cellStyle name="Обычный 40 22" xfId="812" xr:uid="{00000000-0005-0000-0000-000066030000}"/>
    <cellStyle name="Обычный 40 23" xfId="813" xr:uid="{00000000-0005-0000-0000-000067030000}"/>
    <cellStyle name="Обычный 40 24" xfId="814" xr:uid="{00000000-0005-0000-0000-000068030000}"/>
    <cellStyle name="Обычный 40 25" xfId="815" xr:uid="{00000000-0005-0000-0000-000069030000}"/>
    <cellStyle name="Обычный 40 26" xfId="816" xr:uid="{00000000-0005-0000-0000-00006A030000}"/>
    <cellStyle name="Обычный 40 27" xfId="817" xr:uid="{00000000-0005-0000-0000-00006B030000}"/>
    <cellStyle name="Обычный 40 28" xfId="818" xr:uid="{00000000-0005-0000-0000-00006C030000}"/>
    <cellStyle name="Обычный 40 29" xfId="819" xr:uid="{00000000-0005-0000-0000-00006D030000}"/>
    <cellStyle name="Обычный 40 3" xfId="820" xr:uid="{00000000-0005-0000-0000-00006E030000}"/>
    <cellStyle name="Обычный 40 30" xfId="821" xr:uid="{00000000-0005-0000-0000-00006F030000}"/>
    <cellStyle name="Обычный 40 31" xfId="822" xr:uid="{00000000-0005-0000-0000-000070030000}"/>
    <cellStyle name="Обычный 40 32" xfId="823" xr:uid="{00000000-0005-0000-0000-000071030000}"/>
    <cellStyle name="Обычный 40 4" xfId="824" xr:uid="{00000000-0005-0000-0000-000072030000}"/>
    <cellStyle name="Обычный 40 5" xfId="825" xr:uid="{00000000-0005-0000-0000-000073030000}"/>
    <cellStyle name="Обычный 40 6" xfId="826" xr:uid="{00000000-0005-0000-0000-000074030000}"/>
    <cellStyle name="Обычный 40 7" xfId="827" xr:uid="{00000000-0005-0000-0000-000075030000}"/>
    <cellStyle name="Обычный 40 8" xfId="828" xr:uid="{00000000-0005-0000-0000-000076030000}"/>
    <cellStyle name="Обычный 40 9" xfId="829" xr:uid="{00000000-0005-0000-0000-000077030000}"/>
    <cellStyle name="Обычный 41" xfId="830" xr:uid="{00000000-0005-0000-0000-000078030000}"/>
    <cellStyle name="Обычный 41 10" xfId="831" xr:uid="{00000000-0005-0000-0000-000079030000}"/>
    <cellStyle name="Обычный 41 11" xfId="832" xr:uid="{00000000-0005-0000-0000-00007A030000}"/>
    <cellStyle name="Обычный 41 12" xfId="833" xr:uid="{00000000-0005-0000-0000-00007B030000}"/>
    <cellStyle name="Обычный 41 13" xfId="834" xr:uid="{00000000-0005-0000-0000-00007C030000}"/>
    <cellStyle name="Обычный 41 14" xfId="835" xr:uid="{00000000-0005-0000-0000-00007D030000}"/>
    <cellStyle name="Обычный 41 15" xfId="836" xr:uid="{00000000-0005-0000-0000-00007E030000}"/>
    <cellStyle name="Обычный 41 16" xfId="837" xr:uid="{00000000-0005-0000-0000-00007F030000}"/>
    <cellStyle name="Обычный 41 17" xfId="838" xr:uid="{00000000-0005-0000-0000-000080030000}"/>
    <cellStyle name="Обычный 41 18" xfId="839" xr:uid="{00000000-0005-0000-0000-000081030000}"/>
    <cellStyle name="Обычный 41 19" xfId="840" xr:uid="{00000000-0005-0000-0000-000082030000}"/>
    <cellStyle name="Обычный 41 2" xfId="841" xr:uid="{00000000-0005-0000-0000-000083030000}"/>
    <cellStyle name="Обычный 41 2 2" xfId="842" xr:uid="{00000000-0005-0000-0000-000084030000}"/>
    <cellStyle name="Обычный 41 20" xfId="843" xr:uid="{00000000-0005-0000-0000-000085030000}"/>
    <cellStyle name="Обычный 41 21" xfId="844" xr:uid="{00000000-0005-0000-0000-000086030000}"/>
    <cellStyle name="Обычный 41 22" xfId="845" xr:uid="{00000000-0005-0000-0000-000087030000}"/>
    <cellStyle name="Обычный 41 23" xfId="846" xr:uid="{00000000-0005-0000-0000-000088030000}"/>
    <cellStyle name="Обычный 41 24" xfId="847" xr:uid="{00000000-0005-0000-0000-000089030000}"/>
    <cellStyle name="Обычный 41 25" xfId="848" xr:uid="{00000000-0005-0000-0000-00008A030000}"/>
    <cellStyle name="Обычный 41 26" xfId="849" xr:uid="{00000000-0005-0000-0000-00008B030000}"/>
    <cellStyle name="Обычный 41 27" xfId="850" xr:uid="{00000000-0005-0000-0000-00008C030000}"/>
    <cellStyle name="Обычный 41 28" xfId="851" xr:uid="{00000000-0005-0000-0000-00008D030000}"/>
    <cellStyle name="Обычный 41 29" xfId="852" xr:uid="{00000000-0005-0000-0000-00008E030000}"/>
    <cellStyle name="Обычный 41 3" xfId="853" xr:uid="{00000000-0005-0000-0000-00008F030000}"/>
    <cellStyle name="Обычный 41 30" xfId="854" xr:uid="{00000000-0005-0000-0000-000090030000}"/>
    <cellStyle name="Обычный 41 31" xfId="855" xr:uid="{00000000-0005-0000-0000-000091030000}"/>
    <cellStyle name="Обычный 41 32" xfId="856" xr:uid="{00000000-0005-0000-0000-000092030000}"/>
    <cellStyle name="Обычный 41 4" xfId="857" xr:uid="{00000000-0005-0000-0000-000093030000}"/>
    <cellStyle name="Обычный 41 5" xfId="858" xr:uid="{00000000-0005-0000-0000-000094030000}"/>
    <cellStyle name="Обычный 41 6" xfId="859" xr:uid="{00000000-0005-0000-0000-000095030000}"/>
    <cellStyle name="Обычный 41 7" xfId="860" xr:uid="{00000000-0005-0000-0000-000096030000}"/>
    <cellStyle name="Обычный 41 8" xfId="861" xr:uid="{00000000-0005-0000-0000-000097030000}"/>
    <cellStyle name="Обычный 41 9" xfId="862" xr:uid="{00000000-0005-0000-0000-000098030000}"/>
    <cellStyle name="Обычный 42" xfId="863" xr:uid="{00000000-0005-0000-0000-000099030000}"/>
    <cellStyle name="Обычный 43" xfId="864" xr:uid="{00000000-0005-0000-0000-00009A030000}"/>
    <cellStyle name="Обычный 44" xfId="865" xr:uid="{00000000-0005-0000-0000-00009B030000}"/>
    <cellStyle name="Обычный 45" xfId="866" xr:uid="{00000000-0005-0000-0000-00009C030000}"/>
    <cellStyle name="Обычный 46" xfId="867" xr:uid="{00000000-0005-0000-0000-00009D030000}"/>
    <cellStyle name="Обычный 47" xfId="868" xr:uid="{00000000-0005-0000-0000-00009E030000}"/>
    <cellStyle name="Обычный 47 2" xfId="869" xr:uid="{00000000-0005-0000-0000-00009F030000}"/>
    <cellStyle name="Обычный 47 3" xfId="870" xr:uid="{00000000-0005-0000-0000-0000A0030000}"/>
    <cellStyle name="Обычный 47 4" xfId="871" xr:uid="{00000000-0005-0000-0000-0000A1030000}"/>
    <cellStyle name="Обычный 47 5" xfId="872" xr:uid="{00000000-0005-0000-0000-0000A2030000}"/>
    <cellStyle name="Обычный 47 6" xfId="873" xr:uid="{00000000-0005-0000-0000-0000A3030000}"/>
    <cellStyle name="Обычный 47 7" xfId="874" xr:uid="{00000000-0005-0000-0000-0000A4030000}"/>
    <cellStyle name="Обычный 48" xfId="875" xr:uid="{00000000-0005-0000-0000-0000A5030000}"/>
    <cellStyle name="Обычный 48 2" xfId="876" xr:uid="{00000000-0005-0000-0000-0000A6030000}"/>
    <cellStyle name="Обычный 48 3" xfId="877" xr:uid="{00000000-0005-0000-0000-0000A7030000}"/>
    <cellStyle name="Обычный 49" xfId="878" xr:uid="{00000000-0005-0000-0000-0000A8030000}"/>
    <cellStyle name="Обычный 5" xfId="879" xr:uid="{00000000-0005-0000-0000-0000A9030000}"/>
    <cellStyle name="Обычный 5 2" xfId="880" xr:uid="{00000000-0005-0000-0000-0000AA030000}"/>
    <cellStyle name="Обычный 5 2 2" xfId="881" xr:uid="{00000000-0005-0000-0000-0000AB030000}"/>
    <cellStyle name="Обычный 5 2 2 2" xfId="882" xr:uid="{00000000-0005-0000-0000-0000AC030000}"/>
    <cellStyle name="Обычный 5 2 3" xfId="883" xr:uid="{00000000-0005-0000-0000-0000AD030000}"/>
    <cellStyle name="Обычный 5 3" xfId="884" xr:uid="{00000000-0005-0000-0000-0000AE030000}"/>
    <cellStyle name="Обычный 5 3 2" xfId="885" xr:uid="{00000000-0005-0000-0000-0000AF030000}"/>
    <cellStyle name="Обычный 5 3 2 2" xfId="886" xr:uid="{00000000-0005-0000-0000-0000B0030000}"/>
    <cellStyle name="Обычный 5 3 3" xfId="887" xr:uid="{00000000-0005-0000-0000-0000B1030000}"/>
    <cellStyle name="Обычный 5 3 4" xfId="888" xr:uid="{00000000-0005-0000-0000-0000B2030000}"/>
    <cellStyle name="Обычный 5 4" xfId="889" xr:uid="{00000000-0005-0000-0000-0000B3030000}"/>
    <cellStyle name="Обычный 5 4 2" xfId="890" xr:uid="{00000000-0005-0000-0000-0000B4030000}"/>
    <cellStyle name="Обычный 5 5" xfId="891" xr:uid="{00000000-0005-0000-0000-0000B5030000}"/>
    <cellStyle name="Обычный 5 5 2" xfId="892" xr:uid="{00000000-0005-0000-0000-0000B6030000}"/>
    <cellStyle name="Обычный 5 6" xfId="893" xr:uid="{00000000-0005-0000-0000-0000B7030000}"/>
    <cellStyle name="Обычный 5 6 2" xfId="894" xr:uid="{00000000-0005-0000-0000-0000B8030000}"/>
    <cellStyle name="Обычный 5 7" xfId="895" xr:uid="{00000000-0005-0000-0000-0000B9030000}"/>
    <cellStyle name="Обычный 5 7 2" xfId="896" xr:uid="{00000000-0005-0000-0000-0000BA030000}"/>
    <cellStyle name="Обычный 5 8" xfId="897" xr:uid="{00000000-0005-0000-0000-0000BB030000}"/>
    <cellStyle name="Обычный 5 8 2" xfId="898" xr:uid="{00000000-0005-0000-0000-0000BC030000}"/>
    <cellStyle name="Обычный 50" xfId="899" xr:uid="{00000000-0005-0000-0000-0000BD030000}"/>
    <cellStyle name="Обычный 51" xfId="900" xr:uid="{00000000-0005-0000-0000-0000BE030000}"/>
    <cellStyle name="Обычный 52" xfId="901" xr:uid="{00000000-0005-0000-0000-0000BF030000}"/>
    <cellStyle name="Обычный 53" xfId="902" xr:uid="{00000000-0005-0000-0000-0000C0030000}"/>
    <cellStyle name="Обычный 54" xfId="903" xr:uid="{00000000-0005-0000-0000-0000C1030000}"/>
    <cellStyle name="Обычный 55" xfId="904" xr:uid="{00000000-0005-0000-0000-0000C2030000}"/>
    <cellStyle name="Обычный 56" xfId="905" xr:uid="{00000000-0005-0000-0000-0000C3030000}"/>
    <cellStyle name="Обычный 57" xfId="906" xr:uid="{00000000-0005-0000-0000-0000C4030000}"/>
    <cellStyle name="Обычный 58" xfId="907" xr:uid="{00000000-0005-0000-0000-0000C5030000}"/>
    <cellStyle name="Обычный 59" xfId="908" xr:uid="{00000000-0005-0000-0000-0000C6030000}"/>
    <cellStyle name="Обычный 6" xfId="909" xr:uid="{00000000-0005-0000-0000-0000C7030000}"/>
    <cellStyle name="Обычный 6 2" xfId="910" xr:uid="{00000000-0005-0000-0000-0000C8030000}"/>
    <cellStyle name="Обычный 6 2 2" xfId="911" xr:uid="{00000000-0005-0000-0000-0000C9030000}"/>
    <cellStyle name="Обычный 6 2 3" xfId="912" xr:uid="{00000000-0005-0000-0000-0000CA030000}"/>
    <cellStyle name="Обычный 6 3" xfId="913" xr:uid="{00000000-0005-0000-0000-0000CB030000}"/>
    <cellStyle name="Обычный 6 3 2" xfId="914" xr:uid="{00000000-0005-0000-0000-0000CC030000}"/>
    <cellStyle name="Обычный 6 4" xfId="915" xr:uid="{00000000-0005-0000-0000-0000CD030000}"/>
    <cellStyle name="Обычный 6 5" xfId="916" xr:uid="{00000000-0005-0000-0000-0000CE030000}"/>
    <cellStyle name="Обычный 6 6" xfId="917" xr:uid="{00000000-0005-0000-0000-0000CF030000}"/>
    <cellStyle name="Обычный 60" xfId="918" xr:uid="{00000000-0005-0000-0000-0000D0030000}"/>
    <cellStyle name="Обычный 61" xfId="919" xr:uid="{00000000-0005-0000-0000-0000D1030000}"/>
    <cellStyle name="Обычный 62" xfId="920" xr:uid="{00000000-0005-0000-0000-0000D2030000}"/>
    <cellStyle name="Обычный 63" xfId="921" xr:uid="{00000000-0005-0000-0000-0000D3030000}"/>
    <cellStyle name="Обычный 64" xfId="922" xr:uid="{00000000-0005-0000-0000-0000D4030000}"/>
    <cellStyle name="Обычный 65" xfId="923" xr:uid="{00000000-0005-0000-0000-0000D5030000}"/>
    <cellStyle name="Обычный 65 2" xfId="924" xr:uid="{00000000-0005-0000-0000-0000D6030000}"/>
    <cellStyle name="Обычный 66" xfId="925" xr:uid="{00000000-0005-0000-0000-0000D7030000}"/>
    <cellStyle name="Обычный 66 2" xfId="926" xr:uid="{00000000-0005-0000-0000-0000D8030000}"/>
    <cellStyle name="Обычный 66 3" xfId="927" xr:uid="{00000000-0005-0000-0000-0000D9030000}"/>
    <cellStyle name="Обычный 67" xfId="928" xr:uid="{00000000-0005-0000-0000-0000DA030000}"/>
    <cellStyle name="Обычный 68" xfId="929" xr:uid="{00000000-0005-0000-0000-0000DB030000}"/>
    <cellStyle name="Обычный 69" xfId="930" xr:uid="{00000000-0005-0000-0000-0000DC030000}"/>
    <cellStyle name="Обычный 7" xfId="931" xr:uid="{00000000-0005-0000-0000-0000DD030000}"/>
    <cellStyle name="Обычный 7 2" xfId="932" xr:uid="{00000000-0005-0000-0000-0000DE030000}"/>
    <cellStyle name="Обычный 7 2 2" xfId="933" xr:uid="{00000000-0005-0000-0000-0000DF030000}"/>
    <cellStyle name="Обычный 7 2 3" xfId="934" xr:uid="{00000000-0005-0000-0000-0000E0030000}"/>
    <cellStyle name="Обычный 7 3" xfId="935" xr:uid="{00000000-0005-0000-0000-0000E1030000}"/>
    <cellStyle name="Обычный 7 3 2" xfId="936" xr:uid="{00000000-0005-0000-0000-0000E2030000}"/>
    <cellStyle name="Обычный 7 4" xfId="937" xr:uid="{00000000-0005-0000-0000-0000E3030000}"/>
    <cellStyle name="Обычный 7 4 2" xfId="938" xr:uid="{00000000-0005-0000-0000-0000E4030000}"/>
    <cellStyle name="Обычный 7 5" xfId="939" xr:uid="{00000000-0005-0000-0000-0000E5030000}"/>
    <cellStyle name="Обычный 70" xfId="940" xr:uid="{00000000-0005-0000-0000-0000E6030000}"/>
    <cellStyle name="Обычный 71" xfId="941" xr:uid="{00000000-0005-0000-0000-0000E7030000}"/>
    <cellStyle name="Обычный 72" xfId="942" xr:uid="{00000000-0005-0000-0000-0000E8030000}"/>
    <cellStyle name="Обычный 73" xfId="943" xr:uid="{00000000-0005-0000-0000-0000E9030000}"/>
    <cellStyle name="Обычный 73 2" xfId="944" xr:uid="{00000000-0005-0000-0000-0000EA030000}"/>
    <cellStyle name="Обычный 73 3" xfId="945" xr:uid="{00000000-0005-0000-0000-0000EB030000}"/>
    <cellStyle name="Обычный 73 4" xfId="946" xr:uid="{00000000-0005-0000-0000-0000EC030000}"/>
    <cellStyle name="Обычный 74" xfId="947" xr:uid="{00000000-0005-0000-0000-0000ED030000}"/>
    <cellStyle name="Обычный 75" xfId="948" xr:uid="{00000000-0005-0000-0000-0000EE030000}"/>
    <cellStyle name="Обычный 75 2" xfId="949" xr:uid="{00000000-0005-0000-0000-0000EF030000}"/>
    <cellStyle name="Обычный 76" xfId="950" xr:uid="{00000000-0005-0000-0000-0000F0030000}"/>
    <cellStyle name="Обычный 77" xfId="951" xr:uid="{00000000-0005-0000-0000-0000F1030000}"/>
    <cellStyle name="Обычный 78" xfId="952" xr:uid="{00000000-0005-0000-0000-0000F2030000}"/>
    <cellStyle name="Обычный 78 2" xfId="953" xr:uid="{00000000-0005-0000-0000-0000F3030000}"/>
    <cellStyle name="Обычный 78 3" xfId="954" xr:uid="{00000000-0005-0000-0000-0000F4030000}"/>
    <cellStyle name="Обычный 79" xfId="955" xr:uid="{00000000-0005-0000-0000-0000F5030000}"/>
    <cellStyle name="Обычный 8" xfId="956" xr:uid="{00000000-0005-0000-0000-0000F6030000}"/>
    <cellStyle name="Обычный 8 2" xfId="957" xr:uid="{00000000-0005-0000-0000-0000F7030000}"/>
    <cellStyle name="Обычный 8 2 2" xfId="958" xr:uid="{00000000-0005-0000-0000-0000F8030000}"/>
    <cellStyle name="Обычный 8 2 3" xfId="959" xr:uid="{00000000-0005-0000-0000-0000F9030000}"/>
    <cellStyle name="Обычный 8 3" xfId="960" xr:uid="{00000000-0005-0000-0000-0000FA030000}"/>
    <cellStyle name="Обычный 8 3 2" xfId="961" xr:uid="{00000000-0005-0000-0000-0000FB030000}"/>
    <cellStyle name="Обычный 8 4" xfId="962" xr:uid="{00000000-0005-0000-0000-0000FC030000}"/>
    <cellStyle name="Обычный 8 5" xfId="963" xr:uid="{00000000-0005-0000-0000-0000FD030000}"/>
    <cellStyle name="Обычный 8 6" xfId="964" xr:uid="{00000000-0005-0000-0000-0000FE030000}"/>
    <cellStyle name="Обычный 80" xfId="965" xr:uid="{00000000-0005-0000-0000-0000FF030000}"/>
    <cellStyle name="Обычный 81" xfId="966" xr:uid="{00000000-0005-0000-0000-000000040000}"/>
    <cellStyle name="Обычный 82" xfId="967" xr:uid="{00000000-0005-0000-0000-000001040000}"/>
    <cellStyle name="Обычный 83" xfId="968" xr:uid="{00000000-0005-0000-0000-000002040000}"/>
    <cellStyle name="Обычный 84" xfId="969" xr:uid="{00000000-0005-0000-0000-000003040000}"/>
    <cellStyle name="Обычный 85" xfId="970" xr:uid="{00000000-0005-0000-0000-000004040000}"/>
    <cellStyle name="Обычный 86" xfId="971" xr:uid="{00000000-0005-0000-0000-000005040000}"/>
    <cellStyle name="Обычный 87" xfId="972" xr:uid="{00000000-0005-0000-0000-000006040000}"/>
    <cellStyle name="Обычный 87 2" xfId="973" xr:uid="{00000000-0005-0000-0000-000007040000}"/>
    <cellStyle name="Обычный 87 3" xfId="974" xr:uid="{00000000-0005-0000-0000-000008040000}"/>
    <cellStyle name="Обычный 88" xfId="975" xr:uid="{00000000-0005-0000-0000-000009040000}"/>
    <cellStyle name="Обычный 88 2" xfId="976" xr:uid="{00000000-0005-0000-0000-00000A040000}"/>
    <cellStyle name="Обычный 88 3" xfId="977" xr:uid="{00000000-0005-0000-0000-00000B040000}"/>
    <cellStyle name="Обычный 89" xfId="978" xr:uid="{00000000-0005-0000-0000-00000C040000}"/>
    <cellStyle name="Обычный 9" xfId="979" xr:uid="{00000000-0005-0000-0000-00000D040000}"/>
    <cellStyle name="Обычный 9 2" xfId="980" xr:uid="{00000000-0005-0000-0000-00000E040000}"/>
    <cellStyle name="Обычный 9 2 2" xfId="981" xr:uid="{00000000-0005-0000-0000-00000F040000}"/>
    <cellStyle name="Обычный 9 2 3" xfId="982" xr:uid="{00000000-0005-0000-0000-000010040000}"/>
    <cellStyle name="Обычный 9 3" xfId="983" xr:uid="{00000000-0005-0000-0000-000011040000}"/>
    <cellStyle name="Обычный 9 3 2" xfId="984" xr:uid="{00000000-0005-0000-0000-000012040000}"/>
    <cellStyle name="Обычный 9 4" xfId="985" xr:uid="{00000000-0005-0000-0000-000013040000}"/>
    <cellStyle name="Обычный 90" xfId="986" xr:uid="{00000000-0005-0000-0000-000014040000}"/>
    <cellStyle name="Обычный 90 2" xfId="987" xr:uid="{00000000-0005-0000-0000-000015040000}"/>
    <cellStyle name="Обычный 91" xfId="988" xr:uid="{00000000-0005-0000-0000-000016040000}"/>
    <cellStyle name="Обычный 92" xfId="989" xr:uid="{00000000-0005-0000-0000-000017040000}"/>
    <cellStyle name="Обычный 92 2" xfId="990" xr:uid="{00000000-0005-0000-0000-000018040000}"/>
    <cellStyle name="Обычный 93" xfId="991" xr:uid="{00000000-0005-0000-0000-000019040000}"/>
    <cellStyle name="Обычный 93 2" xfId="992" xr:uid="{00000000-0005-0000-0000-00001A040000}"/>
    <cellStyle name="Обычный 93 3" xfId="993" xr:uid="{00000000-0005-0000-0000-00001B040000}"/>
    <cellStyle name="Обычный 94" xfId="994" xr:uid="{00000000-0005-0000-0000-00001C040000}"/>
    <cellStyle name="Обычный 94 2" xfId="995" xr:uid="{00000000-0005-0000-0000-00001D040000}"/>
    <cellStyle name="Обычный 94 3" xfId="996" xr:uid="{00000000-0005-0000-0000-00001E040000}"/>
    <cellStyle name="Обычный 95" xfId="997" xr:uid="{00000000-0005-0000-0000-00001F040000}"/>
    <cellStyle name="Обычный 95 2" xfId="998" xr:uid="{00000000-0005-0000-0000-000020040000}"/>
    <cellStyle name="Обычный 96" xfId="999" xr:uid="{00000000-0005-0000-0000-000021040000}"/>
    <cellStyle name="Обычный 97" xfId="1000" xr:uid="{00000000-0005-0000-0000-000022040000}"/>
    <cellStyle name="Обычный 97 2" xfId="1001" xr:uid="{00000000-0005-0000-0000-000023040000}"/>
    <cellStyle name="Обычный 98" xfId="1002" xr:uid="{00000000-0005-0000-0000-000024040000}"/>
    <cellStyle name="Обычный 99" xfId="1003" xr:uid="{00000000-0005-0000-0000-000025040000}"/>
    <cellStyle name="Обычный 99 2" xfId="1004" xr:uid="{00000000-0005-0000-0000-000026040000}"/>
    <cellStyle name="Обычный 99 2 2" xfId="1005" xr:uid="{00000000-0005-0000-0000-000027040000}"/>
    <cellStyle name="Обычный_Книга3" xfId="1288" xr:uid="{00000000-0005-0000-0000-000028040000}"/>
    <cellStyle name="Примечание 10" xfId="1006" xr:uid="{00000000-0005-0000-0000-000029040000}"/>
    <cellStyle name="Примечание 11" xfId="1007" xr:uid="{00000000-0005-0000-0000-00002A040000}"/>
    <cellStyle name="Примечание 12" xfId="1008" xr:uid="{00000000-0005-0000-0000-00002B040000}"/>
    <cellStyle name="Примечание 13" xfId="1009" xr:uid="{00000000-0005-0000-0000-00002C040000}"/>
    <cellStyle name="Примечание 14" xfId="1010" xr:uid="{00000000-0005-0000-0000-00002D040000}"/>
    <cellStyle name="Примечание 15" xfId="1011" xr:uid="{00000000-0005-0000-0000-00002E040000}"/>
    <cellStyle name="Примечание 16" xfId="1012" xr:uid="{00000000-0005-0000-0000-00002F040000}"/>
    <cellStyle name="Примечание 17" xfId="1013" xr:uid="{00000000-0005-0000-0000-000030040000}"/>
    <cellStyle name="Примечание 18" xfId="1014" xr:uid="{00000000-0005-0000-0000-000031040000}"/>
    <cellStyle name="Примечание 19" xfId="1015" xr:uid="{00000000-0005-0000-0000-000032040000}"/>
    <cellStyle name="Примечание 2" xfId="1016" xr:uid="{00000000-0005-0000-0000-000033040000}"/>
    <cellStyle name="Примечание 2 2" xfId="1017" xr:uid="{00000000-0005-0000-0000-000034040000}"/>
    <cellStyle name="Примечание 2 3" xfId="1018" xr:uid="{00000000-0005-0000-0000-000035040000}"/>
    <cellStyle name="Примечание 20" xfId="1019" xr:uid="{00000000-0005-0000-0000-000036040000}"/>
    <cellStyle name="Примечание 21" xfId="1020" xr:uid="{00000000-0005-0000-0000-000037040000}"/>
    <cellStyle name="Примечание 22" xfId="1021" xr:uid="{00000000-0005-0000-0000-000038040000}"/>
    <cellStyle name="Примечание 23" xfId="1022" xr:uid="{00000000-0005-0000-0000-000039040000}"/>
    <cellStyle name="Примечание 24" xfId="1023" xr:uid="{00000000-0005-0000-0000-00003A040000}"/>
    <cellStyle name="Примечание 25" xfId="1024" xr:uid="{00000000-0005-0000-0000-00003B040000}"/>
    <cellStyle name="Примечание 26" xfId="1025" xr:uid="{00000000-0005-0000-0000-00003C040000}"/>
    <cellStyle name="Примечание 27" xfId="1026" xr:uid="{00000000-0005-0000-0000-00003D040000}"/>
    <cellStyle name="Примечание 28" xfId="1027" xr:uid="{00000000-0005-0000-0000-00003E040000}"/>
    <cellStyle name="Примечание 29" xfId="1028" xr:uid="{00000000-0005-0000-0000-00003F040000}"/>
    <cellStyle name="Примечание 3" xfId="1029" xr:uid="{00000000-0005-0000-0000-000040040000}"/>
    <cellStyle name="Примечание 3 2" xfId="1030" xr:uid="{00000000-0005-0000-0000-000041040000}"/>
    <cellStyle name="Примечание 3 3" xfId="1031" xr:uid="{00000000-0005-0000-0000-000042040000}"/>
    <cellStyle name="Примечание 30" xfId="1032" xr:uid="{00000000-0005-0000-0000-000043040000}"/>
    <cellStyle name="Примечание 4" xfId="1033" xr:uid="{00000000-0005-0000-0000-000044040000}"/>
    <cellStyle name="Примечание 4 2" xfId="1034" xr:uid="{00000000-0005-0000-0000-000045040000}"/>
    <cellStyle name="Примечание 4 3" xfId="1035" xr:uid="{00000000-0005-0000-0000-000046040000}"/>
    <cellStyle name="Примечание 5" xfId="1036" xr:uid="{00000000-0005-0000-0000-000047040000}"/>
    <cellStyle name="Примечание 5 2" xfId="1037" xr:uid="{00000000-0005-0000-0000-000048040000}"/>
    <cellStyle name="Примечание 5 3" xfId="1038" xr:uid="{00000000-0005-0000-0000-000049040000}"/>
    <cellStyle name="Примечание 6" xfId="1039" xr:uid="{00000000-0005-0000-0000-00004A040000}"/>
    <cellStyle name="Примечание 6 2" xfId="1040" xr:uid="{00000000-0005-0000-0000-00004B040000}"/>
    <cellStyle name="Примечание 6 3" xfId="1041" xr:uid="{00000000-0005-0000-0000-00004C040000}"/>
    <cellStyle name="Примечание 7" xfId="1042" xr:uid="{00000000-0005-0000-0000-00004D040000}"/>
    <cellStyle name="Примечание 7 2" xfId="1043" xr:uid="{00000000-0005-0000-0000-00004E040000}"/>
    <cellStyle name="Примечание 7 3" xfId="1044" xr:uid="{00000000-0005-0000-0000-00004F040000}"/>
    <cellStyle name="Примечание 8" xfId="1045" xr:uid="{00000000-0005-0000-0000-000050040000}"/>
    <cellStyle name="Примечание 8 2" xfId="1046" xr:uid="{00000000-0005-0000-0000-000051040000}"/>
    <cellStyle name="Примечание 8 3" xfId="1047" xr:uid="{00000000-0005-0000-0000-000052040000}"/>
    <cellStyle name="Примечание 9" xfId="1048" xr:uid="{00000000-0005-0000-0000-000053040000}"/>
    <cellStyle name="Примечание 9 2" xfId="1049" xr:uid="{00000000-0005-0000-0000-000054040000}"/>
    <cellStyle name="Процентный" xfId="2" builtinId="5"/>
    <cellStyle name="Процентный 2" xfId="8" xr:uid="{00000000-0005-0000-0000-000056040000}"/>
    <cellStyle name="Процентный 2 2" xfId="1050" xr:uid="{00000000-0005-0000-0000-000057040000}"/>
    <cellStyle name="Процентный 2 2 2" xfId="10" xr:uid="{00000000-0005-0000-0000-000058040000}"/>
    <cellStyle name="Процентный 2 2 3" xfId="1051" xr:uid="{00000000-0005-0000-0000-000059040000}"/>
    <cellStyle name="Процентный 2 3" xfId="1052" xr:uid="{00000000-0005-0000-0000-00005A040000}"/>
    <cellStyle name="Процентный 2 4" xfId="1053" xr:uid="{00000000-0005-0000-0000-00005B040000}"/>
    <cellStyle name="Процентный 2 5" xfId="1054" xr:uid="{00000000-0005-0000-0000-00005C040000}"/>
    <cellStyle name="Процентный 2 6" xfId="1055" xr:uid="{00000000-0005-0000-0000-00005D040000}"/>
    <cellStyle name="Процентный 2 7" xfId="1056" xr:uid="{00000000-0005-0000-0000-00005E040000}"/>
    <cellStyle name="Процентный 3" xfId="1057" xr:uid="{00000000-0005-0000-0000-00005F040000}"/>
    <cellStyle name="Процентный 4" xfId="1058" xr:uid="{00000000-0005-0000-0000-000060040000}"/>
    <cellStyle name="Стиль 1" xfId="1059" xr:uid="{00000000-0005-0000-0000-000061040000}"/>
    <cellStyle name="Финансовый" xfId="3" builtinId="3"/>
    <cellStyle name="Финансовый [0] 2" xfId="1060" xr:uid="{00000000-0005-0000-0000-000063040000}"/>
    <cellStyle name="Финансовый [0] 2 2" xfId="1061" xr:uid="{00000000-0005-0000-0000-000064040000}"/>
    <cellStyle name="Финансовый [0] 67" xfId="1062" xr:uid="{00000000-0005-0000-0000-000065040000}"/>
    <cellStyle name="Финансовый 10" xfId="1063" xr:uid="{00000000-0005-0000-0000-000066040000}"/>
    <cellStyle name="Финансовый 10 2" xfId="1064" xr:uid="{00000000-0005-0000-0000-000067040000}"/>
    <cellStyle name="Финансовый 11" xfId="1065" xr:uid="{00000000-0005-0000-0000-000068040000}"/>
    <cellStyle name="Финансовый 11 2" xfId="1066" xr:uid="{00000000-0005-0000-0000-000069040000}"/>
    <cellStyle name="Финансовый 13" xfId="1067" xr:uid="{00000000-0005-0000-0000-00006A040000}"/>
    <cellStyle name="Финансовый 13 2" xfId="1068" xr:uid="{00000000-0005-0000-0000-00006B040000}"/>
    <cellStyle name="Финансовый 13 3" xfId="1069" xr:uid="{00000000-0005-0000-0000-00006C040000}"/>
    <cellStyle name="Финансовый 17" xfId="1070" xr:uid="{00000000-0005-0000-0000-00006D040000}"/>
    <cellStyle name="Финансовый 19" xfId="1071" xr:uid="{00000000-0005-0000-0000-00006E040000}"/>
    <cellStyle name="Финансовый 19 2" xfId="1072" xr:uid="{00000000-0005-0000-0000-00006F040000}"/>
    <cellStyle name="Финансовый 19 3" xfId="1073" xr:uid="{00000000-0005-0000-0000-000070040000}"/>
    <cellStyle name="Финансовый 2" xfId="7" xr:uid="{00000000-0005-0000-0000-000071040000}"/>
    <cellStyle name="Финансовый 2 10" xfId="1074" xr:uid="{00000000-0005-0000-0000-000072040000}"/>
    <cellStyle name="Финансовый 2 11" xfId="1075" xr:uid="{00000000-0005-0000-0000-000073040000}"/>
    <cellStyle name="Финансовый 2 12" xfId="1076" xr:uid="{00000000-0005-0000-0000-000074040000}"/>
    <cellStyle name="Финансовый 2 13" xfId="1077" xr:uid="{00000000-0005-0000-0000-000075040000}"/>
    <cellStyle name="Финансовый 2 14" xfId="1078" xr:uid="{00000000-0005-0000-0000-000076040000}"/>
    <cellStyle name="Финансовый 2 15" xfId="1079" xr:uid="{00000000-0005-0000-0000-000077040000}"/>
    <cellStyle name="Финансовый 2 16" xfId="1080" xr:uid="{00000000-0005-0000-0000-000078040000}"/>
    <cellStyle name="Финансовый 2 17" xfId="1081" xr:uid="{00000000-0005-0000-0000-000079040000}"/>
    <cellStyle name="Финансовый 2 18" xfId="1082" xr:uid="{00000000-0005-0000-0000-00007A040000}"/>
    <cellStyle name="Финансовый 2 19" xfId="1083" xr:uid="{00000000-0005-0000-0000-00007B040000}"/>
    <cellStyle name="Финансовый 2 2" xfId="1084" xr:uid="{00000000-0005-0000-0000-00007C040000}"/>
    <cellStyle name="Финансовый 2 2 2" xfId="1085" xr:uid="{00000000-0005-0000-0000-00007D040000}"/>
    <cellStyle name="Финансовый 2 2 2 2" xfId="1086" xr:uid="{00000000-0005-0000-0000-00007E040000}"/>
    <cellStyle name="Финансовый 2 2 2 3" xfId="1087" xr:uid="{00000000-0005-0000-0000-00007F040000}"/>
    <cellStyle name="Финансовый 2 2 3" xfId="1088" xr:uid="{00000000-0005-0000-0000-000080040000}"/>
    <cellStyle name="Финансовый 2 2 4" xfId="1089" xr:uid="{00000000-0005-0000-0000-000081040000}"/>
    <cellStyle name="Финансовый 2 20" xfId="1090" xr:uid="{00000000-0005-0000-0000-000082040000}"/>
    <cellStyle name="Финансовый 2 21" xfId="1091" xr:uid="{00000000-0005-0000-0000-000083040000}"/>
    <cellStyle name="Финансовый 2 22" xfId="1092" xr:uid="{00000000-0005-0000-0000-000084040000}"/>
    <cellStyle name="Финансовый 2 23" xfId="1093" xr:uid="{00000000-0005-0000-0000-000085040000}"/>
    <cellStyle name="Финансовый 2 24" xfId="1094" xr:uid="{00000000-0005-0000-0000-000086040000}"/>
    <cellStyle name="Финансовый 2 25" xfId="1095" xr:uid="{00000000-0005-0000-0000-000087040000}"/>
    <cellStyle name="Финансовый 2 26" xfId="1096" xr:uid="{00000000-0005-0000-0000-000088040000}"/>
    <cellStyle name="Финансовый 2 27" xfId="1097" xr:uid="{00000000-0005-0000-0000-000089040000}"/>
    <cellStyle name="Финансовый 2 28" xfId="1098" xr:uid="{00000000-0005-0000-0000-00008A040000}"/>
    <cellStyle name="Финансовый 2 29" xfId="1099" xr:uid="{00000000-0005-0000-0000-00008B040000}"/>
    <cellStyle name="Финансовый 2 3" xfId="1100" xr:uid="{00000000-0005-0000-0000-00008C040000}"/>
    <cellStyle name="Финансовый 2 3 2" xfId="1101" xr:uid="{00000000-0005-0000-0000-00008D040000}"/>
    <cellStyle name="Финансовый 2 3 3" xfId="1102" xr:uid="{00000000-0005-0000-0000-00008E040000}"/>
    <cellStyle name="Финансовый 2 3 4" xfId="1103" xr:uid="{00000000-0005-0000-0000-00008F040000}"/>
    <cellStyle name="Финансовый 2 30" xfId="1104" xr:uid="{00000000-0005-0000-0000-000090040000}"/>
    <cellStyle name="Финансовый 2 4" xfId="1105" xr:uid="{00000000-0005-0000-0000-000091040000}"/>
    <cellStyle name="Финансовый 2 4 2" xfId="1106" xr:uid="{00000000-0005-0000-0000-000092040000}"/>
    <cellStyle name="Финансовый 2 4 3" xfId="1107" xr:uid="{00000000-0005-0000-0000-000093040000}"/>
    <cellStyle name="Финансовый 2 4 4" xfId="1108" xr:uid="{00000000-0005-0000-0000-000094040000}"/>
    <cellStyle name="Финансовый 2 5" xfId="1109" xr:uid="{00000000-0005-0000-0000-000095040000}"/>
    <cellStyle name="Финансовый 2 5 2" xfId="1110" xr:uid="{00000000-0005-0000-0000-000096040000}"/>
    <cellStyle name="Финансовый 2 6" xfId="1111" xr:uid="{00000000-0005-0000-0000-000097040000}"/>
    <cellStyle name="Финансовый 2 6 2" xfId="1112" xr:uid="{00000000-0005-0000-0000-000098040000}"/>
    <cellStyle name="Финансовый 2 7" xfId="1113" xr:uid="{00000000-0005-0000-0000-000099040000}"/>
    <cellStyle name="Финансовый 2 8" xfId="1114" xr:uid="{00000000-0005-0000-0000-00009A040000}"/>
    <cellStyle name="Финансовый 2 9" xfId="1115" xr:uid="{00000000-0005-0000-0000-00009B040000}"/>
    <cellStyle name="Финансовый 20" xfId="1116" xr:uid="{00000000-0005-0000-0000-00009C040000}"/>
    <cellStyle name="Финансовый 21" xfId="1117" xr:uid="{00000000-0005-0000-0000-00009D040000}"/>
    <cellStyle name="Финансовый 23" xfId="1118" xr:uid="{00000000-0005-0000-0000-00009E040000}"/>
    <cellStyle name="Финансовый 24" xfId="1119" xr:uid="{00000000-0005-0000-0000-00009F040000}"/>
    <cellStyle name="Финансовый 25" xfId="1120" xr:uid="{00000000-0005-0000-0000-0000A0040000}"/>
    <cellStyle name="Финансовый 26" xfId="1121" xr:uid="{00000000-0005-0000-0000-0000A1040000}"/>
    <cellStyle name="Финансовый 27" xfId="1122" xr:uid="{00000000-0005-0000-0000-0000A2040000}"/>
    <cellStyle name="Финансовый 28" xfId="1123" xr:uid="{00000000-0005-0000-0000-0000A3040000}"/>
    <cellStyle name="Финансовый 3" xfId="1124" xr:uid="{00000000-0005-0000-0000-0000A4040000}"/>
    <cellStyle name="Финансовый 3 10" xfId="1125" xr:uid="{00000000-0005-0000-0000-0000A5040000}"/>
    <cellStyle name="Финансовый 3 11" xfId="1126" xr:uid="{00000000-0005-0000-0000-0000A6040000}"/>
    <cellStyle name="Финансовый 3 12" xfId="1127" xr:uid="{00000000-0005-0000-0000-0000A7040000}"/>
    <cellStyle name="Финансовый 3 13" xfId="1128" xr:uid="{00000000-0005-0000-0000-0000A8040000}"/>
    <cellStyle name="Финансовый 3 14" xfId="1129" xr:uid="{00000000-0005-0000-0000-0000A9040000}"/>
    <cellStyle name="Финансовый 3 15" xfId="1130" xr:uid="{00000000-0005-0000-0000-0000AA040000}"/>
    <cellStyle name="Финансовый 3 16" xfId="1131" xr:uid="{00000000-0005-0000-0000-0000AB040000}"/>
    <cellStyle name="Финансовый 3 17" xfId="1132" xr:uid="{00000000-0005-0000-0000-0000AC040000}"/>
    <cellStyle name="Финансовый 3 18" xfId="1133" xr:uid="{00000000-0005-0000-0000-0000AD040000}"/>
    <cellStyle name="Финансовый 3 19" xfId="1134" xr:uid="{00000000-0005-0000-0000-0000AE040000}"/>
    <cellStyle name="Финансовый 3 2" xfId="1135" xr:uid="{00000000-0005-0000-0000-0000AF040000}"/>
    <cellStyle name="Финансовый 3 2 2" xfId="1136" xr:uid="{00000000-0005-0000-0000-0000B0040000}"/>
    <cellStyle name="Финансовый 3 2 2 2" xfId="1137" xr:uid="{00000000-0005-0000-0000-0000B1040000}"/>
    <cellStyle name="Финансовый 3 2 2 3" xfId="1138" xr:uid="{00000000-0005-0000-0000-0000B2040000}"/>
    <cellStyle name="Финансовый 3 2 3" xfId="1139" xr:uid="{00000000-0005-0000-0000-0000B3040000}"/>
    <cellStyle name="Финансовый 3 2 3 2" xfId="1140" xr:uid="{00000000-0005-0000-0000-0000B4040000}"/>
    <cellStyle name="Финансовый 3 2 4" xfId="1141" xr:uid="{00000000-0005-0000-0000-0000B5040000}"/>
    <cellStyle name="Финансовый 3 2 5" xfId="1142" xr:uid="{00000000-0005-0000-0000-0000B6040000}"/>
    <cellStyle name="Финансовый 3 2 6" xfId="1143" xr:uid="{00000000-0005-0000-0000-0000B7040000}"/>
    <cellStyle name="Финансовый 3 20" xfId="1144" xr:uid="{00000000-0005-0000-0000-0000B8040000}"/>
    <cellStyle name="Финансовый 3 21" xfId="1145" xr:uid="{00000000-0005-0000-0000-0000B9040000}"/>
    <cellStyle name="Финансовый 3 22" xfId="1146" xr:uid="{00000000-0005-0000-0000-0000BA040000}"/>
    <cellStyle name="Финансовый 3 3" xfId="1147" xr:uid="{00000000-0005-0000-0000-0000BB040000}"/>
    <cellStyle name="Финансовый 3 3 2" xfId="1148" xr:uid="{00000000-0005-0000-0000-0000BC040000}"/>
    <cellStyle name="Финансовый 3 3 3" xfId="1149" xr:uid="{00000000-0005-0000-0000-0000BD040000}"/>
    <cellStyle name="Финансовый 3 4" xfId="1150" xr:uid="{00000000-0005-0000-0000-0000BE040000}"/>
    <cellStyle name="Финансовый 3 4 2" xfId="1151" xr:uid="{00000000-0005-0000-0000-0000BF040000}"/>
    <cellStyle name="Финансовый 3 4 3" xfId="1152" xr:uid="{00000000-0005-0000-0000-0000C0040000}"/>
    <cellStyle name="Финансовый 3 5" xfId="1153" xr:uid="{00000000-0005-0000-0000-0000C1040000}"/>
    <cellStyle name="Финансовый 3 5 2" xfId="1154" xr:uid="{00000000-0005-0000-0000-0000C2040000}"/>
    <cellStyle name="Финансовый 3 5 3" xfId="1155" xr:uid="{00000000-0005-0000-0000-0000C3040000}"/>
    <cellStyle name="Финансовый 3 5 4" xfId="1156" xr:uid="{00000000-0005-0000-0000-0000C4040000}"/>
    <cellStyle name="Финансовый 3 6" xfId="1157" xr:uid="{00000000-0005-0000-0000-0000C5040000}"/>
    <cellStyle name="Финансовый 3 6 2" xfId="1158" xr:uid="{00000000-0005-0000-0000-0000C6040000}"/>
    <cellStyle name="Финансовый 3 7" xfId="1159" xr:uid="{00000000-0005-0000-0000-0000C7040000}"/>
    <cellStyle name="Финансовый 3 7 2" xfId="1160" xr:uid="{00000000-0005-0000-0000-0000C8040000}"/>
    <cellStyle name="Финансовый 3 8" xfId="1161" xr:uid="{00000000-0005-0000-0000-0000C9040000}"/>
    <cellStyle name="Финансовый 3 9" xfId="1162" xr:uid="{00000000-0005-0000-0000-0000CA040000}"/>
    <cellStyle name="Финансовый 30" xfId="1163" xr:uid="{00000000-0005-0000-0000-0000CB040000}"/>
    <cellStyle name="Финансовый 31" xfId="1164" xr:uid="{00000000-0005-0000-0000-0000CC040000}"/>
    <cellStyle name="Финансовый 31 2" xfId="1165" xr:uid="{00000000-0005-0000-0000-0000CD040000}"/>
    <cellStyle name="Финансовый 32" xfId="1166" xr:uid="{00000000-0005-0000-0000-0000CE040000}"/>
    <cellStyle name="Финансовый 32 2" xfId="1167" xr:uid="{00000000-0005-0000-0000-0000CF040000}"/>
    <cellStyle name="Финансовый 33" xfId="1168" xr:uid="{00000000-0005-0000-0000-0000D0040000}"/>
    <cellStyle name="Финансовый 33 2" xfId="1169" xr:uid="{00000000-0005-0000-0000-0000D1040000}"/>
    <cellStyle name="Финансовый 34" xfId="1170" xr:uid="{00000000-0005-0000-0000-0000D2040000}"/>
    <cellStyle name="Финансовый 34 2" xfId="1171" xr:uid="{00000000-0005-0000-0000-0000D3040000}"/>
    <cellStyle name="Финансовый 35" xfId="1172" xr:uid="{00000000-0005-0000-0000-0000D4040000}"/>
    <cellStyle name="Финансовый 35 2" xfId="1173" xr:uid="{00000000-0005-0000-0000-0000D5040000}"/>
    <cellStyle name="Финансовый 36" xfId="1174" xr:uid="{00000000-0005-0000-0000-0000D6040000}"/>
    <cellStyle name="Финансовый 36 2" xfId="1175" xr:uid="{00000000-0005-0000-0000-0000D7040000}"/>
    <cellStyle name="Финансовый 37" xfId="1176" xr:uid="{00000000-0005-0000-0000-0000D8040000}"/>
    <cellStyle name="Финансовый 37 2" xfId="1177" xr:uid="{00000000-0005-0000-0000-0000D9040000}"/>
    <cellStyle name="Финансовый 38" xfId="1178" xr:uid="{00000000-0005-0000-0000-0000DA040000}"/>
    <cellStyle name="Финансовый 38 2" xfId="1179" xr:uid="{00000000-0005-0000-0000-0000DB040000}"/>
    <cellStyle name="Финансовый 39" xfId="1180" xr:uid="{00000000-0005-0000-0000-0000DC040000}"/>
    <cellStyle name="Финансовый 4" xfId="1181" xr:uid="{00000000-0005-0000-0000-0000DD040000}"/>
    <cellStyle name="Финансовый 4 2" xfId="1182" xr:uid="{00000000-0005-0000-0000-0000DE040000}"/>
    <cellStyle name="Финансовый 4 2 2" xfId="1183" xr:uid="{00000000-0005-0000-0000-0000DF040000}"/>
    <cellStyle name="Финансовый 4 2 2 2" xfId="1184" xr:uid="{00000000-0005-0000-0000-0000E0040000}"/>
    <cellStyle name="Финансовый 4 2 3" xfId="1185" xr:uid="{00000000-0005-0000-0000-0000E1040000}"/>
    <cellStyle name="Финансовый 4 3" xfId="1186" xr:uid="{00000000-0005-0000-0000-0000E2040000}"/>
    <cellStyle name="Финансовый 4 3 2" xfId="1187" xr:uid="{00000000-0005-0000-0000-0000E3040000}"/>
    <cellStyle name="Финансовый 4 4" xfId="1188" xr:uid="{00000000-0005-0000-0000-0000E4040000}"/>
    <cellStyle name="Финансовый 4 4 2" xfId="1189" xr:uid="{00000000-0005-0000-0000-0000E5040000}"/>
    <cellStyle name="Финансовый 4 5" xfId="1190" xr:uid="{00000000-0005-0000-0000-0000E6040000}"/>
    <cellStyle name="Финансовый 4 6" xfId="1191" xr:uid="{00000000-0005-0000-0000-0000E7040000}"/>
    <cellStyle name="Финансовый 4 7" xfId="1192" xr:uid="{00000000-0005-0000-0000-0000E8040000}"/>
    <cellStyle name="Финансовый 4 8" xfId="1193" xr:uid="{00000000-0005-0000-0000-0000E9040000}"/>
    <cellStyle name="Финансовый 4 9" xfId="1194" xr:uid="{00000000-0005-0000-0000-0000EA040000}"/>
    <cellStyle name="Финансовый 40" xfId="1195" xr:uid="{00000000-0005-0000-0000-0000EB040000}"/>
    <cellStyle name="Финансовый 41" xfId="1196" xr:uid="{00000000-0005-0000-0000-0000EC040000}"/>
    <cellStyle name="Финансовый 42" xfId="1197" xr:uid="{00000000-0005-0000-0000-0000ED040000}"/>
    <cellStyle name="Финансовый 42 2" xfId="1198" xr:uid="{00000000-0005-0000-0000-0000EE040000}"/>
    <cellStyle name="Финансовый 44" xfId="1199" xr:uid="{00000000-0005-0000-0000-0000EF040000}"/>
    <cellStyle name="Финансовый 46" xfId="1200" xr:uid="{00000000-0005-0000-0000-0000F0040000}"/>
    <cellStyle name="Финансовый 47" xfId="1201" xr:uid="{00000000-0005-0000-0000-0000F1040000}"/>
    <cellStyle name="Финансовый 5" xfId="1202" xr:uid="{00000000-0005-0000-0000-0000F2040000}"/>
    <cellStyle name="Финансовый 5 2" xfId="1203" xr:uid="{00000000-0005-0000-0000-0000F3040000}"/>
    <cellStyle name="Финансовый 5 2 2" xfId="1204" xr:uid="{00000000-0005-0000-0000-0000F4040000}"/>
    <cellStyle name="Финансовый 5 3" xfId="1205" xr:uid="{00000000-0005-0000-0000-0000F5040000}"/>
    <cellStyle name="Финансовый 5 3 2" xfId="1206" xr:uid="{00000000-0005-0000-0000-0000F6040000}"/>
    <cellStyle name="Финансовый 5 3 3" xfId="1207" xr:uid="{00000000-0005-0000-0000-0000F7040000}"/>
    <cellStyle name="Финансовый 5 4" xfId="1208" xr:uid="{00000000-0005-0000-0000-0000F8040000}"/>
    <cellStyle name="Финансовый 5 5" xfId="1209" xr:uid="{00000000-0005-0000-0000-0000F9040000}"/>
    <cellStyle name="Финансовый 6" xfId="1210" xr:uid="{00000000-0005-0000-0000-0000FA040000}"/>
    <cellStyle name="Финансовый 6 2" xfId="1211" xr:uid="{00000000-0005-0000-0000-0000FB040000}"/>
    <cellStyle name="Финансовый 6 2 2" xfId="1212" xr:uid="{00000000-0005-0000-0000-0000FC040000}"/>
    <cellStyle name="Финансовый 6 2 3" xfId="1213" xr:uid="{00000000-0005-0000-0000-0000FD040000}"/>
    <cellStyle name="Финансовый 6 3" xfId="1214" xr:uid="{00000000-0005-0000-0000-0000FE040000}"/>
    <cellStyle name="Финансовый 6 4" xfId="1215" xr:uid="{00000000-0005-0000-0000-0000FF040000}"/>
    <cellStyle name="Финансовый 7" xfId="1216" xr:uid="{00000000-0005-0000-0000-000000050000}"/>
    <cellStyle name="Финансовый 7 2" xfId="1217" xr:uid="{00000000-0005-0000-0000-000001050000}"/>
    <cellStyle name="Финансовый 7 2 2" xfId="1218" xr:uid="{00000000-0005-0000-0000-000002050000}"/>
    <cellStyle name="Финансовый 7 2 3" xfId="1219" xr:uid="{00000000-0005-0000-0000-000003050000}"/>
    <cellStyle name="Финансовый 7 3" xfId="1220" xr:uid="{00000000-0005-0000-0000-000004050000}"/>
    <cellStyle name="Финансовый 8" xfId="1221" xr:uid="{00000000-0005-0000-0000-000005050000}"/>
    <cellStyle name="Финансовый 8 2" xfId="1222" xr:uid="{00000000-0005-0000-0000-000006050000}"/>
    <cellStyle name="Финансовый 9" xfId="1223" xr:uid="{00000000-0005-0000-0000-000007050000}"/>
    <cellStyle name="Џђћ–…ќ’ќ›‰" xfId="1224" xr:uid="{00000000-0005-0000-0000-000008050000}"/>
  </cellStyles>
  <dxfs count="270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4">
          <cell r="C24">
            <v>10815884011</v>
          </cell>
        </row>
        <row r="45">
          <cell r="C45">
            <v>13483353628</v>
          </cell>
        </row>
        <row r="76">
          <cell r="C76">
            <v>38443086</v>
          </cell>
        </row>
        <row r="77">
          <cell r="C77">
            <v>2321096230</v>
          </cell>
        </row>
      </sheetData>
      <sheetData sheetId="1" refreshError="1"/>
      <sheetData sheetId="2">
        <row r="23">
          <cell r="C23">
            <v>1.6518340323364784</v>
          </cell>
          <cell r="D23">
            <v>1.7392091352426935</v>
          </cell>
          <cell r="E23">
            <v>1.5338095992348775</v>
          </cell>
        </row>
        <row r="28">
          <cell r="C28">
            <v>1.1713698894097626</v>
          </cell>
          <cell r="D28">
            <v>1.1994252538614842</v>
          </cell>
          <cell r="E28">
            <v>1.1134913496115204</v>
          </cell>
        </row>
        <row r="50">
          <cell r="C50">
            <v>296970345</v>
          </cell>
          <cell r="D50">
            <v>140098936</v>
          </cell>
          <cell r="E50">
            <v>156871409</v>
          </cell>
        </row>
        <row r="51">
          <cell r="C51">
            <v>580486619</v>
          </cell>
          <cell r="D51">
            <v>354325926</v>
          </cell>
          <cell r="E51">
            <v>226160693</v>
          </cell>
        </row>
        <row r="52">
          <cell r="C52">
            <v>255752492</v>
          </cell>
          <cell r="D52">
            <v>2708695</v>
          </cell>
          <cell r="E52">
            <v>253043797</v>
          </cell>
        </row>
        <row r="53">
          <cell r="C53">
            <v>0</v>
          </cell>
          <cell r="D53">
            <v>3082007</v>
          </cell>
          <cell r="E53">
            <v>0</v>
          </cell>
        </row>
        <row r="54">
          <cell r="C54">
            <v>516580000</v>
          </cell>
          <cell r="D54">
            <v>516580000</v>
          </cell>
          <cell r="E54">
            <v>0</v>
          </cell>
        </row>
        <row r="57">
          <cell r="C57">
            <v>1649789456</v>
          </cell>
          <cell r="D57">
            <v>1016795564</v>
          </cell>
          <cell r="E57">
            <v>636075899</v>
          </cell>
        </row>
      </sheetData>
      <sheetData sheetId="3" refreshError="1"/>
      <sheetData sheetId="4" refreshError="1"/>
      <sheetData sheetId="5">
        <row r="22">
          <cell r="C22">
            <v>690648511</v>
          </cell>
          <cell r="E22">
            <v>130201686</v>
          </cell>
          <cell r="G22">
            <v>55831571</v>
          </cell>
          <cell r="I22">
            <v>544359615</v>
          </cell>
          <cell r="K22">
            <v>237179453</v>
          </cell>
          <cell r="M22">
            <v>489619358</v>
          </cell>
          <cell r="O22">
            <v>82353152</v>
          </cell>
          <cell r="Q22">
            <v>923481793</v>
          </cell>
          <cell r="S22">
            <v>3153675139</v>
          </cell>
        </row>
        <row r="39">
          <cell r="C39">
            <v>909509711</v>
          </cell>
          <cell r="E39">
            <v>133344895</v>
          </cell>
          <cell r="G39">
            <v>324931056</v>
          </cell>
          <cell r="I39">
            <v>1988349255</v>
          </cell>
          <cell r="K39">
            <v>353221647</v>
          </cell>
          <cell r="M39">
            <v>1623307232</v>
          </cell>
        </row>
      </sheetData>
      <sheetData sheetId="6" refreshError="1"/>
      <sheetData sheetId="7" refreshError="1"/>
      <sheetData sheetId="8">
        <row r="6">
          <cell r="C6">
            <v>202927919</v>
          </cell>
          <cell r="D6">
            <v>7090631</v>
          </cell>
        </row>
        <row r="15">
          <cell r="C15">
            <v>572373950</v>
          </cell>
          <cell r="D15">
            <v>64671534</v>
          </cell>
        </row>
        <row r="22">
          <cell r="C22">
            <v>3153675139</v>
          </cell>
          <cell r="D22">
            <v>587313828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5">
          <cell r="B15">
            <v>107220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2223220725</v>
          </cell>
        </row>
        <row r="44">
          <cell r="C44">
            <v>2314405041</v>
          </cell>
        </row>
        <row r="45">
          <cell r="C45">
            <v>16819771604.053846</v>
          </cell>
        </row>
        <row r="49">
          <cell r="C49">
            <v>0.13217043592103245</v>
          </cell>
        </row>
        <row r="50">
          <cell r="C50">
            <v>0.13217900797559978</v>
          </cell>
        </row>
        <row r="51">
          <cell r="C51">
            <v>0.13760026565653186</v>
          </cell>
        </row>
        <row r="57">
          <cell r="C57">
            <v>0.18388277657702928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6">
          <cell r="C26">
            <v>151965860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F72"/>
  <sheetViews>
    <sheetView view="pageBreakPreview" zoomScale="55" zoomScaleNormal="60" zoomScaleSheetLayoutView="55" workbookViewId="0">
      <pane xSplit="2" ySplit="9" topLeftCell="C39" activePane="bottomRight" state="frozen"/>
      <selection pane="topRight" activeCell="C1" sqref="C1"/>
      <selection pane="bottomLeft" activeCell="A10" sqref="A10"/>
      <selection pane="bottomRight" activeCell="O60" sqref="O60"/>
    </sheetView>
  </sheetViews>
  <sheetFormatPr defaultRowHeight="15.75"/>
  <cols>
    <col min="1" max="1" width="8" style="33" customWidth="1"/>
    <col min="2" max="2" width="108.7109375" style="34" customWidth="1"/>
    <col min="3" max="3" width="19.42578125" style="155" customWidth="1"/>
    <col min="4" max="8" width="18.28515625" style="33" customWidth="1"/>
    <col min="9" max="9" width="19.42578125" style="33" customWidth="1"/>
    <col min="10" max="13" width="18" style="33" customWidth="1"/>
    <col min="14" max="14" width="19.42578125" style="33" customWidth="1"/>
    <col min="15" max="19" width="16" style="33" customWidth="1"/>
    <col min="20" max="20" width="9.140625" style="33"/>
    <col min="21" max="21" width="14.85546875" style="33" customWidth="1"/>
    <col min="22" max="16384" width="9.140625" style="33"/>
  </cols>
  <sheetData>
    <row r="1" spans="1:21" s="152" customFormat="1" ht="27.75" customHeight="1">
      <c r="A1" s="652" t="s">
        <v>641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3"/>
      <c r="O1" s="653"/>
      <c r="P1" s="653"/>
      <c r="Q1" s="653"/>
      <c r="R1" s="654" t="s">
        <v>381</v>
      </c>
      <c r="S1" s="654"/>
      <c r="U1" s="645" t="s">
        <v>860</v>
      </c>
    </row>
    <row r="2" spans="1:21" ht="8.25" customHeight="1"/>
    <row r="3" spans="1:21" s="276" customFormat="1" ht="26.25">
      <c r="B3" s="507" t="s">
        <v>903</v>
      </c>
      <c r="C3" s="277"/>
      <c r="M3" s="314"/>
      <c r="P3" s="670">
        <v>44560</v>
      </c>
      <c r="Q3" s="670"/>
      <c r="R3" s="275"/>
      <c r="S3" s="454" t="s">
        <v>382</v>
      </c>
    </row>
    <row r="4" spans="1:21" s="262" customFormat="1" ht="30.75" customHeight="1">
      <c r="A4" s="655" t="s">
        <v>83</v>
      </c>
      <c r="B4" s="655" t="s">
        <v>383</v>
      </c>
      <c r="C4" s="655" t="s">
        <v>384</v>
      </c>
      <c r="D4" s="658" t="s">
        <v>385</v>
      </c>
      <c r="E4" s="659"/>
      <c r="F4" s="659"/>
      <c r="G4" s="659"/>
      <c r="H4" s="660"/>
      <c r="I4" s="667" t="s">
        <v>386</v>
      </c>
      <c r="J4" s="668"/>
      <c r="K4" s="668"/>
      <c r="L4" s="668"/>
      <c r="M4" s="669"/>
      <c r="N4" s="667" t="s">
        <v>387</v>
      </c>
      <c r="O4" s="668"/>
      <c r="P4" s="668"/>
      <c r="Q4" s="668"/>
      <c r="R4" s="668"/>
      <c r="S4" s="669"/>
    </row>
    <row r="5" spans="1:21" s="262" customFormat="1" ht="30.75" customHeight="1">
      <c r="A5" s="656"/>
      <c r="B5" s="656"/>
      <c r="C5" s="656"/>
      <c r="D5" s="661"/>
      <c r="E5" s="662"/>
      <c r="F5" s="662"/>
      <c r="G5" s="662"/>
      <c r="H5" s="663"/>
      <c r="I5" s="655" t="s">
        <v>388</v>
      </c>
      <c r="J5" s="655" t="s">
        <v>389</v>
      </c>
      <c r="K5" s="655" t="s">
        <v>390</v>
      </c>
      <c r="L5" s="655" t="s">
        <v>391</v>
      </c>
      <c r="M5" s="655" t="s">
        <v>392</v>
      </c>
      <c r="N5" s="667" t="s">
        <v>393</v>
      </c>
      <c r="O5" s="668"/>
      <c r="P5" s="668"/>
      <c r="Q5" s="668"/>
      <c r="R5" s="668"/>
      <c r="S5" s="669"/>
    </row>
    <row r="6" spans="1:21" s="262" customFormat="1" ht="30.75" customHeight="1">
      <c r="A6" s="656"/>
      <c r="B6" s="656"/>
      <c r="C6" s="656"/>
      <c r="D6" s="664"/>
      <c r="E6" s="665"/>
      <c r="F6" s="665"/>
      <c r="G6" s="665"/>
      <c r="H6" s="666"/>
      <c r="I6" s="656"/>
      <c r="J6" s="656"/>
      <c r="K6" s="656"/>
      <c r="L6" s="656"/>
      <c r="M6" s="656"/>
      <c r="N6" s="655" t="s">
        <v>388</v>
      </c>
      <c r="O6" s="667" t="s">
        <v>394</v>
      </c>
      <c r="P6" s="668"/>
      <c r="Q6" s="668"/>
      <c r="R6" s="668"/>
      <c r="S6" s="668"/>
    </row>
    <row r="7" spans="1:21" s="262" customFormat="1" ht="21" customHeight="1">
      <c r="A7" s="657"/>
      <c r="B7" s="657"/>
      <c r="C7" s="657"/>
      <c r="D7" s="263" t="s">
        <v>252</v>
      </c>
      <c r="E7" s="263" t="s">
        <v>75</v>
      </c>
      <c r="F7" s="263" t="s">
        <v>77</v>
      </c>
      <c r="G7" s="263" t="s">
        <v>78</v>
      </c>
      <c r="H7" s="263" t="s">
        <v>81</v>
      </c>
      <c r="I7" s="657"/>
      <c r="J7" s="657"/>
      <c r="K7" s="657"/>
      <c r="L7" s="657"/>
      <c r="M7" s="657"/>
      <c r="N7" s="657"/>
      <c r="O7" s="263" t="s">
        <v>252</v>
      </c>
      <c r="P7" s="263" t="s">
        <v>75</v>
      </c>
      <c r="Q7" s="263" t="s">
        <v>77</v>
      </c>
      <c r="R7" s="263" t="s">
        <v>78</v>
      </c>
      <c r="S7" s="263" t="s">
        <v>81</v>
      </c>
    </row>
    <row r="8" spans="1:21" s="35" customFormat="1">
      <c r="A8" s="36" t="s">
        <v>182</v>
      </c>
      <c r="B8" s="68" t="s">
        <v>183</v>
      </c>
      <c r="C8" s="156" t="s">
        <v>195</v>
      </c>
      <c r="D8" s="68" t="s">
        <v>184</v>
      </c>
      <c r="E8" s="68" t="s">
        <v>185</v>
      </c>
      <c r="F8" s="68" t="s">
        <v>196</v>
      </c>
      <c r="G8" s="68" t="s">
        <v>186</v>
      </c>
      <c r="H8" s="68" t="s">
        <v>187</v>
      </c>
      <c r="I8" s="68" t="s">
        <v>188</v>
      </c>
      <c r="J8" s="68" t="s">
        <v>189</v>
      </c>
      <c r="K8" s="68" t="s">
        <v>190</v>
      </c>
      <c r="L8" s="68" t="s">
        <v>191</v>
      </c>
      <c r="M8" s="68" t="s">
        <v>192</v>
      </c>
      <c r="N8" s="68" t="s">
        <v>395</v>
      </c>
      <c r="O8" s="68" t="s">
        <v>396</v>
      </c>
      <c r="P8" s="68" t="s">
        <v>397</v>
      </c>
      <c r="Q8" s="68" t="s">
        <v>398</v>
      </c>
      <c r="R8" s="68" t="s">
        <v>643</v>
      </c>
      <c r="S8" s="68" t="s">
        <v>681</v>
      </c>
    </row>
    <row r="9" spans="1:21" s="35" customFormat="1" ht="29.25" customHeight="1">
      <c r="A9" s="245"/>
      <c r="B9" s="246" t="s">
        <v>620</v>
      </c>
      <c r="C9" s="247">
        <f t="shared" ref="C9:S9" si="0">SUM(C10:C60)</f>
        <v>13483353628</v>
      </c>
      <c r="D9" s="247">
        <f t="shared" si="0"/>
        <v>12077945561</v>
      </c>
      <c r="E9" s="247">
        <f t="shared" si="0"/>
        <v>987112434</v>
      </c>
      <c r="F9" s="247">
        <f t="shared" si="0"/>
        <v>238045786</v>
      </c>
      <c r="G9" s="247">
        <f t="shared" si="0"/>
        <v>79824583</v>
      </c>
      <c r="H9" s="247">
        <f t="shared" si="0"/>
        <v>324379884</v>
      </c>
      <c r="I9" s="247">
        <f t="shared" si="0"/>
        <v>525547606.99015015</v>
      </c>
      <c r="J9" s="247">
        <f t="shared" si="0"/>
        <v>29459953.105709996</v>
      </c>
      <c r="K9" s="247">
        <f t="shared" si="0"/>
        <v>78053920.073610127</v>
      </c>
      <c r="L9" s="247">
        <f t="shared" si="0"/>
        <v>90913078.354099989</v>
      </c>
      <c r="M9" s="247">
        <f t="shared" si="0"/>
        <v>327120655.45673001</v>
      </c>
      <c r="N9" s="247">
        <f t="shared" si="0"/>
        <v>272672779</v>
      </c>
      <c r="O9" s="247">
        <f t="shared" si="0"/>
        <v>48718159</v>
      </c>
      <c r="P9" s="247">
        <f t="shared" si="0"/>
        <v>98950253</v>
      </c>
      <c r="Q9" s="247">
        <f t="shared" si="0"/>
        <v>28579130</v>
      </c>
      <c r="R9" s="247">
        <f t="shared" si="0"/>
        <v>38267322</v>
      </c>
      <c r="S9" s="247">
        <f t="shared" si="0"/>
        <v>58157915</v>
      </c>
    </row>
    <row r="10" spans="1:21" s="32" customFormat="1" ht="23.25" customHeight="1">
      <c r="A10" s="37" t="s">
        <v>5</v>
      </c>
      <c r="B10" s="208" t="s">
        <v>561</v>
      </c>
      <c r="C10" s="206">
        <f>SUM(D10:H10)-N10+O10</f>
        <v>296970170</v>
      </c>
      <c r="D10" s="170">
        <v>296970170</v>
      </c>
      <c r="E10" s="170"/>
      <c r="F10" s="170"/>
      <c r="G10" s="170"/>
      <c r="H10" s="170"/>
      <c r="I10" s="206">
        <f t="shared" ref="I10:I11" si="1">SUM(J10:M10)</f>
        <v>0</v>
      </c>
      <c r="J10" s="170"/>
      <c r="K10" s="170"/>
      <c r="L10" s="170"/>
      <c r="M10" s="170"/>
      <c r="N10" s="206">
        <f>SUM(O10:S10)</f>
        <v>0</v>
      </c>
      <c r="O10" s="170"/>
      <c r="P10" s="170"/>
      <c r="Q10" s="170"/>
      <c r="R10" s="170"/>
      <c r="S10" s="170"/>
      <c r="T10" s="32">
        <v>10100</v>
      </c>
      <c r="U10"/>
    </row>
    <row r="11" spans="1:21" s="32" customFormat="1" ht="23.25" customHeight="1">
      <c r="A11" s="37" t="s">
        <v>8</v>
      </c>
      <c r="B11" s="208" t="s">
        <v>504</v>
      </c>
      <c r="C11" s="206">
        <f t="shared" ref="C11:C60" si="2">SUM(D11:H11)-N11+O11</f>
        <v>580486618</v>
      </c>
      <c r="D11" s="170">
        <v>580486618</v>
      </c>
      <c r="E11" s="170"/>
      <c r="F11" s="170"/>
      <c r="G11" s="170"/>
      <c r="H11" s="170"/>
      <c r="I11" s="206">
        <f t="shared" si="1"/>
        <v>0</v>
      </c>
      <c r="J11" s="170"/>
      <c r="K11" s="170"/>
      <c r="L11" s="170"/>
      <c r="M11" s="170"/>
      <c r="N11" s="206">
        <f t="shared" ref="N11:N60" si="3">SUM(O11:S11)</f>
        <v>0</v>
      </c>
      <c r="O11" s="170"/>
      <c r="P11" s="170"/>
      <c r="Q11" s="170"/>
      <c r="R11" s="170"/>
      <c r="S11" s="170"/>
      <c r="T11" s="242">
        <v>10300</v>
      </c>
      <c r="U11"/>
    </row>
    <row r="12" spans="1:21" s="32" customFormat="1" ht="23.25" customHeight="1">
      <c r="A12" s="37" t="s">
        <v>9</v>
      </c>
      <c r="B12" s="208" t="s">
        <v>201</v>
      </c>
      <c r="C12" s="206">
        <f t="shared" si="2"/>
        <v>530524890</v>
      </c>
      <c r="D12" s="170">
        <v>531246576</v>
      </c>
      <c r="E12" s="170"/>
      <c r="F12" s="171"/>
      <c r="G12" s="171"/>
      <c r="H12" s="171"/>
      <c r="I12" s="206">
        <f>SUM(J12:M12)</f>
        <v>0</v>
      </c>
      <c r="J12" s="170"/>
      <c r="K12" s="170"/>
      <c r="L12" s="170"/>
      <c r="M12" s="170"/>
      <c r="N12" s="206">
        <f t="shared" si="3"/>
        <v>721686</v>
      </c>
      <c r="O12" s="170"/>
      <c r="P12" s="170">
        <v>721686</v>
      </c>
      <c r="Q12" s="170"/>
      <c r="R12" s="170"/>
      <c r="S12" s="170"/>
      <c r="T12" s="242">
        <v>10500</v>
      </c>
      <c r="U12"/>
    </row>
    <row r="13" spans="1:21" s="32" customFormat="1" ht="23.25" customHeight="1">
      <c r="A13" s="37" t="s">
        <v>7</v>
      </c>
      <c r="B13" s="208" t="s">
        <v>399</v>
      </c>
      <c r="C13" s="206">
        <f t="shared" si="2"/>
        <v>507168618</v>
      </c>
      <c r="D13" s="170">
        <v>507168618</v>
      </c>
      <c r="E13" s="171"/>
      <c r="F13" s="171"/>
      <c r="G13" s="171"/>
      <c r="H13" s="171"/>
      <c r="I13" s="206">
        <f t="shared" ref="I13:I60" si="4">SUM(J13:M13)</f>
        <v>0</v>
      </c>
      <c r="J13" s="170"/>
      <c r="K13" s="170"/>
      <c r="L13" s="170"/>
      <c r="M13" s="170"/>
      <c r="N13" s="206">
        <f t="shared" si="3"/>
        <v>0</v>
      </c>
      <c r="O13" s="170"/>
      <c r="P13" s="170"/>
      <c r="Q13" s="170"/>
      <c r="R13" s="170"/>
      <c r="S13" s="170"/>
      <c r="T13" s="32">
        <v>10700</v>
      </c>
      <c r="U13"/>
    </row>
    <row r="14" spans="1:21" s="32" customFormat="1" ht="23.25" customHeight="1">
      <c r="A14" s="37" t="s">
        <v>6</v>
      </c>
      <c r="B14" s="208" t="s">
        <v>400</v>
      </c>
      <c r="C14" s="206">
        <f t="shared" si="2"/>
        <v>0</v>
      </c>
      <c r="D14" s="170"/>
      <c r="E14" s="171"/>
      <c r="F14" s="171"/>
      <c r="G14" s="171"/>
      <c r="H14" s="171"/>
      <c r="I14" s="206">
        <f t="shared" si="4"/>
        <v>0</v>
      </c>
      <c r="J14" s="170"/>
      <c r="K14" s="170"/>
      <c r="L14" s="170"/>
      <c r="M14" s="170"/>
      <c r="N14" s="206">
        <f t="shared" si="3"/>
        <v>0</v>
      </c>
      <c r="O14" s="170"/>
      <c r="P14" s="170"/>
      <c r="Q14" s="170"/>
      <c r="R14" s="170"/>
      <c r="S14" s="170"/>
      <c r="T14" s="32">
        <v>10800</v>
      </c>
      <c r="U14"/>
    </row>
    <row r="15" spans="1:21" s="32" customFormat="1" ht="23.25" customHeight="1">
      <c r="A15" s="37" t="s">
        <v>12</v>
      </c>
      <c r="B15" s="208" t="s">
        <v>401</v>
      </c>
      <c r="C15" s="206">
        <f t="shared" si="2"/>
        <v>175</v>
      </c>
      <c r="D15" s="170">
        <v>175</v>
      </c>
      <c r="E15" s="171"/>
      <c r="F15" s="171"/>
      <c r="G15" s="171"/>
      <c r="H15" s="171"/>
      <c r="I15" s="206">
        <f t="shared" si="4"/>
        <v>0</v>
      </c>
      <c r="J15" s="170"/>
      <c r="K15" s="170"/>
      <c r="L15" s="170"/>
      <c r="M15" s="170"/>
      <c r="N15" s="206">
        <f t="shared" si="3"/>
        <v>0</v>
      </c>
      <c r="O15" s="170"/>
      <c r="P15" s="170"/>
      <c r="Q15" s="170"/>
      <c r="R15" s="170"/>
      <c r="S15" s="170"/>
      <c r="T15" s="32">
        <v>10900</v>
      </c>
      <c r="U15"/>
    </row>
    <row r="16" spans="1:21" s="32" customFormat="1" ht="23.25" customHeight="1">
      <c r="A16" s="37" t="s">
        <v>11</v>
      </c>
      <c r="B16" s="208" t="s">
        <v>402</v>
      </c>
      <c r="C16" s="206">
        <f t="shared" si="2"/>
        <v>88085139</v>
      </c>
      <c r="D16" s="170">
        <v>86150000</v>
      </c>
      <c r="E16" s="171">
        <v>146063</v>
      </c>
      <c r="F16" s="171">
        <v>2213814</v>
      </c>
      <c r="G16" s="171">
        <v>0</v>
      </c>
      <c r="H16" s="171">
        <v>-150000</v>
      </c>
      <c r="I16" s="206">
        <f t="shared" si="4"/>
        <v>2657377.0213299999</v>
      </c>
      <c r="J16" s="170">
        <v>0</v>
      </c>
      <c r="K16" s="170">
        <v>0</v>
      </c>
      <c r="L16" s="170">
        <v>0</v>
      </c>
      <c r="M16" s="170">
        <v>2657377.0213299999</v>
      </c>
      <c r="N16" s="206">
        <f t="shared" si="3"/>
        <v>274738</v>
      </c>
      <c r="O16" s="170">
        <v>0</v>
      </c>
      <c r="P16" s="170">
        <v>18357</v>
      </c>
      <c r="Q16" s="170">
        <v>246381</v>
      </c>
      <c r="R16" s="170">
        <v>0</v>
      </c>
      <c r="S16" s="170">
        <v>10000</v>
      </c>
      <c r="T16" s="32">
        <v>11100</v>
      </c>
      <c r="U16"/>
    </row>
    <row r="17" spans="1:21" s="32" customFormat="1" ht="23.25" customHeight="1">
      <c r="A17" s="37" t="s">
        <v>10</v>
      </c>
      <c r="B17" s="208" t="s">
        <v>403</v>
      </c>
      <c r="C17" s="206">
        <f t="shared" si="2"/>
        <v>0</v>
      </c>
      <c r="D17" s="170"/>
      <c r="E17" s="171"/>
      <c r="F17" s="171"/>
      <c r="G17" s="171"/>
      <c r="H17" s="171"/>
      <c r="I17" s="206">
        <f t="shared" si="4"/>
        <v>0</v>
      </c>
      <c r="J17" s="170"/>
      <c r="K17" s="170"/>
      <c r="L17" s="170"/>
      <c r="M17" s="170"/>
      <c r="N17" s="206">
        <f t="shared" si="3"/>
        <v>0</v>
      </c>
      <c r="O17" s="170"/>
      <c r="P17" s="170"/>
      <c r="Q17" s="170"/>
      <c r="R17" s="170"/>
      <c r="S17" s="170"/>
      <c r="T17" s="32">
        <v>11300</v>
      </c>
      <c r="U17"/>
    </row>
    <row r="18" spans="1:21" ht="23.25" customHeight="1">
      <c r="A18" s="37" t="s">
        <v>406</v>
      </c>
      <c r="B18" s="208" t="s">
        <v>404</v>
      </c>
      <c r="C18" s="206">
        <f t="shared" si="2"/>
        <v>0</v>
      </c>
      <c r="D18" s="170"/>
      <c r="E18" s="171"/>
      <c r="F18" s="171"/>
      <c r="G18" s="171"/>
      <c r="H18" s="171"/>
      <c r="I18" s="206">
        <f t="shared" si="4"/>
        <v>0</v>
      </c>
      <c r="J18" s="170"/>
      <c r="K18" s="170"/>
      <c r="L18" s="170"/>
      <c r="M18" s="170"/>
      <c r="N18" s="206">
        <f t="shared" si="3"/>
        <v>0</v>
      </c>
      <c r="O18" s="170"/>
      <c r="P18" s="170"/>
      <c r="Q18" s="170"/>
      <c r="R18" s="170"/>
      <c r="S18" s="170"/>
      <c r="T18" s="243">
        <v>11500</v>
      </c>
      <c r="U18"/>
    </row>
    <row r="19" spans="1:21" ht="23.25" customHeight="1">
      <c r="A19" s="37" t="s">
        <v>408</v>
      </c>
      <c r="B19" s="208" t="s">
        <v>405</v>
      </c>
      <c r="C19" s="206">
        <f t="shared" si="2"/>
        <v>0</v>
      </c>
      <c r="D19" s="170"/>
      <c r="E19" s="170"/>
      <c r="F19" s="170"/>
      <c r="G19" s="170"/>
      <c r="H19" s="170"/>
      <c r="I19" s="206">
        <f t="shared" si="4"/>
        <v>0</v>
      </c>
      <c r="J19" s="170"/>
      <c r="K19" s="170"/>
      <c r="L19" s="170"/>
      <c r="M19" s="170"/>
      <c r="N19" s="206">
        <f t="shared" si="3"/>
        <v>0</v>
      </c>
      <c r="O19" s="170"/>
      <c r="P19" s="170"/>
      <c r="Q19" s="170"/>
      <c r="R19" s="170"/>
      <c r="S19" s="170"/>
      <c r="T19" s="243">
        <v>11700</v>
      </c>
      <c r="U19"/>
    </row>
    <row r="20" spans="1:21" ht="23.25" customHeight="1">
      <c r="A20" s="37" t="s">
        <v>410</v>
      </c>
      <c r="B20" s="209" t="s">
        <v>407</v>
      </c>
      <c r="C20" s="206">
        <f t="shared" si="2"/>
        <v>0</v>
      </c>
      <c r="D20" s="170"/>
      <c r="E20" s="170"/>
      <c r="F20" s="170"/>
      <c r="G20" s="170"/>
      <c r="H20" s="170"/>
      <c r="I20" s="206">
        <f t="shared" si="4"/>
        <v>0</v>
      </c>
      <c r="J20" s="170"/>
      <c r="K20" s="170"/>
      <c r="L20" s="170"/>
      <c r="M20" s="170"/>
      <c r="N20" s="206">
        <f t="shared" si="3"/>
        <v>0</v>
      </c>
      <c r="O20" s="170"/>
      <c r="P20" s="170"/>
      <c r="Q20" s="170"/>
      <c r="R20" s="170"/>
      <c r="S20" s="170"/>
      <c r="T20" s="243">
        <v>11800</v>
      </c>
      <c r="U20"/>
    </row>
    <row r="21" spans="1:21" ht="23.25" customHeight="1">
      <c r="A21" s="37" t="s">
        <v>412</v>
      </c>
      <c r="B21" s="208" t="s">
        <v>409</v>
      </c>
      <c r="C21" s="206">
        <f t="shared" si="2"/>
        <v>0</v>
      </c>
      <c r="D21" s="170"/>
      <c r="E21" s="170"/>
      <c r="F21" s="170"/>
      <c r="G21" s="170"/>
      <c r="H21" s="170"/>
      <c r="I21" s="206">
        <f t="shared" si="4"/>
        <v>0</v>
      </c>
      <c r="J21" s="170"/>
      <c r="K21" s="170"/>
      <c r="L21" s="170"/>
      <c r="M21" s="170"/>
      <c r="N21" s="206">
        <f t="shared" si="3"/>
        <v>0</v>
      </c>
      <c r="O21" s="170"/>
      <c r="P21" s="170"/>
      <c r="Q21" s="170"/>
      <c r="R21" s="170"/>
      <c r="S21" s="170"/>
      <c r="T21" s="243">
        <v>11900</v>
      </c>
      <c r="U21"/>
    </row>
    <row r="22" spans="1:21" ht="23.25" customHeight="1">
      <c r="A22" s="37" t="s">
        <v>414</v>
      </c>
      <c r="B22" s="208" t="s">
        <v>411</v>
      </c>
      <c r="C22" s="206">
        <f t="shared" si="2"/>
        <v>0</v>
      </c>
      <c r="D22" s="170"/>
      <c r="E22" s="170"/>
      <c r="F22" s="170"/>
      <c r="G22" s="170"/>
      <c r="H22" s="170"/>
      <c r="I22" s="206">
        <f t="shared" si="4"/>
        <v>0</v>
      </c>
      <c r="J22" s="170"/>
      <c r="K22" s="170"/>
      <c r="L22" s="170"/>
      <c r="M22" s="170"/>
      <c r="N22" s="206">
        <f t="shared" si="3"/>
        <v>0</v>
      </c>
      <c r="O22" s="170"/>
      <c r="P22" s="170"/>
      <c r="Q22" s="170"/>
      <c r="R22" s="170"/>
      <c r="S22" s="170"/>
      <c r="T22" s="243">
        <v>12100</v>
      </c>
      <c r="U22"/>
    </row>
    <row r="23" spans="1:21" ht="23.25" customHeight="1">
      <c r="A23" s="37" t="s">
        <v>416</v>
      </c>
      <c r="B23" s="208" t="s">
        <v>413</v>
      </c>
      <c r="C23" s="206">
        <f t="shared" si="2"/>
        <v>0</v>
      </c>
      <c r="D23" s="170"/>
      <c r="E23" s="170"/>
      <c r="F23" s="170"/>
      <c r="G23" s="170"/>
      <c r="H23" s="170"/>
      <c r="I23" s="206">
        <f t="shared" si="4"/>
        <v>0</v>
      </c>
      <c r="J23" s="170"/>
      <c r="K23" s="170"/>
      <c r="L23" s="170"/>
      <c r="M23" s="170"/>
      <c r="N23" s="206">
        <f t="shared" si="3"/>
        <v>0</v>
      </c>
      <c r="O23" s="170"/>
      <c r="P23" s="170"/>
      <c r="Q23" s="170"/>
      <c r="R23" s="170"/>
      <c r="S23" s="170"/>
      <c r="T23" s="243">
        <v>12300</v>
      </c>
      <c r="U23"/>
    </row>
    <row r="24" spans="1:21" ht="23.25" customHeight="1">
      <c r="A24" s="37" t="s">
        <v>418</v>
      </c>
      <c r="B24" s="208" t="s">
        <v>415</v>
      </c>
      <c r="C24" s="206">
        <f t="shared" si="2"/>
        <v>0</v>
      </c>
      <c r="D24" s="170"/>
      <c r="E24" s="170"/>
      <c r="F24" s="170"/>
      <c r="G24" s="170"/>
      <c r="H24" s="170"/>
      <c r="I24" s="206">
        <f t="shared" si="4"/>
        <v>0</v>
      </c>
      <c r="J24" s="170"/>
      <c r="K24" s="170"/>
      <c r="L24" s="170"/>
      <c r="M24" s="170"/>
      <c r="N24" s="206">
        <f t="shared" si="3"/>
        <v>0</v>
      </c>
      <c r="O24" s="170"/>
      <c r="P24" s="170"/>
      <c r="Q24" s="170"/>
      <c r="R24" s="170"/>
      <c r="S24" s="170"/>
      <c r="T24" s="243">
        <v>12400</v>
      </c>
      <c r="U24"/>
    </row>
    <row r="25" spans="1:21" ht="23.25" customHeight="1">
      <c r="A25" s="37" t="s">
        <v>420</v>
      </c>
      <c r="B25" s="208" t="s">
        <v>417</v>
      </c>
      <c r="C25" s="206">
        <f>SUM(D25:H25)-N25+O25</f>
        <v>223618998</v>
      </c>
      <c r="D25" s="170">
        <v>215030215</v>
      </c>
      <c r="E25" s="170">
        <v>6153590</v>
      </c>
      <c r="F25" s="170">
        <v>1059885</v>
      </c>
      <c r="G25" s="170">
        <v>613516</v>
      </c>
      <c r="H25" s="170">
        <v>6496805</v>
      </c>
      <c r="I25" s="206">
        <f t="shared" si="4"/>
        <v>11422396.496590013</v>
      </c>
      <c r="J25" s="170">
        <v>769491.31258999987</v>
      </c>
      <c r="K25" s="170">
        <v>994300.38575000095</v>
      </c>
      <c r="L25" s="170">
        <v>1209302.9817700007</v>
      </c>
      <c r="M25" s="170">
        <v>8449301.8164800107</v>
      </c>
      <c r="N25" s="206">
        <f t="shared" si="3"/>
        <v>5735013</v>
      </c>
      <c r="O25" s="170"/>
      <c r="P25" s="170">
        <v>624744</v>
      </c>
      <c r="Q25" s="170">
        <v>264971</v>
      </c>
      <c r="R25" s="170">
        <v>306758</v>
      </c>
      <c r="S25" s="170">
        <v>4538540</v>
      </c>
      <c r="T25" s="243">
        <v>12500</v>
      </c>
      <c r="U25"/>
    </row>
    <row r="26" spans="1:21" ht="23.25" customHeight="1">
      <c r="A26" s="37" t="s">
        <v>422</v>
      </c>
      <c r="B26" s="208" t="s">
        <v>419</v>
      </c>
      <c r="C26" s="206">
        <f t="shared" si="2"/>
        <v>58425837</v>
      </c>
      <c r="D26" s="170">
        <v>56422695</v>
      </c>
      <c r="E26" s="170">
        <v>1714441</v>
      </c>
      <c r="F26" s="170">
        <v>223298</v>
      </c>
      <c r="G26" s="170">
        <v>3284</v>
      </c>
      <c r="H26" s="170">
        <v>547243</v>
      </c>
      <c r="I26" s="206">
        <f t="shared" si="4"/>
        <v>2215730.8316500001</v>
      </c>
      <c r="J26" s="170">
        <v>176420.07354999997</v>
      </c>
      <c r="K26" s="170">
        <v>368824.21627000009</v>
      </c>
      <c r="L26" s="170">
        <v>414783.01496999996</v>
      </c>
      <c r="M26" s="170">
        <v>1255703.5268600001</v>
      </c>
      <c r="N26" s="206">
        <f t="shared" si="3"/>
        <v>485124</v>
      </c>
      <c r="O26" s="170"/>
      <c r="P26" s="170">
        <v>171444</v>
      </c>
      <c r="Q26" s="170">
        <v>55824</v>
      </c>
      <c r="R26" s="170">
        <v>1642</v>
      </c>
      <c r="S26" s="170">
        <v>256214</v>
      </c>
      <c r="T26" s="243">
        <v>12600</v>
      </c>
      <c r="U26"/>
    </row>
    <row r="27" spans="1:21" ht="23.25" customHeight="1">
      <c r="A27" s="37" t="s">
        <v>424</v>
      </c>
      <c r="B27" s="208" t="s">
        <v>421</v>
      </c>
      <c r="C27" s="206">
        <f>SUM(D27:H27)-N27+O27</f>
        <v>194269273</v>
      </c>
      <c r="D27" s="170">
        <v>188555881</v>
      </c>
      <c r="E27" s="170">
        <v>3244733</v>
      </c>
      <c r="F27" s="170">
        <v>2555556</v>
      </c>
      <c r="G27" s="170">
        <v>0</v>
      </c>
      <c r="H27" s="170">
        <v>183333</v>
      </c>
      <c r="I27" s="206">
        <f t="shared" si="4"/>
        <v>6428066.1027899999</v>
      </c>
      <c r="J27" s="170">
        <v>0</v>
      </c>
      <c r="K27" s="170">
        <v>0</v>
      </c>
      <c r="L27" s="170">
        <v>444444.44500000001</v>
      </c>
      <c r="M27" s="170">
        <v>5983621.6577899996</v>
      </c>
      <c r="N27" s="206">
        <f t="shared" si="3"/>
        <v>270230</v>
      </c>
      <c r="O27" s="170"/>
      <c r="P27" s="170">
        <v>14674</v>
      </c>
      <c r="Q27" s="170">
        <v>255556</v>
      </c>
      <c r="R27" s="170">
        <v>0</v>
      </c>
      <c r="S27" s="170">
        <v>0</v>
      </c>
      <c r="T27" s="243">
        <v>12700</v>
      </c>
      <c r="U27"/>
    </row>
    <row r="28" spans="1:21" ht="33.75" customHeight="1">
      <c r="A28" s="37" t="s">
        <v>426</v>
      </c>
      <c r="B28" s="208" t="s">
        <v>423</v>
      </c>
      <c r="C28" s="206">
        <f t="shared" si="2"/>
        <v>0</v>
      </c>
      <c r="D28" s="170"/>
      <c r="E28" s="170"/>
      <c r="F28" s="170"/>
      <c r="G28" s="170"/>
      <c r="H28" s="170"/>
      <c r="I28" s="206">
        <f t="shared" si="4"/>
        <v>0</v>
      </c>
      <c r="J28" s="170"/>
      <c r="K28" s="170"/>
      <c r="L28" s="170"/>
      <c r="M28" s="170"/>
      <c r="N28" s="206">
        <f t="shared" si="3"/>
        <v>0</v>
      </c>
      <c r="O28" s="170"/>
      <c r="P28" s="170"/>
      <c r="Q28" s="170"/>
      <c r="R28" s="170"/>
      <c r="S28" s="170"/>
      <c r="T28" s="243">
        <v>12800</v>
      </c>
      <c r="U28" s="244"/>
    </row>
    <row r="29" spans="1:21" ht="23.25" customHeight="1">
      <c r="A29" s="37" t="s">
        <v>428</v>
      </c>
      <c r="B29" s="208" t="s">
        <v>425</v>
      </c>
      <c r="C29" s="206">
        <f t="shared" si="2"/>
        <v>3119234</v>
      </c>
      <c r="D29" s="170">
        <v>3004325</v>
      </c>
      <c r="E29" s="170">
        <v>127677</v>
      </c>
      <c r="F29" s="170">
        <v>0</v>
      </c>
      <c r="G29" s="170">
        <v>0</v>
      </c>
      <c r="H29" s="170">
        <v>0</v>
      </c>
      <c r="I29" s="206">
        <f t="shared" si="4"/>
        <v>0</v>
      </c>
      <c r="J29" s="170">
        <v>0</v>
      </c>
      <c r="K29" s="170">
        <v>0</v>
      </c>
      <c r="L29" s="170">
        <v>0</v>
      </c>
      <c r="M29" s="170">
        <v>0</v>
      </c>
      <c r="N29" s="206">
        <f t="shared" si="3"/>
        <v>12768</v>
      </c>
      <c r="O29" s="170"/>
      <c r="P29" s="170">
        <v>12768</v>
      </c>
      <c r="Q29" s="170">
        <v>0</v>
      </c>
      <c r="R29" s="170">
        <v>0</v>
      </c>
      <c r="S29" s="170">
        <v>0</v>
      </c>
      <c r="T29" s="243">
        <v>12900</v>
      </c>
      <c r="U29"/>
    </row>
    <row r="30" spans="1:21" ht="24" customHeight="1">
      <c r="A30" s="37" t="s">
        <v>430</v>
      </c>
      <c r="B30" s="208" t="s">
        <v>427</v>
      </c>
      <c r="C30" s="206">
        <f t="shared" si="2"/>
        <v>35783</v>
      </c>
      <c r="D30" s="170">
        <v>35783</v>
      </c>
      <c r="E30" s="170"/>
      <c r="F30" s="170"/>
      <c r="G30" s="170"/>
      <c r="H30" s="170"/>
      <c r="I30" s="206">
        <f t="shared" si="4"/>
        <v>0</v>
      </c>
      <c r="J30" s="170"/>
      <c r="K30" s="170"/>
      <c r="L30" s="170"/>
      <c r="M30" s="170"/>
      <c r="N30" s="206">
        <f t="shared" si="3"/>
        <v>0</v>
      </c>
      <c r="O30" s="170"/>
      <c r="P30" s="170"/>
      <c r="Q30" s="170"/>
      <c r="R30" s="170"/>
      <c r="S30" s="170"/>
      <c r="T30" s="243">
        <v>13000</v>
      </c>
      <c r="U30"/>
    </row>
    <row r="31" spans="1:21" ht="33.75" customHeight="1">
      <c r="A31" s="37" t="s">
        <v>432</v>
      </c>
      <c r="B31" s="208" t="s">
        <v>429</v>
      </c>
      <c r="C31" s="206">
        <f t="shared" si="2"/>
        <v>605381210</v>
      </c>
      <c r="D31" s="170">
        <v>543208972</v>
      </c>
      <c r="E31" s="170">
        <v>53402042</v>
      </c>
      <c r="F31" s="170">
        <v>9718689</v>
      </c>
      <c r="G31" s="170">
        <v>4001</v>
      </c>
      <c r="H31" s="170">
        <v>7417828</v>
      </c>
      <c r="I31" s="206">
        <f t="shared" si="4"/>
        <v>75150751.917630002</v>
      </c>
      <c r="J31" s="170">
        <v>3365231.2346500005</v>
      </c>
      <c r="K31" s="170">
        <v>15904652.854660004</v>
      </c>
      <c r="L31" s="170">
        <v>13772100.791939998</v>
      </c>
      <c r="M31" s="170">
        <v>42108767.03638</v>
      </c>
      <c r="N31" s="206">
        <f t="shared" si="3"/>
        <v>8370322</v>
      </c>
      <c r="O31" s="170"/>
      <c r="P31" s="170">
        <v>7506446</v>
      </c>
      <c r="Q31" s="170">
        <v>609345</v>
      </c>
      <c r="R31" s="170">
        <v>2001</v>
      </c>
      <c r="S31" s="170">
        <v>252530</v>
      </c>
      <c r="T31" s="243">
        <v>13100</v>
      </c>
      <c r="U31"/>
    </row>
    <row r="32" spans="1:21" ht="23.25" customHeight="1">
      <c r="A32" s="37" t="s">
        <v>434</v>
      </c>
      <c r="B32" s="208" t="s">
        <v>431</v>
      </c>
      <c r="C32" s="206">
        <f t="shared" si="2"/>
        <v>21600</v>
      </c>
      <c r="D32" s="170">
        <v>21600</v>
      </c>
      <c r="E32" s="170">
        <v>0</v>
      </c>
      <c r="F32" s="170">
        <v>0</v>
      </c>
      <c r="G32" s="170">
        <v>0</v>
      </c>
      <c r="H32" s="170">
        <v>0</v>
      </c>
      <c r="I32" s="206">
        <f t="shared" si="4"/>
        <v>0</v>
      </c>
      <c r="J32" s="170">
        <v>0</v>
      </c>
      <c r="K32" s="170">
        <v>0</v>
      </c>
      <c r="L32" s="170">
        <v>0</v>
      </c>
      <c r="M32" s="170">
        <v>0</v>
      </c>
      <c r="N32" s="206">
        <f t="shared" si="3"/>
        <v>0</v>
      </c>
      <c r="O32" s="170"/>
      <c r="P32" s="170">
        <v>0</v>
      </c>
      <c r="Q32" s="170">
        <v>0</v>
      </c>
      <c r="R32" s="170">
        <v>0</v>
      </c>
      <c r="S32" s="170">
        <v>0</v>
      </c>
      <c r="T32" s="243">
        <v>13200</v>
      </c>
      <c r="U32"/>
    </row>
    <row r="33" spans="1:21" ht="32.25" customHeight="1">
      <c r="A33" s="37" t="s">
        <v>436</v>
      </c>
      <c r="B33" s="208" t="s">
        <v>677</v>
      </c>
      <c r="C33" s="206">
        <f t="shared" si="2"/>
        <v>0</v>
      </c>
      <c r="D33" s="170"/>
      <c r="E33" s="170"/>
      <c r="F33" s="170"/>
      <c r="G33" s="170"/>
      <c r="H33" s="170"/>
      <c r="I33" s="206">
        <f t="shared" ref="I33:I34" si="5">SUM(J33:M33)</f>
        <v>0</v>
      </c>
      <c r="J33" s="170"/>
      <c r="K33" s="170"/>
      <c r="L33" s="170"/>
      <c r="M33" s="170"/>
      <c r="N33" s="206">
        <f t="shared" si="3"/>
        <v>0</v>
      </c>
      <c r="O33" s="170"/>
      <c r="P33" s="170"/>
      <c r="Q33" s="170"/>
      <c r="R33" s="170"/>
      <c r="S33" s="170"/>
      <c r="T33" s="243">
        <v>13300</v>
      </c>
      <c r="U33"/>
    </row>
    <row r="34" spans="1:21" ht="32.25" customHeight="1">
      <c r="A34" s="37" t="s">
        <v>438</v>
      </c>
      <c r="B34" s="208" t="s">
        <v>678</v>
      </c>
      <c r="C34" s="206">
        <f t="shared" si="2"/>
        <v>0</v>
      </c>
      <c r="D34" s="170"/>
      <c r="E34" s="170"/>
      <c r="F34" s="170"/>
      <c r="G34" s="170"/>
      <c r="H34" s="170"/>
      <c r="I34" s="206">
        <f t="shared" si="5"/>
        <v>0</v>
      </c>
      <c r="J34" s="170"/>
      <c r="K34" s="170"/>
      <c r="L34" s="170"/>
      <c r="M34" s="170"/>
      <c r="N34" s="206">
        <f t="shared" si="3"/>
        <v>0</v>
      </c>
      <c r="O34" s="170"/>
      <c r="P34" s="170"/>
      <c r="Q34" s="170"/>
      <c r="R34" s="170"/>
      <c r="S34" s="170"/>
      <c r="T34" s="243">
        <v>14300</v>
      </c>
      <c r="U34"/>
    </row>
    <row r="35" spans="1:21" ht="33.75" customHeight="1">
      <c r="A35" s="37" t="s">
        <v>440</v>
      </c>
      <c r="B35" s="208" t="s">
        <v>433</v>
      </c>
      <c r="C35" s="206">
        <f t="shared" si="2"/>
        <v>73822747</v>
      </c>
      <c r="D35" s="170">
        <v>73635161</v>
      </c>
      <c r="E35" s="170">
        <v>63680</v>
      </c>
      <c r="F35" s="170">
        <v>42823</v>
      </c>
      <c r="G35" s="170">
        <v>0</v>
      </c>
      <c r="H35" s="170">
        <v>98157</v>
      </c>
      <c r="I35" s="206">
        <f t="shared" si="4"/>
        <v>204660.4712</v>
      </c>
      <c r="J35" s="170">
        <v>0</v>
      </c>
      <c r="K35" s="170">
        <v>63680.021269999997</v>
      </c>
      <c r="L35" s="170">
        <v>42823.28946</v>
      </c>
      <c r="M35" s="170">
        <v>98157.160470000003</v>
      </c>
      <c r="N35" s="206">
        <f t="shared" si="3"/>
        <v>17074</v>
      </c>
      <c r="O35" s="170"/>
      <c r="P35" s="170">
        <v>6368</v>
      </c>
      <c r="Q35" s="170">
        <v>10706</v>
      </c>
      <c r="R35" s="170">
        <v>0</v>
      </c>
      <c r="S35" s="170">
        <v>0</v>
      </c>
      <c r="T35" s="243">
        <v>14400</v>
      </c>
      <c r="U35"/>
    </row>
    <row r="36" spans="1:21" ht="23.25" customHeight="1">
      <c r="A36" s="37" t="s">
        <v>442</v>
      </c>
      <c r="B36" s="208" t="s">
        <v>435</v>
      </c>
      <c r="C36" s="206">
        <f t="shared" si="2"/>
        <v>0</v>
      </c>
      <c r="D36" s="170"/>
      <c r="E36" s="170"/>
      <c r="F36" s="170"/>
      <c r="G36" s="170"/>
      <c r="H36" s="170"/>
      <c r="I36" s="206">
        <f t="shared" si="4"/>
        <v>0</v>
      </c>
      <c r="J36" s="170"/>
      <c r="K36" s="170"/>
      <c r="L36" s="170"/>
      <c r="M36" s="170"/>
      <c r="N36" s="206">
        <f t="shared" si="3"/>
        <v>0</v>
      </c>
      <c r="O36" s="170"/>
      <c r="P36" s="170"/>
      <c r="Q36" s="170"/>
      <c r="R36" s="170"/>
      <c r="S36" s="170"/>
      <c r="T36" s="243">
        <v>14500</v>
      </c>
      <c r="U36"/>
    </row>
    <row r="37" spans="1:21" ht="23.25" customHeight="1">
      <c r="A37" s="37" t="s">
        <v>444</v>
      </c>
      <c r="B37" s="208" t="s">
        <v>437</v>
      </c>
      <c r="C37" s="206">
        <f t="shared" si="2"/>
        <v>0</v>
      </c>
      <c r="D37" s="170"/>
      <c r="E37" s="170"/>
      <c r="F37" s="170"/>
      <c r="G37" s="170"/>
      <c r="H37" s="170"/>
      <c r="I37" s="206">
        <f t="shared" si="4"/>
        <v>0</v>
      </c>
      <c r="J37" s="170"/>
      <c r="K37" s="170"/>
      <c r="L37" s="170"/>
      <c r="M37" s="170"/>
      <c r="N37" s="206">
        <f t="shared" si="3"/>
        <v>0</v>
      </c>
      <c r="O37" s="170"/>
      <c r="P37" s="170"/>
      <c r="Q37" s="170"/>
      <c r="R37" s="170"/>
      <c r="S37" s="170"/>
      <c r="T37" s="243">
        <v>14700</v>
      </c>
      <c r="U37"/>
    </row>
    <row r="38" spans="1:21" ht="23.25" customHeight="1">
      <c r="A38" s="37" t="s">
        <v>446</v>
      </c>
      <c r="B38" s="208" t="s">
        <v>439</v>
      </c>
      <c r="C38" s="206">
        <f t="shared" si="2"/>
        <v>0</v>
      </c>
      <c r="D38" s="170"/>
      <c r="E38" s="170"/>
      <c r="F38" s="170"/>
      <c r="G38" s="170"/>
      <c r="H38" s="170"/>
      <c r="I38" s="206">
        <f t="shared" si="4"/>
        <v>0</v>
      </c>
      <c r="J38" s="170"/>
      <c r="K38" s="170"/>
      <c r="L38" s="170"/>
      <c r="M38" s="170"/>
      <c r="N38" s="206">
        <f t="shared" si="3"/>
        <v>0</v>
      </c>
      <c r="O38" s="170"/>
      <c r="P38" s="170"/>
      <c r="Q38" s="170"/>
      <c r="R38" s="170"/>
      <c r="S38" s="170"/>
      <c r="T38" s="243">
        <v>14800</v>
      </c>
      <c r="U38"/>
    </row>
    <row r="39" spans="1:21" ht="23.25" customHeight="1">
      <c r="A39" s="37" t="s">
        <v>447</v>
      </c>
      <c r="B39" s="208" t="s">
        <v>441</v>
      </c>
      <c r="C39" s="206">
        <f t="shared" si="2"/>
        <v>2740002132</v>
      </c>
      <c r="D39" s="170">
        <v>2241664352</v>
      </c>
      <c r="E39" s="170">
        <v>273179063</v>
      </c>
      <c r="F39" s="170">
        <v>49463882</v>
      </c>
      <c r="G39" s="170">
        <v>60496634</v>
      </c>
      <c r="H39" s="170">
        <v>230323975</v>
      </c>
      <c r="I39" s="206">
        <f t="shared" si="4"/>
        <v>173124438.29940015</v>
      </c>
      <c r="J39" s="170">
        <v>7731407.5354900016</v>
      </c>
      <c r="K39" s="170">
        <v>24738799.255180124</v>
      </c>
      <c r="L39" s="170">
        <v>30219633.572810002</v>
      </c>
      <c r="M39" s="170">
        <v>110434597.93592003</v>
      </c>
      <c r="N39" s="206">
        <f t="shared" si="3"/>
        <v>115125774</v>
      </c>
      <c r="O39" s="170"/>
      <c r="P39" s="170">
        <v>27298146</v>
      </c>
      <c r="Q39" s="170">
        <v>11987298</v>
      </c>
      <c r="R39" s="170">
        <v>29070764</v>
      </c>
      <c r="S39" s="170">
        <v>46769566</v>
      </c>
      <c r="T39" s="243">
        <v>14900</v>
      </c>
      <c r="U39"/>
    </row>
    <row r="40" spans="1:21" ht="23.25" customHeight="1">
      <c r="A40" s="37" t="s">
        <v>449</v>
      </c>
      <c r="B40" s="208" t="s">
        <v>443</v>
      </c>
      <c r="C40" s="206">
        <f t="shared" si="2"/>
        <v>233254582</v>
      </c>
      <c r="D40" s="170">
        <v>175109896</v>
      </c>
      <c r="E40" s="170">
        <v>22450098</v>
      </c>
      <c r="F40" s="170">
        <v>3626845</v>
      </c>
      <c r="G40" s="170">
        <v>7413242</v>
      </c>
      <c r="H40" s="170">
        <v>34877578</v>
      </c>
      <c r="I40" s="206">
        <f t="shared" si="4"/>
        <v>44494776.758560017</v>
      </c>
      <c r="J40" s="170">
        <v>1087054.6567199996</v>
      </c>
      <c r="K40" s="170">
        <v>3573730.8386900001</v>
      </c>
      <c r="L40" s="170">
        <v>5430489.554899998</v>
      </c>
      <c r="M40" s="170">
        <v>34403501.708250016</v>
      </c>
      <c r="N40" s="206">
        <f t="shared" si="3"/>
        <v>10223077</v>
      </c>
      <c r="O40" s="170"/>
      <c r="P40" s="170">
        <v>2090826</v>
      </c>
      <c r="Q40" s="170">
        <v>876059</v>
      </c>
      <c r="R40" s="170">
        <v>3577727</v>
      </c>
      <c r="S40" s="170">
        <v>3678465</v>
      </c>
      <c r="T40" s="243">
        <v>15000</v>
      </c>
      <c r="U40"/>
    </row>
    <row r="41" spans="1:21" ht="33.75" customHeight="1">
      <c r="A41" s="37" t="s">
        <v>451</v>
      </c>
      <c r="B41" s="208" t="s">
        <v>445</v>
      </c>
      <c r="C41" s="206">
        <f t="shared" si="2"/>
        <v>126208157</v>
      </c>
      <c r="D41" s="170">
        <v>70827876</v>
      </c>
      <c r="E41" s="170">
        <v>59950526</v>
      </c>
      <c r="F41" s="170">
        <v>1282051</v>
      </c>
      <c r="G41" s="170">
        <v>0</v>
      </c>
      <c r="H41" s="170">
        <v>270962</v>
      </c>
      <c r="I41" s="206">
        <f t="shared" si="4"/>
        <v>4807129.5654099993</v>
      </c>
      <c r="J41" s="170">
        <v>206250</v>
      </c>
      <c r="K41" s="170">
        <v>0</v>
      </c>
      <c r="L41" s="170">
        <v>3047866.7500299998</v>
      </c>
      <c r="M41" s="170">
        <v>1553012.81538</v>
      </c>
      <c r="N41" s="206">
        <f t="shared" si="3"/>
        <v>6123258</v>
      </c>
      <c r="O41" s="170"/>
      <c r="P41" s="170">
        <v>5995053</v>
      </c>
      <c r="Q41" s="170">
        <v>128205</v>
      </c>
      <c r="R41" s="170">
        <v>0</v>
      </c>
      <c r="S41" s="170">
        <v>0</v>
      </c>
      <c r="T41" s="243">
        <v>15100</v>
      </c>
      <c r="U41"/>
    </row>
    <row r="42" spans="1:21" ht="23.25" customHeight="1">
      <c r="A42" s="37" t="s">
        <v>453</v>
      </c>
      <c r="B42" s="208" t="s">
        <v>675</v>
      </c>
      <c r="C42" s="206">
        <f t="shared" si="2"/>
        <v>3171509</v>
      </c>
      <c r="D42" s="170">
        <v>2829627</v>
      </c>
      <c r="E42" s="170">
        <v>379869</v>
      </c>
      <c r="F42" s="170">
        <v>0</v>
      </c>
      <c r="G42" s="170">
        <v>0</v>
      </c>
      <c r="H42" s="170">
        <v>0</v>
      </c>
      <c r="I42" s="206">
        <f t="shared" si="4"/>
        <v>35783.093219999995</v>
      </c>
      <c r="J42" s="170">
        <v>0</v>
      </c>
      <c r="K42" s="170">
        <v>35783.093219999995</v>
      </c>
      <c r="L42" s="170">
        <v>0</v>
      </c>
      <c r="M42" s="170">
        <v>0</v>
      </c>
      <c r="N42" s="206">
        <f t="shared" si="3"/>
        <v>37987</v>
      </c>
      <c r="O42" s="170"/>
      <c r="P42" s="170">
        <v>37987</v>
      </c>
      <c r="Q42" s="170">
        <v>0</v>
      </c>
      <c r="R42" s="170">
        <v>0</v>
      </c>
      <c r="S42" s="170">
        <v>0</v>
      </c>
      <c r="T42" s="243">
        <v>15200</v>
      </c>
      <c r="U42"/>
    </row>
    <row r="43" spans="1:21" ht="23.25" customHeight="1">
      <c r="A43" s="37" t="s">
        <v>455</v>
      </c>
      <c r="B43" s="208" t="s">
        <v>448</v>
      </c>
      <c r="C43" s="206">
        <f t="shared" si="2"/>
        <v>254570130</v>
      </c>
      <c r="D43" s="170">
        <v>210968429</v>
      </c>
      <c r="E43" s="170">
        <v>48446335</v>
      </c>
      <c r="F43" s="170">
        <v>0</v>
      </c>
      <c r="G43" s="170">
        <v>0</v>
      </c>
      <c r="H43" s="170">
        <v>0</v>
      </c>
      <c r="I43" s="206">
        <f t="shared" si="4"/>
        <v>1926573.3525100001</v>
      </c>
      <c r="J43" s="170">
        <v>0</v>
      </c>
      <c r="K43" s="170">
        <v>82176.231819999986</v>
      </c>
      <c r="L43" s="170">
        <v>0</v>
      </c>
      <c r="M43" s="170">
        <v>1844397.12069</v>
      </c>
      <c r="N43" s="206">
        <f t="shared" si="3"/>
        <v>4844634</v>
      </c>
      <c r="O43" s="170"/>
      <c r="P43" s="170">
        <v>4844634</v>
      </c>
      <c r="Q43" s="170">
        <v>0</v>
      </c>
      <c r="R43" s="170">
        <v>0</v>
      </c>
      <c r="S43" s="170">
        <v>0</v>
      </c>
      <c r="T43" s="243">
        <v>15300</v>
      </c>
      <c r="U43"/>
    </row>
    <row r="44" spans="1:21" ht="23.25" customHeight="1">
      <c r="A44" s="37" t="s">
        <v>457</v>
      </c>
      <c r="B44" s="208" t="s">
        <v>450</v>
      </c>
      <c r="C44" s="206">
        <f t="shared" si="2"/>
        <v>0</v>
      </c>
      <c r="D44" s="170"/>
      <c r="E44" s="170"/>
      <c r="F44" s="170"/>
      <c r="G44" s="170"/>
      <c r="H44" s="170"/>
      <c r="I44" s="206">
        <f t="shared" si="4"/>
        <v>0</v>
      </c>
      <c r="J44" s="170"/>
      <c r="K44" s="170"/>
      <c r="L44" s="170"/>
      <c r="M44" s="170"/>
      <c r="N44" s="206">
        <f t="shared" si="3"/>
        <v>0</v>
      </c>
      <c r="O44" s="170"/>
      <c r="P44" s="170"/>
      <c r="Q44" s="170"/>
      <c r="R44" s="170"/>
      <c r="S44" s="170"/>
      <c r="T44" s="243">
        <v>15400</v>
      </c>
      <c r="U44"/>
    </row>
    <row r="45" spans="1:21" ht="33.75" customHeight="1">
      <c r="A45" s="37" t="s">
        <v>459</v>
      </c>
      <c r="B45" s="208" t="s">
        <v>452</v>
      </c>
      <c r="C45" s="206">
        <f t="shared" si="2"/>
        <v>5985350048</v>
      </c>
      <c r="D45" s="170">
        <v>5313862002</v>
      </c>
      <c r="E45" s="170">
        <v>517633469</v>
      </c>
      <c r="F45" s="170">
        <v>167858943</v>
      </c>
      <c r="G45" s="170">
        <v>11293906</v>
      </c>
      <c r="H45" s="170">
        <v>44204915</v>
      </c>
      <c r="I45" s="206">
        <f t="shared" si="4"/>
        <v>202931398.11159995</v>
      </c>
      <c r="J45" s="170">
        <v>16124098.292709995</v>
      </c>
      <c r="K45" s="170">
        <v>32291973.176750004</v>
      </c>
      <c r="L45" s="170">
        <v>36292196.818370007</v>
      </c>
      <c r="M45" s="170">
        <v>118223129.82376996</v>
      </c>
      <c r="N45" s="206">
        <f t="shared" si="3"/>
        <v>69503187</v>
      </c>
      <c r="O45" s="170"/>
      <c r="P45" s="170">
        <v>47460401</v>
      </c>
      <c r="Q45" s="170">
        <v>14144785</v>
      </c>
      <c r="R45" s="170">
        <v>5308430</v>
      </c>
      <c r="S45" s="170">
        <v>2589571</v>
      </c>
      <c r="T45" s="243">
        <v>15500</v>
      </c>
      <c r="U45"/>
    </row>
    <row r="46" spans="1:21" ht="18" customHeight="1">
      <c r="A46" s="37" t="s">
        <v>461</v>
      </c>
      <c r="B46" s="208" t="s">
        <v>667</v>
      </c>
      <c r="C46" s="206">
        <f t="shared" si="2"/>
        <v>5439332</v>
      </c>
      <c r="D46" s="170">
        <v>5194510</v>
      </c>
      <c r="E46" s="170">
        <v>220848</v>
      </c>
      <c r="F46" s="170">
        <v>0</v>
      </c>
      <c r="G46" s="170">
        <v>0</v>
      </c>
      <c r="H46" s="170">
        <v>109088</v>
      </c>
      <c r="I46" s="206">
        <f t="shared" si="4"/>
        <v>148524.96825999999</v>
      </c>
      <c r="J46" s="170">
        <v>0</v>
      </c>
      <c r="K46" s="170">
        <v>0</v>
      </c>
      <c r="L46" s="170">
        <v>39437.134850000002</v>
      </c>
      <c r="M46" s="170">
        <v>109087.83340999999</v>
      </c>
      <c r="N46" s="206">
        <f t="shared" si="3"/>
        <v>85114</v>
      </c>
      <c r="O46" s="170">
        <v>0</v>
      </c>
      <c r="P46" s="170">
        <v>22085</v>
      </c>
      <c r="Q46" s="170">
        <v>0</v>
      </c>
      <c r="R46" s="170">
        <v>0</v>
      </c>
      <c r="S46" s="170">
        <v>63029</v>
      </c>
      <c r="T46" s="243">
        <v>15600</v>
      </c>
      <c r="U46"/>
    </row>
    <row r="47" spans="1:21" ht="23.25" customHeight="1">
      <c r="A47" s="37" t="s">
        <v>463</v>
      </c>
      <c r="B47" s="208" t="s">
        <v>454</v>
      </c>
      <c r="C47" s="206">
        <f t="shared" si="2"/>
        <v>0</v>
      </c>
      <c r="D47" s="170"/>
      <c r="E47" s="170"/>
      <c r="F47" s="170"/>
      <c r="G47" s="170"/>
      <c r="H47" s="170"/>
      <c r="I47" s="206">
        <f t="shared" si="4"/>
        <v>0</v>
      </c>
      <c r="J47" s="170"/>
      <c r="K47" s="170"/>
      <c r="L47" s="170"/>
      <c r="M47" s="170"/>
      <c r="N47" s="206">
        <f>SUM(O47:S47)</f>
        <v>0</v>
      </c>
      <c r="O47" s="170"/>
      <c r="P47" s="648"/>
      <c r="Q47" s="170"/>
      <c r="R47" s="170"/>
      <c r="S47" s="170"/>
      <c r="T47" s="243">
        <v>15700</v>
      </c>
      <c r="U47"/>
    </row>
    <row r="48" spans="1:21" ht="33.75" customHeight="1">
      <c r="A48" s="37" t="s">
        <v>465</v>
      </c>
      <c r="B48" s="208" t="s">
        <v>456</v>
      </c>
      <c r="C48" s="206">
        <f t="shared" si="2"/>
        <v>107220</v>
      </c>
      <c r="D48" s="170">
        <v>107220</v>
      </c>
      <c r="E48" s="170"/>
      <c r="F48" s="170"/>
      <c r="G48" s="170"/>
      <c r="H48" s="170"/>
      <c r="I48" s="206">
        <f t="shared" si="4"/>
        <v>0</v>
      </c>
      <c r="J48" s="170"/>
      <c r="K48" s="170"/>
      <c r="L48" s="170"/>
      <c r="M48" s="170"/>
      <c r="N48" s="206">
        <f t="shared" si="3"/>
        <v>0</v>
      </c>
      <c r="O48" s="170"/>
      <c r="P48" s="170"/>
      <c r="Q48" s="170"/>
      <c r="R48" s="170"/>
      <c r="S48" s="170"/>
      <c r="T48" s="243">
        <v>15800</v>
      </c>
      <c r="U48"/>
    </row>
    <row r="49" spans="1:29" ht="23.25" customHeight="1">
      <c r="A49" s="37" t="s">
        <v>621</v>
      </c>
      <c r="B49" s="208" t="s">
        <v>458</v>
      </c>
      <c r="C49" s="206">
        <f t="shared" si="2"/>
        <v>0</v>
      </c>
      <c r="D49" s="170"/>
      <c r="E49" s="170"/>
      <c r="F49" s="170"/>
      <c r="G49" s="170"/>
      <c r="H49" s="170"/>
      <c r="I49" s="206">
        <f t="shared" si="4"/>
        <v>0</v>
      </c>
      <c r="J49" s="170"/>
      <c r="K49" s="170"/>
      <c r="L49" s="170"/>
      <c r="M49" s="170"/>
      <c r="N49" s="206">
        <f t="shared" si="3"/>
        <v>0</v>
      </c>
      <c r="O49" s="170"/>
      <c r="P49" s="170"/>
      <c r="Q49" s="170"/>
      <c r="R49" s="170"/>
      <c r="S49" s="170"/>
      <c r="T49" s="243">
        <v>15900</v>
      </c>
      <c r="U49"/>
    </row>
    <row r="50" spans="1:29" ht="23.25" customHeight="1">
      <c r="A50" s="37" t="s">
        <v>622</v>
      </c>
      <c r="B50" s="208" t="s">
        <v>460</v>
      </c>
      <c r="C50" s="206">
        <f t="shared" si="2"/>
        <v>409671285</v>
      </c>
      <c r="D50" s="170">
        <v>409671285</v>
      </c>
      <c r="E50" s="170"/>
      <c r="F50" s="170"/>
      <c r="G50" s="170"/>
      <c r="H50" s="170"/>
      <c r="I50" s="206">
        <f t="shared" si="4"/>
        <v>0</v>
      </c>
      <c r="J50" s="170"/>
      <c r="K50" s="170"/>
      <c r="L50" s="170"/>
      <c r="M50" s="170"/>
      <c r="N50" s="206">
        <f t="shared" si="3"/>
        <v>0</v>
      </c>
      <c r="O50" s="170"/>
      <c r="P50" s="170"/>
      <c r="Q50" s="170"/>
      <c r="R50" s="170"/>
      <c r="S50" s="170"/>
      <c r="T50" s="243">
        <v>16300</v>
      </c>
      <c r="U50"/>
    </row>
    <row r="51" spans="1:29" ht="23.25" customHeight="1">
      <c r="A51" s="37" t="s">
        <v>660</v>
      </c>
      <c r="B51" s="208" t="s">
        <v>462</v>
      </c>
      <c r="C51" s="206">
        <f t="shared" si="2"/>
        <v>183842</v>
      </c>
      <c r="D51" s="170">
        <v>183842</v>
      </c>
      <c r="E51" s="170"/>
      <c r="F51" s="170"/>
      <c r="G51" s="170"/>
      <c r="H51" s="170"/>
      <c r="I51" s="206">
        <f t="shared" si="4"/>
        <v>0</v>
      </c>
      <c r="J51" s="170"/>
      <c r="K51" s="170"/>
      <c r="L51" s="170"/>
      <c r="M51" s="170"/>
      <c r="N51" s="206">
        <f t="shared" si="3"/>
        <v>0</v>
      </c>
      <c r="O51" s="170"/>
      <c r="P51" s="170"/>
      <c r="Q51" s="170"/>
      <c r="R51" s="170"/>
      <c r="S51" s="170"/>
      <c r="T51" s="243">
        <v>16400</v>
      </c>
      <c r="U51"/>
    </row>
    <row r="52" spans="1:29" ht="23.25" customHeight="1">
      <c r="A52" s="37" t="s">
        <v>668</v>
      </c>
      <c r="B52" s="208" t="s">
        <v>659</v>
      </c>
      <c r="C52" s="206">
        <f t="shared" si="2"/>
        <v>243315263</v>
      </c>
      <c r="D52" s="170">
        <v>243315263</v>
      </c>
      <c r="E52" s="170"/>
      <c r="F52" s="170"/>
      <c r="G52" s="170"/>
      <c r="H52" s="170"/>
      <c r="I52" s="206">
        <f t="shared" si="4"/>
        <v>0</v>
      </c>
      <c r="J52" s="170"/>
      <c r="K52" s="170"/>
      <c r="L52" s="170"/>
      <c r="M52" s="170"/>
      <c r="N52" s="206">
        <f t="shared" si="3"/>
        <v>0</v>
      </c>
      <c r="O52" s="170"/>
      <c r="P52" s="170"/>
      <c r="Q52" s="170"/>
      <c r="R52" s="170"/>
      <c r="S52" s="170"/>
      <c r="T52" s="243">
        <v>16500</v>
      </c>
      <c r="U52"/>
    </row>
    <row r="53" spans="1:29" ht="23.25" customHeight="1">
      <c r="A53" s="37" t="s">
        <v>669</v>
      </c>
      <c r="B53" s="208" t="s">
        <v>662</v>
      </c>
      <c r="C53" s="206">
        <f t="shared" si="2"/>
        <v>1666881</v>
      </c>
      <c r="D53" s="170">
        <v>1666881</v>
      </c>
      <c r="E53" s="170"/>
      <c r="F53" s="170"/>
      <c r="G53" s="170"/>
      <c r="H53" s="170"/>
      <c r="I53" s="206">
        <f t="shared" si="4"/>
        <v>0</v>
      </c>
      <c r="J53" s="170"/>
      <c r="K53" s="170"/>
      <c r="L53" s="170"/>
      <c r="M53" s="170"/>
      <c r="N53" s="206">
        <f t="shared" si="3"/>
        <v>0</v>
      </c>
      <c r="O53" s="170"/>
      <c r="P53" s="170"/>
      <c r="Q53" s="170"/>
      <c r="R53" s="170"/>
      <c r="S53" s="170"/>
      <c r="T53" s="243">
        <v>16600</v>
      </c>
      <c r="U53"/>
    </row>
    <row r="54" spans="1:29" ht="23.25" customHeight="1">
      <c r="A54" s="37" t="s">
        <v>670</v>
      </c>
      <c r="B54" s="208" t="s">
        <v>464</v>
      </c>
      <c r="C54" s="206">
        <f t="shared" si="2"/>
        <v>60193814</v>
      </c>
      <c r="D54" s="170">
        <v>60193814</v>
      </c>
      <c r="E54" s="170"/>
      <c r="F54" s="170"/>
      <c r="G54" s="170"/>
      <c r="H54" s="170"/>
      <c r="I54" s="206">
        <f t="shared" si="4"/>
        <v>0</v>
      </c>
      <c r="J54" s="170"/>
      <c r="K54" s="170"/>
      <c r="L54" s="170"/>
      <c r="M54" s="170"/>
      <c r="N54" s="206">
        <f t="shared" si="3"/>
        <v>0</v>
      </c>
      <c r="O54" s="170"/>
      <c r="P54" s="170"/>
      <c r="Q54" s="170"/>
      <c r="R54" s="170"/>
      <c r="S54" s="170"/>
      <c r="T54" s="315">
        <v>16700</v>
      </c>
      <c r="U54" s="316"/>
    </row>
    <row r="55" spans="1:29" ht="23.25" customHeight="1">
      <c r="A55" s="318" t="s">
        <v>671</v>
      </c>
      <c r="B55" s="208" t="s">
        <v>693</v>
      </c>
      <c r="C55" s="206">
        <f t="shared" ref="C55" si="6">SUM(D55:H55)-N55+O55</f>
        <v>41560922</v>
      </c>
      <c r="D55" s="170">
        <v>43561403</v>
      </c>
      <c r="E55" s="170"/>
      <c r="F55" s="170"/>
      <c r="G55" s="170"/>
      <c r="H55" s="170"/>
      <c r="I55" s="206">
        <f t="shared" ref="I55" si="7">SUM(J55:M55)</f>
        <v>0</v>
      </c>
      <c r="J55" s="170"/>
      <c r="K55" s="170"/>
      <c r="L55" s="170"/>
      <c r="M55" s="170"/>
      <c r="N55" s="206">
        <f t="shared" ref="N55" si="8">SUM(O55:S55)</f>
        <v>2000481</v>
      </c>
      <c r="O55" s="170"/>
      <c r="P55" s="170">
        <v>2000481</v>
      </c>
      <c r="Q55" s="170"/>
      <c r="R55" s="170"/>
      <c r="S55" s="170"/>
      <c r="T55" s="319">
        <v>16800</v>
      </c>
      <c r="U55" s="320"/>
    </row>
    <row r="56" spans="1:29" ht="23.25" customHeight="1">
      <c r="A56" s="37" t="s">
        <v>672</v>
      </c>
      <c r="B56" s="208" t="s">
        <v>663</v>
      </c>
      <c r="C56" s="206">
        <f t="shared" si="2"/>
        <v>0</v>
      </c>
      <c r="D56" s="170"/>
      <c r="E56" s="170"/>
      <c r="F56" s="170"/>
      <c r="G56" s="170"/>
      <c r="H56" s="170"/>
      <c r="I56" s="206">
        <f t="shared" si="4"/>
        <v>0</v>
      </c>
      <c r="J56" s="170"/>
      <c r="K56" s="170"/>
      <c r="L56" s="170"/>
      <c r="M56" s="170"/>
      <c r="N56" s="206">
        <f t="shared" si="3"/>
        <v>0</v>
      </c>
      <c r="O56" s="170"/>
      <c r="P56" s="170"/>
      <c r="Q56" s="170"/>
      <c r="R56" s="170"/>
      <c r="S56" s="170"/>
      <c r="T56" s="315">
        <v>16900</v>
      </c>
      <c r="U56" s="316"/>
    </row>
    <row r="57" spans="1:29" ht="23.25" customHeight="1">
      <c r="A57" s="37" t="s">
        <v>673</v>
      </c>
      <c r="B57" s="208" t="s">
        <v>664</v>
      </c>
      <c r="C57" s="206">
        <f t="shared" si="2"/>
        <v>0</v>
      </c>
      <c r="D57" s="170"/>
      <c r="E57" s="170"/>
      <c r="F57" s="170"/>
      <c r="G57" s="170"/>
      <c r="H57" s="170"/>
      <c r="I57" s="206">
        <f t="shared" si="4"/>
        <v>0</v>
      </c>
      <c r="J57" s="170"/>
      <c r="K57" s="170"/>
      <c r="L57" s="170"/>
      <c r="M57" s="170"/>
      <c r="N57" s="206">
        <f t="shared" si="3"/>
        <v>0</v>
      </c>
      <c r="O57" s="170"/>
      <c r="P57" s="170"/>
      <c r="Q57" s="170"/>
      <c r="R57" s="170"/>
      <c r="S57" s="170"/>
      <c r="T57" s="315">
        <v>17100</v>
      </c>
      <c r="U57" s="316"/>
    </row>
    <row r="58" spans="1:29" ht="23.25" customHeight="1">
      <c r="A58" s="37" t="s">
        <v>679</v>
      </c>
      <c r="B58" s="208" t="s">
        <v>665</v>
      </c>
      <c r="C58" s="206">
        <f t="shared" si="2"/>
        <v>0</v>
      </c>
      <c r="D58" s="170"/>
      <c r="E58" s="170"/>
      <c r="F58" s="170"/>
      <c r="G58" s="170"/>
      <c r="H58" s="170"/>
      <c r="I58" s="206">
        <f t="shared" si="4"/>
        <v>0</v>
      </c>
      <c r="J58" s="170"/>
      <c r="K58" s="170"/>
      <c r="L58" s="170"/>
      <c r="M58" s="170"/>
      <c r="N58" s="206">
        <f t="shared" si="3"/>
        <v>0</v>
      </c>
      <c r="O58" s="170"/>
      <c r="P58" s="170"/>
      <c r="Q58" s="170"/>
      <c r="R58" s="170"/>
      <c r="S58" s="170"/>
      <c r="T58" s="315">
        <v>17300</v>
      </c>
      <c r="U58" s="316"/>
    </row>
    <row r="59" spans="1:29" ht="23.25" customHeight="1">
      <c r="A59" s="37" t="s">
        <v>680</v>
      </c>
      <c r="B59" s="208" t="s">
        <v>666</v>
      </c>
      <c r="C59" s="206">
        <f t="shared" si="2"/>
        <v>4511304</v>
      </c>
      <c r="D59" s="170">
        <v>4511304</v>
      </c>
      <c r="E59" s="170"/>
      <c r="F59" s="170"/>
      <c r="G59" s="170"/>
      <c r="H59" s="170"/>
      <c r="I59" s="206">
        <f t="shared" si="4"/>
        <v>0</v>
      </c>
      <c r="J59" s="170"/>
      <c r="K59" s="170"/>
      <c r="L59" s="170"/>
      <c r="M59" s="170"/>
      <c r="N59" s="206">
        <f t="shared" si="3"/>
        <v>0</v>
      </c>
      <c r="O59" s="170"/>
      <c r="P59" s="170"/>
      <c r="Q59" s="170"/>
      <c r="R59" s="170"/>
      <c r="S59" s="170"/>
      <c r="T59" s="315">
        <v>17400</v>
      </c>
      <c r="U59" s="316"/>
      <c r="V59" s="38"/>
      <c r="W59" s="38"/>
      <c r="X59" s="38"/>
      <c r="Y59" s="38"/>
      <c r="Z59" s="38"/>
      <c r="AA59" s="38"/>
      <c r="AB59" s="38"/>
      <c r="AC59" s="38"/>
    </row>
    <row r="60" spans="1:29" s="38" customFormat="1" ht="23.25" customHeight="1">
      <c r="A60" s="37" t="s">
        <v>692</v>
      </c>
      <c r="B60" s="208" t="s">
        <v>202</v>
      </c>
      <c r="C60" s="206">
        <f t="shared" si="2"/>
        <v>212216915</v>
      </c>
      <c r="D60" s="170">
        <v>212341068</v>
      </c>
      <c r="E60" s="170"/>
      <c r="F60" s="170"/>
      <c r="G60" s="170"/>
      <c r="H60" s="170"/>
      <c r="I60" s="206">
        <f t="shared" si="4"/>
        <v>0</v>
      </c>
      <c r="J60" s="170"/>
      <c r="K60" s="170"/>
      <c r="L60" s="170"/>
      <c r="M60" s="170"/>
      <c r="N60" s="206">
        <f t="shared" si="3"/>
        <v>48842312</v>
      </c>
      <c r="O60" s="170">
        <v>48718159</v>
      </c>
      <c r="P60" s="170">
        <v>124153</v>
      </c>
      <c r="Q60" s="170"/>
      <c r="R60" s="170"/>
      <c r="S60" s="170"/>
      <c r="T60" s="315">
        <v>19900</v>
      </c>
      <c r="U60" s="316"/>
      <c r="V60" s="32"/>
      <c r="W60" s="32"/>
      <c r="X60" s="32"/>
      <c r="Y60" s="32"/>
      <c r="Z60" s="32"/>
      <c r="AA60" s="32"/>
      <c r="AB60" s="32"/>
      <c r="AC60" s="32"/>
    </row>
    <row r="61" spans="1:29" s="38" customFormat="1" ht="15" customHeight="1">
      <c r="A61" s="37"/>
      <c r="B61" s="208"/>
      <c r="C61" s="206"/>
      <c r="D61" s="206"/>
      <c r="E61" s="207"/>
      <c r="F61" s="207"/>
      <c r="G61" s="207"/>
      <c r="H61" s="207"/>
      <c r="I61" s="206"/>
      <c r="J61" s="170"/>
      <c r="K61" s="170"/>
      <c r="L61" s="170"/>
      <c r="M61" s="170"/>
      <c r="N61" s="206"/>
      <c r="O61" s="172"/>
      <c r="P61" s="172"/>
      <c r="Q61" s="172"/>
      <c r="R61" s="172"/>
      <c r="S61" s="172"/>
      <c r="T61" s="243"/>
      <c r="U61"/>
      <c r="V61" s="32"/>
      <c r="W61" s="32"/>
      <c r="X61" s="32"/>
      <c r="Y61" s="32"/>
      <c r="Z61" s="32"/>
      <c r="AA61" s="32"/>
      <c r="AB61" s="32"/>
      <c r="AC61" s="32"/>
    </row>
    <row r="62" spans="1:29" s="32" customFormat="1" ht="23.25" customHeight="1">
      <c r="A62" s="248"/>
      <c r="B62" s="249" t="s">
        <v>466</v>
      </c>
      <c r="C62" s="250">
        <f t="shared" ref="C62" si="9">SUM(D62:H62)</f>
        <v>220858819</v>
      </c>
      <c r="D62" s="250">
        <f>SUM(D63:D64)</f>
        <v>220858819</v>
      </c>
      <c r="E62" s="250">
        <f>SUM(E63:E64)</f>
        <v>0</v>
      </c>
      <c r="F62" s="250">
        <f>SUM(F63:F64)</f>
        <v>0</v>
      </c>
      <c r="G62" s="250">
        <f>SUM(G63:G64)</f>
        <v>0</v>
      </c>
      <c r="H62" s="250">
        <f>SUM(H63:H64)</f>
        <v>0</v>
      </c>
      <c r="I62" s="250">
        <f t="shared" ref="I62:I64" si="10">SUM(J62:M62)</f>
        <v>0</v>
      </c>
      <c r="J62" s="250">
        <f t="shared" ref="J62:S62" si="11">SUM(J63:J64)</f>
        <v>0</v>
      </c>
      <c r="K62" s="250">
        <f t="shared" si="11"/>
        <v>0</v>
      </c>
      <c r="L62" s="250">
        <f t="shared" si="11"/>
        <v>0</v>
      </c>
      <c r="M62" s="250">
        <f t="shared" si="11"/>
        <v>0</v>
      </c>
      <c r="N62" s="250">
        <f t="shared" si="11"/>
        <v>0</v>
      </c>
      <c r="O62" s="250">
        <f t="shared" si="11"/>
        <v>0</v>
      </c>
      <c r="P62" s="250">
        <f t="shared" si="11"/>
        <v>0</v>
      </c>
      <c r="Q62" s="250">
        <f t="shared" si="11"/>
        <v>0</v>
      </c>
      <c r="R62" s="250">
        <f t="shared" si="11"/>
        <v>0</v>
      </c>
      <c r="S62" s="250">
        <f t="shared" si="11"/>
        <v>0</v>
      </c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 spans="1:29" ht="23.25" customHeight="1">
      <c r="A63" s="37" t="s">
        <v>5</v>
      </c>
      <c r="B63" s="208" t="s">
        <v>88</v>
      </c>
      <c r="C63" s="206">
        <f t="shared" ref="C63:C64" si="12">SUM(D63:H63)-N63+O63</f>
        <v>39430828</v>
      </c>
      <c r="D63" s="170">
        <v>39430828</v>
      </c>
      <c r="E63" s="171"/>
      <c r="F63" s="171"/>
      <c r="G63" s="171"/>
      <c r="H63" s="171"/>
      <c r="I63" s="206">
        <f t="shared" si="10"/>
        <v>0</v>
      </c>
      <c r="J63" s="172"/>
      <c r="K63" s="172"/>
      <c r="L63" s="172"/>
      <c r="M63" s="172"/>
      <c r="N63" s="206">
        <f t="shared" ref="N63:N64" si="13">SUM(O63:S63)</f>
        <v>0</v>
      </c>
      <c r="O63" s="170"/>
      <c r="P63" s="172"/>
      <c r="Q63" s="172"/>
      <c r="R63" s="172"/>
      <c r="S63" s="172"/>
      <c r="T63" s="242" t="s">
        <v>768</v>
      </c>
    </row>
    <row r="64" spans="1:29" ht="23.25" customHeight="1">
      <c r="A64" s="37" t="s">
        <v>8</v>
      </c>
      <c r="B64" s="208" t="s">
        <v>467</v>
      </c>
      <c r="C64" s="206">
        <f t="shared" si="12"/>
        <v>181427991</v>
      </c>
      <c r="D64" s="170">
        <v>181427991</v>
      </c>
      <c r="E64" s="171"/>
      <c r="F64" s="171"/>
      <c r="G64" s="171"/>
      <c r="H64" s="171"/>
      <c r="I64" s="206">
        <f t="shared" si="10"/>
        <v>0</v>
      </c>
      <c r="J64" s="172"/>
      <c r="K64" s="172"/>
      <c r="L64" s="172"/>
      <c r="M64" s="172"/>
      <c r="N64" s="206">
        <f t="shared" si="13"/>
        <v>0</v>
      </c>
      <c r="O64" s="170"/>
      <c r="P64" s="172"/>
      <c r="Q64" s="172"/>
      <c r="R64" s="172"/>
      <c r="S64" s="172"/>
      <c r="T64" s="33">
        <v>90993</v>
      </c>
    </row>
    <row r="67" spans="1:32" s="78" customFormat="1" ht="15" customHeight="1">
      <c r="A67" s="95"/>
      <c r="B67" s="10" t="s">
        <v>0</v>
      </c>
      <c r="C67" s="79"/>
      <c r="D67" s="79"/>
      <c r="E67" s="79"/>
      <c r="F67" s="150"/>
      <c r="G67" s="150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79"/>
      <c r="Z67" s="79"/>
      <c r="AA67" s="79"/>
      <c r="AB67" s="79"/>
      <c r="AC67" s="79"/>
      <c r="AD67" s="79"/>
      <c r="AE67" s="79"/>
      <c r="AF67" s="79"/>
    </row>
    <row r="68" spans="1:32" s="78" customFormat="1" ht="15" customHeight="1">
      <c r="A68" s="95"/>
      <c r="B68" s="10"/>
      <c r="C68" s="79"/>
      <c r="D68" s="79"/>
      <c r="E68" s="79"/>
      <c r="F68" s="150"/>
      <c r="G68" s="150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33"/>
      <c r="V68" s="151"/>
      <c r="W68" s="151"/>
      <c r="X68" s="151"/>
      <c r="Y68" s="79"/>
      <c r="Z68" s="79"/>
      <c r="AA68" s="79"/>
      <c r="AB68" s="79"/>
      <c r="AC68" s="79"/>
      <c r="AD68" s="79"/>
      <c r="AE68" s="79"/>
      <c r="AF68" s="79"/>
    </row>
    <row r="69" spans="1:32" s="78" customFormat="1" ht="15" customHeight="1">
      <c r="A69" s="95"/>
      <c r="B69" s="10" t="s">
        <v>1</v>
      </c>
      <c r="C69" s="79"/>
      <c r="D69" s="79"/>
      <c r="E69" s="79"/>
      <c r="F69" s="150"/>
      <c r="G69" s="150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79"/>
      <c r="AE69" s="79"/>
      <c r="AF69" s="79"/>
    </row>
    <row r="71" spans="1:32">
      <c r="B71" s="39" t="s">
        <v>468</v>
      </c>
    </row>
    <row r="72" spans="1:32">
      <c r="C72" s="296">
        <f>+[8]Balance!$C$45</f>
        <v>13483353628</v>
      </c>
    </row>
  </sheetData>
  <sheetProtection sheet="1" objects="1" scenarios="1"/>
  <mergeCells count="17"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  <mergeCell ref="N5:S5"/>
    <mergeCell ref="P3:Q3"/>
    <mergeCell ref="N6:N7"/>
  </mergeCells>
  <conditionalFormatting sqref="C9">
    <cfRule type="cellIs" dxfId="269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5" orientation="landscape" r:id="rId1"/>
  <ignoredErrors>
    <ignoredError sqref="I62 E63:H63 T62 Q62:S62 T65 C65:O66 O62 Q65:S66" unlockedFormula="1"/>
    <ignoredError sqref="N62" formulaRange="1" unlockedFormula="1"/>
    <ignoredError sqref="N61 N6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G97"/>
  <sheetViews>
    <sheetView tabSelected="1" view="pageBreakPreview" zoomScaleSheetLayoutView="100" workbookViewId="0">
      <pane xSplit="2" ySplit="4" topLeftCell="C53" activePane="bottomRight" state="frozen"/>
      <selection activeCell="C73" sqref="C73"/>
      <selection pane="topRight" activeCell="C73" sqref="C73"/>
      <selection pane="bottomLeft" activeCell="C73" sqref="C73"/>
      <selection pane="bottomRight" activeCell="G28" activeCellId="1" sqref="C28 G28"/>
    </sheetView>
  </sheetViews>
  <sheetFormatPr defaultRowHeight="15" customHeight="1"/>
  <cols>
    <col min="1" max="1" width="5.7109375" style="502" customWidth="1"/>
    <col min="2" max="2" width="80.28515625" style="79" customWidth="1"/>
    <col min="3" max="5" width="16.85546875" style="79" customWidth="1"/>
    <col min="6" max="6" width="7.42578125" style="79" customWidth="1"/>
    <col min="7" max="7" width="11.140625" style="79" bestFit="1" customWidth="1"/>
    <col min="8" max="10" width="7.42578125" style="79" customWidth="1"/>
    <col min="11" max="16384" width="9.140625" style="79"/>
  </cols>
  <sheetData>
    <row r="1" spans="1:7" ht="18.75" customHeight="1">
      <c r="A1" s="467"/>
      <c r="B1" s="468" t="s">
        <v>640</v>
      </c>
      <c r="D1" s="367" t="s">
        <v>558</v>
      </c>
      <c r="E1" s="367"/>
    </row>
    <row r="2" spans="1:7" ht="7.5" customHeight="1">
      <c r="A2" s="467"/>
      <c r="B2" s="468"/>
      <c r="C2" s="367"/>
      <c r="D2" s="367"/>
      <c r="E2" s="367"/>
    </row>
    <row r="3" spans="1:7" ht="15" customHeight="1">
      <c r="A3" s="469"/>
      <c r="B3" s="466" t="str">
        <f>+'Asset quality'!B3</f>
        <v>"Микрокредитбанк"</v>
      </c>
      <c r="C3" s="459">
        <f>+'Asset quality'!P3</f>
        <v>44560</v>
      </c>
      <c r="D3" s="459"/>
      <c r="E3" s="368" t="s">
        <v>3</v>
      </c>
    </row>
    <row r="4" spans="1:7" ht="42" customHeight="1">
      <c r="A4" s="204" t="s">
        <v>83</v>
      </c>
      <c r="B4" s="204" t="s">
        <v>2</v>
      </c>
      <c r="C4" s="204" t="s">
        <v>279</v>
      </c>
      <c r="D4" s="204" t="s">
        <v>280</v>
      </c>
      <c r="E4" s="204" t="s">
        <v>281</v>
      </c>
    </row>
    <row r="5" spans="1:7" ht="15" customHeight="1">
      <c r="A5" s="470" t="s">
        <v>303</v>
      </c>
      <c r="B5" s="471" t="s">
        <v>4</v>
      </c>
      <c r="C5" s="204"/>
      <c r="D5" s="204"/>
      <c r="E5" s="204"/>
    </row>
    <row r="6" spans="1:7" ht="15" customHeight="1">
      <c r="A6" s="472" t="s">
        <v>304</v>
      </c>
      <c r="B6" s="473" t="s">
        <v>292</v>
      </c>
      <c r="C6" s="342">
        <f>+D6+E6</f>
        <v>11869803</v>
      </c>
      <c r="D6" s="341">
        <v>11869803</v>
      </c>
      <c r="E6" s="341"/>
    </row>
    <row r="7" spans="1:7" ht="15" customHeight="1">
      <c r="A7" s="472" t="s">
        <v>305</v>
      </c>
      <c r="B7" s="473" t="s">
        <v>293</v>
      </c>
      <c r="C7" s="342">
        <f t="shared" ref="C7:C15" si="0">+D7+E7</f>
        <v>28944280</v>
      </c>
      <c r="D7" s="341">
        <v>28944280</v>
      </c>
      <c r="E7" s="341"/>
    </row>
    <row r="8" spans="1:7" ht="15" customHeight="1">
      <c r="A8" s="472" t="s">
        <v>306</v>
      </c>
      <c r="B8" s="473" t="s">
        <v>294</v>
      </c>
      <c r="C8" s="342">
        <f t="shared" si="0"/>
        <v>0</v>
      </c>
      <c r="D8" s="341">
        <v>0</v>
      </c>
      <c r="E8" s="341"/>
    </row>
    <row r="9" spans="1:7" ht="15" customHeight="1">
      <c r="A9" s="472" t="s">
        <v>307</v>
      </c>
      <c r="B9" s="474" t="s">
        <v>295</v>
      </c>
      <c r="C9" s="342">
        <f t="shared" si="0"/>
        <v>0</v>
      </c>
      <c r="D9" s="341">
        <v>0</v>
      </c>
      <c r="E9" s="341"/>
    </row>
    <row r="10" spans="1:7" ht="15" customHeight="1">
      <c r="A10" s="472" t="s">
        <v>308</v>
      </c>
      <c r="B10" s="473" t="s">
        <v>296</v>
      </c>
      <c r="C10" s="342">
        <f t="shared" si="0"/>
        <v>44382395</v>
      </c>
      <c r="D10" s="341">
        <v>44382395</v>
      </c>
      <c r="E10" s="341"/>
    </row>
    <row r="11" spans="1:7" ht="15" customHeight="1">
      <c r="A11" s="475" t="s">
        <v>309</v>
      </c>
      <c r="B11" s="476" t="s">
        <v>297</v>
      </c>
      <c r="C11" s="342">
        <f t="shared" si="0"/>
        <v>0</v>
      </c>
      <c r="D11" s="341">
        <v>0</v>
      </c>
      <c r="E11" s="341"/>
    </row>
    <row r="12" spans="1:7" ht="15" customHeight="1">
      <c r="A12" s="475" t="s">
        <v>310</v>
      </c>
      <c r="B12" s="476" t="s">
        <v>298</v>
      </c>
      <c r="C12" s="342">
        <f t="shared" si="0"/>
        <v>0</v>
      </c>
      <c r="D12" s="341">
        <v>0</v>
      </c>
      <c r="E12" s="341"/>
    </row>
    <row r="13" spans="1:7" ht="15" customHeight="1">
      <c r="A13" s="475" t="s">
        <v>311</v>
      </c>
      <c r="B13" s="477" t="s">
        <v>299</v>
      </c>
      <c r="C13" s="342">
        <f t="shared" si="0"/>
        <v>1385765541</v>
      </c>
      <c r="D13" s="341">
        <v>1385765541</v>
      </c>
      <c r="E13" s="341"/>
    </row>
    <row r="14" spans="1:7" ht="15" customHeight="1">
      <c r="A14" s="478" t="s">
        <v>312</v>
      </c>
      <c r="B14" s="479" t="s">
        <v>300</v>
      </c>
      <c r="C14" s="342">
        <f t="shared" si="0"/>
        <v>0</v>
      </c>
      <c r="D14" s="341">
        <v>0</v>
      </c>
      <c r="E14" s="341"/>
    </row>
    <row r="15" spans="1:7" ht="15" customHeight="1">
      <c r="A15" s="478" t="s">
        <v>313</v>
      </c>
      <c r="B15" s="480" t="s">
        <v>301</v>
      </c>
      <c r="C15" s="342">
        <f t="shared" si="0"/>
        <v>721832881</v>
      </c>
      <c r="D15" s="341">
        <v>721832881</v>
      </c>
      <c r="E15" s="341"/>
    </row>
    <row r="16" spans="1:7" ht="15" customHeight="1">
      <c r="A16" s="470" t="s">
        <v>314</v>
      </c>
      <c r="B16" s="481" t="s">
        <v>302</v>
      </c>
      <c r="C16" s="212">
        <f>SUM(C6:C15)</f>
        <v>2192794900</v>
      </c>
      <c r="D16" s="212">
        <f>SUM(D6:D15)</f>
        <v>2192794900</v>
      </c>
      <c r="E16" s="212">
        <f>SUM(E6:E15)</f>
        <v>0</v>
      </c>
      <c r="G16" s="482">
        <f>+'Analysis of Interest'!C42</f>
        <v>2192794900</v>
      </c>
    </row>
    <row r="17" spans="1:7" ht="7.5" customHeight="1">
      <c r="A17" s="470"/>
      <c r="B17" s="471"/>
      <c r="C17" s="369"/>
      <c r="D17" s="369"/>
      <c r="E17" s="369"/>
    </row>
    <row r="18" spans="1:7" ht="15" customHeight="1">
      <c r="A18" s="470" t="s">
        <v>315</v>
      </c>
      <c r="B18" s="471" t="s">
        <v>349</v>
      </c>
      <c r="C18" s="204"/>
      <c r="D18" s="204"/>
      <c r="E18" s="204"/>
    </row>
    <row r="19" spans="1:7" ht="15" customHeight="1">
      <c r="A19" s="464" t="s">
        <v>316</v>
      </c>
      <c r="B19" s="483" t="s">
        <v>282</v>
      </c>
      <c r="C19" s="342">
        <f t="shared" ref="C19:C22" si="1">+D19+E19</f>
        <v>10598750</v>
      </c>
      <c r="D19" s="341">
        <v>10598750</v>
      </c>
      <c r="E19" s="341"/>
    </row>
    <row r="20" spans="1:7" ht="15" customHeight="1">
      <c r="A20" s="464" t="s">
        <v>317</v>
      </c>
      <c r="B20" s="483" t="s">
        <v>283</v>
      </c>
      <c r="C20" s="342">
        <f t="shared" si="1"/>
        <v>315483464</v>
      </c>
      <c r="D20" s="341">
        <v>315483464</v>
      </c>
      <c r="E20" s="341"/>
    </row>
    <row r="21" spans="1:7" ht="15" customHeight="1">
      <c r="A21" s="464" t="s">
        <v>318</v>
      </c>
      <c r="B21" s="483" t="s">
        <v>284</v>
      </c>
      <c r="C21" s="342">
        <f t="shared" si="1"/>
        <v>0</v>
      </c>
      <c r="D21" s="341">
        <v>0</v>
      </c>
      <c r="E21" s="341"/>
    </row>
    <row r="22" spans="1:7" ht="15" customHeight="1">
      <c r="A22" s="464" t="s">
        <v>319</v>
      </c>
      <c r="B22" s="483" t="s">
        <v>285</v>
      </c>
      <c r="C22" s="342">
        <f t="shared" si="1"/>
        <v>153216785</v>
      </c>
      <c r="D22" s="341">
        <v>153216785</v>
      </c>
      <c r="E22" s="341"/>
    </row>
    <row r="23" spans="1:7" s="10" customFormat="1" ht="15" customHeight="1">
      <c r="A23" s="484" t="s">
        <v>320</v>
      </c>
      <c r="B23" s="485" t="s">
        <v>286</v>
      </c>
      <c r="C23" s="212">
        <f>SUM(C19:C22)</f>
        <v>479298999</v>
      </c>
      <c r="D23" s="212">
        <f>SUM(D19:D22)</f>
        <v>479298999</v>
      </c>
      <c r="E23" s="212">
        <f>SUM(E19:E22)</f>
        <v>0</v>
      </c>
    </row>
    <row r="24" spans="1:7" ht="15.75" customHeight="1">
      <c r="A24" s="464" t="s">
        <v>321</v>
      </c>
      <c r="B24" s="483" t="s">
        <v>287</v>
      </c>
      <c r="C24" s="342">
        <f t="shared" ref="C24:C26" si="2">+D24+E24</f>
        <v>368022621</v>
      </c>
      <c r="D24" s="341">
        <v>368022621</v>
      </c>
      <c r="E24" s="341"/>
    </row>
    <row r="25" spans="1:7" ht="15.75" customHeight="1">
      <c r="A25" s="486" t="s">
        <v>322</v>
      </c>
      <c r="B25" s="487" t="s">
        <v>288</v>
      </c>
      <c r="C25" s="342">
        <f t="shared" si="2"/>
        <v>0</v>
      </c>
      <c r="D25" s="341">
        <v>0</v>
      </c>
      <c r="E25" s="341"/>
    </row>
    <row r="26" spans="1:7" ht="15.75" customHeight="1">
      <c r="A26" s="486" t="s">
        <v>323</v>
      </c>
      <c r="B26" s="487" t="s">
        <v>289</v>
      </c>
      <c r="C26" s="342">
        <f t="shared" si="2"/>
        <v>720214053</v>
      </c>
      <c r="D26" s="341">
        <v>720214053</v>
      </c>
      <c r="E26" s="341"/>
    </row>
    <row r="27" spans="1:7" ht="15" customHeight="1">
      <c r="A27" s="488" t="s">
        <v>324</v>
      </c>
      <c r="B27" s="489" t="s">
        <v>290</v>
      </c>
      <c r="C27" s="212">
        <f>SUM(C24:C26)</f>
        <v>1088236674</v>
      </c>
      <c r="D27" s="212">
        <f>SUM(D24:D26)</f>
        <v>1088236674</v>
      </c>
      <c r="E27" s="212">
        <f>SUM(E24:E26)</f>
        <v>0</v>
      </c>
    </row>
    <row r="28" spans="1:7" ht="15" customHeight="1">
      <c r="A28" s="488" t="s">
        <v>325</v>
      </c>
      <c r="B28" s="489" t="s">
        <v>291</v>
      </c>
      <c r="C28" s="212">
        <f>C27+C23</f>
        <v>1567535673</v>
      </c>
      <c r="D28" s="212">
        <f>D27+D23</f>
        <v>1567535673</v>
      </c>
      <c r="E28" s="212">
        <f>E27+E23</f>
        <v>0</v>
      </c>
      <c r="G28" s="482">
        <f>+'Analysis of Interest'!C72</f>
        <v>1567535673</v>
      </c>
    </row>
    <row r="29" spans="1:7" ht="7.5" customHeight="1">
      <c r="A29" s="464"/>
      <c r="B29" s="483"/>
      <c r="C29" s="369"/>
      <c r="D29" s="369"/>
      <c r="E29" s="369"/>
    </row>
    <row r="30" spans="1:7" s="492" customFormat="1" ht="25.5">
      <c r="A30" s="490" t="s">
        <v>200</v>
      </c>
      <c r="B30" s="491" t="s">
        <v>703</v>
      </c>
      <c r="C30" s="212">
        <f>C16-C28</f>
        <v>625259227</v>
      </c>
      <c r="D30" s="212">
        <f>D16-D28</f>
        <v>625259227</v>
      </c>
      <c r="E30" s="212">
        <f>E16-E28</f>
        <v>0</v>
      </c>
    </row>
    <row r="31" spans="1:7" ht="15.75" customHeight="1">
      <c r="A31" s="486" t="s">
        <v>326</v>
      </c>
      <c r="B31" s="493" t="s">
        <v>350</v>
      </c>
      <c r="C31" s="342">
        <f t="shared" ref="C31:C34" si="3">+D31+E31</f>
        <v>432519815</v>
      </c>
      <c r="D31" s="341">
        <v>432519815</v>
      </c>
      <c r="E31" s="341"/>
    </row>
    <row r="32" spans="1:7" ht="15.75" customHeight="1">
      <c r="A32" s="486" t="s">
        <v>697</v>
      </c>
      <c r="B32" s="487" t="s">
        <v>698</v>
      </c>
      <c r="C32" s="342">
        <f t="shared" si="3"/>
        <v>0</v>
      </c>
      <c r="D32" s="341">
        <v>0</v>
      </c>
      <c r="E32" s="341">
        <v>0</v>
      </c>
    </row>
    <row r="33" spans="1:5" ht="15.75" customHeight="1">
      <c r="A33" s="486" t="s">
        <v>699</v>
      </c>
      <c r="B33" s="487" t="s">
        <v>700</v>
      </c>
      <c r="C33" s="342">
        <f t="shared" si="3"/>
        <v>0</v>
      </c>
      <c r="D33" s="341">
        <v>0</v>
      </c>
      <c r="E33" s="341">
        <v>0</v>
      </c>
    </row>
    <row r="34" spans="1:5" ht="15.75" customHeight="1">
      <c r="A34" s="486" t="s">
        <v>701</v>
      </c>
      <c r="B34" s="487" t="s">
        <v>702</v>
      </c>
      <c r="C34" s="342">
        <f t="shared" si="3"/>
        <v>2000</v>
      </c>
      <c r="D34" s="341">
        <v>2000</v>
      </c>
      <c r="E34" s="341">
        <v>0</v>
      </c>
    </row>
    <row r="35" spans="1:5" ht="25.5">
      <c r="A35" s="490" t="s">
        <v>767</v>
      </c>
      <c r="B35" s="491" t="s">
        <v>351</v>
      </c>
      <c r="C35" s="212">
        <f>C30-C31-C32-C33-C34</f>
        <v>192737412</v>
      </c>
      <c r="D35" s="212">
        <f>D30-D31-D32-D33-D34</f>
        <v>192737412</v>
      </c>
      <c r="E35" s="212">
        <f>E30-E31-E32-E33-E34</f>
        <v>0</v>
      </c>
    </row>
    <row r="36" spans="1:5" ht="7.5" customHeight="1">
      <c r="A36" s="464"/>
      <c r="B36" s="483"/>
      <c r="C36" s="369"/>
      <c r="D36" s="369"/>
      <c r="E36" s="369"/>
    </row>
    <row r="37" spans="1:5" ht="15" customHeight="1">
      <c r="A37" s="484" t="s">
        <v>327</v>
      </c>
      <c r="B37" s="485" t="s">
        <v>352</v>
      </c>
      <c r="C37" s="204"/>
      <c r="D37" s="204"/>
      <c r="E37" s="204"/>
    </row>
    <row r="38" spans="1:5" ht="15" customHeight="1">
      <c r="A38" s="464" t="s">
        <v>328</v>
      </c>
      <c r="B38" s="483" t="s">
        <v>353</v>
      </c>
      <c r="C38" s="342">
        <f t="shared" ref="C38:C42" si="4">+D38+E38</f>
        <v>125051652</v>
      </c>
      <c r="D38" s="341">
        <v>125051652</v>
      </c>
      <c r="E38" s="341"/>
    </row>
    <row r="39" spans="1:5" ht="15" customHeight="1">
      <c r="A39" s="464" t="s">
        <v>329</v>
      </c>
      <c r="B39" s="483" t="s">
        <v>354</v>
      </c>
      <c r="C39" s="342">
        <f>+D39+E39</f>
        <v>186840469</v>
      </c>
      <c r="D39" s="341">
        <v>0</v>
      </c>
      <c r="E39" s="341">
        <v>186840469</v>
      </c>
    </row>
    <row r="40" spans="1:5" ht="15" customHeight="1">
      <c r="A40" s="464" t="s">
        <v>330</v>
      </c>
      <c r="B40" s="483" t="s">
        <v>355</v>
      </c>
      <c r="C40" s="342">
        <f t="shared" si="4"/>
        <v>0</v>
      </c>
      <c r="D40" s="341">
        <v>0</v>
      </c>
      <c r="E40" s="341"/>
    </row>
    <row r="41" spans="1:5" ht="15" customHeight="1">
      <c r="A41" s="464" t="s">
        <v>331</v>
      </c>
      <c r="B41" s="483" t="s">
        <v>356</v>
      </c>
      <c r="C41" s="342">
        <f t="shared" si="4"/>
        <v>167042</v>
      </c>
      <c r="D41" s="341">
        <v>167042</v>
      </c>
      <c r="E41" s="341"/>
    </row>
    <row r="42" spans="1:5" ht="15" customHeight="1">
      <c r="A42" s="464" t="s">
        <v>332</v>
      </c>
      <c r="B42" s="483" t="s">
        <v>357</v>
      </c>
      <c r="C42" s="342">
        <f t="shared" si="4"/>
        <v>236403493</v>
      </c>
      <c r="D42" s="341">
        <v>236403493</v>
      </c>
      <c r="E42" s="341"/>
    </row>
    <row r="43" spans="1:5" s="95" customFormat="1" ht="15" customHeight="1">
      <c r="A43" s="563"/>
      <c r="B43" s="598" t="s">
        <v>616</v>
      </c>
      <c r="C43" s="342"/>
      <c r="D43" s="341">
        <v>0</v>
      </c>
      <c r="E43" s="341"/>
    </row>
    <row r="44" spans="1:5" s="95" customFormat="1" ht="15" customHeight="1">
      <c r="A44" s="563" t="s">
        <v>853</v>
      </c>
      <c r="B44" s="494" t="s">
        <v>831</v>
      </c>
      <c r="C44" s="342">
        <f>+D44+E44</f>
        <v>0</v>
      </c>
      <c r="D44" s="341">
        <v>0</v>
      </c>
      <c r="E44" s="341"/>
    </row>
    <row r="45" spans="1:5" s="95" customFormat="1" ht="15" customHeight="1">
      <c r="A45" s="563" t="s">
        <v>854</v>
      </c>
      <c r="B45" s="494" t="s">
        <v>832</v>
      </c>
      <c r="C45" s="342">
        <f>+D45+E45</f>
        <v>221460341</v>
      </c>
      <c r="D45" s="341">
        <v>221460341</v>
      </c>
      <c r="E45" s="341"/>
    </row>
    <row r="46" spans="1:5" ht="15" customHeight="1">
      <c r="A46" s="484" t="s">
        <v>333</v>
      </c>
      <c r="B46" s="485" t="s">
        <v>358</v>
      </c>
      <c r="C46" s="212">
        <f>SUM(C38:C42)</f>
        <v>548462656</v>
      </c>
      <c r="D46" s="212">
        <f>SUM(D38:D42)</f>
        <v>361622187</v>
      </c>
      <c r="E46" s="212">
        <f>SUM(E38:E42)</f>
        <v>186840469</v>
      </c>
    </row>
    <row r="47" spans="1:5" ht="7.5" customHeight="1">
      <c r="A47" s="464"/>
      <c r="B47" s="483"/>
      <c r="C47" s="369"/>
      <c r="D47" s="369"/>
      <c r="E47" s="369"/>
    </row>
    <row r="48" spans="1:5" ht="15" customHeight="1">
      <c r="A48" s="484" t="s">
        <v>334</v>
      </c>
      <c r="B48" s="485" t="s">
        <v>359</v>
      </c>
      <c r="C48" s="204"/>
      <c r="D48" s="204"/>
      <c r="E48" s="204"/>
    </row>
    <row r="49" spans="1:5" ht="15" customHeight="1">
      <c r="A49" s="464" t="s">
        <v>328</v>
      </c>
      <c r="B49" s="483" t="s">
        <v>360</v>
      </c>
      <c r="C49" s="342">
        <f t="shared" ref="C49:C53" si="5">+D49+E49</f>
        <v>45959836</v>
      </c>
      <c r="D49" s="341">
        <v>45959836</v>
      </c>
      <c r="E49" s="341"/>
    </row>
    <row r="50" spans="1:5" ht="15" customHeight="1">
      <c r="A50" s="464" t="s">
        <v>329</v>
      </c>
      <c r="B50" s="483" t="s">
        <v>361</v>
      </c>
      <c r="C50" s="342">
        <f t="shared" si="5"/>
        <v>159587935</v>
      </c>
      <c r="D50" s="341">
        <v>0</v>
      </c>
      <c r="E50" s="341">
        <v>159587935</v>
      </c>
    </row>
    <row r="51" spans="1:5" ht="15" customHeight="1">
      <c r="A51" s="464" t="s">
        <v>318</v>
      </c>
      <c r="B51" s="494" t="s">
        <v>585</v>
      </c>
      <c r="C51" s="342">
        <f t="shared" si="5"/>
        <v>2938240</v>
      </c>
      <c r="D51" s="341">
        <v>2938240</v>
      </c>
      <c r="E51" s="341"/>
    </row>
    <row r="52" spans="1:5" ht="15" customHeight="1">
      <c r="A52" s="464" t="s">
        <v>331</v>
      </c>
      <c r="B52" s="483" t="s">
        <v>362</v>
      </c>
      <c r="C52" s="342">
        <f t="shared" si="5"/>
        <v>0</v>
      </c>
      <c r="D52" s="341">
        <v>0</v>
      </c>
      <c r="E52" s="341"/>
    </row>
    <row r="53" spans="1:5" ht="15" customHeight="1">
      <c r="A53" s="464" t="s">
        <v>332</v>
      </c>
      <c r="B53" s="483" t="s">
        <v>363</v>
      </c>
      <c r="C53" s="342">
        <f t="shared" si="5"/>
        <v>9376941</v>
      </c>
      <c r="D53" s="341">
        <v>9376941</v>
      </c>
      <c r="E53" s="341"/>
    </row>
    <row r="54" spans="1:5" s="95" customFormat="1" ht="15" customHeight="1">
      <c r="A54" s="484" t="s">
        <v>333</v>
      </c>
      <c r="B54" s="594" t="s">
        <v>364</v>
      </c>
      <c r="C54" s="212">
        <f>SUM(C49:C53)</f>
        <v>217862952</v>
      </c>
      <c r="D54" s="212">
        <f>SUM(D49:D53)</f>
        <v>58275017</v>
      </c>
      <c r="E54" s="212">
        <f>SUM(E49:E53)</f>
        <v>159587935</v>
      </c>
    </row>
    <row r="55" spans="1:5" ht="7.5" customHeight="1">
      <c r="A55" s="484"/>
      <c r="B55" s="485"/>
      <c r="C55" s="177"/>
      <c r="D55" s="177"/>
      <c r="E55" s="177"/>
    </row>
    <row r="56" spans="1:5" ht="15" customHeight="1">
      <c r="A56" s="484" t="s">
        <v>335</v>
      </c>
      <c r="B56" s="485" t="s">
        <v>365</v>
      </c>
      <c r="C56" s="212">
        <f>C35+C46-C54</f>
        <v>523337116</v>
      </c>
      <c r="D56" s="212">
        <f>D35+D46-D54</f>
        <v>496084582</v>
      </c>
      <c r="E56" s="212">
        <f>E35+E46-E54</f>
        <v>27252534</v>
      </c>
    </row>
    <row r="57" spans="1:5" ht="7.5" customHeight="1">
      <c r="A57" s="484"/>
      <c r="B57" s="485"/>
      <c r="C57" s="370"/>
      <c r="D57" s="370"/>
      <c r="E57" s="370"/>
    </row>
    <row r="58" spans="1:5" ht="15" customHeight="1">
      <c r="A58" s="484" t="s">
        <v>336</v>
      </c>
      <c r="B58" s="485" t="s">
        <v>366</v>
      </c>
      <c r="C58" s="204"/>
      <c r="D58" s="204"/>
      <c r="E58" s="204"/>
    </row>
    <row r="59" spans="1:5" ht="15" customHeight="1">
      <c r="A59" s="464" t="s">
        <v>337</v>
      </c>
      <c r="B59" s="483" t="s">
        <v>367</v>
      </c>
      <c r="C59" s="341">
        <f>+D59</f>
        <v>307104792</v>
      </c>
      <c r="D59" s="341">
        <v>307104792</v>
      </c>
      <c r="E59" s="495"/>
    </row>
    <row r="60" spans="1:5" ht="15" customHeight="1">
      <c r="A60" s="496" t="s">
        <v>632</v>
      </c>
      <c r="B60" s="483" t="s">
        <v>368</v>
      </c>
      <c r="C60" s="341"/>
      <c r="D60" s="341">
        <v>0</v>
      </c>
      <c r="E60" s="495"/>
    </row>
    <row r="61" spans="1:5" ht="15" customHeight="1">
      <c r="A61" s="464" t="s">
        <v>338</v>
      </c>
      <c r="B61" s="483" t="s">
        <v>369</v>
      </c>
      <c r="C61" s="341">
        <f t="shared" ref="C61:C69" si="6">+D61</f>
        <v>59709427</v>
      </c>
      <c r="D61" s="341">
        <v>59709427</v>
      </c>
      <c r="E61" s="495"/>
    </row>
    <row r="62" spans="1:5" ht="15" customHeight="1">
      <c r="A62" s="464" t="s">
        <v>306</v>
      </c>
      <c r="B62" s="483" t="s">
        <v>370</v>
      </c>
      <c r="C62" s="341">
        <f t="shared" si="6"/>
        <v>7143829</v>
      </c>
      <c r="D62" s="341">
        <v>7143829</v>
      </c>
      <c r="E62" s="495"/>
    </row>
    <row r="63" spans="1:5" ht="15" customHeight="1">
      <c r="A63" s="464" t="s">
        <v>339</v>
      </c>
      <c r="B63" s="483" t="s">
        <v>371</v>
      </c>
      <c r="C63" s="341">
        <f t="shared" si="6"/>
        <v>15030488</v>
      </c>
      <c r="D63" s="341">
        <v>15030488</v>
      </c>
      <c r="E63" s="495"/>
    </row>
    <row r="64" spans="1:5" ht="15" customHeight="1">
      <c r="A64" s="464" t="s">
        <v>340</v>
      </c>
      <c r="B64" s="483" t="s">
        <v>372</v>
      </c>
      <c r="C64" s="341">
        <f t="shared" si="6"/>
        <v>17579865</v>
      </c>
      <c r="D64" s="341">
        <v>17579865</v>
      </c>
      <c r="E64" s="495"/>
    </row>
    <row r="65" spans="1:7" ht="15" customHeight="1">
      <c r="A65" s="464" t="s">
        <v>341</v>
      </c>
      <c r="B65" s="483" t="s">
        <v>373</v>
      </c>
      <c r="C65" s="341">
        <f t="shared" si="6"/>
        <v>36238549</v>
      </c>
      <c r="D65" s="341">
        <v>36238549</v>
      </c>
      <c r="E65" s="495"/>
    </row>
    <row r="66" spans="1:7" ht="15" customHeight="1">
      <c r="A66" s="464" t="s">
        <v>342</v>
      </c>
      <c r="B66" s="494" t="s">
        <v>704</v>
      </c>
      <c r="C66" s="341">
        <f t="shared" si="6"/>
        <v>15006383</v>
      </c>
      <c r="D66" s="341">
        <v>15006383</v>
      </c>
      <c r="E66" s="495"/>
    </row>
    <row r="67" spans="1:7" ht="15" customHeight="1">
      <c r="A67" s="464" t="s">
        <v>343</v>
      </c>
      <c r="B67" s="494" t="s">
        <v>705</v>
      </c>
      <c r="C67" s="341">
        <f t="shared" si="6"/>
        <v>7388096</v>
      </c>
      <c r="D67" s="341">
        <v>7388096</v>
      </c>
      <c r="E67" s="495"/>
    </row>
    <row r="68" spans="1:7" ht="15" customHeight="1">
      <c r="A68" s="464" t="s">
        <v>706</v>
      </c>
      <c r="B68" s="494" t="s">
        <v>707</v>
      </c>
      <c r="C68" s="341">
        <f t="shared" si="6"/>
        <v>0</v>
      </c>
      <c r="D68" s="341">
        <v>0</v>
      </c>
      <c r="E68" s="495"/>
    </row>
    <row r="69" spans="1:7" ht="15" customHeight="1">
      <c r="A69" s="464" t="s">
        <v>708</v>
      </c>
      <c r="B69" s="494" t="s">
        <v>709</v>
      </c>
      <c r="C69" s="341">
        <f t="shared" si="6"/>
        <v>6778920</v>
      </c>
      <c r="D69" s="341">
        <v>6778920</v>
      </c>
      <c r="E69" s="495"/>
    </row>
    <row r="70" spans="1:7" ht="15" customHeight="1">
      <c r="A70" s="470" t="s">
        <v>710</v>
      </c>
      <c r="B70" s="471" t="s">
        <v>374</v>
      </c>
      <c r="C70" s="212">
        <f>SUM(C59:C69)-C60</f>
        <v>471980349</v>
      </c>
      <c r="D70" s="212">
        <f>SUM(D59:D69)-D60</f>
        <v>471980349</v>
      </c>
      <c r="E70" s="495"/>
      <c r="G70" s="497"/>
    </row>
    <row r="71" spans="1:7" ht="7.5" customHeight="1">
      <c r="A71" s="472" t="s">
        <v>13</v>
      </c>
      <c r="B71" s="473" t="s">
        <v>13</v>
      </c>
      <c r="C71" s="369"/>
      <c r="D71" s="369"/>
      <c r="E71" s="369"/>
    </row>
    <row r="72" spans="1:7" ht="15" customHeight="1">
      <c r="A72" s="470" t="s">
        <v>486</v>
      </c>
      <c r="B72" s="471" t="s">
        <v>375</v>
      </c>
      <c r="C72" s="212">
        <f>C56-C70</f>
        <v>51356767</v>
      </c>
      <c r="D72" s="212">
        <f>D56-D70</f>
        <v>24104233</v>
      </c>
      <c r="E72" s="212">
        <f>+E56-(C70-D70)</f>
        <v>27252534</v>
      </c>
      <c r="G72" s="497"/>
    </row>
    <row r="73" spans="1:7" ht="15" customHeight="1">
      <c r="A73" s="472" t="s">
        <v>345</v>
      </c>
      <c r="B73" s="473" t="s">
        <v>376</v>
      </c>
      <c r="C73" s="342">
        <f>+D73</f>
        <v>12913681</v>
      </c>
      <c r="D73" s="341">
        <v>12913681</v>
      </c>
      <c r="E73" s="495"/>
    </row>
    <row r="74" spans="1:7" ht="7.5" customHeight="1">
      <c r="A74" s="472"/>
      <c r="B74" s="473"/>
      <c r="C74" s="177"/>
      <c r="D74" s="177"/>
      <c r="E74" s="177"/>
    </row>
    <row r="75" spans="1:7" ht="15" customHeight="1">
      <c r="A75" s="470" t="s">
        <v>344</v>
      </c>
      <c r="B75" s="471" t="s">
        <v>377</v>
      </c>
      <c r="C75" s="212">
        <f>C72-C73</f>
        <v>38443086</v>
      </c>
      <c r="D75" s="212">
        <f>D72-D73</f>
        <v>11190552</v>
      </c>
      <c r="E75" s="212">
        <f>E72-E73</f>
        <v>27252534</v>
      </c>
      <c r="G75" s="497"/>
    </row>
    <row r="76" spans="1:7" ht="15" customHeight="1">
      <c r="A76" s="472" t="s">
        <v>347</v>
      </c>
      <c r="B76" s="473" t="s">
        <v>378</v>
      </c>
      <c r="C76" s="342">
        <f t="shared" ref="C76:C77" si="7">+D76+E76</f>
        <v>0</v>
      </c>
      <c r="D76" s="341">
        <v>0</v>
      </c>
      <c r="E76" s="341">
        <v>0</v>
      </c>
    </row>
    <row r="77" spans="1:7" ht="15" customHeight="1">
      <c r="A77" s="472" t="s">
        <v>348</v>
      </c>
      <c r="B77" s="473" t="s">
        <v>379</v>
      </c>
      <c r="C77" s="342">
        <f t="shared" si="7"/>
        <v>0</v>
      </c>
      <c r="D77" s="341">
        <v>0</v>
      </c>
      <c r="E77" s="341">
        <v>0</v>
      </c>
    </row>
    <row r="78" spans="1:7" ht="7.5" customHeight="1">
      <c r="A78" s="470"/>
      <c r="B78" s="471"/>
      <c r="C78" s="369"/>
      <c r="D78" s="369"/>
      <c r="E78" s="369"/>
    </row>
    <row r="79" spans="1:7" ht="15" customHeight="1">
      <c r="A79" s="470" t="s">
        <v>346</v>
      </c>
      <c r="B79" s="471" t="s">
        <v>380</v>
      </c>
      <c r="C79" s="212">
        <f>C75+C76+C77</f>
        <v>38443086</v>
      </c>
      <c r="D79" s="212">
        <f>D75+D76+D77</f>
        <v>11190552</v>
      </c>
      <c r="E79" s="212">
        <f>E75+E76+E77</f>
        <v>27252534</v>
      </c>
      <c r="G79" s="497"/>
    </row>
    <row r="80" spans="1:7" ht="15" customHeight="1">
      <c r="A80" s="79"/>
    </row>
    <row r="81" spans="1:2" ht="15" customHeight="1">
      <c r="A81" s="79"/>
      <c r="B81" s="10" t="s">
        <v>0</v>
      </c>
    </row>
    <row r="82" spans="1:2" ht="15" customHeight="1">
      <c r="A82" s="79"/>
      <c r="B82" s="10"/>
    </row>
    <row r="83" spans="1:2" ht="15" customHeight="1">
      <c r="A83" s="79"/>
      <c r="B83" s="10" t="s">
        <v>1</v>
      </c>
    </row>
    <row r="84" spans="1:2" ht="15" customHeight="1">
      <c r="A84" s="79"/>
    </row>
    <row r="85" spans="1:2" ht="15" customHeight="1">
      <c r="A85" s="79"/>
    </row>
    <row r="86" spans="1:2" ht="15" customHeight="1">
      <c r="A86" s="79"/>
    </row>
    <row r="87" spans="1:2" ht="15" customHeight="1">
      <c r="A87" s="79"/>
    </row>
    <row r="88" spans="1:2" ht="15" customHeight="1">
      <c r="A88" s="79"/>
    </row>
    <row r="89" spans="1:2" ht="15" customHeight="1">
      <c r="A89" s="498"/>
    </row>
    <row r="90" spans="1:2" ht="15" customHeight="1">
      <c r="A90" s="498"/>
    </row>
    <row r="92" spans="1:2" ht="15" customHeight="1">
      <c r="A92" s="499"/>
    </row>
    <row r="93" spans="1:2" ht="15" customHeight="1">
      <c r="A93" s="499"/>
    </row>
    <row r="94" spans="1:2" ht="15" customHeight="1">
      <c r="A94" s="499"/>
    </row>
    <row r="96" spans="1:2" ht="15" customHeight="1">
      <c r="A96" s="500"/>
    </row>
    <row r="97" spans="1:1" ht="15" customHeight="1">
      <c r="A97" s="501"/>
    </row>
  </sheetData>
  <sheetProtection sheet="1" objects="1" scenarios="1"/>
  <phoneticPr fontId="16" type="noConversion"/>
  <conditionalFormatting sqref="G16">
    <cfRule type="cellIs" dxfId="268" priority="42" operator="notEqual">
      <formula>$G$16</formula>
    </cfRule>
  </conditionalFormatting>
  <conditionalFormatting sqref="C16">
    <cfRule type="cellIs" dxfId="267" priority="2" operator="notEqual">
      <formula>$G$16</formula>
    </cfRule>
  </conditionalFormatting>
  <conditionalFormatting sqref="C28">
    <cfRule type="cellIs" dxfId="266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6:F77 F18 F48 F59:F69 C59:D69 C31:F34 F30 C24:F26 F73 C73:D73 C6:E15 F5:F15 C19:F22 C38:F45 C49:F53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 xr:uid="{00000000-0002-0000-0100-000001000000}"/>
    <dataValidation allowBlank="1" showInputMessage="1" showErrorMessage="1" prompt="Значение должно равняться итого процентных доходов (см.следующий лист)" sqref="C16:F16" xr:uid="{00000000-0002-0000-0100-000002000000}"/>
    <dataValidation type="whole" operator="greaterThanOrEqual" allowBlank="1" showInputMessage="1" showErrorMessage="1" sqref="E73 E59:E69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5" orientation="portrait" r:id="rId1"/>
  <headerFooter alignWithMargins="0"/>
  <ignoredErrors>
    <ignoredError sqref="C6:C22 C87:C93" unlockedFormula="1"/>
    <ignoredError sqref="C23:C35 C55:C58 C70:C72 C74:C86 C46:C53 C38:C42" formula="1" unlockedFormula="1"/>
    <ignoredError sqref="C36:C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="115" zoomScaleSheetLayoutView="115" workbookViewId="0">
      <pane xSplit="2" ySplit="4" topLeftCell="C5" activePane="bottomRight" state="frozen"/>
      <selection activeCell="C73" sqref="C73"/>
      <selection pane="topRight" activeCell="C73" sqref="C73"/>
      <selection pane="bottomLeft" activeCell="C73" sqref="C73"/>
      <selection pane="bottomRight" activeCell="C70" sqref="C70"/>
    </sheetView>
  </sheetViews>
  <sheetFormatPr defaultRowHeight="12.75"/>
  <cols>
    <col min="1" max="1" width="7.140625" style="45" customWidth="1"/>
    <col min="2" max="2" width="83.28515625" style="1" bestFit="1" customWidth="1"/>
    <col min="3" max="3" width="24" style="1" customWidth="1"/>
    <col min="4" max="10" width="6.42578125" style="1" customWidth="1"/>
    <col min="11" max="16384" width="9.140625" style="1"/>
  </cols>
  <sheetData>
    <row r="1" spans="1:20" s="20" customFormat="1" ht="21" customHeight="1">
      <c r="A1" s="9"/>
      <c r="B1" s="205" t="s">
        <v>14</v>
      </c>
      <c r="C1" s="58" t="s">
        <v>586</v>
      </c>
      <c r="D1" s="25"/>
      <c r="E1" s="25"/>
      <c r="F1" s="25"/>
      <c r="G1" s="25"/>
      <c r="H1" s="25"/>
    </row>
    <row r="2" spans="1:20" ht="9" customHeight="1">
      <c r="A2" s="29"/>
      <c r="B2" s="7"/>
      <c r="C2" s="58"/>
      <c r="D2" s="3"/>
      <c r="E2" s="3"/>
      <c r="F2" s="3"/>
      <c r="G2" s="3"/>
      <c r="H2" s="3"/>
    </row>
    <row r="3" spans="1:20" ht="15">
      <c r="A3" s="40"/>
      <c r="B3" s="161" t="str">
        <f>+'Asset quality'!B3</f>
        <v>"Микрокредитбанк"</v>
      </c>
      <c r="C3" s="162">
        <f>+'Asset quality'!P3</f>
        <v>44560</v>
      </c>
      <c r="D3" s="3"/>
      <c r="E3" s="3"/>
      <c r="F3" s="3"/>
      <c r="G3" s="3"/>
      <c r="H3" s="3"/>
    </row>
    <row r="4" spans="1:20" ht="24" customHeight="1">
      <c r="A4" s="204" t="s">
        <v>83</v>
      </c>
      <c r="B4" s="204" t="s">
        <v>15</v>
      </c>
      <c r="C4" s="204" t="s">
        <v>3</v>
      </c>
      <c r="D4" s="3"/>
      <c r="E4" s="3"/>
      <c r="F4" s="3"/>
      <c r="G4" s="3"/>
      <c r="H4" s="3"/>
    </row>
    <row r="5" spans="1:20">
      <c r="A5" s="41" t="s">
        <v>469</v>
      </c>
      <c r="B5" s="196" t="s">
        <v>493</v>
      </c>
      <c r="C5" s="204"/>
      <c r="D5" s="3"/>
      <c r="E5" s="3"/>
      <c r="F5" s="3"/>
      <c r="G5" s="3"/>
      <c r="H5" s="3"/>
    </row>
    <row r="6" spans="1:20">
      <c r="A6" s="42" t="s">
        <v>470</v>
      </c>
      <c r="B6" s="197" t="s">
        <v>494</v>
      </c>
      <c r="C6" s="12">
        <v>0</v>
      </c>
      <c r="D6" s="3"/>
      <c r="E6" s="3"/>
      <c r="F6" s="3"/>
      <c r="G6" s="3"/>
      <c r="H6" s="3"/>
    </row>
    <row r="7" spans="1:20">
      <c r="A7" s="42" t="s">
        <v>471</v>
      </c>
      <c r="B7" s="197" t="s">
        <v>495</v>
      </c>
      <c r="C7" s="12">
        <v>11697</v>
      </c>
      <c r="D7" s="3"/>
      <c r="E7" s="3"/>
      <c r="F7" s="3"/>
      <c r="G7" s="3"/>
      <c r="H7" s="3"/>
    </row>
    <row r="8" spans="1:20">
      <c r="A8" s="42" t="s">
        <v>472</v>
      </c>
      <c r="B8" s="197" t="s">
        <v>496</v>
      </c>
      <c r="C8" s="12">
        <v>32083</v>
      </c>
      <c r="D8" s="3"/>
      <c r="E8" s="3"/>
      <c r="F8" s="3"/>
      <c r="G8" s="3"/>
      <c r="H8" s="3"/>
    </row>
    <row r="9" spans="1:20">
      <c r="A9" s="42" t="s">
        <v>473</v>
      </c>
      <c r="B9" s="197" t="s">
        <v>497</v>
      </c>
      <c r="C9" s="12">
        <v>496488310</v>
      </c>
      <c r="D9" s="3"/>
      <c r="E9" s="3"/>
      <c r="F9" s="3"/>
      <c r="G9" s="3"/>
      <c r="H9" s="3"/>
    </row>
    <row r="10" spans="1:20">
      <c r="A10" s="42" t="s">
        <v>474</v>
      </c>
      <c r="B10" s="197" t="s">
        <v>498</v>
      </c>
      <c r="C10" s="12">
        <v>25507020</v>
      </c>
      <c r="D10" s="3"/>
      <c r="E10" s="3"/>
      <c r="F10" s="3"/>
      <c r="G10" s="3"/>
      <c r="H10" s="3"/>
    </row>
    <row r="11" spans="1:20">
      <c r="A11" s="42" t="s">
        <v>475</v>
      </c>
      <c r="B11" s="197" t="s">
        <v>499</v>
      </c>
      <c r="C11" s="12">
        <v>30412235</v>
      </c>
      <c r="D11" s="3"/>
      <c r="E11" s="3"/>
      <c r="F11" s="3"/>
      <c r="G11" s="3"/>
      <c r="H11" s="3"/>
    </row>
    <row r="12" spans="1:20">
      <c r="A12" s="42" t="s">
        <v>476</v>
      </c>
      <c r="B12" s="197" t="s">
        <v>500</v>
      </c>
      <c r="C12" s="12">
        <v>778891183</v>
      </c>
      <c r="D12" s="3"/>
      <c r="E12" s="3"/>
      <c r="F12" s="3"/>
      <c r="G12" s="3"/>
      <c r="H12" s="3"/>
    </row>
    <row r="13" spans="1:20">
      <c r="A13" s="42" t="s">
        <v>477</v>
      </c>
      <c r="B13" s="197" t="s">
        <v>501</v>
      </c>
      <c r="C13" s="12">
        <v>54423014</v>
      </c>
      <c r="D13" s="3"/>
      <c r="E13" s="3"/>
      <c r="F13" s="3"/>
      <c r="G13" s="3"/>
      <c r="H13" s="3"/>
    </row>
    <row r="14" spans="1:20">
      <c r="A14" s="41" t="s">
        <v>478</v>
      </c>
      <c r="B14" s="196" t="s">
        <v>502</v>
      </c>
      <c r="C14" s="8">
        <f>SUM(C6:C13)</f>
        <v>1385765542</v>
      </c>
      <c r="D14" s="3"/>
      <c r="E14" s="3"/>
      <c r="F14" s="3"/>
      <c r="G14" s="3"/>
      <c r="H14" s="3"/>
    </row>
    <row r="15" spans="1:20" s="2" customFormat="1" ht="7.5" customHeight="1">
      <c r="A15" s="31"/>
      <c r="B15" s="69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41" t="s">
        <v>479</v>
      </c>
      <c r="B16" s="196" t="s">
        <v>503</v>
      </c>
      <c r="C16" s="204"/>
      <c r="D16" s="3"/>
      <c r="E16" s="3"/>
      <c r="F16" s="3"/>
      <c r="G16" s="3"/>
      <c r="H16" s="3"/>
    </row>
    <row r="17" spans="1:20">
      <c r="A17" s="43" t="s">
        <v>470</v>
      </c>
      <c r="B17" s="198" t="s">
        <v>504</v>
      </c>
      <c r="C17" s="12">
        <v>11869803</v>
      </c>
      <c r="D17" s="3"/>
      <c r="E17" s="3"/>
      <c r="F17" s="3"/>
      <c r="G17" s="3"/>
      <c r="H17" s="3"/>
    </row>
    <row r="18" spans="1:20">
      <c r="A18" s="43" t="s">
        <v>471</v>
      </c>
      <c r="B18" s="198" t="s">
        <v>201</v>
      </c>
      <c r="C18" s="12">
        <v>28944280</v>
      </c>
      <c r="D18" s="3"/>
      <c r="E18" s="3"/>
      <c r="F18" s="3"/>
      <c r="G18" s="3"/>
      <c r="H18" s="3"/>
    </row>
    <row r="19" spans="1:20">
      <c r="A19" s="41"/>
      <c r="B19" s="196" t="s">
        <v>505</v>
      </c>
      <c r="C19" s="8">
        <f>SUM(C17:C18)</f>
        <v>40814083</v>
      </c>
      <c r="D19" s="3"/>
      <c r="E19" s="3"/>
      <c r="F19" s="3"/>
      <c r="G19" s="3"/>
      <c r="H19" s="3"/>
    </row>
    <row r="20" spans="1:20" s="2" customFormat="1" ht="7.5" customHeight="1">
      <c r="A20" s="31"/>
      <c r="B20" s="69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41" t="s">
        <v>480</v>
      </c>
      <c r="B21" s="196" t="s">
        <v>506</v>
      </c>
      <c r="C21" s="204"/>
      <c r="D21" s="3"/>
      <c r="E21" s="3"/>
      <c r="F21" s="3"/>
      <c r="G21" s="3"/>
      <c r="H21" s="3"/>
    </row>
    <row r="22" spans="1:20">
      <c r="A22" s="42" t="s">
        <v>470</v>
      </c>
      <c r="B22" s="198" t="s">
        <v>507</v>
      </c>
      <c r="C22" s="12">
        <v>13519097</v>
      </c>
      <c r="D22" s="3"/>
      <c r="E22" s="3"/>
      <c r="F22" s="3"/>
      <c r="G22" s="3"/>
      <c r="H22" s="3"/>
    </row>
    <row r="23" spans="1:20">
      <c r="A23" s="42" t="s">
        <v>471</v>
      </c>
      <c r="B23" s="198" t="s">
        <v>508</v>
      </c>
      <c r="C23" s="12">
        <v>30863299</v>
      </c>
      <c r="D23" s="3"/>
      <c r="E23" s="3"/>
      <c r="F23" s="3"/>
      <c r="G23" s="3"/>
      <c r="H23" s="3"/>
    </row>
    <row r="24" spans="1:20">
      <c r="A24" s="42" t="s">
        <v>472</v>
      </c>
      <c r="B24" s="198" t="s">
        <v>509</v>
      </c>
      <c r="C24" s="12">
        <v>0</v>
      </c>
      <c r="D24" s="3"/>
      <c r="E24" s="3"/>
      <c r="F24" s="3"/>
      <c r="G24" s="3"/>
      <c r="H24" s="3"/>
    </row>
    <row r="25" spans="1:20">
      <c r="A25" s="42" t="s">
        <v>473</v>
      </c>
      <c r="B25" s="198" t="s">
        <v>510</v>
      </c>
      <c r="C25" s="12">
        <v>0</v>
      </c>
      <c r="D25" s="3"/>
      <c r="E25" s="3"/>
      <c r="F25" s="3"/>
      <c r="G25" s="3"/>
      <c r="H25" s="3"/>
    </row>
    <row r="26" spans="1:20">
      <c r="A26" s="42" t="s">
        <v>474</v>
      </c>
      <c r="B26" s="198" t="s">
        <v>511</v>
      </c>
      <c r="C26" s="12">
        <v>0</v>
      </c>
      <c r="D26" s="3"/>
      <c r="E26" s="3"/>
      <c r="F26" s="3"/>
      <c r="G26" s="3"/>
      <c r="H26" s="3"/>
    </row>
    <row r="27" spans="1:20">
      <c r="A27" s="42" t="s">
        <v>475</v>
      </c>
      <c r="B27" s="198" t="s">
        <v>86</v>
      </c>
      <c r="C27" s="12">
        <v>0</v>
      </c>
      <c r="D27" s="3"/>
      <c r="E27" s="3"/>
      <c r="F27" s="3"/>
      <c r="G27" s="3"/>
      <c r="H27" s="3"/>
    </row>
    <row r="28" spans="1:20">
      <c r="A28" s="42" t="s">
        <v>476</v>
      </c>
      <c r="B28" s="196" t="s">
        <v>512</v>
      </c>
      <c r="C28" s="8">
        <f>SUM(C22:C27)</f>
        <v>44382396</v>
      </c>
      <c r="D28" s="3"/>
      <c r="E28" s="3"/>
      <c r="F28" s="3"/>
      <c r="G28" s="3"/>
      <c r="H28" s="3"/>
    </row>
    <row r="29" spans="1:20" s="2" customFormat="1" ht="7.5" customHeight="1">
      <c r="A29" s="31"/>
      <c r="B29" s="69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41" t="s">
        <v>481</v>
      </c>
      <c r="B30" s="196" t="s">
        <v>513</v>
      </c>
      <c r="C30" s="204"/>
      <c r="D30" s="3"/>
      <c r="E30" s="3"/>
      <c r="F30" s="3"/>
      <c r="G30" s="3"/>
      <c r="H30" s="3"/>
    </row>
    <row r="31" spans="1:20">
      <c r="A31" s="42" t="s">
        <v>470</v>
      </c>
      <c r="B31" s="197" t="s">
        <v>514</v>
      </c>
      <c r="C31" s="12">
        <v>0</v>
      </c>
      <c r="D31" s="3"/>
      <c r="E31" s="3"/>
      <c r="F31" s="3"/>
      <c r="G31" s="3"/>
      <c r="H31" s="3"/>
    </row>
    <row r="32" spans="1:20">
      <c r="A32" s="42" t="s">
        <v>471</v>
      </c>
      <c r="B32" s="197" t="s">
        <v>508</v>
      </c>
      <c r="C32" s="12">
        <v>0</v>
      </c>
      <c r="D32" s="3"/>
      <c r="E32" s="3"/>
      <c r="F32" s="3"/>
      <c r="G32" s="3"/>
      <c r="H32" s="3"/>
    </row>
    <row r="33" spans="1:20">
      <c r="A33" s="42" t="s">
        <v>472</v>
      </c>
      <c r="B33" s="197" t="s">
        <v>515</v>
      </c>
      <c r="C33" s="12">
        <v>0</v>
      </c>
      <c r="D33" s="3"/>
      <c r="E33" s="3"/>
      <c r="F33" s="3"/>
      <c r="G33" s="3"/>
      <c r="H33" s="3"/>
    </row>
    <row r="34" spans="1:20">
      <c r="A34" s="42" t="s">
        <v>473</v>
      </c>
      <c r="B34" s="197" t="s">
        <v>510</v>
      </c>
      <c r="C34" s="12">
        <v>0</v>
      </c>
      <c r="D34" s="3"/>
      <c r="E34" s="3"/>
      <c r="F34" s="3"/>
      <c r="G34" s="3"/>
      <c r="H34" s="3"/>
    </row>
    <row r="35" spans="1:20">
      <c r="A35" s="42" t="s">
        <v>474</v>
      </c>
      <c r="B35" s="197" t="s">
        <v>86</v>
      </c>
      <c r="C35" s="12">
        <v>0</v>
      </c>
      <c r="D35" s="3"/>
      <c r="E35" s="3"/>
      <c r="F35" s="3"/>
      <c r="G35" s="3"/>
      <c r="H35" s="3"/>
    </row>
    <row r="36" spans="1:20">
      <c r="A36" s="42" t="s">
        <v>475</v>
      </c>
      <c r="B36" s="196" t="s">
        <v>516</v>
      </c>
      <c r="C36" s="8">
        <f>SUM(C31:C35)</f>
        <v>0</v>
      </c>
      <c r="D36" s="3"/>
      <c r="E36" s="3"/>
      <c r="F36" s="3"/>
      <c r="G36" s="3"/>
      <c r="H36" s="3"/>
    </row>
    <row r="37" spans="1:20" s="2" customFormat="1" ht="7.5" customHeight="1">
      <c r="A37" s="31"/>
      <c r="B37" s="69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41" t="s">
        <v>482</v>
      </c>
      <c r="B38" s="196" t="s">
        <v>517</v>
      </c>
      <c r="C38" s="204"/>
      <c r="D38" s="3"/>
      <c r="E38" s="3"/>
      <c r="F38" s="3"/>
      <c r="G38" s="3"/>
      <c r="H38" s="3"/>
    </row>
    <row r="39" spans="1:20">
      <c r="A39" s="42" t="s">
        <v>470</v>
      </c>
      <c r="B39" s="199" t="s">
        <v>518</v>
      </c>
      <c r="C39" s="12">
        <v>0</v>
      </c>
      <c r="D39" s="3"/>
      <c r="E39" s="3"/>
      <c r="F39" s="3"/>
      <c r="G39" s="3"/>
      <c r="H39" s="3"/>
    </row>
    <row r="40" spans="1:20">
      <c r="A40" s="42" t="s">
        <v>471</v>
      </c>
      <c r="B40" s="199" t="s">
        <v>301</v>
      </c>
      <c r="C40" s="12">
        <v>721832879</v>
      </c>
      <c r="D40" s="3"/>
      <c r="E40" s="3"/>
      <c r="F40" s="3"/>
      <c r="G40" s="3"/>
      <c r="H40" s="3"/>
    </row>
    <row r="41" spans="1:20" s="2" customFormat="1" ht="7.5" customHeight="1">
      <c r="A41" s="31"/>
      <c r="B41" s="69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41" t="s">
        <v>335</v>
      </c>
      <c r="B42" s="196" t="s">
        <v>519</v>
      </c>
      <c r="C42" s="8">
        <f>C14+C19+C28+C36+C39+C40</f>
        <v>2192794900</v>
      </c>
      <c r="D42" s="3"/>
      <c r="E42" s="3"/>
      <c r="F42" s="3"/>
      <c r="G42" s="3"/>
      <c r="H42" s="3"/>
    </row>
    <row r="43" spans="1:20" s="2" customFormat="1" ht="7.5" customHeight="1">
      <c r="A43" s="31"/>
      <c r="B43" s="69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41" t="s">
        <v>336</v>
      </c>
      <c r="B44" s="196" t="s">
        <v>520</v>
      </c>
      <c r="C44" s="204"/>
      <c r="D44" s="3"/>
      <c r="E44" s="3"/>
      <c r="F44" s="3"/>
      <c r="G44" s="3"/>
      <c r="H44" s="3"/>
    </row>
    <row r="45" spans="1:20">
      <c r="A45" s="41" t="s">
        <v>483</v>
      </c>
      <c r="B45" s="196" t="s">
        <v>204</v>
      </c>
      <c r="C45" s="12"/>
      <c r="D45" s="3"/>
      <c r="E45" s="3"/>
      <c r="F45" s="3"/>
      <c r="G45" s="3"/>
      <c r="H45" s="3"/>
    </row>
    <row r="46" spans="1:20">
      <c r="A46" s="42" t="s">
        <v>470</v>
      </c>
      <c r="B46" s="198" t="s">
        <v>163</v>
      </c>
      <c r="C46" s="12">
        <v>0</v>
      </c>
      <c r="D46" s="3"/>
      <c r="E46" s="3"/>
      <c r="F46" s="3"/>
      <c r="G46" s="3"/>
      <c r="H46" s="3"/>
    </row>
    <row r="47" spans="1:20">
      <c r="A47" s="42" t="s">
        <v>471</v>
      </c>
      <c r="B47" s="198" t="s">
        <v>164</v>
      </c>
      <c r="C47" s="12">
        <v>125439</v>
      </c>
      <c r="D47" s="3"/>
      <c r="E47" s="3"/>
      <c r="F47" s="3"/>
      <c r="G47" s="3"/>
      <c r="H47" s="3"/>
    </row>
    <row r="48" spans="1:20">
      <c r="A48" s="42" t="s">
        <v>472</v>
      </c>
      <c r="B48" s="198" t="s">
        <v>165</v>
      </c>
      <c r="C48" s="12">
        <v>9492301</v>
      </c>
      <c r="D48" s="3"/>
      <c r="E48" s="3"/>
      <c r="F48" s="3"/>
      <c r="G48" s="3"/>
      <c r="H48" s="3"/>
    </row>
    <row r="49" spans="1:20">
      <c r="A49" s="42" t="s">
        <v>473</v>
      </c>
      <c r="B49" s="197" t="s">
        <v>166</v>
      </c>
      <c r="C49" s="12">
        <v>0</v>
      </c>
      <c r="D49" s="3"/>
      <c r="E49" s="3"/>
      <c r="F49" s="3"/>
      <c r="G49" s="3"/>
      <c r="H49" s="3"/>
    </row>
    <row r="50" spans="1:20">
      <c r="A50" s="42" t="s">
        <v>474</v>
      </c>
      <c r="B50" s="197" t="s">
        <v>521</v>
      </c>
      <c r="C50" s="12">
        <v>0</v>
      </c>
      <c r="D50" s="3"/>
      <c r="E50" s="3"/>
      <c r="F50" s="3"/>
      <c r="G50" s="3"/>
      <c r="H50" s="3"/>
    </row>
    <row r="51" spans="1:20">
      <c r="A51" s="42" t="s">
        <v>475</v>
      </c>
      <c r="B51" s="197" t="s">
        <v>522</v>
      </c>
      <c r="C51" s="12">
        <v>981010</v>
      </c>
      <c r="D51" s="3"/>
      <c r="E51" s="3"/>
      <c r="F51" s="3"/>
      <c r="G51" s="3"/>
      <c r="H51" s="3"/>
    </row>
    <row r="52" spans="1:20">
      <c r="A52" s="42" t="s">
        <v>476</v>
      </c>
      <c r="B52" s="197" t="s">
        <v>523</v>
      </c>
      <c r="C52" s="8">
        <f>SUM(C46:C51)</f>
        <v>10598750</v>
      </c>
      <c r="D52" s="3"/>
      <c r="E52" s="3"/>
      <c r="F52" s="3"/>
      <c r="G52" s="3"/>
      <c r="H52" s="3"/>
    </row>
    <row r="53" spans="1:20" s="2" customFormat="1" ht="7.5" customHeight="1">
      <c r="A53" s="31"/>
      <c r="B53" s="69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41" t="s">
        <v>484</v>
      </c>
      <c r="B54" s="196" t="s">
        <v>207</v>
      </c>
      <c r="C54" s="204"/>
      <c r="D54" s="3"/>
      <c r="E54" s="3"/>
      <c r="F54" s="3"/>
      <c r="G54" s="3"/>
      <c r="H54" s="3"/>
    </row>
    <row r="55" spans="1:20">
      <c r="A55" s="42" t="s">
        <v>470</v>
      </c>
      <c r="B55" s="198" t="s">
        <v>163</v>
      </c>
      <c r="C55" s="12">
        <v>168405508</v>
      </c>
      <c r="D55" s="3"/>
      <c r="E55" s="3"/>
      <c r="F55" s="3"/>
      <c r="G55" s="3"/>
      <c r="H55" s="3"/>
    </row>
    <row r="56" spans="1:20">
      <c r="A56" s="42" t="s">
        <v>471</v>
      </c>
      <c r="B56" s="198" t="s">
        <v>164</v>
      </c>
      <c r="C56" s="12">
        <v>88670823</v>
      </c>
      <c r="D56" s="3"/>
      <c r="E56" s="3"/>
      <c r="F56" s="3"/>
      <c r="G56" s="3"/>
      <c r="H56" s="3"/>
    </row>
    <row r="57" spans="1:20">
      <c r="A57" s="42" t="s">
        <v>472</v>
      </c>
      <c r="B57" s="198" t="s">
        <v>165</v>
      </c>
      <c r="C57" s="12">
        <v>16151336</v>
      </c>
      <c r="D57" s="3"/>
      <c r="E57" s="3"/>
      <c r="F57" s="3"/>
      <c r="G57" s="3"/>
      <c r="H57" s="3"/>
    </row>
    <row r="58" spans="1:20">
      <c r="A58" s="42" t="s">
        <v>473</v>
      </c>
      <c r="B58" s="197" t="s">
        <v>166</v>
      </c>
      <c r="C58" s="12">
        <v>409000</v>
      </c>
      <c r="D58" s="3"/>
      <c r="E58" s="3"/>
      <c r="F58" s="3"/>
      <c r="G58" s="3"/>
      <c r="H58" s="3"/>
    </row>
    <row r="59" spans="1:20">
      <c r="A59" s="42" t="s">
        <v>474</v>
      </c>
      <c r="B59" s="198" t="s">
        <v>521</v>
      </c>
      <c r="C59" s="12">
        <v>21905472</v>
      </c>
      <c r="D59" s="3"/>
      <c r="E59" s="3"/>
      <c r="F59" s="3"/>
      <c r="G59" s="3"/>
      <c r="H59" s="3"/>
    </row>
    <row r="60" spans="1:20">
      <c r="A60" s="42" t="s">
        <v>475</v>
      </c>
      <c r="B60" s="198" t="s">
        <v>522</v>
      </c>
      <c r="C60" s="12">
        <v>19941324</v>
      </c>
      <c r="D60" s="3"/>
      <c r="E60" s="3"/>
      <c r="F60" s="3"/>
      <c r="G60" s="3"/>
      <c r="H60" s="3"/>
    </row>
    <row r="61" spans="1:20" ht="13.5" customHeight="1">
      <c r="A61" s="42" t="s">
        <v>476</v>
      </c>
      <c r="B61" s="198" t="s">
        <v>524</v>
      </c>
      <c r="C61" s="8">
        <f>SUM(C55:C60)</f>
        <v>315483463</v>
      </c>
      <c r="D61" s="3"/>
      <c r="E61" s="3"/>
      <c r="F61" s="3"/>
      <c r="G61" s="3"/>
      <c r="H61" s="3"/>
    </row>
    <row r="62" spans="1:20" s="2" customFormat="1" ht="7.5" customHeight="1">
      <c r="A62" s="31"/>
      <c r="B62" s="69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41" t="s">
        <v>485</v>
      </c>
      <c r="B63" s="196" t="s">
        <v>525</v>
      </c>
      <c r="C63" s="8">
        <f>C52+C61</f>
        <v>326082213</v>
      </c>
      <c r="D63" s="3"/>
      <c r="E63" s="3"/>
      <c r="F63" s="3"/>
      <c r="G63" s="3"/>
      <c r="H63" s="3"/>
    </row>
    <row r="64" spans="1:20" s="2" customFormat="1" ht="7.5" customHeight="1">
      <c r="A64" s="31"/>
      <c r="B64" s="69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41" t="s">
        <v>486</v>
      </c>
      <c r="B65" s="196" t="s">
        <v>526</v>
      </c>
      <c r="C65" s="204"/>
      <c r="D65" s="3"/>
      <c r="E65" s="3"/>
      <c r="F65" s="3"/>
      <c r="G65" s="3"/>
      <c r="H65" s="3"/>
    </row>
    <row r="66" spans="1:20">
      <c r="A66" s="43" t="s">
        <v>487</v>
      </c>
      <c r="B66" s="198" t="s">
        <v>527</v>
      </c>
      <c r="C66" s="12">
        <v>0</v>
      </c>
      <c r="D66" s="3"/>
      <c r="E66" s="3"/>
      <c r="F66" s="3"/>
      <c r="G66" s="3"/>
      <c r="H66" s="3"/>
    </row>
    <row r="67" spans="1:20">
      <c r="A67" s="43" t="s">
        <v>488</v>
      </c>
      <c r="B67" s="199" t="s">
        <v>287</v>
      </c>
      <c r="C67" s="12">
        <v>368022621</v>
      </c>
      <c r="D67" s="3"/>
      <c r="E67" s="3"/>
      <c r="F67" s="3"/>
      <c r="G67" s="3"/>
      <c r="H67" s="3"/>
    </row>
    <row r="68" spans="1:20">
      <c r="A68" s="44" t="s">
        <v>489</v>
      </c>
      <c r="B68" s="199" t="s">
        <v>288</v>
      </c>
      <c r="C68" s="12">
        <v>0</v>
      </c>
      <c r="D68" s="3"/>
      <c r="E68" s="3"/>
      <c r="F68" s="3"/>
      <c r="G68" s="3"/>
      <c r="H68" s="3"/>
    </row>
    <row r="69" spans="1:20">
      <c r="A69" s="43" t="s">
        <v>490</v>
      </c>
      <c r="B69" s="199" t="s">
        <v>289</v>
      </c>
      <c r="C69" s="12">
        <v>873430839</v>
      </c>
      <c r="D69" s="3"/>
      <c r="E69" s="3"/>
      <c r="F69" s="3"/>
      <c r="G69" s="3"/>
      <c r="H69" s="3"/>
    </row>
    <row r="70" spans="1:20">
      <c r="A70" s="41" t="s">
        <v>491</v>
      </c>
      <c r="B70" s="200" t="s">
        <v>528</v>
      </c>
      <c r="C70" s="8">
        <f>SUM(C66:C69)</f>
        <v>1241453460</v>
      </c>
      <c r="D70" s="3"/>
      <c r="E70" s="3"/>
      <c r="F70" s="3"/>
      <c r="G70" s="3"/>
      <c r="H70" s="3"/>
    </row>
    <row r="71" spans="1:20" s="2" customFormat="1" ht="7.5" customHeight="1">
      <c r="A71" s="31"/>
      <c r="B71" s="69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1" t="s">
        <v>492</v>
      </c>
      <c r="B72" s="196" t="s">
        <v>529</v>
      </c>
      <c r="C72" s="8">
        <f>C63+C70</f>
        <v>1567535673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46"/>
      <c r="B74" s="5" t="s">
        <v>0</v>
      </c>
      <c r="D74" s="3"/>
      <c r="E74" s="3"/>
      <c r="F74" s="3"/>
      <c r="G74" s="3"/>
      <c r="H74" s="3"/>
    </row>
    <row r="75" spans="1:20">
      <c r="A75" s="46"/>
      <c r="B75" s="5"/>
      <c r="D75" s="3"/>
      <c r="E75" s="3"/>
      <c r="F75" s="3"/>
      <c r="G75" s="3"/>
      <c r="H75" s="3"/>
    </row>
    <row r="76" spans="1:20">
      <c r="A76" s="46"/>
      <c r="B76" s="5" t="s">
        <v>1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47"/>
      <c r="D78" s="3"/>
      <c r="E78" s="3"/>
      <c r="F78" s="3"/>
      <c r="G78" s="3"/>
      <c r="H78" s="3"/>
    </row>
    <row r="79" spans="1:20">
      <c r="A79" s="48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D90" s="3"/>
      <c r="E90" s="3"/>
      <c r="F90" s="3"/>
      <c r="G90" s="3"/>
      <c r="H90" s="3"/>
    </row>
    <row r="91" spans="4:8">
      <c r="D91" s="3"/>
      <c r="E91" s="3"/>
      <c r="F91" s="3"/>
      <c r="G91" s="3"/>
      <c r="H91" s="3"/>
    </row>
    <row r="92" spans="4:8">
      <c r="D92" s="3"/>
      <c r="E92" s="3"/>
      <c r="F92" s="3"/>
      <c r="G92" s="3"/>
      <c r="H92" s="3"/>
    </row>
    <row r="93" spans="4:8">
      <c r="D93" s="3"/>
      <c r="E93" s="3"/>
      <c r="F93" s="3"/>
      <c r="G93" s="3"/>
      <c r="H93" s="3"/>
    </row>
    <row r="94" spans="4:8">
      <c r="D94" s="3"/>
      <c r="E94" s="3"/>
      <c r="F94" s="3"/>
      <c r="G94" s="3"/>
      <c r="H94" s="3"/>
    </row>
    <row r="95" spans="4:8">
      <c r="D95" s="3"/>
      <c r="E95" s="3"/>
      <c r="F95" s="3"/>
      <c r="G95" s="3"/>
      <c r="H95" s="3"/>
    </row>
    <row r="96" spans="4:8">
      <c r="D96" s="3"/>
      <c r="E96" s="3"/>
      <c r="F96" s="3"/>
      <c r="G96" s="3"/>
      <c r="H96" s="3"/>
    </row>
    <row r="97" spans="4:8">
      <c r="D97" s="3"/>
      <c r="E97" s="3"/>
      <c r="F97" s="3"/>
      <c r="G97" s="3"/>
      <c r="H97" s="3"/>
    </row>
    <row r="98" spans="4:8">
      <c r="D98" s="3"/>
      <c r="E98" s="3"/>
      <c r="F98" s="3"/>
      <c r="G98" s="3"/>
      <c r="H98" s="3"/>
    </row>
  </sheetData>
  <sheetProtection password="CACA" sheet="1" objects="1" scenarios="1"/>
  <phoneticPr fontId="16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I28"/>
  <sheetViews>
    <sheetView zoomScaleSheetLayoutView="100" workbookViewId="0">
      <selection activeCell="C11" sqref="C11"/>
    </sheetView>
  </sheetViews>
  <sheetFormatPr defaultRowHeight="12.75"/>
  <cols>
    <col min="1" max="1" width="5.85546875" style="559" customWidth="1"/>
    <col min="2" max="2" width="89.42578125" style="78" customWidth="1"/>
    <col min="3" max="3" width="27.42578125" style="78" customWidth="1"/>
    <col min="4" max="4" width="12.85546875" style="78" bestFit="1" customWidth="1"/>
    <col min="5" max="8" width="9.140625" style="78"/>
    <col min="9" max="9" width="10.28515625" style="78" bestFit="1" customWidth="1"/>
    <col min="10" max="16384" width="9.140625" style="78"/>
  </cols>
  <sheetData>
    <row r="1" spans="1:9" ht="15.75">
      <c r="A1" s="545"/>
      <c r="B1" s="545" t="s">
        <v>89</v>
      </c>
      <c r="C1" s="349" t="s">
        <v>637</v>
      </c>
    </row>
    <row r="2" spans="1:9" ht="15.75">
      <c r="A2" s="545"/>
      <c r="B2" s="545"/>
      <c r="C2" s="349"/>
    </row>
    <row r="3" spans="1:9" ht="15.75">
      <c r="A3" s="546"/>
      <c r="B3" s="547" t="str">
        <f>+'Asset quality'!B3</f>
        <v>"Микрокредитбанк"</v>
      </c>
      <c r="C3" s="548">
        <f>+'Asset quality'!P3</f>
        <v>44560</v>
      </c>
    </row>
    <row r="4" spans="1:9" s="77" customFormat="1" ht="33.75" customHeight="1">
      <c r="A4" s="204" t="s">
        <v>83</v>
      </c>
      <c r="B4" s="204" t="s">
        <v>15</v>
      </c>
      <c r="C4" s="204" t="s">
        <v>3</v>
      </c>
    </row>
    <row r="5" spans="1:9" ht="18.75" customHeight="1">
      <c r="A5" s="549" t="s">
        <v>303</v>
      </c>
      <c r="B5" s="550" t="s">
        <v>532</v>
      </c>
      <c r="C5" s="50">
        <v>1625105476</v>
      </c>
    </row>
    <row r="6" spans="1:9" ht="18.75" customHeight="1">
      <c r="A6" s="551" t="s">
        <v>315</v>
      </c>
      <c r="B6" s="552" t="s">
        <v>533</v>
      </c>
      <c r="C6" s="50">
        <v>0</v>
      </c>
    </row>
    <row r="7" spans="1:9" ht="18.75" customHeight="1">
      <c r="A7" s="510" t="s">
        <v>530</v>
      </c>
      <c r="B7" s="553" t="s">
        <v>534</v>
      </c>
      <c r="C7" s="177">
        <f>SUM(C5:C6)</f>
        <v>1625105476</v>
      </c>
      <c r="I7" s="554"/>
    </row>
    <row r="8" spans="1:9" ht="18.75" customHeight="1">
      <c r="A8" s="510" t="s">
        <v>327</v>
      </c>
      <c r="B8" s="553" t="s">
        <v>535</v>
      </c>
      <c r="C8" s="177">
        <f>+'Income '!C79</f>
        <v>38443086</v>
      </c>
      <c r="D8" s="555">
        <f>+[8]Balance!$C$76</f>
        <v>38443086</v>
      </c>
    </row>
    <row r="9" spans="1:9" ht="18.75" customHeight="1">
      <c r="A9" s="510" t="s">
        <v>334</v>
      </c>
      <c r="B9" s="552" t="s">
        <v>536</v>
      </c>
      <c r="C9" s="51">
        <v>555413966</v>
      </c>
      <c r="D9" s="571"/>
      <c r="I9" s="554"/>
    </row>
    <row r="10" spans="1:9" ht="18.75" customHeight="1">
      <c r="A10" s="510" t="s">
        <v>531</v>
      </c>
      <c r="B10" s="553" t="s">
        <v>537</v>
      </c>
      <c r="C10" s="51">
        <v>8940159</v>
      </c>
      <c r="D10" s="571"/>
      <c r="I10" s="542"/>
    </row>
    <row r="11" spans="1:9" ht="18.75" customHeight="1">
      <c r="A11" s="510" t="s">
        <v>336</v>
      </c>
      <c r="B11" s="553" t="s">
        <v>538</v>
      </c>
      <c r="C11" s="52">
        <v>0</v>
      </c>
      <c r="D11" s="571"/>
      <c r="I11" s="554"/>
    </row>
    <row r="12" spans="1:9" ht="18.75" customHeight="1">
      <c r="A12" s="510" t="s">
        <v>486</v>
      </c>
      <c r="B12" s="553" t="s">
        <v>539</v>
      </c>
      <c r="C12" s="51">
        <v>0</v>
      </c>
      <c r="D12" s="571"/>
      <c r="I12" s="554"/>
    </row>
    <row r="13" spans="1:9" ht="18.75" customHeight="1">
      <c r="A13" s="510" t="s">
        <v>344</v>
      </c>
      <c r="B13" s="553" t="s">
        <v>540</v>
      </c>
      <c r="C13" s="51">
        <v>93193543</v>
      </c>
      <c r="D13" s="571"/>
      <c r="I13" s="554"/>
    </row>
    <row r="14" spans="1:9" ht="18.75" customHeight="1">
      <c r="A14" s="510" t="s">
        <v>346</v>
      </c>
      <c r="B14" s="553" t="s">
        <v>541</v>
      </c>
      <c r="C14" s="177">
        <f>C7+SUM(C8:C10)-SUM(C11:C12)+C13</f>
        <v>2321096230</v>
      </c>
      <c r="D14" s="555">
        <f>+[8]Balance!$C$77</f>
        <v>2321096230</v>
      </c>
      <c r="I14" s="555"/>
    </row>
    <row r="15" spans="1:9">
      <c r="A15" s="509"/>
      <c r="B15" s="79"/>
      <c r="C15" s="79"/>
      <c r="I15" s="554"/>
    </row>
    <row r="16" spans="1:9" ht="12.75" customHeight="1">
      <c r="A16" s="556"/>
      <c r="B16" s="10" t="s">
        <v>0</v>
      </c>
    </row>
    <row r="17" spans="1:2" ht="12.75" customHeight="1">
      <c r="A17" s="556"/>
      <c r="B17" s="10"/>
    </row>
    <row r="18" spans="1:2">
      <c r="A18" s="556"/>
      <c r="B18" s="10" t="s">
        <v>1</v>
      </c>
    </row>
    <row r="20" spans="1:2" ht="12.75" customHeight="1">
      <c r="A20" s="557"/>
    </row>
    <row r="21" spans="1:2">
      <c r="A21" s="558"/>
    </row>
    <row r="27" spans="1:2" ht="12.75" customHeight="1"/>
    <row r="28" spans="1:2" ht="12.75" customHeight="1"/>
  </sheetData>
  <sheetProtection sheet="1" objects="1" scenarios="1"/>
  <phoneticPr fontId="16" type="noConversion"/>
  <conditionalFormatting sqref="C8">
    <cfRule type="cellIs" dxfId="265" priority="6" stopIfTrue="1" operator="notEqual">
      <formula>NETINC</formula>
    </cfRule>
  </conditionalFormatting>
  <conditionalFormatting sqref="C14">
    <cfRule type="cellIs" dxfId="264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H102"/>
  <sheetViews>
    <sheetView topLeftCell="A4" zoomScale="70" zoomScaleNormal="70" zoomScaleSheetLayoutView="55" workbookViewId="0">
      <pane xSplit="3" ySplit="3" topLeftCell="E55" activePane="bottomRight" state="frozen"/>
      <selection activeCell="D7" sqref="D7"/>
      <selection pane="topRight" activeCell="D7" sqref="D7"/>
      <selection pane="bottomLeft" activeCell="D7" sqref="D7"/>
      <selection pane="bottomRight" activeCell="C80" sqref="C80"/>
    </sheetView>
  </sheetViews>
  <sheetFormatPr defaultRowHeight="12.75"/>
  <cols>
    <col min="1" max="1" width="7" style="78" customWidth="1"/>
    <col min="2" max="2" width="57.5703125" style="78" customWidth="1"/>
    <col min="3" max="3" width="18.42578125" style="78" customWidth="1"/>
    <col min="4" max="4" width="15" style="78" customWidth="1"/>
    <col min="5" max="5" width="13.28515625" style="78" customWidth="1"/>
    <col min="6" max="6" width="15" style="78" customWidth="1"/>
    <col min="7" max="7" width="14.28515625" style="78" customWidth="1"/>
    <col min="8" max="8" width="15.42578125" style="78" customWidth="1"/>
    <col min="9" max="9" width="14.42578125" style="78" customWidth="1"/>
    <col min="10" max="10" width="13.7109375" style="78" customWidth="1"/>
    <col min="11" max="12" width="17" style="78" customWidth="1"/>
    <col min="13" max="13" width="15" style="78" customWidth="1"/>
    <col min="14" max="14" width="13.7109375" style="78" customWidth="1"/>
    <col min="15" max="17" width="16" style="78" customWidth="1"/>
    <col min="18" max="18" width="15.140625" style="78" customWidth="1"/>
    <col min="19" max="21" width="13.7109375" style="78" customWidth="1"/>
    <col min="22" max="23" width="15.28515625" style="78" customWidth="1"/>
    <col min="24" max="25" width="13.7109375" style="78" customWidth="1"/>
    <col min="26" max="16384" width="9.140625" style="78"/>
  </cols>
  <sheetData>
    <row r="1" spans="1:34" s="514" customFormat="1" ht="31.5" customHeight="1">
      <c r="A1" s="511" t="s">
        <v>694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2" t="s">
        <v>587</v>
      </c>
      <c r="X1" s="513"/>
      <c r="Y1" s="512"/>
    </row>
    <row r="2" spans="1:34" ht="18">
      <c r="A2" s="513"/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3"/>
      <c r="X2" s="515"/>
      <c r="Y2" s="515"/>
    </row>
    <row r="3" spans="1:34" s="79" customFormat="1" ht="15.75">
      <c r="A3" s="457"/>
      <c r="B3" s="516" t="str">
        <f>+'Asset quality'!B3</f>
        <v>"Микрокредитбанк"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80">
        <f>+'Asset quality'!P3</f>
        <v>44560</v>
      </c>
      <c r="U3" s="680"/>
      <c r="V3" s="517"/>
      <c r="W3" s="517"/>
      <c r="X3" s="518" t="s">
        <v>382</v>
      </c>
      <c r="Y3" s="59"/>
    </row>
    <row r="4" spans="1:34" s="519" customFormat="1" ht="32.25" customHeight="1">
      <c r="A4" s="671" t="s">
        <v>83</v>
      </c>
      <c r="B4" s="671" t="s">
        <v>91</v>
      </c>
      <c r="C4" s="674" t="s">
        <v>92</v>
      </c>
      <c r="D4" s="679" t="s">
        <v>280</v>
      </c>
      <c r="E4" s="679"/>
      <c r="F4" s="679" t="s">
        <v>281</v>
      </c>
      <c r="G4" s="679"/>
      <c r="H4" s="678" t="s">
        <v>90</v>
      </c>
      <c r="I4" s="678"/>
      <c r="J4" s="678" t="s">
        <v>90</v>
      </c>
      <c r="K4" s="678"/>
      <c r="L4" s="678"/>
      <c r="M4" s="678"/>
      <c r="N4" s="678"/>
      <c r="O4" s="678"/>
      <c r="P4" s="678"/>
      <c r="Q4" s="678"/>
      <c r="R4" s="678"/>
      <c r="S4" s="678"/>
      <c r="T4" s="678"/>
      <c r="U4" s="678"/>
      <c r="V4" s="678"/>
      <c r="W4" s="678"/>
      <c r="X4" s="678"/>
      <c r="Y4" s="678"/>
    </row>
    <row r="5" spans="1:34" s="519" customFormat="1" ht="18" customHeight="1">
      <c r="A5" s="672"/>
      <c r="B5" s="672"/>
      <c r="C5" s="675"/>
      <c r="D5" s="679" t="s">
        <v>577</v>
      </c>
      <c r="E5" s="679" t="s">
        <v>661</v>
      </c>
      <c r="F5" s="679" t="s">
        <v>577</v>
      </c>
      <c r="G5" s="679" t="s">
        <v>661</v>
      </c>
      <c r="H5" s="677" t="s">
        <v>674</v>
      </c>
      <c r="I5" s="677" t="s">
        <v>689</v>
      </c>
      <c r="J5" s="677" t="s">
        <v>93</v>
      </c>
      <c r="K5" s="677" t="s">
        <v>94</v>
      </c>
      <c r="L5" s="520" t="s">
        <v>90</v>
      </c>
      <c r="M5" s="677" t="s">
        <v>95</v>
      </c>
      <c r="N5" s="677" t="s">
        <v>96</v>
      </c>
      <c r="O5" s="677" t="s">
        <v>97</v>
      </c>
      <c r="P5" s="678" t="s">
        <v>90</v>
      </c>
      <c r="Q5" s="678"/>
      <c r="R5" s="677" t="s">
        <v>98</v>
      </c>
      <c r="S5" s="677" t="s">
        <v>99</v>
      </c>
      <c r="T5" s="677" t="s">
        <v>100</v>
      </c>
      <c r="U5" s="677" t="s">
        <v>101</v>
      </c>
      <c r="V5" s="677" t="s">
        <v>102</v>
      </c>
      <c r="W5" s="677" t="s">
        <v>103</v>
      </c>
      <c r="X5" s="677" t="s">
        <v>104</v>
      </c>
      <c r="Y5" s="677" t="s">
        <v>105</v>
      </c>
    </row>
    <row r="6" spans="1:34" s="519" customFormat="1" ht="102" customHeight="1">
      <c r="A6" s="673"/>
      <c r="B6" s="673"/>
      <c r="C6" s="676"/>
      <c r="D6" s="679"/>
      <c r="E6" s="679"/>
      <c r="F6" s="679"/>
      <c r="G6" s="679"/>
      <c r="H6" s="677"/>
      <c r="I6" s="677"/>
      <c r="J6" s="677"/>
      <c r="K6" s="677"/>
      <c r="L6" s="256" t="s">
        <v>54</v>
      </c>
      <c r="M6" s="677"/>
      <c r="N6" s="677"/>
      <c r="O6" s="677"/>
      <c r="P6" s="256" t="s">
        <v>588</v>
      </c>
      <c r="Q6" s="256" t="s">
        <v>589</v>
      </c>
      <c r="R6" s="677"/>
      <c r="S6" s="677"/>
      <c r="T6" s="677"/>
      <c r="U6" s="677"/>
      <c r="V6" s="677"/>
      <c r="W6" s="677"/>
      <c r="X6" s="677"/>
      <c r="Y6" s="677"/>
      <c r="AA6" s="521"/>
      <c r="AB6" s="522"/>
    </row>
    <row r="7" spans="1:34" s="528" customFormat="1" ht="15">
      <c r="A7" s="523" t="s">
        <v>106</v>
      </c>
      <c r="B7" s="524" t="s">
        <v>107</v>
      </c>
      <c r="C7" s="524" t="s">
        <v>58</v>
      </c>
      <c r="D7" s="525" t="s">
        <v>647</v>
      </c>
      <c r="E7" s="525" t="s">
        <v>648</v>
      </c>
      <c r="F7" s="525" t="s">
        <v>649</v>
      </c>
      <c r="G7" s="525" t="s">
        <v>650</v>
      </c>
      <c r="H7" s="526" t="s">
        <v>59</v>
      </c>
      <c r="I7" s="526" t="s">
        <v>60</v>
      </c>
      <c r="J7" s="526" t="s">
        <v>84</v>
      </c>
      <c r="K7" s="526" t="s">
        <v>85</v>
      </c>
      <c r="L7" s="524" t="s">
        <v>595</v>
      </c>
      <c r="M7" s="526" t="s">
        <v>87</v>
      </c>
      <c r="N7" s="526" t="s">
        <v>108</v>
      </c>
      <c r="O7" s="526" t="s">
        <v>109</v>
      </c>
      <c r="P7" s="524" t="s">
        <v>597</v>
      </c>
      <c r="Q7" s="524" t="s">
        <v>623</v>
      </c>
      <c r="R7" s="526" t="s">
        <v>110</v>
      </c>
      <c r="S7" s="526" t="s">
        <v>111</v>
      </c>
      <c r="T7" s="526" t="s">
        <v>112</v>
      </c>
      <c r="U7" s="526" t="s">
        <v>113</v>
      </c>
      <c r="V7" s="526" t="s">
        <v>114</v>
      </c>
      <c r="W7" s="526" t="s">
        <v>115</v>
      </c>
      <c r="X7" s="526" t="s">
        <v>116</v>
      </c>
      <c r="Y7" s="527" t="s">
        <v>117</v>
      </c>
    </row>
    <row r="8" spans="1:34" s="519" customFormat="1" ht="15.75" customHeight="1">
      <c r="A8" s="529"/>
      <c r="B8" s="530" t="s">
        <v>118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  <c r="AA8" s="522"/>
    </row>
    <row r="9" spans="1:34" s="519" customFormat="1" ht="15.75" customHeight="1">
      <c r="A9" s="531">
        <v>10</v>
      </c>
      <c r="B9" s="252" t="s">
        <v>119</v>
      </c>
      <c r="C9" s="252">
        <f t="shared" ref="C9:C10" si="0">SUM(J9:Y9)-L9-P9-Q9</f>
        <v>317557</v>
      </c>
      <c r="D9" s="253">
        <v>317557</v>
      </c>
      <c r="E9" s="291">
        <v>6.9527592733161322E-2</v>
      </c>
      <c r="F9" s="253">
        <v>0</v>
      </c>
      <c r="G9" s="291">
        <v>0</v>
      </c>
      <c r="H9" s="253">
        <v>317557</v>
      </c>
      <c r="I9" s="253"/>
      <c r="J9" s="253">
        <v>0</v>
      </c>
      <c r="K9" s="253">
        <v>0</v>
      </c>
      <c r="L9" s="253">
        <v>0</v>
      </c>
      <c r="M9" s="253">
        <v>0</v>
      </c>
      <c r="N9" s="253">
        <v>0</v>
      </c>
      <c r="O9" s="252">
        <f>+P9+Q9</f>
        <v>15608</v>
      </c>
      <c r="P9" s="253">
        <v>8242</v>
      </c>
      <c r="Q9" s="253">
        <v>7366</v>
      </c>
      <c r="R9" s="253">
        <v>0</v>
      </c>
      <c r="S9" s="253">
        <v>0</v>
      </c>
      <c r="T9" s="253">
        <v>0</v>
      </c>
      <c r="U9" s="253">
        <v>0</v>
      </c>
      <c r="V9" s="253">
        <v>301948</v>
      </c>
      <c r="W9" s="253">
        <v>1</v>
      </c>
      <c r="X9" s="253">
        <v>0</v>
      </c>
      <c r="Y9" s="253">
        <v>0</v>
      </c>
      <c r="AB9" s="532"/>
      <c r="AH9" s="533"/>
    </row>
    <row r="10" spans="1:34" s="519" customFormat="1" ht="15.75" customHeight="1">
      <c r="A10" s="531">
        <f t="shared" ref="A10:A74" si="1">A9+10</f>
        <v>20</v>
      </c>
      <c r="B10" s="252" t="s">
        <v>120</v>
      </c>
      <c r="C10" s="252">
        <f t="shared" si="0"/>
        <v>22820466</v>
      </c>
      <c r="D10" s="253">
        <v>22820466</v>
      </c>
      <c r="E10" s="292">
        <v>0.14019926711737862</v>
      </c>
      <c r="F10" s="253">
        <v>0</v>
      </c>
      <c r="G10" s="292">
        <v>0</v>
      </c>
      <c r="H10" s="253">
        <v>22820466</v>
      </c>
      <c r="I10" s="253">
        <v>0</v>
      </c>
      <c r="J10" s="253">
        <v>0</v>
      </c>
      <c r="K10" s="253">
        <v>0</v>
      </c>
      <c r="L10" s="253">
        <v>0</v>
      </c>
      <c r="M10" s="253">
        <v>0</v>
      </c>
      <c r="N10" s="253">
        <v>0</v>
      </c>
      <c r="O10" s="252">
        <f t="shared" ref="O10:O14" si="2">+P10+Q10</f>
        <v>22787466</v>
      </c>
      <c r="P10" s="253">
        <v>75790</v>
      </c>
      <c r="Q10" s="253">
        <v>22711676</v>
      </c>
      <c r="R10" s="253">
        <v>0</v>
      </c>
      <c r="S10" s="253">
        <v>0</v>
      </c>
      <c r="T10" s="253">
        <v>0</v>
      </c>
      <c r="U10" s="253">
        <v>0</v>
      </c>
      <c r="V10" s="253">
        <v>0</v>
      </c>
      <c r="W10" s="253">
        <v>0</v>
      </c>
      <c r="X10" s="253">
        <v>0</v>
      </c>
      <c r="Y10" s="253">
        <v>33000</v>
      </c>
      <c r="AB10" s="532"/>
    </row>
    <row r="11" spans="1:34" s="536" customFormat="1" ht="15.75" customHeight="1">
      <c r="A11" s="534">
        <f t="shared" si="1"/>
        <v>30</v>
      </c>
      <c r="B11" s="535" t="s">
        <v>121</v>
      </c>
      <c r="C11" s="252">
        <f>SUM(J11:Y11)-L11-P11-Q11</f>
        <v>137504047</v>
      </c>
      <c r="D11" s="253">
        <v>59208913</v>
      </c>
      <c r="E11" s="292">
        <v>0.19965753352506455</v>
      </c>
      <c r="F11" s="253">
        <v>78295134</v>
      </c>
      <c r="G11" s="292">
        <v>0.10209575743525069</v>
      </c>
      <c r="H11" s="253">
        <v>137504047</v>
      </c>
      <c r="I11" s="253">
        <v>0</v>
      </c>
      <c r="J11" s="253">
        <v>0</v>
      </c>
      <c r="K11" s="253">
        <v>0</v>
      </c>
      <c r="L11" s="253">
        <v>0</v>
      </c>
      <c r="M11" s="253">
        <v>2102759</v>
      </c>
      <c r="N11" s="253">
        <v>0</v>
      </c>
      <c r="O11" s="252">
        <f t="shared" si="2"/>
        <v>114120728</v>
      </c>
      <c r="P11" s="253">
        <v>532057</v>
      </c>
      <c r="Q11" s="253">
        <v>113588671</v>
      </c>
      <c r="R11" s="253">
        <v>0</v>
      </c>
      <c r="S11" s="253">
        <v>0</v>
      </c>
      <c r="T11" s="253">
        <v>0</v>
      </c>
      <c r="U11" s="253">
        <v>0</v>
      </c>
      <c r="V11" s="253">
        <v>3658743</v>
      </c>
      <c r="W11" s="253">
        <v>17621817</v>
      </c>
      <c r="X11" s="253">
        <v>0</v>
      </c>
      <c r="Y11" s="253">
        <v>0</v>
      </c>
      <c r="AB11" s="532"/>
    </row>
    <row r="12" spans="1:34" s="536" customFormat="1" ht="15.75" customHeight="1">
      <c r="A12" s="534">
        <f t="shared" si="1"/>
        <v>40</v>
      </c>
      <c r="B12" s="535" t="s">
        <v>122</v>
      </c>
      <c r="C12" s="252">
        <f>SUM(J12:Y12)-L12-P12-Q12</f>
        <v>1778208889</v>
      </c>
      <c r="D12" s="253">
        <v>569285347</v>
      </c>
      <c r="E12" s="292">
        <v>0.15047854130721616</v>
      </c>
      <c r="F12" s="253">
        <v>1208923542</v>
      </c>
      <c r="G12" s="292">
        <v>9.2408984653429269E-2</v>
      </c>
      <c r="H12" s="253">
        <v>1778208889</v>
      </c>
      <c r="I12" s="253">
        <v>0</v>
      </c>
      <c r="J12" s="253">
        <v>0</v>
      </c>
      <c r="K12" s="253">
        <v>0</v>
      </c>
      <c r="L12" s="253">
        <v>0</v>
      </c>
      <c r="M12" s="253">
        <v>85786723</v>
      </c>
      <c r="N12" s="253">
        <v>193542</v>
      </c>
      <c r="O12" s="252">
        <f t="shared" si="2"/>
        <v>1395778149</v>
      </c>
      <c r="P12" s="253">
        <v>244109980</v>
      </c>
      <c r="Q12" s="253">
        <v>1151668169</v>
      </c>
      <c r="R12" s="253">
        <v>6392129</v>
      </c>
      <c r="S12" s="253">
        <v>0</v>
      </c>
      <c r="T12" s="253">
        <v>0</v>
      </c>
      <c r="U12" s="253">
        <v>2398337</v>
      </c>
      <c r="V12" s="253">
        <v>65874031</v>
      </c>
      <c r="W12" s="253">
        <v>221658892</v>
      </c>
      <c r="X12" s="253">
        <v>0</v>
      </c>
      <c r="Y12" s="253">
        <v>127086</v>
      </c>
      <c r="AB12" s="532"/>
    </row>
    <row r="13" spans="1:34" s="536" customFormat="1" ht="15.75" customHeight="1">
      <c r="A13" s="534">
        <f t="shared" si="1"/>
        <v>50</v>
      </c>
      <c r="B13" s="537" t="s">
        <v>123</v>
      </c>
      <c r="C13" s="252">
        <f t="shared" ref="C13:C14" si="3">SUM(J13:Y13)-L13-P13-Q13</f>
        <v>0</v>
      </c>
      <c r="D13" s="253">
        <v>0</v>
      </c>
      <c r="E13" s="292">
        <v>0</v>
      </c>
      <c r="F13" s="253">
        <v>0</v>
      </c>
      <c r="G13" s="292">
        <v>0</v>
      </c>
      <c r="H13" s="253">
        <v>0</v>
      </c>
      <c r="I13" s="253"/>
      <c r="J13" s="253">
        <v>0</v>
      </c>
      <c r="K13" s="253">
        <v>0</v>
      </c>
      <c r="L13" s="253">
        <v>0</v>
      </c>
      <c r="M13" s="253">
        <v>0</v>
      </c>
      <c r="N13" s="253">
        <v>0</v>
      </c>
      <c r="O13" s="252">
        <f t="shared" si="2"/>
        <v>0</v>
      </c>
      <c r="P13" s="253">
        <v>0</v>
      </c>
      <c r="Q13" s="253">
        <v>0</v>
      </c>
      <c r="R13" s="253">
        <v>0</v>
      </c>
      <c r="S13" s="253">
        <v>0</v>
      </c>
      <c r="T13" s="253">
        <v>0</v>
      </c>
      <c r="U13" s="253">
        <v>0</v>
      </c>
      <c r="V13" s="253">
        <v>0</v>
      </c>
      <c r="W13" s="253">
        <v>0</v>
      </c>
      <c r="X13" s="253">
        <v>0</v>
      </c>
      <c r="Y13" s="253">
        <v>0</v>
      </c>
      <c r="AB13" s="532"/>
    </row>
    <row r="14" spans="1:34" s="536" customFormat="1" ht="15.75" customHeight="1">
      <c r="A14" s="534">
        <f>A13+10</f>
        <v>60</v>
      </c>
      <c r="B14" s="535" t="s">
        <v>124</v>
      </c>
      <c r="C14" s="252">
        <f t="shared" si="3"/>
        <v>0</v>
      </c>
      <c r="D14" s="253">
        <v>0</v>
      </c>
      <c r="E14" s="292">
        <v>0</v>
      </c>
      <c r="F14" s="253">
        <v>0</v>
      </c>
      <c r="G14" s="292">
        <v>0</v>
      </c>
      <c r="H14" s="253">
        <v>0</v>
      </c>
      <c r="I14" s="253"/>
      <c r="J14" s="253">
        <v>0</v>
      </c>
      <c r="K14" s="253">
        <v>0</v>
      </c>
      <c r="L14" s="253">
        <v>0</v>
      </c>
      <c r="M14" s="253">
        <v>0</v>
      </c>
      <c r="N14" s="253">
        <v>0</v>
      </c>
      <c r="O14" s="252">
        <f t="shared" si="2"/>
        <v>0</v>
      </c>
      <c r="P14" s="253">
        <v>0</v>
      </c>
      <c r="Q14" s="253">
        <v>0</v>
      </c>
      <c r="R14" s="253">
        <v>0</v>
      </c>
      <c r="S14" s="253">
        <v>0</v>
      </c>
      <c r="T14" s="253">
        <v>0</v>
      </c>
      <c r="U14" s="253">
        <v>0</v>
      </c>
      <c r="V14" s="253">
        <v>0</v>
      </c>
      <c r="W14" s="253">
        <v>0</v>
      </c>
      <c r="X14" s="253">
        <v>0</v>
      </c>
      <c r="Y14" s="253">
        <v>0</v>
      </c>
      <c r="AB14" s="532"/>
    </row>
    <row r="15" spans="1:34" s="536" customFormat="1" ht="15.75" customHeight="1">
      <c r="A15" s="520">
        <f>A14+10</f>
        <v>70</v>
      </c>
      <c r="B15" s="538" t="s">
        <v>125</v>
      </c>
      <c r="C15" s="254">
        <f t="shared" ref="C15" si="4">SUM(J15:Y15)-L15-P15-Q15</f>
        <v>1938850959</v>
      </c>
      <c r="D15" s="254">
        <f>SUM(D9:D14)</f>
        <v>651632283</v>
      </c>
      <c r="E15" s="294">
        <f>IFERROR(((D9*E9)/D15)+((D10*E10)/D15)+((D11*E11)/D15)+((D12*E12)/D15)+((D13*E13)/D15)+((D14*E14)/D15),0)</f>
        <v>0.15454763115021289</v>
      </c>
      <c r="F15" s="254">
        <f>SUM(F9:F14)</f>
        <v>1287218676</v>
      </c>
      <c r="G15" s="294">
        <f>IFERROR(((F9*G9)/F15)+((F10*G10)/F15)+((F11*G11)/F15)+((F12*G12)/F15)+((F13*G13)/F15)+((F14*G14)/F15),0)</f>
        <v>9.2998183044597005E-2</v>
      </c>
      <c r="H15" s="254">
        <f t="shared" ref="H15:Y15" si="5">SUM(H9:H14)</f>
        <v>1938850959</v>
      </c>
      <c r="I15" s="254">
        <f t="shared" si="5"/>
        <v>0</v>
      </c>
      <c r="J15" s="254">
        <f t="shared" si="5"/>
        <v>0</v>
      </c>
      <c r="K15" s="254">
        <f t="shared" si="5"/>
        <v>0</v>
      </c>
      <c r="L15" s="254">
        <f t="shared" si="5"/>
        <v>0</v>
      </c>
      <c r="M15" s="254">
        <f t="shared" si="5"/>
        <v>87889482</v>
      </c>
      <c r="N15" s="254">
        <f t="shared" si="5"/>
        <v>193542</v>
      </c>
      <c r="O15" s="254">
        <f t="shared" si="5"/>
        <v>1532701951</v>
      </c>
      <c r="P15" s="254">
        <f t="shared" si="5"/>
        <v>244726069</v>
      </c>
      <c r="Q15" s="254">
        <f t="shared" si="5"/>
        <v>1287975882</v>
      </c>
      <c r="R15" s="254">
        <f t="shared" si="5"/>
        <v>6392129</v>
      </c>
      <c r="S15" s="254">
        <f t="shared" si="5"/>
        <v>0</v>
      </c>
      <c r="T15" s="254">
        <f t="shared" si="5"/>
        <v>0</v>
      </c>
      <c r="U15" s="254">
        <f t="shared" si="5"/>
        <v>2398337</v>
      </c>
      <c r="V15" s="254">
        <f t="shared" si="5"/>
        <v>69834722</v>
      </c>
      <c r="W15" s="254">
        <f t="shared" si="5"/>
        <v>239280710</v>
      </c>
      <c r="X15" s="254">
        <f t="shared" si="5"/>
        <v>0</v>
      </c>
      <c r="Y15" s="254">
        <f t="shared" si="5"/>
        <v>160086</v>
      </c>
      <c r="AA15" s="539"/>
      <c r="AB15" s="532"/>
    </row>
    <row r="16" spans="1:34" s="536" customFormat="1" ht="15.75" customHeight="1">
      <c r="A16" s="520"/>
      <c r="B16" s="538" t="s">
        <v>126</v>
      </c>
      <c r="C16" s="254"/>
      <c r="D16" s="254"/>
      <c r="E16" s="294"/>
      <c r="F16" s="254"/>
      <c r="G16" s="29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AA16" s="539"/>
      <c r="AB16" s="532"/>
    </row>
    <row r="17" spans="1:28" s="536" customFormat="1" ht="15.75" customHeight="1">
      <c r="A17" s="531">
        <f>A15+10</f>
        <v>80</v>
      </c>
      <c r="B17" s="252" t="s">
        <v>119</v>
      </c>
      <c r="C17" s="252">
        <f t="shared" ref="C17:C24" si="6">SUM(J17:Y17)-L17-P17-Q17</f>
        <v>718619875</v>
      </c>
      <c r="D17" s="253">
        <v>718619875</v>
      </c>
      <c r="E17" s="291">
        <v>0.12699006446075092</v>
      </c>
      <c r="F17" s="253">
        <v>0</v>
      </c>
      <c r="G17" s="291">
        <v>0</v>
      </c>
      <c r="H17" s="253">
        <v>718619875</v>
      </c>
      <c r="I17" s="253"/>
      <c r="J17" s="253">
        <v>0</v>
      </c>
      <c r="K17" s="253">
        <v>0</v>
      </c>
      <c r="L17" s="253">
        <v>0</v>
      </c>
      <c r="M17" s="253">
        <v>105660</v>
      </c>
      <c r="N17" s="253">
        <v>0</v>
      </c>
      <c r="O17" s="252">
        <f>+P17+Q17</f>
        <v>31919</v>
      </c>
      <c r="P17" s="253">
        <v>2362</v>
      </c>
      <c r="Q17" s="253">
        <v>29557</v>
      </c>
      <c r="R17" s="253">
        <v>0</v>
      </c>
      <c r="S17" s="253">
        <v>0</v>
      </c>
      <c r="T17" s="253">
        <v>0</v>
      </c>
      <c r="U17" s="253">
        <v>0</v>
      </c>
      <c r="V17" s="253">
        <v>42013547</v>
      </c>
      <c r="W17" s="253">
        <v>676468749</v>
      </c>
      <c r="X17" s="253">
        <v>0</v>
      </c>
      <c r="Y17" s="253">
        <v>0</v>
      </c>
      <c r="AB17" s="532"/>
    </row>
    <row r="18" spans="1:28" s="536" customFormat="1" ht="15.75" customHeight="1">
      <c r="A18" s="531">
        <f t="shared" si="1"/>
        <v>90</v>
      </c>
      <c r="B18" s="252" t="s">
        <v>120</v>
      </c>
      <c r="C18" s="252">
        <f t="shared" si="6"/>
        <v>60257114</v>
      </c>
      <c r="D18" s="253">
        <v>60257114</v>
      </c>
      <c r="E18" s="291">
        <v>6.0101759849272671E-2</v>
      </c>
      <c r="F18" s="253">
        <v>0</v>
      </c>
      <c r="G18" s="291">
        <v>0</v>
      </c>
      <c r="H18" s="253">
        <v>60257114</v>
      </c>
      <c r="I18" s="253"/>
      <c r="J18" s="253">
        <v>0</v>
      </c>
      <c r="K18" s="253">
        <v>0</v>
      </c>
      <c r="L18" s="253">
        <v>0</v>
      </c>
      <c r="M18" s="253">
        <v>0</v>
      </c>
      <c r="N18" s="253">
        <v>0</v>
      </c>
      <c r="O18" s="252">
        <f t="shared" ref="O18:O22" si="7">+P18+Q18</f>
        <v>0</v>
      </c>
      <c r="P18" s="253">
        <v>0</v>
      </c>
      <c r="Q18" s="253">
        <v>0</v>
      </c>
      <c r="R18" s="253">
        <v>0</v>
      </c>
      <c r="S18" s="253">
        <v>0</v>
      </c>
      <c r="T18" s="253">
        <v>0</v>
      </c>
      <c r="U18" s="253">
        <v>0</v>
      </c>
      <c r="V18" s="253">
        <v>60257114</v>
      </c>
      <c r="W18" s="253">
        <v>0</v>
      </c>
      <c r="X18" s="253">
        <v>0</v>
      </c>
      <c r="Y18" s="253">
        <v>0</v>
      </c>
      <c r="AB18" s="532"/>
    </row>
    <row r="19" spans="1:28" s="519" customFormat="1" ht="15.75" customHeight="1">
      <c r="A19" s="534">
        <f t="shared" si="1"/>
        <v>100</v>
      </c>
      <c r="B19" s="535" t="s">
        <v>121</v>
      </c>
      <c r="C19" s="252">
        <f t="shared" si="6"/>
        <v>186094751</v>
      </c>
      <c r="D19" s="253">
        <v>54086623</v>
      </c>
      <c r="E19" s="292">
        <v>0.18239674987219223</v>
      </c>
      <c r="F19" s="253">
        <v>132008128</v>
      </c>
      <c r="G19" s="292">
        <v>7.4682520037558375E-2</v>
      </c>
      <c r="H19" s="253">
        <v>186094751</v>
      </c>
      <c r="I19" s="253"/>
      <c r="J19" s="253">
        <v>0</v>
      </c>
      <c r="K19" s="253">
        <v>0</v>
      </c>
      <c r="L19" s="253">
        <v>0</v>
      </c>
      <c r="M19" s="253">
        <v>2354384</v>
      </c>
      <c r="N19" s="253">
        <v>0</v>
      </c>
      <c r="O19" s="252">
        <f t="shared" si="7"/>
        <v>181552478</v>
      </c>
      <c r="P19" s="253">
        <v>124613918</v>
      </c>
      <c r="Q19" s="253">
        <v>56938560</v>
      </c>
      <c r="R19" s="253">
        <v>0</v>
      </c>
      <c r="S19" s="253">
        <v>0</v>
      </c>
      <c r="T19" s="253">
        <v>0</v>
      </c>
      <c r="U19" s="253">
        <v>0</v>
      </c>
      <c r="V19" s="253">
        <v>1529230</v>
      </c>
      <c r="W19" s="253">
        <v>658659</v>
      </c>
      <c r="X19" s="253">
        <v>0</v>
      </c>
      <c r="Y19" s="253">
        <v>0</v>
      </c>
      <c r="AB19" s="532"/>
    </row>
    <row r="20" spans="1:28" s="519" customFormat="1" ht="15.75" customHeight="1">
      <c r="A20" s="534">
        <f t="shared" si="1"/>
        <v>110</v>
      </c>
      <c r="B20" s="535" t="s">
        <v>122</v>
      </c>
      <c r="C20" s="252">
        <f t="shared" si="6"/>
        <v>1241497805</v>
      </c>
      <c r="D20" s="253">
        <v>747400850</v>
      </c>
      <c r="E20" s="292">
        <v>0.16824604582583919</v>
      </c>
      <c r="F20" s="253">
        <v>494096955</v>
      </c>
      <c r="G20" s="292">
        <v>7.4502216477250138E-2</v>
      </c>
      <c r="H20" s="253">
        <v>1241497805</v>
      </c>
      <c r="I20" s="253"/>
      <c r="J20" s="253">
        <v>182126</v>
      </c>
      <c r="K20" s="253">
        <v>0</v>
      </c>
      <c r="L20" s="253">
        <v>0</v>
      </c>
      <c r="M20" s="253">
        <v>78812903</v>
      </c>
      <c r="N20" s="253">
        <v>0</v>
      </c>
      <c r="O20" s="252">
        <f t="shared" si="7"/>
        <v>1121491152</v>
      </c>
      <c r="P20" s="253">
        <v>78658888</v>
      </c>
      <c r="Q20" s="253">
        <v>1042832264</v>
      </c>
      <c r="R20" s="253">
        <v>1688445</v>
      </c>
      <c r="S20" s="253">
        <v>0</v>
      </c>
      <c r="T20" s="253">
        <v>0</v>
      </c>
      <c r="U20" s="253">
        <v>3149182</v>
      </c>
      <c r="V20" s="253">
        <v>12886598</v>
      </c>
      <c r="W20" s="253">
        <v>22505399</v>
      </c>
      <c r="X20" s="253">
        <v>0</v>
      </c>
      <c r="Y20" s="253">
        <v>782000</v>
      </c>
      <c r="AB20" s="532"/>
    </row>
    <row r="21" spans="1:28" s="519" customFormat="1" ht="15.75" customHeight="1">
      <c r="A21" s="534">
        <f>A20+10</f>
        <v>120</v>
      </c>
      <c r="B21" s="535" t="s">
        <v>127</v>
      </c>
      <c r="C21" s="252">
        <f t="shared" si="6"/>
        <v>261233028</v>
      </c>
      <c r="D21" s="253">
        <v>183647166</v>
      </c>
      <c r="E21" s="292">
        <v>0.17259636326961872</v>
      </c>
      <c r="F21" s="253">
        <v>77585862</v>
      </c>
      <c r="G21" s="292">
        <v>5.8612515737677937E-2</v>
      </c>
      <c r="H21" s="253">
        <v>261233028</v>
      </c>
      <c r="I21" s="253"/>
      <c r="J21" s="253">
        <v>0</v>
      </c>
      <c r="K21" s="253">
        <v>0</v>
      </c>
      <c r="L21" s="253">
        <v>0</v>
      </c>
      <c r="M21" s="253">
        <v>18195003</v>
      </c>
      <c r="N21" s="253">
        <v>0</v>
      </c>
      <c r="O21" s="252">
        <f t="shared" si="7"/>
        <v>238623096</v>
      </c>
      <c r="P21" s="253">
        <v>18218837</v>
      </c>
      <c r="Q21" s="253">
        <v>220404259</v>
      </c>
      <c r="R21" s="253">
        <v>689586</v>
      </c>
      <c r="S21" s="253">
        <v>0</v>
      </c>
      <c r="T21" s="253">
        <v>0</v>
      </c>
      <c r="U21" s="253">
        <v>254467</v>
      </c>
      <c r="V21" s="253">
        <v>2962803</v>
      </c>
      <c r="W21" s="253">
        <v>508073</v>
      </c>
      <c r="X21" s="253">
        <v>0</v>
      </c>
      <c r="Y21" s="253">
        <v>0</v>
      </c>
      <c r="AB21" s="532"/>
    </row>
    <row r="22" spans="1:28" s="519" customFormat="1" ht="15.75" customHeight="1">
      <c r="A22" s="534">
        <f t="shared" si="1"/>
        <v>130</v>
      </c>
      <c r="B22" s="537" t="s">
        <v>123</v>
      </c>
      <c r="C22" s="252">
        <f t="shared" si="6"/>
        <v>0</v>
      </c>
      <c r="D22" s="253">
        <v>0</v>
      </c>
      <c r="E22" s="292">
        <v>0</v>
      </c>
      <c r="F22" s="253">
        <v>0</v>
      </c>
      <c r="G22" s="292">
        <v>0</v>
      </c>
      <c r="H22" s="253">
        <v>0</v>
      </c>
      <c r="I22" s="253"/>
      <c r="J22" s="253">
        <v>0</v>
      </c>
      <c r="K22" s="253">
        <v>0</v>
      </c>
      <c r="L22" s="253">
        <v>0</v>
      </c>
      <c r="M22" s="253">
        <v>0</v>
      </c>
      <c r="N22" s="253">
        <v>0</v>
      </c>
      <c r="O22" s="252">
        <f t="shared" si="7"/>
        <v>0</v>
      </c>
      <c r="P22" s="253">
        <v>0</v>
      </c>
      <c r="Q22" s="253">
        <v>0</v>
      </c>
      <c r="R22" s="253">
        <v>0</v>
      </c>
      <c r="S22" s="253">
        <v>0</v>
      </c>
      <c r="T22" s="253">
        <v>0</v>
      </c>
      <c r="U22" s="253">
        <v>0</v>
      </c>
      <c r="V22" s="253">
        <v>0</v>
      </c>
      <c r="W22" s="253">
        <v>0</v>
      </c>
      <c r="X22" s="253">
        <v>0</v>
      </c>
      <c r="Y22" s="253">
        <v>0</v>
      </c>
      <c r="AB22" s="532"/>
    </row>
    <row r="23" spans="1:28" s="519" customFormat="1" ht="15.75" customHeight="1">
      <c r="A23" s="534">
        <f>A22+10</f>
        <v>140</v>
      </c>
      <c r="B23" s="535" t="s">
        <v>124</v>
      </c>
      <c r="C23" s="252">
        <f t="shared" si="6"/>
        <v>0</v>
      </c>
      <c r="D23" s="253">
        <v>0</v>
      </c>
      <c r="E23" s="292">
        <v>0</v>
      </c>
      <c r="F23" s="253">
        <v>0</v>
      </c>
      <c r="G23" s="292">
        <v>0</v>
      </c>
      <c r="H23" s="253">
        <v>0</v>
      </c>
      <c r="I23" s="253">
        <v>0</v>
      </c>
      <c r="J23" s="253">
        <v>0</v>
      </c>
      <c r="K23" s="253">
        <v>0</v>
      </c>
      <c r="L23" s="253">
        <v>0</v>
      </c>
      <c r="M23" s="253">
        <v>0</v>
      </c>
      <c r="N23" s="253">
        <v>0</v>
      </c>
      <c r="O23" s="252">
        <f>+P23+Q23</f>
        <v>0</v>
      </c>
      <c r="P23" s="253">
        <v>0</v>
      </c>
      <c r="Q23" s="253">
        <v>0</v>
      </c>
      <c r="R23" s="253">
        <v>0</v>
      </c>
      <c r="S23" s="253">
        <v>0</v>
      </c>
      <c r="T23" s="253">
        <v>0</v>
      </c>
      <c r="U23" s="253">
        <v>0</v>
      </c>
      <c r="V23" s="253">
        <v>0</v>
      </c>
      <c r="W23" s="253">
        <v>0</v>
      </c>
      <c r="X23" s="253">
        <v>0</v>
      </c>
      <c r="Y23" s="253">
        <v>0</v>
      </c>
      <c r="AB23" s="532"/>
    </row>
    <row r="24" spans="1:28" s="519" customFormat="1" ht="15.75" customHeight="1">
      <c r="A24" s="520">
        <f>A23+10</f>
        <v>150</v>
      </c>
      <c r="B24" s="538" t="s">
        <v>128</v>
      </c>
      <c r="C24" s="254">
        <f t="shared" si="6"/>
        <v>2467702573</v>
      </c>
      <c r="D24" s="254">
        <f>SUM(D17:D23)</f>
        <v>1764011628</v>
      </c>
      <c r="E24" s="294">
        <f>IFERROR(((D17*E17)/D24)+((D18*E18)/D24)+((D19*E19)/D24)+((D20*E20)/D24)+((D21*E21)/D24)+((D22*E22)/D24)+((D23*E23)/D24),0)</f>
        <v>0.14863192144806583</v>
      </c>
      <c r="F24" s="254">
        <f>SUM(F17:F23)</f>
        <v>703690945</v>
      </c>
      <c r="G24" s="294">
        <f>IFERROR(((F17*G17)/F24)+((F18*G18)/F24)+((F19*G19)/F24)+((F20*G20)/F24)+((F21*G21)/F24)+((F22*G22)/F24)+((F23*G23)/F24),0)</f>
        <v>7.2784111957184566E-2</v>
      </c>
      <c r="H24" s="254">
        <f t="shared" ref="H24:Y24" si="8">SUM(H17:H23)</f>
        <v>2467702573</v>
      </c>
      <c r="I24" s="254">
        <f t="shared" si="8"/>
        <v>0</v>
      </c>
      <c r="J24" s="254">
        <f t="shared" si="8"/>
        <v>182126</v>
      </c>
      <c r="K24" s="254">
        <f t="shared" si="8"/>
        <v>0</v>
      </c>
      <c r="L24" s="254">
        <f t="shared" si="8"/>
        <v>0</v>
      </c>
      <c r="M24" s="254">
        <f t="shared" si="8"/>
        <v>99467950</v>
      </c>
      <c r="N24" s="254">
        <f t="shared" si="8"/>
        <v>0</v>
      </c>
      <c r="O24" s="254">
        <f t="shared" si="8"/>
        <v>1541698645</v>
      </c>
      <c r="P24" s="254">
        <f t="shared" si="8"/>
        <v>221494005</v>
      </c>
      <c r="Q24" s="254">
        <f t="shared" si="8"/>
        <v>1320204640</v>
      </c>
      <c r="R24" s="254">
        <f t="shared" si="8"/>
        <v>2378031</v>
      </c>
      <c r="S24" s="254">
        <f t="shared" si="8"/>
        <v>0</v>
      </c>
      <c r="T24" s="254">
        <f t="shared" si="8"/>
        <v>0</v>
      </c>
      <c r="U24" s="254">
        <f t="shared" si="8"/>
        <v>3403649</v>
      </c>
      <c r="V24" s="254">
        <f t="shared" si="8"/>
        <v>119649292</v>
      </c>
      <c r="W24" s="254">
        <f t="shared" si="8"/>
        <v>700140880</v>
      </c>
      <c r="X24" s="254">
        <f t="shared" si="8"/>
        <v>0</v>
      </c>
      <c r="Y24" s="254">
        <f t="shared" si="8"/>
        <v>782000</v>
      </c>
      <c r="AB24" s="532"/>
    </row>
    <row r="25" spans="1:28" s="519" customFormat="1" ht="15.75" customHeight="1">
      <c r="A25" s="520"/>
      <c r="B25" s="538" t="s">
        <v>129</v>
      </c>
      <c r="C25" s="254"/>
      <c r="D25" s="254"/>
      <c r="E25" s="294"/>
      <c r="F25" s="254"/>
      <c r="G25" s="29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AA25" s="522"/>
      <c r="AB25" s="532"/>
    </row>
    <row r="26" spans="1:28" s="519" customFormat="1" ht="15.75" customHeight="1">
      <c r="A26" s="531">
        <f>A24+10</f>
        <v>160</v>
      </c>
      <c r="B26" s="252" t="s">
        <v>119</v>
      </c>
      <c r="C26" s="252">
        <f t="shared" ref="C26:C32" si="9">SUM(J26:Y26)-L26-P26-Q26</f>
        <v>81876843</v>
      </c>
      <c r="D26" s="253">
        <v>81876843</v>
      </c>
      <c r="E26" s="291">
        <v>0.26392371999997849</v>
      </c>
      <c r="F26" s="253">
        <v>0</v>
      </c>
      <c r="G26" s="291">
        <v>0</v>
      </c>
      <c r="H26" s="253">
        <v>81876843</v>
      </c>
      <c r="I26" s="253">
        <v>0</v>
      </c>
      <c r="J26" s="253">
        <v>0</v>
      </c>
      <c r="K26" s="253">
        <v>0</v>
      </c>
      <c r="L26" s="253">
        <v>0</v>
      </c>
      <c r="M26" s="253">
        <v>74458738</v>
      </c>
      <c r="N26" s="253">
        <v>0</v>
      </c>
      <c r="O26" s="252">
        <f t="shared" ref="O26:O31" si="10">+P26+Q26</f>
        <v>7232</v>
      </c>
      <c r="P26" s="253">
        <v>0</v>
      </c>
      <c r="Q26" s="253">
        <v>7232</v>
      </c>
      <c r="R26" s="253">
        <v>0</v>
      </c>
      <c r="S26" s="253">
        <v>0</v>
      </c>
      <c r="T26" s="253">
        <v>0</v>
      </c>
      <c r="U26" s="253">
        <v>0</v>
      </c>
      <c r="V26" s="253">
        <v>2699930</v>
      </c>
      <c r="W26" s="253">
        <v>4680999</v>
      </c>
      <c r="X26" s="253">
        <v>0</v>
      </c>
      <c r="Y26" s="253">
        <v>29944</v>
      </c>
      <c r="AB26" s="532"/>
    </row>
    <row r="27" spans="1:28" s="519" customFormat="1" ht="15.75" customHeight="1">
      <c r="A27" s="531">
        <f t="shared" si="1"/>
        <v>170</v>
      </c>
      <c r="B27" s="252" t="s">
        <v>120</v>
      </c>
      <c r="C27" s="252">
        <f t="shared" si="9"/>
        <v>177970</v>
      </c>
      <c r="D27" s="253">
        <v>177970</v>
      </c>
      <c r="E27" s="292">
        <v>0.2435715643769287</v>
      </c>
      <c r="F27" s="253">
        <v>0</v>
      </c>
      <c r="G27" s="292">
        <v>0</v>
      </c>
      <c r="H27" s="253">
        <v>177970</v>
      </c>
      <c r="I27" s="253">
        <v>0</v>
      </c>
      <c r="J27" s="253">
        <v>0</v>
      </c>
      <c r="K27" s="253">
        <v>0</v>
      </c>
      <c r="L27" s="253">
        <v>0</v>
      </c>
      <c r="M27" s="253">
        <v>177970</v>
      </c>
      <c r="N27" s="253">
        <v>0</v>
      </c>
      <c r="O27" s="252">
        <f t="shared" si="10"/>
        <v>0</v>
      </c>
      <c r="P27" s="253">
        <v>0</v>
      </c>
      <c r="Q27" s="253">
        <v>0</v>
      </c>
      <c r="R27" s="253">
        <v>0</v>
      </c>
      <c r="S27" s="253">
        <v>0</v>
      </c>
      <c r="T27" s="253">
        <v>0</v>
      </c>
      <c r="U27" s="253">
        <v>0</v>
      </c>
      <c r="V27" s="253">
        <v>0</v>
      </c>
      <c r="W27" s="253">
        <v>0</v>
      </c>
      <c r="X27" s="253">
        <v>0</v>
      </c>
      <c r="Y27" s="253">
        <v>0</v>
      </c>
      <c r="AB27" s="532"/>
    </row>
    <row r="28" spans="1:28" s="519" customFormat="1" ht="15.75" customHeight="1">
      <c r="A28" s="534">
        <f t="shared" si="1"/>
        <v>180</v>
      </c>
      <c r="B28" s="535" t="s">
        <v>121</v>
      </c>
      <c r="C28" s="252">
        <f t="shared" si="9"/>
        <v>51350503</v>
      </c>
      <c r="D28" s="253">
        <v>4748565</v>
      </c>
      <c r="E28" s="292">
        <v>0.25153388256996112</v>
      </c>
      <c r="F28" s="253">
        <v>46601938</v>
      </c>
      <c r="G28" s="292">
        <v>0.09</v>
      </c>
      <c r="H28" s="253">
        <v>51350503</v>
      </c>
      <c r="I28" s="253">
        <v>0</v>
      </c>
      <c r="J28" s="253">
        <v>0</v>
      </c>
      <c r="K28" s="253">
        <v>0</v>
      </c>
      <c r="L28" s="253">
        <v>0</v>
      </c>
      <c r="M28" s="253">
        <v>1316965</v>
      </c>
      <c r="N28" s="253">
        <v>0</v>
      </c>
      <c r="O28" s="252">
        <f t="shared" si="10"/>
        <v>50025005</v>
      </c>
      <c r="P28" s="253">
        <v>46736581</v>
      </c>
      <c r="Q28" s="253">
        <v>3288424</v>
      </c>
      <c r="R28" s="253">
        <v>0</v>
      </c>
      <c r="S28" s="253">
        <v>0</v>
      </c>
      <c r="T28" s="253">
        <v>0</v>
      </c>
      <c r="U28" s="253">
        <v>0</v>
      </c>
      <c r="V28" s="253">
        <v>8533</v>
      </c>
      <c r="W28" s="253">
        <v>0</v>
      </c>
      <c r="X28" s="253">
        <v>0</v>
      </c>
      <c r="Y28" s="253">
        <v>0</v>
      </c>
      <c r="AB28" s="532"/>
    </row>
    <row r="29" spans="1:28" s="519" customFormat="1" ht="15.75" customHeight="1">
      <c r="A29" s="534">
        <f t="shared" si="1"/>
        <v>190</v>
      </c>
      <c r="B29" s="535" t="s">
        <v>122</v>
      </c>
      <c r="C29" s="252">
        <f t="shared" si="9"/>
        <v>217089423</v>
      </c>
      <c r="D29" s="253">
        <v>109957217</v>
      </c>
      <c r="E29" s="292">
        <v>0.21988682391408793</v>
      </c>
      <c r="F29" s="253">
        <v>107132206</v>
      </c>
      <c r="G29" s="292">
        <v>0.10715919483484741</v>
      </c>
      <c r="H29" s="253">
        <v>217089423</v>
      </c>
      <c r="I29" s="253">
        <v>0</v>
      </c>
      <c r="J29" s="253">
        <v>0</v>
      </c>
      <c r="K29" s="253">
        <v>0</v>
      </c>
      <c r="L29" s="253">
        <v>0</v>
      </c>
      <c r="M29" s="253">
        <v>76743633</v>
      </c>
      <c r="N29" s="253">
        <v>0</v>
      </c>
      <c r="O29" s="252">
        <f t="shared" si="10"/>
        <v>133991772</v>
      </c>
      <c r="P29" s="253">
        <v>25915845</v>
      </c>
      <c r="Q29" s="253">
        <v>108075927</v>
      </c>
      <c r="R29" s="253">
        <v>0</v>
      </c>
      <c r="S29" s="253">
        <v>0</v>
      </c>
      <c r="T29" s="253">
        <v>0</v>
      </c>
      <c r="U29" s="253">
        <v>2493110</v>
      </c>
      <c r="V29" s="253">
        <v>2082997</v>
      </c>
      <c r="W29" s="253">
        <v>1777911</v>
      </c>
      <c r="X29" s="253">
        <v>0</v>
      </c>
      <c r="Y29" s="253">
        <v>0</v>
      </c>
      <c r="AB29" s="532"/>
    </row>
    <row r="30" spans="1:28" s="519" customFormat="1" ht="15.75" customHeight="1">
      <c r="A30" s="534">
        <f t="shared" si="1"/>
        <v>200</v>
      </c>
      <c r="B30" s="537" t="s">
        <v>123</v>
      </c>
      <c r="C30" s="252">
        <f t="shared" si="9"/>
        <v>0</v>
      </c>
      <c r="D30" s="253">
        <v>0</v>
      </c>
      <c r="E30" s="292">
        <v>0</v>
      </c>
      <c r="F30" s="253">
        <v>0</v>
      </c>
      <c r="G30" s="292">
        <v>0</v>
      </c>
      <c r="H30" s="253">
        <v>0</v>
      </c>
      <c r="I30" s="253">
        <v>0</v>
      </c>
      <c r="J30" s="253">
        <v>0</v>
      </c>
      <c r="K30" s="253">
        <v>0</v>
      </c>
      <c r="L30" s="253">
        <v>0</v>
      </c>
      <c r="M30" s="253">
        <v>0</v>
      </c>
      <c r="N30" s="253">
        <v>0</v>
      </c>
      <c r="O30" s="252">
        <f t="shared" si="10"/>
        <v>0</v>
      </c>
      <c r="P30" s="253">
        <v>0</v>
      </c>
      <c r="Q30" s="253">
        <v>0</v>
      </c>
      <c r="R30" s="253">
        <v>0</v>
      </c>
      <c r="S30" s="253">
        <v>0</v>
      </c>
      <c r="T30" s="253">
        <v>0</v>
      </c>
      <c r="U30" s="253">
        <v>0</v>
      </c>
      <c r="V30" s="253">
        <v>0</v>
      </c>
      <c r="W30" s="253">
        <v>0</v>
      </c>
      <c r="X30" s="253">
        <v>0</v>
      </c>
      <c r="Y30" s="253">
        <v>0</v>
      </c>
      <c r="AB30" s="532"/>
    </row>
    <row r="31" spans="1:28" s="519" customFormat="1" ht="15.75" customHeight="1">
      <c r="A31" s="534">
        <f>A30+10</f>
        <v>210</v>
      </c>
      <c r="B31" s="535" t="s">
        <v>124</v>
      </c>
      <c r="C31" s="252">
        <f t="shared" si="9"/>
        <v>0</v>
      </c>
      <c r="D31" s="253">
        <v>0</v>
      </c>
      <c r="E31" s="292">
        <v>0</v>
      </c>
      <c r="F31" s="253">
        <v>0</v>
      </c>
      <c r="G31" s="292">
        <v>0</v>
      </c>
      <c r="H31" s="253">
        <v>0</v>
      </c>
      <c r="I31" s="253">
        <v>0</v>
      </c>
      <c r="J31" s="253">
        <v>0</v>
      </c>
      <c r="K31" s="253">
        <v>0</v>
      </c>
      <c r="L31" s="253">
        <v>0</v>
      </c>
      <c r="M31" s="253">
        <v>0</v>
      </c>
      <c r="N31" s="253">
        <v>0</v>
      </c>
      <c r="O31" s="252">
        <f t="shared" si="10"/>
        <v>0</v>
      </c>
      <c r="P31" s="253">
        <v>0</v>
      </c>
      <c r="Q31" s="253">
        <v>0</v>
      </c>
      <c r="R31" s="253">
        <v>0</v>
      </c>
      <c r="S31" s="253">
        <v>0</v>
      </c>
      <c r="T31" s="253">
        <v>0</v>
      </c>
      <c r="U31" s="253">
        <v>0</v>
      </c>
      <c r="V31" s="253">
        <v>0</v>
      </c>
      <c r="W31" s="253">
        <v>0</v>
      </c>
      <c r="X31" s="253">
        <v>0</v>
      </c>
      <c r="Y31" s="253">
        <v>0</v>
      </c>
      <c r="AB31" s="532"/>
    </row>
    <row r="32" spans="1:28" s="519" customFormat="1" ht="15.75" customHeight="1">
      <c r="A32" s="520">
        <f>A31+10</f>
        <v>220</v>
      </c>
      <c r="B32" s="538" t="s">
        <v>130</v>
      </c>
      <c r="C32" s="254">
        <f t="shared" si="9"/>
        <v>350494739</v>
      </c>
      <c r="D32" s="254">
        <f>SUM(D26:D31)</f>
        <v>196760595</v>
      </c>
      <c r="E32" s="294">
        <f>IFERROR(((D26*E26)/D32)+((D27*E27)/D32)+((D28*E28)/D32)+((D29*E29)/D32)+((D30*E30)/D32)+((D31*E31)/D32),0)</f>
        <v>0.23899682566712274</v>
      </c>
      <c r="F32" s="254">
        <f>SUM(F26:F31)</f>
        <v>153734144</v>
      </c>
      <c r="G32" s="294">
        <f>IFERROR(((F26*G26)/F32)+((F27*G27)/F32)+((F28*G28)/F32)+((F29*G29)/F32)+((F30*G30)/F32)+((F31*G31)/F32),0)</f>
        <v>0.10195767152312638</v>
      </c>
      <c r="H32" s="254">
        <f t="shared" ref="H32:Y32" si="11">SUM(H26:H31)</f>
        <v>350494739</v>
      </c>
      <c r="I32" s="254">
        <f t="shared" si="11"/>
        <v>0</v>
      </c>
      <c r="J32" s="254">
        <f t="shared" si="11"/>
        <v>0</v>
      </c>
      <c r="K32" s="254">
        <f t="shared" si="11"/>
        <v>0</v>
      </c>
      <c r="L32" s="254">
        <f t="shared" si="11"/>
        <v>0</v>
      </c>
      <c r="M32" s="254">
        <f t="shared" si="11"/>
        <v>152697306</v>
      </c>
      <c r="N32" s="254">
        <f t="shared" si="11"/>
        <v>0</v>
      </c>
      <c r="O32" s="254">
        <f t="shared" si="11"/>
        <v>184024009</v>
      </c>
      <c r="P32" s="254">
        <f t="shared" si="11"/>
        <v>72652426</v>
      </c>
      <c r="Q32" s="254">
        <f t="shared" si="11"/>
        <v>111371583</v>
      </c>
      <c r="R32" s="254">
        <f t="shared" si="11"/>
        <v>0</v>
      </c>
      <c r="S32" s="254">
        <f t="shared" si="11"/>
        <v>0</v>
      </c>
      <c r="T32" s="254">
        <f t="shared" si="11"/>
        <v>0</v>
      </c>
      <c r="U32" s="254">
        <f t="shared" si="11"/>
        <v>2493110</v>
      </c>
      <c r="V32" s="254">
        <f t="shared" si="11"/>
        <v>4791460</v>
      </c>
      <c r="W32" s="254">
        <f t="shared" si="11"/>
        <v>6458910</v>
      </c>
      <c r="X32" s="254">
        <f t="shared" si="11"/>
        <v>0</v>
      </c>
      <c r="Y32" s="254">
        <f t="shared" si="11"/>
        <v>29944</v>
      </c>
      <c r="AB32" s="532"/>
    </row>
    <row r="33" spans="1:28" s="519" customFormat="1" ht="15.75" customHeight="1">
      <c r="A33" s="520"/>
      <c r="B33" s="538" t="s">
        <v>131</v>
      </c>
      <c r="C33" s="254"/>
      <c r="D33" s="254"/>
      <c r="E33" s="294"/>
      <c r="F33" s="254"/>
      <c r="G33" s="29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AB33" s="532"/>
    </row>
    <row r="34" spans="1:28" s="519" customFormat="1" ht="15.75" customHeight="1">
      <c r="A34" s="531">
        <f>A32+10</f>
        <v>230</v>
      </c>
      <c r="B34" s="252" t="s">
        <v>119</v>
      </c>
      <c r="C34" s="252">
        <f t="shared" ref="C34:C40" si="12">SUM(J34:Y34)-L34-P34-Q34</f>
        <v>100075</v>
      </c>
      <c r="D34" s="253">
        <v>100075</v>
      </c>
      <c r="E34" s="291">
        <v>0.15</v>
      </c>
      <c r="F34" s="253">
        <v>0</v>
      </c>
      <c r="G34" s="291">
        <v>0</v>
      </c>
      <c r="H34" s="253">
        <v>100075</v>
      </c>
      <c r="I34" s="253">
        <v>0</v>
      </c>
      <c r="J34" s="253">
        <v>0</v>
      </c>
      <c r="K34" s="253">
        <v>0</v>
      </c>
      <c r="L34" s="253">
        <v>0</v>
      </c>
      <c r="M34" s="253">
        <v>0</v>
      </c>
      <c r="N34" s="253">
        <v>0</v>
      </c>
      <c r="O34" s="252">
        <f t="shared" ref="O34:O39" si="13">+P34+Q34</f>
        <v>0</v>
      </c>
      <c r="P34" s="253">
        <v>0</v>
      </c>
      <c r="Q34" s="253">
        <v>0</v>
      </c>
      <c r="R34" s="253">
        <v>0</v>
      </c>
      <c r="S34" s="253">
        <v>0</v>
      </c>
      <c r="T34" s="253">
        <v>0</v>
      </c>
      <c r="U34" s="253">
        <v>0</v>
      </c>
      <c r="V34" s="253">
        <v>0</v>
      </c>
      <c r="W34" s="253">
        <v>100075</v>
      </c>
      <c r="X34" s="253">
        <v>0</v>
      </c>
      <c r="Y34" s="253">
        <v>0</v>
      </c>
      <c r="AB34" s="532"/>
    </row>
    <row r="35" spans="1:28" s="519" customFormat="1" ht="15.75" customHeight="1">
      <c r="A35" s="531">
        <f t="shared" si="1"/>
        <v>240</v>
      </c>
      <c r="B35" s="252" t="s">
        <v>120</v>
      </c>
      <c r="C35" s="252">
        <f t="shared" si="12"/>
        <v>0</v>
      </c>
      <c r="D35" s="253">
        <v>0</v>
      </c>
      <c r="E35" s="292">
        <v>0</v>
      </c>
      <c r="F35" s="253">
        <v>0</v>
      </c>
      <c r="G35" s="292">
        <v>0</v>
      </c>
      <c r="H35" s="253">
        <v>0</v>
      </c>
      <c r="I35" s="253">
        <v>0</v>
      </c>
      <c r="J35" s="253">
        <v>0</v>
      </c>
      <c r="K35" s="253">
        <v>0</v>
      </c>
      <c r="L35" s="253">
        <v>0</v>
      </c>
      <c r="M35" s="253">
        <v>0</v>
      </c>
      <c r="N35" s="253">
        <v>0</v>
      </c>
      <c r="O35" s="252">
        <f t="shared" si="13"/>
        <v>0</v>
      </c>
      <c r="P35" s="253">
        <v>0</v>
      </c>
      <c r="Q35" s="253">
        <v>0</v>
      </c>
      <c r="R35" s="253">
        <v>0</v>
      </c>
      <c r="S35" s="253">
        <v>0</v>
      </c>
      <c r="T35" s="253">
        <v>0</v>
      </c>
      <c r="U35" s="253">
        <v>0</v>
      </c>
      <c r="V35" s="253">
        <v>0</v>
      </c>
      <c r="W35" s="253">
        <v>0</v>
      </c>
      <c r="X35" s="253">
        <v>0</v>
      </c>
      <c r="Y35" s="253">
        <v>0</v>
      </c>
      <c r="AB35" s="532"/>
    </row>
    <row r="36" spans="1:28" s="519" customFormat="1" ht="15.75" customHeight="1">
      <c r="A36" s="534">
        <f t="shared" si="1"/>
        <v>250</v>
      </c>
      <c r="B36" s="535" t="s">
        <v>121</v>
      </c>
      <c r="C36" s="252">
        <f t="shared" si="12"/>
        <v>6302115</v>
      </c>
      <c r="D36" s="253">
        <v>6302115</v>
      </c>
      <c r="E36" s="292">
        <v>0.21840344705861897</v>
      </c>
      <c r="F36" s="253">
        <v>0</v>
      </c>
      <c r="G36" s="292">
        <v>0</v>
      </c>
      <c r="H36" s="253">
        <v>6302115</v>
      </c>
      <c r="I36" s="253">
        <v>0</v>
      </c>
      <c r="J36" s="253">
        <v>0</v>
      </c>
      <c r="K36" s="253">
        <v>0</v>
      </c>
      <c r="L36" s="253">
        <v>0</v>
      </c>
      <c r="M36" s="253">
        <v>0</v>
      </c>
      <c r="N36" s="253">
        <v>0</v>
      </c>
      <c r="O36" s="252">
        <f t="shared" si="13"/>
        <v>2455000</v>
      </c>
      <c r="P36" s="253">
        <v>0</v>
      </c>
      <c r="Q36" s="253">
        <v>2455000</v>
      </c>
      <c r="R36" s="253">
        <v>0</v>
      </c>
      <c r="S36" s="253">
        <v>0</v>
      </c>
      <c r="T36" s="253">
        <v>0</v>
      </c>
      <c r="U36" s="253">
        <v>3833334</v>
      </c>
      <c r="V36" s="253">
        <v>3763</v>
      </c>
      <c r="W36" s="253">
        <v>10018</v>
      </c>
      <c r="X36" s="253">
        <v>0</v>
      </c>
      <c r="Y36" s="253">
        <v>0</v>
      </c>
      <c r="AB36" s="532"/>
    </row>
    <row r="37" spans="1:28" s="519" customFormat="1" ht="15.75" customHeight="1">
      <c r="A37" s="534">
        <f t="shared" si="1"/>
        <v>260</v>
      </c>
      <c r="B37" s="535" t="s">
        <v>122</v>
      </c>
      <c r="C37" s="252">
        <f t="shared" si="12"/>
        <v>333663985</v>
      </c>
      <c r="D37" s="253">
        <v>315322973</v>
      </c>
      <c r="E37" s="292">
        <v>0.13051106051842651</v>
      </c>
      <c r="F37" s="253">
        <v>18341012</v>
      </c>
      <c r="G37" s="292">
        <v>7.6986422272885061E-2</v>
      </c>
      <c r="H37" s="253">
        <v>333663985</v>
      </c>
      <c r="I37" s="253">
        <v>0</v>
      </c>
      <c r="J37" s="253">
        <v>0</v>
      </c>
      <c r="K37" s="253">
        <v>0</v>
      </c>
      <c r="L37" s="253">
        <v>0</v>
      </c>
      <c r="M37" s="253">
        <v>3310867</v>
      </c>
      <c r="N37" s="253">
        <v>0</v>
      </c>
      <c r="O37" s="252">
        <f t="shared" si="13"/>
        <v>327755173</v>
      </c>
      <c r="P37" s="253">
        <v>51181312</v>
      </c>
      <c r="Q37" s="253">
        <v>276573861</v>
      </c>
      <c r="R37" s="253">
        <v>1587702</v>
      </c>
      <c r="S37" s="253">
        <v>0</v>
      </c>
      <c r="T37" s="253">
        <v>0</v>
      </c>
      <c r="U37" s="253">
        <v>49958</v>
      </c>
      <c r="V37" s="253">
        <v>133086</v>
      </c>
      <c r="W37" s="253">
        <v>827199</v>
      </c>
      <c r="X37" s="253">
        <v>0</v>
      </c>
      <c r="Y37" s="253">
        <v>0</v>
      </c>
      <c r="AB37" s="532"/>
    </row>
    <row r="38" spans="1:28" s="519" customFormat="1" ht="15.75" customHeight="1">
      <c r="A38" s="534">
        <f t="shared" si="1"/>
        <v>270</v>
      </c>
      <c r="B38" s="537" t="s">
        <v>123</v>
      </c>
      <c r="C38" s="252">
        <f t="shared" si="12"/>
        <v>0</v>
      </c>
      <c r="D38" s="253">
        <v>0</v>
      </c>
      <c r="E38" s="292">
        <v>0</v>
      </c>
      <c r="F38" s="253">
        <v>0</v>
      </c>
      <c r="G38" s="292">
        <v>0</v>
      </c>
      <c r="H38" s="253">
        <v>0</v>
      </c>
      <c r="I38" s="253">
        <v>0</v>
      </c>
      <c r="J38" s="253">
        <v>0</v>
      </c>
      <c r="K38" s="253">
        <v>0</v>
      </c>
      <c r="L38" s="253">
        <v>0</v>
      </c>
      <c r="M38" s="253">
        <v>0</v>
      </c>
      <c r="N38" s="253">
        <v>0</v>
      </c>
      <c r="O38" s="252">
        <f t="shared" si="13"/>
        <v>0</v>
      </c>
      <c r="P38" s="253">
        <v>0</v>
      </c>
      <c r="Q38" s="253">
        <v>0</v>
      </c>
      <c r="R38" s="253">
        <v>0</v>
      </c>
      <c r="S38" s="253">
        <v>0</v>
      </c>
      <c r="T38" s="253">
        <v>0</v>
      </c>
      <c r="U38" s="253">
        <v>0</v>
      </c>
      <c r="V38" s="253">
        <v>0</v>
      </c>
      <c r="W38" s="253">
        <v>0</v>
      </c>
      <c r="X38" s="253">
        <v>0</v>
      </c>
      <c r="Y38" s="253">
        <v>0</v>
      </c>
      <c r="AB38" s="532"/>
    </row>
    <row r="39" spans="1:28" s="519" customFormat="1" ht="15.75" customHeight="1">
      <c r="A39" s="534">
        <f>A38+10</f>
        <v>280</v>
      </c>
      <c r="B39" s="535" t="s">
        <v>124</v>
      </c>
      <c r="C39" s="252">
        <f t="shared" si="12"/>
        <v>0</v>
      </c>
      <c r="D39" s="253">
        <v>0</v>
      </c>
      <c r="E39" s="292">
        <v>0</v>
      </c>
      <c r="F39" s="253">
        <v>0</v>
      </c>
      <c r="G39" s="292">
        <v>0</v>
      </c>
      <c r="H39" s="253">
        <v>0</v>
      </c>
      <c r="I39" s="253">
        <v>0</v>
      </c>
      <c r="J39" s="253">
        <v>0</v>
      </c>
      <c r="K39" s="253">
        <v>0</v>
      </c>
      <c r="L39" s="253">
        <v>0</v>
      </c>
      <c r="M39" s="253">
        <v>0</v>
      </c>
      <c r="N39" s="253">
        <v>0</v>
      </c>
      <c r="O39" s="252">
        <f t="shared" si="13"/>
        <v>0</v>
      </c>
      <c r="P39" s="253">
        <v>0</v>
      </c>
      <c r="Q39" s="253">
        <v>0</v>
      </c>
      <c r="R39" s="253">
        <v>0</v>
      </c>
      <c r="S39" s="253">
        <v>0</v>
      </c>
      <c r="T39" s="253">
        <v>0</v>
      </c>
      <c r="U39" s="253">
        <v>0</v>
      </c>
      <c r="V39" s="253">
        <v>0</v>
      </c>
      <c r="W39" s="253">
        <v>0</v>
      </c>
      <c r="X39" s="253">
        <v>0</v>
      </c>
      <c r="Y39" s="253">
        <v>0</v>
      </c>
      <c r="AB39" s="532"/>
    </row>
    <row r="40" spans="1:28" s="519" customFormat="1" ht="15.75" customHeight="1">
      <c r="A40" s="520">
        <f>A39+10</f>
        <v>290</v>
      </c>
      <c r="B40" s="538" t="s">
        <v>132</v>
      </c>
      <c r="C40" s="254">
        <f t="shared" si="12"/>
        <v>340066175</v>
      </c>
      <c r="D40" s="254">
        <f>SUM(D34:D39)</f>
        <v>321725163</v>
      </c>
      <c r="E40" s="294">
        <f>IFERROR(((D34*E34)/D40)+((D35*E35)/D40)+((D36*E36)/D40)+((D37*E37)/D40)+((D38*E38)/D40)+((D39*E39)/D40),0)</f>
        <v>0.13223880316073691</v>
      </c>
      <c r="F40" s="254">
        <f>SUM(F34:F39)</f>
        <v>18341012</v>
      </c>
      <c r="G40" s="294">
        <f>IFERROR(((F34*G34)/F40)+((F35*G35)/F40)+((F36*G36)/F40)+((F37*G37)/F40)+((F38*G38)/F40)+((F39*G39)/F40),0)</f>
        <v>7.6986422272885061E-2</v>
      </c>
      <c r="H40" s="254">
        <f t="shared" ref="H40:Y40" si="14">SUM(H34:H39)</f>
        <v>340066175</v>
      </c>
      <c r="I40" s="254">
        <f t="shared" si="14"/>
        <v>0</v>
      </c>
      <c r="J40" s="254">
        <f t="shared" si="14"/>
        <v>0</v>
      </c>
      <c r="K40" s="254">
        <f t="shared" si="14"/>
        <v>0</v>
      </c>
      <c r="L40" s="254">
        <f t="shared" si="14"/>
        <v>0</v>
      </c>
      <c r="M40" s="254">
        <f t="shared" si="14"/>
        <v>3310867</v>
      </c>
      <c r="N40" s="254">
        <f t="shared" si="14"/>
        <v>0</v>
      </c>
      <c r="O40" s="254">
        <f t="shared" si="14"/>
        <v>330210173</v>
      </c>
      <c r="P40" s="254">
        <f t="shared" si="14"/>
        <v>51181312</v>
      </c>
      <c r="Q40" s="254">
        <f t="shared" si="14"/>
        <v>279028861</v>
      </c>
      <c r="R40" s="254">
        <f t="shared" si="14"/>
        <v>1587702</v>
      </c>
      <c r="S40" s="254">
        <f t="shared" si="14"/>
        <v>0</v>
      </c>
      <c r="T40" s="254">
        <f t="shared" si="14"/>
        <v>0</v>
      </c>
      <c r="U40" s="254">
        <f t="shared" si="14"/>
        <v>3883292</v>
      </c>
      <c r="V40" s="254">
        <f t="shared" si="14"/>
        <v>136849</v>
      </c>
      <c r="W40" s="254">
        <f t="shared" si="14"/>
        <v>937292</v>
      </c>
      <c r="X40" s="254">
        <f t="shared" si="14"/>
        <v>0</v>
      </c>
      <c r="Y40" s="254">
        <f t="shared" si="14"/>
        <v>0</v>
      </c>
      <c r="AB40" s="532"/>
    </row>
    <row r="41" spans="1:28" s="519" customFormat="1" ht="15.75" customHeight="1">
      <c r="A41" s="520"/>
      <c r="B41" s="538" t="s">
        <v>133</v>
      </c>
      <c r="C41" s="254"/>
      <c r="D41" s="254"/>
      <c r="E41" s="294"/>
      <c r="F41" s="254"/>
      <c r="G41" s="29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AB41" s="532"/>
    </row>
    <row r="42" spans="1:28" s="519" customFormat="1" ht="15.75" customHeight="1">
      <c r="A42" s="531">
        <f>A40+10</f>
        <v>300</v>
      </c>
      <c r="B42" s="252" t="s">
        <v>119</v>
      </c>
      <c r="C42" s="252">
        <f t="shared" ref="C42:C47" si="15">SUM(J42:Y42)-L42-P42-Q42</f>
        <v>0</v>
      </c>
      <c r="D42" s="253">
        <v>0</v>
      </c>
      <c r="E42" s="291">
        <v>0</v>
      </c>
      <c r="F42" s="253">
        <v>0</v>
      </c>
      <c r="G42" s="291">
        <v>0</v>
      </c>
      <c r="H42" s="253">
        <v>0</v>
      </c>
      <c r="I42" s="253">
        <v>0</v>
      </c>
      <c r="J42" s="253">
        <v>0</v>
      </c>
      <c r="K42" s="253">
        <v>0</v>
      </c>
      <c r="L42" s="253">
        <v>0</v>
      </c>
      <c r="M42" s="253">
        <v>0</v>
      </c>
      <c r="N42" s="253">
        <v>0</v>
      </c>
      <c r="O42" s="252">
        <f t="shared" ref="O42:O47" si="16">+P42+Q42</f>
        <v>0</v>
      </c>
      <c r="P42" s="253">
        <v>0</v>
      </c>
      <c r="Q42" s="253">
        <v>0</v>
      </c>
      <c r="R42" s="253">
        <v>0</v>
      </c>
      <c r="S42" s="253">
        <v>0</v>
      </c>
      <c r="T42" s="253">
        <v>0</v>
      </c>
      <c r="U42" s="253">
        <v>0</v>
      </c>
      <c r="V42" s="253">
        <v>0</v>
      </c>
      <c r="W42" s="253">
        <v>0</v>
      </c>
      <c r="X42" s="253">
        <v>0</v>
      </c>
      <c r="Y42" s="253">
        <v>0</v>
      </c>
      <c r="AB42" s="532"/>
    </row>
    <row r="43" spans="1:28" s="519" customFormat="1" ht="15.75" customHeight="1">
      <c r="A43" s="531">
        <f t="shared" si="1"/>
        <v>310</v>
      </c>
      <c r="B43" s="252" t="s">
        <v>120</v>
      </c>
      <c r="C43" s="252">
        <f t="shared" si="15"/>
        <v>68030502</v>
      </c>
      <c r="D43" s="253">
        <v>13842180</v>
      </c>
      <c r="E43" s="292">
        <v>0.13435520424675398</v>
      </c>
      <c r="F43" s="253">
        <v>54188322</v>
      </c>
      <c r="G43" s="292">
        <v>0.06</v>
      </c>
      <c r="H43" s="253">
        <v>68030502</v>
      </c>
      <c r="I43" s="253">
        <v>0</v>
      </c>
      <c r="J43" s="253">
        <v>0</v>
      </c>
      <c r="K43" s="253">
        <v>0</v>
      </c>
      <c r="L43" s="253">
        <v>0</v>
      </c>
      <c r="M43" s="253">
        <v>0</v>
      </c>
      <c r="N43" s="253">
        <v>0</v>
      </c>
      <c r="O43" s="252">
        <f t="shared" si="16"/>
        <v>3615375</v>
      </c>
      <c r="P43" s="253">
        <v>444444</v>
      </c>
      <c r="Q43" s="253">
        <v>3170931</v>
      </c>
      <c r="R43" s="253">
        <v>7631250</v>
      </c>
      <c r="S43" s="253">
        <v>0</v>
      </c>
      <c r="T43" s="253">
        <v>0</v>
      </c>
      <c r="U43" s="253">
        <v>0</v>
      </c>
      <c r="V43" s="253">
        <v>2595555</v>
      </c>
      <c r="W43" s="253">
        <v>0</v>
      </c>
      <c r="X43" s="253">
        <v>0</v>
      </c>
      <c r="Y43" s="253">
        <v>54188322</v>
      </c>
      <c r="AB43" s="532"/>
    </row>
    <row r="44" spans="1:28" s="519" customFormat="1" ht="15.75" customHeight="1">
      <c r="A44" s="534">
        <f t="shared" si="1"/>
        <v>320</v>
      </c>
      <c r="B44" s="535" t="s">
        <v>121</v>
      </c>
      <c r="C44" s="252">
        <f t="shared" si="15"/>
        <v>16566175</v>
      </c>
      <c r="D44" s="253">
        <v>16566175</v>
      </c>
      <c r="E44" s="292">
        <v>0.20154989402475842</v>
      </c>
      <c r="F44" s="253">
        <v>0</v>
      </c>
      <c r="G44" s="292">
        <v>0</v>
      </c>
      <c r="H44" s="253">
        <v>16566175</v>
      </c>
      <c r="I44" s="253">
        <v>0</v>
      </c>
      <c r="J44" s="253">
        <v>0</v>
      </c>
      <c r="K44" s="253">
        <v>0</v>
      </c>
      <c r="L44" s="253">
        <v>0</v>
      </c>
      <c r="M44" s="253">
        <v>1157753</v>
      </c>
      <c r="N44" s="253">
        <v>0</v>
      </c>
      <c r="O44" s="252">
        <f t="shared" si="16"/>
        <v>12400562</v>
      </c>
      <c r="P44" s="253">
        <v>4500941</v>
      </c>
      <c r="Q44" s="253">
        <v>7899621</v>
      </c>
      <c r="R44" s="253">
        <v>1844397</v>
      </c>
      <c r="S44" s="253">
        <v>0</v>
      </c>
      <c r="T44" s="253">
        <v>0</v>
      </c>
      <c r="U44" s="253">
        <v>0</v>
      </c>
      <c r="V44" s="253">
        <v>456610</v>
      </c>
      <c r="W44" s="253">
        <v>239588</v>
      </c>
      <c r="X44" s="253">
        <v>467265</v>
      </c>
      <c r="Y44" s="253">
        <v>0</v>
      </c>
      <c r="AB44" s="532"/>
    </row>
    <row r="45" spans="1:28" s="519" customFormat="1" ht="15.75" customHeight="1">
      <c r="A45" s="534">
        <f t="shared" si="1"/>
        <v>330</v>
      </c>
      <c r="B45" s="535" t="s">
        <v>122</v>
      </c>
      <c r="C45" s="252">
        <f t="shared" si="15"/>
        <v>1067589159</v>
      </c>
      <c r="D45" s="253">
        <v>644340494</v>
      </c>
      <c r="E45" s="292">
        <v>0.19252747010506016</v>
      </c>
      <c r="F45" s="253">
        <v>423248665</v>
      </c>
      <c r="G45" s="292">
        <v>8.1192906215808297E-2</v>
      </c>
      <c r="H45" s="253">
        <v>1067589159</v>
      </c>
      <c r="I45" s="253">
        <v>0</v>
      </c>
      <c r="J45" s="253">
        <v>0</v>
      </c>
      <c r="K45" s="253">
        <v>0</v>
      </c>
      <c r="L45" s="253">
        <v>0</v>
      </c>
      <c r="M45" s="253">
        <v>67931354</v>
      </c>
      <c r="N45" s="253">
        <v>626</v>
      </c>
      <c r="O45" s="252">
        <f t="shared" si="16"/>
        <v>795788912</v>
      </c>
      <c r="P45" s="253">
        <v>163452117</v>
      </c>
      <c r="Q45" s="253">
        <v>632336795</v>
      </c>
      <c r="R45" s="253">
        <v>453667</v>
      </c>
      <c r="S45" s="253">
        <v>0</v>
      </c>
      <c r="T45" s="253">
        <v>0</v>
      </c>
      <c r="U45" s="253">
        <v>5255000</v>
      </c>
      <c r="V45" s="253">
        <v>21919719</v>
      </c>
      <c r="W45" s="253">
        <v>150410250</v>
      </c>
      <c r="X45" s="253">
        <v>23389108</v>
      </c>
      <c r="Y45" s="253">
        <v>2440523</v>
      </c>
      <c r="AB45" s="532"/>
    </row>
    <row r="46" spans="1:28" s="519" customFormat="1" ht="15.75" customHeight="1">
      <c r="A46" s="534">
        <f t="shared" si="1"/>
        <v>340</v>
      </c>
      <c r="B46" s="537" t="s">
        <v>123</v>
      </c>
      <c r="C46" s="252">
        <f t="shared" si="15"/>
        <v>0</v>
      </c>
      <c r="D46" s="253">
        <v>0</v>
      </c>
      <c r="E46" s="292">
        <v>0</v>
      </c>
      <c r="F46" s="253">
        <v>0</v>
      </c>
      <c r="G46" s="292">
        <v>0</v>
      </c>
      <c r="H46" s="253">
        <v>0</v>
      </c>
      <c r="I46" s="253">
        <v>0</v>
      </c>
      <c r="J46" s="253">
        <v>0</v>
      </c>
      <c r="K46" s="253">
        <v>0</v>
      </c>
      <c r="L46" s="253">
        <v>0</v>
      </c>
      <c r="M46" s="253">
        <v>0</v>
      </c>
      <c r="N46" s="253">
        <v>0</v>
      </c>
      <c r="O46" s="252">
        <f t="shared" si="16"/>
        <v>0</v>
      </c>
      <c r="P46" s="253">
        <v>0</v>
      </c>
      <c r="Q46" s="253">
        <v>0</v>
      </c>
      <c r="R46" s="253">
        <v>0</v>
      </c>
      <c r="S46" s="253">
        <v>0</v>
      </c>
      <c r="T46" s="253">
        <v>0</v>
      </c>
      <c r="U46" s="253">
        <v>0</v>
      </c>
      <c r="V46" s="253">
        <v>0</v>
      </c>
      <c r="W46" s="253">
        <v>0</v>
      </c>
      <c r="X46" s="253">
        <v>0</v>
      </c>
      <c r="Y46" s="253">
        <v>0</v>
      </c>
      <c r="AB46" s="532"/>
    </row>
    <row r="47" spans="1:28" s="519" customFormat="1" ht="15.75" customHeight="1">
      <c r="A47" s="534">
        <f>A46+10</f>
        <v>350</v>
      </c>
      <c r="B47" s="535" t="s">
        <v>124</v>
      </c>
      <c r="C47" s="252">
        <f t="shared" si="15"/>
        <v>0</v>
      </c>
      <c r="D47" s="253">
        <v>0</v>
      </c>
      <c r="E47" s="292">
        <v>0</v>
      </c>
      <c r="F47" s="253">
        <v>0</v>
      </c>
      <c r="G47" s="292">
        <v>0</v>
      </c>
      <c r="H47" s="253">
        <v>0</v>
      </c>
      <c r="I47" s="253">
        <v>0</v>
      </c>
      <c r="J47" s="253">
        <v>0</v>
      </c>
      <c r="K47" s="253">
        <v>0</v>
      </c>
      <c r="L47" s="253">
        <v>0</v>
      </c>
      <c r="M47" s="253">
        <v>0</v>
      </c>
      <c r="N47" s="253">
        <v>0</v>
      </c>
      <c r="O47" s="252">
        <f t="shared" si="16"/>
        <v>0</v>
      </c>
      <c r="P47" s="253">
        <v>0</v>
      </c>
      <c r="Q47" s="253">
        <v>0</v>
      </c>
      <c r="R47" s="253">
        <v>0</v>
      </c>
      <c r="S47" s="253">
        <v>0</v>
      </c>
      <c r="T47" s="253">
        <v>0</v>
      </c>
      <c r="U47" s="253">
        <v>0</v>
      </c>
      <c r="V47" s="253">
        <v>0</v>
      </c>
      <c r="W47" s="253">
        <v>0</v>
      </c>
      <c r="X47" s="253">
        <v>0</v>
      </c>
      <c r="Y47" s="253">
        <v>0</v>
      </c>
      <c r="AB47" s="532"/>
    </row>
    <row r="48" spans="1:28" s="519" customFormat="1" ht="15.75" customHeight="1">
      <c r="A48" s="520">
        <f>A47+10</f>
        <v>360</v>
      </c>
      <c r="B48" s="538" t="s">
        <v>134</v>
      </c>
      <c r="C48" s="254">
        <f t="shared" ref="C48" si="17">SUM(J48:Y48)-L48-P48-Q48</f>
        <v>1152185836</v>
      </c>
      <c r="D48" s="254">
        <f>SUM(D42:D47)</f>
        <v>674748849</v>
      </c>
      <c r="E48" s="294">
        <f>IFERROR(((D42*E42)/D48)+((D43*E43)/D48)+((D44*E44)/D48)+((D45*E45)/D48)+((D46*E46)/D48)+((D47*E47)/D48),0)</f>
        <v>0.19155560639249145</v>
      </c>
      <c r="F48" s="254">
        <f>SUM(F42:F47)</f>
        <v>477436987</v>
      </c>
      <c r="G48" s="294">
        <f>IFERROR(((F42*G42)/F48)+((F43*G43)/F48)+((F44*G44)/F48)+((F45*G45)/F48)+((F46*G46)/F48)+((F47*G47)/F48),0)</f>
        <v>7.8787545807193743E-2</v>
      </c>
      <c r="H48" s="254">
        <f t="shared" ref="H48:Y48" si="18">SUM(H42:H47)</f>
        <v>1152185836</v>
      </c>
      <c r="I48" s="254">
        <f t="shared" si="18"/>
        <v>0</v>
      </c>
      <c r="J48" s="254">
        <f t="shared" si="18"/>
        <v>0</v>
      </c>
      <c r="K48" s="254">
        <f t="shared" si="18"/>
        <v>0</v>
      </c>
      <c r="L48" s="254">
        <f t="shared" si="18"/>
        <v>0</v>
      </c>
      <c r="M48" s="254">
        <f t="shared" si="18"/>
        <v>69089107</v>
      </c>
      <c r="N48" s="254">
        <f t="shared" si="18"/>
        <v>626</v>
      </c>
      <c r="O48" s="254">
        <f t="shared" si="18"/>
        <v>811804849</v>
      </c>
      <c r="P48" s="254">
        <f t="shared" si="18"/>
        <v>168397502</v>
      </c>
      <c r="Q48" s="254">
        <f t="shared" si="18"/>
        <v>643407347</v>
      </c>
      <c r="R48" s="254">
        <f t="shared" si="18"/>
        <v>9929314</v>
      </c>
      <c r="S48" s="254">
        <f t="shared" si="18"/>
        <v>0</v>
      </c>
      <c r="T48" s="254">
        <f t="shared" si="18"/>
        <v>0</v>
      </c>
      <c r="U48" s="254">
        <f t="shared" si="18"/>
        <v>5255000</v>
      </c>
      <c r="V48" s="254">
        <f t="shared" si="18"/>
        <v>24971884</v>
      </c>
      <c r="W48" s="254">
        <f t="shared" si="18"/>
        <v>150649838</v>
      </c>
      <c r="X48" s="254">
        <f t="shared" si="18"/>
        <v>23856373</v>
      </c>
      <c r="Y48" s="254">
        <f t="shared" si="18"/>
        <v>56628845</v>
      </c>
      <c r="AB48" s="532"/>
    </row>
    <row r="49" spans="1:28" s="519" customFormat="1" ht="15.75" customHeight="1">
      <c r="A49" s="520"/>
      <c r="B49" s="538" t="s">
        <v>135</v>
      </c>
      <c r="C49" s="254"/>
      <c r="D49" s="254"/>
      <c r="E49" s="294"/>
      <c r="F49" s="254"/>
      <c r="G49" s="29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AB49" s="532"/>
    </row>
    <row r="50" spans="1:28" s="519" customFormat="1" ht="15.75" customHeight="1">
      <c r="A50" s="531">
        <f>A48+10</f>
        <v>370</v>
      </c>
      <c r="B50" s="252" t="s">
        <v>119</v>
      </c>
      <c r="C50" s="252">
        <f t="shared" ref="C50:C56" si="19">SUM(J50:Y50)-L50-P50-Q50</f>
        <v>10944080</v>
      </c>
      <c r="D50" s="253">
        <v>10944080</v>
      </c>
      <c r="E50" s="291">
        <v>0.12689850911295247</v>
      </c>
      <c r="F50" s="253">
        <v>0</v>
      </c>
      <c r="G50" s="291">
        <v>0</v>
      </c>
      <c r="H50" s="253">
        <v>10944080</v>
      </c>
      <c r="I50" s="253">
        <v>0</v>
      </c>
      <c r="J50" s="253">
        <v>0</v>
      </c>
      <c r="K50" s="253">
        <v>0</v>
      </c>
      <c r="L50" s="253">
        <v>0</v>
      </c>
      <c r="M50" s="253">
        <v>0</v>
      </c>
      <c r="N50" s="253">
        <v>0</v>
      </c>
      <c r="O50" s="252">
        <f t="shared" ref="O50:O55" si="20">+P50+Q50</f>
        <v>0</v>
      </c>
      <c r="P50" s="253">
        <v>0</v>
      </c>
      <c r="Q50" s="253">
        <v>0</v>
      </c>
      <c r="R50" s="253">
        <v>0</v>
      </c>
      <c r="S50" s="253">
        <v>0</v>
      </c>
      <c r="T50" s="253">
        <v>0</v>
      </c>
      <c r="U50" s="253">
        <v>0</v>
      </c>
      <c r="V50" s="253">
        <v>907531</v>
      </c>
      <c r="W50" s="253">
        <v>10036549</v>
      </c>
      <c r="X50" s="253">
        <v>0</v>
      </c>
      <c r="Y50" s="253">
        <v>0</v>
      </c>
      <c r="AB50" s="532"/>
    </row>
    <row r="51" spans="1:28" s="519" customFormat="1" ht="15.75" customHeight="1">
      <c r="A51" s="531">
        <f t="shared" si="1"/>
        <v>380</v>
      </c>
      <c r="B51" s="252" t="s">
        <v>120</v>
      </c>
      <c r="C51" s="252">
        <f t="shared" si="19"/>
        <v>80000</v>
      </c>
      <c r="D51" s="253">
        <v>80000</v>
      </c>
      <c r="E51" s="292">
        <v>0.24</v>
      </c>
      <c r="F51" s="253">
        <v>0</v>
      </c>
      <c r="G51" s="292">
        <v>0</v>
      </c>
      <c r="H51" s="253">
        <v>80000</v>
      </c>
      <c r="I51" s="253">
        <v>0</v>
      </c>
      <c r="J51" s="253">
        <v>0</v>
      </c>
      <c r="K51" s="253">
        <v>0</v>
      </c>
      <c r="L51" s="253">
        <v>0</v>
      </c>
      <c r="M51" s="253">
        <v>0</v>
      </c>
      <c r="N51" s="253">
        <v>0</v>
      </c>
      <c r="O51" s="252">
        <f t="shared" si="20"/>
        <v>80000</v>
      </c>
      <c r="P51" s="253">
        <v>0</v>
      </c>
      <c r="Q51" s="253">
        <v>80000</v>
      </c>
      <c r="R51" s="253">
        <v>0</v>
      </c>
      <c r="S51" s="253">
        <v>0</v>
      </c>
      <c r="T51" s="253">
        <v>0</v>
      </c>
      <c r="U51" s="253">
        <v>0</v>
      </c>
      <c r="V51" s="253">
        <v>0</v>
      </c>
      <c r="W51" s="253">
        <v>0</v>
      </c>
      <c r="X51" s="253">
        <v>0</v>
      </c>
      <c r="Y51" s="253">
        <v>0</v>
      </c>
      <c r="AB51" s="532"/>
    </row>
    <row r="52" spans="1:28" s="519" customFormat="1" ht="15.75" customHeight="1">
      <c r="A52" s="534">
        <f t="shared" si="1"/>
        <v>390</v>
      </c>
      <c r="B52" s="535" t="s">
        <v>121</v>
      </c>
      <c r="C52" s="252">
        <f t="shared" si="19"/>
        <v>15830266</v>
      </c>
      <c r="D52" s="253">
        <v>15339978</v>
      </c>
      <c r="E52" s="292">
        <v>0.18151768050162445</v>
      </c>
      <c r="F52" s="253">
        <v>490288</v>
      </c>
      <c r="G52" s="292">
        <v>0.12000000000000001</v>
      </c>
      <c r="H52" s="253">
        <v>15830266</v>
      </c>
      <c r="I52" s="253">
        <v>0</v>
      </c>
      <c r="J52" s="253">
        <v>0</v>
      </c>
      <c r="K52" s="253">
        <v>0</v>
      </c>
      <c r="L52" s="253">
        <v>0</v>
      </c>
      <c r="M52" s="253">
        <v>1681828</v>
      </c>
      <c r="N52" s="253">
        <v>0</v>
      </c>
      <c r="O52" s="252">
        <f t="shared" si="20"/>
        <v>12981636</v>
      </c>
      <c r="P52" s="253">
        <v>640000</v>
      </c>
      <c r="Q52" s="253">
        <v>12341636</v>
      </c>
      <c r="R52" s="253">
        <v>0</v>
      </c>
      <c r="S52" s="253">
        <v>0</v>
      </c>
      <c r="T52" s="253">
        <v>0</v>
      </c>
      <c r="U52" s="253">
        <v>0</v>
      </c>
      <c r="V52" s="253">
        <v>944272</v>
      </c>
      <c r="W52" s="253">
        <v>222530</v>
      </c>
      <c r="X52" s="253">
        <v>0</v>
      </c>
      <c r="Y52" s="253">
        <v>0</v>
      </c>
      <c r="AB52" s="532"/>
    </row>
    <row r="53" spans="1:28" s="519" customFormat="1" ht="15.75" customHeight="1">
      <c r="A53" s="534">
        <f t="shared" si="1"/>
        <v>400</v>
      </c>
      <c r="B53" s="535" t="s">
        <v>122</v>
      </c>
      <c r="C53" s="252">
        <f t="shared" si="19"/>
        <v>1350698465</v>
      </c>
      <c r="D53" s="253">
        <v>531865122</v>
      </c>
      <c r="E53" s="292">
        <v>0.17521518553348583</v>
      </c>
      <c r="F53" s="253">
        <v>818833343</v>
      </c>
      <c r="G53" s="292">
        <v>8.8638632194473821E-2</v>
      </c>
      <c r="H53" s="253">
        <v>1350698465</v>
      </c>
      <c r="I53" s="253">
        <v>0</v>
      </c>
      <c r="J53" s="253">
        <v>0</v>
      </c>
      <c r="K53" s="253">
        <v>0</v>
      </c>
      <c r="L53" s="253">
        <v>0</v>
      </c>
      <c r="M53" s="253">
        <v>63032575</v>
      </c>
      <c r="N53" s="253">
        <v>0</v>
      </c>
      <c r="O53" s="252">
        <f t="shared" si="20"/>
        <v>839794025</v>
      </c>
      <c r="P53" s="253">
        <v>106975888</v>
      </c>
      <c r="Q53" s="253">
        <v>732818137</v>
      </c>
      <c r="R53" s="253">
        <v>0</v>
      </c>
      <c r="S53" s="253">
        <v>0</v>
      </c>
      <c r="T53" s="253">
        <v>0</v>
      </c>
      <c r="U53" s="253">
        <v>4868463</v>
      </c>
      <c r="V53" s="253">
        <v>46278418</v>
      </c>
      <c r="W53" s="253">
        <v>396540794</v>
      </c>
      <c r="X53" s="253">
        <v>0</v>
      </c>
      <c r="Y53" s="253">
        <v>184190</v>
      </c>
      <c r="AB53" s="532"/>
    </row>
    <row r="54" spans="1:28" s="519" customFormat="1" ht="15.75" customHeight="1">
      <c r="A54" s="534">
        <f t="shared" si="1"/>
        <v>410</v>
      </c>
      <c r="B54" s="537" t="s">
        <v>123</v>
      </c>
      <c r="C54" s="252">
        <f t="shared" si="19"/>
        <v>0</v>
      </c>
      <c r="D54" s="253">
        <v>0</v>
      </c>
      <c r="E54" s="292">
        <v>0</v>
      </c>
      <c r="F54" s="253">
        <v>0</v>
      </c>
      <c r="G54" s="292">
        <v>0</v>
      </c>
      <c r="H54" s="253">
        <v>0</v>
      </c>
      <c r="I54" s="253">
        <v>0</v>
      </c>
      <c r="J54" s="253">
        <v>0</v>
      </c>
      <c r="K54" s="253">
        <v>0</v>
      </c>
      <c r="L54" s="253">
        <v>0</v>
      </c>
      <c r="M54" s="253">
        <v>0</v>
      </c>
      <c r="N54" s="253">
        <v>0</v>
      </c>
      <c r="O54" s="252">
        <f t="shared" si="20"/>
        <v>0</v>
      </c>
      <c r="P54" s="253">
        <v>0</v>
      </c>
      <c r="Q54" s="253">
        <v>0</v>
      </c>
      <c r="R54" s="253">
        <v>0</v>
      </c>
      <c r="S54" s="253">
        <v>0</v>
      </c>
      <c r="T54" s="253">
        <v>0</v>
      </c>
      <c r="U54" s="253">
        <v>0</v>
      </c>
      <c r="V54" s="253">
        <v>0</v>
      </c>
      <c r="W54" s="253">
        <v>0</v>
      </c>
      <c r="X54" s="253">
        <v>0</v>
      </c>
      <c r="Y54" s="253">
        <v>0</v>
      </c>
      <c r="AB54" s="532"/>
    </row>
    <row r="55" spans="1:28" s="519" customFormat="1" ht="15.75" customHeight="1">
      <c r="A55" s="534">
        <f>A54+10</f>
        <v>420</v>
      </c>
      <c r="B55" s="535" t="s">
        <v>124</v>
      </c>
      <c r="C55" s="252">
        <f t="shared" si="19"/>
        <v>0</v>
      </c>
      <c r="D55" s="253">
        <v>0</v>
      </c>
      <c r="E55" s="292">
        <v>0</v>
      </c>
      <c r="F55" s="253">
        <v>0</v>
      </c>
      <c r="G55" s="292">
        <v>0</v>
      </c>
      <c r="H55" s="253">
        <v>0</v>
      </c>
      <c r="I55" s="253">
        <v>0</v>
      </c>
      <c r="J55" s="253">
        <v>0</v>
      </c>
      <c r="K55" s="253">
        <v>0</v>
      </c>
      <c r="L55" s="253">
        <v>0</v>
      </c>
      <c r="M55" s="253">
        <v>0</v>
      </c>
      <c r="N55" s="253">
        <v>0</v>
      </c>
      <c r="O55" s="252">
        <f t="shared" si="20"/>
        <v>0</v>
      </c>
      <c r="P55" s="253">
        <v>0</v>
      </c>
      <c r="Q55" s="253">
        <v>0</v>
      </c>
      <c r="R55" s="253">
        <v>0</v>
      </c>
      <c r="S55" s="253">
        <v>0</v>
      </c>
      <c r="T55" s="253">
        <v>0</v>
      </c>
      <c r="U55" s="253">
        <v>0</v>
      </c>
      <c r="V55" s="253">
        <v>0</v>
      </c>
      <c r="W55" s="253">
        <v>0</v>
      </c>
      <c r="X55" s="253">
        <v>0</v>
      </c>
      <c r="Y55" s="253">
        <v>0</v>
      </c>
      <c r="AB55" s="532"/>
    </row>
    <row r="56" spans="1:28" s="519" customFormat="1" ht="15.75" customHeight="1">
      <c r="A56" s="520">
        <f>A55+10</f>
        <v>430</v>
      </c>
      <c r="B56" s="538" t="s">
        <v>136</v>
      </c>
      <c r="C56" s="254">
        <f t="shared" si="19"/>
        <v>1377552811</v>
      </c>
      <c r="D56" s="254">
        <f>SUM(D50:D55)</f>
        <v>558229180</v>
      </c>
      <c r="E56" s="294">
        <f>IFERROR(((D50*E50)/D56)+((D51*E51)/D56)+((D52*E52)/D56)+((D53*E53)/D56)+((D54*E54)/D56)+((D55*E55)/D56),0)</f>
        <v>0.17445041244733733</v>
      </c>
      <c r="F56" s="254">
        <f>SUM(F50:F55)</f>
        <v>819323631</v>
      </c>
      <c r="G56" s="294">
        <f>IFERROR(((F50*G50)/F56)+((F51*G51)/F56)+((F52*G52)/F56)+((F53*G53)/F56)+((F54*G54)/F56)+((F55*G55)/F56),0)</f>
        <v>8.8657399018372038E-2</v>
      </c>
      <c r="H56" s="254">
        <f t="shared" ref="H56:Y56" si="21">SUM(H50:H55)</f>
        <v>1377552811</v>
      </c>
      <c r="I56" s="254">
        <f t="shared" si="21"/>
        <v>0</v>
      </c>
      <c r="J56" s="254">
        <f t="shared" si="21"/>
        <v>0</v>
      </c>
      <c r="K56" s="254">
        <f t="shared" si="21"/>
        <v>0</v>
      </c>
      <c r="L56" s="254">
        <f t="shared" si="21"/>
        <v>0</v>
      </c>
      <c r="M56" s="254">
        <f t="shared" si="21"/>
        <v>64714403</v>
      </c>
      <c r="N56" s="254">
        <f t="shared" si="21"/>
        <v>0</v>
      </c>
      <c r="O56" s="254">
        <f t="shared" si="21"/>
        <v>852855661</v>
      </c>
      <c r="P56" s="254">
        <f t="shared" si="21"/>
        <v>107615888</v>
      </c>
      <c r="Q56" s="254">
        <f t="shared" si="21"/>
        <v>745239773</v>
      </c>
      <c r="R56" s="254">
        <f t="shared" si="21"/>
        <v>0</v>
      </c>
      <c r="S56" s="254">
        <f t="shared" si="21"/>
        <v>0</v>
      </c>
      <c r="T56" s="254">
        <f t="shared" si="21"/>
        <v>0</v>
      </c>
      <c r="U56" s="254">
        <f t="shared" si="21"/>
        <v>4868463</v>
      </c>
      <c r="V56" s="254">
        <f t="shared" si="21"/>
        <v>48130221</v>
      </c>
      <c r="W56" s="254">
        <f t="shared" si="21"/>
        <v>406799873</v>
      </c>
      <c r="X56" s="254">
        <f t="shared" si="21"/>
        <v>0</v>
      </c>
      <c r="Y56" s="254">
        <f t="shared" si="21"/>
        <v>184190</v>
      </c>
      <c r="AB56" s="532"/>
    </row>
    <row r="57" spans="1:28" s="519" customFormat="1" ht="15.75" customHeight="1">
      <c r="A57" s="520"/>
      <c r="B57" s="538" t="s">
        <v>137</v>
      </c>
      <c r="C57" s="254"/>
      <c r="D57" s="254"/>
      <c r="E57" s="294"/>
      <c r="F57" s="254"/>
      <c r="G57" s="29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AB57" s="532"/>
    </row>
    <row r="58" spans="1:28" s="519" customFormat="1" ht="15.75" customHeight="1">
      <c r="A58" s="531">
        <f>A56+10</f>
        <v>440</v>
      </c>
      <c r="B58" s="252" t="s">
        <v>119</v>
      </c>
      <c r="C58" s="252">
        <f t="shared" ref="C58:C64" si="22">SUM(J58:Y58)-L58-P58-Q58</f>
        <v>0</v>
      </c>
      <c r="D58" s="253">
        <v>0</v>
      </c>
      <c r="E58" s="292">
        <v>0</v>
      </c>
      <c r="F58" s="253">
        <v>0</v>
      </c>
      <c r="G58" s="292">
        <v>0</v>
      </c>
      <c r="H58" s="253">
        <v>0</v>
      </c>
      <c r="I58" s="253">
        <v>0</v>
      </c>
      <c r="J58" s="253">
        <v>0</v>
      </c>
      <c r="K58" s="253">
        <v>0</v>
      </c>
      <c r="L58" s="253">
        <v>0</v>
      </c>
      <c r="M58" s="253">
        <v>0</v>
      </c>
      <c r="N58" s="253">
        <v>0</v>
      </c>
      <c r="O58" s="252">
        <f t="shared" ref="O58:O64" si="23">+P58+Q58</f>
        <v>0</v>
      </c>
      <c r="P58" s="253">
        <v>0</v>
      </c>
      <c r="Q58" s="253">
        <v>0</v>
      </c>
      <c r="R58" s="253">
        <v>0</v>
      </c>
      <c r="S58" s="253">
        <v>0</v>
      </c>
      <c r="T58" s="253">
        <v>0</v>
      </c>
      <c r="U58" s="253">
        <v>0</v>
      </c>
      <c r="V58" s="253">
        <v>0</v>
      </c>
      <c r="W58" s="253">
        <v>0</v>
      </c>
      <c r="X58" s="253">
        <v>0</v>
      </c>
      <c r="Y58" s="253">
        <v>0</v>
      </c>
      <c r="AB58" s="532"/>
    </row>
    <row r="59" spans="1:28" s="519" customFormat="1" ht="15.75" customHeight="1">
      <c r="A59" s="531">
        <f t="shared" si="1"/>
        <v>450</v>
      </c>
      <c r="B59" s="252" t="s">
        <v>120</v>
      </c>
      <c r="C59" s="252">
        <f t="shared" si="22"/>
        <v>0</v>
      </c>
      <c r="D59" s="253">
        <v>0</v>
      </c>
      <c r="E59" s="291">
        <v>0</v>
      </c>
      <c r="F59" s="253">
        <v>0</v>
      </c>
      <c r="G59" s="291">
        <v>0</v>
      </c>
      <c r="H59" s="253">
        <v>0</v>
      </c>
      <c r="I59" s="253">
        <v>0</v>
      </c>
      <c r="J59" s="253">
        <v>0</v>
      </c>
      <c r="K59" s="253">
        <v>0</v>
      </c>
      <c r="L59" s="253">
        <v>0</v>
      </c>
      <c r="M59" s="253">
        <v>0</v>
      </c>
      <c r="N59" s="253">
        <v>0</v>
      </c>
      <c r="O59" s="252">
        <f t="shared" si="23"/>
        <v>0</v>
      </c>
      <c r="P59" s="253">
        <v>0</v>
      </c>
      <c r="Q59" s="253">
        <v>0</v>
      </c>
      <c r="R59" s="253">
        <v>0</v>
      </c>
      <c r="S59" s="253">
        <v>0</v>
      </c>
      <c r="T59" s="253">
        <v>0</v>
      </c>
      <c r="U59" s="253">
        <v>0</v>
      </c>
      <c r="V59" s="253">
        <v>0</v>
      </c>
      <c r="W59" s="253">
        <v>0</v>
      </c>
      <c r="X59" s="253">
        <v>0</v>
      </c>
      <c r="Y59" s="253">
        <v>0</v>
      </c>
      <c r="AB59" s="532"/>
    </row>
    <row r="60" spans="1:28" s="519" customFormat="1" ht="15.75" customHeight="1">
      <c r="A60" s="534">
        <f t="shared" si="1"/>
        <v>460</v>
      </c>
      <c r="B60" s="535" t="s">
        <v>121</v>
      </c>
      <c r="C60" s="252">
        <f t="shared" si="22"/>
        <v>0</v>
      </c>
      <c r="D60" s="253">
        <v>0</v>
      </c>
      <c r="E60" s="292">
        <v>0</v>
      </c>
      <c r="F60" s="253">
        <v>0</v>
      </c>
      <c r="G60" s="292">
        <v>0</v>
      </c>
      <c r="H60" s="253">
        <v>0</v>
      </c>
      <c r="I60" s="253">
        <v>0</v>
      </c>
      <c r="J60" s="253">
        <v>0</v>
      </c>
      <c r="K60" s="253">
        <v>0</v>
      </c>
      <c r="L60" s="253">
        <v>0</v>
      </c>
      <c r="M60" s="253">
        <v>0</v>
      </c>
      <c r="N60" s="253">
        <v>0</v>
      </c>
      <c r="O60" s="252">
        <f t="shared" si="23"/>
        <v>0</v>
      </c>
      <c r="P60" s="253">
        <v>0</v>
      </c>
      <c r="Q60" s="253">
        <v>0</v>
      </c>
      <c r="R60" s="253">
        <v>0</v>
      </c>
      <c r="S60" s="253">
        <v>0</v>
      </c>
      <c r="T60" s="253">
        <v>0</v>
      </c>
      <c r="U60" s="253">
        <v>0</v>
      </c>
      <c r="V60" s="253">
        <v>0</v>
      </c>
      <c r="W60" s="253">
        <v>0</v>
      </c>
      <c r="X60" s="253">
        <v>0</v>
      </c>
      <c r="Y60" s="253">
        <v>0</v>
      </c>
      <c r="AB60" s="532"/>
    </row>
    <row r="61" spans="1:28" s="519" customFormat="1" ht="15.75" customHeight="1">
      <c r="A61" s="534">
        <f t="shared" si="1"/>
        <v>470</v>
      </c>
      <c r="B61" s="535" t="s">
        <v>122</v>
      </c>
      <c r="C61" s="252">
        <f t="shared" si="22"/>
        <v>1286460</v>
      </c>
      <c r="D61" s="253">
        <v>1286460</v>
      </c>
      <c r="E61" s="292">
        <v>0.12480131191116219</v>
      </c>
      <c r="F61" s="253">
        <v>0</v>
      </c>
      <c r="G61" s="292">
        <v>0</v>
      </c>
      <c r="H61" s="253">
        <v>1286460</v>
      </c>
      <c r="I61" s="253">
        <v>0</v>
      </c>
      <c r="J61" s="253">
        <v>0</v>
      </c>
      <c r="K61" s="253">
        <v>0</v>
      </c>
      <c r="L61" s="253">
        <v>0</v>
      </c>
      <c r="M61" s="253">
        <v>0</v>
      </c>
      <c r="N61" s="253">
        <v>0</v>
      </c>
      <c r="O61" s="252">
        <f t="shared" si="23"/>
        <v>0</v>
      </c>
      <c r="P61" s="253">
        <v>0</v>
      </c>
      <c r="Q61" s="253">
        <v>0</v>
      </c>
      <c r="R61" s="253">
        <v>0</v>
      </c>
      <c r="S61" s="253">
        <v>0</v>
      </c>
      <c r="T61" s="253">
        <v>0</v>
      </c>
      <c r="U61" s="253">
        <v>376348</v>
      </c>
      <c r="V61" s="253">
        <v>0</v>
      </c>
      <c r="W61" s="253">
        <v>910112</v>
      </c>
      <c r="X61" s="253">
        <v>0</v>
      </c>
      <c r="Y61" s="253">
        <v>0</v>
      </c>
      <c r="AB61" s="532"/>
    </row>
    <row r="62" spans="1:28" s="519" customFormat="1" ht="15.75" customHeight="1">
      <c r="A62" s="534">
        <f t="shared" si="1"/>
        <v>480</v>
      </c>
      <c r="B62" s="537" t="s">
        <v>123</v>
      </c>
      <c r="C62" s="252">
        <f t="shared" si="22"/>
        <v>0</v>
      </c>
      <c r="D62" s="253">
        <v>0</v>
      </c>
      <c r="E62" s="292">
        <v>0</v>
      </c>
      <c r="F62" s="253">
        <v>0</v>
      </c>
      <c r="G62" s="292">
        <v>0</v>
      </c>
      <c r="H62" s="253">
        <v>0</v>
      </c>
      <c r="I62" s="253">
        <v>0</v>
      </c>
      <c r="J62" s="253">
        <v>0</v>
      </c>
      <c r="K62" s="253">
        <v>0</v>
      </c>
      <c r="L62" s="253">
        <v>0</v>
      </c>
      <c r="M62" s="253">
        <v>0</v>
      </c>
      <c r="N62" s="253">
        <v>0</v>
      </c>
      <c r="O62" s="252">
        <f t="shared" si="23"/>
        <v>0</v>
      </c>
      <c r="P62" s="253">
        <v>0</v>
      </c>
      <c r="Q62" s="253">
        <v>0</v>
      </c>
      <c r="R62" s="253">
        <v>0</v>
      </c>
      <c r="S62" s="253">
        <v>0</v>
      </c>
      <c r="T62" s="253">
        <v>0</v>
      </c>
      <c r="U62" s="253">
        <v>0</v>
      </c>
      <c r="V62" s="253">
        <v>0</v>
      </c>
      <c r="W62" s="253">
        <v>0</v>
      </c>
      <c r="X62" s="253">
        <v>0</v>
      </c>
      <c r="Y62" s="253">
        <v>0</v>
      </c>
      <c r="AB62" s="532"/>
    </row>
    <row r="63" spans="1:28" s="519" customFormat="1" ht="15.75" customHeight="1">
      <c r="A63" s="534">
        <v>485</v>
      </c>
      <c r="B63" s="537" t="s">
        <v>143</v>
      </c>
      <c r="C63" s="252">
        <f t="shared" ref="C63" si="24">SUM(J63:Y63)-L63-P63-Q63</f>
        <v>795722</v>
      </c>
      <c r="D63" s="253">
        <v>795722</v>
      </c>
      <c r="E63" s="292">
        <v>0.13999999999999999</v>
      </c>
      <c r="F63" s="253">
        <v>0</v>
      </c>
      <c r="G63" s="292">
        <v>0</v>
      </c>
      <c r="H63" s="253">
        <v>795722</v>
      </c>
      <c r="I63" s="253">
        <v>0</v>
      </c>
      <c r="J63" s="253">
        <v>0</v>
      </c>
      <c r="K63" s="253">
        <v>0</v>
      </c>
      <c r="L63" s="253">
        <v>0</v>
      </c>
      <c r="M63" s="253">
        <v>0</v>
      </c>
      <c r="N63" s="253">
        <v>0</v>
      </c>
      <c r="O63" s="252">
        <f t="shared" si="23"/>
        <v>0</v>
      </c>
      <c r="P63" s="253">
        <v>0</v>
      </c>
      <c r="Q63" s="253">
        <v>0</v>
      </c>
      <c r="R63" s="253">
        <v>0</v>
      </c>
      <c r="S63" s="253">
        <v>0</v>
      </c>
      <c r="T63" s="253">
        <v>0</v>
      </c>
      <c r="U63" s="253">
        <v>514718</v>
      </c>
      <c r="V63" s="253">
        <v>1</v>
      </c>
      <c r="W63" s="253">
        <v>281003</v>
      </c>
      <c r="X63" s="253">
        <v>0</v>
      </c>
      <c r="Y63" s="253">
        <v>0</v>
      </c>
      <c r="AB63" s="532"/>
    </row>
    <row r="64" spans="1:28" s="519" customFormat="1" ht="15.75" customHeight="1">
      <c r="A64" s="534">
        <f>A62+10</f>
        <v>490</v>
      </c>
      <c r="B64" s="535" t="s">
        <v>124</v>
      </c>
      <c r="C64" s="252">
        <f t="shared" si="22"/>
        <v>0</v>
      </c>
      <c r="D64" s="253">
        <v>0</v>
      </c>
      <c r="E64" s="292">
        <v>0</v>
      </c>
      <c r="F64" s="253">
        <v>0</v>
      </c>
      <c r="G64" s="292">
        <v>0</v>
      </c>
      <c r="H64" s="253">
        <v>0</v>
      </c>
      <c r="I64" s="253">
        <v>0</v>
      </c>
      <c r="J64" s="253">
        <v>0</v>
      </c>
      <c r="K64" s="253">
        <v>0</v>
      </c>
      <c r="L64" s="253">
        <v>0</v>
      </c>
      <c r="M64" s="253">
        <v>0</v>
      </c>
      <c r="N64" s="253">
        <v>0</v>
      </c>
      <c r="O64" s="252">
        <f t="shared" si="23"/>
        <v>0</v>
      </c>
      <c r="P64" s="253">
        <v>0</v>
      </c>
      <c r="Q64" s="253">
        <v>0</v>
      </c>
      <c r="R64" s="253">
        <v>0</v>
      </c>
      <c r="S64" s="253">
        <v>0</v>
      </c>
      <c r="T64" s="253">
        <v>0</v>
      </c>
      <c r="U64" s="253">
        <v>0</v>
      </c>
      <c r="V64" s="253">
        <v>0</v>
      </c>
      <c r="W64" s="253">
        <v>0</v>
      </c>
      <c r="X64" s="253">
        <v>0</v>
      </c>
      <c r="Y64" s="253">
        <v>0</v>
      </c>
      <c r="AB64" s="532"/>
    </row>
    <row r="65" spans="1:28" s="519" customFormat="1" ht="15.75" customHeight="1">
      <c r="A65" s="520">
        <f>A64+10</f>
        <v>500</v>
      </c>
      <c r="B65" s="538" t="s">
        <v>138</v>
      </c>
      <c r="C65" s="254">
        <f t="shared" ref="C65:C78" si="25">SUM(J65:Y65)-L65-P65-Q65</f>
        <v>2082182</v>
      </c>
      <c r="D65" s="254">
        <f>SUM(D58:D64)</f>
        <v>2082182</v>
      </c>
      <c r="E65" s="294">
        <f>IFERROR(((D58*E58)/D65)+((D59*E59)/D65)+((D60*E60)/D65)+((D61*E61)/D65)+((D62*E62)/D65)+((D63*E63)/D65)+((D64*E64)/D65),0)</f>
        <v>0.13060960844020056</v>
      </c>
      <c r="F65" s="254">
        <f>SUM(F58:F64)</f>
        <v>0</v>
      </c>
      <c r="G65" s="294">
        <f>IFERROR(((F58*G58)/F65)+((F59*G59)/F65)+((F60*G60)/F65)+((F61*G61)/F65)+((F62*G62)/F65)+((F63*G63)/F65)+((F64*G64)/F65),0)</f>
        <v>0</v>
      </c>
      <c r="H65" s="254">
        <f t="shared" ref="H65:Y65" si="26">SUM(H58:H64)</f>
        <v>2082182</v>
      </c>
      <c r="I65" s="254">
        <f t="shared" si="26"/>
        <v>0</v>
      </c>
      <c r="J65" s="254">
        <f t="shared" si="26"/>
        <v>0</v>
      </c>
      <c r="K65" s="254">
        <f t="shared" si="26"/>
        <v>0</v>
      </c>
      <c r="L65" s="254">
        <f t="shared" si="26"/>
        <v>0</v>
      </c>
      <c r="M65" s="254">
        <f t="shared" si="26"/>
        <v>0</v>
      </c>
      <c r="N65" s="254">
        <f t="shared" si="26"/>
        <v>0</v>
      </c>
      <c r="O65" s="254">
        <f t="shared" si="26"/>
        <v>0</v>
      </c>
      <c r="P65" s="254">
        <f t="shared" si="26"/>
        <v>0</v>
      </c>
      <c r="Q65" s="254">
        <f t="shared" si="26"/>
        <v>0</v>
      </c>
      <c r="R65" s="254">
        <f t="shared" si="26"/>
        <v>0</v>
      </c>
      <c r="S65" s="254">
        <f t="shared" si="26"/>
        <v>0</v>
      </c>
      <c r="T65" s="254">
        <f t="shared" si="26"/>
        <v>0</v>
      </c>
      <c r="U65" s="254">
        <f t="shared" si="26"/>
        <v>891066</v>
      </c>
      <c r="V65" s="254">
        <f t="shared" si="26"/>
        <v>1</v>
      </c>
      <c r="W65" s="254">
        <f t="shared" si="26"/>
        <v>1191115</v>
      </c>
      <c r="X65" s="254">
        <f t="shared" si="26"/>
        <v>0</v>
      </c>
      <c r="Y65" s="254">
        <f t="shared" si="26"/>
        <v>0</v>
      </c>
      <c r="AB65" s="532"/>
    </row>
    <row r="66" spans="1:28" s="519" customFormat="1" ht="15.75" customHeight="1">
      <c r="A66" s="520"/>
      <c r="B66" s="538" t="s">
        <v>139</v>
      </c>
      <c r="C66" s="254"/>
      <c r="D66" s="255"/>
      <c r="E66" s="293"/>
      <c r="F66" s="255"/>
      <c r="G66" s="293"/>
      <c r="H66" s="255"/>
      <c r="I66" s="255"/>
      <c r="J66" s="255"/>
      <c r="K66" s="255"/>
      <c r="L66" s="255"/>
      <c r="M66" s="255"/>
      <c r="N66" s="255"/>
      <c r="O66" s="254"/>
      <c r="P66" s="255"/>
      <c r="Q66" s="255"/>
      <c r="R66" s="255"/>
      <c r="S66" s="255"/>
      <c r="T66" s="255"/>
      <c r="U66" s="255"/>
      <c r="V66" s="255"/>
      <c r="W66" s="255"/>
      <c r="X66" s="255"/>
      <c r="Y66" s="255"/>
      <c r="AB66" s="532"/>
    </row>
    <row r="67" spans="1:28" s="519" customFormat="1" ht="15.75" customHeight="1">
      <c r="A67" s="531">
        <f>A65+10</f>
        <v>510</v>
      </c>
      <c r="B67" s="252" t="s">
        <v>119</v>
      </c>
      <c r="C67" s="252">
        <f t="shared" si="25"/>
        <v>2272623487</v>
      </c>
      <c r="D67" s="253">
        <v>2272623487</v>
      </c>
      <c r="E67" s="291">
        <v>0.16503952085053525</v>
      </c>
      <c r="F67" s="253">
        <v>0</v>
      </c>
      <c r="G67" s="291">
        <v>0</v>
      </c>
      <c r="H67" s="253">
        <v>2272623487</v>
      </c>
      <c r="I67" s="253">
        <v>0</v>
      </c>
      <c r="J67" s="253">
        <v>0</v>
      </c>
      <c r="K67" s="253">
        <v>0</v>
      </c>
      <c r="L67" s="253">
        <v>0</v>
      </c>
      <c r="M67" s="253">
        <v>7853875</v>
      </c>
      <c r="N67" s="253">
        <v>0</v>
      </c>
      <c r="O67" s="252">
        <f t="shared" ref="O67:O77" si="27">+P67+Q67</f>
        <v>479697622</v>
      </c>
      <c r="P67" s="253">
        <v>389070907</v>
      </c>
      <c r="Q67" s="253">
        <v>90626715</v>
      </c>
      <c r="R67" s="253">
        <v>0</v>
      </c>
      <c r="S67" s="253">
        <v>0</v>
      </c>
      <c r="T67" s="253">
        <v>0</v>
      </c>
      <c r="U67" s="253">
        <v>0</v>
      </c>
      <c r="V67" s="253">
        <v>377298317</v>
      </c>
      <c r="W67" s="253">
        <v>1377956006</v>
      </c>
      <c r="X67" s="253">
        <v>29564115</v>
      </c>
      <c r="Y67" s="253">
        <v>253552</v>
      </c>
      <c r="AB67" s="532"/>
    </row>
    <row r="68" spans="1:28" s="519" customFormat="1" ht="15.75" customHeight="1">
      <c r="A68" s="531">
        <f t="shared" si="1"/>
        <v>520</v>
      </c>
      <c r="B68" s="252" t="s">
        <v>120</v>
      </c>
      <c r="C68" s="252">
        <f t="shared" si="25"/>
        <v>86603814</v>
      </c>
      <c r="D68" s="253">
        <v>86603814</v>
      </c>
      <c r="E68" s="292">
        <v>3.1789377944126576E-2</v>
      </c>
      <c r="F68" s="253">
        <v>0</v>
      </c>
      <c r="G68" s="292">
        <v>0</v>
      </c>
      <c r="H68" s="253">
        <v>86603814</v>
      </c>
      <c r="I68" s="253">
        <v>0</v>
      </c>
      <c r="J68" s="253">
        <v>0</v>
      </c>
      <c r="K68" s="253">
        <v>0</v>
      </c>
      <c r="L68" s="253">
        <v>0</v>
      </c>
      <c r="M68" s="253">
        <v>0</v>
      </c>
      <c r="N68" s="253">
        <v>0</v>
      </c>
      <c r="O68" s="252">
        <f t="shared" si="27"/>
        <v>0</v>
      </c>
      <c r="P68" s="253">
        <v>0</v>
      </c>
      <c r="Q68" s="253">
        <v>0</v>
      </c>
      <c r="R68" s="253">
        <v>0</v>
      </c>
      <c r="S68" s="253">
        <v>0</v>
      </c>
      <c r="T68" s="253">
        <v>0</v>
      </c>
      <c r="U68" s="253">
        <v>0</v>
      </c>
      <c r="V68" s="253">
        <v>2213814</v>
      </c>
      <c r="W68" s="253">
        <v>0</v>
      </c>
      <c r="X68" s="253">
        <v>0</v>
      </c>
      <c r="Y68" s="253">
        <v>84390000</v>
      </c>
      <c r="AB68" s="532"/>
    </row>
    <row r="69" spans="1:28" s="519" customFormat="1" ht="15.75" customHeight="1">
      <c r="A69" s="534">
        <f t="shared" si="1"/>
        <v>530</v>
      </c>
      <c r="B69" s="535" t="s">
        <v>121</v>
      </c>
      <c r="C69" s="252">
        <f t="shared" si="25"/>
        <v>41973096</v>
      </c>
      <c r="D69" s="253">
        <v>10820800</v>
      </c>
      <c r="E69" s="292">
        <v>0.1313237071451025</v>
      </c>
      <c r="F69" s="253">
        <v>31152296</v>
      </c>
      <c r="G69" s="292">
        <v>8.3730193287512356E-2</v>
      </c>
      <c r="H69" s="253">
        <v>41973096</v>
      </c>
      <c r="I69" s="253">
        <v>0</v>
      </c>
      <c r="J69" s="253">
        <v>0</v>
      </c>
      <c r="K69" s="253">
        <v>0</v>
      </c>
      <c r="L69" s="253">
        <v>0</v>
      </c>
      <c r="M69" s="253">
        <v>1026522</v>
      </c>
      <c r="N69" s="253">
        <v>0</v>
      </c>
      <c r="O69" s="252">
        <f t="shared" si="27"/>
        <v>39290661</v>
      </c>
      <c r="P69" s="253">
        <v>13266280</v>
      </c>
      <c r="Q69" s="253">
        <v>26024381</v>
      </c>
      <c r="R69" s="253">
        <v>0</v>
      </c>
      <c r="S69" s="253">
        <v>0</v>
      </c>
      <c r="T69" s="253">
        <v>0</v>
      </c>
      <c r="U69" s="253">
        <v>0</v>
      </c>
      <c r="V69" s="253">
        <v>824431</v>
      </c>
      <c r="W69" s="253">
        <v>831482</v>
      </c>
      <c r="X69" s="253">
        <v>0</v>
      </c>
      <c r="Y69" s="253">
        <v>0</v>
      </c>
      <c r="AB69" s="532"/>
    </row>
    <row r="70" spans="1:28" s="519" customFormat="1" ht="15.75" customHeight="1">
      <c r="A70" s="534">
        <f t="shared" si="1"/>
        <v>540</v>
      </c>
      <c r="B70" s="535" t="s">
        <v>122</v>
      </c>
      <c r="C70" s="252">
        <f t="shared" si="25"/>
        <v>782919068</v>
      </c>
      <c r="D70" s="253">
        <v>663032645</v>
      </c>
      <c r="E70" s="291">
        <v>0.15608943312556561</v>
      </c>
      <c r="F70" s="253">
        <v>119886423</v>
      </c>
      <c r="G70" s="291">
        <v>6.8457280752320146E-2</v>
      </c>
      <c r="H70" s="253">
        <v>782919068</v>
      </c>
      <c r="I70" s="253">
        <v>0</v>
      </c>
      <c r="J70" s="253">
        <v>0</v>
      </c>
      <c r="K70" s="253">
        <v>0</v>
      </c>
      <c r="L70" s="253">
        <v>0</v>
      </c>
      <c r="M70" s="253">
        <v>56467243</v>
      </c>
      <c r="N70" s="253">
        <v>2774</v>
      </c>
      <c r="O70" s="252">
        <f t="shared" si="27"/>
        <v>446017483</v>
      </c>
      <c r="P70" s="253">
        <v>71312527</v>
      </c>
      <c r="Q70" s="253">
        <v>374704956</v>
      </c>
      <c r="R70" s="253">
        <v>1629773</v>
      </c>
      <c r="S70" s="253">
        <v>0</v>
      </c>
      <c r="T70" s="253">
        <v>0</v>
      </c>
      <c r="U70" s="253">
        <v>28557087</v>
      </c>
      <c r="V70" s="253">
        <v>50471386</v>
      </c>
      <c r="W70" s="253">
        <v>16884896</v>
      </c>
      <c r="X70" s="253">
        <v>0</v>
      </c>
      <c r="Y70" s="253">
        <v>182888426</v>
      </c>
      <c r="AB70" s="532"/>
    </row>
    <row r="71" spans="1:28" s="519" customFormat="1" ht="15.75" customHeight="1">
      <c r="A71" s="534">
        <f t="shared" si="1"/>
        <v>550</v>
      </c>
      <c r="B71" s="535" t="s">
        <v>140</v>
      </c>
      <c r="C71" s="252">
        <f t="shared" si="25"/>
        <v>0</v>
      </c>
      <c r="D71" s="253">
        <v>0</v>
      </c>
      <c r="E71" s="291">
        <v>0</v>
      </c>
      <c r="F71" s="253">
        <v>0</v>
      </c>
      <c r="G71" s="291">
        <v>0</v>
      </c>
      <c r="H71" s="253">
        <v>0</v>
      </c>
      <c r="I71" s="253">
        <v>0</v>
      </c>
      <c r="J71" s="253">
        <v>0</v>
      </c>
      <c r="K71" s="253">
        <v>0</v>
      </c>
      <c r="L71" s="253">
        <v>0</v>
      </c>
      <c r="M71" s="253">
        <v>0</v>
      </c>
      <c r="N71" s="253">
        <v>0</v>
      </c>
      <c r="O71" s="252">
        <f t="shared" si="27"/>
        <v>0</v>
      </c>
      <c r="P71" s="253">
        <v>0</v>
      </c>
      <c r="Q71" s="253">
        <v>0</v>
      </c>
      <c r="R71" s="253">
        <v>0</v>
      </c>
      <c r="S71" s="253">
        <v>0</v>
      </c>
      <c r="T71" s="253">
        <v>0</v>
      </c>
      <c r="U71" s="253">
        <v>0</v>
      </c>
      <c r="V71" s="253">
        <v>0</v>
      </c>
      <c r="W71" s="253">
        <v>0</v>
      </c>
      <c r="X71" s="253">
        <v>0</v>
      </c>
      <c r="Y71" s="253">
        <v>0</v>
      </c>
      <c r="AB71" s="532"/>
    </row>
    <row r="72" spans="1:28" s="519" customFormat="1" ht="15.75" customHeight="1">
      <c r="A72" s="534">
        <f t="shared" si="1"/>
        <v>560</v>
      </c>
      <c r="B72" s="535" t="s">
        <v>141</v>
      </c>
      <c r="C72" s="252">
        <f t="shared" si="25"/>
        <v>0</v>
      </c>
      <c r="D72" s="253">
        <v>0</v>
      </c>
      <c r="E72" s="291">
        <v>0</v>
      </c>
      <c r="F72" s="253">
        <v>0</v>
      </c>
      <c r="G72" s="291">
        <v>0</v>
      </c>
      <c r="H72" s="253">
        <v>0</v>
      </c>
      <c r="I72" s="253">
        <v>0</v>
      </c>
      <c r="J72" s="253">
        <v>0</v>
      </c>
      <c r="K72" s="253">
        <v>0</v>
      </c>
      <c r="L72" s="253">
        <v>0</v>
      </c>
      <c r="M72" s="253">
        <v>0</v>
      </c>
      <c r="N72" s="253">
        <v>0</v>
      </c>
      <c r="O72" s="252">
        <f t="shared" si="27"/>
        <v>0</v>
      </c>
      <c r="P72" s="253">
        <v>0</v>
      </c>
      <c r="Q72" s="253">
        <v>0</v>
      </c>
      <c r="R72" s="253">
        <v>0</v>
      </c>
      <c r="S72" s="253">
        <v>0</v>
      </c>
      <c r="T72" s="253">
        <v>0</v>
      </c>
      <c r="U72" s="253">
        <v>0</v>
      </c>
      <c r="V72" s="253">
        <v>0</v>
      </c>
      <c r="W72" s="253">
        <v>0</v>
      </c>
      <c r="X72" s="253">
        <v>0</v>
      </c>
      <c r="Y72" s="253">
        <v>0</v>
      </c>
      <c r="AB72" s="532"/>
    </row>
    <row r="73" spans="1:28" s="519" customFormat="1" ht="15.75" customHeight="1">
      <c r="A73" s="534">
        <f t="shared" si="1"/>
        <v>570</v>
      </c>
      <c r="B73" s="535" t="s">
        <v>123</v>
      </c>
      <c r="C73" s="252">
        <f t="shared" si="25"/>
        <v>0</v>
      </c>
      <c r="D73" s="253">
        <v>0</v>
      </c>
      <c r="E73" s="292">
        <v>0</v>
      </c>
      <c r="F73" s="253">
        <v>0</v>
      </c>
      <c r="G73" s="292">
        <v>0</v>
      </c>
      <c r="H73" s="253">
        <v>0</v>
      </c>
      <c r="I73" s="253">
        <v>0</v>
      </c>
      <c r="J73" s="253">
        <v>0</v>
      </c>
      <c r="K73" s="253">
        <v>0</v>
      </c>
      <c r="L73" s="253">
        <v>0</v>
      </c>
      <c r="M73" s="253">
        <v>0</v>
      </c>
      <c r="N73" s="253">
        <v>0</v>
      </c>
      <c r="O73" s="252">
        <f t="shared" si="27"/>
        <v>0</v>
      </c>
      <c r="P73" s="253">
        <v>0</v>
      </c>
      <c r="Q73" s="253">
        <v>0</v>
      </c>
      <c r="R73" s="253">
        <v>0</v>
      </c>
      <c r="S73" s="253">
        <v>0</v>
      </c>
      <c r="T73" s="253">
        <v>0</v>
      </c>
      <c r="U73" s="253">
        <v>0</v>
      </c>
      <c r="V73" s="253">
        <v>0</v>
      </c>
      <c r="W73" s="253">
        <v>0</v>
      </c>
      <c r="X73" s="253">
        <v>0</v>
      </c>
      <c r="Y73" s="253">
        <v>0</v>
      </c>
      <c r="AB73" s="532"/>
    </row>
    <row r="74" spans="1:28" s="519" customFormat="1" ht="15.75" customHeight="1">
      <c r="A74" s="534">
        <f t="shared" si="1"/>
        <v>580</v>
      </c>
      <c r="B74" s="535" t="s">
        <v>142</v>
      </c>
      <c r="C74" s="252">
        <f t="shared" si="25"/>
        <v>0</v>
      </c>
      <c r="D74" s="253">
        <v>0</v>
      </c>
      <c r="E74" s="292">
        <v>0</v>
      </c>
      <c r="F74" s="253">
        <v>0</v>
      </c>
      <c r="G74" s="292">
        <v>0</v>
      </c>
      <c r="H74" s="253">
        <v>0</v>
      </c>
      <c r="I74" s="253">
        <v>0</v>
      </c>
      <c r="J74" s="253">
        <v>0</v>
      </c>
      <c r="K74" s="253">
        <v>0</v>
      </c>
      <c r="L74" s="253">
        <v>0</v>
      </c>
      <c r="M74" s="253">
        <v>0</v>
      </c>
      <c r="N74" s="253">
        <v>0</v>
      </c>
      <c r="O74" s="252">
        <f t="shared" si="27"/>
        <v>0</v>
      </c>
      <c r="P74" s="253">
        <v>0</v>
      </c>
      <c r="Q74" s="253">
        <v>0</v>
      </c>
      <c r="R74" s="253">
        <v>0</v>
      </c>
      <c r="S74" s="253">
        <v>0</v>
      </c>
      <c r="T74" s="253">
        <v>0</v>
      </c>
      <c r="U74" s="253">
        <v>0</v>
      </c>
      <c r="V74" s="253">
        <v>0</v>
      </c>
      <c r="W74" s="253">
        <v>0</v>
      </c>
      <c r="X74" s="253">
        <v>0</v>
      </c>
      <c r="Y74" s="253">
        <v>0</v>
      </c>
      <c r="AB74" s="532"/>
    </row>
    <row r="75" spans="1:28" s="519" customFormat="1" ht="15.75" customHeight="1">
      <c r="A75" s="534">
        <f t="shared" ref="A75:A92" si="28">A74+10</f>
        <v>590</v>
      </c>
      <c r="B75" s="535" t="s">
        <v>143</v>
      </c>
      <c r="C75" s="252">
        <f t="shared" si="25"/>
        <v>2808180</v>
      </c>
      <c r="D75" s="253">
        <v>1997606</v>
      </c>
      <c r="E75" s="292">
        <v>0.1575868636143172</v>
      </c>
      <c r="F75" s="253">
        <v>810574</v>
      </c>
      <c r="G75" s="292">
        <v>0.09</v>
      </c>
      <c r="H75" s="253">
        <v>2808180</v>
      </c>
      <c r="I75" s="253">
        <v>0</v>
      </c>
      <c r="J75" s="253">
        <v>0</v>
      </c>
      <c r="K75" s="253">
        <v>0</v>
      </c>
      <c r="L75" s="253">
        <v>0</v>
      </c>
      <c r="M75" s="253">
        <v>18876</v>
      </c>
      <c r="N75" s="253">
        <v>0</v>
      </c>
      <c r="O75" s="252">
        <f t="shared" si="27"/>
        <v>2754731</v>
      </c>
      <c r="P75" s="253">
        <v>0</v>
      </c>
      <c r="Q75" s="253">
        <v>2754731</v>
      </c>
      <c r="R75" s="253">
        <v>0</v>
      </c>
      <c r="S75" s="253">
        <v>0</v>
      </c>
      <c r="T75" s="253">
        <v>0</v>
      </c>
      <c r="U75" s="253">
        <v>0</v>
      </c>
      <c r="V75" s="253">
        <v>34573</v>
      </c>
      <c r="W75" s="253">
        <v>0</v>
      </c>
      <c r="X75" s="253">
        <v>0</v>
      </c>
      <c r="Y75" s="253">
        <v>0</v>
      </c>
      <c r="AB75" s="532"/>
    </row>
    <row r="76" spans="1:28" s="519" customFormat="1" ht="15.75" customHeight="1">
      <c r="A76" s="534">
        <f t="shared" si="28"/>
        <v>600</v>
      </c>
      <c r="B76" s="535" t="s">
        <v>144</v>
      </c>
      <c r="C76" s="252">
        <f t="shared" si="25"/>
        <v>0</v>
      </c>
      <c r="D76" s="253">
        <v>0</v>
      </c>
      <c r="E76" s="292">
        <v>0</v>
      </c>
      <c r="F76" s="253">
        <v>0</v>
      </c>
      <c r="G76" s="292">
        <v>0</v>
      </c>
      <c r="H76" s="253">
        <v>0</v>
      </c>
      <c r="I76" s="253">
        <v>0</v>
      </c>
      <c r="J76" s="253">
        <v>0</v>
      </c>
      <c r="K76" s="253">
        <v>0</v>
      </c>
      <c r="L76" s="253">
        <v>0</v>
      </c>
      <c r="M76" s="253">
        <v>0</v>
      </c>
      <c r="N76" s="253">
        <v>0</v>
      </c>
      <c r="O76" s="252">
        <f t="shared" si="27"/>
        <v>0</v>
      </c>
      <c r="P76" s="253">
        <v>0</v>
      </c>
      <c r="Q76" s="253">
        <v>0</v>
      </c>
      <c r="R76" s="253">
        <v>0</v>
      </c>
      <c r="S76" s="253">
        <v>0</v>
      </c>
      <c r="T76" s="253">
        <v>0</v>
      </c>
      <c r="U76" s="253">
        <v>0</v>
      </c>
      <c r="V76" s="253">
        <v>0</v>
      </c>
      <c r="W76" s="253">
        <v>0</v>
      </c>
      <c r="X76" s="253">
        <v>0</v>
      </c>
      <c r="Y76" s="253">
        <v>0</v>
      </c>
      <c r="AB76" s="532"/>
    </row>
    <row r="77" spans="1:28" s="519" customFormat="1" ht="15.75" customHeight="1">
      <c r="A77" s="534">
        <f>A76+10</f>
        <v>610</v>
      </c>
      <c r="B77" s="535" t="s">
        <v>124</v>
      </c>
      <c r="C77" s="252">
        <f t="shared" si="25"/>
        <v>21091</v>
      </c>
      <c r="D77" s="253">
        <v>21091</v>
      </c>
      <c r="E77" s="292">
        <v>0.14000000000000001</v>
      </c>
      <c r="F77" s="253">
        <v>0</v>
      </c>
      <c r="G77" s="292">
        <v>0</v>
      </c>
      <c r="H77" s="253">
        <v>21091</v>
      </c>
      <c r="I77" s="253">
        <v>0</v>
      </c>
      <c r="J77" s="253">
        <v>0</v>
      </c>
      <c r="K77" s="253">
        <v>0</v>
      </c>
      <c r="L77" s="253">
        <v>0</v>
      </c>
      <c r="M77" s="253">
        <v>0</v>
      </c>
      <c r="N77" s="253">
        <v>0</v>
      </c>
      <c r="O77" s="252">
        <f t="shared" si="27"/>
        <v>0</v>
      </c>
      <c r="P77" s="253">
        <v>0</v>
      </c>
      <c r="Q77" s="253">
        <v>0</v>
      </c>
      <c r="R77" s="253">
        <v>0</v>
      </c>
      <c r="S77" s="253">
        <v>0</v>
      </c>
      <c r="T77" s="253">
        <v>0</v>
      </c>
      <c r="U77" s="253">
        <v>0</v>
      </c>
      <c r="V77" s="253">
        <v>0</v>
      </c>
      <c r="W77" s="253">
        <v>21091</v>
      </c>
      <c r="X77" s="253">
        <v>0</v>
      </c>
      <c r="Y77" s="253">
        <v>0</v>
      </c>
      <c r="AB77" s="532"/>
    </row>
    <row r="78" spans="1:28" s="519" customFormat="1" ht="15.75" customHeight="1">
      <c r="A78" s="520">
        <f>A77+10</f>
        <v>620</v>
      </c>
      <c r="B78" s="538" t="s">
        <v>145</v>
      </c>
      <c r="C78" s="254">
        <f t="shared" si="25"/>
        <v>3186948736</v>
      </c>
      <c r="D78" s="254">
        <f>SUM(D67:D77)</f>
        <v>3035099443</v>
      </c>
      <c r="E78" s="294">
        <f>IFERROR(((D67*E67)/D78)+((D68*E68)/D78)+((D69*E69)/D78)+((D70*E70)/D78)+((D71*E71)/D78)+((D72*E72)/D78)+((D73*E73)/D78)+((D74*E74)/D78)+((D75*E75)/D78)+((D76*E76)/D78)+((D77*E77)/D78),0)</f>
        <v>0.15915687386561481</v>
      </c>
      <c r="F78" s="254">
        <f>SUM(F67:F77)</f>
        <v>151849293</v>
      </c>
      <c r="G78" s="294">
        <f>IFERROR(((F67*G67)/F78)+((F68*G68)/F78)+((F69*G69)/F78)+((F70*G70)/F78)+((F71*G71)/F78)+((F72*G72)/F78)+((F73*G73)/F78)+((F74*G74)/F78)+((F75*G75)/F78)+((F76*G76)/F78)+((F77*G77)/F78),0)</f>
        <v>7.170555573895368E-2</v>
      </c>
      <c r="H78" s="254">
        <f t="shared" ref="H78:Y78" si="29">SUM(H67:H77)</f>
        <v>3186948736</v>
      </c>
      <c r="I78" s="254">
        <f t="shared" si="29"/>
        <v>0</v>
      </c>
      <c r="J78" s="254">
        <f t="shared" si="29"/>
        <v>0</v>
      </c>
      <c r="K78" s="254">
        <f t="shared" si="29"/>
        <v>0</v>
      </c>
      <c r="L78" s="254">
        <f t="shared" si="29"/>
        <v>0</v>
      </c>
      <c r="M78" s="254">
        <f t="shared" si="29"/>
        <v>65366516</v>
      </c>
      <c r="N78" s="254">
        <f t="shared" si="29"/>
        <v>2774</v>
      </c>
      <c r="O78" s="254">
        <f t="shared" si="29"/>
        <v>967760497</v>
      </c>
      <c r="P78" s="254">
        <f t="shared" si="29"/>
        <v>473649714</v>
      </c>
      <c r="Q78" s="254">
        <f t="shared" si="29"/>
        <v>494110783</v>
      </c>
      <c r="R78" s="254">
        <f t="shared" si="29"/>
        <v>1629773</v>
      </c>
      <c r="S78" s="254">
        <f t="shared" si="29"/>
        <v>0</v>
      </c>
      <c r="T78" s="254">
        <f t="shared" si="29"/>
        <v>0</v>
      </c>
      <c r="U78" s="254">
        <f t="shared" si="29"/>
        <v>28557087</v>
      </c>
      <c r="V78" s="254">
        <f t="shared" si="29"/>
        <v>430842521</v>
      </c>
      <c r="W78" s="254">
        <f t="shared" si="29"/>
        <v>1395693475</v>
      </c>
      <c r="X78" s="254">
        <f t="shared" si="29"/>
        <v>29564115</v>
      </c>
      <c r="Y78" s="254">
        <f t="shared" si="29"/>
        <v>267531978</v>
      </c>
      <c r="AB78" s="532"/>
    </row>
    <row r="79" spans="1:28" s="519" customFormat="1" ht="15.75" customHeight="1">
      <c r="A79" s="520"/>
      <c r="B79" s="538" t="s">
        <v>146</v>
      </c>
      <c r="C79" s="254"/>
      <c r="D79" s="254"/>
      <c r="E79" s="294"/>
      <c r="F79" s="254"/>
      <c r="G79" s="294"/>
      <c r="H79" s="254"/>
      <c r="I79" s="254"/>
      <c r="J79" s="254"/>
      <c r="K79" s="254"/>
      <c r="L79" s="254"/>
      <c r="M79" s="254"/>
      <c r="N79" s="254"/>
      <c r="O79" s="254"/>
      <c r="P79" s="254"/>
      <c r="Q79" s="254"/>
      <c r="R79" s="254"/>
      <c r="S79" s="254"/>
      <c r="T79" s="254"/>
      <c r="U79" s="254"/>
      <c r="V79" s="254"/>
      <c r="W79" s="254"/>
      <c r="X79" s="254"/>
      <c r="Y79" s="254"/>
      <c r="AB79" s="532"/>
    </row>
    <row r="80" spans="1:28" s="519" customFormat="1" ht="15.75" customHeight="1">
      <c r="A80" s="531">
        <f>A78+10</f>
        <v>630</v>
      </c>
      <c r="B80" s="252" t="s">
        <v>119</v>
      </c>
      <c r="C80" s="252">
        <f t="shared" ref="C80:C92" si="30">SUM(J80:Y80)-L80-P80-Q80</f>
        <v>3084481917</v>
      </c>
      <c r="D80" s="252">
        <f>D9+D17+D26+D34+D42+D50+D58+D67</f>
        <v>3084481917</v>
      </c>
      <c r="E80" s="295">
        <f>IFERROR(((D9*E9)/D80)+((D17*E17)/D80)+((D26*E26)/D80)+((D34*E34)/D80)+((D42*E42)/D80)+((D50*E50)/D80)+((D58*E58)/D80)+((D67*E67)/D80),0)</f>
        <v>0.1586540000658957</v>
      </c>
      <c r="F80" s="252">
        <f>F9+F17+F26+F34+F42+F50+F58+F67</f>
        <v>0</v>
      </c>
      <c r="G80" s="295">
        <f>IFERROR(((F9*G9)/F80)+((F17*G17)/F80)+((F26*G26)/F80)+((F34*G34)/F80)+((F42*G42)/F80)+((F50*G50)/F80)+((F58*G58)/F80)+((F67*G67)/F80),0)</f>
        <v>0</v>
      </c>
      <c r="H80" s="252">
        <f t="shared" ref="H80:Y83" si="31">H9+H17+H26+H34+H42+H50+H58+H67</f>
        <v>3084481917</v>
      </c>
      <c r="I80" s="252">
        <f t="shared" si="31"/>
        <v>0</v>
      </c>
      <c r="J80" s="252">
        <f t="shared" si="31"/>
        <v>0</v>
      </c>
      <c r="K80" s="252">
        <f t="shared" si="31"/>
        <v>0</v>
      </c>
      <c r="L80" s="252">
        <f t="shared" si="31"/>
        <v>0</v>
      </c>
      <c r="M80" s="252">
        <f t="shared" si="31"/>
        <v>82418273</v>
      </c>
      <c r="N80" s="252">
        <f t="shared" si="31"/>
        <v>0</v>
      </c>
      <c r="O80" s="252">
        <f t="shared" si="31"/>
        <v>479752381</v>
      </c>
      <c r="P80" s="252">
        <f t="shared" si="31"/>
        <v>389081511</v>
      </c>
      <c r="Q80" s="252">
        <f t="shared" si="31"/>
        <v>90670870</v>
      </c>
      <c r="R80" s="252">
        <f t="shared" si="31"/>
        <v>0</v>
      </c>
      <c r="S80" s="252">
        <f t="shared" si="31"/>
        <v>0</v>
      </c>
      <c r="T80" s="252">
        <f t="shared" si="31"/>
        <v>0</v>
      </c>
      <c r="U80" s="252">
        <f t="shared" si="31"/>
        <v>0</v>
      </c>
      <c r="V80" s="252">
        <f t="shared" si="31"/>
        <v>423221273</v>
      </c>
      <c r="W80" s="252">
        <f t="shared" si="31"/>
        <v>2069242379</v>
      </c>
      <c r="X80" s="252">
        <f t="shared" si="31"/>
        <v>29564115</v>
      </c>
      <c r="Y80" s="252">
        <f t="shared" si="31"/>
        <v>283496</v>
      </c>
      <c r="AB80" s="532"/>
    </row>
    <row r="81" spans="1:28" s="519" customFormat="1" ht="15.75" customHeight="1">
      <c r="A81" s="531">
        <f t="shared" si="28"/>
        <v>640</v>
      </c>
      <c r="B81" s="252" t="s">
        <v>120</v>
      </c>
      <c r="C81" s="252">
        <f t="shared" si="30"/>
        <v>237969866</v>
      </c>
      <c r="D81" s="252">
        <f>D10+D18+D27+D35+D43+D51+D59+D68</f>
        <v>183781544</v>
      </c>
      <c r="E81" s="295">
        <f>IFERROR(((D10*E10)/D81)+((D18*E18)/D81)+((D27*E27)/D81)+((D35*E35)/D81)+((D43*E43)/D81)+((D51*E51)/D81)+((D59*E59)/D81)+((D68*E68)/D81),0)</f>
        <v>6.2554539918309962E-2</v>
      </c>
      <c r="F81" s="252">
        <f>F10+F18+F27+F35+F43+F51+F59+F68</f>
        <v>54188322</v>
      </c>
      <c r="G81" s="295">
        <f>IFERROR(((F10*G10)/F81)+((F18*G18)/F81)+((F27*G27)/F81)+((F35*G35)/F81)+((F43*G43)/F81)+((F51*G51)/F81)+((F59*G59)/F81)+((F68*G68)/F81),0)</f>
        <v>0.06</v>
      </c>
      <c r="H81" s="252">
        <f t="shared" si="31"/>
        <v>237969866</v>
      </c>
      <c r="I81" s="252">
        <f t="shared" si="31"/>
        <v>0</v>
      </c>
      <c r="J81" s="252">
        <f t="shared" si="31"/>
        <v>0</v>
      </c>
      <c r="K81" s="252">
        <f t="shared" si="31"/>
        <v>0</v>
      </c>
      <c r="L81" s="252">
        <f t="shared" si="31"/>
        <v>0</v>
      </c>
      <c r="M81" s="252">
        <f t="shared" si="31"/>
        <v>177970</v>
      </c>
      <c r="N81" s="252">
        <f t="shared" si="31"/>
        <v>0</v>
      </c>
      <c r="O81" s="252">
        <f t="shared" si="31"/>
        <v>26482841</v>
      </c>
      <c r="P81" s="252">
        <f t="shared" si="31"/>
        <v>520234</v>
      </c>
      <c r="Q81" s="252">
        <f t="shared" si="31"/>
        <v>25962607</v>
      </c>
      <c r="R81" s="252">
        <f t="shared" si="31"/>
        <v>7631250</v>
      </c>
      <c r="S81" s="252">
        <f t="shared" si="31"/>
        <v>0</v>
      </c>
      <c r="T81" s="252">
        <f t="shared" si="31"/>
        <v>0</v>
      </c>
      <c r="U81" s="252">
        <f t="shared" si="31"/>
        <v>0</v>
      </c>
      <c r="V81" s="252">
        <f t="shared" si="31"/>
        <v>65066483</v>
      </c>
      <c r="W81" s="252">
        <f t="shared" si="31"/>
        <v>0</v>
      </c>
      <c r="X81" s="252">
        <f t="shared" si="31"/>
        <v>0</v>
      </c>
      <c r="Y81" s="252">
        <f t="shared" si="31"/>
        <v>138611322</v>
      </c>
      <c r="AB81" s="532"/>
    </row>
    <row r="82" spans="1:28" s="519" customFormat="1" ht="15.75" customHeight="1">
      <c r="A82" s="534">
        <f t="shared" si="28"/>
        <v>650</v>
      </c>
      <c r="B82" s="535" t="s">
        <v>121</v>
      </c>
      <c r="C82" s="252">
        <f t="shared" si="30"/>
        <v>455620953</v>
      </c>
      <c r="D82" s="252">
        <f>D11+D19+D28+D36+D44+D52+D60+D69</f>
        <v>167073169</v>
      </c>
      <c r="E82" s="295">
        <f>IFERROR(((D11*E11)/D82)+((D19*E19)/D82)+((D28*E28)/D82)+((D36*E36)/D82)+((D44*E44)/D82)+((D52*E52)/D82)+((D60*E60)/D82)+((D69*E69)/D82),0)</f>
        <v>0.1903475837063677</v>
      </c>
      <c r="F82" s="252">
        <f>F11+F19+F28+F36+F44+F52+F60+F69</f>
        <v>288547784</v>
      </c>
      <c r="G82" s="295">
        <f>IFERROR(((F11*G11)/F82)+((F19*G19)/F82)+((F28*G28)/F82)+((F36*G36)/F82)+((F44*G44)/F82)+((F52*G52)/F82)+((F60*G60)/F82)+((F69*G69)/F82),0)</f>
        <v>8.5648543463202664E-2</v>
      </c>
      <c r="H82" s="252">
        <f t="shared" si="31"/>
        <v>455620953</v>
      </c>
      <c r="I82" s="252">
        <f t="shared" si="31"/>
        <v>0</v>
      </c>
      <c r="J82" s="252">
        <f t="shared" si="31"/>
        <v>0</v>
      </c>
      <c r="K82" s="252">
        <f t="shared" si="31"/>
        <v>0</v>
      </c>
      <c r="L82" s="252">
        <f t="shared" si="31"/>
        <v>0</v>
      </c>
      <c r="M82" s="252">
        <f t="shared" si="31"/>
        <v>9640211</v>
      </c>
      <c r="N82" s="252">
        <f t="shared" si="31"/>
        <v>0</v>
      </c>
      <c r="O82" s="252">
        <f t="shared" si="31"/>
        <v>412826070</v>
      </c>
      <c r="P82" s="252">
        <f t="shared" si="31"/>
        <v>190289777</v>
      </c>
      <c r="Q82" s="252">
        <f t="shared" si="31"/>
        <v>222536293</v>
      </c>
      <c r="R82" s="252">
        <f t="shared" si="31"/>
        <v>1844397</v>
      </c>
      <c r="S82" s="252">
        <f t="shared" si="31"/>
        <v>0</v>
      </c>
      <c r="T82" s="252">
        <f t="shared" si="31"/>
        <v>0</v>
      </c>
      <c r="U82" s="252">
        <f t="shared" si="31"/>
        <v>3833334</v>
      </c>
      <c r="V82" s="252">
        <f t="shared" si="31"/>
        <v>7425582</v>
      </c>
      <c r="W82" s="252">
        <f t="shared" si="31"/>
        <v>19584094</v>
      </c>
      <c r="X82" s="252">
        <f t="shared" si="31"/>
        <v>467265</v>
      </c>
      <c r="Y82" s="252">
        <f t="shared" si="31"/>
        <v>0</v>
      </c>
      <c r="AB82" s="532"/>
    </row>
    <row r="83" spans="1:28" s="519" customFormat="1" ht="15.75" customHeight="1">
      <c r="A83" s="534">
        <f t="shared" si="28"/>
        <v>660</v>
      </c>
      <c r="B83" s="535" t="s">
        <v>122</v>
      </c>
      <c r="C83" s="252">
        <f t="shared" si="30"/>
        <v>6772953254</v>
      </c>
      <c r="D83" s="252">
        <f>D12+D20+D29+D37+D45+D53+D61+D70</f>
        <v>3582491108</v>
      </c>
      <c r="E83" s="295">
        <f>IFERROR(((D12*E12)/D83)+((D20*E20)/D83)+((D29*E29)/D83)+((D37*E37)/D83)+((D45*E45)/D83)+((D53*E53)/D83)+((D61*E61)/D83)+((D70*E70)/D83),0)</f>
        <v>0.16682268284689883</v>
      </c>
      <c r="F83" s="252">
        <f>F12+F20+F29+F37+F45+F53+F61+F70</f>
        <v>3190462146</v>
      </c>
      <c r="G83" s="295">
        <f>IFERROR(((F12*G12)/F83)+((F20*G20)/F83)+((F29*G29)/F83)+((F37*G37)/F83)+((F45*G45)/F83)+((F53*G53)/F83)+((F61*G61)/F83)+((F70*G70)/F83),0)</f>
        <v>8.6686839622623871E-2</v>
      </c>
      <c r="H83" s="252">
        <f t="shared" si="31"/>
        <v>6772953254</v>
      </c>
      <c r="I83" s="252">
        <f t="shared" si="31"/>
        <v>0</v>
      </c>
      <c r="J83" s="252">
        <f t="shared" si="31"/>
        <v>182126</v>
      </c>
      <c r="K83" s="252">
        <f t="shared" si="31"/>
        <v>0</v>
      </c>
      <c r="L83" s="252">
        <f t="shared" si="31"/>
        <v>0</v>
      </c>
      <c r="M83" s="252">
        <f t="shared" si="31"/>
        <v>432085298</v>
      </c>
      <c r="N83" s="252">
        <f t="shared" si="31"/>
        <v>196942</v>
      </c>
      <c r="O83" s="252">
        <f t="shared" si="31"/>
        <v>5060616666</v>
      </c>
      <c r="P83" s="252">
        <f t="shared" si="31"/>
        <v>741606557</v>
      </c>
      <c r="Q83" s="252">
        <f t="shared" si="31"/>
        <v>4319010109</v>
      </c>
      <c r="R83" s="252">
        <f t="shared" si="31"/>
        <v>11751716</v>
      </c>
      <c r="S83" s="252">
        <f t="shared" si="31"/>
        <v>0</v>
      </c>
      <c r="T83" s="252">
        <f t="shared" si="31"/>
        <v>0</v>
      </c>
      <c r="U83" s="252">
        <f t="shared" si="31"/>
        <v>47147485</v>
      </c>
      <c r="V83" s="252">
        <f t="shared" si="31"/>
        <v>199646235</v>
      </c>
      <c r="W83" s="252">
        <f t="shared" si="31"/>
        <v>811515453</v>
      </c>
      <c r="X83" s="252">
        <f t="shared" si="31"/>
        <v>23389108</v>
      </c>
      <c r="Y83" s="252">
        <f t="shared" si="31"/>
        <v>186422225</v>
      </c>
      <c r="AB83" s="532"/>
    </row>
    <row r="84" spans="1:28" s="519" customFormat="1" ht="15.75" customHeight="1">
      <c r="A84" s="534">
        <f t="shared" si="28"/>
        <v>670</v>
      </c>
      <c r="B84" s="535" t="s">
        <v>127</v>
      </c>
      <c r="C84" s="252">
        <f t="shared" si="30"/>
        <v>261233028</v>
      </c>
      <c r="D84" s="252">
        <f t="shared" ref="D84:F84" si="32">D21</f>
        <v>183647166</v>
      </c>
      <c r="E84" s="295">
        <f>IFERROR(E21,0)</f>
        <v>0.17259636326961872</v>
      </c>
      <c r="F84" s="252">
        <f t="shared" si="32"/>
        <v>77585862</v>
      </c>
      <c r="G84" s="295">
        <f>IFERROR(G21,0)</f>
        <v>5.8612515737677937E-2</v>
      </c>
      <c r="H84" s="252">
        <f>H21</f>
        <v>261233028</v>
      </c>
      <c r="I84" s="252">
        <f>I21</f>
        <v>0</v>
      </c>
      <c r="J84" s="252">
        <f>J21</f>
        <v>0</v>
      </c>
      <c r="K84" s="252">
        <f t="shared" ref="K84:X84" si="33">K21</f>
        <v>0</v>
      </c>
      <c r="L84" s="252">
        <f>L21</f>
        <v>0</v>
      </c>
      <c r="M84" s="252">
        <f t="shared" si="33"/>
        <v>18195003</v>
      </c>
      <c r="N84" s="252">
        <f t="shared" si="33"/>
        <v>0</v>
      </c>
      <c r="O84" s="252">
        <f t="shared" si="33"/>
        <v>238623096</v>
      </c>
      <c r="P84" s="252">
        <f t="shared" si="33"/>
        <v>18218837</v>
      </c>
      <c r="Q84" s="252">
        <f t="shared" si="33"/>
        <v>220404259</v>
      </c>
      <c r="R84" s="252">
        <f t="shared" si="33"/>
        <v>689586</v>
      </c>
      <c r="S84" s="252">
        <f t="shared" si="33"/>
        <v>0</v>
      </c>
      <c r="T84" s="252">
        <f t="shared" si="33"/>
        <v>0</v>
      </c>
      <c r="U84" s="252">
        <f t="shared" si="33"/>
        <v>254467</v>
      </c>
      <c r="V84" s="252">
        <f t="shared" si="33"/>
        <v>2962803</v>
      </c>
      <c r="W84" s="252">
        <f t="shared" si="33"/>
        <v>508073</v>
      </c>
      <c r="X84" s="252">
        <f t="shared" si="33"/>
        <v>0</v>
      </c>
      <c r="Y84" s="252">
        <f>Y21</f>
        <v>0</v>
      </c>
      <c r="AB84" s="532"/>
    </row>
    <row r="85" spans="1:28" s="519" customFormat="1" ht="15.75" customHeight="1">
      <c r="A85" s="534">
        <f t="shared" si="28"/>
        <v>680</v>
      </c>
      <c r="B85" s="535" t="s">
        <v>141</v>
      </c>
      <c r="C85" s="252">
        <f t="shared" si="30"/>
        <v>0</v>
      </c>
      <c r="D85" s="252">
        <f t="shared" ref="D85:G85" si="34">D72</f>
        <v>0</v>
      </c>
      <c r="E85" s="295">
        <f t="shared" si="34"/>
        <v>0</v>
      </c>
      <c r="F85" s="252">
        <f t="shared" si="34"/>
        <v>0</v>
      </c>
      <c r="G85" s="295">
        <f t="shared" si="34"/>
        <v>0</v>
      </c>
      <c r="H85" s="252">
        <f>H72</f>
        <v>0</v>
      </c>
      <c r="I85" s="252">
        <f>I72</f>
        <v>0</v>
      </c>
      <c r="J85" s="252">
        <f>J72</f>
        <v>0</v>
      </c>
      <c r="K85" s="252">
        <f t="shared" ref="K85:X85" si="35">K72</f>
        <v>0</v>
      </c>
      <c r="L85" s="252">
        <f>L72</f>
        <v>0</v>
      </c>
      <c r="M85" s="252">
        <f t="shared" si="35"/>
        <v>0</v>
      </c>
      <c r="N85" s="252">
        <f t="shared" si="35"/>
        <v>0</v>
      </c>
      <c r="O85" s="252">
        <f t="shared" si="35"/>
        <v>0</v>
      </c>
      <c r="P85" s="252">
        <f t="shared" si="35"/>
        <v>0</v>
      </c>
      <c r="Q85" s="252">
        <f t="shared" si="35"/>
        <v>0</v>
      </c>
      <c r="R85" s="252">
        <f t="shared" si="35"/>
        <v>0</v>
      </c>
      <c r="S85" s="252">
        <f t="shared" si="35"/>
        <v>0</v>
      </c>
      <c r="T85" s="252">
        <f t="shared" si="35"/>
        <v>0</v>
      </c>
      <c r="U85" s="252">
        <f t="shared" si="35"/>
        <v>0</v>
      </c>
      <c r="V85" s="252">
        <f t="shared" si="35"/>
        <v>0</v>
      </c>
      <c r="W85" s="252">
        <f t="shared" si="35"/>
        <v>0</v>
      </c>
      <c r="X85" s="252">
        <f t="shared" si="35"/>
        <v>0</v>
      </c>
      <c r="Y85" s="252">
        <f>Y72</f>
        <v>0</v>
      </c>
      <c r="AB85" s="532"/>
    </row>
    <row r="86" spans="1:28" s="519" customFormat="1" ht="15.75" customHeight="1">
      <c r="A86" s="534">
        <f t="shared" si="28"/>
        <v>690</v>
      </c>
      <c r="B86" s="535" t="s">
        <v>140</v>
      </c>
      <c r="C86" s="252">
        <f t="shared" si="30"/>
        <v>0</v>
      </c>
      <c r="D86" s="252">
        <f t="shared" ref="D86:G86" si="36">D71</f>
        <v>0</v>
      </c>
      <c r="E86" s="295">
        <f t="shared" si="36"/>
        <v>0</v>
      </c>
      <c r="F86" s="252">
        <f t="shared" si="36"/>
        <v>0</v>
      </c>
      <c r="G86" s="295">
        <f t="shared" si="36"/>
        <v>0</v>
      </c>
      <c r="H86" s="252">
        <f>H71</f>
        <v>0</v>
      </c>
      <c r="I86" s="252">
        <f>I71</f>
        <v>0</v>
      </c>
      <c r="J86" s="252">
        <f>J71</f>
        <v>0</v>
      </c>
      <c r="K86" s="252">
        <f t="shared" ref="K86:Y86" si="37">K71</f>
        <v>0</v>
      </c>
      <c r="L86" s="252">
        <f>L71</f>
        <v>0</v>
      </c>
      <c r="M86" s="252">
        <f t="shared" si="37"/>
        <v>0</v>
      </c>
      <c r="N86" s="252">
        <f t="shared" si="37"/>
        <v>0</v>
      </c>
      <c r="O86" s="252">
        <f t="shared" si="37"/>
        <v>0</v>
      </c>
      <c r="P86" s="252">
        <f t="shared" si="37"/>
        <v>0</v>
      </c>
      <c r="Q86" s="252">
        <f t="shared" si="37"/>
        <v>0</v>
      </c>
      <c r="R86" s="252">
        <f t="shared" si="37"/>
        <v>0</v>
      </c>
      <c r="S86" s="252">
        <f t="shared" si="37"/>
        <v>0</v>
      </c>
      <c r="T86" s="252">
        <f t="shared" si="37"/>
        <v>0</v>
      </c>
      <c r="U86" s="252">
        <f t="shared" si="37"/>
        <v>0</v>
      </c>
      <c r="V86" s="252">
        <f t="shared" si="37"/>
        <v>0</v>
      </c>
      <c r="W86" s="252">
        <f t="shared" si="37"/>
        <v>0</v>
      </c>
      <c r="X86" s="252">
        <f t="shared" si="37"/>
        <v>0</v>
      </c>
      <c r="Y86" s="252">
        <f t="shared" si="37"/>
        <v>0</v>
      </c>
      <c r="AB86" s="532"/>
    </row>
    <row r="87" spans="1:28" s="519" customFormat="1" ht="15.75" customHeight="1">
      <c r="A87" s="534">
        <f t="shared" si="28"/>
        <v>700</v>
      </c>
      <c r="B87" s="535" t="s">
        <v>123</v>
      </c>
      <c r="C87" s="252">
        <f t="shared" si="30"/>
        <v>0</v>
      </c>
      <c r="D87" s="252">
        <f>D13+D22+D30+D38+D46+D54+D62+D73</f>
        <v>0</v>
      </c>
      <c r="E87" s="295">
        <f>IFERROR(((D13*E13)/D87)+((D22*E22)/D87)+((D30*E30)/D87)+((D38*E38)/D87)+((D46*E46)/D87)+((D54*E54)/D87)+((D62*E62)/D87)+((D73*E73)/D87),0)</f>
        <v>0</v>
      </c>
      <c r="F87" s="252">
        <f>F13+F22+F30+F38+F46+F54+F62+F73</f>
        <v>0</v>
      </c>
      <c r="G87" s="295">
        <f>IFERROR(((F13*G13)/F87)+((F22*G22)/F87)+((F30*G30)/F87)+((F38*G38)/F87)+((F46*G46)/F87)+((F54*G54)/F87)+((F62*G62)/F87)+((F73*G73)/F87),0)</f>
        <v>0</v>
      </c>
      <c r="H87" s="252">
        <f t="shared" ref="H87:Y87" si="38">H13+H22+H30+H38+H46+H54+H62+H73</f>
        <v>0</v>
      </c>
      <c r="I87" s="252">
        <f t="shared" si="38"/>
        <v>0</v>
      </c>
      <c r="J87" s="252">
        <f t="shared" si="38"/>
        <v>0</v>
      </c>
      <c r="K87" s="252">
        <f t="shared" si="38"/>
        <v>0</v>
      </c>
      <c r="L87" s="252">
        <f t="shared" si="38"/>
        <v>0</v>
      </c>
      <c r="M87" s="252">
        <f t="shared" si="38"/>
        <v>0</v>
      </c>
      <c r="N87" s="252">
        <f t="shared" si="38"/>
        <v>0</v>
      </c>
      <c r="O87" s="252">
        <f t="shared" si="38"/>
        <v>0</v>
      </c>
      <c r="P87" s="252">
        <f t="shared" si="38"/>
        <v>0</v>
      </c>
      <c r="Q87" s="252">
        <f t="shared" si="38"/>
        <v>0</v>
      </c>
      <c r="R87" s="252">
        <f t="shared" si="38"/>
        <v>0</v>
      </c>
      <c r="S87" s="252">
        <f t="shared" si="38"/>
        <v>0</v>
      </c>
      <c r="T87" s="252">
        <f t="shared" si="38"/>
        <v>0</v>
      </c>
      <c r="U87" s="252">
        <f t="shared" si="38"/>
        <v>0</v>
      </c>
      <c r="V87" s="252">
        <f t="shared" si="38"/>
        <v>0</v>
      </c>
      <c r="W87" s="252">
        <f t="shared" si="38"/>
        <v>0</v>
      </c>
      <c r="X87" s="252">
        <f t="shared" si="38"/>
        <v>0</v>
      </c>
      <c r="Y87" s="252">
        <f t="shared" si="38"/>
        <v>0</v>
      </c>
      <c r="AB87" s="532"/>
    </row>
    <row r="88" spans="1:28" s="519" customFormat="1" ht="15.75" customHeight="1">
      <c r="A88" s="534">
        <f t="shared" si="28"/>
        <v>710</v>
      </c>
      <c r="B88" s="535" t="s">
        <v>142</v>
      </c>
      <c r="C88" s="252">
        <f t="shared" si="30"/>
        <v>0</v>
      </c>
      <c r="D88" s="252">
        <f t="shared" ref="D88:I90" si="39">D74</f>
        <v>0</v>
      </c>
      <c r="E88" s="295">
        <f t="shared" si="39"/>
        <v>0</v>
      </c>
      <c r="F88" s="252">
        <f t="shared" si="39"/>
        <v>0</v>
      </c>
      <c r="G88" s="295">
        <f t="shared" si="39"/>
        <v>0</v>
      </c>
      <c r="H88" s="252">
        <f t="shared" si="39"/>
        <v>0</v>
      </c>
      <c r="I88" s="252">
        <f t="shared" si="39"/>
        <v>0</v>
      </c>
      <c r="J88" s="252">
        <f>J74</f>
        <v>0</v>
      </c>
      <c r="K88" s="252">
        <f t="shared" ref="K88:Y90" si="40">K74</f>
        <v>0</v>
      </c>
      <c r="L88" s="252">
        <f>L74</f>
        <v>0</v>
      </c>
      <c r="M88" s="252">
        <f t="shared" si="40"/>
        <v>0</v>
      </c>
      <c r="N88" s="252">
        <f t="shared" si="40"/>
        <v>0</v>
      </c>
      <c r="O88" s="252">
        <f t="shared" si="40"/>
        <v>0</v>
      </c>
      <c r="P88" s="252">
        <f t="shared" si="40"/>
        <v>0</v>
      </c>
      <c r="Q88" s="252">
        <f t="shared" si="40"/>
        <v>0</v>
      </c>
      <c r="R88" s="252">
        <f t="shared" si="40"/>
        <v>0</v>
      </c>
      <c r="S88" s="252">
        <f t="shared" si="40"/>
        <v>0</v>
      </c>
      <c r="T88" s="252">
        <f t="shared" si="40"/>
        <v>0</v>
      </c>
      <c r="U88" s="252">
        <f t="shared" si="40"/>
        <v>0</v>
      </c>
      <c r="V88" s="252">
        <f t="shared" si="40"/>
        <v>0</v>
      </c>
      <c r="W88" s="252">
        <f t="shared" si="40"/>
        <v>0</v>
      </c>
      <c r="X88" s="252">
        <f t="shared" si="40"/>
        <v>0</v>
      </c>
      <c r="Y88" s="252">
        <f t="shared" si="40"/>
        <v>0</v>
      </c>
      <c r="AB88" s="532"/>
    </row>
    <row r="89" spans="1:28" s="519" customFormat="1" ht="15.75" customHeight="1">
      <c r="A89" s="534">
        <f t="shared" si="28"/>
        <v>720</v>
      </c>
      <c r="B89" s="535" t="s">
        <v>143</v>
      </c>
      <c r="C89" s="252">
        <f>SUM(J89:Y89)-L89-P89-Q89</f>
        <v>3603902</v>
      </c>
      <c r="D89" s="252">
        <f>+D63+D75</f>
        <v>2793328</v>
      </c>
      <c r="E89" s="295">
        <f>IFERROR(((D75*E75)/D78)+((D63*E63)/D65),0)</f>
        <v>5.3605804458320763E-2</v>
      </c>
      <c r="F89" s="252">
        <f>+F63+F75</f>
        <v>810574</v>
      </c>
      <c r="G89" s="295">
        <f>IFERROR(((F75*G75)/F78)+((F63*G63)/F65),0)</f>
        <v>0</v>
      </c>
      <c r="H89" s="252">
        <f t="shared" ref="H89:Y89" si="41">+H63+H75</f>
        <v>3603902</v>
      </c>
      <c r="I89" s="252">
        <f t="shared" si="41"/>
        <v>0</v>
      </c>
      <c r="J89" s="252">
        <f t="shared" si="41"/>
        <v>0</v>
      </c>
      <c r="K89" s="252">
        <f t="shared" si="41"/>
        <v>0</v>
      </c>
      <c r="L89" s="252">
        <f t="shared" si="41"/>
        <v>0</v>
      </c>
      <c r="M89" s="252">
        <f t="shared" si="41"/>
        <v>18876</v>
      </c>
      <c r="N89" s="252">
        <f t="shared" si="41"/>
        <v>0</v>
      </c>
      <c r="O89" s="252">
        <f t="shared" si="41"/>
        <v>2754731</v>
      </c>
      <c r="P89" s="252">
        <f t="shared" si="41"/>
        <v>0</v>
      </c>
      <c r="Q89" s="252">
        <f t="shared" si="41"/>
        <v>2754731</v>
      </c>
      <c r="R89" s="252">
        <f t="shared" si="41"/>
        <v>0</v>
      </c>
      <c r="S89" s="252">
        <f t="shared" si="41"/>
        <v>0</v>
      </c>
      <c r="T89" s="252">
        <f t="shared" si="41"/>
        <v>0</v>
      </c>
      <c r="U89" s="252">
        <f t="shared" si="41"/>
        <v>514718</v>
      </c>
      <c r="V89" s="252">
        <f t="shared" si="41"/>
        <v>34574</v>
      </c>
      <c r="W89" s="252">
        <f t="shared" si="41"/>
        <v>281003</v>
      </c>
      <c r="X89" s="252">
        <f t="shared" si="41"/>
        <v>0</v>
      </c>
      <c r="Y89" s="252">
        <f t="shared" si="41"/>
        <v>0</v>
      </c>
      <c r="AB89" s="532"/>
    </row>
    <row r="90" spans="1:28" s="519" customFormat="1" ht="15.75" customHeight="1">
      <c r="A90" s="534">
        <f t="shared" si="28"/>
        <v>730</v>
      </c>
      <c r="B90" s="535" t="s">
        <v>144</v>
      </c>
      <c r="C90" s="252">
        <f t="shared" si="30"/>
        <v>0</v>
      </c>
      <c r="D90" s="252">
        <f t="shared" ref="D90:F90" si="42">D76</f>
        <v>0</v>
      </c>
      <c r="E90" s="295">
        <f t="shared" si="39"/>
        <v>0</v>
      </c>
      <c r="F90" s="252">
        <f t="shared" si="42"/>
        <v>0</v>
      </c>
      <c r="G90" s="295">
        <f t="shared" si="39"/>
        <v>0</v>
      </c>
      <c r="H90" s="252">
        <f t="shared" si="39"/>
        <v>0</v>
      </c>
      <c r="I90" s="252">
        <f t="shared" si="39"/>
        <v>0</v>
      </c>
      <c r="J90" s="252">
        <f>J76</f>
        <v>0</v>
      </c>
      <c r="K90" s="252">
        <f t="shared" si="40"/>
        <v>0</v>
      </c>
      <c r="L90" s="252">
        <f>L76</f>
        <v>0</v>
      </c>
      <c r="M90" s="252">
        <f t="shared" si="40"/>
        <v>0</v>
      </c>
      <c r="N90" s="252">
        <f t="shared" si="40"/>
        <v>0</v>
      </c>
      <c r="O90" s="252">
        <f t="shared" si="40"/>
        <v>0</v>
      </c>
      <c r="P90" s="252">
        <f t="shared" si="40"/>
        <v>0</v>
      </c>
      <c r="Q90" s="252">
        <f t="shared" si="40"/>
        <v>0</v>
      </c>
      <c r="R90" s="252">
        <f t="shared" si="40"/>
        <v>0</v>
      </c>
      <c r="S90" s="252">
        <f t="shared" si="40"/>
        <v>0</v>
      </c>
      <c r="T90" s="252">
        <f t="shared" si="40"/>
        <v>0</v>
      </c>
      <c r="U90" s="252">
        <f t="shared" si="40"/>
        <v>0</v>
      </c>
      <c r="V90" s="252">
        <f t="shared" si="40"/>
        <v>0</v>
      </c>
      <c r="W90" s="252">
        <f t="shared" si="40"/>
        <v>0</v>
      </c>
      <c r="X90" s="252">
        <f t="shared" si="40"/>
        <v>0</v>
      </c>
      <c r="Y90" s="252">
        <f t="shared" si="40"/>
        <v>0</v>
      </c>
      <c r="AB90" s="532"/>
    </row>
    <row r="91" spans="1:28" s="519" customFormat="1" ht="15.75" customHeight="1">
      <c r="A91" s="534">
        <f>A90+10</f>
        <v>740</v>
      </c>
      <c r="B91" s="535" t="s">
        <v>124</v>
      </c>
      <c r="C91" s="252">
        <f t="shared" si="30"/>
        <v>21091</v>
      </c>
      <c r="D91" s="252">
        <f>D14+D23+D31+D39+D47+D55+D64+D77</f>
        <v>21091</v>
      </c>
      <c r="E91" s="295">
        <f>IFERROR(((D14*E14)/D91)+((D23*E23)/D91)+((D31*E31)/D91)+((D39*E39)/D91)+((D47*E47)/D91)+((D55*E55)/D91)+((D64*E64)/D91)+((D77*E77)/D91),0)</f>
        <v>0.14000000000000001</v>
      </c>
      <c r="F91" s="252">
        <f>F14+F23+F31+F39+F47+F55+F64+F77</f>
        <v>0</v>
      </c>
      <c r="G91" s="295">
        <f>IFERROR(((F14*G14)/F91)+((F23*G23)/F91)+((F31*G31)/F91)+((F39*G39)/F91)+((F47*G47)/F91)+((F55*G55)/F91)+((F64*G64)/F91)+((F77*G77)/F91),0)</f>
        <v>0</v>
      </c>
      <c r="H91" s="252">
        <f t="shared" ref="H91:Y91" si="43">H14+H23+H31+H39+H47+H55+H64+H77</f>
        <v>21091</v>
      </c>
      <c r="I91" s="252">
        <f t="shared" si="43"/>
        <v>0</v>
      </c>
      <c r="J91" s="252">
        <f t="shared" si="43"/>
        <v>0</v>
      </c>
      <c r="K91" s="252">
        <f t="shared" si="43"/>
        <v>0</v>
      </c>
      <c r="L91" s="252">
        <f t="shared" si="43"/>
        <v>0</v>
      </c>
      <c r="M91" s="252">
        <f t="shared" si="43"/>
        <v>0</v>
      </c>
      <c r="N91" s="252">
        <f t="shared" si="43"/>
        <v>0</v>
      </c>
      <c r="O91" s="252">
        <f t="shared" si="43"/>
        <v>0</v>
      </c>
      <c r="P91" s="252">
        <f t="shared" si="43"/>
        <v>0</v>
      </c>
      <c r="Q91" s="252">
        <f t="shared" si="43"/>
        <v>0</v>
      </c>
      <c r="R91" s="252">
        <f t="shared" si="43"/>
        <v>0</v>
      </c>
      <c r="S91" s="252">
        <f t="shared" si="43"/>
        <v>0</v>
      </c>
      <c r="T91" s="252">
        <f t="shared" si="43"/>
        <v>0</v>
      </c>
      <c r="U91" s="252">
        <f t="shared" si="43"/>
        <v>0</v>
      </c>
      <c r="V91" s="252">
        <f t="shared" si="43"/>
        <v>0</v>
      </c>
      <c r="W91" s="252">
        <f t="shared" si="43"/>
        <v>21091</v>
      </c>
      <c r="X91" s="252">
        <f t="shared" si="43"/>
        <v>0</v>
      </c>
      <c r="Y91" s="252">
        <f t="shared" si="43"/>
        <v>0</v>
      </c>
      <c r="AB91" s="532"/>
    </row>
    <row r="92" spans="1:28" s="519" customFormat="1" ht="15.75" customHeight="1">
      <c r="A92" s="520">
        <f t="shared" si="28"/>
        <v>750</v>
      </c>
      <c r="B92" s="538" t="s">
        <v>147</v>
      </c>
      <c r="C92" s="254">
        <f t="shared" si="30"/>
        <v>10815884011</v>
      </c>
      <c r="D92" s="254">
        <f>SUM(D80:D91)</f>
        <v>7204289323</v>
      </c>
      <c r="E92" s="294">
        <f>IFERROR(((D80*E80)/D92)+((D81*E81)/D92)+((D82*E82)/D92)+((D83*E83)/D92)+((D84*E84)/D92)+((D85*E85)/D92)+((D86*E86)/D92)+((D87*E87)/D92)+((D88*E88)/D92)+((D89*E89)/D92)+((D90*E90)/D92)+((D91*E91)/D92),0)</f>
        <v>0.16131418219519655</v>
      </c>
      <c r="F92" s="254">
        <f>SUM(F80:F91)</f>
        <v>3611594688</v>
      </c>
      <c r="G92" s="294">
        <f>IFERROR(((F80*G80)/F92)+((F81*G81)/F92)+((F82*G82)/F92)+((F83*G83)/F92)+((F84*G84)/F92)+((F85*G85)/F92)+((F86*G86)/F92)+((F87*G87)/F92)+((F88*G88)/F92)+((F89*G89)/F92)+((F90*G90)/F92)+((F91*G91)/F92),0)</f>
        <v>8.5580915459853912E-2</v>
      </c>
      <c r="H92" s="254">
        <f t="shared" ref="H92:Y92" si="44">SUM(H80:H91)</f>
        <v>10815884011</v>
      </c>
      <c r="I92" s="254">
        <f t="shared" si="44"/>
        <v>0</v>
      </c>
      <c r="J92" s="254">
        <f t="shared" si="44"/>
        <v>182126</v>
      </c>
      <c r="K92" s="254">
        <f t="shared" si="44"/>
        <v>0</v>
      </c>
      <c r="L92" s="254">
        <f t="shared" si="44"/>
        <v>0</v>
      </c>
      <c r="M92" s="254">
        <f t="shared" si="44"/>
        <v>542535631</v>
      </c>
      <c r="N92" s="254">
        <f t="shared" si="44"/>
        <v>196942</v>
      </c>
      <c r="O92" s="254">
        <f t="shared" si="44"/>
        <v>6221055785</v>
      </c>
      <c r="P92" s="254">
        <f t="shared" si="44"/>
        <v>1339716916</v>
      </c>
      <c r="Q92" s="254">
        <f t="shared" si="44"/>
        <v>4881338869</v>
      </c>
      <c r="R92" s="254">
        <f t="shared" si="44"/>
        <v>21916949</v>
      </c>
      <c r="S92" s="254">
        <f t="shared" si="44"/>
        <v>0</v>
      </c>
      <c r="T92" s="254">
        <f t="shared" si="44"/>
        <v>0</v>
      </c>
      <c r="U92" s="254">
        <f t="shared" si="44"/>
        <v>51750004</v>
      </c>
      <c r="V92" s="254">
        <f t="shared" si="44"/>
        <v>698356950</v>
      </c>
      <c r="W92" s="254">
        <f t="shared" si="44"/>
        <v>2901152093</v>
      </c>
      <c r="X92" s="254">
        <f t="shared" si="44"/>
        <v>53420488</v>
      </c>
      <c r="Y92" s="254">
        <f t="shared" si="44"/>
        <v>325317043</v>
      </c>
      <c r="AB92" s="532"/>
    </row>
    <row r="93" spans="1:28">
      <c r="A93" s="540"/>
      <c r="B93" s="540"/>
      <c r="C93" s="540"/>
      <c r="D93" s="540"/>
      <c r="E93" s="540"/>
      <c r="F93" s="540"/>
      <c r="G93" s="540"/>
      <c r="H93" s="540"/>
      <c r="I93" s="540"/>
      <c r="J93" s="540"/>
      <c r="K93" s="540"/>
      <c r="L93" s="540"/>
      <c r="M93" s="540"/>
      <c r="N93" s="540"/>
      <c r="O93" s="540"/>
      <c r="P93" s="540"/>
      <c r="Q93" s="540"/>
      <c r="R93" s="540"/>
      <c r="S93" s="540"/>
      <c r="T93" s="540"/>
      <c r="U93" s="540"/>
      <c r="V93" s="540"/>
      <c r="W93" s="540"/>
      <c r="X93" s="540"/>
      <c r="Y93" s="540"/>
    </row>
    <row r="94" spans="1:28">
      <c r="A94" s="540"/>
      <c r="B94" s="540"/>
      <c r="C94" s="540"/>
      <c r="D94" s="540"/>
      <c r="E94" s="540"/>
      <c r="F94" s="540"/>
      <c r="G94" s="540"/>
      <c r="H94" s="540"/>
      <c r="I94" s="540"/>
      <c r="J94" s="540"/>
      <c r="K94" s="540"/>
      <c r="L94" s="540"/>
      <c r="M94" s="540"/>
      <c r="N94" s="540"/>
      <c r="O94" s="540"/>
      <c r="P94" s="540"/>
      <c r="Q94" s="540"/>
      <c r="R94" s="540"/>
      <c r="S94" s="540"/>
      <c r="T94" s="540"/>
      <c r="U94" s="540"/>
      <c r="V94" s="540"/>
      <c r="W94" s="540"/>
      <c r="X94" s="540"/>
      <c r="Y94" s="540"/>
    </row>
    <row r="95" spans="1:28">
      <c r="B95" s="10" t="s">
        <v>0</v>
      </c>
      <c r="H95" s="541"/>
      <c r="I95" s="541"/>
      <c r="J95" s="540"/>
      <c r="K95" s="540"/>
      <c r="L95" s="540"/>
      <c r="M95" s="540"/>
      <c r="N95" s="540"/>
      <c r="O95" s="540"/>
      <c r="P95" s="540"/>
      <c r="Q95" s="540"/>
      <c r="R95" s="540"/>
      <c r="S95" s="540"/>
      <c r="T95" s="540"/>
      <c r="U95" s="540"/>
      <c r="V95" s="540"/>
      <c r="W95" s="540"/>
      <c r="X95" s="540"/>
      <c r="Y95" s="540"/>
    </row>
    <row r="96" spans="1:28">
      <c r="B96" s="10"/>
      <c r="C96" s="541"/>
      <c r="D96" s="541"/>
      <c r="E96" s="541"/>
      <c r="F96" s="541"/>
      <c r="G96" s="541"/>
      <c r="H96" s="541"/>
      <c r="I96" s="541"/>
      <c r="J96" s="540"/>
      <c r="K96" s="540"/>
      <c r="L96" s="540"/>
      <c r="M96" s="540"/>
      <c r="N96" s="540"/>
      <c r="O96" s="540"/>
      <c r="P96" s="540"/>
      <c r="Q96" s="540"/>
      <c r="R96" s="540"/>
      <c r="S96" s="540"/>
      <c r="T96" s="540"/>
      <c r="U96" s="540"/>
      <c r="V96" s="540"/>
      <c r="W96" s="540"/>
      <c r="X96" s="540"/>
      <c r="Y96" s="540"/>
    </row>
    <row r="97" spans="2:9">
      <c r="B97" s="10" t="s">
        <v>1</v>
      </c>
      <c r="C97" s="542"/>
      <c r="D97" s="543"/>
      <c r="E97" s="543"/>
      <c r="F97" s="543"/>
      <c r="G97" s="543"/>
      <c r="H97" s="543"/>
      <c r="I97" s="543"/>
    </row>
    <row r="98" spans="2:9">
      <c r="C98" s="542"/>
      <c r="D98" s="543"/>
      <c r="E98" s="543"/>
      <c r="F98" s="543"/>
      <c r="G98" s="543"/>
      <c r="H98" s="543"/>
      <c r="I98" s="543"/>
    </row>
    <row r="99" spans="2:9">
      <c r="C99" s="542">
        <f>+[8]Balance!$C$24</f>
        <v>10815884011</v>
      </c>
      <c r="D99" s="542"/>
      <c r="E99" s="542"/>
      <c r="F99" s="542"/>
      <c r="G99" s="542"/>
      <c r="H99" s="543"/>
      <c r="I99" s="543"/>
    </row>
    <row r="100" spans="2:9">
      <c r="C100" s="542">
        <f>+C92-C99</f>
        <v>0</v>
      </c>
      <c r="D100" s="543"/>
      <c r="E100" s="543"/>
      <c r="F100" s="543"/>
      <c r="G100" s="543"/>
      <c r="H100" s="543"/>
      <c r="I100" s="543"/>
    </row>
    <row r="101" spans="2:9">
      <c r="C101" s="542"/>
    </row>
    <row r="102" spans="2:9">
      <c r="C102" s="544"/>
    </row>
  </sheetData>
  <sheetProtection sheet="1" objects="1" scenarios="1"/>
  <mergeCells count="28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</mergeCells>
  <phoneticPr fontId="27" type="noConversion"/>
  <conditionalFormatting sqref="C92">
    <cfRule type="cellIs" dxfId="263" priority="321" stopIfTrue="1" operator="notEqual">
      <formula>H92+I92</formula>
    </cfRule>
    <cfRule type="cellIs" dxfId="262" priority="322" stopIfTrue="1" operator="notEqual">
      <formula>$C$99</formula>
    </cfRule>
  </conditionalFormatting>
  <conditionalFormatting sqref="C50:C55 C42:C47 C34:C39 C26:C31 C17:C23 C9:C14 C80:C91 C67:C77 C58:C64">
    <cfRule type="cellIs" dxfId="261" priority="151" operator="notEqual">
      <formula>D9+F9</formula>
    </cfRule>
    <cfRule type="cellIs" dxfId="260" priority="154" stopIfTrue="1" operator="notEqual">
      <formula>H9+$I9</formula>
    </cfRule>
  </conditionalFormatting>
  <conditionalFormatting sqref="C10:C14">
    <cfRule type="cellIs" dxfId="259" priority="152" operator="notEqual">
      <formula>H10+$I10</formula>
    </cfRule>
  </conditionalFormatting>
  <conditionalFormatting sqref="C9">
    <cfRule type="cellIs" dxfId="258" priority="6" operator="notEqual">
      <formula>D9+F9</formula>
    </cfRule>
    <cfRule type="cellIs" dxfId="257" priority="7" stopIfTrue="1" operator="notEqual">
      <formula>H9+$I9</formula>
    </cfRule>
  </conditionalFormatting>
  <conditionalFormatting sqref="C92">
    <cfRule type="cellIs" dxfId="256" priority="4" stopIfTrue="1" operator="notEqual">
      <formula>H92+I92</formula>
    </cfRule>
    <cfRule type="cellIs" dxfId="255" priority="5" stopIfTrue="1" operator="notEqual">
      <formula>C99</formula>
    </cfRule>
  </conditionalFormatting>
  <conditionalFormatting sqref="C50:C55 C42:C47 C34:C39 C26:C31 C17:C23 C9:C14 C80:C91 C67:C77 C58:C64">
    <cfRule type="cellIs" dxfId="254" priority="2" operator="notEqual">
      <formula>D9+F9</formula>
    </cfRule>
    <cfRule type="cellIs" dxfId="253" priority="3" stopIfTrue="1" operator="notEqual">
      <formula>H9+$I9</formula>
    </cfRule>
  </conditionalFormatting>
  <conditionalFormatting sqref="C10:C14">
    <cfRule type="cellIs" dxfId="252" priority="1" operator="notEqual">
      <formula>H10+$I10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3:H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Z39"/>
  <sheetViews>
    <sheetView topLeftCell="A7" zoomScale="70" zoomScaleNormal="70" zoomScaleSheetLayoutView="75" workbookViewId="0">
      <selection activeCell="C12" sqref="C12"/>
    </sheetView>
  </sheetViews>
  <sheetFormatPr defaultRowHeight="15"/>
  <cols>
    <col min="1" max="1" width="5" style="23" customWidth="1"/>
    <col min="2" max="2" width="48.140625" style="23" customWidth="1"/>
    <col min="3" max="3" width="19.140625" style="23" customWidth="1"/>
    <col min="4" max="4" width="7.140625" style="23" customWidth="1"/>
    <col min="5" max="5" width="19.5703125" style="23" customWidth="1"/>
    <col min="6" max="6" width="8.5703125" style="23" customWidth="1"/>
    <col min="7" max="7" width="21.85546875" style="23" customWidth="1"/>
    <col min="8" max="8" width="7.140625" style="23" customWidth="1"/>
    <col min="9" max="10" width="15.42578125" style="23" customWidth="1"/>
    <col min="11" max="11" width="8.7109375" style="23" customWidth="1"/>
    <col min="12" max="25" width="13.140625" style="23" customWidth="1"/>
    <col min="26" max="26" width="14.28515625" style="239" bestFit="1" customWidth="1"/>
    <col min="27" max="16384" width="9.140625" style="23"/>
  </cols>
  <sheetData>
    <row r="1" spans="1:26" s="274" customFormat="1" ht="36.75" customHeight="1">
      <c r="A1" s="269" t="s">
        <v>695</v>
      </c>
      <c r="B1" s="270"/>
      <c r="C1" s="270"/>
      <c r="D1" s="270"/>
      <c r="E1" s="270"/>
      <c r="F1" s="270"/>
      <c r="G1" s="270"/>
      <c r="H1" s="270"/>
      <c r="I1" s="269"/>
      <c r="J1" s="269"/>
      <c r="K1" s="269"/>
      <c r="L1" s="269"/>
      <c r="M1" s="269"/>
      <c r="N1" s="269"/>
      <c r="O1" s="269"/>
      <c r="P1" s="269"/>
      <c r="Q1" s="269"/>
      <c r="R1" s="270"/>
      <c r="S1" s="270"/>
      <c r="T1" s="270"/>
      <c r="U1" s="270"/>
      <c r="V1" s="271"/>
      <c r="W1" s="272"/>
      <c r="X1" s="261" t="s">
        <v>594</v>
      </c>
      <c r="Y1" s="270"/>
      <c r="Z1" s="273"/>
    </row>
    <row r="2" spans="1:26" s="80" customFormat="1" ht="18">
      <c r="A2" s="267"/>
      <c r="B2" s="81"/>
      <c r="C2" s="81"/>
      <c r="D2" s="81"/>
      <c r="E2" s="81"/>
      <c r="F2" s="81"/>
      <c r="G2" s="81"/>
      <c r="H2" s="81"/>
      <c r="I2" s="11"/>
      <c r="J2" s="11"/>
      <c r="K2" s="11"/>
      <c r="L2" s="81"/>
      <c r="M2" s="81"/>
      <c r="N2" s="81"/>
      <c r="O2" s="81"/>
      <c r="P2" s="81"/>
      <c r="Q2" s="81"/>
      <c r="R2" s="81"/>
      <c r="S2" s="81"/>
      <c r="T2" s="268"/>
      <c r="U2" s="81"/>
      <c r="V2" s="81"/>
      <c r="W2" s="81"/>
      <c r="X2" s="81"/>
    </row>
    <row r="3" spans="1:26" ht="18">
      <c r="A3" s="264"/>
      <c r="B3" s="453" t="str">
        <f>+'Asset quality'!B3</f>
        <v>"Микрокредитбанк"</v>
      </c>
      <c r="C3" s="24"/>
      <c r="D3" s="265"/>
      <c r="E3" s="265"/>
      <c r="F3" s="265"/>
      <c r="G3" s="265"/>
      <c r="H3" s="265"/>
      <c r="I3" s="265"/>
      <c r="J3" s="266"/>
      <c r="K3" s="266"/>
      <c r="L3" s="266"/>
      <c r="M3" s="265"/>
      <c r="N3" s="265"/>
      <c r="O3" s="265"/>
      <c r="P3" s="265"/>
      <c r="Q3" s="265"/>
      <c r="R3" s="265"/>
      <c r="S3" s="265"/>
      <c r="T3" s="684">
        <f>+'Asset quality'!P3</f>
        <v>44560</v>
      </c>
      <c r="U3" s="684"/>
      <c r="V3" s="24"/>
      <c r="W3" s="24"/>
      <c r="X3" s="455" t="s">
        <v>382</v>
      </c>
      <c r="Z3" s="23"/>
    </row>
    <row r="4" spans="1:26" ht="30" customHeight="1">
      <c r="A4" s="689" t="s">
        <v>83</v>
      </c>
      <c r="B4" s="689" t="s">
        <v>57</v>
      </c>
      <c r="C4" s="689" t="s">
        <v>148</v>
      </c>
      <c r="D4" s="689" t="s">
        <v>149</v>
      </c>
      <c r="E4" s="689" t="s">
        <v>150</v>
      </c>
      <c r="F4" s="689" t="s">
        <v>149</v>
      </c>
      <c r="G4" s="689" t="s">
        <v>159</v>
      </c>
      <c r="H4" s="689" t="s">
        <v>149</v>
      </c>
      <c r="I4" s="685" t="s">
        <v>151</v>
      </c>
      <c r="J4" s="686"/>
      <c r="K4" s="689" t="s">
        <v>149</v>
      </c>
      <c r="L4" s="681" t="s">
        <v>624</v>
      </c>
      <c r="M4" s="683"/>
      <c r="N4" s="683"/>
      <c r="O4" s="683"/>
      <c r="P4" s="683"/>
      <c r="Q4" s="683"/>
      <c r="R4" s="683"/>
      <c r="S4" s="683"/>
      <c r="T4" s="683"/>
      <c r="U4" s="683"/>
      <c r="V4" s="683"/>
      <c r="W4" s="683"/>
      <c r="X4" s="683"/>
      <c r="Y4" s="682"/>
    </row>
    <row r="5" spans="1:26" ht="25.5" customHeight="1">
      <c r="A5" s="690"/>
      <c r="B5" s="690"/>
      <c r="C5" s="690"/>
      <c r="D5" s="690"/>
      <c r="E5" s="690"/>
      <c r="F5" s="690"/>
      <c r="G5" s="690"/>
      <c r="H5" s="690"/>
      <c r="I5" s="687"/>
      <c r="J5" s="688"/>
      <c r="K5" s="690"/>
      <c r="L5" s="681" t="s">
        <v>153</v>
      </c>
      <c r="M5" s="682"/>
      <c r="N5" s="681" t="s">
        <v>154</v>
      </c>
      <c r="O5" s="682"/>
      <c r="P5" s="681" t="s">
        <v>155</v>
      </c>
      <c r="Q5" s="682"/>
      <c r="R5" s="681" t="s">
        <v>156</v>
      </c>
      <c r="S5" s="682"/>
      <c r="T5" s="681" t="s">
        <v>157</v>
      </c>
      <c r="U5" s="682"/>
      <c r="V5" s="681" t="s">
        <v>676</v>
      </c>
      <c r="W5" s="682"/>
      <c r="X5" s="681" t="s">
        <v>158</v>
      </c>
      <c r="Y5" s="682"/>
    </row>
    <row r="6" spans="1:26" ht="31.5">
      <c r="A6" s="691"/>
      <c r="B6" s="691"/>
      <c r="C6" s="691"/>
      <c r="D6" s="691"/>
      <c r="E6" s="691"/>
      <c r="F6" s="691"/>
      <c r="G6" s="691"/>
      <c r="H6" s="691"/>
      <c r="I6" s="201" t="s">
        <v>542</v>
      </c>
      <c r="J6" s="201" t="s">
        <v>543</v>
      </c>
      <c r="K6" s="691"/>
      <c r="L6" s="201" t="s">
        <v>542</v>
      </c>
      <c r="M6" s="201" t="s">
        <v>543</v>
      </c>
      <c r="N6" s="201" t="s">
        <v>542</v>
      </c>
      <c r="O6" s="201" t="s">
        <v>543</v>
      </c>
      <c r="P6" s="201" t="s">
        <v>542</v>
      </c>
      <c r="Q6" s="201" t="s">
        <v>543</v>
      </c>
      <c r="R6" s="201" t="s">
        <v>542</v>
      </c>
      <c r="S6" s="201" t="s">
        <v>543</v>
      </c>
      <c r="T6" s="201" t="s">
        <v>542</v>
      </c>
      <c r="U6" s="201" t="s">
        <v>543</v>
      </c>
      <c r="V6" s="201" t="s">
        <v>542</v>
      </c>
      <c r="W6" s="201" t="s">
        <v>543</v>
      </c>
      <c r="X6" s="201" t="s">
        <v>542</v>
      </c>
      <c r="Y6" s="201" t="s">
        <v>543</v>
      </c>
    </row>
    <row r="7" spans="1:26" ht="15.75">
      <c r="A7" s="201"/>
      <c r="B7" s="201" t="s">
        <v>107</v>
      </c>
      <c r="C7" s="201" t="s">
        <v>58</v>
      </c>
      <c r="D7" s="201" t="s">
        <v>59</v>
      </c>
      <c r="E7" s="201" t="s">
        <v>60</v>
      </c>
      <c r="F7" s="201" t="s">
        <v>84</v>
      </c>
      <c r="G7" s="201" t="s">
        <v>85</v>
      </c>
      <c r="H7" s="201" t="s">
        <v>87</v>
      </c>
      <c r="I7" s="201" t="s">
        <v>108</v>
      </c>
      <c r="J7" s="201" t="s">
        <v>596</v>
      </c>
      <c r="K7" s="201" t="s">
        <v>109</v>
      </c>
      <c r="L7" s="201" t="s">
        <v>110</v>
      </c>
      <c r="M7" s="201" t="s">
        <v>590</v>
      </c>
      <c r="N7" s="201" t="s">
        <v>111</v>
      </c>
      <c r="O7" s="201" t="s">
        <v>598</v>
      </c>
      <c r="P7" s="201" t="s">
        <v>112</v>
      </c>
      <c r="Q7" s="201" t="s">
        <v>599</v>
      </c>
      <c r="R7" s="201" t="s">
        <v>113</v>
      </c>
      <c r="S7" s="201" t="s">
        <v>600</v>
      </c>
      <c r="T7" s="201" t="s">
        <v>114</v>
      </c>
      <c r="U7" s="201" t="s">
        <v>601</v>
      </c>
      <c r="V7" s="201" t="s">
        <v>115</v>
      </c>
      <c r="W7" s="201" t="s">
        <v>602</v>
      </c>
      <c r="X7" s="201" t="s">
        <v>116</v>
      </c>
      <c r="Y7" s="201" t="s">
        <v>603</v>
      </c>
    </row>
    <row r="8" spans="1:26" s="82" customFormat="1" ht="27.75" customHeight="1">
      <c r="A8" s="201"/>
      <c r="B8" s="201" t="s">
        <v>160</v>
      </c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40"/>
    </row>
    <row r="9" spans="1:26" s="82" customFormat="1" ht="26.25" customHeight="1">
      <c r="A9" s="83">
        <v>1</v>
      </c>
      <c r="B9" s="84" t="s">
        <v>161</v>
      </c>
      <c r="C9" s="88">
        <f>+'Loans Receivable'!C86</f>
        <v>0</v>
      </c>
      <c r="D9" s="182">
        <f t="shared" ref="D9:D20" si="0">IF(C$22=0,"",C9/C$22)</f>
        <v>0</v>
      </c>
      <c r="E9" s="85">
        <v>0</v>
      </c>
      <c r="F9" s="182">
        <f t="shared" ref="F9:F20" si="1">IF(E$22=0,"",E9/E$22)</f>
        <v>0</v>
      </c>
      <c r="G9" s="85"/>
      <c r="H9" s="182" t="str">
        <f t="shared" ref="H9:H20" si="2">IF($G$22=0,"",G9/$G$22)</f>
        <v/>
      </c>
      <c r="I9" s="88">
        <f t="shared" ref="I9:J20" si="3">+L9+N9+P9+R9+T9+V9+X9</f>
        <v>0</v>
      </c>
      <c r="J9" s="88">
        <f>+M9+O9+T9+S9+U9+W9+Y9</f>
        <v>0</v>
      </c>
      <c r="K9" s="182">
        <f t="shared" ref="K9:K20" si="4">IF($Z$22=0,"",Z9/$Z$22)</f>
        <v>0</v>
      </c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241">
        <f>+I9+J9</f>
        <v>0</v>
      </c>
    </row>
    <row r="10" spans="1:26" s="82" customFormat="1" ht="26.25" customHeight="1">
      <c r="A10" s="83">
        <v>2</v>
      </c>
      <c r="B10" s="84" t="s">
        <v>162</v>
      </c>
      <c r="C10" s="88">
        <f>+'Loans Receivable'!C85</f>
        <v>0</v>
      </c>
      <c r="D10" s="182">
        <f t="shared" si="0"/>
        <v>0</v>
      </c>
      <c r="E10" s="85">
        <v>0</v>
      </c>
      <c r="F10" s="182">
        <f t="shared" si="1"/>
        <v>0</v>
      </c>
      <c r="G10" s="85"/>
      <c r="H10" s="182" t="str">
        <f t="shared" si="2"/>
        <v/>
      </c>
      <c r="I10" s="88">
        <f t="shared" si="3"/>
        <v>0</v>
      </c>
      <c r="J10" s="88">
        <f t="shared" si="3"/>
        <v>0</v>
      </c>
      <c r="K10" s="182">
        <f t="shared" si="4"/>
        <v>0</v>
      </c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241">
        <f t="shared" ref="Z10:Z34" si="5">+I10+J10</f>
        <v>0</v>
      </c>
    </row>
    <row r="11" spans="1:26" s="82" customFormat="1" ht="26.25" customHeight="1">
      <c r="A11" s="83">
        <v>3</v>
      </c>
      <c r="B11" s="84" t="s">
        <v>163</v>
      </c>
      <c r="C11" s="88">
        <f>+'Loans Receivable'!C87</f>
        <v>0</v>
      </c>
      <c r="D11" s="182">
        <f t="shared" si="0"/>
        <v>0</v>
      </c>
      <c r="E11" s="85">
        <v>0</v>
      </c>
      <c r="F11" s="182">
        <f t="shared" si="1"/>
        <v>0</v>
      </c>
      <c r="G11" s="85"/>
      <c r="H11" s="182" t="str">
        <f t="shared" si="2"/>
        <v/>
      </c>
      <c r="I11" s="88">
        <f t="shared" si="3"/>
        <v>0</v>
      </c>
      <c r="J11" s="88">
        <f t="shared" si="3"/>
        <v>0</v>
      </c>
      <c r="K11" s="182">
        <f t="shared" si="4"/>
        <v>0</v>
      </c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241">
        <f t="shared" si="5"/>
        <v>0</v>
      </c>
    </row>
    <row r="12" spans="1:26" s="82" customFormat="1" ht="26.25" customHeight="1">
      <c r="A12" s="83">
        <v>4</v>
      </c>
      <c r="B12" s="84" t="s">
        <v>164</v>
      </c>
      <c r="C12" s="88">
        <f>+'Loans Receivable'!C80</f>
        <v>3084481917</v>
      </c>
      <c r="D12" s="182">
        <f t="shared" si="0"/>
        <v>0.28518075026165329</v>
      </c>
      <c r="E12" s="85">
        <v>0</v>
      </c>
      <c r="F12" s="182">
        <f t="shared" si="1"/>
        <v>0</v>
      </c>
      <c r="G12" s="647">
        <v>0</v>
      </c>
      <c r="H12" s="182" t="str">
        <f t="shared" si="2"/>
        <v/>
      </c>
      <c r="I12" s="88">
        <f t="shared" si="3"/>
        <v>184546834.79599005</v>
      </c>
      <c r="J12" s="88">
        <f t="shared" si="3"/>
        <v>65998930.960580081</v>
      </c>
      <c r="K12" s="182">
        <f t="shared" si="4"/>
        <v>0.33068994009623559</v>
      </c>
      <c r="L12" s="85">
        <v>8500898.8480800111</v>
      </c>
      <c r="M12" s="85">
        <v>2916788.0359600126</v>
      </c>
      <c r="N12" s="85">
        <v>13429970.422869995</v>
      </c>
      <c r="O12" s="85">
        <v>3207650.6988799982</v>
      </c>
      <c r="P12" s="85">
        <v>12303129.218060011</v>
      </c>
      <c r="Q12" s="85">
        <v>3448255.3824600023</v>
      </c>
      <c r="R12" s="85">
        <v>31428936.554580007</v>
      </c>
      <c r="S12" s="85">
        <v>14084377</v>
      </c>
      <c r="T12" s="85">
        <v>84155548.826790035</v>
      </c>
      <c r="U12" s="85">
        <v>21885431.880400069</v>
      </c>
      <c r="V12" s="85">
        <v>34717330.005899988</v>
      </c>
      <c r="W12" s="85">
        <v>20450813</v>
      </c>
      <c r="X12" s="85">
        <v>11020.91971</v>
      </c>
      <c r="Y12" s="85">
        <v>5614.96288</v>
      </c>
      <c r="Z12" s="241">
        <f t="shared" si="5"/>
        <v>250545765.75657013</v>
      </c>
    </row>
    <row r="13" spans="1:26" s="82" customFormat="1" ht="26.25" customHeight="1">
      <c r="A13" s="83">
        <v>5</v>
      </c>
      <c r="B13" s="84" t="s">
        <v>165</v>
      </c>
      <c r="C13" s="88">
        <f>+'Loans Receivable'!C81</f>
        <v>237969866</v>
      </c>
      <c r="D13" s="182">
        <f t="shared" si="0"/>
        <v>2.200188775674547E-2</v>
      </c>
      <c r="E13" s="85">
        <v>0</v>
      </c>
      <c r="F13" s="182">
        <f t="shared" si="1"/>
        <v>0</v>
      </c>
      <c r="G13" s="85"/>
      <c r="H13" s="182" t="str">
        <f t="shared" si="2"/>
        <v/>
      </c>
      <c r="I13" s="88">
        <f t="shared" si="3"/>
        <v>10614906.301889999</v>
      </c>
      <c r="J13" s="88">
        <f t="shared" si="3"/>
        <v>1227032.7553399999</v>
      </c>
      <c r="K13" s="182">
        <f t="shared" si="4"/>
        <v>1.5629919370752608E-2</v>
      </c>
      <c r="L13" s="85">
        <v>206250</v>
      </c>
      <c r="M13" s="85">
        <v>42092.972560000002</v>
      </c>
      <c r="N13" s="85">
        <v>0</v>
      </c>
      <c r="O13" s="85">
        <v>0</v>
      </c>
      <c r="P13" s="85">
        <v>0</v>
      </c>
      <c r="Q13" s="85"/>
      <c r="R13" s="85">
        <v>3492311.1950299996</v>
      </c>
      <c r="S13" s="85">
        <v>66301</v>
      </c>
      <c r="T13" s="85">
        <v>6916345.1068599997</v>
      </c>
      <c r="U13" s="85">
        <v>1118638.78278</v>
      </c>
      <c r="V13" s="85"/>
      <c r="W13" s="85"/>
      <c r="X13" s="85"/>
      <c r="Y13" s="85"/>
      <c r="Z13" s="241">
        <f t="shared" si="5"/>
        <v>11841939.057229999</v>
      </c>
    </row>
    <row r="14" spans="1:26" s="82" customFormat="1" ht="26.25" customHeight="1">
      <c r="A14" s="83">
        <v>6</v>
      </c>
      <c r="B14" s="86" t="s">
        <v>166</v>
      </c>
      <c r="C14" s="88">
        <f>+'Loans Receivable'!C82</f>
        <v>455620953</v>
      </c>
      <c r="D14" s="182">
        <f t="shared" si="0"/>
        <v>4.2125170031097149E-2</v>
      </c>
      <c r="E14" s="85">
        <v>127677</v>
      </c>
      <c r="F14" s="182">
        <f t="shared" si="1"/>
        <v>3.6195307528715816E-3</v>
      </c>
      <c r="G14" s="85"/>
      <c r="H14" s="182" t="str">
        <f t="shared" si="2"/>
        <v/>
      </c>
      <c r="I14" s="88">
        <f t="shared" si="3"/>
        <v>10634712.746090002</v>
      </c>
      <c r="J14" s="88">
        <f t="shared" si="3"/>
        <v>4365814.0598300006</v>
      </c>
      <c r="K14" s="182">
        <f t="shared" si="4"/>
        <v>1.9798871060073307E-2</v>
      </c>
      <c r="L14" s="85">
        <v>138203.16020999997</v>
      </c>
      <c r="M14" s="85">
        <v>222599.52569999997</v>
      </c>
      <c r="N14" s="85">
        <v>366822.16700000007</v>
      </c>
      <c r="O14" s="85">
        <v>544433.63738999993</v>
      </c>
      <c r="P14" s="85">
        <v>445825.42025000008</v>
      </c>
      <c r="Q14" s="85">
        <v>554470.3274500001</v>
      </c>
      <c r="R14" s="85">
        <v>1390798.9518999998</v>
      </c>
      <c r="S14" s="85">
        <v>836387</v>
      </c>
      <c r="T14" s="85">
        <v>5277431.6054900018</v>
      </c>
      <c r="U14" s="85">
        <v>328359.56929000001</v>
      </c>
      <c r="V14" s="85">
        <v>3015631.4412400005</v>
      </c>
      <c r="W14" s="85">
        <v>1879564</v>
      </c>
      <c r="X14" s="85">
        <v>0</v>
      </c>
      <c r="Y14" s="85">
        <v>0</v>
      </c>
      <c r="Z14" s="241">
        <f t="shared" si="5"/>
        <v>15000526.805920003</v>
      </c>
    </row>
    <row r="15" spans="1:26" s="82" customFormat="1" ht="26.25" customHeight="1">
      <c r="A15" s="83">
        <v>7</v>
      </c>
      <c r="B15" s="86" t="s">
        <v>167</v>
      </c>
      <c r="C15" s="88">
        <f>+'Loans Receivable'!C83</f>
        <v>6772953254</v>
      </c>
      <c r="D15" s="182">
        <f t="shared" si="0"/>
        <v>0.6262043164582527</v>
      </c>
      <c r="E15" s="85">
        <v>34975065</v>
      </c>
      <c r="F15" s="182">
        <f t="shared" si="1"/>
        <v>0.99151235814737582</v>
      </c>
      <c r="G15" s="85">
        <v>0</v>
      </c>
      <c r="H15" s="182" t="str">
        <f t="shared" si="2"/>
        <v/>
      </c>
      <c r="I15" s="88">
        <f t="shared" si="3"/>
        <v>311477111.53324002</v>
      </c>
      <c r="J15" s="88">
        <f t="shared" si="3"/>
        <v>151706290.77530998</v>
      </c>
      <c r="K15" s="182">
        <f t="shared" si="4"/>
        <v>0.61134575992716955</v>
      </c>
      <c r="L15" s="85">
        <v>20305619.430619989</v>
      </c>
      <c r="M15" s="85">
        <v>7658085.6202500043</v>
      </c>
      <c r="N15" s="85">
        <v>27658029.568040028</v>
      </c>
      <c r="O15" s="85">
        <v>19250147.357150007</v>
      </c>
      <c r="P15" s="85">
        <v>21441601.383700013</v>
      </c>
      <c r="Q15" s="85">
        <v>12827965.050659996</v>
      </c>
      <c r="R15" s="85">
        <v>53387291.535040021</v>
      </c>
      <c r="S15" s="85">
        <v>48361062</v>
      </c>
      <c r="T15" s="85">
        <v>125544046.07659993</v>
      </c>
      <c r="U15" s="85">
        <v>26975577.644029994</v>
      </c>
      <c r="V15" s="85">
        <v>62500448.428890027</v>
      </c>
      <c r="W15" s="85">
        <v>35805099</v>
      </c>
      <c r="X15" s="85">
        <v>640075.11034999997</v>
      </c>
      <c r="Y15" s="85">
        <v>828354.10322000016</v>
      </c>
      <c r="Z15" s="241">
        <f t="shared" si="5"/>
        <v>463183402.30855</v>
      </c>
    </row>
    <row r="16" spans="1:26" s="82" customFormat="1" ht="26.25" customHeight="1">
      <c r="A16" s="83">
        <v>8</v>
      </c>
      <c r="B16" s="86" t="s">
        <v>168</v>
      </c>
      <c r="C16" s="88">
        <f>+'Loans Receivable'!C84</f>
        <v>261233028</v>
      </c>
      <c r="D16" s="182">
        <f t="shared" si="0"/>
        <v>2.4152720918079379E-2</v>
      </c>
      <c r="E16" s="85">
        <v>171720</v>
      </c>
      <c r="F16" s="182">
        <f t="shared" si="1"/>
        <v>4.8681110997525635E-3</v>
      </c>
      <c r="G16" s="85">
        <v>0</v>
      </c>
      <c r="H16" s="182" t="str">
        <f t="shared" si="2"/>
        <v/>
      </c>
      <c r="I16" s="88">
        <f t="shared" si="3"/>
        <v>8213758.5187200001</v>
      </c>
      <c r="J16" s="88">
        <f t="shared" si="3"/>
        <v>5222760.0586599996</v>
      </c>
      <c r="K16" s="182">
        <f t="shared" si="4"/>
        <v>1.773457040887641E-2</v>
      </c>
      <c r="L16" s="85">
        <v>308981.66680000006</v>
      </c>
      <c r="M16" s="85">
        <v>248770.42684000003</v>
      </c>
      <c r="N16" s="85">
        <v>1493994.2893100001</v>
      </c>
      <c r="O16" s="85">
        <v>313670.30389000004</v>
      </c>
      <c r="P16" s="85">
        <v>854264.51015999995</v>
      </c>
      <c r="Q16" s="85">
        <v>958830.08291999996</v>
      </c>
      <c r="R16" s="85">
        <v>1213740.1175499996</v>
      </c>
      <c r="S16" s="85">
        <v>2090631</v>
      </c>
      <c r="T16" s="85">
        <v>3343139.22927</v>
      </c>
      <c r="U16" s="85">
        <v>611642.06625000015</v>
      </c>
      <c r="V16" s="85">
        <v>999638.70562999998</v>
      </c>
      <c r="W16" s="85">
        <v>821599</v>
      </c>
      <c r="X16" s="85">
        <v>0</v>
      </c>
      <c r="Y16" s="85">
        <v>177617.17875999998</v>
      </c>
      <c r="Z16" s="241">
        <f t="shared" si="5"/>
        <v>13436518.57738</v>
      </c>
    </row>
    <row r="17" spans="1:26" s="82" customFormat="1" ht="26.25" customHeight="1">
      <c r="A17" s="83">
        <v>9</v>
      </c>
      <c r="B17" s="87" t="s">
        <v>169</v>
      </c>
      <c r="C17" s="88">
        <f>+'Loans Receivable'!C88</f>
        <v>0</v>
      </c>
      <c r="D17" s="182">
        <f t="shared" si="0"/>
        <v>0</v>
      </c>
      <c r="E17" s="85">
        <v>0</v>
      </c>
      <c r="F17" s="182">
        <f t="shared" si="1"/>
        <v>0</v>
      </c>
      <c r="G17" s="85"/>
      <c r="H17" s="182" t="str">
        <f t="shared" si="2"/>
        <v/>
      </c>
      <c r="I17" s="88">
        <f t="shared" si="3"/>
        <v>0</v>
      </c>
      <c r="J17" s="88">
        <f t="shared" si="3"/>
        <v>0</v>
      </c>
      <c r="K17" s="182">
        <f t="shared" si="4"/>
        <v>0</v>
      </c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241">
        <f t="shared" si="5"/>
        <v>0</v>
      </c>
    </row>
    <row r="18" spans="1:26" s="82" customFormat="1" ht="38.25" customHeight="1">
      <c r="A18" s="83">
        <v>10</v>
      </c>
      <c r="B18" s="87" t="s">
        <v>170</v>
      </c>
      <c r="C18" s="88">
        <f>+'Loans Receivable'!C89</f>
        <v>3603902</v>
      </c>
      <c r="D18" s="182">
        <f t="shared" si="0"/>
        <v>3.3320457175157846E-4</v>
      </c>
      <c r="E18" s="85">
        <v>0</v>
      </c>
      <c r="F18" s="182">
        <f t="shared" si="1"/>
        <v>0</v>
      </c>
      <c r="G18" s="85"/>
      <c r="H18" s="182" t="str">
        <f t="shared" si="2"/>
        <v/>
      </c>
      <c r="I18" s="88">
        <f t="shared" si="3"/>
        <v>60283.094219999999</v>
      </c>
      <c r="J18" s="88">
        <f t="shared" si="3"/>
        <v>9822.2657899999995</v>
      </c>
      <c r="K18" s="182">
        <f t="shared" si="4"/>
        <v>9.2530549187794426E-5</v>
      </c>
      <c r="L18" s="85"/>
      <c r="M18" s="85">
        <v>235.4941</v>
      </c>
      <c r="N18" s="85">
        <v>35783.093219999995</v>
      </c>
      <c r="O18" s="85"/>
      <c r="P18" s="85">
        <v>24500.001</v>
      </c>
      <c r="Q18" s="85">
        <v>9586.7716899999996</v>
      </c>
      <c r="R18" s="85"/>
      <c r="S18" s="85"/>
      <c r="T18" s="85"/>
      <c r="U18" s="85"/>
      <c r="V18" s="85"/>
      <c r="W18" s="85"/>
      <c r="X18" s="85"/>
      <c r="Y18" s="85"/>
      <c r="Z18" s="241">
        <f t="shared" si="5"/>
        <v>70105.360010000004</v>
      </c>
    </row>
    <row r="19" spans="1:26" s="82" customFormat="1" ht="26.25" customHeight="1">
      <c r="A19" s="83">
        <v>11</v>
      </c>
      <c r="B19" s="87" t="s">
        <v>171</v>
      </c>
      <c r="C19" s="88">
        <f>+'Loans Receivable'!C90</f>
        <v>0</v>
      </c>
      <c r="D19" s="182">
        <f t="shared" si="0"/>
        <v>0</v>
      </c>
      <c r="E19" s="85">
        <v>0</v>
      </c>
      <c r="F19" s="182">
        <f t="shared" si="1"/>
        <v>0</v>
      </c>
      <c r="G19" s="85"/>
      <c r="H19" s="182" t="str">
        <f t="shared" si="2"/>
        <v/>
      </c>
      <c r="I19" s="88">
        <f t="shared" si="3"/>
        <v>0</v>
      </c>
      <c r="J19" s="88">
        <f t="shared" si="3"/>
        <v>0</v>
      </c>
      <c r="K19" s="182">
        <f t="shared" si="4"/>
        <v>0</v>
      </c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241">
        <f t="shared" si="5"/>
        <v>0</v>
      </c>
    </row>
    <row r="20" spans="1:26" s="82" customFormat="1" ht="26.25" customHeight="1">
      <c r="A20" s="83">
        <v>12</v>
      </c>
      <c r="B20" s="87" t="s">
        <v>172</v>
      </c>
      <c r="C20" s="88">
        <f>+'Loans Receivable'!C91</f>
        <v>21091</v>
      </c>
      <c r="D20" s="182">
        <f t="shared" si="0"/>
        <v>1.950002420380061E-6</v>
      </c>
      <c r="E20" s="85">
        <v>0</v>
      </c>
      <c r="F20" s="182">
        <f t="shared" si="1"/>
        <v>0</v>
      </c>
      <c r="G20" s="85"/>
      <c r="H20" s="182" t="str">
        <f t="shared" si="2"/>
        <v/>
      </c>
      <c r="I20" s="88">
        <f t="shared" si="3"/>
        <v>0</v>
      </c>
      <c r="J20" s="88">
        <f t="shared" si="3"/>
        <v>3567304.8740400076</v>
      </c>
      <c r="K20" s="182">
        <f t="shared" si="4"/>
        <v>4.708408587704758E-3</v>
      </c>
      <c r="L20" s="85"/>
      <c r="M20" s="85">
        <v>3567304.8740400076</v>
      </c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241">
        <f t="shared" si="5"/>
        <v>3567304.8740400076</v>
      </c>
    </row>
    <row r="21" spans="1:26" s="82" customFormat="1" ht="18.75" customHeight="1">
      <c r="A21" s="83"/>
      <c r="B21" s="84"/>
      <c r="C21" s="88"/>
      <c r="D21" s="182"/>
      <c r="E21" s="183"/>
      <c r="F21" s="182"/>
      <c r="G21" s="183"/>
      <c r="H21" s="182"/>
      <c r="I21" s="88"/>
      <c r="J21" s="184"/>
      <c r="K21" s="182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241">
        <f t="shared" si="5"/>
        <v>0</v>
      </c>
    </row>
    <row r="22" spans="1:26" s="82" customFormat="1" ht="27.75" customHeight="1">
      <c r="A22" s="201">
        <v>13</v>
      </c>
      <c r="B22" s="201" t="s">
        <v>173</v>
      </c>
      <c r="C22" s="202">
        <f>SUM(C9:C20)</f>
        <v>10815884011</v>
      </c>
      <c r="D22" s="203">
        <f>IF(C$22=0,"",C22/C$22)</f>
        <v>1</v>
      </c>
      <c r="E22" s="202">
        <f>SUM(E9:E20)</f>
        <v>35274462</v>
      </c>
      <c r="F22" s="203">
        <f>IF(E$22=0,"",E22/E$22)</f>
        <v>1</v>
      </c>
      <c r="G22" s="202">
        <f>SUM(G9:G20)</f>
        <v>0</v>
      </c>
      <c r="H22" s="203" t="str">
        <f>IF($G$22=0,"",G22/$G$22)</f>
        <v/>
      </c>
      <c r="I22" s="202">
        <f>SUM(I9:I20)</f>
        <v>525547606.99014997</v>
      </c>
      <c r="J22" s="202">
        <f>SUM(J9:J20)</f>
        <v>232097955.74955004</v>
      </c>
      <c r="K22" s="203">
        <f>IF($Z$22=0,"",Z22/$Z$22)</f>
        <v>1</v>
      </c>
      <c r="L22" s="202">
        <f t="shared" ref="L22:Y22" si="6">SUM(L9:L20)</f>
        <v>29459953.10571</v>
      </c>
      <c r="M22" s="202">
        <f t="shared" si="6"/>
        <v>14655876.949450025</v>
      </c>
      <c r="N22" s="202">
        <f t="shared" si="6"/>
        <v>42984599.540440023</v>
      </c>
      <c r="O22" s="202">
        <f t="shared" si="6"/>
        <v>23315901.997310005</v>
      </c>
      <c r="P22" s="202">
        <f t="shared" si="6"/>
        <v>35069320.53317003</v>
      </c>
      <c r="Q22" s="202">
        <f t="shared" si="6"/>
        <v>17799107.615179997</v>
      </c>
      <c r="R22" s="202">
        <f t="shared" si="6"/>
        <v>90913078.354100034</v>
      </c>
      <c r="S22" s="202">
        <f t="shared" si="6"/>
        <v>65438758</v>
      </c>
      <c r="T22" s="202">
        <f t="shared" si="6"/>
        <v>225236510.84500995</v>
      </c>
      <c r="U22" s="202">
        <f t="shared" si="6"/>
        <v>50919649.942750067</v>
      </c>
      <c r="V22" s="202">
        <f t="shared" si="6"/>
        <v>101233048.58166002</v>
      </c>
      <c r="W22" s="202">
        <f t="shared" si="6"/>
        <v>58957075</v>
      </c>
      <c r="X22" s="202">
        <f t="shared" si="6"/>
        <v>651096.03006000002</v>
      </c>
      <c r="Y22" s="202">
        <f t="shared" si="6"/>
        <v>1011586.2448600002</v>
      </c>
      <c r="Z22" s="241">
        <f t="shared" si="5"/>
        <v>757645562.73970008</v>
      </c>
    </row>
    <row r="23" spans="1:26" s="82" customFormat="1" ht="18.75" customHeight="1">
      <c r="A23" s="83"/>
      <c r="B23" s="84"/>
      <c r="C23" s="88"/>
      <c r="D23" s="185"/>
      <c r="E23" s="183"/>
      <c r="F23" s="184"/>
      <c r="G23" s="183"/>
      <c r="H23" s="185"/>
      <c r="I23" s="88"/>
      <c r="J23" s="184"/>
      <c r="K23" s="1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241">
        <f t="shared" si="5"/>
        <v>0</v>
      </c>
    </row>
    <row r="24" spans="1:26" s="82" customFormat="1" ht="27.75" customHeight="1">
      <c r="A24" s="201"/>
      <c r="B24" s="201" t="s">
        <v>174</v>
      </c>
      <c r="C24" s="201"/>
      <c r="D24" s="201"/>
      <c r="E24" s="201"/>
      <c r="F24" s="201">
        <f t="shared" ref="F24" si="7">IF(E$22=0,"",E24/E$22)</f>
        <v>0</v>
      </c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40">
        <f t="shared" si="5"/>
        <v>0</v>
      </c>
    </row>
    <row r="25" spans="1:26" s="82" customFormat="1" ht="26.25" customHeight="1">
      <c r="A25" s="83">
        <v>14</v>
      </c>
      <c r="B25" s="89" t="s">
        <v>118</v>
      </c>
      <c r="C25" s="88">
        <f>+'Loans Receivable'!C15</f>
        <v>1938850959</v>
      </c>
      <c r="D25" s="182">
        <f t="shared" ref="D25:D32" si="8">IF(C$34=0,"",C25/C$34)</f>
        <v>0.17925959237618899</v>
      </c>
      <c r="E25" s="85"/>
      <c r="F25" s="182">
        <f t="shared" ref="F25:F32" si="9">IF($E$34=0,"",E25/$E$34)</f>
        <v>0</v>
      </c>
      <c r="G25" s="85">
        <v>0</v>
      </c>
      <c r="H25" s="182" t="str">
        <f t="shared" ref="H25:H32" si="10">IF($G$34=0,"",G25/$G$34)</f>
        <v/>
      </c>
      <c r="I25" s="88">
        <f t="shared" ref="I25:J32" si="11">+L25+N25+P25+R25+T25+V25+X25</f>
        <v>97234273.770320058</v>
      </c>
      <c r="J25" s="88">
        <f t="shared" si="11"/>
        <v>44950490.233410031</v>
      </c>
      <c r="K25" s="182">
        <f t="shared" ref="K25:K32" si="12">IF($Z$34=0,"",Z25/$Z$34)</f>
        <v>0.18766659635619048</v>
      </c>
      <c r="L25" s="85">
        <v>7299629.8345800005</v>
      </c>
      <c r="M25" s="85">
        <v>3400527.4879300012</v>
      </c>
      <c r="N25" s="85">
        <v>4822803.547729997</v>
      </c>
      <c r="O25" s="85">
        <v>10415507.553360026</v>
      </c>
      <c r="P25" s="85">
        <v>3490382.0214199997</v>
      </c>
      <c r="Q25" s="85">
        <v>2000018.0866699999</v>
      </c>
      <c r="R25" s="85">
        <v>12161595.696670011</v>
      </c>
      <c r="S25" s="85">
        <v>5877150</v>
      </c>
      <c r="T25" s="85">
        <v>35757104.673340037</v>
      </c>
      <c r="U25" s="85">
        <v>7447424.5669799997</v>
      </c>
      <c r="V25" s="85">
        <v>33604172.496300012</v>
      </c>
      <c r="W25" s="85">
        <v>15795144</v>
      </c>
      <c r="X25" s="85">
        <v>98585.500280000007</v>
      </c>
      <c r="Y25" s="85">
        <v>14718.538470000001</v>
      </c>
      <c r="Z25" s="241">
        <f t="shared" si="5"/>
        <v>142184764.00373009</v>
      </c>
    </row>
    <row r="26" spans="1:26" s="82" customFormat="1" ht="26.25" customHeight="1">
      <c r="A26" s="83">
        <v>15</v>
      </c>
      <c r="B26" s="89" t="s">
        <v>126</v>
      </c>
      <c r="C26" s="88">
        <f>+'Loans Receivable'!C24</f>
        <v>2467702573</v>
      </c>
      <c r="D26" s="182">
        <f t="shared" si="8"/>
        <v>0.22815542127580976</v>
      </c>
      <c r="E26" s="85">
        <v>2147373</v>
      </c>
      <c r="F26" s="182">
        <f t="shared" si="9"/>
        <v>6.0876137529751691E-2</v>
      </c>
      <c r="G26" s="85">
        <v>0</v>
      </c>
      <c r="H26" s="182" t="str">
        <f t="shared" si="10"/>
        <v/>
      </c>
      <c r="I26" s="88">
        <f t="shared" si="11"/>
        <v>143439561.84956005</v>
      </c>
      <c r="J26" s="88">
        <f t="shared" si="11"/>
        <v>59134308.660680026</v>
      </c>
      <c r="K26" s="182">
        <f t="shared" si="12"/>
        <v>0.26737287258400694</v>
      </c>
      <c r="L26" s="85">
        <v>3645928.5509000006</v>
      </c>
      <c r="M26" s="85">
        <v>1919905.2782200032</v>
      </c>
      <c r="N26" s="85">
        <v>9491083.7028299868</v>
      </c>
      <c r="O26" s="85">
        <v>3472339.8532600044</v>
      </c>
      <c r="P26" s="85">
        <v>7786073.7297599893</v>
      </c>
      <c r="Q26" s="85">
        <v>4639978.852590004</v>
      </c>
      <c r="R26" s="85">
        <v>28983127.449620023</v>
      </c>
      <c r="S26" s="85">
        <v>21754408</v>
      </c>
      <c r="T26" s="85">
        <v>68553677.071380079</v>
      </c>
      <c r="U26" s="85">
        <v>11054462.485090015</v>
      </c>
      <c r="V26" s="85">
        <v>24977225.817229979</v>
      </c>
      <c r="W26" s="85">
        <v>15995510</v>
      </c>
      <c r="X26" s="85">
        <v>2445.5278399999997</v>
      </c>
      <c r="Y26" s="85">
        <v>297704.19151999999</v>
      </c>
      <c r="Z26" s="241">
        <f t="shared" si="5"/>
        <v>202573870.51024008</v>
      </c>
    </row>
    <row r="27" spans="1:26" s="82" customFormat="1" ht="26.25" customHeight="1">
      <c r="A27" s="83">
        <v>16</v>
      </c>
      <c r="B27" s="89" t="s">
        <v>129</v>
      </c>
      <c r="C27" s="88">
        <f>+'Loans Receivable'!C32</f>
        <v>350494739</v>
      </c>
      <c r="D27" s="182">
        <f t="shared" si="8"/>
        <v>3.2405556369090024E-2</v>
      </c>
      <c r="E27" s="85"/>
      <c r="F27" s="182">
        <f t="shared" si="9"/>
        <v>0</v>
      </c>
      <c r="G27" s="85">
        <v>0</v>
      </c>
      <c r="H27" s="182" t="str">
        <f t="shared" si="10"/>
        <v/>
      </c>
      <c r="I27" s="88">
        <f t="shared" si="11"/>
        <v>20970386.419980004</v>
      </c>
      <c r="J27" s="88">
        <f t="shared" si="11"/>
        <v>9307263.2428300008</v>
      </c>
      <c r="K27" s="182">
        <f t="shared" si="12"/>
        <v>3.9962815268558924E-2</v>
      </c>
      <c r="L27" s="85">
        <v>3216056.4754400002</v>
      </c>
      <c r="M27" s="85">
        <v>652730.71656999993</v>
      </c>
      <c r="N27" s="85">
        <v>1739359.6005999988</v>
      </c>
      <c r="O27" s="85">
        <v>776794.77124000015</v>
      </c>
      <c r="P27" s="85">
        <v>1157110.2627900001</v>
      </c>
      <c r="Q27" s="85">
        <v>419073.92903000006</v>
      </c>
      <c r="R27" s="85">
        <v>2614850.5995499985</v>
      </c>
      <c r="S27" s="85">
        <v>3168542</v>
      </c>
      <c r="T27" s="85">
        <v>6923476.840350003</v>
      </c>
      <c r="U27" s="85">
        <v>1457673.3590499996</v>
      </c>
      <c r="V27" s="85">
        <v>4778043.0311800009</v>
      </c>
      <c r="W27" s="85">
        <v>2473836</v>
      </c>
      <c r="X27" s="85">
        <v>541489.61007000005</v>
      </c>
      <c r="Y27" s="85">
        <v>358612.46694000001</v>
      </c>
      <c r="Z27" s="241">
        <f t="shared" si="5"/>
        <v>30277649.662810005</v>
      </c>
    </row>
    <row r="28" spans="1:26" s="82" customFormat="1" ht="26.25" customHeight="1">
      <c r="A28" s="83">
        <v>17</v>
      </c>
      <c r="B28" s="89" t="s">
        <v>131</v>
      </c>
      <c r="C28" s="88">
        <f>+'Loans Receivable'!C40</f>
        <v>340066175</v>
      </c>
      <c r="D28" s="182">
        <f t="shared" si="8"/>
        <v>3.1441366665373352E-2</v>
      </c>
      <c r="E28" s="85">
        <v>15089714</v>
      </c>
      <c r="F28" s="182">
        <f t="shared" si="9"/>
        <v>0.42778013169981161</v>
      </c>
      <c r="G28" s="85">
        <v>0</v>
      </c>
      <c r="H28" s="182" t="str">
        <f t="shared" si="10"/>
        <v/>
      </c>
      <c r="I28" s="88">
        <f t="shared" si="11"/>
        <v>23008527.42354</v>
      </c>
      <c r="J28" s="88">
        <f t="shared" si="11"/>
        <v>14218008.560110001</v>
      </c>
      <c r="K28" s="182">
        <f t="shared" si="12"/>
        <v>4.9134500107195514E-2</v>
      </c>
      <c r="L28" s="85">
        <v>436391.56079999998</v>
      </c>
      <c r="M28" s="85">
        <v>190574.64443000004</v>
      </c>
      <c r="N28" s="85">
        <v>2658900.3726399993</v>
      </c>
      <c r="O28" s="85">
        <v>394605.56297000003</v>
      </c>
      <c r="P28" s="85">
        <v>1515937.5606099998</v>
      </c>
      <c r="Q28" s="85">
        <v>1742662.61894</v>
      </c>
      <c r="R28" s="85">
        <v>3248677.9881000002</v>
      </c>
      <c r="S28" s="85">
        <v>7100816</v>
      </c>
      <c r="T28" s="85">
        <v>14052126.199939998</v>
      </c>
      <c r="U28" s="85">
        <v>2631654.8458400001</v>
      </c>
      <c r="V28" s="85">
        <v>1096493.7414499999</v>
      </c>
      <c r="W28" s="85">
        <v>2045473</v>
      </c>
      <c r="X28" s="85">
        <v>0</v>
      </c>
      <c r="Y28" s="85">
        <v>112221.88793000001</v>
      </c>
      <c r="Z28" s="241">
        <f t="shared" si="5"/>
        <v>37226535.983649999</v>
      </c>
    </row>
    <row r="29" spans="1:26" s="82" customFormat="1" ht="26.25" customHeight="1">
      <c r="A29" s="83">
        <v>18</v>
      </c>
      <c r="B29" s="90" t="s">
        <v>133</v>
      </c>
      <c r="C29" s="88">
        <f>+'Loans Receivable'!C48</f>
        <v>1152185836</v>
      </c>
      <c r="D29" s="182">
        <f t="shared" si="8"/>
        <v>0.10652719970260413</v>
      </c>
      <c r="E29" s="85">
        <v>17026031</v>
      </c>
      <c r="F29" s="182">
        <f t="shared" si="9"/>
        <v>0.48267301709661792</v>
      </c>
      <c r="G29" s="85">
        <v>0</v>
      </c>
      <c r="H29" s="182" t="str">
        <f t="shared" si="10"/>
        <v/>
      </c>
      <c r="I29" s="88">
        <f t="shared" si="11"/>
        <v>97009727.199850008</v>
      </c>
      <c r="J29" s="88">
        <f t="shared" si="11"/>
        <v>29835885.963399999</v>
      </c>
      <c r="K29" s="182">
        <f t="shared" si="12"/>
        <v>0.16742078275304256</v>
      </c>
      <c r="L29" s="85">
        <v>5334362.4211700037</v>
      </c>
      <c r="M29" s="85">
        <v>807856.99693000014</v>
      </c>
      <c r="N29" s="85">
        <v>8603582.3345700018</v>
      </c>
      <c r="O29" s="85">
        <v>1834895.6324199992</v>
      </c>
      <c r="P29" s="85">
        <v>7643971.2216399992</v>
      </c>
      <c r="Q29" s="85">
        <v>3849088.4016699996</v>
      </c>
      <c r="R29" s="85">
        <v>15089227.858929997</v>
      </c>
      <c r="S29" s="85">
        <v>6403911</v>
      </c>
      <c r="T29" s="85">
        <v>46579886.996140011</v>
      </c>
      <c r="U29" s="85">
        <v>7904119.7352600005</v>
      </c>
      <c r="V29" s="85">
        <v>13758696.3674</v>
      </c>
      <c r="W29" s="85">
        <v>8813300</v>
      </c>
      <c r="X29" s="85">
        <v>0</v>
      </c>
      <c r="Y29" s="85">
        <v>222714.19712</v>
      </c>
      <c r="Z29" s="241">
        <f t="shared" si="5"/>
        <v>126845613.16325</v>
      </c>
    </row>
    <row r="30" spans="1:26" s="82" customFormat="1" ht="38.25" customHeight="1">
      <c r="A30" s="83">
        <v>19</v>
      </c>
      <c r="B30" s="90" t="s">
        <v>135</v>
      </c>
      <c r="C30" s="88">
        <f>+'Loans Receivable'!C56</f>
        <v>1377552811</v>
      </c>
      <c r="D30" s="182">
        <f t="shared" si="8"/>
        <v>0.12736386684611239</v>
      </c>
      <c r="E30" s="85">
        <v>1011344</v>
      </c>
      <c r="F30" s="182">
        <f t="shared" si="9"/>
        <v>2.8670713673818755E-2</v>
      </c>
      <c r="G30" s="85">
        <v>0</v>
      </c>
      <c r="H30" s="182" t="str">
        <f t="shared" si="10"/>
        <v/>
      </c>
      <c r="I30" s="88">
        <f t="shared" si="11"/>
        <v>47293183.015029989</v>
      </c>
      <c r="J30" s="88">
        <f t="shared" si="11"/>
        <v>26183069.871470001</v>
      </c>
      <c r="K30" s="182">
        <f t="shared" si="12"/>
        <v>9.6979717825845427E-2</v>
      </c>
      <c r="L30" s="85">
        <v>2155998.8742099982</v>
      </c>
      <c r="M30" s="85">
        <v>1434120.2459400005</v>
      </c>
      <c r="N30" s="85">
        <v>3858075.0228799982</v>
      </c>
      <c r="O30" s="85">
        <v>2788352.9606699971</v>
      </c>
      <c r="P30" s="85">
        <v>4225188.5596800009</v>
      </c>
      <c r="Q30" s="85">
        <v>1692237.5218400001</v>
      </c>
      <c r="R30" s="85">
        <v>11649451.352049999</v>
      </c>
      <c r="S30" s="85">
        <v>7092444</v>
      </c>
      <c r="T30" s="85">
        <v>17668342.464439996</v>
      </c>
      <c r="U30" s="85">
        <v>6276899.1430200012</v>
      </c>
      <c r="V30" s="85">
        <v>7736126.7417700002</v>
      </c>
      <c r="W30" s="85">
        <v>6899016</v>
      </c>
      <c r="X30" s="85">
        <v>0</v>
      </c>
      <c r="Y30" s="85">
        <v>0</v>
      </c>
      <c r="Z30" s="241">
        <f t="shared" si="5"/>
        <v>73476252.886499986</v>
      </c>
    </row>
    <row r="31" spans="1:26" s="82" customFormat="1" ht="26.25" customHeight="1">
      <c r="A31" s="83">
        <v>20</v>
      </c>
      <c r="B31" s="89" t="s">
        <v>137</v>
      </c>
      <c r="C31" s="88">
        <f>+'Loans Receivable'!C65</f>
        <v>2082182</v>
      </c>
      <c r="D31" s="182">
        <f t="shared" si="8"/>
        <v>1.9251149493489147E-4</v>
      </c>
      <c r="E31" s="85"/>
      <c r="F31" s="182">
        <f t="shared" si="9"/>
        <v>0</v>
      </c>
      <c r="G31" s="85">
        <v>0</v>
      </c>
      <c r="H31" s="182" t="str">
        <f t="shared" si="10"/>
        <v/>
      </c>
      <c r="I31" s="88">
        <f t="shared" si="11"/>
        <v>24500.001</v>
      </c>
      <c r="J31" s="88">
        <f t="shared" si="11"/>
        <v>192165.90112999998</v>
      </c>
      <c r="K31" s="182">
        <f t="shared" si="12"/>
        <v>2.8597264048709094E-4</v>
      </c>
      <c r="L31" s="85"/>
      <c r="M31" s="85">
        <v>182579.12943999999</v>
      </c>
      <c r="N31" s="85"/>
      <c r="O31" s="85">
        <v>0</v>
      </c>
      <c r="P31" s="85">
        <v>24500.001</v>
      </c>
      <c r="Q31" s="85">
        <v>9586.7716899999996</v>
      </c>
      <c r="R31" s="85"/>
      <c r="S31" s="85">
        <v>0</v>
      </c>
      <c r="T31" s="85"/>
      <c r="U31" s="85">
        <v>0</v>
      </c>
      <c r="V31" s="85"/>
      <c r="W31" s="85">
        <v>0</v>
      </c>
      <c r="X31" s="85"/>
      <c r="Y31" s="85">
        <v>0</v>
      </c>
      <c r="Z31" s="241">
        <f t="shared" si="5"/>
        <v>216665.90212999997</v>
      </c>
    </row>
    <row r="32" spans="1:26" s="82" customFormat="1" ht="26.25" customHeight="1">
      <c r="A32" s="83">
        <v>21</v>
      </c>
      <c r="B32" s="89" t="s">
        <v>175</v>
      </c>
      <c r="C32" s="88">
        <f>+'Loans Receivable'!C78</f>
        <v>3186948736</v>
      </c>
      <c r="D32" s="182">
        <f t="shared" si="8"/>
        <v>0.29465448526988647</v>
      </c>
      <c r="E32" s="85"/>
      <c r="F32" s="182">
        <f t="shared" si="9"/>
        <v>0</v>
      </c>
      <c r="G32" s="85">
        <v>0</v>
      </c>
      <c r="H32" s="182" t="str">
        <f t="shared" si="10"/>
        <v/>
      </c>
      <c r="I32" s="88">
        <f t="shared" si="11"/>
        <v>96567447.310869947</v>
      </c>
      <c r="J32" s="88">
        <f t="shared" si="11"/>
        <v>48276763.31652005</v>
      </c>
      <c r="K32" s="182">
        <f t="shared" si="12"/>
        <v>0.19117674246467314</v>
      </c>
      <c r="L32" s="85">
        <v>7371585.3886100044</v>
      </c>
      <c r="M32" s="85">
        <v>6067582.4499900118</v>
      </c>
      <c r="N32" s="85">
        <v>11810794.959190005</v>
      </c>
      <c r="O32" s="85">
        <v>3633405.6633899952</v>
      </c>
      <c r="P32" s="85">
        <v>9226157.176269995</v>
      </c>
      <c r="Q32" s="85">
        <v>3446461.4327500029</v>
      </c>
      <c r="R32" s="85">
        <v>17166147.409180015</v>
      </c>
      <c r="S32" s="85">
        <v>14041487</v>
      </c>
      <c r="T32" s="85">
        <v>35701896.599419914</v>
      </c>
      <c r="U32" s="85">
        <v>14147415.807510037</v>
      </c>
      <c r="V32" s="85">
        <v>15282290.38633001</v>
      </c>
      <c r="W32" s="85">
        <v>6934796</v>
      </c>
      <c r="X32" s="85">
        <v>8575.3918700000013</v>
      </c>
      <c r="Y32" s="85">
        <v>5614.96288</v>
      </c>
      <c r="Z32" s="241">
        <f t="shared" si="5"/>
        <v>144844210.62739</v>
      </c>
    </row>
    <row r="33" spans="1:26" s="82" customFormat="1" ht="18.75" customHeight="1">
      <c r="A33" s="83"/>
      <c r="B33" s="84"/>
      <c r="C33" s="88"/>
      <c r="D33" s="182"/>
      <c r="E33" s="183"/>
      <c r="F33" s="182"/>
      <c r="G33" s="183"/>
      <c r="H33" s="182"/>
      <c r="I33" s="88"/>
      <c r="J33" s="184"/>
      <c r="K33" s="182"/>
      <c r="L33" s="85"/>
      <c r="M33" s="85"/>
      <c r="N33" s="85"/>
      <c r="O33" s="85"/>
      <c r="P33" s="85"/>
      <c r="Q33" s="85"/>
      <c r="R33" s="85"/>
      <c r="S33" s="85">
        <v>0</v>
      </c>
      <c r="T33" s="85"/>
      <c r="U33" s="85"/>
      <c r="V33" s="85"/>
      <c r="W33" s="85"/>
      <c r="X33" s="85"/>
      <c r="Y33" s="85"/>
      <c r="Z33" s="241">
        <f t="shared" si="5"/>
        <v>0</v>
      </c>
    </row>
    <row r="34" spans="1:26" s="82" customFormat="1" ht="27.75" customHeight="1">
      <c r="A34" s="201">
        <v>22</v>
      </c>
      <c r="B34" s="201" t="s">
        <v>173</v>
      </c>
      <c r="C34" s="202">
        <f>SUM(C25:C32)</f>
        <v>10815884011</v>
      </c>
      <c r="D34" s="203">
        <f>IF(C$34=0,"",C34/C$34)</f>
        <v>1</v>
      </c>
      <c r="E34" s="202">
        <f>SUM(E25:E32)</f>
        <v>35274462</v>
      </c>
      <c r="F34" s="203">
        <f>IF($E$34=0,"",E34/$E$34)</f>
        <v>1</v>
      </c>
      <c r="G34" s="202">
        <f>SUM(G25:G32)</f>
        <v>0</v>
      </c>
      <c r="H34" s="203" t="str">
        <f>IF($G$34=0,"",G34/$G$34)</f>
        <v/>
      </c>
      <c r="I34" s="202">
        <f t="shared" ref="I34:Y34" si="13">SUM(I25:I32)</f>
        <v>525547606.99015003</v>
      </c>
      <c r="J34" s="202">
        <f t="shared" si="13"/>
        <v>232097955.7495501</v>
      </c>
      <c r="K34" s="203">
        <f>IF($Z$34=0,"",Z34/$Z$34)</f>
        <v>1</v>
      </c>
      <c r="L34" s="202">
        <f t="shared" si="13"/>
        <v>29459953.105710007</v>
      </c>
      <c r="M34" s="202">
        <f t="shared" si="13"/>
        <v>14655876.949450018</v>
      </c>
      <c r="N34" s="202">
        <f t="shared" si="13"/>
        <v>42984599.540439986</v>
      </c>
      <c r="O34" s="202">
        <f t="shared" si="13"/>
        <v>23315901.997310024</v>
      </c>
      <c r="P34" s="202">
        <f t="shared" si="13"/>
        <v>35069320.533169985</v>
      </c>
      <c r="Q34" s="202">
        <f t="shared" si="13"/>
        <v>17799107.615180008</v>
      </c>
      <c r="R34" s="202">
        <f t="shared" si="13"/>
        <v>90913078.354100049</v>
      </c>
      <c r="S34" s="202">
        <f t="shared" si="13"/>
        <v>65438758</v>
      </c>
      <c r="T34" s="202">
        <f t="shared" si="13"/>
        <v>225236510.84501004</v>
      </c>
      <c r="U34" s="202">
        <f t="shared" si="13"/>
        <v>50919649.942750052</v>
      </c>
      <c r="V34" s="202">
        <f t="shared" si="13"/>
        <v>101233048.58166</v>
      </c>
      <c r="W34" s="202">
        <f t="shared" si="13"/>
        <v>58957075</v>
      </c>
      <c r="X34" s="202">
        <f t="shared" si="13"/>
        <v>651096.03006000014</v>
      </c>
      <c r="Y34" s="202">
        <f t="shared" si="13"/>
        <v>1011586.2448600001</v>
      </c>
      <c r="Z34" s="241">
        <f t="shared" si="5"/>
        <v>757645562.73970008</v>
      </c>
    </row>
    <row r="35" spans="1:26" ht="15.75">
      <c r="A35" s="91"/>
    </row>
    <row r="36" spans="1:26" ht="15.75">
      <c r="A36" s="91"/>
    </row>
    <row r="37" spans="1:26" ht="15.75">
      <c r="A37" s="91"/>
      <c r="B37" s="92" t="s">
        <v>0</v>
      </c>
    </row>
    <row r="38" spans="1:26" ht="15.75">
      <c r="A38" s="91"/>
      <c r="B38" s="92"/>
    </row>
    <row r="39" spans="1:26" ht="15.75">
      <c r="A39" s="91"/>
      <c r="B39" s="92" t="s">
        <v>1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6" type="noConversion"/>
  <conditionalFormatting sqref="C34 E34 G34 I34:J34 L34:Y34">
    <cfRule type="cellIs" dxfId="251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1048576"/>
  <sheetViews>
    <sheetView zoomScale="70" zoomScaleNormal="70" zoomScaleSheetLayoutView="70" workbookViewId="0">
      <pane xSplit="4" ySplit="5" topLeftCell="E6" activePane="bottomRight" state="frozen"/>
      <selection activeCell="C73" sqref="C73"/>
      <selection pane="topRight" activeCell="C73" sqref="C73"/>
      <selection pane="bottomLeft" activeCell="C73" sqref="C73"/>
      <selection pane="bottomRight" activeCell="Q30" sqref="Q30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1" width="18" style="1" customWidth="1"/>
    <col min="22" max="22" width="14.7109375" style="1" customWidth="1"/>
    <col min="23" max="23" width="14.42578125" style="1" customWidth="1"/>
    <col min="24" max="24" width="12.42578125" style="1" customWidth="1"/>
    <col min="25" max="25" width="17" style="1" bestFit="1" customWidth="1"/>
    <col min="26" max="26" width="14.7109375" style="1" customWidth="1"/>
    <col min="27" max="28" width="14.7109375" style="567" customWidth="1"/>
    <col min="29" max="30" width="14.7109375" style="588" customWidth="1"/>
    <col min="31" max="36" width="9.42578125" style="239"/>
    <col min="37" max="16384" width="9.42578125" style="1"/>
  </cols>
  <sheetData>
    <row r="1" spans="1:36" ht="21" customHeight="1">
      <c r="A1" s="17" t="s">
        <v>696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1" t="s">
        <v>593</v>
      </c>
      <c r="X1" s="15"/>
      <c r="Y1" s="15"/>
      <c r="Z1" s="15"/>
      <c r="AA1" s="565"/>
      <c r="AB1" s="565"/>
    </row>
    <row r="2" spans="1:36" ht="15.75">
      <c r="A2" s="13"/>
      <c r="B2" s="167" t="str">
        <f>+'Asset quality'!B3</f>
        <v>"Микрокредитбанк"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65">
        <f>+'Asset quality'!P3</f>
        <v>44560</v>
      </c>
      <c r="V2" s="13"/>
      <c r="W2" s="166"/>
      <c r="X2" s="13"/>
      <c r="Y2" s="13"/>
      <c r="Z2" s="456" t="s">
        <v>382</v>
      </c>
      <c r="AA2" s="566"/>
      <c r="AB2" s="566"/>
    </row>
    <row r="3" spans="1:36" ht="137.25" customHeight="1">
      <c r="A3" s="18" t="s">
        <v>83</v>
      </c>
      <c r="B3" s="19" t="s">
        <v>176</v>
      </c>
      <c r="C3" s="28" t="s">
        <v>177</v>
      </c>
      <c r="D3" s="28" t="s">
        <v>544</v>
      </c>
      <c r="E3" s="28" t="s">
        <v>178</v>
      </c>
      <c r="F3" s="28" t="s">
        <v>544</v>
      </c>
      <c r="G3" s="28" t="s">
        <v>56</v>
      </c>
      <c r="H3" s="28" t="s">
        <v>544</v>
      </c>
      <c r="I3" s="28" t="s">
        <v>179</v>
      </c>
      <c r="J3" s="28" t="s">
        <v>544</v>
      </c>
      <c r="K3" s="28" t="s">
        <v>34</v>
      </c>
      <c r="L3" s="28" t="s">
        <v>544</v>
      </c>
      <c r="M3" s="28" t="s">
        <v>21</v>
      </c>
      <c r="N3" s="28" t="s">
        <v>544</v>
      </c>
      <c r="O3" s="28" t="s">
        <v>35</v>
      </c>
      <c r="P3" s="28" t="s">
        <v>544</v>
      </c>
      <c r="Q3" s="28" t="s">
        <v>180</v>
      </c>
      <c r="R3" s="28" t="s">
        <v>544</v>
      </c>
      <c r="S3" s="28" t="s">
        <v>36</v>
      </c>
      <c r="T3" s="28" t="s">
        <v>544</v>
      </c>
      <c r="U3" s="28" t="s">
        <v>181</v>
      </c>
      <c r="V3" s="28" t="s">
        <v>544</v>
      </c>
      <c r="W3" s="28" t="s">
        <v>22</v>
      </c>
      <c r="X3" s="28" t="s">
        <v>544</v>
      </c>
      <c r="Y3" s="28" t="s">
        <v>45</v>
      </c>
      <c r="Z3" s="28" t="s">
        <v>544</v>
      </c>
      <c r="AA3" s="589" t="s">
        <v>833</v>
      </c>
      <c r="AB3" s="589" t="s">
        <v>834</v>
      </c>
    </row>
    <row r="4" spans="1:36" s="56" customFormat="1" ht="25.5">
      <c r="A4" s="55" t="s">
        <v>107</v>
      </c>
      <c r="B4" s="55" t="s">
        <v>58</v>
      </c>
      <c r="C4" s="55" t="s">
        <v>59</v>
      </c>
      <c r="D4" s="55" t="s">
        <v>546</v>
      </c>
      <c r="E4" s="55" t="s">
        <v>60</v>
      </c>
      <c r="F4" s="55" t="s">
        <v>547</v>
      </c>
      <c r="G4" s="55" t="s">
        <v>84</v>
      </c>
      <c r="H4" s="55" t="s">
        <v>548</v>
      </c>
      <c r="I4" s="55" t="s">
        <v>85</v>
      </c>
      <c r="J4" s="55" t="s">
        <v>549</v>
      </c>
      <c r="K4" s="55" t="s">
        <v>87</v>
      </c>
      <c r="L4" s="55" t="s">
        <v>550</v>
      </c>
      <c r="M4" s="55" t="s">
        <v>108</v>
      </c>
      <c r="N4" s="55" t="s">
        <v>551</v>
      </c>
      <c r="O4" s="55" t="s">
        <v>109</v>
      </c>
      <c r="P4" s="55" t="s">
        <v>552</v>
      </c>
      <c r="Q4" s="55" t="s">
        <v>110</v>
      </c>
      <c r="R4" s="55" t="s">
        <v>553</v>
      </c>
      <c r="S4" s="55" t="s">
        <v>111</v>
      </c>
      <c r="T4" s="55" t="s">
        <v>554</v>
      </c>
      <c r="U4" s="55" t="s">
        <v>112</v>
      </c>
      <c r="V4" s="55" t="s">
        <v>555</v>
      </c>
      <c r="W4" s="55" t="s">
        <v>113</v>
      </c>
      <c r="X4" s="55" t="s">
        <v>556</v>
      </c>
      <c r="Y4" s="55" t="s">
        <v>44</v>
      </c>
      <c r="Z4" s="55" t="s">
        <v>557</v>
      </c>
      <c r="AA4" s="55" t="s">
        <v>396</v>
      </c>
      <c r="AB4" s="55" t="s">
        <v>397</v>
      </c>
      <c r="AC4" s="590"/>
      <c r="AD4" s="590"/>
      <c r="AE4" s="240"/>
      <c r="AF4" s="240"/>
      <c r="AG4" s="240"/>
      <c r="AH4" s="240"/>
      <c r="AI4" s="240"/>
      <c r="AJ4" s="240"/>
    </row>
    <row r="5" spans="1:36" s="56" customFormat="1" ht="27.75" customHeight="1">
      <c r="A5" s="204"/>
      <c r="B5" s="204" t="s">
        <v>160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591"/>
      <c r="AB5" s="591"/>
      <c r="AC5" s="590"/>
      <c r="AD5" s="590"/>
      <c r="AE5" s="240"/>
      <c r="AF5" s="240"/>
      <c r="AG5" s="240"/>
      <c r="AH5" s="240"/>
      <c r="AI5" s="240"/>
      <c r="AJ5" s="240"/>
    </row>
    <row r="6" spans="1:36" s="20" customFormat="1" ht="23.25" customHeight="1">
      <c r="A6" s="19">
        <v>1</v>
      </c>
      <c r="B6" s="70" t="s">
        <v>161</v>
      </c>
      <c r="C6" s="290">
        <f t="shared" ref="C6:C29" si="0">E6+I6+M6+Q6+U6</f>
        <v>0</v>
      </c>
      <c r="D6" s="290">
        <f>F6+J6+N6+R6+V6</f>
        <v>0</v>
      </c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9">
        <f t="shared" ref="Y6:Y29" si="1">+W6+S6+O6+K6</f>
        <v>0</v>
      </c>
      <c r="Z6" s="289">
        <f t="shared" ref="Z6:Z29" si="2">+X6+T6+P6+L6</f>
        <v>0</v>
      </c>
      <c r="AA6" s="60"/>
      <c r="AB6" s="60"/>
      <c r="AC6" s="592">
        <f>+'Aging Analysis'!C9</f>
        <v>0</v>
      </c>
      <c r="AD6" s="590"/>
      <c r="AE6" s="240"/>
      <c r="AF6" s="240"/>
      <c r="AG6" s="240"/>
      <c r="AH6" s="240"/>
      <c r="AI6" s="240"/>
      <c r="AJ6" s="240"/>
    </row>
    <row r="7" spans="1:36" s="20" customFormat="1" ht="14.25" customHeight="1">
      <c r="A7" s="19"/>
      <c r="B7" s="73" t="s">
        <v>545</v>
      </c>
      <c r="C7" s="75">
        <f t="shared" si="0"/>
        <v>0</v>
      </c>
      <c r="D7" s="290">
        <f t="shared" ref="D7:D29" si="3">F7+J7+N7+R7+V7</f>
        <v>0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54">
        <f t="shared" si="1"/>
        <v>0</v>
      </c>
      <c r="Z7" s="54">
        <f t="shared" si="2"/>
        <v>0</v>
      </c>
      <c r="AA7" s="60"/>
      <c r="AB7" s="60"/>
      <c r="AC7" s="56"/>
      <c r="AD7" s="590"/>
      <c r="AE7" s="240"/>
      <c r="AF7" s="240"/>
      <c r="AG7" s="240"/>
      <c r="AH7" s="240"/>
      <c r="AI7" s="240"/>
      <c r="AJ7" s="240"/>
    </row>
    <row r="8" spans="1:36" s="20" customFormat="1" ht="23.25" customHeight="1">
      <c r="A8" s="19">
        <v>2</v>
      </c>
      <c r="B8" s="70" t="s">
        <v>162</v>
      </c>
      <c r="C8" s="75">
        <f t="shared" si="0"/>
        <v>0</v>
      </c>
      <c r="D8" s="290">
        <f t="shared" si="3"/>
        <v>0</v>
      </c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54">
        <f t="shared" si="1"/>
        <v>0</v>
      </c>
      <c r="Z8" s="54">
        <f t="shared" si="2"/>
        <v>0</v>
      </c>
      <c r="AA8" s="60"/>
      <c r="AB8" s="60"/>
      <c r="AC8" s="592">
        <f>+'Aging Analysis'!C10</f>
        <v>0</v>
      </c>
      <c r="AD8" s="590"/>
      <c r="AE8" s="240"/>
      <c r="AF8" s="240"/>
      <c r="AG8" s="240"/>
      <c r="AH8" s="240"/>
      <c r="AI8" s="240"/>
      <c r="AJ8" s="240"/>
    </row>
    <row r="9" spans="1:36" s="20" customFormat="1" ht="14.25" customHeight="1">
      <c r="A9" s="53"/>
      <c r="B9" s="73" t="s">
        <v>545</v>
      </c>
      <c r="C9" s="75">
        <f t="shared" si="0"/>
        <v>0</v>
      </c>
      <c r="D9" s="290">
        <f t="shared" si="3"/>
        <v>0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54">
        <f t="shared" si="1"/>
        <v>0</v>
      </c>
      <c r="Z9" s="54">
        <f t="shared" si="2"/>
        <v>0</v>
      </c>
      <c r="AA9" s="60"/>
      <c r="AB9" s="60"/>
      <c r="AC9" s="56"/>
      <c r="AD9" s="590"/>
      <c r="AE9" s="240"/>
      <c r="AF9" s="240"/>
      <c r="AG9" s="240"/>
      <c r="AH9" s="240"/>
      <c r="AI9" s="240"/>
      <c r="AJ9" s="240"/>
    </row>
    <row r="10" spans="1:36" s="20" customFormat="1" ht="23.25" customHeight="1">
      <c r="A10" s="19">
        <v>3</v>
      </c>
      <c r="B10" s="70" t="s">
        <v>163</v>
      </c>
      <c r="C10" s="75">
        <f t="shared" si="0"/>
        <v>0</v>
      </c>
      <c r="D10" s="290">
        <f t="shared" si="3"/>
        <v>0</v>
      </c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54">
        <f t="shared" si="1"/>
        <v>0</v>
      </c>
      <c r="Z10" s="54">
        <f t="shared" si="2"/>
        <v>0</v>
      </c>
      <c r="AA10" s="60"/>
      <c r="AB10" s="60"/>
      <c r="AC10" s="592">
        <f>+'Aging Analysis'!C11</f>
        <v>0</v>
      </c>
      <c r="AD10" s="590"/>
      <c r="AE10" s="240"/>
      <c r="AF10" s="240"/>
      <c r="AG10" s="240"/>
      <c r="AH10" s="240"/>
      <c r="AI10" s="240"/>
      <c r="AJ10" s="240"/>
    </row>
    <row r="11" spans="1:36" s="20" customFormat="1" ht="14.25" customHeight="1">
      <c r="A11" s="53"/>
      <c r="B11" s="73" t="s">
        <v>545</v>
      </c>
      <c r="C11" s="75">
        <f t="shared" si="0"/>
        <v>0</v>
      </c>
      <c r="D11" s="290">
        <f t="shared" si="3"/>
        <v>0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54">
        <f t="shared" si="1"/>
        <v>0</v>
      </c>
      <c r="Z11" s="54">
        <f t="shared" si="2"/>
        <v>0</v>
      </c>
      <c r="AA11" s="60"/>
      <c r="AB11" s="60"/>
      <c r="AC11" s="56"/>
      <c r="AD11" s="590"/>
      <c r="AE11" s="240"/>
      <c r="AF11" s="240"/>
      <c r="AG11" s="240"/>
      <c r="AH11" s="240"/>
      <c r="AI11" s="240"/>
      <c r="AJ11" s="240"/>
    </row>
    <row r="12" spans="1:36" s="20" customFormat="1" ht="23.25" customHeight="1">
      <c r="A12" s="19">
        <v>4</v>
      </c>
      <c r="B12" s="70" t="s">
        <v>164</v>
      </c>
      <c r="C12" s="75">
        <f t="shared" si="0"/>
        <v>3084481917</v>
      </c>
      <c r="D12" s="290">
        <f t="shared" si="3"/>
        <v>0</v>
      </c>
      <c r="E12" s="76">
        <v>2457104568</v>
      </c>
      <c r="F12" s="76">
        <v>0</v>
      </c>
      <c r="G12" s="76">
        <v>0</v>
      </c>
      <c r="H12" s="76">
        <v>0</v>
      </c>
      <c r="I12" s="76">
        <v>279332652</v>
      </c>
      <c r="J12" s="76">
        <v>0</v>
      </c>
      <c r="K12" s="76">
        <v>27922889</v>
      </c>
      <c r="L12" s="76">
        <v>0</v>
      </c>
      <c r="M12" s="76">
        <v>50523767</v>
      </c>
      <c r="N12" s="76">
        <v>0</v>
      </c>
      <c r="O12" s="76">
        <v>12252269</v>
      </c>
      <c r="P12" s="76">
        <v>0</v>
      </c>
      <c r="Q12" s="76">
        <v>60700150</v>
      </c>
      <c r="R12" s="76">
        <v>0</v>
      </c>
      <c r="S12" s="76">
        <v>29377522</v>
      </c>
      <c r="T12" s="76">
        <v>0</v>
      </c>
      <c r="U12" s="76">
        <v>236820780</v>
      </c>
      <c r="V12" s="76">
        <v>0</v>
      </c>
      <c r="W12" s="76">
        <v>51308106</v>
      </c>
      <c r="X12" s="76">
        <v>0</v>
      </c>
      <c r="Y12" s="54">
        <f t="shared" si="1"/>
        <v>120860786</v>
      </c>
      <c r="Z12" s="54">
        <f t="shared" si="2"/>
        <v>0</v>
      </c>
      <c r="AA12" s="60"/>
      <c r="AB12" s="60"/>
      <c r="AC12" s="592">
        <f>+'Aging Analysis'!C12</f>
        <v>3084481917</v>
      </c>
      <c r="AD12" s="590"/>
      <c r="AE12" s="240"/>
      <c r="AF12" s="240"/>
      <c r="AG12" s="240"/>
      <c r="AH12" s="240"/>
      <c r="AI12" s="240"/>
      <c r="AJ12" s="240"/>
    </row>
    <row r="13" spans="1:36" s="20" customFormat="1" ht="14.25" customHeight="1">
      <c r="A13" s="53"/>
      <c r="B13" s="73" t="s">
        <v>545</v>
      </c>
      <c r="C13" s="75">
        <f t="shared" si="0"/>
        <v>0</v>
      </c>
      <c r="D13" s="290">
        <f t="shared" si="3"/>
        <v>0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54">
        <f t="shared" si="1"/>
        <v>0</v>
      </c>
      <c r="Z13" s="54">
        <f t="shared" si="2"/>
        <v>0</v>
      </c>
      <c r="AA13" s="60"/>
      <c r="AB13" s="60"/>
      <c r="AC13" s="56"/>
      <c r="AD13" s="590"/>
      <c r="AE13" s="240"/>
      <c r="AF13" s="240"/>
      <c r="AG13" s="240"/>
      <c r="AH13" s="240"/>
      <c r="AI13" s="240"/>
      <c r="AJ13" s="240"/>
    </row>
    <row r="14" spans="1:36" s="20" customFormat="1" ht="23.25" customHeight="1">
      <c r="A14" s="19">
        <v>5</v>
      </c>
      <c r="B14" s="70" t="s">
        <v>165</v>
      </c>
      <c r="C14" s="75">
        <f t="shared" si="0"/>
        <v>237969866</v>
      </c>
      <c r="D14" s="290">
        <f t="shared" si="3"/>
        <v>54188322</v>
      </c>
      <c r="E14" s="76">
        <v>171352995</v>
      </c>
      <c r="F14" s="76">
        <v>54188322</v>
      </c>
      <c r="G14" s="76">
        <v>0</v>
      </c>
      <c r="H14" s="76">
        <v>0</v>
      </c>
      <c r="I14" s="76">
        <v>60111156</v>
      </c>
      <c r="J14" s="76">
        <v>0</v>
      </c>
      <c r="K14" s="76">
        <v>6011116</v>
      </c>
      <c r="L14" s="76">
        <v>0</v>
      </c>
      <c r="M14" s="76">
        <v>6051420</v>
      </c>
      <c r="N14" s="76">
        <v>0</v>
      </c>
      <c r="O14" s="76">
        <v>630142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454295</v>
      </c>
      <c r="V14" s="76">
        <v>0</v>
      </c>
      <c r="W14" s="76">
        <v>0</v>
      </c>
      <c r="X14" s="76">
        <v>0</v>
      </c>
      <c r="Y14" s="54">
        <f t="shared" si="1"/>
        <v>6641258</v>
      </c>
      <c r="Z14" s="54">
        <f t="shared" si="2"/>
        <v>0</v>
      </c>
      <c r="AA14" s="60"/>
      <c r="AB14" s="60"/>
      <c r="AC14" s="592">
        <f>+'Aging Analysis'!C13</f>
        <v>237969866</v>
      </c>
      <c r="AD14" s="590"/>
      <c r="AE14" s="240"/>
      <c r="AF14" s="240"/>
      <c r="AG14" s="240"/>
      <c r="AH14" s="240"/>
      <c r="AI14" s="240"/>
      <c r="AJ14" s="240"/>
    </row>
    <row r="15" spans="1:36" s="20" customFormat="1" ht="14.25" customHeight="1">
      <c r="A15" s="53"/>
      <c r="B15" s="73" t="s">
        <v>545</v>
      </c>
      <c r="C15" s="75">
        <f t="shared" si="0"/>
        <v>0</v>
      </c>
      <c r="D15" s="290">
        <f t="shared" si="3"/>
        <v>0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54">
        <f t="shared" si="1"/>
        <v>0</v>
      </c>
      <c r="Z15" s="54">
        <f t="shared" si="2"/>
        <v>0</v>
      </c>
      <c r="AA15" s="60"/>
      <c r="AB15" s="60"/>
      <c r="AC15" s="56"/>
      <c r="AD15" s="590"/>
      <c r="AE15" s="240"/>
      <c r="AF15" s="240"/>
      <c r="AG15" s="240"/>
      <c r="AH15" s="240"/>
      <c r="AI15" s="240"/>
      <c r="AJ15" s="240"/>
    </row>
    <row r="16" spans="1:36" s="20" customFormat="1" ht="23.25" customHeight="1">
      <c r="A16" s="19">
        <v>6</v>
      </c>
      <c r="B16" s="70" t="s">
        <v>166</v>
      </c>
      <c r="C16" s="75">
        <f t="shared" si="0"/>
        <v>455620953</v>
      </c>
      <c r="D16" s="290">
        <f t="shared" si="3"/>
        <v>288547784</v>
      </c>
      <c r="E16" s="76">
        <v>388512721</v>
      </c>
      <c r="F16" s="76">
        <v>241016272</v>
      </c>
      <c r="G16" s="76">
        <v>0</v>
      </c>
      <c r="H16" s="76">
        <v>0</v>
      </c>
      <c r="I16" s="76">
        <v>60958145</v>
      </c>
      <c r="J16" s="76">
        <v>47531512</v>
      </c>
      <c r="K16" s="76">
        <v>5965799</v>
      </c>
      <c r="L16" s="76">
        <v>4753151</v>
      </c>
      <c r="M16" s="76">
        <v>1011514</v>
      </c>
      <c r="N16" s="76">
        <v>0</v>
      </c>
      <c r="O16" s="76">
        <v>252879</v>
      </c>
      <c r="P16" s="76">
        <v>0</v>
      </c>
      <c r="Q16" s="76">
        <v>900280</v>
      </c>
      <c r="R16" s="76">
        <v>0</v>
      </c>
      <c r="S16" s="76">
        <v>433465</v>
      </c>
      <c r="T16" s="76">
        <v>0</v>
      </c>
      <c r="U16" s="76">
        <v>4238293</v>
      </c>
      <c r="V16" s="76">
        <v>0</v>
      </c>
      <c r="W16" s="76">
        <v>197308</v>
      </c>
      <c r="X16" s="76">
        <v>0</v>
      </c>
      <c r="Y16" s="54">
        <f t="shared" si="1"/>
        <v>6849451</v>
      </c>
      <c r="Z16" s="54">
        <f t="shared" si="2"/>
        <v>4753151</v>
      </c>
      <c r="AA16" s="60"/>
      <c r="AB16" s="60"/>
      <c r="AC16" s="592">
        <f>+'Aging Analysis'!C14</f>
        <v>455620953</v>
      </c>
      <c r="AD16" s="590"/>
      <c r="AE16" s="240"/>
      <c r="AF16" s="240"/>
      <c r="AG16" s="240"/>
      <c r="AH16" s="240"/>
      <c r="AI16" s="240"/>
      <c r="AJ16" s="240"/>
    </row>
    <row r="17" spans="1:36" s="20" customFormat="1" ht="14.25" customHeight="1">
      <c r="A17" s="53"/>
      <c r="B17" s="73" t="s">
        <v>545</v>
      </c>
      <c r="C17" s="75">
        <f t="shared" si="0"/>
        <v>0</v>
      </c>
      <c r="D17" s="290">
        <f t="shared" si="3"/>
        <v>0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54">
        <f t="shared" si="1"/>
        <v>0</v>
      </c>
      <c r="Z17" s="54">
        <f t="shared" si="2"/>
        <v>0</v>
      </c>
      <c r="AA17" s="60"/>
      <c r="AB17" s="60"/>
      <c r="AC17" s="56"/>
      <c r="AD17" s="590"/>
      <c r="AE17" s="240"/>
      <c r="AF17" s="240"/>
      <c r="AG17" s="240"/>
      <c r="AH17" s="240"/>
      <c r="AI17" s="240"/>
      <c r="AJ17" s="240"/>
    </row>
    <row r="18" spans="1:36" s="20" customFormat="1" ht="23.25" customHeight="1">
      <c r="A18" s="19">
        <v>7</v>
      </c>
      <c r="B18" s="70" t="s">
        <v>167</v>
      </c>
      <c r="C18" s="75">
        <f t="shared" si="0"/>
        <v>6772953254</v>
      </c>
      <c r="D18" s="290">
        <f t="shared" si="3"/>
        <v>3190462147</v>
      </c>
      <c r="E18" s="76">
        <v>5927930415</v>
      </c>
      <c r="F18" s="76">
        <v>2888927032</v>
      </c>
      <c r="G18" s="76">
        <v>0</v>
      </c>
      <c r="H18" s="76">
        <v>38811</v>
      </c>
      <c r="I18" s="76">
        <v>569159880</v>
      </c>
      <c r="J18" s="76">
        <v>181288795</v>
      </c>
      <c r="K18" s="76">
        <v>54493731</v>
      </c>
      <c r="L18" s="76">
        <v>17300828</v>
      </c>
      <c r="M18" s="76">
        <v>176884326</v>
      </c>
      <c r="N18" s="76">
        <v>119725254</v>
      </c>
      <c r="O18" s="76">
        <v>15050150</v>
      </c>
      <c r="P18" s="76">
        <v>7674629</v>
      </c>
      <c r="Q18" s="76">
        <v>18143746</v>
      </c>
      <c r="R18" s="76">
        <v>0</v>
      </c>
      <c r="S18" s="76">
        <v>8416131</v>
      </c>
      <c r="T18" s="76">
        <v>0</v>
      </c>
      <c r="U18" s="76">
        <v>80834887</v>
      </c>
      <c r="V18" s="76">
        <v>521066</v>
      </c>
      <c r="W18" s="76">
        <v>6575278</v>
      </c>
      <c r="X18" s="76">
        <v>0</v>
      </c>
      <c r="Y18" s="54">
        <f t="shared" si="1"/>
        <v>84535290</v>
      </c>
      <c r="Z18" s="54">
        <f t="shared" si="2"/>
        <v>24975457</v>
      </c>
      <c r="AA18" s="60"/>
      <c r="AB18" s="60"/>
      <c r="AC18" s="592">
        <f>+'Aging Analysis'!C15</f>
        <v>6772953254</v>
      </c>
      <c r="AD18" s="590"/>
      <c r="AE18" s="240"/>
      <c r="AF18" s="240"/>
      <c r="AG18" s="240"/>
      <c r="AH18" s="240"/>
      <c r="AI18" s="240"/>
      <c r="AJ18" s="240"/>
    </row>
    <row r="19" spans="1:36" s="20" customFormat="1" ht="14.25" customHeight="1">
      <c r="A19" s="53"/>
      <c r="B19" s="73" t="s">
        <v>545</v>
      </c>
      <c r="C19" s="75">
        <f t="shared" si="0"/>
        <v>0</v>
      </c>
      <c r="D19" s="290">
        <f t="shared" si="3"/>
        <v>0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54">
        <f t="shared" si="1"/>
        <v>0</v>
      </c>
      <c r="Z19" s="54">
        <f t="shared" si="2"/>
        <v>0</v>
      </c>
      <c r="AA19" s="60"/>
      <c r="AB19" s="60"/>
      <c r="AC19" s="56"/>
      <c r="AD19" s="590"/>
      <c r="AE19" s="240"/>
      <c r="AF19" s="240"/>
      <c r="AG19" s="240"/>
      <c r="AH19" s="240"/>
      <c r="AI19" s="240"/>
      <c r="AJ19" s="240"/>
    </row>
    <row r="20" spans="1:36" s="20" customFormat="1" ht="23.25" customHeight="1">
      <c r="A20" s="19">
        <v>8</v>
      </c>
      <c r="B20" s="70" t="s">
        <v>168</v>
      </c>
      <c r="C20" s="75">
        <f t="shared" si="0"/>
        <v>261233028</v>
      </c>
      <c r="D20" s="290">
        <f t="shared" si="3"/>
        <v>77585862</v>
      </c>
      <c r="E20" s="76">
        <v>238375501</v>
      </c>
      <c r="F20" s="76">
        <v>76152219</v>
      </c>
      <c r="G20" s="76">
        <v>0</v>
      </c>
      <c r="H20" s="76">
        <v>0</v>
      </c>
      <c r="I20" s="76">
        <v>17170732</v>
      </c>
      <c r="J20" s="76">
        <v>1433643</v>
      </c>
      <c r="K20" s="76">
        <v>1672411</v>
      </c>
      <c r="L20" s="76">
        <v>143364</v>
      </c>
      <c r="M20" s="76">
        <v>3574759</v>
      </c>
      <c r="N20" s="76">
        <v>0</v>
      </c>
      <c r="O20" s="76">
        <v>393690</v>
      </c>
      <c r="P20" s="76">
        <v>0</v>
      </c>
      <c r="Q20" s="76">
        <v>80407</v>
      </c>
      <c r="R20" s="76">
        <v>0</v>
      </c>
      <c r="S20" s="76">
        <v>40204</v>
      </c>
      <c r="T20" s="76">
        <v>0</v>
      </c>
      <c r="U20" s="76">
        <v>2031629</v>
      </c>
      <c r="V20" s="76">
        <v>0</v>
      </c>
      <c r="W20" s="76">
        <v>77223</v>
      </c>
      <c r="X20" s="76">
        <v>0</v>
      </c>
      <c r="Y20" s="54">
        <f t="shared" si="1"/>
        <v>2183528</v>
      </c>
      <c r="Z20" s="54">
        <f t="shared" si="2"/>
        <v>143364</v>
      </c>
      <c r="AA20" s="60"/>
      <c r="AB20" s="60"/>
      <c r="AC20" s="592">
        <f>+'Aging Analysis'!C16</f>
        <v>261233028</v>
      </c>
      <c r="AD20" s="590"/>
      <c r="AE20" s="240"/>
      <c r="AF20" s="240"/>
      <c r="AG20" s="240"/>
      <c r="AH20" s="240"/>
      <c r="AI20" s="240"/>
      <c r="AJ20" s="240"/>
    </row>
    <row r="21" spans="1:36" s="20" customFormat="1" ht="14.25" customHeight="1">
      <c r="A21" s="53"/>
      <c r="B21" s="73" t="s">
        <v>545</v>
      </c>
      <c r="C21" s="75">
        <f t="shared" si="0"/>
        <v>0</v>
      </c>
      <c r="D21" s="290">
        <f t="shared" si="3"/>
        <v>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54">
        <f t="shared" si="1"/>
        <v>0</v>
      </c>
      <c r="Z21" s="54">
        <f t="shared" si="2"/>
        <v>0</v>
      </c>
      <c r="AA21" s="60"/>
      <c r="AB21" s="60"/>
      <c r="AC21" s="56"/>
      <c r="AD21" s="590"/>
      <c r="AE21" s="240"/>
      <c r="AF21" s="240"/>
      <c r="AG21" s="240"/>
      <c r="AH21" s="240"/>
      <c r="AI21" s="240"/>
      <c r="AJ21" s="240"/>
    </row>
    <row r="22" spans="1:36" s="20" customFormat="1" ht="23.25" customHeight="1">
      <c r="A22" s="19">
        <v>9</v>
      </c>
      <c r="B22" s="70" t="s">
        <v>169</v>
      </c>
      <c r="C22" s="75">
        <f t="shared" si="0"/>
        <v>0</v>
      </c>
      <c r="D22" s="290">
        <f t="shared" si="3"/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54">
        <f t="shared" si="1"/>
        <v>0</v>
      </c>
      <c r="Z22" s="54">
        <f t="shared" si="2"/>
        <v>0</v>
      </c>
      <c r="AA22" s="60"/>
      <c r="AB22" s="60"/>
      <c r="AC22" s="592">
        <f>+'Aging Analysis'!C17</f>
        <v>0</v>
      </c>
      <c r="AD22" s="590"/>
      <c r="AE22" s="240"/>
      <c r="AF22" s="240"/>
      <c r="AG22" s="240"/>
      <c r="AH22" s="240"/>
      <c r="AI22" s="240"/>
      <c r="AJ22" s="240"/>
    </row>
    <row r="23" spans="1:36" s="20" customFormat="1" ht="14.25" customHeight="1">
      <c r="A23" s="53"/>
      <c r="B23" s="73" t="s">
        <v>545</v>
      </c>
      <c r="C23" s="75">
        <f t="shared" si="0"/>
        <v>0</v>
      </c>
      <c r="D23" s="290">
        <f t="shared" si="3"/>
        <v>0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54">
        <f t="shared" si="1"/>
        <v>0</v>
      </c>
      <c r="Z23" s="54">
        <f t="shared" si="2"/>
        <v>0</v>
      </c>
      <c r="AA23" s="60"/>
      <c r="AB23" s="60"/>
      <c r="AC23" s="56"/>
      <c r="AD23" s="590"/>
      <c r="AE23" s="240"/>
      <c r="AF23" s="240"/>
      <c r="AG23" s="240"/>
      <c r="AH23" s="240"/>
      <c r="AI23" s="240"/>
      <c r="AJ23" s="240"/>
    </row>
    <row r="24" spans="1:36" s="20" customFormat="1" ht="23.25" customHeight="1">
      <c r="A24" s="19">
        <v>10</v>
      </c>
      <c r="B24" s="70" t="s">
        <v>170</v>
      </c>
      <c r="C24" s="75">
        <f t="shared" si="0"/>
        <v>3603902</v>
      </c>
      <c r="D24" s="290">
        <f t="shared" si="3"/>
        <v>810574</v>
      </c>
      <c r="E24" s="76">
        <v>3224033</v>
      </c>
      <c r="F24" s="76">
        <v>810574</v>
      </c>
      <c r="G24" s="76">
        <v>0</v>
      </c>
      <c r="H24" s="76">
        <v>0</v>
      </c>
      <c r="I24" s="76">
        <v>379869</v>
      </c>
      <c r="J24" s="76">
        <v>0</v>
      </c>
      <c r="K24" s="76">
        <v>37987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54">
        <f t="shared" si="1"/>
        <v>37987</v>
      </c>
      <c r="Z24" s="54">
        <f t="shared" si="2"/>
        <v>0</v>
      </c>
      <c r="AA24" s="60"/>
      <c r="AB24" s="60"/>
      <c r="AC24" s="592">
        <f>+'Aging Analysis'!C18</f>
        <v>3603902</v>
      </c>
      <c r="AD24" s="590"/>
      <c r="AE24" s="240"/>
      <c r="AF24" s="240"/>
      <c r="AG24" s="240"/>
      <c r="AH24" s="240"/>
      <c r="AI24" s="240"/>
      <c r="AJ24" s="240"/>
    </row>
    <row r="25" spans="1:36" s="20" customFormat="1" ht="14.25" customHeight="1">
      <c r="A25" s="53"/>
      <c r="B25" s="73" t="s">
        <v>545</v>
      </c>
      <c r="C25" s="75">
        <f t="shared" si="0"/>
        <v>0</v>
      </c>
      <c r="D25" s="290">
        <f t="shared" si="3"/>
        <v>0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54">
        <f t="shared" si="1"/>
        <v>0</v>
      </c>
      <c r="Z25" s="54">
        <f t="shared" si="2"/>
        <v>0</v>
      </c>
      <c r="AA25" s="60"/>
      <c r="AB25" s="60"/>
      <c r="AC25" s="56"/>
      <c r="AD25" s="590"/>
      <c r="AE25" s="240"/>
      <c r="AF25" s="240"/>
      <c r="AG25" s="240"/>
      <c r="AH25" s="240"/>
      <c r="AI25" s="240"/>
      <c r="AJ25" s="240"/>
    </row>
    <row r="26" spans="1:36" s="20" customFormat="1" ht="23.25" customHeight="1">
      <c r="A26" s="19">
        <v>11</v>
      </c>
      <c r="B26" s="70" t="s">
        <v>171</v>
      </c>
      <c r="C26" s="75">
        <f t="shared" si="0"/>
        <v>0</v>
      </c>
      <c r="D26" s="290">
        <f t="shared" si="3"/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54">
        <f t="shared" si="1"/>
        <v>0</v>
      </c>
      <c r="Z26" s="54">
        <f t="shared" si="2"/>
        <v>0</v>
      </c>
      <c r="AA26" s="60"/>
      <c r="AB26" s="60"/>
      <c r="AC26" s="592">
        <f>+'Aging Analysis'!C19</f>
        <v>0</v>
      </c>
      <c r="AD26" s="590"/>
      <c r="AE26" s="240"/>
      <c r="AF26" s="240"/>
      <c r="AG26" s="240"/>
      <c r="AH26" s="240"/>
      <c r="AI26" s="240"/>
      <c r="AJ26" s="240"/>
    </row>
    <row r="27" spans="1:36" s="20" customFormat="1" ht="14.25" customHeight="1">
      <c r="A27" s="53"/>
      <c r="B27" s="73" t="s">
        <v>545</v>
      </c>
      <c r="C27" s="75">
        <f t="shared" si="0"/>
        <v>0</v>
      </c>
      <c r="D27" s="290">
        <f t="shared" si="3"/>
        <v>0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54">
        <f t="shared" si="1"/>
        <v>0</v>
      </c>
      <c r="Z27" s="54">
        <f t="shared" si="2"/>
        <v>0</v>
      </c>
      <c r="AA27" s="60"/>
      <c r="AB27" s="60"/>
      <c r="AC27" s="56"/>
      <c r="AD27" s="590"/>
      <c r="AE27" s="240"/>
      <c r="AF27" s="240"/>
      <c r="AG27" s="240"/>
      <c r="AH27" s="240"/>
      <c r="AI27" s="240"/>
      <c r="AJ27" s="240"/>
    </row>
    <row r="28" spans="1:36" s="20" customFormat="1" ht="23.25" customHeight="1">
      <c r="A28" s="19">
        <v>12</v>
      </c>
      <c r="B28" s="70" t="s">
        <v>172</v>
      </c>
      <c r="C28" s="75">
        <f t="shared" si="0"/>
        <v>21091</v>
      </c>
      <c r="D28" s="290">
        <f t="shared" si="3"/>
        <v>0</v>
      </c>
      <c r="E28" s="76">
        <v>21091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54">
        <f t="shared" si="1"/>
        <v>0</v>
      </c>
      <c r="Z28" s="54">
        <f t="shared" si="2"/>
        <v>0</v>
      </c>
      <c r="AA28" s="60"/>
      <c r="AB28" s="60"/>
      <c r="AC28" s="592">
        <f>+'Aging Analysis'!C20</f>
        <v>21091</v>
      </c>
      <c r="AD28" s="590"/>
      <c r="AE28" s="240"/>
      <c r="AF28" s="240"/>
      <c r="AG28" s="240"/>
      <c r="AH28" s="240"/>
      <c r="AI28" s="240"/>
      <c r="AJ28" s="240"/>
    </row>
    <row r="29" spans="1:36" s="20" customFormat="1" ht="14.25" customHeight="1">
      <c r="A29" s="53"/>
      <c r="B29" s="73" t="s">
        <v>545</v>
      </c>
      <c r="C29" s="75">
        <f t="shared" si="0"/>
        <v>0</v>
      </c>
      <c r="D29" s="290">
        <f t="shared" si="3"/>
        <v>0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54">
        <f t="shared" si="1"/>
        <v>0</v>
      </c>
      <c r="Z29" s="54">
        <f t="shared" si="2"/>
        <v>0</v>
      </c>
      <c r="AA29" s="60"/>
      <c r="AB29" s="60"/>
      <c r="AC29" s="590"/>
      <c r="AD29" s="590"/>
      <c r="AE29" s="240"/>
      <c r="AF29" s="240"/>
      <c r="AG29" s="240"/>
      <c r="AH29" s="240"/>
      <c r="AI29" s="240"/>
      <c r="AJ29" s="240"/>
    </row>
    <row r="30" spans="1:36" s="82" customFormat="1" ht="28.5" customHeight="1">
      <c r="A30" s="201">
        <v>13</v>
      </c>
      <c r="B30" s="201" t="s">
        <v>173</v>
      </c>
      <c r="C30" s="204">
        <f t="shared" ref="C30:AB30" si="4">+C6+C8+C10+C12+C14+C16+C18+C20+C22+C24+C26+C28</f>
        <v>10815884011</v>
      </c>
      <c r="D30" s="204">
        <f t="shared" si="4"/>
        <v>3611594689</v>
      </c>
      <c r="E30" s="204">
        <f t="shared" si="4"/>
        <v>9186521324</v>
      </c>
      <c r="F30" s="204">
        <f t="shared" si="4"/>
        <v>3261094419</v>
      </c>
      <c r="G30" s="204">
        <f t="shared" si="4"/>
        <v>0</v>
      </c>
      <c r="H30" s="204">
        <f t="shared" si="4"/>
        <v>38811</v>
      </c>
      <c r="I30" s="204">
        <f t="shared" si="4"/>
        <v>987112434</v>
      </c>
      <c r="J30" s="204">
        <f t="shared" si="4"/>
        <v>230253950</v>
      </c>
      <c r="K30" s="204">
        <f t="shared" si="4"/>
        <v>96103933</v>
      </c>
      <c r="L30" s="204">
        <f t="shared" si="4"/>
        <v>22197343</v>
      </c>
      <c r="M30" s="204">
        <f t="shared" si="4"/>
        <v>238045786</v>
      </c>
      <c r="N30" s="204">
        <f t="shared" si="4"/>
        <v>119725254</v>
      </c>
      <c r="O30" s="204">
        <f t="shared" si="4"/>
        <v>28579130</v>
      </c>
      <c r="P30" s="204">
        <f t="shared" si="4"/>
        <v>7674629</v>
      </c>
      <c r="Q30" s="204">
        <f t="shared" si="4"/>
        <v>79824583</v>
      </c>
      <c r="R30" s="204">
        <f t="shared" si="4"/>
        <v>0</v>
      </c>
      <c r="S30" s="204">
        <f t="shared" si="4"/>
        <v>38267322</v>
      </c>
      <c r="T30" s="204">
        <f t="shared" si="4"/>
        <v>0</v>
      </c>
      <c r="U30" s="204">
        <f t="shared" si="4"/>
        <v>324379884</v>
      </c>
      <c r="V30" s="204">
        <f t="shared" si="4"/>
        <v>521066</v>
      </c>
      <c r="W30" s="204">
        <f t="shared" si="4"/>
        <v>58157915</v>
      </c>
      <c r="X30" s="204">
        <f t="shared" si="4"/>
        <v>0</v>
      </c>
      <c r="Y30" s="204">
        <f t="shared" si="4"/>
        <v>221108300</v>
      </c>
      <c r="Z30" s="204">
        <f t="shared" si="4"/>
        <v>29871972</v>
      </c>
      <c r="AA30" s="591">
        <f t="shared" si="4"/>
        <v>0</v>
      </c>
      <c r="AB30" s="591">
        <f t="shared" si="4"/>
        <v>0</v>
      </c>
      <c r="AC30" s="590"/>
      <c r="AD30" s="590"/>
      <c r="AE30" s="240"/>
      <c r="AF30" s="240"/>
      <c r="AG30" s="240"/>
      <c r="AH30" s="240"/>
      <c r="AI30" s="240"/>
      <c r="AJ30" s="240"/>
    </row>
    <row r="31" spans="1:36" s="20" customFormat="1" ht="13.5" customHeight="1">
      <c r="A31" s="74"/>
      <c r="B31" s="73" t="s">
        <v>545</v>
      </c>
      <c r="C31" s="72">
        <f t="shared" ref="C31:Z31" si="5">+C7+C9+C11+C13+C15+C17+C19+C21+C23+C25+C27+C29</f>
        <v>0</v>
      </c>
      <c r="D31" s="72">
        <f t="shared" si="5"/>
        <v>0</v>
      </c>
      <c r="E31" s="72">
        <f t="shared" si="5"/>
        <v>0</v>
      </c>
      <c r="F31" s="72">
        <f t="shared" si="5"/>
        <v>0</v>
      </c>
      <c r="G31" s="72">
        <f t="shared" si="5"/>
        <v>0</v>
      </c>
      <c r="H31" s="72">
        <f t="shared" si="5"/>
        <v>0</v>
      </c>
      <c r="I31" s="72">
        <f t="shared" si="5"/>
        <v>0</v>
      </c>
      <c r="J31" s="72">
        <f t="shared" si="5"/>
        <v>0</v>
      </c>
      <c r="K31" s="72">
        <f t="shared" si="5"/>
        <v>0</v>
      </c>
      <c r="L31" s="72">
        <f t="shared" si="5"/>
        <v>0</v>
      </c>
      <c r="M31" s="72">
        <f t="shared" si="5"/>
        <v>0</v>
      </c>
      <c r="N31" s="72">
        <f t="shared" si="5"/>
        <v>0</v>
      </c>
      <c r="O31" s="72">
        <f t="shared" si="5"/>
        <v>0</v>
      </c>
      <c r="P31" s="72">
        <f t="shared" si="5"/>
        <v>0</v>
      </c>
      <c r="Q31" s="72">
        <f t="shared" si="5"/>
        <v>0</v>
      </c>
      <c r="R31" s="72">
        <f t="shared" si="5"/>
        <v>0</v>
      </c>
      <c r="S31" s="72">
        <f t="shared" si="5"/>
        <v>0</v>
      </c>
      <c r="T31" s="72">
        <f t="shared" si="5"/>
        <v>0</v>
      </c>
      <c r="U31" s="72">
        <f t="shared" si="5"/>
        <v>0</v>
      </c>
      <c r="V31" s="72">
        <f t="shared" si="5"/>
        <v>0</v>
      </c>
      <c r="W31" s="72">
        <f t="shared" si="5"/>
        <v>0</v>
      </c>
      <c r="X31" s="72">
        <f t="shared" si="5"/>
        <v>0</v>
      </c>
      <c r="Y31" s="72">
        <f t="shared" si="5"/>
        <v>0</v>
      </c>
      <c r="Z31" s="72">
        <f t="shared" si="5"/>
        <v>0</v>
      </c>
      <c r="AA31" s="72"/>
      <c r="AB31" s="72"/>
      <c r="AC31" s="590"/>
      <c r="AD31" s="590"/>
      <c r="AE31" s="240"/>
      <c r="AF31" s="240"/>
      <c r="AG31" s="240"/>
      <c r="AH31" s="240"/>
      <c r="AI31" s="240"/>
      <c r="AJ31" s="240"/>
    </row>
    <row r="32" spans="1:36" s="56" customFormat="1" ht="27.75" customHeight="1">
      <c r="A32" s="204"/>
      <c r="B32" s="204" t="s">
        <v>174</v>
      </c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591"/>
      <c r="AB32" s="591"/>
      <c r="AC32" s="590"/>
      <c r="AD32" s="590"/>
      <c r="AE32" s="240"/>
      <c r="AF32" s="240"/>
      <c r="AG32" s="240"/>
      <c r="AH32" s="240"/>
      <c r="AI32" s="240"/>
      <c r="AJ32" s="240"/>
    </row>
    <row r="33" spans="1:36" s="56" customFormat="1" ht="7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90"/>
      <c r="AD33" s="590"/>
      <c r="AE33" s="240"/>
      <c r="AF33" s="240"/>
      <c r="AG33" s="240"/>
      <c r="AH33" s="240"/>
      <c r="AI33" s="240"/>
      <c r="AJ33" s="240"/>
    </row>
    <row r="34" spans="1:36" s="20" customFormat="1" ht="23.25" customHeight="1">
      <c r="A34" s="74">
        <v>14</v>
      </c>
      <c r="B34" s="173" t="s">
        <v>118</v>
      </c>
      <c r="C34" s="75">
        <f t="shared" ref="C34:D49" si="6">E34+I34+M34+Q34+U34</f>
        <v>1938850959</v>
      </c>
      <c r="D34" s="290">
        <f t="shared" si="6"/>
        <v>1287218675</v>
      </c>
      <c r="E34" s="76">
        <v>1636572171</v>
      </c>
      <c r="F34" s="76">
        <v>1125442854</v>
      </c>
      <c r="G34" s="76"/>
      <c r="H34" s="76">
        <v>0</v>
      </c>
      <c r="I34" s="76">
        <v>193126203</v>
      </c>
      <c r="J34" s="76">
        <v>115657283</v>
      </c>
      <c r="K34" s="76">
        <v>18363338</v>
      </c>
      <c r="L34" s="76">
        <v>11171082</v>
      </c>
      <c r="M34" s="76">
        <v>53481866</v>
      </c>
      <c r="N34" s="76">
        <v>46118538</v>
      </c>
      <c r="O34" s="76">
        <v>1765442</v>
      </c>
      <c r="P34" s="76">
        <v>21340</v>
      </c>
      <c r="Q34" s="76">
        <v>8424291</v>
      </c>
      <c r="R34" s="76">
        <v>0</v>
      </c>
      <c r="S34" s="76">
        <v>4091953</v>
      </c>
      <c r="T34" s="76">
        <v>0</v>
      </c>
      <c r="U34" s="76">
        <v>47246428</v>
      </c>
      <c r="V34" s="76">
        <v>0</v>
      </c>
      <c r="W34" s="76">
        <v>3941714</v>
      </c>
      <c r="X34" s="76">
        <v>0</v>
      </c>
      <c r="Y34" s="289">
        <f>+W34+S34+O34+K34</f>
        <v>28162447</v>
      </c>
      <c r="Z34" s="289">
        <f>+X34+T34+P34+L34</f>
        <v>11192422</v>
      </c>
      <c r="AA34" s="60"/>
      <c r="AB34" s="60"/>
      <c r="AC34" s="592">
        <f>+'Aging Analysis'!C25</f>
        <v>1938850959</v>
      </c>
      <c r="AD34" s="590"/>
      <c r="AE34" s="240"/>
      <c r="AF34" s="240"/>
      <c r="AG34" s="240"/>
      <c r="AH34" s="240"/>
      <c r="AI34" s="240"/>
      <c r="AJ34" s="240"/>
    </row>
    <row r="35" spans="1:36" s="20" customFormat="1" ht="14.25" customHeight="1">
      <c r="A35" s="53"/>
      <c r="B35" s="73" t="s">
        <v>545</v>
      </c>
      <c r="C35" s="75">
        <f t="shared" si="6"/>
        <v>0</v>
      </c>
      <c r="D35" s="290">
        <f t="shared" si="6"/>
        <v>0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54">
        <f t="shared" ref="Y35:Y49" si="7">+W35+S35+O35+K35</f>
        <v>0</v>
      </c>
      <c r="Z35" s="54">
        <f t="shared" ref="Z35:Z49" si="8">+X35+T35+P35+L35</f>
        <v>0</v>
      </c>
      <c r="AA35" s="60"/>
      <c r="AB35" s="60"/>
      <c r="AC35" s="56"/>
      <c r="AD35" s="590"/>
      <c r="AE35" s="240"/>
      <c r="AF35" s="240"/>
      <c r="AG35" s="240"/>
      <c r="AH35" s="240"/>
      <c r="AI35" s="240"/>
      <c r="AJ35" s="240"/>
    </row>
    <row r="36" spans="1:36" s="20" customFormat="1" ht="23.25" customHeight="1">
      <c r="A36" s="74">
        <v>15</v>
      </c>
      <c r="B36" s="70" t="s">
        <v>126</v>
      </c>
      <c r="C36" s="75">
        <f t="shared" si="6"/>
        <v>2467702573</v>
      </c>
      <c r="D36" s="290">
        <f t="shared" si="6"/>
        <v>703690946</v>
      </c>
      <c r="E36" s="76">
        <v>1926908101</v>
      </c>
      <c r="F36" s="76">
        <v>626566883</v>
      </c>
      <c r="G36" s="76"/>
      <c r="H36" s="76">
        <v>38811</v>
      </c>
      <c r="I36" s="76">
        <v>240229065</v>
      </c>
      <c r="J36" s="76">
        <v>12098103</v>
      </c>
      <c r="K36" s="76">
        <v>23081064</v>
      </c>
      <c r="L36" s="76">
        <v>1209810</v>
      </c>
      <c r="M36" s="76">
        <v>103752467</v>
      </c>
      <c r="N36" s="76">
        <v>65025960</v>
      </c>
      <c r="O36" s="76">
        <v>14066613</v>
      </c>
      <c r="P36" s="76">
        <v>6502596</v>
      </c>
      <c r="Q36" s="76">
        <v>43652661</v>
      </c>
      <c r="R36" s="76">
        <v>0</v>
      </c>
      <c r="S36" s="76">
        <v>21398402</v>
      </c>
      <c r="T36" s="76">
        <v>0</v>
      </c>
      <c r="U36" s="76">
        <v>153160279</v>
      </c>
      <c r="V36" s="76">
        <v>0</v>
      </c>
      <c r="W36" s="76">
        <v>22895718</v>
      </c>
      <c r="X36" s="76">
        <v>0</v>
      </c>
      <c r="Y36" s="289">
        <f t="shared" si="7"/>
        <v>81441797</v>
      </c>
      <c r="Z36" s="289">
        <f t="shared" si="8"/>
        <v>7712406</v>
      </c>
      <c r="AA36" s="60"/>
      <c r="AB36" s="60"/>
      <c r="AC36" s="592">
        <f>+'Aging Analysis'!C26</f>
        <v>2467702573</v>
      </c>
      <c r="AD36" s="590"/>
      <c r="AE36" s="240"/>
      <c r="AF36" s="240"/>
      <c r="AG36" s="240"/>
      <c r="AH36" s="240"/>
      <c r="AI36" s="240"/>
      <c r="AJ36" s="240"/>
    </row>
    <row r="37" spans="1:36" s="20" customFormat="1" ht="14.25" customHeight="1">
      <c r="A37" s="53"/>
      <c r="B37" s="73" t="s">
        <v>545</v>
      </c>
      <c r="C37" s="75">
        <f t="shared" si="6"/>
        <v>0</v>
      </c>
      <c r="D37" s="290">
        <f t="shared" si="6"/>
        <v>0</v>
      </c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54">
        <f t="shared" si="7"/>
        <v>0</v>
      </c>
      <c r="Z37" s="54">
        <f t="shared" si="8"/>
        <v>0</v>
      </c>
      <c r="AA37" s="60"/>
      <c r="AB37" s="60"/>
      <c r="AC37" s="56"/>
      <c r="AD37" s="590"/>
      <c r="AE37" s="240"/>
      <c r="AF37" s="240"/>
      <c r="AG37" s="240"/>
      <c r="AH37" s="240"/>
      <c r="AI37" s="240"/>
      <c r="AJ37" s="240"/>
    </row>
    <row r="38" spans="1:36" s="20" customFormat="1" ht="23.25" customHeight="1">
      <c r="A38" s="74">
        <v>16</v>
      </c>
      <c r="B38" s="70" t="s">
        <v>129</v>
      </c>
      <c r="C38" s="75">
        <f t="shared" si="6"/>
        <v>350494739</v>
      </c>
      <c r="D38" s="290">
        <f t="shared" si="6"/>
        <v>153734143</v>
      </c>
      <c r="E38" s="76">
        <v>253658047</v>
      </c>
      <c r="F38" s="76">
        <v>92194055</v>
      </c>
      <c r="G38" s="76"/>
      <c r="H38" s="76">
        <v>0</v>
      </c>
      <c r="I38" s="76">
        <v>88039198</v>
      </c>
      <c r="J38" s="76">
        <v>61019022</v>
      </c>
      <c r="K38" s="76">
        <v>8373065</v>
      </c>
      <c r="L38" s="76">
        <v>5668496</v>
      </c>
      <c r="M38" s="76">
        <v>3977748</v>
      </c>
      <c r="N38" s="76">
        <v>0</v>
      </c>
      <c r="O38" s="76">
        <v>539029</v>
      </c>
      <c r="P38" s="76">
        <v>0</v>
      </c>
      <c r="Q38" s="76">
        <v>887324</v>
      </c>
      <c r="R38" s="76">
        <v>0</v>
      </c>
      <c r="S38" s="76">
        <v>443760</v>
      </c>
      <c r="T38" s="76">
        <v>0</v>
      </c>
      <c r="U38" s="76">
        <v>3932422</v>
      </c>
      <c r="V38" s="76">
        <v>521066</v>
      </c>
      <c r="W38" s="76">
        <v>243352</v>
      </c>
      <c r="X38" s="76">
        <v>0</v>
      </c>
      <c r="Y38" s="289">
        <f t="shared" si="7"/>
        <v>9599206</v>
      </c>
      <c r="Z38" s="289">
        <f t="shared" si="8"/>
        <v>5668496</v>
      </c>
      <c r="AA38" s="60"/>
      <c r="AB38" s="60"/>
      <c r="AC38" s="592">
        <f>+'Aging Analysis'!C27</f>
        <v>350494739</v>
      </c>
      <c r="AD38" s="590"/>
      <c r="AE38" s="240"/>
      <c r="AF38" s="240"/>
      <c r="AG38" s="240"/>
      <c r="AH38" s="240"/>
      <c r="AI38" s="240"/>
      <c r="AJ38" s="240"/>
    </row>
    <row r="39" spans="1:36" s="20" customFormat="1" ht="14.25" customHeight="1">
      <c r="A39" s="53"/>
      <c r="B39" s="73" t="s">
        <v>545</v>
      </c>
      <c r="C39" s="75">
        <f t="shared" si="6"/>
        <v>0</v>
      </c>
      <c r="D39" s="290">
        <f t="shared" si="6"/>
        <v>0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54">
        <f t="shared" si="7"/>
        <v>0</v>
      </c>
      <c r="Z39" s="54">
        <f t="shared" si="8"/>
        <v>0</v>
      </c>
      <c r="AA39" s="60"/>
      <c r="AB39" s="60"/>
      <c r="AC39" s="56"/>
      <c r="AD39" s="590"/>
      <c r="AE39" s="240"/>
      <c r="AF39" s="240"/>
      <c r="AG39" s="240"/>
      <c r="AH39" s="240"/>
      <c r="AI39" s="240"/>
      <c r="AJ39" s="240"/>
    </row>
    <row r="40" spans="1:36" s="20" customFormat="1" ht="23.25" customHeight="1">
      <c r="A40" s="74">
        <v>17</v>
      </c>
      <c r="B40" s="70" t="s">
        <v>131</v>
      </c>
      <c r="C40" s="75">
        <f t="shared" si="6"/>
        <v>340066175</v>
      </c>
      <c r="D40" s="290">
        <f t="shared" si="6"/>
        <v>18341012</v>
      </c>
      <c r="E40" s="76">
        <v>247611897</v>
      </c>
      <c r="F40" s="76">
        <v>3251298</v>
      </c>
      <c r="G40" s="76"/>
      <c r="H40" s="76">
        <v>0</v>
      </c>
      <c r="I40" s="76">
        <v>85154264</v>
      </c>
      <c r="J40" s="76">
        <v>15089714</v>
      </c>
      <c r="K40" s="76">
        <v>8304225</v>
      </c>
      <c r="L40" s="76">
        <v>1508971</v>
      </c>
      <c r="M40" s="76">
        <v>5319433</v>
      </c>
      <c r="N40" s="76">
        <v>0</v>
      </c>
      <c r="O40" s="76">
        <v>84132</v>
      </c>
      <c r="P40" s="76">
        <v>0</v>
      </c>
      <c r="Q40" s="76">
        <v>36986</v>
      </c>
      <c r="R40" s="76">
        <v>0</v>
      </c>
      <c r="S40" s="76">
        <v>4493</v>
      </c>
      <c r="T40" s="76">
        <v>0</v>
      </c>
      <c r="U40" s="76">
        <v>1943595</v>
      </c>
      <c r="V40" s="76">
        <v>0</v>
      </c>
      <c r="W40" s="76">
        <v>0</v>
      </c>
      <c r="X40" s="76">
        <v>0</v>
      </c>
      <c r="Y40" s="289">
        <f t="shared" si="7"/>
        <v>8392850</v>
      </c>
      <c r="Z40" s="289">
        <f t="shared" si="8"/>
        <v>1508971</v>
      </c>
      <c r="AA40" s="60"/>
      <c r="AB40" s="60"/>
      <c r="AC40" s="592">
        <f>+'Aging Analysis'!C28</f>
        <v>340066175</v>
      </c>
      <c r="AD40" s="590"/>
      <c r="AE40" s="240"/>
      <c r="AF40" s="240"/>
      <c r="AG40" s="240"/>
      <c r="AH40" s="240"/>
      <c r="AI40" s="240"/>
      <c r="AJ40" s="240"/>
    </row>
    <row r="41" spans="1:36" s="20" customFormat="1" ht="14.25" customHeight="1">
      <c r="A41" s="53"/>
      <c r="B41" s="73" t="s">
        <v>545</v>
      </c>
      <c r="C41" s="75">
        <f t="shared" si="6"/>
        <v>0</v>
      </c>
      <c r="D41" s="290">
        <f t="shared" si="6"/>
        <v>0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54">
        <f t="shared" si="7"/>
        <v>0</v>
      </c>
      <c r="Z41" s="54">
        <f t="shared" si="8"/>
        <v>0</v>
      </c>
      <c r="AA41" s="60"/>
      <c r="AB41" s="60"/>
      <c r="AC41" s="56"/>
      <c r="AD41" s="590"/>
      <c r="AE41" s="240"/>
      <c r="AF41" s="240"/>
      <c r="AG41" s="240"/>
      <c r="AH41" s="240"/>
      <c r="AI41" s="240"/>
      <c r="AJ41" s="240"/>
    </row>
    <row r="42" spans="1:36" s="20" customFormat="1" ht="23.25" customHeight="1">
      <c r="A42" s="74">
        <v>18</v>
      </c>
      <c r="B42" s="70" t="s">
        <v>133</v>
      </c>
      <c r="C42" s="75">
        <f t="shared" si="6"/>
        <v>1152185836</v>
      </c>
      <c r="D42" s="290">
        <f t="shared" si="6"/>
        <v>477436986</v>
      </c>
      <c r="E42" s="76">
        <v>1047523185</v>
      </c>
      <c r="F42" s="76">
        <v>473098121</v>
      </c>
      <c r="G42" s="76"/>
      <c r="H42" s="76">
        <v>0</v>
      </c>
      <c r="I42" s="76">
        <v>75975819</v>
      </c>
      <c r="J42" s="76">
        <v>2388086</v>
      </c>
      <c r="K42" s="76">
        <v>7339238</v>
      </c>
      <c r="L42" s="76">
        <v>238809</v>
      </c>
      <c r="M42" s="76">
        <v>16627269</v>
      </c>
      <c r="N42" s="76">
        <v>1950779</v>
      </c>
      <c r="O42" s="76">
        <v>1760848</v>
      </c>
      <c r="P42" s="76">
        <v>487695</v>
      </c>
      <c r="Q42" s="76">
        <v>103011</v>
      </c>
      <c r="R42" s="76">
        <v>0</v>
      </c>
      <c r="S42" s="76">
        <v>51506</v>
      </c>
      <c r="T42" s="76">
        <v>0</v>
      </c>
      <c r="U42" s="76">
        <v>11956552</v>
      </c>
      <c r="V42" s="76">
        <v>0</v>
      </c>
      <c r="W42" s="76">
        <v>1315849</v>
      </c>
      <c r="X42" s="76">
        <v>0</v>
      </c>
      <c r="Y42" s="289">
        <f t="shared" si="7"/>
        <v>10467441</v>
      </c>
      <c r="Z42" s="289">
        <f t="shared" si="8"/>
        <v>726504</v>
      </c>
      <c r="AA42" s="60"/>
      <c r="AB42" s="60"/>
      <c r="AC42" s="592">
        <f>+'Aging Analysis'!C29</f>
        <v>1152185836</v>
      </c>
      <c r="AD42" s="590"/>
      <c r="AE42" s="240"/>
      <c r="AF42" s="240"/>
      <c r="AG42" s="240"/>
      <c r="AH42" s="240"/>
      <c r="AI42" s="240"/>
      <c r="AJ42" s="240"/>
    </row>
    <row r="43" spans="1:36" s="20" customFormat="1" ht="14.25" customHeight="1">
      <c r="A43" s="53"/>
      <c r="B43" s="73" t="s">
        <v>545</v>
      </c>
      <c r="C43" s="75">
        <f t="shared" si="6"/>
        <v>0</v>
      </c>
      <c r="D43" s="290">
        <f t="shared" si="6"/>
        <v>0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54">
        <f t="shared" si="7"/>
        <v>0</v>
      </c>
      <c r="Z43" s="54">
        <f t="shared" si="8"/>
        <v>0</v>
      </c>
      <c r="AA43" s="60"/>
      <c r="AB43" s="60"/>
      <c r="AC43" s="56"/>
      <c r="AD43" s="590"/>
      <c r="AE43" s="240"/>
      <c r="AF43" s="240"/>
      <c r="AG43" s="240"/>
      <c r="AH43" s="240"/>
      <c r="AI43" s="240"/>
      <c r="AJ43" s="240"/>
    </row>
    <row r="44" spans="1:36" s="20" customFormat="1" ht="23.25" customHeight="1">
      <c r="A44" s="74">
        <v>19</v>
      </c>
      <c r="B44" s="70" t="s">
        <v>135</v>
      </c>
      <c r="C44" s="75">
        <f t="shared" si="6"/>
        <v>1377552811</v>
      </c>
      <c r="D44" s="290">
        <f t="shared" si="6"/>
        <v>819323630</v>
      </c>
      <c r="E44" s="76">
        <v>1239632977</v>
      </c>
      <c r="F44" s="76">
        <v>789412185</v>
      </c>
      <c r="G44" s="76"/>
      <c r="H44" s="76">
        <v>0</v>
      </c>
      <c r="I44" s="76">
        <v>102074601</v>
      </c>
      <c r="J44" s="76">
        <v>23281468</v>
      </c>
      <c r="K44" s="76">
        <v>10444323</v>
      </c>
      <c r="L44" s="76">
        <v>2328147</v>
      </c>
      <c r="M44" s="76">
        <v>21460608</v>
      </c>
      <c r="N44" s="76">
        <v>6629977</v>
      </c>
      <c r="O44" s="76">
        <v>3080425</v>
      </c>
      <c r="P44" s="76">
        <v>662998</v>
      </c>
      <c r="Q44" s="76">
        <v>2243274</v>
      </c>
      <c r="R44" s="76">
        <v>0</v>
      </c>
      <c r="S44" s="76">
        <v>861323</v>
      </c>
      <c r="T44" s="76">
        <v>0</v>
      </c>
      <c r="U44" s="76">
        <v>12141351</v>
      </c>
      <c r="V44" s="76">
        <v>0</v>
      </c>
      <c r="W44" s="76">
        <v>1815847</v>
      </c>
      <c r="X44" s="76">
        <v>0</v>
      </c>
      <c r="Y44" s="289">
        <f t="shared" si="7"/>
        <v>16201918</v>
      </c>
      <c r="Z44" s="289">
        <f t="shared" si="8"/>
        <v>2991145</v>
      </c>
      <c r="AA44" s="60"/>
      <c r="AB44" s="60"/>
      <c r="AC44" s="592">
        <f>+'Aging Analysis'!C30</f>
        <v>1377552811</v>
      </c>
      <c r="AD44" s="590"/>
      <c r="AE44" s="240"/>
      <c r="AF44" s="240"/>
      <c r="AG44" s="240"/>
      <c r="AH44" s="240"/>
      <c r="AI44" s="240"/>
      <c r="AJ44" s="240"/>
    </row>
    <row r="45" spans="1:36" s="20" customFormat="1" ht="14.25" customHeight="1">
      <c r="A45" s="53"/>
      <c r="B45" s="73" t="s">
        <v>545</v>
      </c>
      <c r="C45" s="75">
        <f t="shared" si="6"/>
        <v>0</v>
      </c>
      <c r="D45" s="290">
        <f t="shared" si="6"/>
        <v>0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54">
        <f t="shared" si="7"/>
        <v>0</v>
      </c>
      <c r="Z45" s="54">
        <f t="shared" si="8"/>
        <v>0</v>
      </c>
      <c r="AA45" s="60"/>
      <c r="AB45" s="60"/>
      <c r="AC45" s="56"/>
      <c r="AD45" s="590"/>
      <c r="AE45" s="240"/>
      <c r="AF45" s="240"/>
      <c r="AG45" s="240"/>
      <c r="AH45" s="240"/>
      <c r="AI45" s="240"/>
      <c r="AJ45" s="240"/>
    </row>
    <row r="46" spans="1:36" s="20" customFormat="1" ht="23.25" customHeight="1">
      <c r="A46" s="74">
        <v>20</v>
      </c>
      <c r="B46" s="70" t="s">
        <v>137</v>
      </c>
      <c r="C46" s="75">
        <f t="shared" si="6"/>
        <v>2082182</v>
      </c>
      <c r="D46" s="290">
        <f t="shared" si="6"/>
        <v>0</v>
      </c>
      <c r="E46" s="76">
        <v>795721</v>
      </c>
      <c r="F46" s="76">
        <v>0</v>
      </c>
      <c r="G46" s="76"/>
      <c r="H46" s="76">
        <v>0</v>
      </c>
      <c r="I46" s="76">
        <v>1286461</v>
      </c>
      <c r="J46" s="76">
        <v>0</v>
      </c>
      <c r="K46" s="76">
        <v>128646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289">
        <f t="shared" si="7"/>
        <v>128646</v>
      </c>
      <c r="Z46" s="289">
        <f t="shared" si="8"/>
        <v>0</v>
      </c>
      <c r="AA46" s="60"/>
      <c r="AB46" s="60"/>
      <c r="AC46" s="592">
        <f>+'Aging Analysis'!C31</f>
        <v>2082182</v>
      </c>
      <c r="AD46" s="590"/>
      <c r="AE46" s="240"/>
      <c r="AF46" s="240"/>
      <c r="AG46" s="240"/>
      <c r="AH46" s="240"/>
      <c r="AI46" s="240"/>
      <c r="AJ46" s="240"/>
    </row>
    <row r="47" spans="1:36" s="20" customFormat="1" ht="14.25" customHeight="1">
      <c r="A47" s="53"/>
      <c r="B47" s="73" t="s">
        <v>545</v>
      </c>
      <c r="C47" s="75">
        <f t="shared" si="6"/>
        <v>0</v>
      </c>
      <c r="D47" s="290">
        <f t="shared" si="6"/>
        <v>0</v>
      </c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54">
        <f t="shared" si="7"/>
        <v>0</v>
      </c>
      <c r="Z47" s="54">
        <f t="shared" si="8"/>
        <v>0</v>
      </c>
      <c r="AA47" s="60"/>
      <c r="AB47" s="60"/>
      <c r="AC47" s="56"/>
      <c r="AD47" s="590"/>
      <c r="AE47" s="240"/>
      <c r="AF47" s="240"/>
      <c r="AG47" s="240"/>
      <c r="AH47" s="240"/>
      <c r="AI47" s="240"/>
      <c r="AJ47" s="240"/>
    </row>
    <row r="48" spans="1:36" s="20" customFormat="1" ht="23.25" customHeight="1">
      <c r="A48" s="74">
        <v>21</v>
      </c>
      <c r="B48" s="70" t="s">
        <v>175</v>
      </c>
      <c r="C48" s="75">
        <f t="shared" si="6"/>
        <v>3186948736</v>
      </c>
      <c r="D48" s="290">
        <f t="shared" si="6"/>
        <v>151849297</v>
      </c>
      <c r="E48" s="76">
        <v>2833819225</v>
      </c>
      <c r="F48" s="76">
        <v>151129023</v>
      </c>
      <c r="G48" s="76"/>
      <c r="H48" s="76">
        <v>0</v>
      </c>
      <c r="I48" s="76">
        <v>201226823</v>
      </c>
      <c r="J48" s="76">
        <v>720274</v>
      </c>
      <c r="K48" s="76">
        <v>20070034</v>
      </c>
      <c r="L48" s="76">
        <v>72028</v>
      </c>
      <c r="M48" s="76">
        <v>33426395</v>
      </c>
      <c r="N48" s="76">
        <v>0</v>
      </c>
      <c r="O48" s="76">
        <v>7282641</v>
      </c>
      <c r="P48" s="76">
        <v>0</v>
      </c>
      <c r="Q48" s="76">
        <v>24477036</v>
      </c>
      <c r="R48" s="76">
        <v>0</v>
      </c>
      <c r="S48" s="76">
        <v>11415885</v>
      </c>
      <c r="T48" s="76">
        <v>0</v>
      </c>
      <c r="U48" s="76">
        <v>93999257</v>
      </c>
      <c r="V48" s="76">
        <v>0</v>
      </c>
      <c r="W48" s="76">
        <v>27945435</v>
      </c>
      <c r="X48" s="76">
        <v>0</v>
      </c>
      <c r="Y48" s="289">
        <f t="shared" si="7"/>
        <v>66713995</v>
      </c>
      <c r="Z48" s="289">
        <f t="shared" si="8"/>
        <v>72028</v>
      </c>
      <c r="AA48" s="60"/>
      <c r="AB48" s="60"/>
      <c r="AC48" s="592">
        <f>+'Aging Analysis'!C32</f>
        <v>3186948736</v>
      </c>
      <c r="AD48" s="590"/>
      <c r="AE48" s="240"/>
      <c r="AF48" s="240"/>
      <c r="AG48" s="240"/>
      <c r="AH48" s="240"/>
      <c r="AI48" s="240"/>
      <c r="AJ48" s="240"/>
    </row>
    <row r="49" spans="1:36" s="20" customFormat="1" ht="14.25" customHeight="1">
      <c r="A49" s="53"/>
      <c r="B49" s="73" t="s">
        <v>545</v>
      </c>
      <c r="C49" s="75">
        <f t="shared" si="6"/>
        <v>0</v>
      </c>
      <c r="D49" s="290">
        <f t="shared" si="6"/>
        <v>0</v>
      </c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54">
        <f t="shared" si="7"/>
        <v>0</v>
      </c>
      <c r="Z49" s="54">
        <f t="shared" si="8"/>
        <v>0</v>
      </c>
      <c r="AA49" s="60"/>
      <c r="AB49" s="60"/>
      <c r="AC49" s="590"/>
      <c r="AD49" s="590"/>
      <c r="AE49" s="240"/>
      <c r="AF49" s="240"/>
      <c r="AG49" s="240"/>
      <c r="AH49" s="240"/>
      <c r="AI49" s="240"/>
      <c r="AJ49" s="240"/>
    </row>
    <row r="50" spans="1:36" s="82" customFormat="1" ht="28.5" customHeight="1">
      <c r="A50" s="201">
        <v>22</v>
      </c>
      <c r="B50" s="201" t="s">
        <v>173</v>
      </c>
      <c r="C50" s="204">
        <f>+C34+C36+C38+C40+C42+C44+C46+C48</f>
        <v>10815884011</v>
      </c>
      <c r="D50" s="204">
        <f t="shared" ref="D50:AB51" si="9">+D34+D36+D38+D40+D42+D44+D46+D48</f>
        <v>3611594689</v>
      </c>
      <c r="E50" s="204">
        <f t="shared" si="9"/>
        <v>9186521324</v>
      </c>
      <c r="F50" s="204">
        <f t="shared" si="9"/>
        <v>3261094419</v>
      </c>
      <c r="G50" s="204">
        <f t="shared" si="9"/>
        <v>0</v>
      </c>
      <c r="H50" s="204">
        <f t="shared" si="9"/>
        <v>38811</v>
      </c>
      <c r="I50" s="204">
        <f t="shared" si="9"/>
        <v>987112434</v>
      </c>
      <c r="J50" s="204">
        <f t="shared" si="9"/>
        <v>230253950</v>
      </c>
      <c r="K50" s="204">
        <f t="shared" si="9"/>
        <v>96103933</v>
      </c>
      <c r="L50" s="204">
        <f t="shared" si="9"/>
        <v>22197343</v>
      </c>
      <c r="M50" s="204">
        <f t="shared" si="9"/>
        <v>238045786</v>
      </c>
      <c r="N50" s="204">
        <f t="shared" si="9"/>
        <v>119725254</v>
      </c>
      <c r="O50" s="204">
        <f t="shared" si="9"/>
        <v>28579130</v>
      </c>
      <c r="P50" s="204">
        <f t="shared" si="9"/>
        <v>7674629</v>
      </c>
      <c r="Q50" s="204">
        <f t="shared" si="9"/>
        <v>79824583</v>
      </c>
      <c r="R50" s="204">
        <f t="shared" si="9"/>
        <v>0</v>
      </c>
      <c r="S50" s="204">
        <f t="shared" si="9"/>
        <v>38267322</v>
      </c>
      <c r="T50" s="204">
        <f t="shared" si="9"/>
        <v>0</v>
      </c>
      <c r="U50" s="204">
        <f t="shared" si="9"/>
        <v>324379884</v>
      </c>
      <c r="V50" s="204">
        <f t="shared" si="9"/>
        <v>521066</v>
      </c>
      <c r="W50" s="204">
        <f t="shared" si="9"/>
        <v>58157915</v>
      </c>
      <c r="X50" s="204">
        <f t="shared" si="9"/>
        <v>0</v>
      </c>
      <c r="Y50" s="204">
        <f t="shared" si="9"/>
        <v>221108300</v>
      </c>
      <c r="Z50" s="204">
        <f t="shared" si="9"/>
        <v>29871972</v>
      </c>
      <c r="AA50" s="591">
        <f t="shared" si="9"/>
        <v>0</v>
      </c>
      <c r="AB50" s="591">
        <f t="shared" si="9"/>
        <v>0</v>
      </c>
      <c r="AC50" s="590"/>
      <c r="AD50" s="590"/>
      <c r="AE50" s="240"/>
      <c r="AF50" s="240"/>
      <c r="AG50" s="240"/>
      <c r="AH50" s="240"/>
      <c r="AI50" s="240"/>
      <c r="AJ50" s="240"/>
    </row>
    <row r="51" spans="1:36" s="20" customFormat="1" ht="23.25" customHeight="1">
      <c r="A51" s="74"/>
      <c r="B51" s="73" t="s">
        <v>545</v>
      </c>
      <c r="C51" s="72">
        <f>+C35+C37+C39+C41+C43+C45+C47+C49</f>
        <v>0</v>
      </c>
      <c r="D51" s="72">
        <f t="shared" ref="D51:Z51" si="10">+D35+D37+D39+D41+D43+D45+D47+D49</f>
        <v>0</v>
      </c>
      <c r="E51" s="76">
        <f t="shared" si="10"/>
        <v>0</v>
      </c>
      <c r="F51" s="76">
        <f t="shared" si="10"/>
        <v>0</v>
      </c>
      <c r="G51" s="76">
        <f t="shared" si="10"/>
        <v>0</v>
      </c>
      <c r="H51" s="76">
        <f t="shared" si="10"/>
        <v>0</v>
      </c>
      <c r="I51" s="76">
        <f t="shared" si="10"/>
        <v>0</v>
      </c>
      <c r="J51" s="76">
        <f t="shared" si="10"/>
        <v>0</v>
      </c>
      <c r="K51" s="76">
        <f t="shared" si="10"/>
        <v>0</v>
      </c>
      <c r="L51" s="76">
        <f t="shared" si="10"/>
        <v>0</v>
      </c>
      <c r="M51" s="76">
        <f t="shared" si="10"/>
        <v>0</v>
      </c>
      <c r="N51" s="76">
        <f t="shared" si="10"/>
        <v>0</v>
      </c>
      <c r="O51" s="76">
        <f t="shared" si="10"/>
        <v>0</v>
      </c>
      <c r="P51" s="76">
        <f t="shared" si="10"/>
        <v>0</v>
      </c>
      <c r="Q51" s="76">
        <f t="shared" si="10"/>
        <v>0</v>
      </c>
      <c r="R51" s="76">
        <f t="shared" si="10"/>
        <v>0</v>
      </c>
      <c r="S51" s="76">
        <f t="shared" si="10"/>
        <v>0</v>
      </c>
      <c r="T51" s="76">
        <f t="shared" si="10"/>
        <v>0</v>
      </c>
      <c r="U51" s="76">
        <f t="shared" si="10"/>
        <v>0</v>
      </c>
      <c r="V51" s="76">
        <f t="shared" si="10"/>
        <v>0</v>
      </c>
      <c r="W51" s="76">
        <f t="shared" si="10"/>
        <v>0</v>
      </c>
      <c r="X51" s="76">
        <f t="shared" si="10"/>
        <v>0</v>
      </c>
      <c r="Y51" s="72">
        <f t="shared" si="10"/>
        <v>0</v>
      </c>
      <c r="Z51" s="72">
        <f t="shared" si="10"/>
        <v>0</v>
      </c>
      <c r="AA51" s="72">
        <f t="shared" si="9"/>
        <v>0</v>
      </c>
      <c r="AB51" s="72">
        <f t="shared" si="9"/>
        <v>0</v>
      </c>
      <c r="AC51" s="590"/>
      <c r="AD51" s="590"/>
      <c r="AE51" s="240"/>
      <c r="AF51" s="240"/>
      <c r="AG51" s="240"/>
      <c r="AH51" s="240"/>
      <c r="AI51" s="240"/>
      <c r="AJ51" s="240"/>
    </row>
    <row r="52" spans="1:36" s="56" customFormat="1" ht="27.75" customHeight="1">
      <c r="A52" s="204"/>
      <c r="B52" s="204" t="s">
        <v>726</v>
      </c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591"/>
      <c r="AB52" s="591"/>
      <c r="AC52" s="590"/>
      <c r="AD52" s="590"/>
      <c r="AE52" s="240"/>
      <c r="AF52" s="240"/>
      <c r="AG52" s="240"/>
      <c r="AH52" s="240"/>
      <c r="AI52" s="240"/>
      <c r="AJ52" s="240"/>
    </row>
    <row r="53" spans="1:36" s="56" customFormat="1" ht="7.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90"/>
      <c r="AD53" s="590"/>
      <c r="AE53" s="240"/>
      <c r="AF53" s="240"/>
      <c r="AG53" s="240"/>
      <c r="AH53" s="240"/>
      <c r="AI53" s="240"/>
      <c r="AJ53" s="240"/>
    </row>
    <row r="54" spans="1:36" s="317" customFormat="1" ht="21.75" customHeight="1">
      <c r="A54" s="354">
        <v>23</v>
      </c>
      <c r="B54" s="173" t="s">
        <v>712</v>
      </c>
      <c r="C54" s="75">
        <f t="shared" ref="C54:D70" si="11">E54+I54+M54+Q54+U54</f>
        <v>501683978</v>
      </c>
      <c r="D54" s="290">
        <f t="shared" si="11"/>
        <v>50567730</v>
      </c>
      <c r="E54" s="76">
        <v>464321265</v>
      </c>
      <c r="F54" s="76">
        <v>50567730</v>
      </c>
      <c r="G54" s="76">
        <v>0</v>
      </c>
      <c r="H54" s="76">
        <v>0</v>
      </c>
      <c r="I54" s="76">
        <v>19802585</v>
      </c>
      <c r="J54" s="76">
        <v>0</v>
      </c>
      <c r="K54" s="76">
        <v>3384658</v>
      </c>
      <c r="L54" s="76">
        <v>0</v>
      </c>
      <c r="M54" s="76">
        <v>2889737</v>
      </c>
      <c r="N54" s="76">
        <v>0</v>
      </c>
      <c r="O54" s="76">
        <v>703934</v>
      </c>
      <c r="P54" s="76">
        <v>0</v>
      </c>
      <c r="Q54" s="76">
        <v>1065014</v>
      </c>
      <c r="R54" s="76">
        <v>0</v>
      </c>
      <c r="S54" s="76">
        <v>484678</v>
      </c>
      <c r="T54" s="76">
        <v>0</v>
      </c>
      <c r="U54" s="76">
        <v>13605377</v>
      </c>
      <c r="V54" s="76">
        <v>0</v>
      </c>
      <c r="W54" s="76">
        <v>5734210</v>
      </c>
      <c r="X54" s="76">
        <v>0</v>
      </c>
      <c r="Y54" s="289">
        <f>+W54+S54+O54+K54</f>
        <v>10307480</v>
      </c>
      <c r="Z54" s="289">
        <f>+X54+T54+P54+L54</f>
        <v>0</v>
      </c>
      <c r="AA54" s="60"/>
      <c r="AB54" s="60"/>
      <c r="AC54" s="593"/>
      <c r="AD54" s="593"/>
      <c r="AE54" s="355"/>
      <c r="AF54" s="355"/>
      <c r="AG54" s="355"/>
      <c r="AH54" s="355"/>
      <c r="AI54" s="355"/>
      <c r="AJ54" s="355"/>
    </row>
    <row r="55" spans="1:36" s="317" customFormat="1" ht="21.75" customHeight="1">
      <c r="A55" s="354">
        <v>24</v>
      </c>
      <c r="B55" s="173" t="s">
        <v>713</v>
      </c>
      <c r="C55" s="75">
        <f t="shared" si="11"/>
        <v>625117886</v>
      </c>
      <c r="D55" s="290">
        <f t="shared" si="11"/>
        <v>160940402</v>
      </c>
      <c r="E55" s="76">
        <v>467590960</v>
      </c>
      <c r="F55" s="76">
        <v>131796818</v>
      </c>
      <c r="G55" s="76">
        <v>0</v>
      </c>
      <c r="H55" s="76">
        <v>0</v>
      </c>
      <c r="I55" s="76">
        <v>94412775</v>
      </c>
      <c r="J55" s="76">
        <v>29143584</v>
      </c>
      <c r="K55" s="76">
        <v>8862866</v>
      </c>
      <c r="L55" s="76">
        <v>2739760</v>
      </c>
      <c r="M55" s="76">
        <v>12343857</v>
      </c>
      <c r="N55" s="76">
        <v>0</v>
      </c>
      <c r="O55" s="76">
        <v>1873092</v>
      </c>
      <c r="P55" s="76">
        <v>0</v>
      </c>
      <c r="Q55" s="76">
        <v>8345505</v>
      </c>
      <c r="R55" s="76">
        <v>0</v>
      </c>
      <c r="S55" s="76">
        <v>4098723</v>
      </c>
      <c r="T55" s="76">
        <v>0</v>
      </c>
      <c r="U55" s="76">
        <v>42424789</v>
      </c>
      <c r="V55" s="76">
        <v>0</v>
      </c>
      <c r="W55" s="76">
        <v>12118561</v>
      </c>
      <c r="X55" s="76">
        <v>0</v>
      </c>
      <c r="Y55" s="289">
        <f t="shared" ref="Y55:Z67" si="12">+W55+S55+O55+K55</f>
        <v>26953242</v>
      </c>
      <c r="Z55" s="289">
        <f t="shared" si="12"/>
        <v>2739760</v>
      </c>
      <c r="AA55" s="60"/>
      <c r="AB55" s="60"/>
      <c r="AC55" s="593"/>
      <c r="AD55" s="593"/>
      <c r="AE55" s="355"/>
      <c r="AF55" s="355"/>
      <c r="AG55" s="355"/>
      <c r="AH55" s="355"/>
      <c r="AI55" s="355"/>
      <c r="AJ55" s="355"/>
    </row>
    <row r="56" spans="1:36" s="317" customFormat="1" ht="21.75" customHeight="1">
      <c r="A56" s="354">
        <v>25</v>
      </c>
      <c r="B56" s="173" t="s">
        <v>714</v>
      </c>
      <c r="C56" s="75">
        <f t="shared" si="11"/>
        <v>666034507</v>
      </c>
      <c r="D56" s="290">
        <f t="shared" si="11"/>
        <v>120235623</v>
      </c>
      <c r="E56" s="76">
        <v>601172632</v>
      </c>
      <c r="F56" s="76">
        <v>106714776</v>
      </c>
      <c r="G56" s="76">
        <v>0</v>
      </c>
      <c r="H56" s="76">
        <v>0</v>
      </c>
      <c r="I56" s="76">
        <v>47520384</v>
      </c>
      <c r="J56" s="76">
        <v>11570068</v>
      </c>
      <c r="K56" s="76">
        <v>4030466</v>
      </c>
      <c r="L56" s="76">
        <v>503553</v>
      </c>
      <c r="M56" s="76">
        <v>5890837</v>
      </c>
      <c r="N56" s="76">
        <v>1950779</v>
      </c>
      <c r="O56" s="76">
        <v>1419098</v>
      </c>
      <c r="P56" s="76">
        <v>487695</v>
      </c>
      <c r="Q56" s="76">
        <v>4747144</v>
      </c>
      <c r="R56" s="76">
        <v>0</v>
      </c>
      <c r="S56" s="76">
        <v>2357072</v>
      </c>
      <c r="T56" s="76">
        <v>0</v>
      </c>
      <c r="U56" s="76">
        <v>6703510</v>
      </c>
      <c r="V56" s="76">
        <v>0</v>
      </c>
      <c r="W56" s="76">
        <v>540476</v>
      </c>
      <c r="X56" s="76">
        <v>0</v>
      </c>
      <c r="Y56" s="289">
        <f t="shared" si="12"/>
        <v>8347112</v>
      </c>
      <c r="Z56" s="289">
        <f t="shared" si="12"/>
        <v>991248</v>
      </c>
      <c r="AA56" s="60"/>
      <c r="AB56" s="60"/>
      <c r="AC56" s="593"/>
      <c r="AD56" s="593"/>
      <c r="AE56" s="355"/>
      <c r="AF56" s="355"/>
      <c r="AG56" s="355"/>
      <c r="AH56" s="355"/>
      <c r="AI56" s="355"/>
      <c r="AJ56" s="355"/>
    </row>
    <row r="57" spans="1:36" s="317" customFormat="1" ht="21.75" customHeight="1">
      <c r="A57" s="354">
        <v>26</v>
      </c>
      <c r="B57" s="173" t="s">
        <v>715</v>
      </c>
      <c r="C57" s="75">
        <f t="shared" si="11"/>
        <v>425494579</v>
      </c>
      <c r="D57" s="290">
        <f t="shared" si="11"/>
        <v>61987422</v>
      </c>
      <c r="E57" s="76">
        <v>295520829</v>
      </c>
      <c r="F57" s="76">
        <v>21001913</v>
      </c>
      <c r="G57" s="76">
        <v>0</v>
      </c>
      <c r="H57" s="76">
        <v>0</v>
      </c>
      <c r="I57" s="76">
        <v>65265378</v>
      </c>
      <c r="J57" s="76">
        <v>5221231</v>
      </c>
      <c r="K57" s="76">
        <v>6192019</v>
      </c>
      <c r="L57" s="76">
        <v>522123</v>
      </c>
      <c r="M57" s="76">
        <v>39382295</v>
      </c>
      <c r="N57" s="76">
        <v>35764278</v>
      </c>
      <c r="O57" s="76">
        <v>885762</v>
      </c>
      <c r="P57" s="76">
        <v>0</v>
      </c>
      <c r="Q57" s="76">
        <v>5537263</v>
      </c>
      <c r="R57" s="76">
        <v>0</v>
      </c>
      <c r="S57" s="76">
        <v>2662471</v>
      </c>
      <c r="T57" s="76">
        <v>0</v>
      </c>
      <c r="U57" s="76">
        <v>19788814</v>
      </c>
      <c r="V57" s="76">
        <v>0</v>
      </c>
      <c r="W57" s="76">
        <v>3249391</v>
      </c>
      <c r="X57" s="76">
        <v>0</v>
      </c>
      <c r="Y57" s="289">
        <f t="shared" si="12"/>
        <v>12989643</v>
      </c>
      <c r="Z57" s="289">
        <f t="shared" si="12"/>
        <v>522123</v>
      </c>
      <c r="AA57" s="60"/>
      <c r="AB57" s="60"/>
      <c r="AC57" s="593"/>
      <c r="AD57" s="593"/>
      <c r="AE57" s="355"/>
      <c r="AF57" s="355"/>
      <c r="AG57" s="355"/>
      <c r="AH57" s="355"/>
      <c r="AI57" s="355"/>
      <c r="AJ57" s="355"/>
    </row>
    <row r="58" spans="1:36" s="317" customFormat="1" ht="21.75" customHeight="1">
      <c r="A58" s="354">
        <v>27</v>
      </c>
      <c r="B58" s="173" t="s">
        <v>716</v>
      </c>
      <c r="C58" s="75">
        <f t="shared" si="11"/>
        <v>684241355</v>
      </c>
      <c r="D58" s="290">
        <f t="shared" si="11"/>
        <v>106625834</v>
      </c>
      <c r="E58" s="76">
        <v>537402677</v>
      </c>
      <c r="F58" s="76">
        <v>63349326</v>
      </c>
      <c r="G58" s="76">
        <v>0</v>
      </c>
      <c r="H58" s="76">
        <v>38811</v>
      </c>
      <c r="I58" s="76">
        <v>105352104</v>
      </c>
      <c r="J58" s="76">
        <v>43276508</v>
      </c>
      <c r="K58" s="76">
        <v>10465606</v>
      </c>
      <c r="L58" s="76">
        <v>4327651</v>
      </c>
      <c r="M58" s="76">
        <v>12224501</v>
      </c>
      <c r="N58" s="76">
        <v>0</v>
      </c>
      <c r="O58" s="76">
        <v>2955513</v>
      </c>
      <c r="P58" s="76">
        <v>0</v>
      </c>
      <c r="Q58" s="76">
        <v>6933556</v>
      </c>
      <c r="R58" s="76">
        <v>0</v>
      </c>
      <c r="S58" s="76">
        <v>3181887</v>
      </c>
      <c r="T58" s="76">
        <v>0</v>
      </c>
      <c r="U58" s="76">
        <v>22328517</v>
      </c>
      <c r="V58" s="76">
        <v>0</v>
      </c>
      <c r="W58" s="76">
        <v>3824454</v>
      </c>
      <c r="X58" s="76">
        <v>0</v>
      </c>
      <c r="Y58" s="289">
        <f t="shared" si="12"/>
        <v>20427460</v>
      </c>
      <c r="Z58" s="289">
        <f t="shared" si="12"/>
        <v>4327651</v>
      </c>
      <c r="AA58" s="60"/>
      <c r="AB58" s="60"/>
      <c r="AC58" s="593"/>
      <c r="AD58" s="593"/>
      <c r="AE58" s="355"/>
      <c r="AF58" s="355"/>
      <c r="AG58" s="355"/>
      <c r="AH58" s="355"/>
      <c r="AI58" s="355"/>
      <c r="AJ58" s="355"/>
    </row>
    <row r="59" spans="1:36" s="317" customFormat="1" ht="21.75" customHeight="1">
      <c r="A59" s="354">
        <v>28</v>
      </c>
      <c r="B59" s="173" t="s">
        <v>717</v>
      </c>
      <c r="C59" s="75">
        <f t="shared" si="11"/>
        <v>349421475</v>
      </c>
      <c r="D59" s="290">
        <f t="shared" si="11"/>
        <v>15706155</v>
      </c>
      <c r="E59" s="76">
        <v>288235642</v>
      </c>
      <c r="F59" s="76">
        <v>15030087</v>
      </c>
      <c r="G59" s="76">
        <v>0</v>
      </c>
      <c r="H59" s="76">
        <v>0</v>
      </c>
      <c r="I59" s="76">
        <v>37133412</v>
      </c>
      <c r="J59" s="76">
        <v>676068</v>
      </c>
      <c r="K59" s="76">
        <v>3717125</v>
      </c>
      <c r="L59" s="76">
        <v>67607</v>
      </c>
      <c r="M59" s="76">
        <v>3635392</v>
      </c>
      <c r="N59" s="76">
        <v>0</v>
      </c>
      <c r="O59" s="76">
        <v>819313</v>
      </c>
      <c r="P59" s="76">
        <v>0</v>
      </c>
      <c r="Q59" s="76">
        <v>4165499</v>
      </c>
      <c r="R59" s="76">
        <v>0</v>
      </c>
      <c r="S59" s="76">
        <v>2023529</v>
      </c>
      <c r="T59" s="76">
        <v>0</v>
      </c>
      <c r="U59" s="76">
        <v>16251530</v>
      </c>
      <c r="V59" s="76">
        <v>0</v>
      </c>
      <c r="W59" s="76">
        <v>1809241</v>
      </c>
      <c r="X59" s="76">
        <v>0</v>
      </c>
      <c r="Y59" s="289">
        <f t="shared" si="12"/>
        <v>8369208</v>
      </c>
      <c r="Z59" s="289">
        <f t="shared" si="12"/>
        <v>67607</v>
      </c>
      <c r="AA59" s="60"/>
      <c r="AB59" s="60"/>
      <c r="AC59" s="593"/>
      <c r="AD59" s="593"/>
      <c r="AE59" s="355"/>
      <c r="AF59" s="355"/>
      <c r="AG59" s="355"/>
      <c r="AH59" s="355"/>
      <c r="AI59" s="355"/>
      <c r="AJ59" s="355"/>
    </row>
    <row r="60" spans="1:36" s="317" customFormat="1" ht="21.75" customHeight="1">
      <c r="A60" s="354">
        <v>29</v>
      </c>
      <c r="B60" s="173" t="s">
        <v>718</v>
      </c>
      <c r="C60" s="75">
        <f t="shared" si="11"/>
        <v>673183998</v>
      </c>
      <c r="D60" s="290">
        <f t="shared" si="11"/>
        <v>65655927</v>
      </c>
      <c r="E60" s="76">
        <v>508053827</v>
      </c>
      <c r="F60" s="76">
        <v>64380234</v>
      </c>
      <c r="G60" s="76">
        <v>0</v>
      </c>
      <c r="H60" s="76">
        <v>0</v>
      </c>
      <c r="I60" s="76">
        <v>59776842</v>
      </c>
      <c r="J60" s="76">
        <v>1275693</v>
      </c>
      <c r="K60" s="76">
        <v>5221085</v>
      </c>
      <c r="L60" s="76">
        <v>127569</v>
      </c>
      <c r="M60" s="76">
        <v>18464288</v>
      </c>
      <c r="N60" s="76">
        <v>0</v>
      </c>
      <c r="O60" s="76">
        <v>3009226</v>
      </c>
      <c r="P60" s="76">
        <v>0</v>
      </c>
      <c r="Q60" s="76">
        <v>17810689</v>
      </c>
      <c r="R60" s="76">
        <v>0</v>
      </c>
      <c r="S60" s="76">
        <v>8532384</v>
      </c>
      <c r="T60" s="76">
        <v>0</v>
      </c>
      <c r="U60" s="76">
        <v>69078352</v>
      </c>
      <c r="V60" s="76">
        <v>0</v>
      </c>
      <c r="W60" s="76">
        <v>12433202</v>
      </c>
      <c r="X60" s="76">
        <v>0</v>
      </c>
      <c r="Y60" s="289">
        <f t="shared" si="12"/>
        <v>29195897</v>
      </c>
      <c r="Z60" s="289">
        <f t="shared" si="12"/>
        <v>127569</v>
      </c>
      <c r="AA60" s="60"/>
      <c r="AB60" s="60"/>
      <c r="AC60" s="593"/>
      <c r="AD60" s="593"/>
      <c r="AE60" s="355"/>
      <c r="AF60" s="355"/>
      <c r="AG60" s="355"/>
      <c r="AH60" s="355"/>
      <c r="AI60" s="355"/>
      <c r="AJ60" s="355"/>
    </row>
    <row r="61" spans="1:36" s="317" customFormat="1" ht="21.75" customHeight="1">
      <c r="A61" s="354">
        <v>30</v>
      </c>
      <c r="B61" s="173" t="s">
        <v>719</v>
      </c>
      <c r="C61" s="75">
        <f t="shared" si="11"/>
        <v>823311565</v>
      </c>
      <c r="D61" s="290">
        <f t="shared" si="11"/>
        <v>43003810</v>
      </c>
      <c r="E61" s="76">
        <v>659158890</v>
      </c>
      <c r="F61" s="76">
        <v>35491829</v>
      </c>
      <c r="G61" s="76">
        <v>0</v>
      </c>
      <c r="H61" s="76">
        <v>0</v>
      </c>
      <c r="I61" s="76">
        <v>93870679</v>
      </c>
      <c r="J61" s="76">
        <v>7511981</v>
      </c>
      <c r="K61" s="76">
        <v>8828156</v>
      </c>
      <c r="L61" s="76">
        <v>751198</v>
      </c>
      <c r="M61" s="76">
        <v>8205747</v>
      </c>
      <c r="N61" s="76">
        <v>0</v>
      </c>
      <c r="O61" s="76">
        <v>1778476</v>
      </c>
      <c r="P61" s="76">
        <v>0</v>
      </c>
      <c r="Q61" s="76">
        <v>7401557</v>
      </c>
      <c r="R61" s="76">
        <v>0</v>
      </c>
      <c r="S61" s="76">
        <v>3533088</v>
      </c>
      <c r="T61" s="76">
        <v>0</v>
      </c>
      <c r="U61" s="76">
        <v>54674692</v>
      </c>
      <c r="V61" s="76">
        <v>0</v>
      </c>
      <c r="W61" s="76">
        <v>7729633</v>
      </c>
      <c r="X61" s="76">
        <v>0</v>
      </c>
      <c r="Y61" s="289">
        <f t="shared" si="12"/>
        <v>21869353</v>
      </c>
      <c r="Z61" s="289">
        <f t="shared" si="12"/>
        <v>751198</v>
      </c>
      <c r="AA61" s="60"/>
      <c r="AB61" s="60"/>
      <c r="AC61" s="593"/>
      <c r="AD61" s="593"/>
      <c r="AE61" s="355"/>
      <c r="AF61" s="355"/>
      <c r="AG61" s="355"/>
      <c r="AH61" s="355"/>
      <c r="AI61" s="355"/>
      <c r="AJ61" s="355"/>
    </row>
    <row r="62" spans="1:36" s="317" customFormat="1" ht="21.75" customHeight="1">
      <c r="A62" s="354">
        <v>31</v>
      </c>
      <c r="B62" s="173" t="s">
        <v>720</v>
      </c>
      <c r="C62" s="75">
        <f t="shared" si="11"/>
        <v>1119643274</v>
      </c>
      <c r="D62" s="290">
        <f t="shared" si="11"/>
        <v>350386278</v>
      </c>
      <c r="E62" s="76">
        <v>925011259</v>
      </c>
      <c r="F62" s="76">
        <v>304798234</v>
      </c>
      <c r="G62" s="76">
        <v>0</v>
      </c>
      <c r="H62" s="76">
        <v>0</v>
      </c>
      <c r="I62" s="76">
        <v>122438405</v>
      </c>
      <c r="J62" s="76">
        <v>35319145</v>
      </c>
      <c r="K62" s="76">
        <v>12029577</v>
      </c>
      <c r="L62" s="76">
        <v>3531914</v>
      </c>
      <c r="M62" s="76">
        <v>35712380</v>
      </c>
      <c r="N62" s="76">
        <v>10268899</v>
      </c>
      <c r="O62" s="76">
        <v>4019503</v>
      </c>
      <c r="P62" s="76">
        <v>0</v>
      </c>
      <c r="Q62" s="76">
        <v>10864077</v>
      </c>
      <c r="R62" s="76">
        <v>0</v>
      </c>
      <c r="S62" s="76">
        <v>5149233</v>
      </c>
      <c r="T62" s="76">
        <v>0</v>
      </c>
      <c r="U62" s="76">
        <v>25617153</v>
      </c>
      <c r="V62" s="76">
        <v>0</v>
      </c>
      <c r="W62" s="76">
        <v>3704869</v>
      </c>
      <c r="X62" s="76">
        <v>0</v>
      </c>
      <c r="Y62" s="289">
        <f t="shared" si="12"/>
        <v>24903182</v>
      </c>
      <c r="Z62" s="289">
        <f t="shared" si="12"/>
        <v>3531914</v>
      </c>
      <c r="AA62" s="60"/>
      <c r="AB62" s="60"/>
      <c r="AC62" s="593"/>
      <c r="AD62" s="593"/>
      <c r="AE62" s="355"/>
      <c r="AF62" s="355"/>
      <c r="AG62" s="355"/>
      <c r="AH62" s="355"/>
      <c r="AI62" s="355"/>
      <c r="AJ62" s="355"/>
    </row>
    <row r="63" spans="1:36" s="317" customFormat="1" ht="21.75" customHeight="1">
      <c r="A63" s="354">
        <v>32</v>
      </c>
      <c r="B63" s="173" t="s">
        <v>721</v>
      </c>
      <c r="C63" s="75">
        <f t="shared" si="11"/>
        <v>678359198</v>
      </c>
      <c r="D63" s="290">
        <f t="shared" si="11"/>
        <v>259219342</v>
      </c>
      <c r="E63" s="76">
        <v>589224065</v>
      </c>
      <c r="F63" s="76">
        <v>241888712</v>
      </c>
      <c r="G63" s="76">
        <v>0</v>
      </c>
      <c r="H63" s="76">
        <v>0</v>
      </c>
      <c r="I63" s="76">
        <v>63600096</v>
      </c>
      <c r="J63" s="76">
        <v>16809564</v>
      </c>
      <c r="K63" s="76">
        <v>6072791</v>
      </c>
      <c r="L63" s="76">
        <v>1680957</v>
      </c>
      <c r="M63" s="76">
        <v>9142115</v>
      </c>
      <c r="N63" s="76">
        <v>0</v>
      </c>
      <c r="O63" s="76">
        <v>1218887</v>
      </c>
      <c r="P63" s="76">
        <v>0</v>
      </c>
      <c r="Q63" s="76">
        <v>2746743</v>
      </c>
      <c r="R63" s="76">
        <v>0</v>
      </c>
      <c r="S63" s="76">
        <v>1336924</v>
      </c>
      <c r="T63" s="76">
        <v>0</v>
      </c>
      <c r="U63" s="76">
        <v>13646179</v>
      </c>
      <c r="V63" s="76">
        <v>521066</v>
      </c>
      <c r="W63" s="76">
        <v>1046040</v>
      </c>
      <c r="X63" s="76">
        <v>0</v>
      </c>
      <c r="Y63" s="289">
        <f t="shared" si="12"/>
        <v>9674642</v>
      </c>
      <c r="Z63" s="289">
        <f t="shared" si="12"/>
        <v>1680957</v>
      </c>
      <c r="AA63" s="60"/>
      <c r="AB63" s="60"/>
      <c r="AC63" s="593"/>
      <c r="AD63" s="593"/>
      <c r="AE63" s="355"/>
      <c r="AF63" s="355"/>
      <c r="AG63" s="355"/>
      <c r="AH63" s="355"/>
      <c r="AI63" s="355"/>
      <c r="AJ63" s="355"/>
    </row>
    <row r="64" spans="1:36" s="317" customFormat="1" ht="21.75" customHeight="1">
      <c r="A64" s="354">
        <v>33</v>
      </c>
      <c r="B64" s="173" t="s">
        <v>725</v>
      </c>
      <c r="C64" s="75">
        <f>E64+I64+M64+Q64+U64</f>
        <v>2152730961</v>
      </c>
      <c r="D64" s="290">
        <f t="shared" si="11"/>
        <v>1467291763</v>
      </c>
      <c r="E64" s="76">
        <v>1957102905</v>
      </c>
      <c r="F64" s="76">
        <v>1336604211</v>
      </c>
      <c r="G64" s="76">
        <v>0</v>
      </c>
      <c r="H64" s="76">
        <v>0</v>
      </c>
      <c r="I64" s="76">
        <v>122538641</v>
      </c>
      <c r="J64" s="76">
        <v>59031615</v>
      </c>
      <c r="K64" s="76">
        <v>12233964</v>
      </c>
      <c r="L64" s="76">
        <v>5903161</v>
      </c>
      <c r="M64" s="76">
        <v>71877385</v>
      </c>
      <c r="N64" s="76">
        <v>71655937</v>
      </c>
      <c r="O64" s="76">
        <v>7220957</v>
      </c>
      <c r="P64" s="76">
        <v>7165594</v>
      </c>
      <c r="Q64" s="76">
        <v>185470</v>
      </c>
      <c r="R64" s="76">
        <v>0</v>
      </c>
      <c r="S64" s="76">
        <v>81740</v>
      </c>
      <c r="T64" s="76">
        <v>0</v>
      </c>
      <c r="U64" s="76">
        <v>1026560</v>
      </c>
      <c r="V64" s="76">
        <v>0</v>
      </c>
      <c r="W64" s="76">
        <v>225410</v>
      </c>
      <c r="X64" s="76">
        <v>0</v>
      </c>
      <c r="Y64" s="289">
        <f>+W64+S64+O64+K64</f>
        <v>19762071</v>
      </c>
      <c r="Z64" s="289">
        <f>+X64+T64+P64+L64</f>
        <v>13068755</v>
      </c>
      <c r="AA64" s="60"/>
      <c r="AB64" s="60"/>
      <c r="AC64" s="593"/>
      <c r="AD64" s="593"/>
      <c r="AE64" s="355"/>
      <c r="AF64" s="355"/>
      <c r="AG64" s="355"/>
      <c r="AH64" s="355"/>
      <c r="AI64" s="355"/>
      <c r="AJ64" s="355"/>
    </row>
    <row r="65" spans="1:36" s="317" customFormat="1" ht="21.75" customHeight="1">
      <c r="A65" s="354">
        <v>34</v>
      </c>
      <c r="B65" s="173" t="s">
        <v>722</v>
      </c>
      <c r="C65" s="75">
        <f t="shared" si="11"/>
        <v>960004513</v>
      </c>
      <c r="D65" s="290">
        <f t="shared" si="11"/>
        <v>498905946</v>
      </c>
      <c r="E65" s="76">
        <v>835711883</v>
      </c>
      <c r="F65" s="76">
        <v>479425229</v>
      </c>
      <c r="G65" s="76">
        <v>0</v>
      </c>
      <c r="H65" s="76">
        <v>0</v>
      </c>
      <c r="I65" s="76">
        <v>90665510</v>
      </c>
      <c r="J65" s="76">
        <v>19395356</v>
      </c>
      <c r="K65" s="76">
        <v>8733337</v>
      </c>
      <c r="L65" s="76">
        <v>1939536</v>
      </c>
      <c r="M65" s="76">
        <v>12463067</v>
      </c>
      <c r="N65" s="76">
        <v>85361</v>
      </c>
      <c r="O65" s="76">
        <v>1249015</v>
      </c>
      <c r="P65" s="76">
        <v>21340</v>
      </c>
      <c r="Q65" s="76">
        <v>4090445</v>
      </c>
      <c r="R65" s="76">
        <v>0</v>
      </c>
      <c r="S65" s="76">
        <v>1965819</v>
      </c>
      <c r="T65" s="76">
        <v>0</v>
      </c>
      <c r="U65" s="76">
        <v>17073608</v>
      </c>
      <c r="V65" s="76">
        <v>0</v>
      </c>
      <c r="W65" s="76">
        <v>2376039</v>
      </c>
      <c r="X65" s="76">
        <v>0</v>
      </c>
      <c r="Y65" s="289">
        <f t="shared" si="12"/>
        <v>14324210</v>
      </c>
      <c r="Z65" s="289">
        <f t="shared" si="12"/>
        <v>1960876</v>
      </c>
      <c r="AA65" s="60"/>
      <c r="AB65" s="60"/>
      <c r="AC65" s="593"/>
      <c r="AD65" s="593"/>
      <c r="AE65" s="355"/>
      <c r="AF65" s="355"/>
      <c r="AG65" s="355"/>
      <c r="AH65" s="355"/>
      <c r="AI65" s="355"/>
      <c r="AJ65" s="355"/>
    </row>
    <row r="66" spans="1:36" s="317" customFormat="1" ht="21.75" customHeight="1">
      <c r="A66" s="354">
        <v>35</v>
      </c>
      <c r="B66" s="173" t="s">
        <v>723</v>
      </c>
      <c r="C66" s="75">
        <f t="shared" si="11"/>
        <v>580367661</v>
      </c>
      <c r="D66" s="290">
        <f t="shared" si="11"/>
        <v>179626986</v>
      </c>
      <c r="E66" s="76">
        <v>530741940</v>
      </c>
      <c r="F66" s="76">
        <v>179467026</v>
      </c>
      <c r="G66" s="76">
        <v>0</v>
      </c>
      <c r="H66" s="76">
        <v>0</v>
      </c>
      <c r="I66" s="76">
        <v>29261615</v>
      </c>
      <c r="J66" s="76">
        <v>159960</v>
      </c>
      <c r="K66" s="76">
        <v>2895471</v>
      </c>
      <c r="L66" s="76">
        <v>15996</v>
      </c>
      <c r="M66" s="76">
        <v>3547961</v>
      </c>
      <c r="N66" s="76">
        <v>0</v>
      </c>
      <c r="O66" s="76">
        <v>866531</v>
      </c>
      <c r="P66" s="76">
        <v>0</v>
      </c>
      <c r="Q66" s="76">
        <v>3183806</v>
      </c>
      <c r="R66" s="76">
        <v>0</v>
      </c>
      <c r="S66" s="76">
        <v>1564765</v>
      </c>
      <c r="T66" s="76">
        <v>0</v>
      </c>
      <c r="U66" s="76">
        <v>13632339</v>
      </c>
      <c r="V66" s="76">
        <v>0</v>
      </c>
      <c r="W66" s="76">
        <v>1832707</v>
      </c>
      <c r="X66" s="76">
        <v>0</v>
      </c>
      <c r="Y66" s="289">
        <f t="shared" si="12"/>
        <v>7159474</v>
      </c>
      <c r="Z66" s="289">
        <f t="shared" si="12"/>
        <v>15996</v>
      </c>
      <c r="AA66" s="60"/>
      <c r="AB66" s="60"/>
      <c r="AC66" s="593"/>
      <c r="AD66" s="593"/>
      <c r="AE66" s="355"/>
      <c r="AF66" s="355"/>
      <c r="AG66" s="355"/>
      <c r="AH66" s="355"/>
      <c r="AI66" s="355"/>
      <c r="AJ66" s="355"/>
    </row>
    <row r="67" spans="1:36" s="317" customFormat="1" ht="21.75" customHeight="1">
      <c r="A67" s="354">
        <v>36</v>
      </c>
      <c r="B67" s="173" t="s">
        <v>724</v>
      </c>
      <c r="C67" s="75">
        <f t="shared" si="11"/>
        <v>576289061</v>
      </c>
      <c r="D67" s="290">
        <f t="shared" si="11"/>
        <v>231441471</v>
      </c>
      <c r="E67" s="76">
        <v>527272550</v>
      </c>
      <c r="F67" s="76">
        <v>230578294</v>
      </c>
      <c r="G67" s="76">
        <v>0</v>
      </c>
      <c r="H67" s="76">
        <v>0</v>
      </c>
      <c r="I67" s="76">
        <v>35474008</v>
      </c>
      <c r="J67" s="76">
        <v>863177</v>
      </c>
      <c r="K67" s="76">
        <v>3436812</v>
      </c>
      <c r="L67" s="76">
        <v>86318</v>
      </c>
      <c r="M67" s="76">
        <v>2266224</v>
      </c>
      <c r="N67" s="76">
        <v>0</v>
      </c>
      <c r="O67" s="76">
        <v>559823</v>
      </c>
      <c r="P67" s="76">
        <v>0</v>
      </c>
      <c r="Q67" s="76">
        <v>2747815</v>
      </c>
      <c r="R67" s="76">
        <v>0</v>
      </c>
      <c r="S67" s="76">
        <v>1295009</v>
      </c>
      <c r="T67" s="76">
        <v>0</v>
      </c>
      <c r="U67" s="76">
        <v>8528464</v>
      </c>
      <c r="V67" s="76">
        <v>0</v>
      </c>
      <c r="W67" s="76">
        <v>1533682</v>
      </c>
      <c r="X67" s="76">
        <v>0</v>
      </c>
      <c r="Y67" s="289">
        <f t="shared" si="12"/>
        <v>6825326</v>
      </c>
      <c r="Z67" s="289">
        <f t="shared" si="12"/>
        <v>86318</v>
      </c>
      <c r="AA67" s="60"/>
      <c r="AB67" s="60"/>
      <c r="AC67" s="593"/>
      <c r="AD67" s="593"/>
      <c r="AE67" s="355"/>
      <c r="AF67" s="355"/>
      <c r="AG67" s="355"/>
      <c r="AH67" s="355"/>
      <c r="AI67" s="355"/>
      <c r="AJ67" s="355"/>
    </row>
    <row r="68" spans="1:36" s="82" customFormat="1" ht="28.5" customHeight="1">
      <c r="A68" s="201">
        <v>37</v>
      </c>
      <c r="B68" s="201" t="s">
        <v>173</v>
      </c>
      <c r="C68" s="204">
        <f t="shared" ref="C68:AB68" si="13">SUM(C54:C67)</f>
        <v>10815884011</v>
      </c>
      <c r="D68" s="204">
        <f t="shared" si="13"/>
        <v>3611594689</v>
      </c>
      <c r="E68" s="204">
        <f t="shared" si="13"/>
        <v>9186521324</v>
      </c>
      <c r="F68" s="204">
        <f t="shared" si="13"/>
        <v>3261094419</v>
      </c>
      <c r="G68" s="204">
        <f t="shared" si="13"/>
        <v>0</v>
      </c>
      <c r="H68" s="204">
        <f t="shared" si="13"/>
        <v>38811</v>
      </c>
      <c r="I68" s="204">
        <f t="shared" si="13"/>
        <v>987112434</v>
      </c>
      <c r="J68" s="204">
        <f t="shared" si="13"/>
        <v>230253950</v>
      </c>
      <c r="K68" s="204">
        <f t="shared" si="13"/>
        <v>96103933</v>
      </c>
      <c r="L68" s="204">
        <f t="shared" si="13"/>
        <v>22197343</v>
      </c>
      <c r="M68" s="204">
        <f t="shared" si="13"/>
        <v>238045786</v>
      </c>
      <c r="N68" s="204">
        <f t="shared" si="13"/>
        <v>119725254</v>
      </c>
      <c r="O68" s="204">
        <f t="shared" si="13"/>
        <v>28579130</v>
      </c>
      <c r="P68" s="204">
        <f t="shared" si="13"/>
        <v>7674629</v>
      </c>
      <c r="Q68" s="204">
        <f t="shared" si="13"/>
        <v>79824583</v>
      </c>
      <c r="R68" s="204">
        <f t="shared" si="13"/>
        <v>0</v>
      </c>
      <c r="S68" s="204">
        <f t="shared" si="13"/>
        <v>38267322</v>
      </c>
      <c r="T68" s="204">
        <f t="shared" si="13"/>
        <v>0</v>
      </c>
      <c r="U68" s="204">
        <f t="shared" si="13"/>
        <v>324379884</v>
      </c>
      <c r="V68" s="204">
        <f t="shared" si="13"/>
        <v>521066</v>
      </c>
      <c r="W68" s="204">
        <f t="shared" si="13"/>
        <v>58157915</v>
      </c>
      <c r="X68" s="204">
        <f t="shared" si="13"/>
        <v>0</v>
      </c>
      <c r="Y68" s="204">
        <f t="shared" si="13"/>
        <v>221108300</v>
      </c>
      <c r="Z68" s="204">
        <f t="shared" si="13"/>
        <v>29871972</v>
      </c>
      <c r="AA68" s="591">
        <f t="shared" si="13"/>
        <v>0</v>
      </c>
      <c r="AB68" s="591">
        <f t="shared" si="13"/>
        <v>0</v>
      </c>
      <c r="AC68" s="590"/>
      <c r="AD68" s="590"/>
      <c r="AE68" s="240"/>
      <c r="AF68" s="240"/>
      <c r="AG68" s="240"/>
      <c r="AH68" s="240"/>
      <c r="AI68" s="240"/>
      <c r="AJ68" s="240"/>
    </row>
    <row r="69" spans="1:36" s="20" customFormat="1" ht="23.25" customHeight="1">
      <c r="A69" s="74">
        <v>38</v>
      </c>
      <c r="B69" s="339" t="s">
        <v>193</v>
      </c>
      <c r="C69" s="218">
        <f t="shared" ref="C69" si="14">E69+I69+M69+Q69+U69</f>
        <v>1698718091</v>
      </c>
      <c r="D69" s="290">
        <f t="shared" si="11"/>
        <v>0</v>
      </c>
      <c r="E69" s="76">
        <v>1698718091</v>
      </c>
      <c r="F69" s="76"/>
      <c r="G69" s="76">
        <v>48718159</v>
      </c>
      <c r="H69" s="76"/>
      <c r="I69" s="76"/>
      <c r="J69" s="76"/>
      <c r="K69" s="76">
        <v>2846320</v>
      </c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289">
        <f t="shared" ref="Y69:Z69" si="15">+W69+S69+O69+K69</f>
        <v>2846320</v>
      </c>
      <c r="Z69" s="289">
        <f t="shared" si="15"/>
        <v>0</v>
      </c>
      <c r="AA69" s="60"/>
      <c r="AB69" s="60"/>
      <c r="AC69" s="590"/>
      <c r="AD69" s="590"/>
      <c r="AE69" s="240"/>
      <c r="AF69" s="240"/>
      <c r="AG69" s="240"/>
      <c r="AH69" s="240"/>
      <c r="AI69" s="240"/>
      <c r="AJ69" s="240"/>
    </row>
    <row r="70" spans="1:36" s="20" customFormat="1" ht="23.25" customHeight="1">
      <c r="A70" s="74"/>
      <c r="B70" s="73" t="s">
        <v>545</v>
      </c>
      <c r="C70" s="218">
        <f t="shared" ref="C70" si="16">E70+I70+M70+Q70+U70</f>
        <v>0</v>
      </c>
      <c r="D70" s="290">
        <f t="shared" si="11"/>
        <v>0</v>
      </c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X70" s="288"/>
      <c r="Y70" s="289">
        <f t="shared" ref="Y70" si="17">+W70+S70+O70+K70</f>
        <v>0</v>
      </c>
      <c r="Z70" s="289">
        <f t="shared" ref="Z70" si="18">+X70+T70+P70+L70</f>
        <v>0</v>
      </c>
      <c r="AA70" s="60"/>
      <c r="AB70" s="60"/>
      <c r="AC70" s="590"/>
      <c r="AD70" s="590"/>
      <c r="AE70" s="240"/>
      <c r="AF70" s="240"/>
      <c r="AG70" s="240"/>
      <c r="AH70" s="240"/>
      <c r="AI70" s="240"/>
      <c r="AJ70" s="240"/>
    </row>
    <row r="71" spans="1:36" s="82" customFormat="1" ht="28.5" customHeight="1">
      <c r="A71" s="201">
        <v>39</v>
      </c>
      <c r="B71" s="201" t="s">
        <v>194</v>
      </c>
      <c r="C71" s="204">
        <f t="shared" ref="C71:AB71" si="19">+C50+C69</f>
        <v>12514602102</v>
      </c>
      <c r="D71" s="204">
        <f t="shared" si="19"/>
        <v>3611594689</v>
      </c>
      <c r="E71" s="204">
        <f t="shared" si="19"/>
        <v>10885239415</v>
      </c>
      <c r="F71" s="204">
        <f t="shared" si="19"/>
        <v>3261094419</v>
      </c>
      <c r="G71" s="204">
        <f t="shared" si="19"/>
        <v>48718159</v>
      </c>
      <c r="H71" s="204">
        <f t="shared" si="19"/>
        <v>38811</v>
      </c>
      <c r="I71" s="204">
        <f t="shared" si="19"/>
        <v>987112434</v>
      </c>
      <c r="J71" s="204">
        <f t="shared" si="19"/>
        <v>230253950</v>
      </c>
      <c r="K71" s="204">
        <f t="shared" si="19"/>
        <v>98950253</v>
      </c>
      <c r="L71" s="204">
        <f t="shared" si="19"/>
        <v>22197343</v>
      </c>
      <c r="M71" s="204">
        <f t="shared" si="19"/>
        <v>238045786</v>
      </c>
      <c r="N71" s="204">
        <f t="shared" si="19"/>
        <v>119725254</v>
      </c>
      <c r="O71" s="204">
        <f t="shared" si="19"/>
        <v>28579130</v>
      </c>
      <c r="P71" s="204">
        <f t="shared" si="19"/>
        <v>7674629</v>
      </c>
      <c r="Q71" s="204">
        <f t="shared" si="19"/>
        <v>79824583</v>
      </c>
      <c r="R71" s="204">
        <f t="shared" si="19"/>
        <v>0</v>
      </c>
      <c r="S71" s="204">
        <f t="shared" si="19"/>
        <v>38267322</v>
      </c>
      <c r="T71" s="204">
        <f t="shared" si="19"/>
        <v>0</v>
      </c>
      <c r="U71" s="204">
        <f t="shared" si="19"/>
        <v>324379884</v>
      </c>
      <c r="V71" s="204">
        <f t="shared" si="19"/>
        <v>521066</v>
      </c>
      <c r="W71" s="204">
        <f t="shared" si="19"/>
        <v>58157915</v>
      </c>
      <c r="X71" s="204">
        <f t="shared" si="19"/>
        <v>0</v>
      </c>
      <c r="Y71" s="204">
        <f t="shared" si="19"/>
        <v>223954620</v>
      </c>
      <c r="Z71" s="204">
        <f t="shared" si="19"/>
        <v>29871972</v>
      </c>
      <c r="AA71" s="591">
        <f t="shared" si="19"/>
        <v>0</v>
      </c>
      <c r="AB71" s="591">
        <f t="shared" si="19"/>
        <v>0</v>
      </c>
      <c r="AC71" s="590"/>
      <c r="AD71" s="590"/>
      <c r="AE71" s="240"/>
      <c r="AF71" s="240"/>
      <c r="AG71" s="240"/>
      <c r="AH71" s="240"/>
      <c r="AI71" s="240"/>
      <c r="AJ71" s="240"/>
    </row>
    <row r="72" spans="1:36">
      <c r="Y72" s="14"/>
    </row>
    <row r="73" spans="1:36">
      <c r="Y73" s="14"/>
    </row>
    <row r="74" spans="1:36">
      <c r="B74" s="5" t="s">
        <v>0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564"/>
      <c r="AB74" s="564"/>
    </row>
    <row r="75" spans="1:36">
      <c r="B75" s="5"/>
    </row>
    <row r="76" spans="1:36">
      <c r="B76" s="5" t="s">
        <v>1</v>
      </c>
    </row>
    <row r="77" spans="1:36">
      <c r="E77" s="13">
        <f>SUM('Asset quality'!D21:D47)+'Asset quality'!D16</f>
        <v>9186521324</v>
      </c>
      <c r="F77" s="13"/>
      <c r="G77" s="13">
        <f>SUM('Asset quality'!O21:O47)+'Asset quality'!O16</f>
        <v>0</v>
      </c>
      <c r="H77" s="13"/>
      <c r="I77" s="13">
        <f>SUM('Asset quality'!E21:E47)+'Asset quality'!E16</f>
        <v>987112434</v>
      </c>
      <c r="K77" s="13">
        <f>SUM('Asset quality'!P21:P47)+'Asset quality'!P16</f>
        <v>96103933</v>
      </c>
      <c r="L77" s="13"/>
      <c r="M77" s="13">
        <f>SUM('Asset quality'!F21:F47)+'Asset quality'!F16</f>
        <v>238045786</v>
      </c>
      <c r="O77" s="13">
        <f>SUM('Asset quality'!Q21:Q47)+'Asset quality'!Q16</f>
        <v>28579130</v>
      </c>
      <c r="P77" s="13"/>
      <c r="Q77" s="13">
        <f>SUM('Asset quality'!G21:G47)+'Asset quality'!G16</f>
        <v>79824583</v>
      </c>
      <c r="S77" s="13">
        <f>SUM('Asset quality'!R21:R47)+'Asset quality'!R16</f>
        <v>38267322</v>
      </c>
      <c r="T77" s="13"/>
      <c r="U77" s="13">
        <f>SUM('Asset quality'!H21:H47)+'Asset quality'!H16</f>
        <v>324379884</v>
      </c>
      <c r="W77" s="13">
        <f>SUM('Asset quality'!S21:S47)+'Asset quality'!S16</f>
        <v>58157915</v>
      </c>
      <c r="Y77" s="13">
        <f>+W77+S77+O77+K77</f>
        <v>221108300</v>
      </c>
    </row>
    <row r="78" spans="1:36">
      <c r="E78" s="13"/>
      <c r="G78" s="13">
        <f>+'Asset quality'!O9+'Asset quality'!O62</f>
        <v>48718159</v>
      </c>
      <c r="I78" s="13"/>
      <c r="K78" s="13">
        <f>+'Asset quality'!P9+'Asset quality'!P62</f>
        <v>98950253</v>
      </c>
      <c r="M78" s="13"/>
      <c r="O78" s="13">
        <f>+'Asset quality'!Q9+'Asset quality'!Q62</f>
        <v>28579130</v>
      </c>
      <c r="S78" s="13">
        <f>+'Asset quality'!R9+'Asset quality'!R62</f>
        <v>38267322</v>
      </c>
      <c r="U78" s="13"/>
      <c r="W78" s="13">
        <f>+'Asset quality'!S9+'Asset quality'!S62</f>
        <v>58157915</v>
      </c>
      <c r="Y78" s="13">
        <f>+W78+S78+O78+K78</f>
        <v>223954620</v>
      </c>
    </row>
    <row r="79" spans="1:36">
      <c r="E79" s="382">
        <f>+E77-E50</f>
        <v>0</v>
      </c>
      <c r="F79" s="382"/>
      <c r="G79" s="382">
        <f>+G77-G50</f>
        <v>0</v>
      </c>
      <c r="H79" s="383"/>
      <c r="I79" s="382">
        <f>+I77-I50</f>
        <v>0</v>
      </c>
      <c r="J79" s="383"/>
      <c r="K79" s="382">
        <f>+K77-K50</f>
        <v>0</v>
      </c>
      <c r="L79" s="383"/>
      <c r="M79" s="382">
        <f>+M77-M50</f>
        <v>0</v>
      </c>
      <c r="N79" s="383"/>
      <c r="O79" s="382">
        <f>+O77-O50</f>
        <v>0</v>
      </c>
      <c r="P79" s="383"/>
      <c r="Q79" s="382">
        <f>+Q77-Q50</f>
        <v>0</v>
      </c>
      <c r="R79" s="383"/>
      <c r="S79" s="382">
        <f>+S77-S50</f>
        <v>0</v>
      </c>
      <c r="T79" s="383"/>
      <c r="U79" s="382">
        <f>+U77-U50</f>
        <v>0</v>
      </c>
      <c r="V79" s="383"/>
      <c r="W79" s="382">
        <f>+W77-W50</f>
        <v>0</v>
      </c>
      <c r="X79" s="383"/>
      <c r="Y79" s="382">
        <f>+Y77-Y50</f>
        <v>0</v>
      </c>
      <c r="Z79" s="383"/>
    </row>
    <row r="80" spans="1:36">
      <c r="E80" s="384"/>
      <c r="F80" s="382"/>
      <c r="G80" s="382">
        <f>+G78-G71</f>
        <v>0</v>
      </c>
      <c r="H80" s="383"/>
      <c r="I80" s="382"/>
      <c r="J80" s="383"/>
      <c r="K80" s="382">
        <f>+K78-K71</f>
        <v>0</v>
      </c>
      <c r="L80" s="383"/>
      <c r="M80" s="382"/>
      <c r="N80" s="383"/>
      <c r="O80" s="382">
        <f>+O78-O71</f>
        <v>0</v>
      </c>
      <c r="P80" s="383"/>
      <c r="Q80" s="382"/>
      <c r="R80" s="383"/>
      <c r="S80" s="382">
        <f>+S78-S71</f>
        <v>0</v>
      </c>
      <c r="T80" s="383"/>
      <c r="U80" s="382"/>
      <c r="V80" s="383"/>
      <c r="W80" s="382">
        <f>+W78-W71</f>
        <v>0</v>
      </c>
      <c r="X80" s="383"/>
      <c r="Y80" s="382">
        <f>+Y78-Y71</f>
        <v>0</v>
      </c>
      <c r="Z80" s="383"/>
    </row>
    <row r="81" spans="5:36"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  <c r="AC81" s="567"/>
      <c r="AD81" s="567"/>
      <c r="AE81" s="1"/>
      <c r="AF81" s="1"/>
      <c r="AG81" s="1"/>
      <c r="AH81" s="1"/>
      <c r="AI81" s="1"/>
      <c r="AJ81" s="1"/>
    </row>
    <row r="1048576" spans="29:36">
      <c r="AC1048576" s="592"/>
      <c r="AD1048576" s="567"/>
      <c r="AE1048576" s="1"/>
      <c r="AF1048576" s="1"/>
      <c r="AG1048576" s="1"/>
      <c r="AH1048576" s="1"/>
      <c r="AI1048576" s="1"/>
      <c r="AJ1048576" s="1"/>
    </row>
  </sheetData>
  <sheetProtection sheet="1" objects="1" scenarios="1"/>
  <phoneticPr fontId="16" type="noConversion"/>
  <conditionalFormatting sqref="D30">
    <cfRule type="cellIs" dxfId="250" priority="169" operator="notEqual">
      <formula>$D$50</formula>
    </cfRule>
  </conditionalFormatting>
  <conditionalFormatting sqref="E30">
    <cfRule type="cellIs" dxfId="249" priority="168" operator="notEqual">
      <formula>$E$50</formula>
    </cfRule>
  </conditionalFormatting>
  <conditionalFormatting sqref="F30">
    <cfRule type="cellIs" dxfId="248" priority="167" operator="notEqual">
      <formula>$F$50</formula>
    </cfRule>
  </conditionalFormatting>
  <conditionalFormatting sqref="G30">
    <cfRule type="cellIs" dxfId="247" priority="166" operator="notEqual">
      <formula>$G$50</formula>
    </cfRule>
  </conditionalFormatting>
  <conditionalFormatting sqref="H30">
    <cfRule type="cellIs" dxfId="246" priority="165" operator="notEqual">
      <formula>$H$50</formula>
    </cfRule>
  </conditionalFormatting>
  <conditionalFormatting sqref="I30">
    <cfRule type="cellIs" dxfId="245" priority="164" operator="notEqual">
      <formula>$I$50</formula>
    </cfRule>
  </conditionalFormatting>
  <conditionalFormatting sqref="J30">
    <cfRule type="cellIs" dxfId="244" priority="162" operator="notEqual">
      <formula>$J$50</formula>
    </cfRule>
  </conditionalFormatting>
  <conditionalFormatting sqref="K30">
    <cfRule type="cellIs" dxfId="243" priority="161" operator="notEqual">
      <formula>$K$50</formula>
    </cfRule>
  </conditionalFormatting>
  <conditionalFormatting sqref="L30">
    <cfRule type="cellIs" dxfId="242" priority="160" operator="notEqual">
      <formula>$L$50</formula>
    </cfRule>
  </conditionalFormatting>
  <conditionalFormatting sqref="M30">
    <cfRule type="cellIs" dxfId="241" priority="158" operator="notEqual">
      <formula>$M$50</formula>
    </cfRule>
  </conditionalFormatting>
  <conditionalFormatting sqref="N30">
    <cfRule type="cellIs" dxfId="240" priority="157" operator="notEqual">
      <formula>$N$50</formula>
    </cfRule>
  </conditionalFormatting>
  <conditionalFormatting sqref="O30">
    <cfRule type="cellIs" dxfId="239" priority="156" operator="notEqual">
      <formula>$O$50</formula>
    </cfRule>
  </conditionalFormatting>
  <conditionalFormatting sqref="P30">
    <cfRule type="cellIs" dxfId="238" priority="155" operator="notEqual">
      <formula>$P$50</formula>
    </cfRule>
  </conditionalFormatting>
  <conditionalFormatting sqref="Q30">
    <cfRule type="cellIs" dxfId="237" priority="153" operator="notEqual">
      <formula>$Q$50</formula>
    </cfRule>
  </conditionalFormatting>
  <conditionalFormatting sqref="R30">
    <cfRule type="cellIs" dxfId="236" priority="152" operator="notEqual">
      <formula>$R$50</formula>
    </cfRule>
  </conditionalFormatting>
  <conditionalFormatting sqref="S30">
    <cfRule type="cellIs" dxfId="235" priority="151" operator="notEqual">
      <formula>$S$50</formula>
    </cfRule>
  </conditionalFormatting>
  <conditionalFormatting sqref="T30">
    <cfRule type="cellIs" dxfId="234" priority="150" operator="notEqual">
      <formula>$T$50</formula>
    </cfRule>
  </conditionalFormatting>
  <conditionalFormatting sqref="U30">
    <cfRule type="cellIs" dxfId="233" priority="149" operator="notEqual">
      <formula>$U$50</formula>
    </cfRule>
  </conditionalFormatting>
  <conditionalFormatting sqref="V30">
    <cfRule type="cellIs" dxfId="232" priority="148" operator="notEqual">
      <formula>$V$50</formula>
    </cfRule>
  </conditionalFormatting>
  <conditionalFormatting sqref="W30">
    <cfRule type="cellIs" dxfId="231" priority="147" operator="notEqual">
      <formula>$W$50</formula>
    </cfRule>
  </conditionalFormatting>
  <conditionalFormatting sqref="X30">
    <cfRule type="cellIs" dxfId="230" priority="146" operator="notEqual">
      <formula>$X$50</formula>
    </cfRule>
  </conditionalFormatting>
  <conditionalFormatting sqref="Y30">
    <cfRule type="cellIs" dxfId="229" priority="145" operator="notEqual">
      <formula>$Y$50</formula>
    </cfRule>
  </conditionalFormatting>
  <conditionalFormatting sqref="D31">
    <cfRule type="cellIs" dxfId="228" priority="142" operator="notEqual">
      <formula>$D$51</formula>
    </cfRule>
  </conditionalFormatting>
  <conditionalFormatting sqref="I31">
    <cfRule type="cellIs" dxfId="227" priority="132" operator="notEqual">
      <formula>$I$51</formula>
    </cfRule>
  </conditionalFormatting>
  <conditionalFormatting sqref="J31">
    <cfRule type="cellIs" dxfId="226" priority="131" operator="notEqual">
      <formula>$J$51</formula>
    </cfRule>
  </conditionalFormatting>
  <conditionalFormatting sqref="K31">
    <cfRule type="cellIs" dxfId="225" priority="130" operator="notEqual">
      <formula>$K$51</formula>
    </cfRule>
  </conditionalFormatting>
  <conditionalFormatting sqref="L31">
    <cfRule type="cellIs" dxfId="224" priority="129" operator="notEqual">
      <formula>$L$51</formula>
    </cfRule>
  </conditionalFormatting>
  <conditionalFormatting sqref="M31">
    <cfRule type="cellIs" dxfId="223" priority="128" operator="notEqual">
      <formula>$M$51</formula>
    </cfRule>
  </conditionalFormatting>
  <conditionalFormatting sqref="N31">
    <cfRule type="cellIs" dxfId="222" priority="127" operator="notEqual">
      <formula>$N$51</formula>
    </cfRule>
  </conditionalFormatting>
  <conditionalFormatting sqref="O31">
    <cfRule type="cellIs" dxfId="221" priority="126" operator="notEqual">
      <formula>$O$51</formula>
    </cfRule>
  </conditionalFormatting>
  <conditionalFormatting sqref="P31">
    <cfRule type="cellIs" dxfId="220" priority="125" operator="notEqual">
      <formula>$P$51</formula>
    </cfRule>
  </conditionalFormatting>
  <conditionalFormatting sqref="Q31">
    <cfRule type="cellIs" dxfId="219" priority="124" operator="notEqual">
      <formula>$Q$51</formula>
    </cfRule>
  </conditionalFormatting>
  <conditionalFormatting sqref="R31">
    <cfRule type="cellIs" dxfId="218" priority="123" operator="notEqual">
      <formula>$R$51</formula>
    </cfRule>
  </conditionalFormatting>
  <conditionalFormatting sqref="S31">
    <cfRule type="cellIs" dxfId="217" priority="122" operator="notEqual">
      <formula>$S$51</formula>
    </cfRule>
  </conditionalFormatting>
  <conditionalFormatting sqref="T31">
    <cfRule type="cellIs" dxfId="216" priority="121" operator="notEqual">
      <formula>$T$51</formula>
    </cfRule>
  </conditionalFormatting>
  <conditionalFormatting sqref="U31">
    <cfRule type="cellIs" dxfId="215" priority="120" operator="notEqual">
      <formula>$U$51</formula>
    </cfRule>
  </conditionalFormatting>
  <conditionalFormatting sqref="V31">
    <cfRule type="cellIs" dxfId="214" priority="119" operator="notEqual">
      <formula>$V$51</formula>
    </cfRule>
  </conditionalFormatting>
  <conditionalFormatting sqref="W31">
    <cfRule type="cellIs" dxfId="213" priority="118" operator="notEqual">
      <formula>$W$51</formula>
    </cfRule>
  </conditionalFormatting>
  <conditionalFormatting sqref="X31">
    <cfRule type="cellIs" dxfId="212" priority="117" operator="notEqual">
      <formula>$X$51</formula>
    </cfRule>
  </conditionalFormatting>
  <conditionalFormatting sqref="Y31">
    <cfRule type="cellIs" dxfId="211" priority="116" operator="notEqual">
      <formula>$Y$51</formula>
    </cfRule>
  </conditionalFormatting>
  <conditionalFormatting sqref="Z31:AB31">
    <cfRule type="cellIs" dxfId="210" priority="115" operator="notEqual">
      <formula>$Z$51</formula>
    </cfRule>
  </conditionalFormatting>
  <conditionalFormatting sqref="E31">
    <cfRule type="cellIs" dxfId="209" priority="114" operator="notEqual">
      <formula>$E$51</formula>
    </cfRule>
  </conditionalFormatting>
  <conditionalFormatting sqref="F31">
    <cfRule type="cellIs" dxfId="208" priority="113" operator="notEqual">
      <formula>$F$51</formula>
    </cfRule>
  </conditionalFormatting>
  <conditionalFormatting sqref="G31">
    <cfRule type="cellIs" dxfId="207" priority="112" operator="notEqual">
      <formula>$G$51</formula>
    </cfRule>
  </conditionalFormatting>
  <conditionalFormatting sqref="H31">
    <cfRule type="cellIs" dxfId="206" priority="110" operator="notEqual">
      <formula>$H$49</formula>
    </cfRule>
  </conditionalFormatting>
  <conditionalFormatting sqref="G71">
    <cfRule type="cellIs" dxfId="205" priority="42" operator="notEqual">
      <formula>$G$78</formula>
    </cfRule>
    <cfRule type="cellIs" dxfId="204" priority="107" operator="notEqual">
      <formula>$G$78</formula>
    </cfRule>
  </conditionalFormatting>
  <conditionalFormatting sqref="K71">
    <cfRule type="cellIs" dxfId="203" priority="41" operator="notEqual">
      <formula>$K$78</formula>
    </cfRule>
    <cfRule type="cellIs" dxfId="202" priority="105" operator="notEqual">
      <formula>$K$78</formula>
    </cfRule>
  </conditionalFormatting>
  <conditionalFormatting sqref="S71">
    <cfRule type="cellIs" dxfId="201" priority="39" operator="notEqual">
      <formula>$S$78</formula>
    </cfRule>
    <cfRule type="cellIs" dxfId="200" priority="101" operator="notEqual">
      <formula>$S$78</formula>
    </cfRule>
  </conditionalFormatting>
  <conditionalFormatting sqref="W71">
    <cfRule type="cellIs" dxfId="199" priority="38" operator="notEqual">
      <formula>$W$78</formula>
    </cfRule>
    <cfRule type="cellIs" dxfId="198" priority="99" operator="notEqual">
      <formula>$W$78</formula>
    </cfRule>
  </conditionalFormatting>
  <conditionalFormatting sqref="Y71">
    <cfRule type="cellIs" dxfId="197" priority="37" operator="notEqual">
      <formula>$Y$78</formula>
    </cfRule>
    <cfRule type="cellIs" dxfId="196" priority="96" operator="notEqual">
      <formula>$Y$78</formula>
    </cfRule>
  </conditionalFormatting>
  <conditionalFormatting sqref="O71">
    <cfRule type="cellIs" dxfId="195" priority="40" operator="notEqual">
      <formula>$O$78</formula>
    </cfRule>
    <cfRule type="cellIs" dxfId="194" priority="94" operator="notEqual">
      <formula>$O$78</formula>
    </cfRule>
  </conditionalFormatting>
  <conditionalFormatting sqref="G68">
    <cfRule type="cellIs" dxfId="193" priority="36" operator="notEqual">
      <formula>$G$77</formula>
    </cfRule>
    <cfRule type="cellIs" dxfId="192" priority="69" operator="notEqual">
      <formula>$G$30</formula>
    </cfRule>
  </conditionalFormatting>
  <conditionalFormatting sqref="K68">
    <cfRule type="cellIs" dxfId="191" priority="34" operator="notEqual">
      <formula>$K$77</formula>
    </cfRule>
    <cfRule type="cellIs" dxfId="190" priority="68" operator="notEqual">
      <formula>$K$30</formula>
    </cfRule>
  </conditionalFormatting>
  <conditionalFormatting sqref="S68">
    <cfRule type="cellIs" dxfId="189" priority="30" operator="notEqual">
      <formula>$S$77</formula>
    </cfRule>
    <cfRule type="cellIs" dxfId="188" priority="67" operator="notEqual">
      <formula>$S$30</formula>
    </cfRule>
  </conditionalFormatting>
  <conditionalFormatting sqref="W68">
    <cfRule type="cellIs" dxfId="187" priority="28" operator="notEqual">
      <formula>$W$77</formula>
    </cfRule>
    <cfRule type="cellIs" dxfId="186" priority="66" operator="notEqual">
      <formula>$W$30</formula>
    </cfRule>
  </conditionalFormatting>
  <conditionalFormatting sqref="Y68">
    <cfRule type="cellIs" dxfId="185" priority="27" operator="notEqual">
      <formula>$Y$77</formula>
    </cfRule>
    <cfRule type="cellIs" dxfId="184" priority="65" operator="notEqual">
      <formula>$Y$30</formula>
    </cfRule>
  </conditionalFormatting>
  <conditionalFormatting sqref="O68">
    <cfRule type="cellIs" dxfId="183" priority="32" operator="notEqual">
      <formula>$O$77</formula>
    </cfRule>
    <cfRule type="cellIs" dxfId="182" priority="64" operator="notEqual">
      <formula>$O$30</formula>
    </cfRule>
  </conditionalFormatting>
  <conditionalFormatting sqref="E68">
    <cfRule type="cellIs" dxfId="181" priority="26" operator="notEqual">
      <formula>$E$77</formula>
    </cfRule>
    <cfRule type="cellIs" dxfId="180" priority="63" operator="notEqual">
      <formula>$E$30</formula>
    </cfRule>
  </conditionalFormatting>
  <conditionalFormatting sqref="M68">
    <cfRule type="cellIs" dxfId="179" priority="33" operator="notEqual">
      <formula>$M$77</formula>
    </cfRule>
    <cfRule type="cellIs" dxfId="178" priority="61" operator="notEqual">
      <formula>$M$30</formula>
    </cfRule>
  </conditionalFormatting>
  <conditionalFormatting sqref="Q68">
    <cfRule type="cellIs" dxfId="177" priority="31" operator="notEqual">
      <formula>$Q$77</formula>
    </cfRule>
    <cfRule type="cellIs" dxfId="176" priority="60" operator="notEqual">
      <formula>$Q$30</formula>
    </cfRule>
  </conditionalFormatting>
  <conditionalFormatting sqref="U68">
    <cfRule type="cellIs" dxfId="175" priority="29" operator="notEqual">
      <formula>$U$77</formula>
    </cfRule>
    <cfRule type="cellIs" dxfId="174" priority="59" operator="notEqual">
      <formula>$U$30</formula>
    </cfRule>
  </conditionalFormatting>
  <conditionalFormatting sqref="H50">
    <cfRule type="cellIs" dxfId="173" priority="58" operator="notEqual">
      <formula>H68</formula>
    </cfRule>
  </conditionalFormatting>
  <conditionalFormatting sqref="J68">
    <cfRule type="cellIs" dxfId="172" priority="57" operator="notEqual">
      <formula>$J$30</formula>
    </cfRule>
  </conditionalFormatting>
  <conditionalFormatting sqref="I68">
    <cfRule type="cellIs" dxfId="171" priority="35" operator="notEqual">
      <formula>$I$77</formula>
    </cfRule>
  </conditionalFormatting>
  <conditionalFormatting sqref="G50">
    <cfRule type="cellIs" dxfId="170" priority="563" operator="notEqual">
      <formula>$G$68</formula>
    </cfRule>
  </conditionalFormatting>
  <conditionalFormatting sqref="K50">
    <cfRule type="cellIs" dxfId="169" priority="564" operator="notEqual">
      <formula>$K$68</formula>
    </cfRule>
  </conditionalFormatting>
  <conditionalFormatting sqref="S50">
    <cfRule type="cellIs" dxfId="168" priority="565" operator="notEqual">
      <formula>$S$68</formula>
    </cfRule>
  </conditionalFormatting>
  <conditionalFormatting sqref="W50">
    <cfRule type="cellIs" dxfId="167" priority="566" operator="notEqual">
      <formula>$W$68</formula>
    </cfRule>
  </conditionalFormatting>
  <conditionalFormatting sqref="Y50">
    <cfRule type="cellIs" dxfId="166" priority="567" operator="notEqual">
      <formula>$Y$68</formula>
    </cfRule>
  </conditionalFormatting>
  <conditionalFormatting sqref="O50">
    <cfRule type="cellIs" dxfId="165" priority="568" operator="notEqual">
      <formula>$O$68</formula>
    </cfRule>
  </conditionalFormatting>
  <conditionalFormatting sqref="E50">
    <cfRule type="cellIs" dxfId="164" priority="569" operator="notEqual">
      <formula>$E$68</formula>
    </cfRule>
  </conditionalFormatting>
  <conditionalFormatting sqref="M50">
    <cfRule type="cellIs" dxfId="163" priority="570" operator="notEqual">
      <formula>$M$68</formula>
    </cfRule>
  </conditionalFormatting>
  <conditionalFormatting sqref="Q50">
    <cfRule type="cellIs" dxfId="162" priority="571" operator="notEqual">
      <formula>$Q$68</formula>
    </cfRule>
  </conditionalFormatting>
  <conditionalFormatting sqref="U50">
    <cfRule type="cellIs" dxfId="161" priority="572" operator="notEqual">
      <formula>$U$68</formula>
    </cfRule>
  </conditionalFormatting>
  <conditionalFormatting sqref="D50">
    <cfRule type="cellIs" dxfId="160" priority="573" operator="notEqual">
      <formula>$D$68</formula>
    </cfRule>
  </conditionalFormatting>
  <conditionalFormatting sqref="F50">
    <cfRule type="cellIs" dxfId="159" priority="574" operator="notEqual">
      <formula>$F$68</formula>
    </cfRule>
  </conditionalFormatting>
  <conditionalFormatting sqref="I50">
    <cfRule type="cellIs" dxfId="158" priority="575" operator="notEqual">
      <formula>$I$68</formula>
    </cfRule>
  </conditionalFormatting>
  <conditionalFormatting sqref="J50">
    <cfRule type="cellIs" dxfId="157" priority="576" operator="notEqual">
      <formula>$J$68</formula>
    </cfRule>
  </conditionalFormatting>
  <conditionalFormatting sqref="L50">
    <cfRule type="cellIs" dxfId="156" priority="577" operator="notEqual">
      <formula>$L$68</formula>
    </cfRule>
  </conditionalFormatting>
  <conditionalFormatting sqref="N50">
    <cfRule type="cellIs" dxfId="155" priority="578" operator="notEqual">
      <formula>$N$68</formula>
    </cfRule>
  </conditionalFormatting>
  <conditionalFormatting sqref="P50">
    <cfRule type="cellIs" dxfId="154" priority="579" operator="notEqual">
      <formula>$P$68</formula>
    </cfRule>
  </conditionalFormatting>
  <conditionalFormatting sqref="R50">
    <cfRule type="cellIs" dxfId="153" priority="580" operator="notEqual">
      <formula>$R$68</formula>
    </cfRule>
  </conditionalFormatting>
  <conditionalFormatting sqref="T50">
    <cfRule type="cellIs" dxfId="152" priority="581" operator="notEqual">
      <formula>$T$68</formula>
    </cfRule>
  </conditionalFormatting>
  <conditionalFormatting sqref="V50">
    <cfRule type="cellIs" dxfId="151" priority="582" operator="notEqual">
      <formula>$V$68</formula>
    </cfRule>
  </conditionalFormatting>
  <conditionalFormatting sqref="X50">
    <cfRule type="cellIs" dxfId="150" priority="583" operator="notEqual">
      <formula>$X$68</formula>
    </cfRule>
  </conditionalFormatting>
  <conditionalFormatting sqref="AB50">
    <cfRule type="cellIs" dxfId="149" priority="584" operator="notEqual">
      <formula>$AB$68</formula>
    </cfRule>
  </conditionalFormatting>
  <conditionalFormatting sqref="C6">
    <cfRule type="cellIs" dxfId="148" priority="24" operator="notEqual">
      <formula>$AC$6</formula>
    </cfRule>
  </conditionalFormatting>
  <conditionalFormatting sqref="C8">
    <cfRule type="cellIs" dxfId="147" priority="23" operator="notEqual">
      <formula>$AC$8</formula>
    </cfRule>
  </conditionalFormatting>
  <conditionalFormatting sqref="C10">
    <cfRule type="cellIs" dxfId="146" priority="22" operator="notEqual">
      <formula>$AC$10</formula>
    </cfRule>
  </conditionalFormatting>
  <conditionalFormatting sqref="C12">
    <cfRule type="cellIs" dxfId="145" priority="21" operator="notEqual">
      <formula>$AC$12</formula>
    </cfRule>
  </conditionalFormatting>
  <conditionalFormatting sqref="C14">
    <cfRule type="cellIs" dxfId="144" priority="20" operator="notEqual">
      <formula>$AC$14</formula>
    </cfRule>
  </conditionalFormatting>
  <conditionalFormatting sqref="C16">
    <cfRule type="cellIs" dxfId="143" priority="19" operator="notEqual">
      <formula>$AC$16</formula>
    </cfRule>
  </conditionalFormatting>
  <conditionalFormatting sqref="C18">
    <cfRule type="cellIs" dxfId="142" priority="18" operator="notEqual">
      <formula>$AC$18</formula>
    </cfRule>
  </conditionalFormatting>
  <conditionalFormatting sqref="C20">
    <cfRule type="cellIs" dxfId="141" priority="17" operator="notEqual">
      <formula>$AC$20</formula>
    </cfRule>
  </conditionalFormatting>
  <conditionalFormatting sqref="C22">
    <cfRule type="cellIs" dxfId="140" priority="16" operator="notEqual">
      <formula>$AC$22</formula>
    </cfRule>
  </conditionalFormatting>
  <conditionalFormatting sqref="C24">
    <cfRule type="cellIs" dxfId="139" priority="15" operator="notEqual">
      <formula>$AC$24</formula>
    </cfRule>
  </conditionalFormatting>
  <conditionalFormatting sqref="C26">
    <cfRule type="cellIs" dxfId="138" priority="14" operator="notEqual">
      <formula>$AC$26</formula>
    </cfRule>
  </conditionalFormatting>
  <conditionalFormatting sqref="C28">
    <cfRule type="cellIs" dxfId="137" priority="13" operator="notEqual">
      <formula>$AC$28</formula>
    </cfRule>
  </conditionalFormatting>
  <conditionalFormatting sqref="C34">
    <cfRule type="cellIs" dxfId="136" priority="12" operator="notEqual">
      <formula>$AC$34</formula>
    </cfRule>
  </conditionalFormatting>
  <conditionalFormatting sqref="C36">
    <cfRule type="cellIs" dxfId="135" priority="11" operator="notEqual">
      <formula>$AC$36</formula>
    </cfRule>
  </conditionalFormatting>
  <conditionalFormatting sqref="C38">
    <cfRule type="cellIs" dxfId="134" priority="10" operator="notEqual">
      <formula>$AC$38</formula>
    </cfRule>
  </conditionalFormatting>
  <conditionalFormatting sqref="C40">
    <cfRule type="cellIs" dxfId="133" priority="9" operator="notEqual">
      <formula>$AC$40</formula>
    </cfRule>
  </conditionalFormatting>
  <conditionalFormatting sqref="C42">
    <cfRule type="cellIs" dxfId="132" priority="8" operator="notEqual">
      <formula>$AC$42</formula>
    </cfRule>
  </conditionalFormatting>
  <conditionalFormatting sqref="C44">
    <cfRule type="cellIs" dxfId="131" priority="7" operator="notEqual">
      <formula>$AC$44</formula>
    </cfRule>
  </conditionalFormatting>
  <conditionalFormatting sqref="C46">
    <cfRule type="cellIs" dxfId="130" priority="6" operator="notEqual">
      <formula>$AC$46</formula>
    </cfRule>
  </conditionalFormatting>
  <conditionalFormatting sqref="C48">
    <cfRule type="cellIs" dxfId="129" priority="5" operator="notEqual">
      <formula>$AC$48</formula>
    </cfRule>
  </conditionalFormatting>
  <conditionalFormatting sqref="AA30">
    <cfRule type="cellIs" dxfId="128" priority="4" operator="notEqual">
      <formula>$AA$50</formula>
    </cfRule>
  </conditionalFormatting>
  <conditionalFormatting sqref="Z50">
    <cfRule type="cellIs" dxfId="127" priority="3" operator="notEqual">
      <formula>$Z$68</formula>
    </cfRule>
  </conditionalFormatting>
  <conditionalFormatting sqref="AA50">
    <cfRule type="cellIs" dxfId="126" priority="2" operator="notEqual">
      <formula>$AA$68</formula>
    </cfRule>
  </conditionalFormatting>
  <conditionalFormatting sqref="AB30">
    <cfRule type="cellIs" dxfId="125" priority="1" operator="notEqual">
      <formula>$AB$50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69:X69 V48:V49 T48:T49 R48:R49 P48:P49 N48:N49 L48:L49 J48:J49 H48:H49 F48:F49 I43:I49 W28 F46 H46 J46 L46 N46 P46 R46 T46 V46 M28 I28 O28 Q28 S28 U28 K28 G28 O43:O49 Q43:Q49 S43:S49 U43:U49 K43:K49 G43:G49 W43:W49 M43:M49 F67 H67 J67 L67 N67 P67 R67 T67 V67 M54:M60 W54:W60 G54:G60 K54:K60 U54:U60 S54:S60 Q54:Q60 O54:O60 I54:I60 E54:E60 M34:M41 W34:W41 G34:G41 K34:K41 U34:U41 S34:S41 Q34:Q41 O34:O41 I34:I41 E34:E41 E43:E49 W62:W67 G62:G67 K62:K67 U62:U67 S62:S67 Q62:Q67 O62:O67 I62:I67 E62:E67 M62:M67 X48:X49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0 E70 G70 I70 K70 M70 O70 Q70 S70 U70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30">
    <pageSetUpPr fitToPage="1"/>
  </sheetPr>
  <dimension ref="A1:AF48"/>
  <sheetViews>
    <sheetView topLeftCell="A4" zoomScale="55" zoomScaleNormal="55" zoomScaleSheetLayoutView="50" workbookViewId="0">
      <pane xSplit="2" ySplit="4" topLeftCell="C8" activePane="bottomRight" state="frozen"/>
      <selection activeCell="E43" sqref="E43"/>
      <selection pane="topRight" activeCell="E43" sqref="E43"/>
      <selection pane="bottomLeft" activeCell="E43" sqref="E43"/>
      <selection pane="bottomRight" activeCell="Q39" sqref="Q39"/>
    </sheetView>
  </sheetViews>
  <sheetFormatPr defaultRowHeight="18.75"/>
  <cols>
    <col min="1" max="1" width="9.5703125" style="322" customWidth="1"/>
    <col min="2" max="2" width="61.7109375" style="322" customWidth="1"/>
    <col min="3" max="3" width="21.42578125" style="322" customWidth="1"/>
    <col min="4" max="4" width="13.7109375" style="323" customWidth="1"/>
    <col min="5" max="5" width="21.42578125" style="322" customWidth="1"/>
    <col min="6" max="6" width="13.7109375" style="322" customWidth="1"/>
    <col min="7" max="7" width="21.42578125" style="322" customWidth="1"/>
    <col min="8" max="8" width="13.7109375" style="322" customWidth="1"/>
    <col min="9" max="25" width="18.85546875" style="322" customWidth="1"/>
    <col min="26" max="26" width="21.7109375" style="322" customWidth="1"/>
    <col min="27" max="27" width="27.42578125" style="322" customWidth="1"/>
    <col min="28" max="32" width="20.7109375" style="371" customWidth="1"/>
    <col min="33" max="16384" width="9.140625" style="322"/>
  </cols>
  <sheetData>
    <row r="1" spans="1:32">
      <c r="Z1" s="349" t="s">
        <v>727</v>
      </c>
    </row>
    <row r="2" spans="1:32" s="324" customFormat="1" ht="50.25" customHeight="1">
      <c r="A2" s="693" t="s">
        <v>766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  <c r="Y2" s="693"/>
      <c r="Z2" s="693"/>
      <c r="AB2" s="372"/>
      <c r="AC2" s="372"/>
      <c r="AD2" s="372"/>
      <c r="AE2" s="372"/>
      <c r="AF2" s="372"/>
    </row>
    <row r="3" spans="1:32" ht="19.5" customHeight="1">
      <c r="B3" s="325" t="str">
        <f>+'Asset quality'!B3</f>
        <v>"Микрокредитбанк"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V3" s="703">
        <f>+'Asset quality'!P3</f>
        <v>44560</v>
      </c>
      <c r="W3" s="703"/>
      <c r="Z3" s="160" t="s">
        <v>382</v>
      </c>
    </row>
    <row r="4" spans="1:32" s="326" customFormat="1" ht="18.75" customHeight="1">
      <c r="A4" s="694" t="s">
        <v>83</v>
      </c>
      <c r="B4" s="694" t="s">
        <v>615</v>
      </c>
      <c r="C4" s="697" t="s">
        <v>605</v>
      </c>
      <c r="D4" s="698"/>
      <c r="E4" s="698"/>
      <c r="F4" s="698"/>
      <c r="G4" s="698"/>
      <c r="H4" s="699"/>
      <c r="I4" s="697" t="s">
        <v>728</v>
      </c>
      <c r="J4" s="698"/>
      <c r="K4" s="698"/>
      <c r="L4" s="698"/>
      <c r="M4" s="699"/>
      <c r="N4" s="692" t="s">
        <v>385</v>
      </c>
      <c r="O4" s="692"/>
      <c r="P4" s="692"/>
      <c r="Q4" s="692"/>
      <c r="R4" s="692"/>
      <c r="S4" s="692" t="s">
        <v>387</v>
      </c>
      <c r="T4" s="692"/>
      <c r="U4" s="692"/>
      <c r="V4" s="692"/>
      <c r="W4" s="692"/>
      <c r="X4" s="692"/>
      <c r="Y4" s="694" t="s">
        <v>729</v>
      </c>
      <c r="Z4" s="694" t="s">
        <v>730</v>
      </c>
      <c r="AB4" s="373"/>
      <c r="AC4" s="373"/>
      <c r="AD4" s="373"/>
      <c r="AE4" s="373"/>
      <c r="AF4" s="373"/>
    </row>
    <row r="5" spans="1:32" s="326" customFormat="1" ht="26.25" customHeight="1">
      <c r="A5" s="695"/>
      <c r="B5" s="695"/>
      <c r="C5" s="700"/>
      <c r="D5" s="701"/>
      <c r="E5" s="701"/>
      <c r="F5" s="701"/>
      <c r="G5" s="701"/>
      <c r="H5" s="702"/>
      <c r="I5" s="692" t="s">
        <v>731</v>
      </c>
      <c r="J5" s="692" t="s">
        <v>732</v>
      </c>
      <c r="K5" s="692" t="s">
        <v>733</v>
      </c>
      <c r="L5" s="692" t="s">
        <v>734</v>
      </c>
      <c r="M5" s="692" t="s">
        <v>735</v>
      </c>
      <c r="N5" s="692"/>
      <c r="O5" s="692"/>
      <c r="P5" s="692"/>
      <c r="Q5" s="692"/>
      <c r="R5" s="692"/>
      <c r="S5" s="692" t="s">
        <v>388</v>
      </c>
      <c r="T5" s="692" t="s">
        <v>394</v>
      </c>
      <c r="U5" s="692"/>
      <c r="V5" s="692"/>
      <c r="W5" s="692"/>
      <c r="X5" s="692"/>
      <c r="Y5" s="695"/>
      <c r="Z5" s="695"/>
      <c r="AB5" s="373"/>
      <c r="AC5" s="373"/>
      <c r="AD5" s="373"/>
      <c r="AE5" s="373"/>
      <c r="AF5" s="373"/>
    </row>
    <row r="6" spans="1:32" s="326" customFormat="1" ht="63" customHeight="1">
      <c r="A6" s="695"/>
      <c r="B6" s="696"/>
      <c r="C6" s="352" t="s">
        <v>736</v>
      </c>
      <c r="D6" s="351" t="s">
        <v>737</v>
      </c>
      <c r="E6" s="352" t="s">
        <v>738</v>
      </c>
      <c r="F6" s="351" t="s">
        <v>737</v>
      </c>
      <c r="G6" s="352" t="s">
        <v>739</v>
      </c>
      <c r="H6" s="351" t="s">
        <v>737</v>
      </c>
      <c r="I6" s="692"/>
      <c r="J6" s="692"/>
      <c r="K6" s="692"/>
      <c r="L6" s="692"/>
      <c r="M6" s="692"/>
      <c r="N6" s="353" t="s">
        <v>252</v>
      </c>
      <c r="O6" s="353" t="s">
        <v>75</v>
      </c>
      <c r="P6" s="353" t="s">
        <v>77</v>
      </c>
      <c r="Q6" s="353" t="s">
        <v>78</v>
      </c>
      <c r="R6" s="353" t="s">
        <v>81</v>
      </c>
      <c r="S6" s="692"/>
      <c r="T6" s="353" t="s">
        <v>252</v>
      </c>
      <c r="U6" s="353" t="s">
        <v>75</v>
      </c>
      <c r="V6" s="353" t="s">
        <v>77</v>
      </c>
      <c r="W6" s="353" t="s">
        <v>78</v>
      </c>
      <c r="X6" s="353" t="s">
        <v>81</v>
      </c>
      <c r="Y6" s="696"/>
      <c r="Z6" s="696"/>
      <c r="AA6" s="375"/>
      <c r="AB6" s="374" t="s">
        <v>252</v>
      </c>
      <c r="AC6" s="374" t="s">
        <v>75</v>
      </c>
      <c r="AD6" s="374" t="s">
        <v>77</v>
      </c>
      <c r="AE6" s="374" t="s">
        <v>78</v>
      </c>
      <c r="AF6" s="374" t="s">
        <v>81</v>
      </c>
    </row>
    <row r="7" spans="1:32" s="326" customFormat="1">
      <c r="A7" s="696"/>
      <c r="B7" s="350" t="s">
        <v>182</v>
      </c>
      <c r="C7" s="350" t="s">
        <v>183</v>
      </c>
      <c r="D7" s="350" t="s">
        <v>195</v>
      </c>
      <c r="E7" s="350" t="s">
        <v>184</v>
      </c>
      <c r="F7" s="350" t="s">
        <v>185</v>
      </c>
      <c r="G7" s="350" t="s">
        <v>196</v>
      </c>
      <c r="H7" s="350" t="s">
        <v>186</v>
      </c>
      <c r="I7" s="350" t="s">
        <v>187</v>
      </c>
      <c r="J7" s="350" t="s">
        <v>188</v>
      </c>
      <c r="K7" s="350" t="s">
        <v>189</v>
      </c>
      <c r="L7" s="350" t="s">
        <v>190</v>
      </c>
      <c r="M7" s="350" t="s">
        <v>191</v>
      </c>
      <c r="N7" s="350" t="s">
        <v>192</v>
      </c>
      <c r="O7" s="350" t="s">
        <v>395</v>
      </c>
      <c r="P7" s="350" t="s">
        <v>396</v>
      </c>
      <c r="Q7" s="350" t="s">
        <v>397</v>
      </c>
      <c r="R7" s="350" t="s">
        <v>398</v>
      </c>
      <c r="S7" s="350" t="s">
        <v>643</v>
      </c>
      <c r="T7" s="350" t="s">
        <v>681</v>
      </c>
      <c r="U7" s="350" t="s">
        <v>740</v>
      </c>
      <c r="V7" s="350" t="s">
        <v>741</v>
      </c>
      <c r="W7" s="350" t="s">
        <v>742</v>
      </c>
      <c r="X7" s="350" t="s">
        <v>743</v>
      </c>
      <c r="Y7" s="350" t="s">
        <v>744</v>
      </c>
      <c r="Z7" s="350" t="s">
        <v>745</v>
      </c>
      <c r="AA7" s="375"/>
      <c r="AB7" s="373"/>
      <c r="AC7" s="373"/>
      <c r="AD7" s="373"/>
      <c r="AE7" s="373"/>
      <c r="AF7" s="373"/>
    </row>
    <row r="8" spans="1:32" s="326" customFormat="1" ht="49.5" customHeight="1">
      <c r="A8" s="327"/>
      <c r="B8" s="328" t="s">
        <v>198</v>
      </c>
      <c r="C8" s="329">
        <f>+C9+C25</f>
        <v>10815884011</v>
      </c>
      <c r="D8" s="330">
        <f>IFERROR(((C9*D9)/C8)+((C25*D25)/C8),0)</f>
        <v>0.12849567843160165</v>
      </c>
      <c r="E8" s="329">
        <f t="shared" ref="E8:G8" si="0">+E9+E25</f>
        <v>7204289323</v>
      </c>
      <c r="F8" s="330">
        <f>IFERROR(((E9*F9)/E8)+((E25*F25)/E8),0)</f>
        <v>0.14999922602268845</v>
      </c>
      <c r="G8" s="329">
        <f t="shared" si="0"/>
        <v>3611594688</v>
      </c>
      <c r="H8" s="330">
        <f>IFERROR(((G9*H9)/G8)+((G25*H25)/G8),0)</f>
        <v>8.5601114751944762E-2</v>
      </c>
      <c r="I8" s="329">
        <f t="shared" ref="I8:Z8" si="1">+I9+I25</f>
        <v>1882781339</v>
      </c>
      <c r="J8" s="329">
        <f t="shared" si="1"/>
        <v>7196391815</v>
      </c>
      <c r="K8" s="329">
        <f t="shared" si="1"/>
        <v>1127745122</v>
      </c>
      <c r="L8" s="329">
        <f t="shared" si="1"/>
        <v>320076399</v>
      </c>
      <c r="M8" s="329">
        <f t="shared" si="1"/>
        <v>288889336</v>
      </c>
      <c r="N8" s="329">
        <f t="shared" si="1"/>
        <v>9186521324</v>
      </c>
      <c r="O8" s="329">
        <f t="shared" si="1"/>
        <v>987112434</v>
      </c>
      <c r="P8" s="329">
        <f t="shared" si="1"/>
        <v>238045786</v>
      </c>
      <c r="Q8" s="329">
        <f t="shared" si="1"/>
        <v>79824583</v>
      </c>
      <c r="R8" s="329">
        <f t="shared" si="1"/>
        <v>324379884</v>
      </c>
      <c r="S8" s="329">
        <f t="shared" si="1"/>
        <v>221108300</v>
      </c>
      <c r="T8" s="329">
        <f t="shared" si="1"/>
        <v>0</v>
      </c>
      <c r="U8" s="329">
        <f t="shared" si="1"/>
        <v>96103933</v>
      </c>
      <c r="V8" s="329">
        <f t="shared" si="1"/>
        <v>28579130</v>
      </c>
      <c r="W8" s="329">
        <f t="shared" si="1"/>
        <v>38267322</v>
      </c>
      <c r="X8" s="329">
        <f t="shared" si="1"/>
        <v>58157915</v>
      </c>
      <c r="Y8" s="329">
        <f t="shared" si="1"/>
        <v>0</v>
      </c>
      <c r="Z8" s="329">
        <f t="shared" si="1"/>
        <v>0</v>
      </c>
      <c r="AA8" s="375">
        <f>+'Loans Receivable'!C92</f>
        <v>10815884011</v>
      </c>
      <c r="AB8" s="375">
        <f>+'Asset Classification'!G30</f>
        <v>0</v>
      </c>
      <c r="AC8" s="375">
        <f>+'Asset Classification'!K30</f>
        <v>96103933</v>
      </c>
      <c r="AD8" s="375">
        <f>+'Asset Classification'!O50</f>
        <v>28579130</v>
      </c>
      <c r="AE8" s="375">
        <f>+'Asset Classification'!S50</f>
        <v>38267322</v>
      </c>
      <c r="AF8" s="375">
        <f>+'Asset Classification'!W50</f>
        <v>58157915</v>
      </c>
    </row>
    <row r="9" spans="1:32" s="343" customFormat="1" ht="49.5" customHeight="1">
      <c r="A9" s="328" t="s">
        <v>252</v>
      </c>
      <c r="B9" s="328" t="s">
        <v>746</v>
      </c>
      <c r="C9" s="329">
        <f>+C11+C16+C21+C22+C24</f>
        <v>3084481917</v>
      </c>
      <c r="D9" s="330">
        <f>IFERROR(((C11*D11)/C9)+((C16*D16)/C9)+((C21*D21)/C9)+((C22*D22)/C9)+((C24*D24)/C9),0)</f>
        <v>0.13213654332659019</v>
      </c>
      <c r="E9" s="329">
        <f>+E11+E16+E21+E22+E24</f>
        <v>3084481917</v>
      </c>
      <c r="F9" s="330">
        <f>IFERROR(((E11*F11)/E9)+((E16*F16)/E9)+((E21*F21)/E9)+((E22*F22)/E9)+((E24*F24)/E9),0)</f>
        <v>0.13213654332659019</v>
      </c>
      <c r="G9" s="329">
        <f>+G11+G16+G21+G22+G24</f>
        <v>0</v>
      </c>
      <c r="H9" s="330">
        <f>IFERROR(((G11*H11)/G9)+((G16*H16)/G9)+((G21*H21)/G9)+((G22*H22)/G9)+((G24*H24)/G9),0)</f>
        <v>0</v>
      </c>
      <c r="I9" s="329">
        <f t="shared" ref="I9:Z9" si="2">+I11+I16+I21+I22+I24</f>
        <v>316489565</v>
      </c>
      <c r="J9" s="329">
        <f t="shared" si="2"/>
        <v>2257635694</v>
      </c>
      <c r="K9" s="329">
        <f t="shared" si="2"/>
        <v>52246904</v>
      </c>
      <c r="L9" s="329">
        <f t="shared" si="2"/>
        <v>169220418</v>
      </c>
      <c r="M9" s="329">
        <f t="shared" si="2"/>
        <v>288889336</v>
      </c>
      <c r="N9" s="329">
        <f t="shared" si="2"/>
        <v>2457104567</v>
      </c>
      <c r="O9" s="329">
        <f t="shared" si="2"/>
        <v>279332652</v>
      </c>
      <c r="P9" s="329">
        <f t="shared" si="2"/>
        <v>50523766</v>
      </c>
      <c r="Q9" s="329">
        <f t="shared" si="2"/>
        <v>60700150</v>
      </c>
      <c r="R9" s="329">
        <f t="shared" si="2"/>
        <v>236820782</v>
      </c>
      <c r="S9" s="329">
        <f>+S11+S16+S21+S22+S24</f>
        <v>120860788</v>
      </c>
      <c r="T9" s="329">
        <f t="shared" si="2"/>
        <v>0</v>
      </c>
      <c r="U9" s="329">
        <f t="shared" si="2"/>
        <v>27922889</v>
      </c>
      <c r="V9" s="329">
        <f t="shared" si="2"/>
        <v>12252270</v>
      </c>
      <c r="W9" s="329">
        <f t="shared" si="2"/>
        <v>29377523</v>
      </c>
      <c r="X9" s="329">
        <f t="shared" si="2"/>
        <v>51308106</v>
      </c>
      <c r="Y9" s="329">
        <f t="shared" si="2"/>
        <v>0</v>
      </c>
      <c r="Z9" s="329">
        <f t="shared" si="2"/>
        <v>0</v>
      </c>
      <c r="AA9" s="375">
        <f>+'Loans Receivable'!C80</f>
        <v>3084481917</v>
      </c>
      <c r="AB9" s="385">
        <f>+'Asset Classification'!E30</f>
        <v>9186521324</v>
      </c>
      <c r="AC9" s="385">
        <f>+'Asset Classification'!I30</f>
        <v>987112434</v>
      </c>
      <c r="AD9" s="385">
        <f>+'Asset Classification'!M30</f>
        <v>238045786</v>
      </c>
      <c r="AE9" s="385">
        <f>+'Asset Classification'!Q30</f>
        <v>79824583</v>
      </c>
      <c r="AF9" s="385">
        <f>+'Asset Classification'!U30</f>
        <v>324379884</v>
      </c>
    </row>
    <row r="10" spans="1:32" s="326" customFormat="1" ht="33.75" customHeight="1">
      <c r="A10" s="327"/>
      <c r="B10" s="328" t="s">
        <v>616</v>
      </c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75"/>
      <c r="AB10" s="386">
        <f>+N8-AB9</f>
        <v>0</v>
      </c>
      <c r="AC10" s="386">
        <f>+O8-AC9</f>
        <v>0</v>
      </c>
      <c r="AD10" s="386">
        <f>+P8-AD9</f>
        <v>0</v>
      </c>
      <c r="AE10" s="386">
        <f>+Q8-AE9</f>
        <v>0</v>
      </c>
      <c r="AF10" s="386">
        <f>+R8-AF9</f>
        <v>0</v>
      </c>
    </row>
    <row r="11" spans="1:32" s="326" customFormat="1" ht="49.5" customHeight="1">
      <c r="A11" s="331">
        <v>1</v>
      </c>
      <c r="B11" s="332" t="s">
        <v>747</v>
      </c>
      <c r="C11" s="359">
        <f>SUM(C12:C15)</f>
        <v>22828512</v>
      </c>
      <c r="D11" s="360">
        <f>IFERROR(((C12*D12)/C11)+((C13*D13)/C11)+((C14*D14)/C11)+((C15*D15)/C11),0)</f>
        <v>9.5631002690742373E-2</v>
      </c>
      <c r="E11" s="359">
        <f>SUM(E12:E15)</f>
        <v>22828512</v>
      </c>
      <c r="F11" s="360">
        <f>IFERROR(((E12*F12)/E11)+((E13*F13)/E11)+((E14*F14)/E11)+((E15*F15)/E11),0)</f>
        <v>9.5631002690742373E-2</v>
      </c>
      <c r="G11" s="359">
        <f>SUM(G12:G15)</f>
        <v>0</v>
      </c>
      <c r="H11" s="360">
        <f>IFERROR(((G12*H12)/G11)+((G13*H13)/G11)+((G14*H14)/G11)+((G15*H15)/G11),0)</f>
        <v>0</v>
      </c>
      <c r="I11" s="359">
        <f t="shared" ref="I11:Z11" si="3">SUM(I12:I15)</f>
        <v>6351</v>
      </c>
      <c r="J11" s="359">
        <f t="shared" si="3"/>
        <v>2016883</v>
      </c>
      <c r="K11" s="359">
        <f t="shared" si="3"/>
        <v>4883052</v>
      </c>
      <c r="L11" s="359">
        <f t="shared" si="3"/>
        <v>4061818</v>
      </c>
      <c r="M11" s="359">
        <f t="shared" si="3"/>
        <v>11860408</v>
      </c>
      <c r="N11" s="359">
        <f t="shared" si="3"/>
        <v>20971970</v>
      </c>
      <c r="O11" s="359">
        <f t="shared" si="3"/>
        <v>1526660</v>
      </c>
      <c r="P11" s="359">
        <f t="shared" si="3"/>
        <v>141194</v>
      </c>
      <c r="Q11" s="359">
        <f t="shared" si="3"/>
        <v>18</v>
      </c>
      <c r="R11" s="359">
        <f t="shared" si="3"/>
        <v>188670</v>
      </c>
      <c r="S11" s="359">
        <f t="shared" si="3"/>
        <v>8743111</v>
      </c>
      <c r="T11" s="359">
        <f t="shared" si="3"/>
        <v>0</v>
      </c>
      <c r="U11" s="359">
        <f t="shared" si="3"/>
        <v>3942359</v>
      </c>
      <c r="V11" s="359">
        <f t="shared" si="3"/>
        <v>1732011</v>
      </c>
      <c r="W11" s="359">
        <f t="shared" si="3"/>
        <v>9</v>
      </c>
      <c r="X11" s="359">
        <f t="shared" si="3"/>
        <v>3068732</v>
      </c>
      <c r="Y11" s="359">
        <f t="shared" si="3"/>
        <v>0</v>
      </c>
      <c r="Z11" s="359">
        <f t="shared" si="3"/>
        <v>0</v>
      </c>
      <c r="AA11" s="375">
        <f>+'loans_av rate'!C10</f>
        <v>22828512</v>
      </c>
      <c r="AB11" s="373">
        <f>+'loans_av rate'!E10</f>
        <v>22828512</v>
      </c>
      <c r="AC11" s="373">
        <f>+'loans_av rate'!G10</f>
        <v>0</v>
      </c>
      <c r="AD11" s="373"/>
      <c r="AE11" s="373"/>
      <c r="AF11" s="373"/>
    </row>
    <row r="12" spans="1:32" s="326" customFormat="1" ht="49.5" customHeight="1">
      <c r="A12" s="337" t="s">
        <v>242</v>
      </c>
      <c r="B12" s="356" t="s">
        <v>748</v>
      </c>
      <c r="C12" s="357">
        <f>+E12+G12</f>
        <v>22828512</v>
      </c>
      <c r="D12" s="333">
        <v>9.5631002690742373E-2</v>
      </c>
      <c r="E12" s="358">
        <v>22828512</v>
      </c>
      <c r="F12" s="358">
        <v>9.5631002690742373E-2</v>
      </c>
      <c r="G12" s="358"/>
      <c r="H12" s="333"/>
      <c r="I12" s="358">
        <v>6351</v>
      </c>
      <c r="J12" s="358">
        <v>2016883</v>
      </c>
      <c r="K12" s="358">
        <v>4883052</v>
      </c>
      <c r="L12" s="358">
        <v>4061818</v>
      </c>
      <c r="M12" s="358">
        <v>11860408</v>
      </c>
      <c r="N12" s="358">
        <v>20971970</v>
      </c>
      <c r="O12" s="358">
        <v>1526660</v>
      </c>
      <c r="P12" s="358">
        <v>141194</v>
      </c>
      <c r="Q12" s="358">
        <v>18</v>
      </c>
      <c r="R12" s="358">
        <v>188670</v>
      </c>
      <c r="S12" s="357">
        <f>SUM(T12:X12)</f>
        <v>209689</v>
      </c>
      <c r="T12" s="358">
        <v>0</v>
      </c>
      <c r="U12" s="358">
        <v>152666</v>
      </c>
      <c r="V12" s="358">
        <v>35299</v>
      </c>
      <c r="W12" s="358">
        <v>9</v>
      </c>
      <c r="X12" s="358">
        <v>21715</v>
      </c>
      <c r="Y12" s="358"/>
      <c r="Z12" s="358"/>
      <c r="AA12" s="375"/>
      <c r="AB12" s="373"/>
      <c r="AC12" s="373"/>
      <c r="AD12" s="373"/>
      <c r="AE12" s="373"/>
      <c r="AF12" s="373"/>
    </row>
    <row r="13" spans="1:32" s="326" customFormat="1" ht="49.5" customHeight="1">
      <c r="A13" s="337" t="s">
        <v>243</v>
      </c>
      <c r="B13" s="356" t="s">
        <v>749</v>
      </c>
      <c r="C13" s="357">
        <f>+E13+G13</f>
        <v>0</v>
      </c>
      <c r="D13" s="333">
        <v>0.17191684335015306</v>
      </c>
      <c r="E13" s="358">
        <v>0</v>
      </c>
      <c r="F13" s="333">
        <v>0.17191684335015306</v>
      </c>
      <c r="G13" s="358"/>
      <c r="H13" s="333"/>
      <c r="I13" s="358"/>
      <c r="J13" s="358"/>
      <c r="K13" s="358"/>
      <c r="L13" s="358"/>
      <c r="M13" s="358"/>
      <c r="N13" s="358"/>
      <c r="O13" s="358"/>
      <c r="P13" s="358"/>
      <c r="Q13" s="358"/>
      <c r="R13" s="358"/>
      <c r="S13" s="357">
        <f t="shared" ref="S13:S24" si="4">SUM(T13:X13)</f>
        <v>8533422</v>
      </c>
      <c r="T13" s="358">
        <v>0</v>
      </c>
      <c r="U13" s="358">
        <v>3789693</v>
      </c>
      <c r="V13" s="358">
        <v>1696712</v>
      </c>
      <c r="W13" s="358">
        <v>0</v>
      </c>
      <c r="X13" s="358">
        <v>3047017</v>
      </c>
      <c r="Y13" s="358"/>
      <c r="Z13" s="358"/>
      <c r="AA13" s="375"/>
      <c r="AB13" s="373"/>
      <c r="AC13" s="373"/>
      <c r="AD13" s="373"/>
      <c r="AE13" s="373"/>
      <c r="AF13" s="373"/>
    </row>
    <row r="14" spans="1:32" s="326" customFormat="1" ht="49.5" customHeight="1">
      <c r="A14" s="337" t="s">
        <v>244</v>
      </c>
      <c r="B14" s="356" t="s">
        <v>753</v>
      </c>
      <c r="C14" s="357">
        <f>+E14+G14</f>
        <v>0</v>
      </c>
      <c r="D14" s="333"/>
      <c r="E14" s="358"/>
      <c r="F14" s="333"/>
      <c r="G14" s="358"/>
      <c r="H14" s="333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7">
        <f t="shared" si="4"/>
        <v>0</v>
      </c>
      <c r="T14" s="358"/>
      <c r="U14" s="358"/>
      <c r="V14" s="358"/>
      <c r="W14" s="358"/>
      <c r="X14" s="358"/>
      <c r="Y14" s="358"/>
      <c r="Z14" s="358"/>
      <c r="AA14" s="375"/>
      <c r="AB14" s="373"/>
      <c r="AC14" s="373"/>
      <c r="AD14" s="373"/>
      <c r="AE14" s="373"/>
      <c r="AF14" s="373"/>
    </row>
    <row r="15" spans="1:32" s="326" customFormat="1" ht="49.5" customHeight="1">
      <c r="A15" s="337" t="s">
        <v>248</v>
      </c>
      <c r="B15" s="356" t="s">
        <v>750</v>
      </c>
      <c r="C15" s="357">
        <f>+E15+G15</f>
        <v>0</v>
      </c>
      <c r="D15" s="333"/>
      <c r="E15" s="358"/>
      <c r="F15" s="333"/>
      <c r="G15" s="358"/>
      <c r="H15" s="333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7">
        <f t="shared" si="4"/>
        <v>0</v>
      </c>
      <c r="T15" s="358"/>
      <c r="U15" s="358"/>
      <c r="V15" s="358"/>
      <c r="W15" s="358"/>
      <c r="X15" s="358"/>
      <c r="Y15" s="358"/>
      <c r="Z15" s="358"/>
      <c r="AA15" s="375"/>
      <c r="AB15" s="373"/>
      <c r="AC15" s="373"/>
      <c r="AD15" s="373"/>
      <c r="AE15" s="373"/>
      <c r="AF15" s="373"/>
    </row>
    <row r="16" spans="1:32" s="326" customFormat="1" ht="49.5" customHeight="1">
      <c r="A16" s="331">
        <v>2</v>
      </c>
      <c r="B16" s="332" t="s">
        <v>751</v>
      </c>
      <c r="C16" s="359">
        <f>SUM(C17:C20)</f>
        <v>480100952</v>
      </c>
      <c r="D16" s="360">
        <f>IFERROR(((C17*D17)/C16)+((C18*D18)/C16)+((C19*D19)/C16)+((C20*D20)/C16),0)</f>
        <v>0</v>
      </c>
      <c r="E16" s="359">
        <f>SUM(E17:E20)</f>
        <v>480100952</v>
      </c>
      <c r="F16" s="360">
        <f>IFERROR(((E17*F17)/E16)+((E18*F18)/E16)+((E19*F19)/E16)+((E20*F20)/E16),0)</f>
        <v>0</v>
      </c>
      <c r="G16" s="359">
        <f>SUM(G17:G20)</f>
        <v>0</v>
      </c>
      <c r="H16" s="360">
        <f>IFERROR(((G17*H17)/G16)+((G18*H18)/G16)+((G19*H19)/G16)+((G20*H20)/G16),0)</f>
        <v>0</v>
      </c>
      <c r="I16" s="359">
        <f t="shared" ref="I16" si="5">SUM(I17:I20)</f>
        <v>34179</v>
      </c>
      <c r="J16" s="359">
        <f t="shared" ref="J16:Z16" si="6">SUM(J17:J20)</f>
        <v>2398432</v>
      </c>
      <c r="K16" s="359">
        <f t="shared" si="6"/>
        <v>42633276</v>
      </c>
      <c r="L16" s="359">
        <f t="shared" si="6"/>
        <v>158006137</v>
      </c>
      <c r="M16" s="359">
        <f t="shared" si="6"/>
        <v>277028928</v>
      </c>
      <c r="N16" s="359">
        <f t="shared" si="6"/>
        <v>428114947</v>
      </c>
      <c r="O16" s="359">
        <f t="shared" si="6"/>
        <v>35984906</v>
      </c>
      <c r="P16" s="359">
        <f t="shared" si="6"/>
        <v>6786850</v>
      </c>
      <c r="Q16" s="359">
        <f t="shared" si="6"/>
        <v>0</v>
      </c>
      <c r="R16" s="359">
        <f t="shared" si="6"/>
        <v>9214249</v>
      </c>
      <c r="S16" s="359">
        <f>SUM(S17:S20)</f>
        <v>0</v>
      </c>
      <c r="T16" s="359">
        <f t="shared" si="6"/>
        <v>0</v>
      </c>
      <c r="U16" s="359">
        <f t="shared" si="6"/>
        <v>0</v>
      </c>
      <c r="V16" s="359">
        <f t="shared" si="6"/>
        <v>0</v>
      </c>
      <c r="W16" s="359">
        <f t="shared" si="6"/>
        <v>0</v>
      </c>
      <c r="X16" s="359">
        <f t="shared" si="6"/>
        <v>0</v>
      </c>
      <c r="Y16" s="359">
        <f t="shared" si="6"/>
        <v>0</v>
      </c>
      <c r="Z16" s="359">
        <f t="shared" si="6"/>
        <v>0</v>
      </c>
      <c r="AA16" s="375">
        <f>+'loans_av rate'!C18</f>
        <v>480100952</v>
      </c>
      <c r="AB16" s="373">
        <f>+'loans_av rate'!E18</f>
        <v>480100952</v>
      </c>
      <c r="AC16" s="373">
        <f>+'loans_av rate'!G18</f>
        <v>0</v>
      </c>
      <c r="AD16" s="373"/>
      <c r="AE16" s="373"/>
      <c r="AF16" s="373"/>
    </row>
    <row r="17" spans="1:32" s="336" customFormat="1" ht="49.5" customHeight="1">
      <c r="A17" s="334" t="s">
        <v>255</v>
      </c>
      <c r="B17" s="335" t="s">
        <v>748</v>
      </c>
      <c r="C17" s="357">
        <f t="shared" ref="C17:C24" si="7">+E17+G17</f>
        <v>480100952</v>
      </c>
      <c r="D17" s="333"/>
      <c r="E17" s="358">
        <v>480100952</v>
      </c>
      <c r="F17" s="333"/>
      <c r="G17" s="358"/>
      <c r="H17" s="333"/>
      <c r="I17" s="358">
        <v>34179</v>
      </c>
      <c r="J17" s="358">
        <v>2398432</v>
      </c>
      <c r="K17" s="358">
        <v>42633276</v>
      </c>
      <c r="L17" s="358">
        <v>158006137</v>
      </c>
      <c r="M17" s="358">
        <v>277028928</v>
      </c>
      <c r="N17" s="358">
        <v>428114947</v>
      </c>
      <c r="O17" s="358">
        <v>35984906</v>
      </c>
      <c r="P17" s="358">
        <v>6786850</v>
      </c>
      <c r="Q17" s="358">
        <v>0</v>
      </c>
      <c r="R17" s="358">
        <v>9214249</v>
      </c>
      <c r="S17" s="357">
        <f t="shared" si="4"/>
        <v>0</v>
      </c>
      <c r="T17" s="358"/>
      <c r="U17" s="358"/>
      <c r="V17" s="358"/>
      <c r="W17" s="358"/>
      <c r="X17" s="358"/>
      <c r="Y17" s="358"/>
      <c r="Z17" s="358"/>
      <c r="AA17" s="375"/>
      <c r="AB17" s="377"/>
      <c r="AC17" s="377"/>
      <c r="AD17" s="377"/>
      <c r="AE17" s="377"/>
      <c r="AF17" s="377"/>
    </row>
    <row r="18" spans="1:32" s="336" customFormat="1" ht="49.5" customHeight="1">
      <c r="A18" s="334" t="s">
        <v>256</v>
      </c>
      <c r="B18" s="335" t="s">
        <v>749</v>
      </c>
      <c r="C18" s="357">
        <f t="shared" si="7"/>
        <v>0</v>
      </c>
      <c r="D18" s="333"/>
      <c r="E18" s="358"/>
      <c r="F18" s="333"/>
      <c r="G18" s="358"/>
      <c r="H18" s="333"/>
      <c r="I18" s="358"/>
      <c r="J18" s="358"/>
      <c r="K18" s="358"/>
      <c r="L18" s="358"/>
      <c r="M18" s="358"/>
      <c r="N18" s="358"/>
      <c r="O18" s="358"/>
      <c r="P18" s="358"/>
      <c r="Q18" s="358"/>
      <c r="R18" s="358"/>
      <c r="S18" s="357">
        <f t="shared" si="4"/>
        <v>0</v>
      </c>
      <c r="T18" s="358"/>
      <c r="U18" s="358"/>
      <c r="V18" s="358"/>
      <c r="W18" s="358"/>
      <c r="X18" s="358"/>
      <c r="Y18" s="358"/>
      <c r="Z18" s="358"/>
      <c r="AA18" s="375"/>
      <c r="AB18" s="377"/>
      <c r="AC18" s="377"/>
      <c r="AD18" s="377"/>
      <c r="AE18" s="377"/>
      <c r="AF18" s="377"/>
    </row>
    <row r="19" spans="1:32" s="336" customFormat="1" ht="49.5" customHeight="1">
      <c r="A19" s="334" t="s">
        <v>258</v>
      </c>
      <c r="B19" s="335" t="s">
        <v>753</v>
      </c>
      <c r="C19" s="357">
        <f t="shared" si="7"/>
        <v>0</v>
      </c>
      <c r="D19" s="333"/>
      <c r="E19" s="358"/>
      <c r="F19" s="333"/>
      <c r="G19" s="358"/>
      <c r="H19" s="333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7">
        <f t="shared" si="4"/>
        <v>0</v>
      </c>
      <c r="T19" s="358"/>
      <c r="U19" s="358"/>
      <c r="V19" s="358"/>
      <c r="W19" s="358"/>
      <c r="X19" s="358"/>
      <c r="Y19" s="358"/>
      <c r="Z19" s="358"/>
      <c r="AA19" s="375"/>
      <c r="AB19" s="377"/>
      <c r="AC19" s="377"/>
      <c r="AD19" s="377"/>
      <c r="AE19" s="377"/>
      <c r="AF19" s="377"/>
    </row>
    <row r="20" spans="1:32" s="336" customFormat="1" ht="49.5" customHeight="1">
      <c r="A20" s="334" t="s">
        <v>260</v>
      </c>
      <c r="B20" s="335" t="s">
        <v>750</v>
      </c>
      <c r="C20" s="357">
        <f t="shared" si="7"/>
        <v>0</v>
      </c>
      <c r="D20" s="333"/>
      <c r="E20" s="358"/>
      <c r="F20" s="333"/>
      <c r="G20" s="358"/>
      <c r="H20" s="333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7">
        <f t="shared" si="4"/>
        <v>0</v>
      </c>
      <c r="T20" s="358"/>
      <c r="U20" s="358"/>
      <c r="V20" s="358"/>
      <c r="W20" s="358"/>
      <c r="X20" s="358"/>
      <c r="Y20" s="358"/>
      <c r="Z20" s="358"/>
      <c r="AA20" s="375"/>
      <c r="AB20" s="377"/>
      <c r="AC20" s="377"/>
      <c r="AD20" s="377"/>
      <c r="AE20" s="377"/>
      <c r="AF20" s="377"/>
    </row>
    <row r="21" spans="1:32" s="326" customFormat="1" ht="49.5" customHeight="1">
      <c r="A21" s="337">
        <v>3</v>
      </c>
      <c r="B21" s="338" t="s">
        <v>761</v>
      </c>
      <c r="C21" s="357">
        <f t="shared" si="7"/>
        <v>181848390</v>
      </c>
      <c r="D21" s="333">
        <v>0.25010767223647068</v>
      </c>
      <c r="E21" s="358">
        <v>181848390</v>
      </c>
      <c r="F21" s="333">
        <v>0.25010767223647068</v>
      </c>
      <c r="G21" s="358"/>
      <c r="H21" s="333"/>
      <c r="I21" s="358">
        <v>101378441</v>
      </c>
      <c r="J21" s="358">
        <v>80469949</v>
      </c>
      <c r="K21" s="358">
        <v>0</v>
      </c>
      <c r="L21" s="358">
        <v>0</v>
      </c>
      <c r="M21" s="358">
        <v>0</v>
      </c>
      <c r="N21" s="358">
        <v>145581378</v>
      </c>
      <c r="O21" s="358">
        <v>23694726</v>
      </c>
      <c r="P21" s="358">
        <v>1499747</v>
      </c>
      <c r="Q21" s="358">
        <v>628028</v>
      </c>
      <c r="R21" s="358">
        <v>10444511</v>
      </c>
      <c r="S21" s="357">
        <f t="shared" si="4"/>
        <v>8546750</v>
      </c>
      <c r="T21" s="358">
        <v>0</v>
      </c>
      <c r="U21" s="358">
        <v>2370175</v>
      </c>
      <c r="V21" s="358">
        <v>368816</v>
      </c>
      <c r="W21" s="358">
        <v>314015</v>
      </c>
      <c r="X21" s="358">
        <v>5493744</v>
      </c>
      <c r="Y21" s="358"/>
      <c r="Z21" s="358"/>
      <c r="AA21" s="375">
        <f>+'loans_av rate'!C12+'loans_av rate'!C20</f>
        <v>181848390</v>
      </c>
      <c r="AB21" s="375">
        <f>+'loans_av rate'!E12+'loans_av rate'!E20</f>
        <v>181848390</v>
      </c>
      <c r="AC21" s="375">
        <f>+'loans_av rate'!G12+'loans_av rate'!G20</f>
        <v>0</v>
      </c>
      <c r="AE21" s="373"/>
      <c r="AF21" s="373"/>
    </row>
    <row r="22" spans="1:32" s="326" customFormat="1" ht="49.5" customHeight="1">
      <c r="A22" s="337">
        <v>4</v>
      </c>
      <c r="B22" s="338" t="s">
        <v>625</v>
      </c>
      <c r="C22" s="357">
        <f t="shared" si="7"/>
        <v>257666893</v>
      </c>
      <c r="D22" s="333">
        <v>0.27508806393655938</v>
      </c>
      <c r="E22" s="358">
        <v>257666893</v>
      </c>
      <c r="F22" s="333">
        <v>0.27508806393655938</v>
      </c>
      <c r="G22" s="358"/>
      <c r="H22" s="333"/>
      <c r="I22" s="358">
        <v>38830229</v>
      </c>
      <c r="J22" s="358">
        <v>218836664</v>
      </c>
      <c r="K22" s="358">
        <v>0</v>
      </c>
      <c r="L22" s="358">
        <v>0</v>
      </c>
      <c r="M22" s="358">
        <v>0</v>
      </c>
      <c r="N22" s="358">
        <v>213285187</v>
      </c>
      <c r="O22" s="358">
        <v>24438641</v>
      </c>
      <c r="P22" s="358">
        <v>2500933</v>
      </c>
      <c r="Q22" s="358">
        <v>1382687</v>
      </c>
      <c r="R22" s="358">
        <v>16059445</v>
      </c>
      <c r="S22" s="357">
        <f t="shared" si="4"/>
        <v>13950536</v>
      </c>
      <c r="T22" s="358">
        <v>0</v>
      </c>
      <c r="U22" s="358">
        <v>2447345</v>
      </c>
      <c r="V22" s="358">
        <v>617787</v>
      </c>
      <c r="W22" s="358">
        <v>672354</v>
      </c>
      <c r="X22" s="358">
        <v>10213050</v>
      </c>
      <c r="Y22" s="358"/>
      <c r="Z22" s="358"/>
      <c r="AA22" s="375">
        <f>+'loans_av rate'!C11+'loans_av rate'!C13+'loans_av rate'!C19+'loans_av rate'!C21</f>
        <v>257666893</v>
      </c>
      <c r="AB22" s="375">
        <f>+'loans_av rate'!E11+'loans_av rate'!E13+'loans_av rate'!E19+'loans_av rate'!E21</f>
        <v>257666893</v>
      </c>
      <c r="AC22" s="375"/>
      <c r="AE22" s="373"/>
      <c r="AF22" s="373"/>
    </row>
    <row r="23" spans="1:32" s="326" customFormat="1" ht="49.5" customHeight="1">
      <c r="A23" s="337" t="s">
        <v>559</v>
      </c>
      <c r="B23" s="338" t="s">
        <v>754</v>
      </c>
      <c r="C23" s="357">
        <f t="shared" si="7"/>
        <v>84557811</v>
      </c>
      <c r="D23" s="333">
        <v>0.26628017226692863</v>
      </c>
      <c r="E23" s="358">
        <v>84557811</v>
      </c>
      <c r="F23" s="333">
        <v>0.26628017226692863</v>
      </c>
      <c r="G23" s="358"/>
      <c r="H23" s="333"/>
      <c r="I23" s="358">
        <v>12624048</v>
      </c>
      <c r="J23" s="358">
        <v>71933763</v>
      </c>
      <c r="K23" s="358">
        <v>0</v>
      </c>
      <c r="L23" s="358">
        <v>0</v>
      </c>
      <c r="M23" s="358">
        <v>0</v>
      </c>
      <c r="N23" s="358">
        <v>78021183</v>
      </c>
      <c r="O23" s="358">
        <v>4838596</v>
      </c>
      <c r="P23" s="358">
        <v>287573</v>
      </c>
      <c r="Q23" s="358">
        <v>18178</v>
      </c>
      <c r="R23" s="358">
        <v>1392281</v>
      </c>
      <c r="S23" s="357">
        <f t="shared" si="4"/>
        <v>734432</v>
      </c>
      <c r="T23" s="358">
        <v>0</v>
      </c>
      <c r="U23" s="358">
        <v>483084</v>
      </c>
      <c r="V23" s="358">
        <v>64447</v>
      </c>
      <c r="W23" s="358">
        <v>9089</v>
      </c>
      <c r="X23" s="358">
        <v>177812</v>
      </c>
      <c r="Y23" s="358"/>
      <c r="Z23" s="358"/>
      <c r="AA23" s="375">
        <f>+'loans_av rate'!C11+'loans_av rate'!C19</f>
        <v>84557811</v>
      </c>
      <c r="AB23" s="375">
        <f>+'loans_av rate'!E11+'loans_av rate'!E19</f>
        <v>84557811</v>
      </c>
      <c r="AC23" s="375">
        <f>+'loans_av rate'!G11+'loans_av rate'!G19</f>
        <v>0</v>
      </c>
      <c r="AE23" s="373"/>
      <c r="AF23" s="373"/>
    </row>
    <row r="24" spans="1:32" s="326" customFormat="1" ht="49.5" customHeight="1">
      <c r="A24" s="337">
        <v>5</v>
      </c>
      <c r="B24" s="338" t="s">
        <v>613</v>
      </c>
      <c r="C24" s="357">
        <f t="shared" si="7"/>
        <v>2142037170</v>
      </c>
      <c r="D24" s="333">
        <v>0.13493085216373174</v>
      </c>
      <c r="E24" s="358">
        <v>2142037170</v>
      </c>
      <c r="F24" s="333">
        <v>0.13493085216373174</v>
      </c>
      <c r="G24" s="358"/>
      <c r="H24" s="333"/>
      <c r="I24" s="358">
        <v>176240365</v>
      </c>
      <c r="J24" s="358">
        <v>1953913766</v>
      </c>
      <c r="K24" s="358">
        <v>4730576</v>
      </c>
      <c r="L24" s="358">
        <v>7152463</v>
      </c>
      <c r="M24" s="358">
        <v>0</v>
      </c>
      <c r="N24" s="358">
        <v>1649151085</v>
      </c>
      <c r="O24" s="358">
        <v>193687719</v>
      </c>
      <c r="P24" s="358">
        <v>39595042</v>
      </c>
      <c r="Q24" s="358">
        <v>58689417</v>
      </c>
      <c r="R24" s="358">
        <v>200913907</v>
      </c>
      <c r="S24" s="357">
        <f t="shared" si="4"/>
        <v>89620391</v>
      </c>
      <c r="T24" s="358">
        <v>0</v>
      </c>
      <c r="U24" s="358">
        <v>19163010</v>
      </c>
      <c r="V24" s="358">
        <v>9533656</v>
      </c>
      <c r="W24" s="358">
        <v>28391145</v>
      </c>
      <c r="X24" s="358">
        <v>32532580</v>
      </c>
      <c r="Y24" s="358"/>
      <c r="Z24" s="358"/>
      <c r="AA24" s="375">
        <f>+'loans_av rate'!C14+'loans_av rate'!C22</f>
        <v>2142037170</v>
      </c>
      <c r="AB24" s="375">
        <f>+'loans_av rate'!E14+'loans_av rate'!E22</f>
        <v>2142037170</v>
      </c>
      <c r="AC24" s="375"/>
      <c r="AE24" s="373"/>
      <c r="AF24" s="373"/>
    </row>
    <row r="25" spans="1:32" s="343" customFormat="1" ht="49.5" customHeight="1">
      <c r="A25" s="328" t="s">
        <v>75</v>
      </c>
      <c r="B25" s="328" t="s">
        <v>752</v>
      </c>
      <c r="C25" s="329">
        <f>+C26</f>
        <v>7731402094</v>
      </c>
      <c r="D25" s="330">
        <f>IFERROR(((C27*D27)/C25)+((C28*D28)/C25)+((C29*D29)/C25)+((C30*D30)/C25)+((C31*D31)/C25)+((C32*D32)/C25),0)</f>
        <v>0.12704313699160236</v>
      </c>
      <c r="E25" s="329">
        <f t="shared" ref="E25:Z25" si="8">+E26</f>
        <v>4119807406</v>
      </c>
      <c r="F25" s="330">
        <f>IFERROR(((E27*F27)/E25)+((E28*F28)/E25)+((E29*F29)/E25)+((E30*F30)/E25)+((E31*F31)/E25)+((E32*F32)/E25),0)</f>
        <v>0.16337293899892649</v>
      </c>
      <c r="G25" s="329">
        <f t="shared" si="8"/>
        <v>3611594688</v>
      </c>
      <c r="H25" s="330">
        <f>IFERROR(((G27*H27)/G25)+((G28*H28)/G25)+((G29*H29)/G25)+((G30*H30)/G25)+((G31*H31)/G25)+((G32*H32)/G25),0)</f>
        <v>8.5601114751944762E-2</v>
      </c>
      <c r="I25" s="329">
        <f t="shared" si="8"/>
        <v>1566291774</v>
      </c>
      <c r="J25" s="329">
        <f t="shared" si="8"/>
        <v>4938756121</v>
      </c>
      <c r="K25" s="329">
        <f t="shared" si="8"/>
        <v>1075498218</v>
      </c>
      <c r="L25" s="329">
        <f t="shared" si="8"/>
        <v>150855981</v>
      </c>
      <c r="M25" s="329">
        <f t="shared" si="8"/>
        <v>0</v>
      </c>
      <c r="N25" s="329">
        <f t="shared" si="8"/>
        <v>6729416757</v>
      </c>
      <c r="O25" s="329">
        <f t="shared" si="8"/>
        <v>707779782</v>
      </c>
      <c r="P25" s="329">
        <f t="shared" si="8"/>
        <v>187522020</v>
      </c>
      <c r="Q25" s="329">
        <f t="shared" si="8"/>
        <v>19124433</v>
      </c>
      <c r="R25" s="329">
        <f t="shared" si="8"/>
        <v>87559102</v>
      </c>
      <c r="S25" s="329">
        <f t="shared" si="8"/>
        <v>100247512</v>
      </c>
      <c r="T25" s="329">
        <f t="shared" si="8"/>
        <v>0</v>
      </c>
      <c r="U25" s="329">
        <f t="shared" si="8"/>
        <v>68181044</v>
      </c>
      <c r="V25" s="329">
        <f t="shared" si="8"/>
        <v>16326860</v>
      </c>
      <c r="W25" s="329">
        <f t="shared" si="8"/>
        <v>8889799</v>
      </c>
      <c r="X25" s="329">
        <f t="shared" si="8"/>
        <v>6849809</v>
      </c>
      <c r="Y25" s="329">
        <f t="shared" si="8"/>
        <v>0</v>
      </c>
      <c r="Z25" s="329">
        <f t="shared" si="8"/>
        <v>0</v>
      </c>
      <c r="AA25" s="375">
        <f>+'loans_av rate'!C24+'loans_av rate'!C33</f>
        <v>7731402094</v>
      </c>
      <c r="AB25" s="375">
        <f>+'loans_av rate'!E24+'loans_av rate'!E33</f>
        <v>4119807406</v>
      </c>
      <c r="AC25" s="375">
        <f>+'loans_av rate'!G24+'loans_av rate'!G33</f>
        <v>3611594688</v>
      </c>
      <c r="AE25" s="376"/>
      <c r="AF25" s="376"/>
    </row>
    <row r="26" spans="1:32" s="343" customFormat="1" ht="33.75" customHeight="1">
      <c r="A26" s="328"/>
      <c r="B26" s="328" t="s">
        <v>762</v>
      </c>
      <c r="C26" s="329">
        <f>SUM(C27:C32)</f>
        <v>7731402094</v>
      </c>
      <c r="D26" s="330">
        <f>IFERROR(((C28*D28)/C26)+((C29*D29)/C26)+((C30*D30)/C26)+((C31*D31)/C26)+((C32*D32)/C26),0)</f>
        <v>0.11472579524985291</v>
      </c>
      <c r="E26" s="329">
        <f t="shared" ref="E26:Z26" si="9">SUM(E27:E32)</f>
        <v>4119807406</v>
      </c>
      <c r="F26" s="330">
        <f>IFERROR(((E28*F28)/E26)+((E29*F29)/E26)+((E30*F30)/E26)+((E31*F31)/E26)+((E32*F32)/E26),0)</f>
        <v>0.14028709234368372</v>
      </c>
      <c r="G26" s="329">
        <f t="shared" si="9"/>
        <v>3611594688</v>
      </c>
      <c r="H26" s="330">
        <f>IFERROR(((G28*H28)/G26)+((G29*H29)/G26)+((G30*H30)/G26)+((G31*H31)/G26)+((G32*H32)/G26),0)</f>
        <v>8.5567589472980377E-2</v>
      </c>
      <c r="I26" s="329">
        <f t="shared" si="9"/>
        <v>1566291774</v>
      </c>
      <c r="J26" s="329">
        <f t="shared" si="9"/>
        <v>4938756121</v>
      </c>
      <c r="K26" s="329">
        <f t="shared" si="9"/>
        <v>1075498218</v>
      </c>
      <c r="L26" s="329">
        <f t="shared" si="9"/>
        <v>150855981</v>
      </c>
      <c r="M26" s="329">
        <f t="shared" si="9"/>
        <v>0</v>
      </c>
      <c r="N26" s="329">
        <f t="shared" si="9"/>
        <v>6729416757</v>
      </c>
      <c r="O26" s="329">
        <f t="shared" si="9"/>
        <v>707779782</v>
      </c>
      <c r="P26" s="329">
        <f t="shared" si="9"/>
        <v>187522020</v>
      </c>
      <c r="Q26" s="329">
        <f t="shared" si="9"/>
        <v>19124433</v>
      </c>
      <c r="R26" s="329">
        <f t="shared" si="9"/>
        <v>87559102</v>
      </c>
      <c r="S26" s="329">
        <f t="shared" si="9"/>
        <v>100247512</v>
      </c>
      <c r="T26" s="329">
        <f t="shared" si="9"/>
        <v>0</v>
      </c>
      <c r="U26" s="329">
        <f t="shared" si="9"/>
        <v>68181044</v>
      </c>
      <c r="V26" s="329">
        <f t="shared" si="9"/>
        <v>16326860</v>
      </c>
      <c r="W26" s="329">
        <f t="shared" si="9"/>
        <v>8889799</v>
      </c>
      <c r="X26" s="329">
        <f t="shared" si="9"/>
        <v>6849809</v>
      </c>
      <c r="Y26" s="329">
        <f t="shared" si="9"/>
        <v>0</v>
      </c>
      <c r="Z26" s="329">
        <f t="shared" si="9"/>
        <v>0</v>
      </c>
      <c r="AA26" s="375"/>
      <c r="AB26" s="375"/>
      <c r="AC26" s="375"/>
      <c r="AE26" s="376"/>
      <c r="AF26" s="376"/>
    </row>
    <row r="27" spans="1:32" s="326" customFormat="1" ht="49.5" customHeight="1">
      <c r="A27" s="337">
        <v>1</v>
      </c>
      <c r="B27" s="338" t="s">
        <v>626</v>
      </c>
      <c r="C27" s="357">
        <f t="shared" ref="C27:C32" si="10">+E27+G27</f>
        <v>680502483</v>
      </c>
      <c r="D27" s="333">
        <v>0.13994118186733404</v>
      </c>
      <c r="E27" s="358">
        <v>678722491</v>
      </c>
      <c r="F27" s="333">
        <v>0.14012979278750545</v>
      </c>
      <c r="G27" s="358">
        <v>1779992</v>
      </c>
      <c r="H27" s="333">
        <v>6.8022620001365344E-2</v>
      </c>
      <c r="I27" s="358">
        <v>104528321</v>
      </c>
      <c r="J27" s="358">
        <v>532721580</v>
      </c>
      <c r="K27" s="358">
        <v>41882082</v>
      </c>
      <c r="L27" s="358">
        <v>1370500</v>
      </c>
      <c r="M27" s="358">
        <v>0</v>
      </c>
      <c r="N27" s="358">
        <v>538961893</v>
      </c>
      <c r="O27" s="358">
        <v>61888587</v>
      </c>
      <c r="P27" s="358">
        <v>8862548</v>
      </c>
      <c r="Q27" s="358">
        <v>12388659</v>
      </c>
      <c r="R27" s="358">
        <v>58400796</v>
      </c>
      <c r="S27" s="357">
        <f t="shared" ref="S27:S32" si="11">SUM(T27:X27)</f>
        <v>17849119</v>
      </c>
      <c r="T27" s="358">
        <v>0</v>
      </c>
      <c r="U27" s="358">
        <v>5456950</v>
      </c>
      <c r="V27" s="358">
        <v>2053582</v>
      </c>
      <c r="W27" s="358">
        <v>5848562</v>
      </c>
      <c r="X27" s="358">
        <v>4490025</v>
      </c>
      <c r="Y27" s="358"/>
      <c r="Z27" s="358"/>
      <c r="AA27" s="375">
        <f>+'loans_av rate'!C26+'loans_av rate'!C35</f>
        <v>680502483</v>
      </c>
      <c r="AB27" s="375">
        <f>+'loans_av rate'!E26+'loans_av rate'!E35</f>
        <v>678722491</v>
      </c>
      <c r="AC27" s="375">
        <f>+'loans_av rate'!G26+'loans_av rate'!G35</f>
        <v>1779992</v>
      </c>
      <c r="AE27" s="373"/>
      <c r="AF27" s="373"/>
    </row>
    <row r="28" spans="1:32" s="326" customFormat="1" ht="49.5" customHeight="1">
      <c r="A28" s="337">
        <v>2</v>
      </c>
      <c r="B28" s="338" t="s">
        <v>627</v>
      </c>
      <c r="C28" s="357">
        <f t="shared" si="10"/>
        <v>0</v>
      </c>
      <c r="D28" s="333"/>
      <c r="E28" s="358"/>
      <c r="F28" s="333"/>
      <c r="G28" s="358"/>
      <c r="H28" s="333"/>
      <c r="I28" s="358">
        <v>0</v>
      </c>
      <c r="J28" s="358">
        <v>0</v>
      </c>
      <c r="K28" s="358">
        <v>0</v>
      </c>
      <c r="L28" s="358">
        <v>0</v>
      </c>
      <c r="M28" s="358">
        <v>0</v>
      </c>
      <c r="N28" s="358">
        <v>0</v>
      </c>
      <c r="O28" s="358">
        <v>0</v>
      </c>
      <c r="P28" s="358">
        <v>0</v>
      </c>
      <c r="Q28" s="358">
        <v>0</v>
      </c>
      <c r="R28" s="358">
        <v>0</v>
      </c>
      <c r="S28" s="357">
        <f t="shared" si="11"/>
        <v>0</v>
      </c>
      <c r="T28" s="358"/>
      <c r="U28" s="358"/>
      <c r="V28" s="358"/>
      <c r="W28" s="358"/>
      <c r="X28" s="358"/>
      <c r="Y28" s="358"/>
      <c r="Z28" s="358"/>
      <c r="AA28" s="375">
        <f>+'loans_av rate'!C27+'loans_av rate'!C36</f>
        <v>0</v>
      </c>
      <c r="AB28" s="375">
        <f>+'loans_av rate'!E27+'loans_av rate'!E36</f>
        <v>0</v>
      </c>
      <c r="AC28" s="375">
        <f>+'loans_av rate'!G27+'loans_av rate'!G36</f>
        <v>0</v>
      </c>
      <c r="AE28" s="373"/>
      <c r="AF28" s="373"/>
    </row>
    <row r="29" spans="1:32" s="326" customFormat="1" ht="49.5" customHeight="1">
      <c r="A29" s="337">
        <v>3</v>
      </c>
      <c r="B29" s="338" t="s">
        <v>628</v>
      </c>
      <c r="C29" s="357">
        <f t="shared" si="10"/>
        <v>5524447</v>
      </c>
      <c r="D29" s="333">
        <v>0.10510396845015983</v>
      </c>
      <c r="E29" s="358">
        <v>340794</v>
      </c>
      <c r="F29" s="333">
        <v>0.18273802354479374</v>
      </c>
      <c r="G29" s="358">
        <v>5183653</v>
      </c>
      <c r="H29" s="333">
        <v>0.1</v>
      </c>
      <c r="I29" s="358">
        <v>119946</v>
      </c>
      <c r="J29" s="358">
        <v>5404501</v>
      </c>
      <c r="K29" s="358">
        <v>0</v>
      </c>
      <c r="L29" s="358">
        <v>0</v>
      </c>
      <c r="M29" s="358">
        <v>0</v>
      </c>
      <c r="N29" s="358">
        <v>5194511</v>
      </c>
      <c r="O29" s="358">
        <v>220848</v>
      </c>
      <c r="P29" s="358">
        <v>0</v>
      </c>
      <c r="Q29" s="358">
        <v>0</v>
      </c>
      <c r="R29" s="358">
        <v>109088</v>
      </c>
      <c r="S29" s="357">
        <f t="shared" si="11"/>
        <v>85114</v>
      </c>
      <c r="T29" s="358">
        <v>0</v>
      </c>
      <c r="U29" s="358">
        <v>22085</v>
      </c>
      <c r="V29" s="358">
        <v>0</v>
      </c>
      <c r="W29" s="358">
        <v>0</v>
      </c>
      <c r="X29" s="358">
        <v>63029</v>
      </c>
      <c r="Y29" s="358"/>
      <c r="Z29" s="358"/>
      <c r="AA29" s="375">
        <f>+'loans_av rate'!C28+'loans_av rate'!C37</f>
        <v>5524447</v>
      </c>
      <c r="AB29" s="375">
        <f>+'loans_av rate'!E28+'loans_av rate'!E37</f>
        <v>340794</v>
      </c>
      <c r="AC29" s="375">
        <f>+'loans_av rate'!G28+'loans_av rate'!G37</f>
        <v>5183653</v>
      </c>
      <c r="AE29" s="373"/>
      <c r="AF29" s="373"/>
    </row>
    <row r="30" spans="1:32" s="326" customFormat="1" ht="49.5" customHeight="1">
      <c r="A30" s="337">
        <v>4</v>
      </c>
      <c r="B30" s="338" t="s">
        <v>629</v>
      </c>
      <c r="C30" s="357">
        <f t="shared" si="10"/>
        <v>86599877</v>
      </c>
      <c r="D30" s="333">
        <v>3.2043820005685966E-2</v>
      </c>
      <c r="E30" s="358">
        <v>86599877</v>
      </c>
      <c r="F30" s="333">
        <v>3.2043820005685966E-2</v>
      </c>
      <c r="G30" s="358">
        <v>0</v>
      </c>
      <c r="H30" s="333">
        <v>0</v>
      </c>
      <c r="I30" s="358">
        <v>86599877</v>
      </c>
      <c r="J30" s="358">
        <v>0</v>
      </c>
      <c r="K30" s="358">
        <v>0</v>
      </c>
      <c r="L30" s="358">
        <v>0</v>
      </c>
      <c r="M30" s="358">
        <v>0</v>
      </c>
      <c r="N30" s="358">
        <v>84390000</v>
      </c>
      <c r="O30" s="358">
        <v>146063</v>
      </c>
      <c r="P30" s="358">
        <v>2213814</v>
      </c>
      <c r="Q30" s="358">
        <v>0</v>
      </c>
      <c r="R30" s="358">
        <v>-150000</v>
      </c>
      <c r="S30" s="357">
        <f t="shared" si="11"/>
        <v>274737</v>
      </c>
      <c r="T30" s="358">
        <v>0</v>
      </c>
      <c r="U30" s="358">
        <v>18356</v>
      </c>
      <c r="V30" s="358">
        <v>246381</v>
      </c>
      <c r="W30" s="358">
        <v>0</v>
      </c>
      <c r="X30" s="358">
        <v>10000</v>
      </c>
      <c r="Y30" s="358"/>
      <c r="Z30" s="358"/>
      <c r="AA30" s="375">
        <f>+'loans_av rate'!C29+'loans_av rate'!C38</f>
        <v>86599877</v>
      </c>
      <c r="AB30" s="375">
        <f>+'loans_av rate'!E29+'loans_av rate'!E38</f>
        <v>86599877</v>
      </c>
      <c r="AC30" s="375">
        <f>+'loans_av rate'!G29+'loans_av rate'!G38</f>
        <v>0</v>
      </c>
      <c r="AE30" s="373"/>
      <c r="AF30" s="373"/>
    </row>
    <row r="31" spans="1:32" s="326" customFormat="1" ht="49.5" customHeight="1">
      <c r="A31" s="337">
        <v>5</v>
      </c>
      <c r="B31" s="338" t="s">
        <v>630</v>
      </c>
      <c r="C31" s="357">
        <f t="shared" si="10"/>
        <v>0</v>
      </c>
      <c r="D31" s="333"/>
      <c r="E31" s="358"/>
      <c r="F31" s="333"/>
      <c r="G31" s="358"/>
      <c r="H31" s="333"/>
      <c r="I31" s="358">
        <v>0</v>
      </c>
      <c r="J31" s="358">
        <v>0</v>
      </c>
      <c r="K31" s="358">
        <v>0</v>
      </c>
      <c r="L31" s="358">
        <v>0</v>
      </c>
      <c r="M31" s="358">
        <v>0</v>
      </c>
      <c r="N31" s="358"/>
      <c r="O31" s="358"/>
      <c r="P31" s="358"/>
      <c r="Q31" s="358"/>
      <c r="R31" s="358"/>
      <c r="S31" s="357">
        <f t="shared" si="11"/>
        <v>0</v>
      </c>
      <c r="T31" s="358"/>
      <c r="U31" s="358"/>
      <c r="V31" s="358"/>
      <c r="W31" s="358"/>
      <c r="X31" s="358"/>
      <c r="Y31" s="358"/>
      <c r="Z31" s="358"/>
      <c r="AA31" s="375">
        <f>+'loans_av rate'!C30+'loans_av rate'!C39</f>
        <v>0</v>
      </c>
      <c r="AB31" s="375">
        <f>+'loans_av rate'!E30+'loans_av rate'!E39</f>
        <v>0</v>
      </c>
      <c r="AC31" s="375">
        <f>+'loans_av rate'!G30+'loans_av rate'!G39</f>
        <v>0</v>
      </c>
      <c r="AE31" s="373"/>
      <c r="AF31" s="373"/>
    </row>
    <row r="32" spans="1:32" s="326" customFormat="1" ht="49.5" customHeight="1">
      <c r="A32" s="337">
        <v>6</v>
      </c>
      <c r="B32" s="338" t="s">
        <v>763</v>
      </c>
      <c r="C32" s="357">
        <f t="shared" si="10"/>
        <v>6958775287</v>
      </c>
      <c r="D32" s="333">
        <v>0.1269814852488472</v>
      </c>
      <c r="E32" s="358">
        <v>3354144244</v>
      </c>
      <c r="F32" s="333">
        <v>0.17146505733598247</v>
      </c>
      <c r="G32" s="358">
        <v>3604631043</v>
      </c>
      <c r="H32" s="333">
        <v>8.5589088765327115E-2</v>
      </c>
      <c r="I32" s="358">
        <v>1375043630</v>
      </c>
      <c r="J32" s="358">
        <v>4400630040</v>
      </c>
      <c r="K32" s="358">
        <v>1033616136</v>
      </c>
      <c r="L32" s="358">
        <v>149485481</v>
      </c>
      <c r="M32" s="358">
        <v>0</v>
      </c>
      <c r="N32" s="358">
        <v>6100870353</v>
      </c>
      <c r="O32" s="358">
        <v>645524284</v>
      </c>
      <c r="P32" s="358">
        <v>176445658</v>
      </c>
      <c r="Q32" s="358">
        <v>6735774</v>
      </c>
      <c r="R32" s="358">
        <v>29199218</v>
      </c>
      <c r="S32" s="357">
        <f t="shared" si="11"/>
        <v>82038542</v>
      </c>
      <c r="T32" s="358">
        <v>0</v>
      </c>
      <c r="U32" s="358">
        <v>62683653</v>
      </c>
      <c r="V32" s="358">
        <v>14026897</v>
      </c>
      <c r="W32" s="358">
        <v>3041237</v>
      </c>
      <c r="X32" s="358">
        <v>2286755</v>
      </c>
      <c r="Y32" s="358"/>
      <c r="Z32" s="358"/>
      <c r="AA32" s="375">
        <f>+'loans_av rate'!C31+'loans_av rate'!C40</f>
        <v>6958775287</v>
      </c>
      <c r="AB32" s="375">
        <f>+'loans_av rate'!E31+'loans_av rate'!E40</f>
        <v>3354144244</v>
      </c>
      <c r="AC32" s="375">
        <f>+'loans_av rate'!G31+'loans_av rate'!G40</f>
        <v>3604631043</v>
      </c>
      <c r="AE32" s="373"/>
      <c r="AF32" s="373"/>
    </row>
    <row r="33" spans="1:32" s="343" customFormat="1" ht="33.75" customHeight="1">
      <c r="A33" s="328"/>
      <c r="B33" s="328" t="s">
        <v>764</v>
      </c>
      <c r="C33" s="329">
        <f>SUM(C34:C39)</f>
        <v>7731402094</v>
      </c>
      <c r="D33" s="330">
        <f>IFERROR(((C35*D35)/C33)+((C36*D36)/C33)+((C37*D37)/C33)+((C38*D38)/C33)+((C39*D39)/C33),0)</f>
        <v>0.11853855437078209</v>
      </c>
      <c r="E33" s="329">
        <f t="shared" ref="E33:Z33" si="12">SUM(E34:E39)</f>
        <v>4119807406</v>
      </c>
      <c r="F33" s="330">
        <f>IFERROR(((E35*F35)/E33)+((E36*F36)/E33)+((E37*F37)/E33)+((E38*F38)/E33)+((E39*F39)/E33),0)</f>
        <v>0.14741288519276111</v>
      </c>
      <c r="G33" s="329">
        <f t="shared" si="12"/>
        <v>3611594688</v>
      </c>
      <c r="H33" s="330">
        <f>IFERROR(((G35*H35)/G33)+((G36*H36)/G33)+((G37*H37)/G33)+((G38*H38)/G33)+((G39*H39)/G33),0)</f>
        <v>6.6910768953035993E-2</v>
      </c>
      <c r="I33" s="329">
        <f t="shared" si="12"/>
        <v>1566291774</v>
      </c>
      <c r="J33" s="329">
        <f t="shared" si="12"/>
        <v>4938756121</v>
      </c>
      <c r="K33" s="329">
        <f t="shared" si="12"/>
        <v>1075498218</v>
      </c>
      <c r="L33" s="329">
        <f t="shared" si="12"/>
        <v>150855981</v>
      </c>
      <c r="M33" s="329">
        <f t="shared" si="12"/>
        <v>0</v>
      </c>
      <c r="N33" s="329">
        <f t="shared" si="12"/>
        <v>6729416757</v>
      </c>
      <c r="O33" s="329">
        <f t="shared" si="12"/>
        <v>707779782</v>
      </c>
      <c r="P33" s="329">
        <f t="shared" si="12"/>
        <v>187522020</v>
      </c>
      <c r="Q33" s="329">
        <f t="shared" si="12"/>
        <v>19124433</v>
      </c>
      <c r="R33" s="329">
        <f t="shared" si="12"/>
        <v>87559102</v>
      </c>
      <c r="S33" s="329">
        <f t="shared" si="12"/>
        <v>100247512</v>
      </c>
      <c r="T33" s="329">
        <f t="shared" si="12"/>
        <v>0</v>
      </c>
      <c r="U33" s="329">
        <f t="shared" si="12"/>
        <v>68181044</v>
      </c>
      <c r="V33" s="329">
        <f t="shared" si="12"/>
        <v>16326860</v>
      </c>
      <c r="W33" s="329">
        <f t="shared" si="12"/>
        <v>8889799</v>
      </c>
      <c r="X33" s="329">
        <f t="shared" si="12"/>
        <v>6849809</v>
      </c>
      <c r="Y33" s="329">
        <f t="shared" si="12"/>
        <v>0</v>
      </c>
      <c r="Z33" s="329">
        <f t="shared" si="12"/>
        <v>0</v>
      </c>
      <c r="AA33" s="375"/>
      <c r="AB33" s="376"/>
      <c r="AC33" s="376"/>
      <c r="AD33" s="376"/>
      <c r="AE33" s="376"/>
      <c r="AF33" s="376"/>
    </row>
    <row r="34" spans="1:32" s="326" customFormat="1" ht="49.5" customHeight="1">
      <c r="A34" s="337">
        <v>1</v>
      </c>
      <c r="B34" s="338" t="s">
        <v>756</v>
      </c>
      <c r="C34" s="357">
        <f t="shared" ref="C34:C39" si="13">+E34+G34</f>
        <v>603135265</v>
      </c>
      <c r="D34" s="333">
        <v>0.10901758156724012</v>
      </c>
      <c r="E34" s="358">
        <v>603135265</v>
      </c>
      <c r="F34" s="333">
        <v>0.10901758156724012</v>
      </c>
      <c r="G34" s="358"/>
      <c r="H34" s="333">
        <v>0</v>
      </c>
      <c r="I34" s="358">
        <v>60685060</v>
      </c>
      <c r="J34" s="358">
        <v>432126488</v>
      </c>
      <c r="K34" s="358">
        <v>1278758</v>
      </c>
      <c r="L34" s="358">
        <v>109044959</v>
      </c>
      <c r="M34" s="358">
        <v>0</v>
      </c>
      <c r="N34" s="358">
        <v>469453753</v>
      </c>
      <c r="O34" s="358">
        <v>85466748</v>
      </c>
      <c r="P34" s="358">
        <v>7280336</v>
      </c>
      <c r="Q34" s="358">
        <v>7539025</v>
      </c>
      <c r="R34" s="358">
        <v>33395403</v>
      </c>
      <c r="S34" s="357">
        <f t="shared" ref="S34:S39" si="14">SUM(T34:X34)</f>
        <v>13412537</v>
      </c>
      <c r="T34" s="358">
        <v>0</v>
      </c>
      <c r="U34" s="358">
        <v>7383428</v>
      </c>
      <c r="V34" s="358">
        <v>1741694</v>
      </c>
      <c r="W34" s="358">
        <v>3505841</v>
      </c>
      <c r="X34" s="358">
        <v>781574</v>
      </c>
      <c r="Y34" s="358"/>
      <c r="Z34" s="358"/>
      <c r="AB34" s="373"/>
      <c r="AC34" s="373"/>
      <c r="AD34" s="373"/>
      <c r="AE34" s="373"/>
      <c r="AF34" s="373"/>
    </row>
    <row r="35" spans="1:32" s="326" customFormat="1" ht="49.5" customHeight="1">
      <c r="A35" s="337">
        <v>2</v>
      </c>
      <c r="B35" s="338" t="s">
        <v>757</v>
      </c>
      <c r="C35" s="357">
        <f t="shared" si="13"/>
        <v>2492217841</v>
      </c>
      <c r="D35" s="333">
        <v>0.13622471816023707</v>
      </c>
      <c r="E35" s="358">
        <v>1631324443</v>
      </c>
      <c r="F35" s="333">
        <v>0.16673551394557273</v>
      </c>
      <c r="G35" s="358">
        <v>860893398</v>
      </c>
      <c r="H35" s="333">
        <v>0</v>
      </c>
      <c r="I35" s="358">
        <v>1032163362</v>
      </c>
      <c r="J35" s="358">
        <v>1291491153</v>
      </c>
      <c r="K35" s="358">
        <v>164352646</v>
      </c>
      <c r="L35" s="358">
        <v>4210680</v>
      </c>
      <c r="M35" s="358">
        <v>0</v>
      </c>
      <c r="N35" s="358">
        <v>2346440252</v>
      </c>
      <c r="O35" s="358">
        <v>103781762</v>
      </c>
      <c r="P35" s="358">
        <v>27820945</v>
      </c>
      <c r="Q35" s="358">
        <v>764644</v>
      </c>
      <c r="R35" s="358">
        <v>13410238</v>
      </c>
      <c r="S35" s="357">
        <f t="shared" si="14"/>
        <v>14714051</v>
      </c>
      <c r="T35" s="358">
        <v>0</v>
      </c>
      <c r="U35" s="358">
        <v>10087245</v>
      </c>
      <c r="V35" s="358">
        <v>3257079</v>
      </c>
      <c r="W35" s="358">
        <v>374172</v>
      </c>
      <c r="X35" s="358">
        <v>995555</v>
      </c>
      <c r="Y35" s="358"/>
      <c r="Z35" s="358"/>
      <c r="AB35" s="373"/>
      <c r="AC35" s="373"/>
      <c r="AD35" s="373"/>
      <c r="AE35" s="373"/>
      <c r="AF35" s="373"/>
    </row>
    <row r="36" spans="1:32" s="326" customFormat="1" ht="58.5" customHeight="1">
      <c r="A36" s="337">
        <v>3</v>
      </c>
      <c r="B36" s="338" t="s">
        <v>758</v>
      </c>
      <c r="C36" s="357">
        <f t="shared" si="13"/>
        <v>1928178606</v>
      </c>
      <c r="D36" s="333">
        <v>0.11338281574499161</v>
      </c>
      <c r="E36" s="358">
        <v>550275271</v>
      </c>
      <c r="F36" s="333">
        <v>0.17067522735706089</v>
      </c>
      <c r="G36" s="358">
        <v>1377903335</v>
      </c>
      <c r="H36" s="333">
        <v>9.0502693016197899E-2</v>
      </c>
      <c r="I36" s="358">
        <v>209641873</v>
      </c>
      <c r="J36" s="358">
        <v>1326782891</v>
      </c>
      <c r="K36" s="358">
        <v>387565410</v>
      </c>
      <c r="L36" s="358">
        <v>4188432</v>
      </c>
      <c r="M36" s="358">
        <v>0</v>
      </c>
      <c r="N36" s="358">
        <v>1500030959</v>
      </c>
      <c r="O36" s="358">
        <v>339318765</v>
      </c>
      <c r="P36" s="358">
        <v>54966306</v>
      </c>
      <c r="Q36" s="358">
        <v>4992184</v>
      </c>
      <c r="R36" s="358">
        <v>28870392</v>
      </c>
      <c r="S36" s="357">
        <f t="shared" si="14"/>
        <v>40685320</v>
      </c>
      <c r="T36" s="358">
        <v>0</v>
      </c>
      <c r="U36" s="358">
        <v>32585291</v>
      </c>
      <c r="V36" s="358">
        <v>1732992</v>
      </c>
      <c r="W36" s="358">
        <v>2419245</v>
      </c>
      <c r="X36" s="358">
        <v>3947792</v>
      </c>
      <c r="Y36" s="358"/>
      <c r="Z36" s="358"/>
      <c r="AB36" s="373"/>
      <c r="AC36" s="373"/>
      <c r="AD36" s="373"/>
      <c r="AE36" s="373"/>
      <c r="AF36" s="373"/>
    </row>
    <row r="37" spans="1:32" s="326" customFormat="1" ht="49.5" customHeight="1">
      <c r="A37" s="337">
        <v>4</v>
      </c>
      <c r="B37" s="338" t="s">
        <v>759</v>
      </c>
      <c r="C37" s="357">
        <f t="shared" si="13"/>
        <v>0</v>
      </c>
      <c r="D37" s="333">
        <v>0</v>
      </c>
      <c r="E37" s="358">
        <v>0</v>
      </c>
      <c r="F37" s="333">
        <v>0</v>
      </c>
      <c r="G37" s="358">
        <v>0</v>
      </c>
      <c r="H37" s="333">
        <v>0</v>
      </c>
      <c r="I37" s="358">
        <v>0</v>
      </c>
      <c r="J37" s="358">
        <v>0</v>
      </c>
      <c r="K37" s="358">
        <v>0</v>
      </c>
      <c r="L37" s="358">
        <v>0</v>
      </c>
      <c r="M37" s="358">
        <v>0</v>
      </c>
      <c r="N37" s="358">
        <v>0</v>
      </c>
      <c r="O37" s="358">
        <v>0</v>
      </c>
      <c r="P37" s="358">
        <v>0</v>
      </c>
      <c r="Q37" s="358">
        <v>0</v>
      </c>
      <c r="R37" s="358">
        <v>0</v>
      </c>
      <c r="S37" s="357">
        <f t="shared" si="14"/>
        <v>0</v>
      </c>
      <c r="T37" s="358">
        <v>0</v>
      </c>
      <c r="U37" s="358">
        <v>0</v>
      </c>
      <c r="V37" s="358">
        <v>0</v>
      </c>
      <c r="W37" s="358">
        <v>0</v>
      </c>
      <c r="X37" s="358">
        <v>0</v>
      </c>
      <c r="Y37" s="358"/>
      <c r="Z37" s="358"/>
      <c r="AB37" s="373"/>
      <c r="AC37" s="373"/>
      <c r="AD37" s="373"/>
      <c r="AE37" s="373"/>
      <c r="AF37" s="373"/>
    </row>
    <row r="38" spans="1:32" s="326" customFormat="1" ht="49.5" customHeight="1">
      <c r="A38" s="337">
        <v>5</v>
      </c>
      <c r="B38" s="338" t="s">
        <v>760</v>
      </c>
      <c r="C38" s="357">
        <f t="shared" si="13"/>
        <v>74717333</v>
      </c>
      <c r="D38" s="333">
        <v>0.13045098901100227</v>
      </c>
      <c r="E38" s="358">
        <v>74717333</v>
      </c>
      <c r="F38" s="333">
        <v>0.13045098901100227</v>
      </c>
      <c r="G38" s="358">
        <v>0</v>
      </c>
      <c r="H38" s="333">
        <v>0</v>
      </c>
      <c r="I38" s="358">
        <v>0</v>
      </c>
      <c r="J38" s="358">
        <v>72842333</v>
      </c>
      <c r="K38" s="358">
        <v>1875000</v>
      </c>
      <c r="L38" s="358">
        <v>0</v>
      </c>
      <c r="M38" s="358">
        <v>0</v>
      </c>
      <c r="N38" s="358">
        <v>74657333</v>
      </c>
      <c r="O38" s="358">
        <v>60000</v>
      </c>
      <c r="P38" s="358">
        <v>0</v>
      </c>
      <c r="Q38" s="358">
        <v>0</v>
      </c>
      <c r="R38" s="358">
        <v>0</v>
      </c>
      <c r="S38" s="357">
        <f t="shared" si="14"/>
        <v>6000</v>
      </c>
      <c r="T38" s="358">
        <v>0</v>
      </c>
      <c r="U38" s="358">
        <v>6000</v>
      </c>
      <c r="V38" s="358">
        <v>0</v>
      </c>
      <c r="W38" s="358">
        <v>0</v>
      </c>
      <c r="X38" s="358">
        <v>0</v>
      </c>
      <c r="Y38" s="358"/>
      <c r="Z38" s="358"/>
      <c r="AB38" s="373"/>
      <c r="AC38" s="373"/>
      <c r="AD38" s="373"/>
      <c r="AE38" s="373"/>
      <c r="AF38" s="373"/>
    </row>
    <row r="39" spans="1:32" s="326" customFormat="1" ht="49.5" customHeight="1">
      <c r="A39" s="337">
        <v>6</v>
      </c>
      <c r="B39" s="338" t="s">
        <v>765</v>
      </c>
      <c r="C39" s="357">
        <f t="shared" si="13"/>
        <v>2633153049</v>
      </c>
      <c r="D39" s="333">
        <v>0.13238815914502161</v>
      </c>
      <c r="E39" s="358">
        <v>1260355094</v>
      </c>
      <c r="F39" s="333">
        <v>0.18379555957773369</v>
      </c>
      <c r="G39" s="358">
        <v>1372797955</v>
      </c>
      <c r="H39" s="333">
        <v>8.5191425847716842E-2</v>
      </c>
      <c r="I39" s="358">
        <v>263801479</v>
      </c>
      <c r="J39" s="358">
        <v>1815513256</v>
      </c>
      <c r="K39" s="358">
        <v>520426404</v>
      </c>
      <c r="L39" s="358">
        <v>33411910</v>
      </c>
      <c r="M39" s="358">
        <v>0</v>
      </c>
      <c r="N39" s="358">
        <v>2338834460</v>
      </c>
      <c r="O39" s="358">
        <v>179152507</v>
      </c>
      <c r="P39" s="358">
        <v>97454433</v>
      </c>
      <c r="Q39" s="358">
        <v>5828580</v>
      </c>
      <c r="R39" s="358">
        <v>11883069</v>
      </c>
      <c r="S39" s="357">
        <f t="shared" si="14"/>
        <v>31429604</v>
      </c>
      <c r="T39" s="358">
        <v>0</v>
      </c>
      <c r="U39" s="358">
        <v>18119080</v>
      </c>
      <c r="V39" s="358">
        <v>9595095</v>
      </c>
      <c r="W39" s="358">
        <v>2590541</v>
      </c>
      <c r="X39" s="358">
        <v>1124888</v>
      </c>
      <c r="Y39" s="358"/>
      <c r="Z39" s="358"/>
      <c r="AB39" s="373"/>
      <c r="AC39" s="373"/>
      <c r="AD39" s="373"/>
      <c r="AE39" s="373"/>
      <c r="AF39" s="373"/>
    </row>
    <row r="40" spans="1:32" s="326" customFormat="1" ht="37.5" customHeight="1">
      <c r="A40" s="344"/>
      <c r="B40" s="345"/>
      <c r="C40" s="346"/>
      <c r="D40" s="361"/>
      <c r="E40" s="346"/>
      <c r="F40" s="346"/>
      <c r="G40" s="346"/>
      <c r="H40" s="346"/>
      <c r="I40" s="345"/>
      <c r="J40" s="345"/>
      <c r="K40" s="345"/>
      <c r="L40" s="345"/>
      <c r="M40" s="345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B40" s="373"/>
      <c r="AC40" s="373"/>
      <c r="AD40" s="373"/>
      <c r="AE40" s="373"/>
      <c r="AF40" s="373"/>
    </row>
    <row r="41" spans="1:32" s="366" customFormat="1" ht="15.75">
      <c r="A41" s="364"/>
      <c r="B41" s="365" t="s">
        <v>0</v>
      </c>
      <c r="J41" s="364"/>
      <c r="AB41" s="378"/>
      <c r="AC41" s="378"/>
      <c r="AD41" s="378"/>
      <c r="AE41" s="378"/>
      <c r="AF41" s="378"/>
    </row>
    <row r="42" spans="1:32" s="366" customFormat="1" ht="15.75">
      <c r="A42" s="364"/>
      <c r="B42" s="365"/>
      <c r="J42" s="364"/>
      <c r="AB42" s="378"/>
      <c r="AC42" s="378"/>
      <c r="AD42" s="378"/>
      <c r="AE42" s="378"/>
      <c r="AF42" s="378"/>
    </row>
    <row r="43" spans="1:32" s="366" customFormat="1" ht="15.75">
      <c r="A43" s="364"/>
      <c r="B43" s="365" t="s">
        <v>1</v>
      </c>
      <c r="J43" s="364"/>
      <c r="AB43" s="378"/>
      <c r="AC43" s="378"/>
      <c r="AD43" s="378"/>
      <c r="AE43" s="378"/>
      <c r="AF43" s="378"/>
    </row>
    <row r="44" spans="1:32" s="139" customFormat="1" ht="15.75">
      <c r="A44" s="159"/>
      <c r="AB44" s="379"/>
      <c r="AC44" s="379"/>
      <c r="AD44" s="379"/>
      <c r="AE44" s="379"/>
      <c r="AF44" s="379"/>
    </row>
    <row r="45" spans="1:32" s="308" customFormat="1" ht="15.75">
      <c r="A45" s="362"/>
      <c r="B45" s="363"/>
      <c r="J45" s="362"/>
      <c r="AB45" s="380"/>
      <c r="AC45" s="380"/>
      <c r="AD45" s="380"/>
      <c r="AE45" s="380"/>
      <c r="AF45" s="380"/>
    </row>
    <row r="46" spans="1:32" s="308" customFormat="1" ht="15.75">
      <c r="A46" s="362"/>
      <c r="B46" s="363"/>
      <c r="J46" s="362"/>
      <c r="AB46" s="380"/>
      <c r="AC46" s="380"/>
      <c r="AD46" s="380"/>
      <c r="AE46" s="380"/>
      <c r="AF46" s="380"/>
    </row>
    <row r="47" spans="1:32" s="308" customFormat="1" ht="15.75">
      <c r="A47" s="362"/>
      <c r="B47" s="363"/>
      <c r="J47" s="362"/>
      <c r="AB47" s="380"/>
      <c r="AC47" s="380"/>
      <c r="AD47" s="380"/>
      <c r="AE47" s="380"/>
      <c r="AF47" s="380"/>
    </row>
    <row r="48" spans="1:32" s="348" customFormat="1" ht="15.75">
      <c r="A48" s="347"/>
      <c r="AB48" s="381"/>
      <c r="AC48" s="381"/>
      <c r="AD48" s="381"/>
      <c r="AE48" s="381"/>
      <c r="AF48" s="381"/>
    </row>
  </sheetData>
  <sheetProtection sheet="1" objects="1" scenarios="1"/>
  <mergeCells count="17">
    <mergeCell ref="K5:K6"/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</mergeCells>
  <conditionalFormatting sqref="C8">
    <cfRule type="cellIs" dxfId="124" priority="198" operator="notEqual">
      <formula>$AA$8</formula>
    </cfRule>
  </conditionalFormatting>
  <conditionalFormatting sqref="C11">
    <cfRule type="cellIs" dxfId="123" priority="8" operator="notEqual">
      <formula>$AA$11</formula>
    </cfRule>
    <cfRule type="cellIs" dxfId="122" priority="189" operator="notEqual">
      <formula>N11+O11+P11+Q11+R11</formula>
    </cfRule>
    <cfRule type="cellIs" dxfId="121" priority="190" operator="notEqual">
      <formula>I11+J11+K11+L11+M11</formula>
    </cfRule>
  </conditionalFormatting>
  <conditionalFormatting sqref="C16">
    <cfRule type="cellIs" dxfId="120" priority="7" operator="notEqual">
      <formula>$AA$16</formula>
    </cfRule>
    <cfRule type="cellIs" dxfId="119" priority="187" operator="notEqual">
      <formula>N16+O16+P16+Q16+R16</formula>
    </cfRule>
    <cfRule type="cellIs" dxfId="118" priority="188" operator="notEqual">
      <formula>I16+J16+K16+L16+M16</formula>
    </cfRule>
  </conditionalFormatting>
  <conditionalFormatting sqref="C25">
    <cfRule type="cellIs" dxfId="117" priority="185" operator="notEqual">
      <formula>N25+O25+P25+Q25+R25</formula>
    </cfRule>
    <cfRule type="cellIs" dxfId="116" priority="186" operator="notEqual">
      <formula>I25+J25+K25+L25+M25</formula>
    </cfRule>
  </conditionalFormatting>
  <conditionalFormatting sqref="C26">
    <cfRule type="cellIs" dxfId="115" priority="178" operator="notEqual">
      <formula>N26+O26+P26+Q26+R26</formula>
    </cfRule>
    <cfRule type="cellIs" dxfId="114" priority="179" operator="notEqual">
      <formula>I26+J26+K26+L26+M26</formula>
    </cfRule>
  </conditionalFormatting>
  <conditionalFormatting sqref="C33">
    <cfRule type="cellIs" dxfId="113" priority="52" operator="notEqual">
      <formula>$C$26</formula>
    </cfRule>
    <cfRule type="cellIs" dxfId="112" priority="171" operator="notEqual">
      <formula>N33+O33+P33+Q33+R33</formula>
    </cfRule>
    <cfRule type="cellIs" dxfId="111" priority="172" operator="notEqual">
      <formula>I33+J33+K33+L33+M33</formula>
    </cfRule>
  </conditionalFormatting>
  <conditionalFormatting sqref="C12">
    <cfRule type="cellIs" dxfId="110" priority="109" operator="notEqual">
      <formula>N12+O12+P12+Q12+R12</formula>
    </cfRule>
    <cfRule type="cellIs" dxfId="109" priority="110" operator="notEqual">
      <formula>I12+J12+K12+L12+M12</formula>
    </cfRule>
  </conditionalFormatting>
  <conditionalFormatting sqref="C13">
    <cfRule type="cellIs" dxfId="108" priority="107" operator="notEqual">
      <formula>N13+O13+P13+Q13+R13</formula>
    </cfRule>
    <cfRule type="cellIs" dxfId="107" priority="108" operator="notEqual">
      <formula>I13+J13+K13+L13+M13</formula>
    </cfRule>
  </conditionalFormatting>
  <conditionalFormatting sqref="C14">
    <cfRule type="cellIs" dxfId="106" priority="105" operator="notEqual">
      <formula>N14+O14+P14+Q14+R14</formula>
    </cfRule>
    <cfRule type="cellIs" dxfId="105" priority="106" operator="notEqual">
      <formula>I14+J14+K14+L14+M14</formula>
    </cfRule>
  </conditionalFormatting>
  <conditionalFormatting sqref="C15">
    <cfRule type="cellIs" dxfId="104" priority="103" operator="notEqual">
      <formula>N15+O15+P15+Q15+R15</formula>
    </cfRule>
    <cfRule type="cellIs" dxfId="103" priority="104" operator="notEqual">
      <formula>I15+J15+K15+L15+M15</formula>
    </cfRule>
  </conditionalFormatting>
  <conditionalFormatting sqref="C17">
    <cfRule type="cellIs" dxfId="102" priority="101" operator="notEqual">
      <formula>N17+O17+P17+Q17+R17</formula>
    </cfRule>
    <cfRule type="cellIs" dxfId="101" priority="102" operator="notEqual">
      <formula>I17+J17+K17+L17+M17</formula>
    </cfRule>
  </conditionalFormatting>
  <conditionalFormatting sqref="C18">
    <cfRule type="cellIs" dxfId="100" priority="99" operator="notEqual">
      <formula>N18+O18+P18+Q18+R18</formula>
    </cfRule>
    <cfRule type="cellIs" dxfId="99" priority="100" operator="notEqual">
      <formula>I18+J18+K18+L18+M18</formula>
    </cfRule>
  </conditionalFormatting>
  <conditionalFormatting sqref="C19">
    <cfRule type="cellIs" dxfId="98" priority="97" operator="notEqual">
      <formula>N19+O19+P19+Q19+R19</formula>
    </cfRule>
    <cfRule type="cellIs" dxfId="97" priority="98" operator="notEqual">
      <formula>I19+J19+K19+L19+M19</formula>
    </cfRule>
  </conditionalFormatting>
  <conditionalFormatting sqref="C20">
    <cfRule type="cellIs" dxfId="96" priority="95" operator="notEqual">
      <formula>N20+O20+P20+Q20+R20</formula>
    </cfRule>
    <cfRule type="cellIs" dxfId="95" priority="96" operator="notEqual">
      <formula>I20+J20+K20+L20+M20</formula>
    </cfRule>
  </conditionalFormatting>
  <conditionalFormatting sqref="C21">
    <cfRule type="cellIs" dxfId="94" priority="26" operator="notEqual">
      <formula>$AA$21</formula>
    </cfRule>
    <cfRule type="cellIs" dxfId="93" priority="93" operator="notEqual">
      <formula>N21+O21+P21+Q21+R21</formula>
    </cfRule>
    <cfRule type="cellIs" dxfId="92" priority="94" operator="notEqual">
      <formula>I21+J21+K21+L21+M21</formula>
    </cfRule>
  </conditionalFormatting>
  <conditionalFormatting sqref="C22">
    <cfRule type="cellIs" dxfId="91" priority="91" operator="notEqual">
      <formula>N22+O22+P22+Q22+R22</formula>
    </cfRule>
    <cfRule type="cellIs" dxfId="90" priority="92" operator="notEqual">
      <formula>I22+J22+K22+L22+M22</formula>
    </cfRule>
  </conditionalFormatting>
  <conditionalFormatting sqref="C23">
    <cfRule type="cellIs" dxfId="89" priority="25" operator="notEqual">
      <formula>$AA$23</formula>
    </cfRule>
    <cfRule type="cellIs" dxfId="88" priority="89" operator="notEqual">
      <formula>N23+O23+P23+Q23+R23</formula>
    </cfRule>
    <cfRule type="cellIs" dxfId="87" priority="90" operator="notEqual">
      <formula>I23+J23+K23+L23+M23</formula>
    </cfRule>
  </conditionalFormatting>
  <conditionalFormatting sqref="C24">
    <cfRule type="cellIs" dxfId="86" priority="87" operator="notEqual">
      <formula>N24+O24+P24+Q24+R24</formula>
    </cfRule>
    <cfRule type="cellIs" dxfId="85" priority="88" operator="notEqual">
      <formula>I24+J24+K24+L24+M24</formula>
    </cfRule>
  </conditionalFormatting>
  <conditionalFormatting sqref="C27">
    <cfRule type="cellIs" dxfId="84" priority="32" operator="notEqual">
      <formula>$AA$27</formula>
    </cfRule>
    <cfRule type="cellIs" dxfId="83" priority="85" operator="notEqual">
      <formula>N27+O27+P27+Q27+R27</formula>
    </cfRule>
    <cfRule type="cellIs" dxfId="82" priority="86" operator="notEqual">
      <formula>I27+J27+K27+L27+M27</formula>
    </cfRule>
  </conditionalFormatting>
  <conditionalFormatting sqref="C28">
    <cfRule type="cellIs" dxfId="81" priority="31" operator="notEqual">
      <formula>$AA$28</formula>
    </cfRule>
    <cfRule type="cellIs" dxfId="80" priority="83" operator="notEqual">
      <formula>N28+O28+P28+Q28+R28</formula>
    </cfRule>
    <cfRule type="cellIs" dxfId="79" priority="84" operator="notEqual">
      <formula>I28+J28+K28+L28+M28</formula>
    </cfRule>
  </conditionalFormatting>
  <conditionalFormatting sqref="C29">
    <cfRule type="cellIs" dxfId="78" priority="30" operator="notEqual">
      <formula>$AA$29</formula>
    </cfRule>
    <cfRule type="cellIs" dxfId="77" priority="81" operator="notEqual">
      <formula>N29+O29+P29+Q29+R29</formula>
    </cfRule>
    <cfRule type="cellIs" dxfId="76" priority="82" operator="notEqual">
      <formula>I29+J29+K29+L29+M29</formula>
    </cfRule>
  </conditionalFormatting>
  <conditionalFormatting sqref="C30">
    <cfRule type="cellIs" dxfId="75" priority="29" operator="notEqual">
      <formula>$AA$30</formula>
    </cfRule>
    <cfRule type="cellIs" dxfId="74" priority="79" operator="notEqual">
      <formula>N30+O30+P30+Q30+R30</formula>
    </cfRule>
    <cfRule type="cellIs" dxfId="73" priority="80" operator="notEqual">
      <formula>I30+J30+K30+L30+M30</formula>
    </cfRule>
  </conditionalFormatting>
  <conditionalFormatting sqref="C31">
    <cfRule type="cellIs" dxfId="72" priority="28" operator="notEqual">
      <formula>$AA$31</formula>
    </cfRule>
    <cfRule type="cellIs" dxfId="71" priority="77" operator="notEqual">
      <formula>N31+O31+P31+Q31+R31</formula>
    </cfRule>
    <cfRule type="cellIs" dxfId="70" priority="78" operator="notEqual">
      <formula>I31+J31+K31+L31+M31</formula>
    </cfRule>
  </conditionalFormatting>
  <conditionalFormatting sqref="C32">
    <cfRule type="cellIs" dxfId="69" priority="27" operator="notEqual">
      <formula>$AA$32</formula>
    </cfRule>
    <cfRule type="cellIs" dxfId="68" priority="75" operator="notEqual">
      <formula>N32+O32+P32+Q32+R32</formula>
    </cfRule>
    <cfRule type="cellIs" dxfId="67" priority="76" operator="notEqual">
      <formula>I32+J32+K32+L32+M32</formula>
    </cfRule>
  </conditionalFormatting>
  <conditionalFormatting sqref="C34">
    <cfRule type="cellIs" dxfId="66" priority="73" operator="notEqual">
      <formula>N34+O34+P34+Q34+R34</formula>
    </cfRule>
    <cfRule type="cellIs" dxfId="65" priority="74" operator="notEqual">
      <formula>I34+J34+K34+L34+M34</formula>
    </cfRule>
  </conditionalFormatting>
  <conditionalFormatting sqref="C35">
    <cfRule type="cellIs" dxfId="64" priority="71" operator="notEqual">
      <formula>N35+O35+P35+Q35+R35</formula>
    </cfRule>
    <cfRule type="cellIs" dxfId="63" priority="72" operator="notEqual">
      <formula>I35+J35+K35+L35+M35</formula>
    </cfRule>
  </conditionalFormatting>
  <conditionalFormatting sqref="C36">
    <cfRule type="cellIs" dxfId="62" priority="69" operator="notEqual">
      <formula>N36+O36+P36+Q36+R36</formula>
    </cfRule>
    <cfRule type="cellIs" dxfId="61" priority="70" operator="notEqual">
      <formula>I36+J36+K36+L36+M36</formula>
    </cfRule>
  </conditionalFormatting>
  <conditionalFormatting sqref="C37">
    <cfRule type="cellIs" dxfId="60" priority="67" operator="notEqual">
      <formula>N37+O37+P37+Q37+R37</formula>
    </cfRule>
    <cfRule type="cellIs" dxfId="59" priority="68" operator="notEqual">
      <formula>I37+J37+K37+L37+M37</formula>
    </cfRule>
  </conditionalFormatting>
  <conditionalFormatting sqref="C38">
    <cfRule type="cellIs" dxfId="58" priority="65" operator="notEqual">
      <formula>N38+O38+P38+Q38+R38</formula>
    </cfRule>
    <cfRule type="cellIs" dxfId="57" priority="66" operator="notEqual">
      <formula>I38+J38+K38+L38+M38</formula>
    </cfRule>
  </conditionalFormatting>
  <conditionalFormatting sqref="C39">
    <cfRule type="cellIs" dxfId="56" priority="63" operator="notEqual">
      <formula>N39+O39+P39+Q39+R39</formula>
    </cfRule>
    <cfRule type="cellIs" dxfId="55" priority="64" operator="notEqual">
      <formula>I39+J39+K39+L39+M39</formula>
    </cfRule>
  </conditionalFormatting>
  <conditionalFormatting sqref="T8">
    <cfRule type="cellIs" dxfId="54" priority="62" operator="notEqual">
      <formula>$AB$8</formula>
    </cfRule>
  </conditionalFormatting>
  <conditionalFormatting sqref="U8">
    <cfRule type="cellIs" dxfId="53" priority="61" operator="notEqual">
      <formula>$AC$8</formula>
    </cfRule>
  </conditionalFormatting>
  <conditionalFormatting sqref="V8">
    <cfRule type="cellIs" dxfId="52" priority="60" operator="notEqual">
      <formula>$AD$8</formula>
    </cfRule>
  </conditionalFormatting>
  <conditionalFormatting sqref="W8">
    <cfRule type="cellIs" dxfId="51" priority="59" operator="notEqual">
      <formula>$AE$8</formula>
    </cfRule>
  </conditionalFormatting>
  <conditionalFormatting sqref="X8">
    <cfRule type="cellIs" dxfId="50" priority="58" operator="notEqual">
      <formula>$AF$8</formula>
    </cfRule>
  </conditionalFormatting>
  <conditionalFormatting sqref="N8">
    <cfRule type="cellIs" dxfId="49" priority="57" operator="notEqual">
      <formula>$AB$9</formula>
    </cfRule>
  </conditionalFormatting>
  <conditionalFormatting sqref="O8">
    <cfRule type="cellIs" dxfId="48" priority="56" operator="notEqual">
      <formula>$AC$9</formula>
    </cfRule>
  </conditionalFormatting>
  <conditionalFormatting sqref="P8">
    <cfRule type="cellIs" dxfId="47" priority="55" operator="notEqual">
      <formula>$AD$9</formula>
    </cfRule>
  </conditionalFormatting>
  <conditionalFormatting sqref="Q8">
    <cfRule type="cellIs" dxfId="46" priority="54" operator="notEqual">
      <formula>$AE$9</formula>
    </cfRule>
  </conditionalFormatting>
  <conditionalFormatting sqref="R8">
    <cfRule type="cellIs" dxfId="45" priority="53" operator="notEqual">
      <formula>$AF$9</formula>
    </cfRule>
  </conditionalFormatting>
  <conditionalFormatting sqref="E33">
    <cfRule type="cellIs" dxfId="44" priority="51" operator="notEqual">
      <formula>$E$26</formula>
    </cfRule>
  </conditionalFormatting>
  <conditionalFormatting sqref="G33">
    <cfRule type="cellIs" dxfId="43" priority="50" operator="notEqual">
      <formula>$G$26</formula>
    </cfRule>
  </conditionalFormatting>
  <conditionalFormatting sqref="J33">
    <cfRule type="cellIs" dxfId="42" priority="49" operator="notEqual">
      <formula>$J$26</formula>
    </cfRule>
  </conditionalFormatting>
  <conditionalFormatting sqref="K33">
    <cfRule type="cellIs" dxfId="41" priority="48" operator="notEqual">
      <formula>$K$26</formula>
    </cfRule>
  </conditionalFormatting>
  <conditionalFormatting sqref="L33">
    <cfRule type="cellIs" dxfId="40" priority="47" operator="notEqual">
      <formula>$L$26</formula>
    </cfRule>
  </conditionalFormatting>
  <conditionalFormatting sqref="M33">
    <cfRule type="cellIs" dxfId="39" priority="46" operator="notEqual">
      <formula>$M$26</formula>
    </cfRule>
  </conditionalFormatting>
  <conditionalFormatting sqref="N33">
    <cfRule type="cellIs" dxfId="38" priority="45" operator="notEqual">
      <formula>$N$26</formula>
    </cfRule>
  </conditionalFormatting>
  <conditionalFormatting sqref="O33">
    <cfRule type="cellIs" dxfId="37" priority="44" operator="notEqual">
      <formula>$O$26</formula>
    </cfRule>
  </conditionalFormatting>
  <conditionalFormatting sqref="P33">
    <cfRule type="cellIs" dxfId="36" priority="43" operator="notEqual">
      <formula>$P$26</formula>
    </cfRule>
  </conditionalFormatting>
  <conditionalFormatting sqref="Q33">
    <cfRule type="cellIs" dxfId="35" priority="42" operator="notEqual">
      <formula>$Q$26</formula>
    </cfRule>
  </conditionalFormatting>
  <conditionalFormatting sqref="R33">
    <cfRule type="cellIs" dxfId="34" priority="41" operator="notEqual">
      <formula>$R$26</formula>
    </cfRule>
  </conditionalFormatting>
  <conditionalFormatting sqref="S33">
    <cfRule type="cellIs" dxfId="33" priority="40" operator="notEqual">
      <formula>$S$26</formula>
    </cfRule>
  </conditionalFormatting>
  <conditionalFormatting sqref="T33">
    <cfRule type="cellIs" dxfId="32" priority="39" operator="notEqual">
      <formula>$T$26</formula>
    </cfRule>
  </conditionalFormatting>
  <conditionalFormatting sqref="U33">
    <cfRule type="cellIs" dxfId="31" priority="38" operator="notEqual">
      <formula>$U$26</formula>
    </cfRule>
  </conditionalFormatting>
  <conditionalFormatting sqref="V33">
    <cfRule type="cellIs" dxfId="30" priority="37" operator="notEqual">
      <formula>$V$26</formula>
    </cfRule>
  </conditionalFormatting>
  <conditionalFormatting sqref="W33">
    <cfRule type="cellIs" dxfId="29" priority="36" operator="notEqual">
      <formula>$W$26</formula>
    </cfRule>
  </conditionalFormatting>
  <conditionalFormatting sqref="X33">
    <cfRule type="cellIs" dxfId="28" priority="35" operator="notEqual">
      <formula>$X$26</formula>
    </cfRule>
  </conditionalFormatting>
  <conditionalFormatting sqref="Y33">
    <cfRule type="cellIs" dxfId="27" priority="34" operator="notEqual">
      <formula>$Y$26</formula>
    </cfRule>
  </conditionalFormatting>
  <conditionalFormatting sqref="Z33">
    <cfRule type="cellIs" dxfId="26" priority="33" operator="notEqual">
      <formula>$Z$26</formula>
    </cfRule>
  </conditionalFormatting>
  <conditionalFormatting sqref="E21">
    <cfRule type="cellIs" dxfId="25" priority="24" operator="notEqual">
      <formula>$AB$21</formula>
    </cfRule>
  </conditionalFormatting>
  <conditionalFormatting sqref="E23">
    <cfRule type="cellIs" dxfId="24" priority="23" operator="notEqual">
      <formula>$AB$23</formula>
    </cfRule>
  </conditionalFormatting>
  <conditionalFormatting sqref="G21">
    <cfRule type="cellIs" dxfId="23" priority="22" operator="notEqual">
      <formula>$AC$21</formula>
    </cfRule>
  </conditionalFormatting>
  <conditionalFormatting sqref="G23">
    <cfRule type="cellIs" dxfId="22" priority="21" operator="notEqual">
      <formula>$AC$23</formula>
    </cfRule>
  </conditionalFormatting>
  <conditionalFormatting sqref="G27">
    <cfRule type="cellIs" dxfId="21" priority="20" operator="notEqual">
      <formula>$AC$27</formula>
    </cfRule>
  </conditionalFormatting>
  <conditionalFormatting sqref="G28">
    <cfRule type="cellIs" dxfId="20" priority="19" operator="notEqual">
      <formula>$AC$28</formula>
    </cfRule>
  </conditionalFormatting>
  <conditionalFormatting sqref="G29">
    <cfRule type="cellIs" dxfId="19" priority="18" operator="notEqual">
      <formula>$AC$29</formula>
    </cfRule>
  </conditionalFormatting>
  <conditionalFormatting sqref="G30">
    <cfRule type="cellIs" dxfId="18" priority="17" operator="notEqual">
      <formula>$AC$30</formula>
    </cfRule>
  </conditionalFormatting>
  <conditionalFormatting sqref="G31">
    <cfRule type="cellIs" dxfId="17" priority="16" operator="notEqual">
      <formula>$AC$31</formula>
    </cfRule>
  </conditionalFormatting>
  <conditionalFormatting sqref="G32">
    <cfRule type="cellIs" dxfId="16" priority="15" operator="notEqual">
      <formula>$AC$32</formula>
    </cfRule>
  </conditionalFormatting>
  <conditionalFormatting sqref="E27">
    <cfRule type="cellIs" dxfId="15" priority="14" operator="notEqual">
      <formula>$AB$27</formula>
    </cfRule>
  </conditionalFormatting>
  <conditionalFormatting sqref="E28">
    <cfRule type="cellIs" dxfId="14" priority="13" operator="notEqual">
      <formula>$AB$28</formula>
    </cfRule>
  </conditionalFormatting>
  <conditionalFormatting sqref="E29">
    <cfRule type="cellIs" dxfId="13" priority="12" operator="notEqual">
      <formula>$AB$29</formula>
    </cfRule>
  </conditionalFormatting>
  <conditionalFormatting sqref="E30">
    <cfRule type="cellIs" dxfId="12" priority="11" operator="notEqual">
      <formula>$AB$30</formula>
    </cfRule>
  </conditionalFormatting>
  <conditionalFormatting sqref="E31">
    <cfRule type="cellIs" dxfId="11" priority="10" operator="notEqual">
      <formula>$AB$31</formula>
    </cfRule>
  </conditionalFormatting>
  <conditionalFormatting sqref="E32">
    <cfRule type="cellIs" dxfId="10" priority="9" operator="notEqual">
      <formula>$AB$32</formula>
    </cfRule>
  </conditionalFormatting>
  <conditionalFormatting sqref="E11">
    <cfRule type="cellIs" dxfId="9" priority="6" operator="notEqual">
      <formula>$AB$11</formula>
    </cfRule>
  </conditionalFormatting>
  <conditionalFormatting sqref="G11">
    <cfRule type="cellIs" dxfId="8" priority="5" operator="notEqual">
      <formula>$AC$11</formula>
    </cfRule>
  </conditionalFormatting>
  <conditionalFormatting sqref="E16">
    <cfRule type="cellIs" dxfId="7" priority="4" operator="notEqual">
      <formula>$AB$16</formula>
    </cfRule>
  </conditionalFormatting>
  <conditionalFormatting sqref="G16">
    <cfRule type="cellIs" dxfId="6" priority="3" operator="notEqual">
      <formula>$AC$16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106"/>
  <sheetViews>
    <sheetView zoomScale="85" zoomScaleNormal="85" zoomScaleSheetLayoutView="75" workbookViewId="0">
      <pane xSplit="7" ySplit="8" topLeftCell="H9" activePane="bottomRight" state="frozen"/>
      <selection activeCell="C73" sqref="C73"/>
      <selection pane="topRight" activeCell="C73" sqref="C73"/>
      <selection pane="bottomLeft" activeCell="C73" sqref="C73"/>
      <selection pane="bottomRight" activeCell="I10" sqref="I10"/>
    </sheetView>
  </sheetViews>
  <sheetFormatPr defaultRowHeight="12.75"/>
  <cols>
    <col min="1" max="1" width="5.140625" style="561" customWidth="1"/>
    <col min="2" max="2" width="43.42578125" style="561" customWidth="1"/>
    <col min="3" max="3" width="14.140625" style="561" customWidth="1"/>
    <col min="4" max="6" width="10.140625" style="561" customWidth="1"/>
    <col min="7" max="8" width="14.28515625" style="561" customWidth="1"/>
    <col min="9" max="19" width="13.85546875" style="561" customWidth="1"/>
    <col min="20" max="20" width="8.28515625" style="561" customWidth="1"/>
    <col min="21" max="21" width="10.140625" style="561" customWidth="1"/>
    <col min="22" max="22" width="14" style="607" customWidth="1"/>
    <col min="23" max="23" width="9.85546875" style="561" customWidth="1"/>
    <col min="24" max="24" width="14" style="561" customWidth="1"/>
    <col min="25" max="25" width="13.28515625" style="561" customWidth="1"/>
    <col min="26" max="26" width="14.7109375" style="561" customWidth="1"/>
    <col min="27" max="27" width="17.140625" style="641" customWidth="1"/>
    <col min="28" max="16384" width="9.140625" style="561"/>
  </cols>
  <sheetData>
    <row r="1" spans="1:28" ht="20.25">
      <c r="A1" s="713" t="s">
        <v>897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Y1" s="633" t="s">
        <v>896</v>
      </c>
    </row>
    <row r="2" spans="1:28">
      <c r="A2" s="632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Q2" s="631"/>
      <c r="R2" s="631"/>
      <c r="S2" s="631"/>
      <c r="T2" s="631"/>
    </row>
    <row r="3" spans="1:28" ht="15.75">
      <c r="A3" s="583"/>
      <c r="B3" s="630" t="str">
        <f>+'Asset quality'!B3</f>
        <v>"Микрокредитбанк"</v>
      </c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714"/>
      <c r="O3" s="714"/>
      <c r="P3" s="714"/>
      <c r="Q3" s="583"/>
      <c r="R3" s="583"/>
      <c r="T3" s="629"/>
      <c r="U3" s="714">
        <f>+'Asset quality'!P3</f>
        <v>44560</v>
      </c>
      <c r="V3" s="714" t="e">
        <f>+#REF!</f>
        <v>#REF!</v>
      </c>
      <c r="W3" s="714"/>
      <c r="Y3" s="712" t="s">
        <v>382</v>
      </c>
      <c r="Z3" s="712"/>
    </row>
    <row r="4" spans="1:28" ht="27.75" customHeight="1">
      <c r="A4" s="715" t="s">
        <v>83</v>
      </c>
      <c r="B4" s="715" t="s">
        <v>895</v>
      </c>
      <c r="C4" s="704" t="s">
        <v>894</v>
      </c>
      <c r="D4" s="704" t="s">
        <v>893</v>
      </c>
      <c r="E4" s="704" t="s">
        <v>892</v>
      </c>
      <c r="F4" s="704" t="s">
        <v>891</v>
      </c>
      <c r="G4" s="704" t="s">
        <v>890</v>
      </c>
      <c r="H4" s="707" t="s">
        <v>90</v>
      </c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4" t="s">
        <v>889</v>
      </c>
      <c r="U4" s="720" t="s">
        <v>888</v>
      </c>
      <c r="V4" s="721"/>
      <c r="W4" s="704" t="s">
        <v>887</v>
      </c>
      <c r="X4" s="704" t="s">
        <v>886</v>
      </c>
      <c r="Y4" s="704" t="s">
        <v>885</v>
      </c>
      <c r="Z4" s="704" t="s">
        <v>884</v>
      </c>
      <c r="AB4" s="607"/>
    </row>
    <row r="5" spans="1:28" ht="27.75" customHeight="1">
      <c r="A5" s="716"/>
      <c r="B5" s="716"/>
      <c r="C5" s="705"/>
      <c r="D5" s="705"/>
      <c r="E5" s="705"/>
      <c r="F5" s="705"/>
      <c r="G5" s="705"/>
      <c r="H5" s="707" t="s">
        <v>883</v>
      </c>
      <c r="I5" s="708"/>
      <c r="J5" s="708"/>
      <c r="K5" s="708"/>
      <c r="L5" s="707" t="s">
        <v>882</v>
      </c>
      <c r="M5" s="708"/>
      <c r="N5" s="708"/>
      <c r="O5" s="708"/>
      <c r="P5" s="708"/>
      <c r="Q5" s="708"/>
      <c r="R5" s="708"/>
      <c r="S5" s="708"/>
      <c r="T5" s="705"/>
      <c r="U5" s="722"/>
      <c r="V5" s="723"/>
      <c r="W5" s="705"/>
      <c r="X5" s="705"/>
      <c r="Y5" s="705"/>
      <c r="Z5" s="705"/>
      <c r="AB5" s="607"/>
    </row>
    <row r="6" spans="1:28" ht="108.75" customHeight="1">
      <c r="A6" s="716"/>
      <c r="B6" s="716"/>
      <c r="C6" s="705"/>
      <c r="D6" s="705"/>
      <c r="E6" s="705"/>
      <c r="F6" s="705"/>
      <c r="G6" s="705"/>
      <c r="H6" s="704" t="s">
        <v>881</v>
      </c>
      <c r="I6" s="704" t="s">
        <v>880</v>
      </c>
      <c r="J6" s="704" t="s">
        <v>879</v>
      </c>
      <c r="K6" s="704" t="s">
        <v>875</v>
      </c>
      <c r="L6" s="709" t="s">
        <v>878</v>
      </c>
      <c r="M6" s="710"/>
      <c r="N6" s="709" t="s">
        <v>877</v>
      </c>
      <c r="O6" s="710"/>
      <c r="P6" s="709" t="s">
        <v>876</v>
      </c>
      <c r="Q6" s="710"/>
      <c r="R6" s="709" t="s">
        <v>875</v>
      </c>
      <c r="S6" s="710"/>
      <c r="T6" s="705"/>
      <c r="U6" s="704" t="s">
        <v>874</v>
      </c>
      <c r="V6" s="704" t="s">
        <v>577</v>
      </c>
      <c r="W6" s="705"/>
      <c r="X6" s="705"/>
      <c r="Y6" s="705"/>
      <c r="Z6" s="705"/>
      <c r="AB6" s="607"/>
    </row>
    <row r="7" spans="1:28" ht="41.25" customHeight="1">
      <c r="A7" s="717"/>
      <c r="B7" s="717"/>
      <c r="C7" s="706"/>
      <c r="D7" s="706"/>
      <c r="E7" s="706"/>
      <c r="F7" s="706"/>
      <c r="G7" s="706"/>
      <c r="H7" s="706"/>
      <c r="I7" s="706"/>
      <c r="J7" s="706"/>
      <c r="K7" s="706"/>
      <c r="L7" s="628" t="s">
        <v>873</v>
      </c>
      <c r="M7" s="628" t="s">
        <v>872</v>
      </c>
      <c r="N7" s="628" t="s">
        <v>873</v>
      </c>
      <c r="O7" s="628" t="s">
        <v>872</v>
      </c>
      <c r="P7" s="628" t="s">
        <v>873</v>
      </c>
      <c r="Q7" s="628" t="s">
        <v>872</v>
      </c>
      <c r="R7" s="628" t="s">
        <v>873</v>
      </c>
      <c r="S7" s="628" t="s">
        <v>872</v>
      </c>
      <c r="T7" s="706"/>
      <c r="U7" s="706"/>
      <c r="V7" s="706"/>
      <c r="W7" s="706"/>
      <c r="X7" s="706"/>
      <c r="Y7" s="706"/>
      <c r="Z7" s="706"/>
      <c r="AB7" s="607"/>
    </row>
    <row r="8" spans="1:28" s="626" customFormat="1" ht="15">
      <c r="A8" s="606"/>
      <c r="B8" s="606" t="s">
        <v>182</v>
      </c>
      <c r="C8" s="606" t="s">
        <v>183</v>
      </c>
      <c r="D8" s="606" t="s">
        <v>195</v>
      </c>
      <c r="E8" s="606" t="s">
        <v>184</v>
      </c>
      <c r="F8" s="606" t="s">
        <v>185</v>
      </c>
      <c r="G8" s="605" t="s">
        <v>196</v>
      </c>
      <c r="H8" s="606" t="s">
        <v>871</v>
      </c>
      <c r="I8" s="606" t="s">
        <v>870</v>
      </c>
      <c r="J8" s="606" t="s">
        <v>869</v>
      </c>
      <c r="K8" s="606" t="s">
        <v>868</v>
      </c>
      <c r="L8" s="718" t="s">
        <v>867</v>
      </c>
      <c r="M8" s="719"/>
      <c r="N8" s="718" t="s">
        <v>866</v>
      </c>
      <c r="O8" s="719"/>
      <c r="P8" s="718" t="s">
        <v>865</v>
      </c>
      <c r="Q8" s="719"/>
      <c r="R8" s="718" t="s">
        <v>864</v>
      </c>
      <c r="S8" s="719"/>
      <c r="T8" s="606" t="s">
        <v>186</v>
      </c>
      <c r="U8" s="606" t="s">
        <v>187</v>
      </c>
      <c r="V8" s="606" t="s">
        <v>188</v>
      </c>
      <c r="W8" s="606" t="s">
        <v>189</v>
      </c>
      <c r="X8" s="606" t="s">
        <v>190</v>
      </c>
      <c r="Y8" s="606" t="s">
        <v>191</v>
      </c>
      <c r="Z8" s="606" t="s">
        <v>192</v>
      </c>
      <c r="AA8" s="642"/>
      <c r="AB8" s="627"/>
    </row>
    <row r="9" spans="1:28" s="617" customFormat="1">
      <c r="A9" s="623">
        <v>1</v>
      </c>
      <c r="B9" s="619" t="s">
        <v>904</v>
      </c>
      <c r="C9" s="619" t="s">
        <v>905</v>
      </c>
      <c r="D9" s="619" t="s">
        <v>683</v>
      </c>
      <c r="E9" s="622" t="s">
        <v>906</v>
      </c>
      <c r="F9" s="622">
        <v>1</v>
      </c>
      <c r="G9" s="621">
        <f t="shared" ref="G9:G40" si="0">+H9+I9+J9+K9+M9+O9+Q9+S9</f>
        <v>208306.74278</v>
      </c>
      <c r="H9" s="60"/>
      <c r="I9" s="60">
        <v>208306.74278</v>
      </c>
      <c r="J9" s="60"/>
      <c r="K9" s="60"/>
      <c r="L9" s="60"/>
      <c r="M9" s="60"/>
      <c r="N9" s="620"/>
      <c r="O9" s="60"/>
      <c r="P9" s="60"/>
      <c r="Q9" s="624"/>
      <c r="R9" s="624"/>
      <c r="S9" s="624"/>
      <c r="T9" s="624"/>
      <c r="U9" s="624"/>
      <c r="V9" s="624"/>
      <c r="W9" s="624"/>
      <c r="X9" s="624"/>
      <c r="Y9" s="624"/>
      <c r="Z9" s="618">
        <f t="shared" ref="Z9:Z40" si="1">+G9-V9-X9</f>
        <v>208306.74278</v>
      </c>
      <c r="AA9" s="640">
        <f>SUMIF($F$9:$F$63,$F9,$Z$9:$Z$63)</f>
        <v>2156652.4212900004</v>
      </c>
    </row>
    <row r="10" spans="1:28" s="617" customFormat="1">
      <c r="A10" s="623">
        <v>2</v>
      </c>
      <c r="B10" s="619" t="s">
        <v>949</v>
      </c>
      <c r="C10" s="619" t="s">
        <v>950</v>
      </c>
      <c r="D10" s="619" t="s">
        <v>683</v>
      </c>
      <c r="E10" s="622" t="s">
        <v>906</v>
      </c>
      <c r="F10" s="622">
        <v>1</v>
      </c>
      <c r="G10" s="621">
        <f t="shared" si="0"/>
        <v>200445.7959</v>
      </c>
      <c r="H10" s="60"/>
      <c r="I10" s="60">
        <v>200445.7959</v>
      </c>
      <c r="J10" s="60"/>
      <c r="K10" s="60"/>
      <c r="L10" s="60"/>
      <c r="M10" s="60"/>
      <c r="N10" s="620"/>
      <c r="O10" s="60"/>
      <c r="P10" s="60"/>
      <c r="Q10" s="624"/>
      <c r="R10" s="624"/>
      <c r="S10" s="624"/>
      <c r="T10" s="624"/>
      <c r="U10" s="624"/>
      <c r="V10" s="624"/>
      <c r="W10" s="624"/>
      <c r="X10" s="624"/>
      <c r="Y10" s="624"/>
      <c r="Z10" s="618">
        <f t="shared" si="1"/>
        <v>200445.7959</v>
      </c>
      <c r="AA10" s="640">
        <f t="shared" ref="AA10:AA63" si="2">SUMIF($F$9:$F$63,$F10,$Z$9:$Z$63)</f>
        <v>2156652.4212900004</v>
      </c>
    </row>
    <row r="11" spans="1:28" s="617" customFormat="1">
      <c r="A11" s="623">
        <v>3</v>
      </c>
      <c r="B11" s="619" t="s">
        <v>955</v>
      </c>
      <c r="C11" s="619" t="s">
        <v>956</v>
      </c>
      <c r="D11" s="619" t="s">
        <v>683</v>
      </c>
      <c r="E11" s="622" t="s">
        <v>906</v>
      </c>
      <c r="F11" s="622">
        <v>1</v>
      </c>
      <c r="G11" s="621">
        <f t="shared" si="0"/>
        <v>87128.078599999993</v>
      </c>
      <c r="H11" s="60"/>
      <c r="I11" s="60">
        <v>87128.078599999993</v>
      </c>
      <c r="J11" s="60"/>
      <c r="K11" s="60"/>
      <c r="L11" s="60"/>
      <c r="M11" s="60"/>
      <c r="N11" s="620"/>
      <c r="O11" s="60"/>
      <c r="P11" s="60"/>
      <c r="Q11" s="624"/>
      <c r="R11" s="624"/>
      <c r="S11" s="619"/>
      <c r="T11" s="619"/>
      <c r="U11" s="624"/>
      <c r="V11" s="624"/>
      <c r="W11" s="619"/>
      <c r="X11" s="624"/>
      <c r="Y11" s="619"/>
      <c r="Z11" s="618">
        <f t="shared" si="1"/>
        <v>87128.078599999993</v>
      </c>
      <c r="AA11" s="640">
        <f t="shared" si="2"/>
        <v>2156652.4212900004</v>
      </c>
    </row>
    <row r="12" spans="1:28" s="617" customFormat="1">
      <c r="A12" s="623">
        <v>4</v>
      </c>
      <c r="B12" s="619" t="s">
        <v>961</v>
      </c>
      <c r="C12" s="619" t="s">
        <v>962</v>
      </c>
      <c r="D12" s="619" t="s">
        <v>683</v>
      </c>
      <c r="E12" s="622" t="s">
        <v>906</v>
      </c>
      <c r="F12" s="622">
        <v>1</v>
      </c>
      <c r="G12" s="621">
        <f t="shared" si="0"/>
        <v>87128.078599999993</v>
      </c>
      <c r="H12" s="60"/>
      <c r="I12" s="60">
        <v>87128.078599999993</v>
      </c>
      <c r="J12" s="60"/>
      <c r="K12" s="60"/>
      <c r="L12" s="60"/>
      <c r="M12" s="60"/>
      <c r="N12" s="620"/>
      <c r="O12" s="60"/>
      <c r="P12" s="60"/>
      <c r="Q12" s="624"/>
      <c r="R12" s="624"/>
      <c r="S12" s="619"/>
      <c r="T12" s="619"/>
      <c r="U12" s="624"/>
      <c r="V12" s="624"/>
      <c r="W12" s="619"/>
      <c r="X12" s="624"/>
      <c r="Y12" s="619"/>
      <c r="Z12" s="618">
        <f t="shared" si="1"/>
        <v>87128.078599999993</v>
      </c>
      <c r="AA12" s="640">
        <f t="shared" si="2"/>
        <v>2156652.4212900004</v>
      </c>
    </row>
    <row r="13" spans="1:28" s="617" customFormat="1">
      <c r="A13" s="623">
        <v>5</v>
      </c>
      <c r="B13" s="619" t="s">
        <v>975</v>
      </c>
      <c r="C13" s="619" t="s">
        <v>976</v>
      </c>
      <c r="D13" s="619" t="s">
        <v>683</v>
      </c>
      <c r="E13" s="622" t="s">
        <v>906</v>
      </c>
      <c r="F13" s="622">
        <v>1</v>
      </c>
      <c r="G13" s="621">
        <f t="shared" si="0"/>
        <v>83899.462750000006</v>
      </c>
      <c r="H13" s="619"/>
      <c r="I13" s="60">
        <v>83899.462750000006</v>
      </c>
      <c r="J13" s="619"/>
      <c r="K13" s="619"/>
      <c r="L13" s="619"/>
      <c r="M13" s="60"/>
      <c r="N13" s="620"/>
      <c r="O13" s="60"/>
      <c r="P13" s="60"/>
      <c r="Q13" s="624"/>
      <c r="R13" s="624"/>
      <c r="S13" s="619"/>
      <c r="T13" s="619"/>
      <c r="U13" s="624"/>
      <c r="V13" s="624"/>
      <c r="W13" s="619"/>
      <c r="X13" s="624"/>
      <c r="Y13" s="619"/>
      <c r="Z13" s="618">
        <f t="shared" si="1"/>
        <v>83899.462750000006</v>
      </c>
      <c r="AA13" s="640">
        <f t="shared" si="2"/>
        <v>2156652.4212900004</v>
      </c>
    </row>
    <row r="14" spans="1:28" s="617" customFormat="1">
      <c r="A14" s="623">
        <v>6</v>
      </c>
      <c r="B14" s="619" t="s">
        <v>953</v>
      </c>
      <c r="C14" s="619" t="s">
        <v>954</v>
      </c>
      <c r="D14" s="619" t="s">
        <v>683</v>
      </c>
      <c r="E14" s="622" t="s">
        <v>906</v>
      </c>
      <c r="F14" s="622">
        <v>1</v>
      </c>
      <c r="G14" s="621">
        <f t="shared" si="0"/>
        <v>82196.3</v>
      </c>
      <c r="H14" s="60"/>
      <c r="I14" s="60">
        <v>82196.3</v>
      </c>
      <c r="J14" s="60"/>
      <c r="K14" s="60"/>
      <c r="L14" s="60"/>
      <c r="M14" s="60"/>
      <c r="N14" s="620"/>
      <c r="O14" s="60"/>
      <c r="P14" s="60"/>
      <c r="Q14" s="624"/>
      <c r="R14" s="624"/>
      <c r="S14" s="619"/>
      <c r="T14" s="619"/>
      <c r="U14" s="624"/>
      <c r="V14" s="624"/>
      <c r="W14" s="619"/>
      <c r="X14" s="624"/>
      <c r="Y14" s="619"/>
      <c r="Z14" s="618">
        <f t="shared" si="1"/>
        <v>82196.3</v>
      </c>
      <c r="AA14" s="640">
        <f t="shared" si="2"/>
        <v>2156652.4212900004</v>
      </c>
    </row>
    <row r="15" spans="1:28" s="617" customFormat="1">
      <c r="A15" s="623">
        <v>7</v>
      </c>
      <c r="B15" s="619" t="s">
        <v>963</v>
      </c>
      <c r="C15" s="619" t="s">
        <v>964</v>
      </c>
      <c r="D15" s="619" t="s">
        <v>683</v>
      </c>
      <c r="E15" s="622" t="s">
        <v>906</v>
      </c>
      <c r="F15" s="622">
        <v>1</v>
      </c>
      <c r="G15" s="621">
        <f t="shared" si="0"/>
        <v>12976.891380000001</v>
      </c>
      <c r="H15" s="60"/>
      <c r="I15" s="60">
        <v>12976.891380000001</v>
      </c>
      <c r="J15" s="60"/>
      <c r="K15" s="60"/>
      <c r="L15" s="60"/>
      <c r="M15" s="619"/>
      <c r="N15" s="620"/>
      <c r="O15" s="620"/>
      <c r="P15" s="620"/>
      <c r="Q15" s="620"/>
      <c r="R15" s="619"/>
      <c r="S15" s="624"/>
      <c r="T15" s="624"/>
      <c r="U15" s="620"/>
      <c r="V15" s="624"/>
      <c r="W15" s="619"/>
      <c r="X15" s="624"/>
      <c r="Y15" s="624"/>
      <c r="Z15" s="618">
        <f t="shared" si="1"/>
        <v>12976.891380000001</v>
      </c>
      <c r="AA15" s="640">
        <f t="shared" si="2"/>
        <v>2156652.4212900004</v>
      </c>
    </row>
    <row r="16" spans="1:28" s="617" customFormat="1">
      <c r="A16" s="623">
        <v>8</v>
      </c>
      <c r="B16" s="619" t="s">
        <v>951</v>
      </c>
      <c r="C16" s="619" t="s">
        <v>952</v>
      </c>
      <c r="D16" s="619" t="s">
        <v>683</v>
      </c>
      <c r="E16" s="622" t="s">
        <v>906</v>
      </c>
      <c r="F16" s="622">
        <v>1</v>
      </c>
      <c r="G16" s="621">
        <f t="shared" si="0"/>
        <v>55980</v>
      </c>
      <c r="H16" s="60"/>
      <c r="I16" s="60">
        <v>55980</v>
      </c>
      <c r="J16" s="60"/>
      <c r="K16" s="60"/>
      <c r="L16" s="60"/>
      <c r="M16" s="619"/>
      <c r="N16" s="620"/>
      <c r="O16" s="620"/>
      <c r="P16" s="620"/>
      <c r="Q16" s="620"/>
      <c r="R16" s="619"/>
      <c r="S16" s="624"/>
      <c r="T16" s="624"/>
      <c r="U16" s="620"/>
      <c r="V16" s="624"/>
      <c r="W16" s="619"/>
      <c r="X16" s="624"/>
      <c r="Y16" s="624"/>
      <c r="Z16" s="618">
        <f t="shared" si="1"/>
        <v>55980</v>
      </c>
      <c r="AA16" s="640">
        <f t="shared" si="2"/>
        <v>2156652.4212900004</v>
      </c>
    </row>
    <row r="17" spans="1:27" s="617" customFormat="1">
      <c r="A17" s="623">
        <v>9</v>
      </c>
      <c r="B17" s="619" t="s">
        <v>971</v>
      </c>
      <c r="C17" s="619" t="s">
        <v>972</v>
      </c>
      <c r="D17" s="619" t="s">
        <v>683</v>
      </c>
      <c r="E17" s="622" t="s">
        <v>906</v>
      </c>
      <c r="F17" s="622">
        <v>1</v>
      </c>
      <c r="G17" s="621">
        <f t="shared" si="0"/>
        <v>76031.01595999999</v>
      </c>
      <c r="H17" s="60"/>
      <c r="I17" s="60">
        <v>76031.01595999999</v>
      </c>
      <c r="J17" s="60"/>
      <c r="K17" s="60"/>
      <c r="L17" s="60"/>
      <c r="M17" s="619"/>
      <c r="N17" s="620"/>
      <c r="O17" s="620"/>
      <c r="P17" s="620"/>
      <c r="Q17" s="620"/>
      <c r="R17" s="619"/>
      <c r="S17" s="624"/>
      <c r="T17" s="624"/>
      <c r="U17" s="620"/>
      <c r="V17" s="624"/>
      <c r="W17" s="619"/>
      <c r="X17" s="624"/>
      <c r="Y17" s="624"/>
      <c r="Z17" s="618">
        <f t="shared" si="1"/>
        <v>76031.01595999999</v>
      </c>
      <c r="AA17" s="640">
        <f t="shared" si="2"/>
        <v>2156652.4212900004</v>
      </c>
    </row>
    <row r="18" spans="1:27" s="617" customFormat="1">
      <c r="A18" s="623">
        <v>10</v>
      </c>
      <c r="B18" s="619" t="s">
        <v>973</v>
      </c>
      <c r="C18" s="619" t="s">
        <v>974</v>
      </c>
      <c r="D18" s="619" t="s">
        <v>683</v>
      </c>
      <c r="E18" s="622" t="s">
        <v>906</v>
      </c>
      <c r="F18" s="622">
        <v>1</v>
      </c>
      <c r="G18" s="621">
        <f t="shared" si="0"/>
        <v>79056.539470000003</v>
      </c>
      <c r="H18" s="60"/>
      <c r="I18" s="60">
        <v>79056.539470000003</v>
      </c>
      <c r="J18" s="60"/>
      <c r="K18" s="60"/>
      <c r="L18" s="60"/>
      <c r="M18" s="619"/>
      <c r="N18" s="620"/>
      <c r="O18" s="620"/>
      <c r="P18" s="620"/>
      <c r="Q18" s="620"/>
      <c r="R18" s="619"/>
      <c r="S18" s="624"/>
      <c r="T18" s="624"/>
      <c r="U18" s="620"/>
      <c r="V18" s="624"/>
      <c r="W18" s="619"/>
      <c r="X18" s="624"/>
      <c r="Y18" s="624"/>
      <c r="Z18" s="618">
        <f t="shared" si="1"/>
        <v>79056.539470000003</v>
      </c>
      <c r="AA18" s="640">
        <f t="shared" si="2"/>
        <v>2156652.4212900004</v>
      </c>
    </row>
    <row r="19" spans="1:27" s="617" customFormat="1">
      <c r="A19" s="623">
        <v>11</v>
      </c>
      <c r="B19" s="619" t="s">
        <v>979</v>
      </c>
      <c r="C19" s="619" t="s">
        <v>980</v>
      </c>
      <c r="D19" s="619" t="s">
        <v>683</v>
      </c>
      <c r="E19" s="622" t="s">
        <v>906</v>
      </c>
      <c r="F19" s="622">
        <v>1</v>
      </c>
      <c r="G19" s="621">
        <f t="shared" si="0"/>
        <v>74452.120120000007</v>
      </c>
      <c r="H19" s="60"/>
      <c r="I19" s="60">
        <v>74452.120120000007</v>
      </c>
      <c r="J19" s="60"/>
      <c r="K19" s="60"/>
      <c r="L19" s="60"/>
      <c r="M19" s="619"/>
      <c r="N19" s="620"/>
      <c r="O19" s="620"/>
      <c r="P19" s="620"/>
      <c r="Q19" s="620"/>
      <c r="R19" s="619"/>
      <c r="S19" s="624"/>
      <c r="T19" s="624"/>
      <c r="U19" s="624"/>
      <c r="V19" s="624"/>
      <c r="W19" s="619"/>
      <c r="X19" s="624"/>
      <c r="Y19" s="624"/>
      <c r="Z19" s="618">
        <f t="shared" si="1"/>
        <v>74452.120120000007</v>
      </c>
      <c r="AA19" s="640">
        <f t="shared" si="2"/>
        <v>2156652.4212900004</v>
      </c>
    </row>
    <row r="20" spans="1:27" s="617" customFormat="1">
      <c r="A20" s="623">
        <v>12</v>
      </c>
      <c r="B20" s="619" t="s">
        <v>957</v>
      </c>
      <c r="C20" s="619" t="s">
        <v>958</v>
      </c>
      <c r="D20" s="619" t="s">
        <v>683</v>
      </c>
      <c r="E20" s="622" t="s">
        <v>906</v>
      </c>
      <c r="F20" s="622">
        <v>1</v>
      </c>
      <c r="G20" s="621">
        <f t="shared" si="0"/>
        <v>89517.991099999999</v>
      </c>
      <c r="H20" s="60"/>
      <c r="I20" s="60">
        <v>89517.991099999999</v>
      </c>
      <c r="J20" s="60"/>
      <c r="K20" s="60"/>
      <c r="L20" s="60"/>
      <c r="M20" s="619"/>
      <c r="N20" s="620"/>
      <c r="O20" s="620"/>
      <c r="P20" s="620"/>
      <c r="Q20" s="620"/>
      <c r="R20" s="619"/>
      <c r="S20" s="624"/>
      <c r="T20" s="624"/>
      <c r="U20" s="624"/>
      <c r="V20" s="624"/>
      <c r="W20" s="619"/>
      <c r="X20" s="624"/>
      <c r="Y20" s="624"/>
      <c r="Z20" s="618">
        <f t="shared" si="1"/>
        <v>89517.991099999999</v>
      </c>
      <c r="AA20" s="640">
        <f t="shared" si="2"/>
        <v>2156652.4212900004</v>
      </c>
    </row>
    <row r="21" spans="1:27" s="617" customFormat="1">
      <c r="A21" s="623">
        <v>13</v>
      </c>
      <c r="B21" s="619" t="s">
        <v>969</v>
      </c>
      <c r="C21" s="619" t="s">
        <v>970</v>
      </c>
      <c r="D21" s="619" t="s">
        <v>683</v>
      </c>
      <c r="E21" s="622" t="s">
        <v>906</v>
      </c>
      <c r="F21" s="622">
        <v>1</v>
      </c>
      <c r="G21" s="621">
        <f t="shared" si="0"/>
        <v>59994.492229999996</v>
      </c>
      <c r="H21" s="60"/>
      <c r="I21" s="60">
        <v>59994.492229999996</v>
      </c>
      <c r="J21" s="60"/>
      <c r="K21" s="60"/>
      <c r="L21" s="60"/>
      <c r="M21" s="619"/>
      <c r="N21" s="620"/>
      <c r="O21" s="620"/>
      <c r="P21" s="620"/>
      <c r="Q21" s="620"/>
      <c r="R21" s="619"/>
      <c r="S21" s="624"/>
      <c r="T21" s="624"/>
      <c r="U21" s="624"/>
      <c r="V21" s="624"/>
      <c r="W21" s="619"/>
      <c r="X21" s="624"/>
      <c r="Y21" s="624"/>
      <c r="Z21" s="618">
        <f t="shared" si="1"/>
        <v>59994.492229999996</v>
      </c>
      <c r="AA21" s="640">
        <f t="shared" si="2"/>
        <v>2156652.4212900004</v>
      </c>
    </row>
    <row r="22" spans="1:27" s="617" customFormat="1">
      <c r="A22" s="623">
        <v>14</v>
      </c>
      <c r="B22" s="619" t="s">
        <v>965</v>
      </c>
      <c r="C22" s="619" t="s">
        <v>966</v>
      </c>
      <c r="D22" s="619" t="s">
        <v>683</v>
      </c>
      <c r="E22" s="622" t="s">
        <v>906</v>
      </c>
      <c r="F22" s="622">
        <v>1</v>
      </c>
      <c r="G22" s="621">
        <f t="shared" si="0"/>
        <v>7932.3837300000005</v>
      </c>
      <c r="H22" s="60"/>
      <c r="I22" s="60">
        <v>7932.3837300000005</v>
      </c>
      <c r="J22" s="60"/>
      <c r="K22" s="60"/>
      <c r="L22" s="60"/>
      <c r="M22" s="619"/>
      <c r="N22" s="620"/>
      <c r="O22" s="620"/>
      <c r="P22" s="620"/>
      <c r="Q22" s="620"/>
      <c r="R22" s="619"/>
      <c r="S22" s="624"/>
      <c r="T22" s="624"/>
      <c r="U22" s="624"/>
      <c r="V22" s="624"/>
      <c r="W22" s="619"/>
      <c r="X22" s="624"/>
      <c r="Y22" s="624"/>
      <c r="Z22" s="618">
        <f t="shared" si="1"/>
        <v>7932.3837300000005</v>
      </c>
      <c r="AA22" s="640">
        <f t="shared" si="2"/>
        <v>2156652.4212900004</v>
      </c>
    </row>
    <row r="23" spans="1:27" s="617" customFormat="1">
      <c r="A23" s="623">
        <v>15</v>
      </c>
      <c r="B23" s="619" t="s">
        <v>985</v>
      </c>
      <c r="C23" s="619" t="s">
        <v>986</v>
      </c>
      <c r="D23" s="619" t="s">
        <v>683</v>
      </c>
      <c r="E23" s="622" t="s">
        <v>906</v>
      </c>
      <c r="F23" s="622">
        <v>1</v>
      </c>
      <c r="G23" s="621">
        <f t="shared" si="0"/>
        <v>73173.527000000002</v>
      </c>
      <c r="H23" s="619"/>
      <c r="I23" s="60">
        <v>73173.527000000002</v>
      </c>
      <c r="J23" s="619"/>
      <c r="K23" s="619"/>
      <c r="L23" s="619"/>
      <c r="M23" s="619"/>
      <c r="N23" s="620"/>
      <c r="O23" s="620"/>
      <c r="P23" s="620"/>
      <c r="Q23" s="620"/>
      <c r="R23" s="619"/>
      <c r="S23" s="624"/>
      <c r="T23" s="624"/>
      <c r="U23" s="624"/>
      <c r="V23" s="624"/>
      <c r="W23" s="619"/>
      <c r="X23" s="624"/>
      <c r="Y23" s="624"/>
      <c r="Z23" s="618">
        <f t="shared" si="1"/>
        <v>73173.527000000002</v>
      </c>
      <c r="AA23" s="640">
        <f t="shared" si="2"/>
        <v>2156652.4212900004</v>
      </c>
    </row>
    <row r="24" spans="1:27" s="617" customFormat="1">
      <c r="A24" s="623">
        <v>16</v>
      </c>
      <c r="B24" s="619" t="s">
        <v>991</v>
      </c>
      <c r="C24" s="619" t="s">
        <v>992</v>
      </c>
      <c r="D24" s="619" t="s">
        <v>683</v>
      </c>
      <c r="E24" s="622" t="s">
        <v>906</v>
      </c>
      <c r="F24" s="622">
        <v>2</v>
      </c>
      <c r="G24" s="621">
        <f t="shared" si="0"/>
        <v>61200</v>
      </c>
      <c r="H24" s="619"/>
      <c r="I24" s="60">
        <v>61200</v>
      </c>
      <c r="J24" s="619"/>
      <c r="K24" s="619"/>
      <c r="L24" s="619"/>
      <c r="M24" s="619"/>
      <c r="N24" s="620"/>
      <c r="O24" s="620"/>
      <c r="P24" s="620"/>
      <c r="Q24" s="620"/>
      <c r="R24" s="619"/>
      <c r="S24" s="624"/>
      <c r="T24" s="624"/>
      <c r="U24" s="624"/>
      <c r="V24" s="624"/>
      <c r="W24" s="619"/>
      <c r="X24" s="624"/>
      <c r="Y24" s="624"/>
      <c r="Z24" s="618">
        <f t="shared" si="1"/>
        <v>61200</v>
      </c>
      <c r="AA24" s="640">
        <f t="shared" si="2"/>
        <v>93289.332869999998</v>
      </c>
    </row>
    <row r="25" spans="1:27" s="617" customFormat="1">
      <c r="A25" s="623">
        <v>17</v>
      </c>
      <c r="B25" s="625" t="s">
        <v>977</v>
      </c>
      <c r="C25" s="619" t="s">
        <v>978</v>
      </c>
      <c r="D25" s="619" t="s">
        <v>683</v>
      </c>
      <c r="E25" s="622" t="s">
        <v>906</v>
      </c>
      <c r="F25" s="622">
        <v>1</v>
      </c>
      <c r="G25" s="621">
        <f t="shared" si="0"/>
        <v>76225.334860000003</v>
      </c>
      <c r="H25" s="619"/>
      <c r="I25" s="60">
        <v>76225.334860000003</v>
      </c>
      <c r="J25" s="619"/>
      <c r="K25" s="619"/>
      <c r="L25" s="619"/>
      <c r="M25" s="619"/>
      <c r="N25" s="620"/>
      <c r="O25" s="620"/>
      <c r="P25" s="620"/>
      <c r="Q25" s="620"/>
      <c r="R25" s="619"/>
      <c r="S25" s="624"/>
      <c r="T25" s="624"/>
      <c r="U25" s="624"/>
      <c r="V25" s="624"/>
      <c r="W25" s="619"/>
      <c r="X25" s="624"/>
      <c r="Y25" s="624"/>
      <c r="Z25" s="618">
        <f t="shared" si="1"/>
        <v>76225.334860000003</v>
      </c>
      <c r="AA25" s="640">
        <f t="shared" si="2"/>
        <v>2156652.4212900004</v>
      </c>
    </row>
    <row r="26" spans="1:27" s="617" customFormat="1">
      <c r="A26" s="623">
        <v>18</v>
      </c>
      <c r="B26" s="625" t="s">
        <v>989</v>
      </c>
      <c r="C26" s="619" t="s">
        <v>990</v>
      </c>
      <c r="D26" s="619" t="s">
        <v>683</v>
      </c>
      <c r="E26" s="622" t="s">
        <v>906</v>
      </c>
      <c r="F26" s="622">
        <v>3</v>
      </c>
      <c r="G26" s="621">
        <f t="shared" si="0"/>
        <v>58000.001120000001</v>
      </c>
      <c r="H26" s="619"/>
      <c r="I26" s="60">
        <v>58000.001120000001</v>
      </c>
      <c r="J26" s="619"/>
      <c r="K26" s="619"/>
      <c r="L26" s="619"/>
      <c r="M26" s="619"/>
      <c r="N26" s="620"/>
      <c r="O26" s="620"/>
      <c r="P26" s="620"/>
      <c r="Q26" s="620"/>
      <c r="R26" s="619"/>
      <c r="S26" s="619"/>
      <c r="T26" s="619"/>
      <c r="U26" s="619"/>
      <c r="V26" s="619"/>
      <c r="W26" s="619"/>
      <c r="X26" s="624"/>
      <c r="Y26" s="619"/>
      <c r="Z26" s="618">
        <f t="shared" si="1"/>
        <v>58000.001120000001</v>
      </c>
      <c r="AA26" s="640">
        <f t="shared" si="2"/>
        <v>58000.001120000001</v>
      </c>
    </row>
    <row r="27" spans="1:27" s="617" customFormat="1">
      <c r="A27" s="623">
        <v>19</v>
      </c>
      <c r="B27" s="625" t="s">
        <v>959</v>
      </c>
      <c r="C27" s="619" t="s">
        <v>960</v>
      </c>
      <c r="D27" s="619" t="s">
        <v>683</v>
      </c>
      <c r="E27" s="622" t="s">
        <v>906</v>
      </c>
      <c r="F27" s="622">
        <v>1</v>
      </c>
      <c r="G27" s="621">
        <f t="shared" si="0"/>
        <v>59290.920909999993</v>
      </c>
      <c r="H27" s="619"/>
      <c r="I27" s="60">
        <v>59290.920909999993</v>
      </c>
      <c r="J27" s="619"/>
      <c r="K27" s="619"/>
      <c r="L27" s="619"/>
      <c r="M27" s="619"/>
      <c r="N27" s="620"/>
      <c r="O27" s="620"/>
      <c r="P27" s="620"/>
      <c r="Q27" s="620"/>
      <c r="R27" s="619"/>
      <c r="S27" s="619"/>
      <c r="T27" s="619"/>
      <c r="U27" s="619"/>
      <c r="V27" s="619"/>
      <c r="W27" s="619"/>
      <c r="X27" s="624"/>
      <c r="Y27" s="619"/>
      <c r="Z27" s="618">
        <f t="shared" si="1"/>
        <v>59290.920909999993</v>
      </c>
      <c r="AA27" s="640">
        <f t="shared" si="2"/>
        <v>2156652.4212900004</v>
      </c>
    </row>
    <row r="28" spans="1:27" s="617" customFormat="1">
      <c r="A28" s="623">
        <v>20</v>
      </c>
      <c r="B28" s="625" t="s">
        <v>997</v>
      </c>
      <c r="C28" s="619" t="s">
        <v>998</v>
      </c>
      <c r="D28" s="619" t="s">
        <v>683</v>
      </c>
      <c r="E28" s="622" t="s">
        <v>906</v>
      </c>
      <c r="F28" s="622">
        <v>1</v>
      </c>
      <c r="G28" s="621">
        <f t="shared" si="0"/>
        <v>58601.336130000003</v>
      </c>
      <c r="H28" s="619"/>
      <c r="I28" s="60">
        <v>58601.336130000003</v>
      </c>
      <c r="J28" s="619"/>
      <c r="K28" s="619"/>
      <c r="L28" s="619"/>
      <c r="M28" s="619"/>
      <c r="N28" s="620"/>
      <c r="O28" s="620"/>
      <c r="P28" s="620"/>
      <c r="Q28" s="620"/>
      <c r="R28" s="619"/>
      <c r="S28" s="619"/>
      <c r="T28" s="619"/>
      <c r="U28" s="619"/>
      <c r="V28" s="619"/>
      <c r="W28" s="619"/>
      <c r="X28" s="624"/>
      <c r="Y28" s="619"/>
      <c r="Z28" s="618">
        <f t="shared" si="1"/>
        <v>58601.336130000003</v>
      </c>
      <c r="AA28" s="640">
        <f t="shared" si="2"/>
        <v>2156652.4212900004</v>
      </c>
    </row>
    <row r="29" spans="1:27" s="617" customFormat="1">
      <c r="A29" s="623">
        <v>21</v>
      </c>
      <c r="B29" s="625" t="s">
        <v>987</v>
      </c>
      <c r="C29" s="619" t="s">
        <v>988</v>
      </c>
      <c r="D29" s="619" t="s">
        <v>683</v>
      </c>
      <c r="E29" s="622" t="s">
        <v>906</v>
      </c>
      <c r="F29" s="622">
        <v>1</v>
      </c>
      <c r="G29" s="621">
        <f t="shared" si="0"/>
        <v>21999.99985</v>
      </c>
      <c r="H29" s="619"/>
      <c r="I29" s="60">
        <v>21999.99985</v>
      </c>
      <c r="J29" s="619"/>
      <c r="K29" s="619"/>
      <c r="L29" s="619"/>
      <c r="M29" s="619"/>
      <c r="N29" s="620"/>
      <c r="O29" s="620"/>
      <c r="P29" s="620"/>
      <c r="Q29" s="620"/>
      <c r="R29" s="619"/>
      <c r="S29" s="619"/>
      <c r="T29" s="619"/>
      <c r="U29" s="619"/>
      <c r="V29" s="619"/>
      <c r="W29" s="619"/>
      <c r="X29" s="624"/>
      <c r="Y29" s="619"/>
      <c r="Z29" s="618">
        <f t="shared" si="1"/>
        <v>21999.99985</v>
      </c>
      <c r="AA29" s="640">
        <f t="shared" si="2"/>
        <v>2156652.4212900004</v>
      </c>
    </row>
    <row r="30" spans="1:27" s="617" customFormat="1">
      <c r="A30" s="623">
        <v>22</v>
      </c>
      <c r="B30" s="625" t="s">
        <v>907</v>
      </c>
      <c r="C30" s="619" t="s">
        <v>908</v>
      </c>
      <c r="D30" s="619" t="s">
        <v>683</v>
      </c>
      <c r="E30" s="622" t="s">
        <v>906</v>
      </c>
      <c r="F30" s="622">
        <v>2</v>
      </c>
      <c r="G30" s="621">
        <f t="shared" si="0"/>
        <v>32089.332870000002</v>
      </c>
      <c r="H30" s="619"/>
      <c r="I30" s="60">
        <v>32089.332870000002</v>
      </c>
      <c r="J30" s="619"/>
      <c r="K30" s="619"/>
      <c r="L30" s="619"/>
      <c r="M30" s="619"/>
      <c r="N30" s="620"/>
      <c r="O30" s="620"/>
      <c r="P30" s="620"/>
      <c r="Q30" s="620"/>
      <c r="R30" s="619"/>
      <c r="S30" s="619"/>
      <c r="T30" s="619"/>
      <c r="U30" s="619"/>
      <c r="V30" s="619"/>
      <c r="W30" s="619"/>
      <c r="X30" s="624"/>
      <c r="Y30" s="619"/>
      <c r="Z30" s="618">
        <f t="shared" si="1"/>
        <v>32089.332870000002</v>
      </c>
      <c r="AA30" s="640">
        <f t="shared" si="2"/>
        <v>93289.332869999998</v>
      </c>
    </row>
    <row r="31" spans="1:27" s="617" customFormat="1">
      <c r="A31" s="623">
        <v>23</v>
      </c>
      <c r="B31" s="625" t="s">
        <v>911</v>
      </c>
      <c r="C31" s="619" t="s">
        <v>912</v>
      </c>
      <c r="D31" s="619" t="s">
        <v>683</v>
      </c>
      <c r="E31" s="622" t="s">
        <v>906</v>
      </c>
      <c r="F31" s="622">
        <v>2</v>
      </c>
      <c r="G31" s="621">
        <f t="shared" si="0"/>
        <v>0</v>
      </c>
      <c r="H31" s="619"/>
      <c r="I31" s="60">
        <v>0</v>
      </c>
      <c r="J31" s="619"/>
      <c r="K31" s="619"/>
      <c r="L31" s="619"/>
      <c r="M31" s="619"/>
      <c r="N31" s="620"/>
      <c r="O31" s="620"/>
      <c r="P31" s="620"/>
      <c r="Q31" s="620"/>
      <c r="R31" s="619"/>
      <c r="S31" s="619"/>
      <c r="T31" s="619"/>
      <c r="U31" s="619"/>
      <c r="V31" s="619"/>
      <c r="W31" s="619"/>
      <c r="X31" s="624"/>
      <c r="Y31" s="619"/>
      <c r="Z31" s="618">
        <f t="shared" si="1"/>
        <v>0</v>
      </c>
      <c r="AA31" s="640">
        <f t="shared" si="2"/>
        <v>93289.332869999998</v>
      </c>
    </row>
    <row r="32" spans="1:27" s="617" customFormat="1">
      <c r="A32" s="623">
        <v>24</v>
      </c>
      <c r="B32" s="625" t="s">
        <v>947</v>
      </c>
      <c r="C32" s="619" t="s">
        <v>948</v>
      </c>
      <c r="D32" s="619" t="s">
        <v>683</v>
      </c>
      <c r="E32" s="622" t="s">
        <v>906</v>
      </c>
      <c r="F32" s="622">
        <v>1</v>
      </c>
      <c r="G32" s="621">
        <f t="shared" si="0"/>
        <v>177213.61869999999</v>
      </c>
      <c r="H32" s="619"/>
      <c r="I32" s="60">
        <v>177213.61869999999</v>
      </c>
      <c r="J32" s="619"/>
      <c r="K32" s="619"/>
      <c r="L32" s="619"/>
      <c r="M32" s="619"/>
      <c r="N32" s="620"/>
      <c r="O32" s="620"/>
      <c r="P32" s="620"/>
      <c r="Q32" s="620"/>
      <c r="R32" s="619"/>
      <c r="S32" s="619"/>
      <c r="T32" s="619"/>
      <c r="U32" s="619"/>
      <c r="V32" s="619"/>
      <c r="W32" s="619"/>
      <c r="X32" s="624"/>
      <c r="Y32" s="619"/>
      <c r="Z32" s="618">
        <f t="shared" si="1"/>
        <v>177213.61869999999</v>
      </c>
      <c r="AA32" s="640">
        <f t="shared" si="2"/>
        <v>2156652.4212900004</v>
      </c>
    </row>
    <row r="33" spans="1:27" s="617" customFormat="1">
      <c r="A33" s="623">
        <v>25</v>
      </c>
      <c r="B33" s="625" t="s">
        <v>913</v>
      </c>
      <c r="C33" s="619" t="s">
        <v>914</v>
      </c>
      <c r="D33" s="619" t="s">
        <v>683</v>
      </c>
      <c r="E33" s="622" t="s">
        <v>906</v>
      </c>
      <c r="F33" s="622">
        <v>1</v>
      </c>
      <c r="G33" s="621">
        <f t="shared" si="0"/>
        <v>20897.31266</v>
      </c>
      <c r="H33" s="619"/>
      <c r="I33" s="60">
        <v>20897.31266</v>
      </c>
      <c r="J33" s="619"/>
      <c r="K33" s="619"/>
      <c r="L33" s="619"/>
      <c r="M33" s="619"/>
      <c r="N33" s="619"/>
      <c r="O33" s="619"/>
      <c r="P33" s="619"/>
      <c r="Q33" s="619"/>
      <c r="R33" s="619"/>
      <c r="S33" s="619"/>
      <c r="T33" s="619"/>
      <c r="U33" s="619"/>
      <c r="V33" s="619"/>
      <c r="W33" s="619"/>
      <c r="X33" s="624"/>
      <c r="Y33" s="619"/>
      <c r="Z33" s="618">
        <f t="shared" si="1"/>
        <v>20897.31266</v>
      </c>
      <c r="AA33" s="640">
        <f t="shared" si="2"/>
        <v>2156652.4212900004</v>
      </c>
    </row>
    <row r="34" spans="1:27" s="617" customFormat="1">
      <c r="A34" s="623">
        <v>26</v>
      </c>
      <c r="B34" s="625" t="s">
        <v>919</v>
      </c>
      <c r="C34" s="619" t="s">
        <v>920</v>
      </c>
      <c r="D34" s="619" t="s">
        <v>683</v>
      </c>
      <c r="E34" s="622" t="s">
        <v>906</v>
      </c>
      <c r="F34" s="622">
        <v>1</v>
      </c>
      <c r="G34" s="621">
        <f t="shared" si="0"/>
        <v>1500</v>
      </c>
      <c r="H34" s="619"/>
      <c r="I34" s="60">
        <v>1500</v>
      </c>
      <c r="J34" s="619"/>
      <c r="K34" s="619"/>
      <c r="L34" s="619"/>
      <c r="M34" s="619"/>
      <c r="N34" s="620"/>
      <c r="O34" s="620"/>
      <c r="P34" s="620"/>
      <c r="Q34" s="620"/>
      <c r="R34" s="619"/>
      <c r="S34" s="619"/>
      <c r="T34" s="619"/>
      <c r="U34" s="619"/>
      <c r="V34" s="619"/>
      <c r="W34" s="619"/>
      <c r="X34" s="624"/>
      <c r="Y34" s="619"/>
      <c r="Z34" s="618">
        <f t="shared" si="1"/>
        <v>1500</v>
      </c>
      <c r="AA34" s="640">
        <f t="shared" si="2"/>
        <v>2156652.4212900004</v>
      </c>
    </row>
    <row r="35" spans="1:27" s="617" customFormat="1">
      <c r="A35" s="623">
        <v>27</v>
      </c>
      <c r="B35" s="625" t="s">
        <v>995</v>
      </c>
      <c r="C35" s="619" t="s">
        <v>996</v>
      </c>
      <c r="D35" s="619" t="s">
        <v>683</v>
      </c>
      <c r="E35" s="622" t="s">
        <v>906</v>
      </c>
      <c r="F35" s="622">
        <v>1</v>
      </c>
      <c r="G35" s="621">
        <f t="shared" si="0"/>
        <v>13322.726070000001</v>
      </c>
      <c r="H35" s="619"/>
      <c r="I35" s="60">
        <v>13322.726070000001</v>
      </c>
      <c r="J35" s="619"/>
      <c r="K35" s="619"/>
      <c r="L35" s="619"/>
      <c r="M35" s="619"/>
      <c r="N35" s="620"/>
      <c r="O35" s="620"/>
      <c r="P35" s="620"/>
      <c r="Q35" s="620"/>
      <c r="R35" s="619"/>
      <c r="S35" s="619"/>
      <c r="T35" s="619"/>
      <c r="U35" s="619"/>
      <c r="V35" s="619"/>
      <c r="W35" s="619"/>
      <c r="X35" s="624"/>
      <c r="Y35" s="619"/>
      <c r="Z35" s="618">
        <f t="shared" si="1"/>
        <v>13322.726070000001</v>
      </c>
      <c r="AA35" s="640">
        <f t="shared" si="2"/>
        <v>2156652.4212900004</v>
      </c>
    </row>
    <row r="36" spans="1:27" s="617" customFormat="1">
      <c r="A36" s="623">
        <v>28</v>
      </c>
      <c r="B36" s="625" t="s">
        <v>915</v>
      </c>
      <c r="C36" s="619" t="s">
        <v>916</v>
      </c>
      <c r="D36" s="619" t="s">
        <v>683</v>
      </c>
      <c r="E36" s="622" t="s">
        <v>906</v>
      </c>
      <c r="F36" s="622">
        <v>1</v>
      </c>
      <c r="G36" s="621">
        <f t="shared" si="0"/>
        <v>13455.19197</v>
      </c>
      <c r="H36" s="619"/>
      <c r="I36" s="60">
        <v>13455.19197</v>
      </c>
      <c r="J36" s="619"/>
      <c r="K36" s="619"/>
      <c r="L36" s="619"/>
      <c r="M36" s="619"/>
      <c r="N36" s="620"/>
      <c r="O36" s="620"/>
      <c r="P36" s="620"/>
      <c r="Q36" s="620"/>
      <c r="R36" s="619"/>
      <c r="S36" s="619"/>
      <c r="T36" s="619"/>
      <c r="U36" s="619"/>
      <c r="V36" s="619"/>
      <c r="W36" s="619"/>
      <c r="X36" s="624"/>
      <c r="Y36" s="619"/>
      <c r="Z36" s="618">
        <f t="shared" si="1"/>
        <v>13455.19197</v>
      </c>
      <c r="AA36" s="640">
        <f t="shared" si="2"/>
        <v>2156652.4212900004</v>
      </c>
    </row>
    <row r="37" spans="1:27" s="617" customFormat="1">
      <c r="A37" s="623">
        <v>29</v>
      </c>
      <c r="B37" s="625" t="s">
        <v>917</v>
      </c>
      <c r="C37" s="619" t="s">
        <v>918</v>
      </c>
      <c r="D37" s="619" t="s">
        <v>683</v>
      </c>
      <c r="E37" s="622" t="s">
        <v>906</v>
      </c>
      <c r="F37" s="622">
        <v>1</v>
      </c>
      <c r="G37" s="621">
        <f t="shared" si="0"/>
        <v>0</v>
      </c>
      <c r="H37" s="619"/>
      <c r="I37" s="60">
        <v>0</v>
      </c>
      <c r="J37" s="619"/>
      <c r="K37" s="619"/>
      <c r="L37" s="619"/>
      <c r="M37" s="619"/>
      <c r="N37" s="620"/>
      <c r="O37" s="620"/>
      <c r="P37" s="620"/>
      <c r="Q37" s="620"/>
      <c r="R37" s="619"/>
      <c r="S37" s="619"/>
      <c r="T37" s="619"/>
      <c r="U37" s="619"/>
      <c r="V37" s="619"/>
      <c r="W37" s="619"/>
      <c r="X37" s="624"/>
      <c r="Y37" s="619"/>
      <c r="Z37" s="618">
        <f t="shared" si="1"/>
        <v>0</v>
      </c>
      <c r="AA37" s="640">
        <f t="shared" si="2"/>
        <v>2156652.4212900004</v>
      </c>
    </row>
    <row r="38" spans="1:27" s="617" customFormat="1">
      <c r="A38" s="623">
        <v>30</v>
      </c>
      <c r="B38" s="625" t="s">
        <v>937</v>
      </c>
      <c r="C38" s="619" t="s">
        <v>938</v>
      </c>
      <c r="D38" s="619" t="s">
        <v>683</v>
      </c>
      <c r="E38" s="622" t="s">
        <v>906</v>
      </c>
      <c r="F38" s="622">
        <v>2</v>
      </c>
      <c r="G38" s="621">
        <f t="shared" si="0"/>
        <v>0</v>
      </c>
      <c r="H38" s="619"/>
      <c r="I38" s="60">
        <v>0</v>
      </c>
      <c r="J38" s="619"/>
      <c r="K38" s="619"/>
      <c r="L38" s="619"/>
      <c r="M38" s="619"/>
      <c r="N38" s="620"/>
      <c r="O38" s="620"/>
      <c r="P38" s="620"/>
      <c r="Q38" s="620"/>
      <c r="R38" s="619"/>
      <c r="S38" s="619"/>
      <c r="T38" s="619"/>
      <c r="U38" s="619"/>
      <c r="V38" s="619"/>
      <c r="W38" s="619"/>
      <c r="X38" s="624"/>
      <c r="Y38" s="619"/>
      <c r="Z38" s="618">
        <f t="shared" si="1"/>
        <v>0</v>
      </c>
      <c r="AA38" s="640">
        <f t="shared" si="2"/>
        <v>93289.332869999998</v>
      </c>
    </row>
    <row r="39" spans="1:27" s="617" customFormat="1">
      <c r="A39" s="623">
        <v>31</v>
      </c>
      <c r="B39" s="625" t="s">
        <v>921</v>
      </c>
      <c r="C39" s="619" t="s">
        <v>922</v>
      </c>
      <c r="D39" s="619" t="s">
        <v>683</v>
      </c>
      <c r="E39" s="622" t="s">
        <v>906</v>
      </c>
      <c r="F39" s="622">
        <v>1</v>
      </c>
      <c r="G39" s="621">
        <f t="shared" si="0"/>
        <v>8858.9528499999997</v>
      </c>
      <c r="H39" s="619"/>
      <c r="I39" s="60">
        <v>8858.9528499999997</v>
      </c>
      <c r="J39" s="619"/>
      <c r="K39" s="619"/>
      <c r="L39" s="619"/>
      <c r="M39" s="619"/>
      <c r="N39" s="620"/>
      <c r="O39" s="620"/>
      <c r="P39" s="620"/>
      <c r="Q39" s="620"/>
      <c r="R39" s="619"/>
      <c r="S39" s="619"/>
      <c r="T39" s="619"/>
      <c r="U39" s="619"/>
      <c r="V39" s="619"/>
      <c r="W39" s="619"/>
      <c r="X39" s="624"/>
      <c r="Y39" s="619"/>
      <c r="Z39" s="618">
        <f t="shared" si="1"/>
        <v>8858.9528499999997</v>
      </c>
      <c r="AA39" s="640">
        <f t="shared" si="2"/>
        <v>2156652.4212900004</v>
      </c>
    </row>
    <row r="40" spans="1:27" s="617" customFormat="1">
      <c r="A40" s="623">
        <v>32</v>
      </c>
      <c r="B40" s="625" t="s">
        <v>993</v>
      </c>
      <c r="C40" s="619" t="s">
        <v>994</v>
      </c>
      <c r="D40" s="619" t="s">
        <v>683</v>
      </c>
      <c r="E40" s="622" t="s">
        <v>906</v>
      </c>
      <c r="F40" s="622">
        <v>1</v>
      </c>
      <c r="G40" s="621">
        <f t="shared" si="0"/>
        <v>9468.6554700000015</v>
      </c>
      <c r="H40" s="619"/>
      <c r="I40" s="60">
        <v>9468.6554700000015</v>
      </c>
      <c r="J40" s="619"/>
      <c r="K40" s="619"/>
      <c r="L40" s="619"/>
      <c r="M40" s="619"/>
      <c r="N40" s="620"/>
      <c r="O40" s="620"/>
      <c r="P40" s="620"/>
      <c r="Q40" s="620"/>
      <c r="R40" s="619"/>
      <c r="S40" s="619"/>
      <c r="T40" s="619"/>
      <c r="U40" s="619"/>
      <c r="V40" s="619"/>
      <c r="W40" s="619"/>
      <c r="X40" s="624"/>
      <c r="Y40" s="619"/>
      <c r="Z40" s="618">
        <f t="shared" si="1"/>
        <v>9468.6554700000015</v>
      </c>
      <c r="AA40" s="640">
        <f t="shared" si="2"/>
        <v>2156652.4212900004</v>
      </c>
    </row>
    <row r="41" spans="1:27" s="617" customFormat="1">
      <c r="A41" s="623">
        <v>33</v>
      </c>
      <c r="B41" s="619" t="s">
        <v>939</v>
      </c>
      <c r="C41" s="619" t="s">
        <v>940</v>
      </c>
      <c r="D41" s="619" t="s">
        <v>683</v>
      </c>
      <c r="E41" s="622" t="s">
        <v>906</v>
      </c>
      <c r="F41" s="622">
        <v>1</v>
      </c>
      <c r="G41" s="621">
        <f t="shared" ref="G41:G63" si="3">+H41+I41+J41+K41+M41+O41+Q41+S41</f>
        <v>0</v>
      </c>
      <c r="H41" s="619"/>
      <c r="I41" s="60">
        <v>0</v>
      </c>
      <c r="J41" s="619"/>
      <c r="K41" s="619"/>
      <c r="L41" s="619"/>
      <c r="M41" s="619"/>
      <c r="N41" s="620"/>
      <c r="O41" s="620"/>
      <c r="P41" s="620"/>
      <c r="Q41" s="620"/>
      <c r="R41" s="619"/>
      <c r="S41" s="619"/>
      <c r="T41" s="619"/>
      <c r="U41" s="619"/>
      <c r="V41" s="619"/>
      <c r="W41" s="619"/>
      <c r="X41" s="619"/>
      <c r="Y41" s="619"/>
      <c r="Z41" s="618">
        <f t="shared" ref="Z41:Z63" si="4">+G41-V41-X41</f>
        <v>0</v>
      </c>
      <c r="AA41" s="640">
        <f t="shared" si="2"/>
        <v>2156652.4212900004</v>
      </c>
    </row>
    <row r="42" spans="1:27" s="617" customFormat="1">
      <c r="A42" s="623">
        <v>34</v>
      </c>
      <c r="B42" s="619" t="s">
        <v>943</v>
      </c>
      <c r="C42" s="619" t="s">
        <v>944</v>
      </c>
      <c r="D42" s="619" t="s">
        <v>683</v>
      </c>
      <c r="E42" s="622" t="s">
        <v>906</v>
      </c>
      <c r="F42" s="622">
        <v>1</v>
      </c>
      <c r="G42" s="621">
        <f t="shared" si="3"/>
        <v>0</v>
      </c>
      <c r="H42" s="619"/>
      <c r="I42" s="60">
        <v>0</v>
      </c>
      <c r="J42" s="619"/>
      <c r="K42" s="619"/>
      <c r="L42" s="619"/>
      <c r="M42" s="619"/>
      <c r="N42" s="620"/>
      <c r="O42" s="620"/>
      <c r="P42" s="620"/>
      <c r="Q42" s="620"/>
      <c r="R42" s="619"/>
      <c r="S42" s="619"/>
      <c r="T42" s="619"/>
      <c r="U42" s="619"/>
      <c r="V42" s="619"/>
      <c r="W42" s="619"/>
      <c r="X42" s="619"/>
      <c r="Y42" s="619"/>
      <c r="Z42" s="618">
        <f t="shared" si="4"/>
        <v>0</v>
      </c>
      <c r="AA42" s="640">
        <f t="shared" si="2"/>
        <v>2156652.4212900004</v>
      </c>
    </row>
    <row r="43" spans="1:27" s="617" customFormat="1">
      <c r="A43" s="623">
        <v>35</v>
      </c>
      <c r="B43" s="619" t="s">
        <v>983</v>
      </c>
      <c r="C43" s="619" t="s">
        <v>984</v>
      </c>
      <c r="D43" s="619" t="s">
        <v>683</v>
      </c>
      <c r="E43" s="622" t="s">
        <v>906</v>
      </c>
      <c r="F43" s="622">
        <v>1</v>
      </c>
      <c r="G43" s="621">
        <f t="shared" si="3"/>
        <v>17818.181840000001</v>
      </c>
      <c r="H43" s="619"/>
      <c r="I43" s="60">
        <v>17818.181840000001</v>
      </c>
      <c r="J43" s="619"/>
      <c r="K43" s="619"/>
      <c r="L43" s="619"/>
      <c r="M43" s="619"/>
      <c r="N43" s="620"/>
      <c r="O43" s="620"/>
      <c r="P43" s="620"/>
      <c r="Q43" s="620"/>
      <c r="R43" s="619"/>
      <c r="S43" s="619"/>
      <c r="T43" s="619"/>
      <c r="U43" s="619"/>
      <c r="V43" s="619"/>
      <c r="W43" s="619"/>
      <c r="X43" s="619"/>
      <c r="Y43" s="619"/>
      <c r="Z43" s="618">
        <f t="shared" si="4"/>
        <v>17818.181840000001</v>
      </c>
      <c r="AA43" s="640">
        <f t="shared" si="2"/>
        <v>2156652.4212900004</v>
      </c>
    </row>
    <row r="44" spans="1:27" s="617" customFormat="1">
      <c r="A44" s="623">
        <v>36</v>
      </c>
      <c r="B44" s="619" t="s">
        <v>923</v>
      </c>
      <c r="C44" s="619" t="s">
        <v>924</v>
      </c>
      <c r="D44" s="619" t="s">
        <v>683</v>
      </c>
      <c r="E44" s="622" t="s">
        <v>906</v>
      </c>
      <c r="F44" s="622">
        <v>1</v>
      </c>
      <c r="G44" s="621">
        <f t="shared" si="3"/>
        <v>0</v>
      </c>
      <c r="H44" s="619"/>
      <c r="I44" s="60">
        <v>0</v>
      </c>
      <c r="J44" s="619"/>
      <c r="K44" s="619"/>
      <c r="L44" s="619"/>
      <c r="M44" s="619"/>
      <c r="N44" s="620"/>
      <c r="O44" s="620"/>
      <c r="P44" s="620"/>
      <c r="Q44" s="620"/>
      <c r="R44" s="619"/>
      <c r="S44" s="619"/>
      <c r="T44" s="619"/>
      <c r="U44" s="619"/>
      <c r="V44" s="619"/>
      <c r="W44" s="619"/>
      <c r="X44" s="619"/>
      <c r="Y44" s="619"/>
      <c r="Z44" s="618">
        <f t="shared" si="4"/>
        <v>0</v>
      </c>
      <c r="AA44" s="640">
        <f t="shared" si="2"/>
        <v>2156652.4212900004</v>
      </c>
    </row>
    <row r="45" spans="1:27" s="617" customFormat="1">
      <c r="A45" s="623">
        <v>37</v>
      </c>
      <c r="B45" s="619" t="s">
        <v>925</v>
      </c>
      <c r="C45" s="619" t="s">
        <v>926</v>
      </c>
      <c r="D45" s="619" t="s">
        <v>683</v>
      </c>
      <c r="E45" s="622" t="s">
        <v>906</v>
      </c>
      <c r="F45" s="622">
        <v>1</v>
      </c>
      <c r="G45" s="621">
        <f t="shared" si="3"/>
        <v>3887.5799900000002</v>
      </c>
      <c r="H45" s="619"/>
      <c r="I45" s="60">
        <v>3887.5799900000002</v>
      </c>
      <c r="J45" s="619"/>
      <c r="K45" s="619"/>
      <c r="L45" s="619"/>
      <c r="M45" s="619"/>
      <c r="N45" s="620"/>
      <c r="O45" s="620"/>
      <c r="P45" s="620"/>
      <c r="Q45" s="620"/>
      <c r="R45" s="619"/>
      <c r="S45" s="619"/>
      <c r="T45" s="619"/>
      <c r="U45" s="619"/>
      <c r="V45" s="619"/>
      <c r="W45" s="619"/>
      <c r="X45" s="619"/>
      <c r="Y45" s="619"/>
      <c r="Z45" s="618">
        <f t="shared" si="4"/>
        <v>3887.5799900000002</v>
      </c>
      <c r="AA45" s="640">
        <f t="shared" si="2"/>
        <v>2156652.4212900004</v>
      </c>
    </row>
    <row r="46" spans="1:27" s="617" customFormat="1">
      <c r="A46" s="623">
        <v>38</v>
      </c>
      <c r="B46" s="619" t="s">
        <v>967</v>
      </c>
      <c r="C46" s="619" t="s">
        <v>968</v>
      </c>
      <c r="D46" s="619" t="s">
        <v>683</v>
      </c>
      <c r="E46" s="622" t="s">
        <v>906</v>
      </c>
      <c r="F46" s="622">
        <v>1</v>
      </c>
      <c r="G46" s="621">
        <f t="shared" si="3"/>
        <v>84544.766000000003</v>
      </c>
      <c r="H46" s="619"/>
      <c r="I46" s="60">
        <v>84544.766000000003</v>
      </c>
      <c r="J46" s="619"/>
      <c r="K46" s="619"/>
      <c r="L46" s="619"/>
      <c r="M46" s="619"/>
      <c r="N46" s="620"/>
      <c r="O46" s="620"/>
      <c r="P46" s="620"/>
      <c r="Q46" s="620"/>
      <c r="R46" s="619"/>
      <c r="S46" s="619"/>
      <c r="T46" s="619"/>
      <c r="U46" s="619"/>
      <c r="V46" s="619"/>
      <c r="W46" s="619"/>
      <c r="X46" s="619"/>
      <c r="Y46" s="619"/>
      <c r="Z46" s="618">
        <f t="shared" si="4"/>
        <v>84544.766000000003</v>
      </c>
      <c r="AA46" s="640">
        <f t="shared" si="2"/>
        <v>2156652.4212900004</v>
      </c>
    </row>
    <row r="47" spans="1:27" s="617" customFormat="1">
      <c r="A47" s="623">
        <v>39</v>
      </c>
      <c r="B47" s="619" t="s">
        <v>927</v>
      </c>
      <c r="C47" s="619" t="s">
        <v>928</v>
      </c>
      <c r="D47" s="619" t="s">
        <v>683</v>
      </c>
      <c r="E47" s="622" t="s">
        <v>906</v>
      </c>
      <c r="F47" s="622">
        <v>1</v>
      </c>
      <c r="G47" s="621">
        <f t="shared" si="3"/>
        <v>932.69588999999996</v>
      </c>
      <c r="H47" s="619"/>
      <c r="I47" s="60">
        <v>932.69588999999996</v>
      </c>
      <c r="J47" s="619"/>
      <c r="K47" s="619"/>
      <c r="L47" s="619"/>
      <c r="M47" s="619"/>
      <c r="N47" s="620"/>
      <c r="O47" s="620"/>
      <c r="P47" s="620"/>
      <c r="Q47" s="620"/>
      <c r="R47" s="619"/>
      <c r="S47" s="619"/>
      <c r="T47" s="619"/>
      <c r="U47" s="619"/>
      <c r="V47" s="619"/>
      <c r="W47" s="619"/>
      <c r="X47" s="619"/>
      <c r="Y47" s="619"/>
      <c r="Z47" s="618">
        <f t="shared" si="4"/>
        <v>932.69588999999996</v>
      </c>
      <c r="AA47" s="640">
        <f t="shared" si="2"/>
        <v>2156652.4212900004</v>
      </c>
    </row>
    <row r="48" spans="1:27" s="617" customFormat="1">
      <c r="A48" s="623">
        <v>40</v>
      </c>
      <c r="B48" s="619" t="s">
        <v>929</v>
      </c>
      <c r="C48" s="619" t="s">
        <v>930</v>
      </c>
      <c r="D48" s="619" t="s">
        <v>683</v>
      </c>
      <c r="E48" s="622" t="s">
        <v>906</v>
      </c>
      <c r="F48" s="622">
        <v>1</v>
      </c>
      <c r="G48" s="621">
        <f t="shared" si="3"/>
        <v>0</v>
      </c>
      <c r="H48" s="619"/>
      <c r="I48" s="60">
        <v>0</v>
      </c>
      <c r="J48" s="619"/>
      <c r="K48" s="619"/>
      <c r="L48" s="619"/>
      <c r="M48" s="619"/>
      <c r="N48" s="620"/>
      <c r="O48" s="620"/>
      <c r="P48" s="620"/>
      <c r="Q48" s="620"/>
      <c r="R48" s="619"/>
      <c r="S48" s="619"/>
      <c r="T48" s="619"/>
      <c r="U48" s="619"/>
      <c r="V48" s="619"/>
      <c r="W48" s="619"/>
      <c r="X48" s="619"/>
      <c r="Y48" s="619"/>
      <c r="Z48" s="618">
        <f t="shared" si="4"/>
        <v>0</v>
      </c>
      <c r="AA48" s="640">
        <f t="shared" si="2"/>
        <v>2156652.4212900004</v>
      </c>
    </row>
    <row r="49" spans="1:27" s="617" customFormat="1">
      <c r="A49" s="623">
        <v>41</v>
      </c>
      <c r="B49" s="619" t="s">
        <v>941</v>
      </c>
      <c r="C49" s="619" t="s">
        <v>942</v>
      </c>
      <c r="D49" s="619" t="s">
        <v>683</v>
      </c>
      <c r="E49" s="622" t="s">
        <v>906</v>
      </c>
      <c r="F49" s="622">
        <v>1</v>
      </c>
      <c r="G49" s="621">
        <f t="shared" si="3"/>
        <v>1000.05</v>
      </c>
      <c r="H49" s="619"/>
      <c r="I49" s="60">
        <v>1000.05</v>
      </c>
      <c r="J49" s="619"/>
      <c r="K49" s="619"/>
      <c r="L49" s="619"/>
      <c r="M49" s="619"/>
      <c r="N49" s="620"/>
      <c r="O49" s="620"/>
      <c r="P49" s="620"/>
      <c r="Q49" s="620"/>
      <c r="R49" s="619"/>
      <c r="S49" s="619"/>
      <c r="T49" s="619"/>
      <c r="U49" s="619"/>
      <c r="V49" s="619"/>
      <c r="W49" s="619"/>
      <c r="X49" s="619"/>
      <c r="Y49" s="619"/>
      <c r="Z49" s="618">
        <f t="shared" si="4"/>
        <v>1000.05</v>
      </c>
      <c r="AA49" s="640">
        <f t="shared" si="2"/>
        <v>2156652.4212900004</v>
      </c>
    </row>
    <row r="50" spans="1:27" s="617" customFormat="1">
      <c r="A50" s="623">
        <v>42</v>
      </c>
      <c r="B50" s="619" t="s">
        <v>933</v>
      </c>
      <c r="C50" s="619" t="s">
        <v>934</v>
      </c>
      <c r="D50" s="619" t="s">
        <v>683</v>
      </c>
      <c r="E50" s="622" t="s">
        <v>906</v>
      </c>
      <c r="F50" s="622">
        <v>1</v>
      </c>
      <c r="G50" s="621">
        <f t="shared" si="3"/>
        <v>0</v>
      </c>
      <c r="H50" s="619"/>
      <c r="I50" s="60">
        <v>0</v>
      </c>
      <c r="J50" s="619"/>
      <c r="K50" s="619"/>
      <c r="L50" s="619"/>
      <c r="M50" s="619"/>
      <c r="N50" s="620"/>
      <c r="O50" s="620"/>
      <c r="P50" s="620"/>
      <c r="Q50" s="620"/>
      <c r="R50" s="619"/>
      <c r="S50" s="619"/>
      <c r="T50" s="619"/>
      <c r="U50" s="619"/>
      <c r="V50" s="619"/>
      <c r="W50" s="619"/>
      <c r="X50" s="619"/>
      <c r="Y50" s="619"/>
      <c r="Z50" s="618">
        <f t="shared" si="4"/>
        <v>0</v>
      </c>
      <c r="AA50" s="640">
        <f t="shared" si="2"/>
        <v>2156652.4212900004</v>
      </c>
    </row>
    <row r="51" spans="1:27" s="617" customFormat="1">
      <c r="A51" s="623">
        <v>43</v>
      </c>
      <c r="B51" s="619" t="s">
        <v>935</v>
      </c>
      <c r="C51" s="619" t="s">
        <v>936</v>
      </c>
      <c r="D51" s="619" t="s">
        <v>683</v>
      </c>
      <c r="E51" s="622" t="s">
        <v>906</v>
      </c>
      <c r="F51" s="622">
        <v>1</v>
      </c>
      <c r="G51" s="621">
        <f t="shared" si="3"/>
        <v>1500</v>
      </c>
      <c r="H51" s="619"/>
      <c r="I51" s="60">
        <v>1500</v>
      </c>
      <c r="J51" s="619"/>
      <c r="K51" s="619"/>
      <c r="L51" s="619"/>
      <c r="M51" s="619"/>
      <c r="N51" s="620"/>
      <c r="O51" s="620"/>
      <c r="P51" s="620"/>
      <c r="Q51" s="620"/>
      <c r="R51" s="619"/>
      <c r="S51" s="619"/>
      <c r="T51" s="619"/>
      <c r="U51" s="619"/>
      <c r="V51" s="619"/>
      <c r="W51" s="619"/>
      <c r="X51" s="619"/>
      <c r="Y51" s="619"/>
      <c r="Z51" s="618">
        <f t="shared" si="4"/>
        <v>1500</v>
      </c>
      <c r="AA51" s="640">
        <f t="shared" si="2"/>
        <v>2156652.4212900004</v>
      </c>
    </row>
    <row r="52" spans="1:27" s="617" customFormat="1">
      <c r="A52" s="623">
        <v>44</v>
      </c>
      <c r="B52" s="619" t="s">
        <v>945</v>
      </c>
      <c r="C52" s="619" t="s">
        <v>946</v>
      </c>
      <c r="D52" s="619" t="s">
        <v>683</v>
      </c>
      <c r="E52" s="622" t="s">
        <v>906</v>
      </c>
      <c r="F52" s="622">
        <v>1</v>
      </c>
      <c r="G52" s="621">
        <f t="shared" si="3"/>
        <v>0</v>
      </c>
      <c r="H52" s="619"/>
      <c r="I52" s="60">
        <v>0</v>
      </c>
      <c r="J52" s="619"/>
      <c r="K52" s="619"/>
      <c r="L52" s="619"/>
      <c r="M52" s="619"/>
      <c r="N52" s="620"/>
      <c r="O52" s="620"/>
      <c r="P52" s="620"/>
      <c r="Q52" s="620"/>
      <c r="R52" s="619"/>
      <c r="S52" s="619"/>
      <c r="T52" s="619"/>
      <c r="U52" s="619"/>
      <c r="V52" s="619"/>
      <c r="W52" s="619"/>
      <c r="X52" s="619"/>
      <c r="Y52" s="619"/>
      <c r="Z52" s="618">
        <f t="shared" si="4"/>
        <v>0</v>
      </c>
      <c r="AA52" s="640">
        <f t="shared" si="2"/>
        <v>2156652.4212900004</v>
      </c>
    </row>
    <row r="53" spans="1:27" s="617" customFormat="1">
      <c r="A53" s="623">
        <v>45</v>
      </c>
      <c r="B53" s="619" t="s">
        <v>931</v>
      </c>
      <c r="C53" s="619" t="s">
        <v>932</v>
      </c>
      <c r="D53" s="619" t="s">
        <v>683</v>
      </c>
      <c r="E53" s="622" t="s">
        <v>906</v>
      </c>
      <c r="F53" s="622">
        <v>1</v>
      </c>
      <c r="G53" s="621">
        <f t="shared" si="3"/>
        <v>0</v>
      </c>
      <c r="H53" s="619"/>
      <c r="I53" s="60">
        <v>0</v>
      </c>
      <c r="J53" s="619"/>
      <c r="K53" s="619"/>
      <c r="L53" s="619"/>
      <c r="M53" s="619"/>
      <c r="N53" s="620"/>
      <c r="O53" s="620"/>
      <c r="P53" s="620"/>
      <c r="Q53" s="620"/>
      <c r="R53" s="619"/>
      <c r="S53" s="619"/>
      <c r="T53" s="619"/>
      <c r="U53" s="619"/>
      <c r="V53" s="619"/>
      <c r="W53" s="619"/>
      <c r="X53" s="619"/>
      <c r="Y53" s="619"/>
      <c r="Z53" s="618">
        <f t="shared" si="4"/>
        <v>0</v>
      </c>
      <c r="AA53" s="640">
        <f t="shared" si="2"/>
        <v>2156652.4212900004</v>
      </c>
    </row>
    <row r="54" spans="1:27" s="617" customFormat="1">
      <c r="A54" s="623">
        <v>46</v>
      </c>
      <c r="B54" s="619" t="s">
        <v>909</v>
      </c>
      <c r="C54" s="619" t="s">
        <v>910</v>
      </c>
      <c r="D54" s="619" t="s">
        <v>683</v>
      </c>
      <c r="E54" s="622" t="s">
        <v>906</v>
      </c>
      <c r="F54" s="622">
        <v>1</v>
      </c>
      <c r="G54" s="621">
        <f t="shared" si="3"/>
        <v>0</v>
      </c>
      <c r="H54" s="619"/>
      <c r="I54" s="60">
        <v>0</v>
      </c>
      <c r="J54" s="619"/>
      <c r="K54" s="619"/>
      <c r="L54" s="619"/>
      <c r="M54" s="619"/>
      <c r="N54" s="620"/>
      <c r="O54" s="620"/>
      <c r="P54" s="620"/>
      <c r="Q54" s="620"/>
      <c r="R54" s="619"/>
      <c r="S54" s="619"/>
      <c r="T54" s="619"/>
      <c r="U54" s="619"/>
      <c r="V54" s="619"/>
      <c r="W54" s="619"/>
      <c r="X54" s="619"/>
      <c r="Y54" s="619"/>
      <c r="Z54" s="618">
        <f t="shared" si="4"/>
        <v>0</v>
      </c>
      <c r="AA54" s="640">
        <f t="shared" si="2"/>
        <v>2156652.4212900004</v>
      </c>
    </row>
    <row r="55" spans="1:27" s="617" customFormat="1">
      <c r="A55" s="623">
        <v>47</v>
      </c>
      <c r="B55" s="619" t="s">
        <v>981</v>
      </c>
      <c r="C55" s="619" t="s">
        <v>982</v>
      </c>
      <c r="D55" s="619" t="s">
        <v>683</v>
      </c>
      <c r="E55" s="622" t="s">
        <v>906</v>
      </c>
      <c r="F55" s="622">
        <v>1</v>
      </c>
      <c r="G55" s="621">
        <f t="shared" si="3"/>
        <v>499.95890000000003</v>
      </c>
      <c r="H55" s="619"/>
      <c r="I55" s="60">
        <v>499.95890000000003</v>
      </c>
      <c r="J55" s="619"/>
      <c r="K55" s="619"/>
      <c r="L55" s="619"/>
      <c r="M55" s="619"/>
      <c r="N55" s="620"/>
      <c r="O55" s="620"/>
      <c r="P55" s="620"/>
      <c r="Q55" s="620"/>
      <c r="R55" s="619"/>
      <c r="S55" s="619"/>
      <c r="T55" s="619"/>
      <c r="U55" s="619"/>
      <c r="V55" s="619"/>
      <c r="W55" s="619"/>
      <c r="X55" s="619"/>
      <c r="Y55" s="619"/>
      <c r="Z55" s="618">
        <f t="shared" si="4"/>
        <v>499.95890000000003</v>
      </c>
      <c r="AA55" s="640">
        <f t="shared" si="2"/>
        <v>2156652.4212900004</v>
      </c>
    </row>
    <row r="56" spans="1:27" s="617" customFormat="1">
      <c r="A56" s="623">
        <v>48</v>
      </c>
      <c r="B56" s="619" t="s">
        <v>961</v>
      </c>
      <c r="C56" s="619" t="s">
        <v>962</v>
      </c>
      <c r="D56" s="619" t="s">
        <v>683</v>
      </c>
      <c r="E56" s="622" t="s">
        <v>906</v>
      </c>
      <c r="F56" s="622">
        <v>1</v>
      </c>
      <c r="G56" s="621">
        <f t="shared" si="3"/>
        <v>87128.078599999993</v>
      </c>
      <c r="H56" s="619"/>
      <c r="I56" s="60">
        <v>87128.078599999993</v>
      </c>
      <c r="J56" s="619"/>
      <c r="K56" s="619"/>
      <c r="L56" s="619"/>
      <c r="M56" s="619"/>
      <c r="N56" s="620"/>
      <c r="O56" s="620"/>
      <c r="P56" s="620"/>
      <c r="Q56" s="620"/>
      <c r="R56" s="619"/>
      <c r="S56" s="619"/>
      <c r="T56" s="619"/>
      <c r="U56" s="619"/>
      <c r="V56" s="619"/>
      <c r="W56" s="619"/>
      <c r="X56" s="619"/>
      <c r="Y56" s="619"/>
      <c r="Z56" s="618">
        <f t="shared" si="4"/>
        <v>87128.078599999993</v>
      </c>
      <c r="AA56" s="640">
        <f t="shared" si="2"/>
        <v>2156652.4212900004</v>
      </c>
    </row>
    <row r="57" spans="1:27" s="617" customFormat="1">
      <c r="A57" s="623">
        <v>49</v>
      </c>
      <c r="B57" s="619" t="s">
        <v>1004</v>
      </c>
      <c r="C57" s="619" t="s">
        <v>1005</v>
      </c>
      <c r="D57" s="619" t="s">
        <v>683</v>
      </c>
      <c r="E57" s="622" t="s">
        <v>906</v>
      </c>
      <c r="F57" s="622">
        <v>1</v>
      </c>
      <c r="G57" s="621">
        <f t="shared" si="3"/>
        <v>3497.9969999999998</v>
      </c>
      <c r="H57" s="619"/>
      <c r="I57" s="60">
        <v>3497.9969999999998</v>
      </c>
      <c r="J57" s="619"/>
      <c r="K57" s="619"/>
      <c r="L57" s="619"/>
      <c r="M57" s="619"/>
      <c r="N57" s="620"/>
      <c r="O57" s="620"/>
      <c r="P57" s="620"/>
      <c r="Q57" s="620"/>
      <c r="R57" s="619"/>
      <c r="S57" s="619"/>
      <c r="T57" s="619"/>
      <c r="U57" s="619"/>
      <c r="V57" s="619"/>
      <c r="W57" s="619"/>
      <c r="X57" s="619"/>
      <c r="Y57" s="619"/>
      <c r="Z57" s="618">
        <f t="shared" si="4"/>
        <v>3497.9969999999998</v>
      </c>
      <c r="AA57" s="640">
        <f t="shared" si="2"/>
        <v>2156652.4212900004</v>
      </c>
    </row>
    <row r="58" spans="1:27" s="617" customFormat="1">
      <c r="A58" s="623">
        <v>50</v>
      </c>
      <c r="B58" s="619" t="s">
        <v>963</v>
      </c>
      <c r="C58" s="619" t="s">
        <v>964</v>
      </c>
      <c r="D58" s="619" t="s">
        <v>683</v>
      </c>
      <c r="E58" s="622" t="s">
        <v>906</v>
      </c>
      <c r="F58" s="622">
        <v>1</v>
      </c>
      <c r="G58" s="621">
        <f t="shared" si="3"/>
        <v>12976.891380000001</v>
      </c>
      <c r="H58" s="619"/>
      <c r="I58" s="60">
        <v>12976.891380000001</v>
      </c>
      <c r="J58" s="619"/>
      <c r="K58" s="619"/>
      <c r="L58" s="619"/>
      <c r="M58" s="619"/>
      <c r="N58" s="620"/>
      <c r="O58" s="620"/>
      <c r="P58" s="620"/>
      <c r="Q58" s="620"/>
      <c r="R58" s="619"/>
      <c r="S58" s="619"/>
      <c r="T58" s="619"/>
      <c r="U58" s="619"/>
      <c r="V58" s="619"/>
      <c r="W58" s="619"/>
      <c r="X58" s="619"/>
      <c r="Y58" s="619"/>
      <c r="Z58" s="618">
        <f t="shared" si="4"/>
        <v>12976.891380000001</v>
      </c>
      <c r="AA58" s="640">
        <f t="shared" si="2"/>
        <v>2156652.4212900004</v>
      </c>
    </row>
    <row r="59" spans="1:27" s="617" customFormat="1">
      <c r="A59" s="623">
        <v>51</v>
      </c>
      <c r="B59" s="619" t="s">
        <v>1006</v>
      </c>
      <c r="C59" s="619" t="s">
        <v>1007</v>
      </c>
      <c r="D59" s="619" t="s">
        <v>683</v>
      </c>
      <c r="E59" s="622" t="s">
        <v>906</v>
      </c>
      <c r="F59" s="622">
        <v>1</v>
      </c>
      <c r="G59" s="621">
        <f t="shared" si="3"/>
        <v>116782.91912999999</v>
      </c>
      <c r="H59" s="619"/>
      <c r="I59" s="60">
        <v>116782.91912999999</v>
      </c>
      <c r="J59" s="619"/>
      <c r="K59" s="619"/>
      <c r="L59" s="619"/>
      <c r="M59" s="619"/>
      <c r="N59" s="619"/>
      <c r="O59" s="619"/>
      <c r="P59" s="619"/>
      <c r="Q59" s="619"/>
      <c r="R59" s="619"/>
      <c r="S59" s="619"/>
      <c r="T59" s="619"/>
      <c r="U59" s="619"/>
      <c r="V59" s="619"/>
      <c r="W59" s="619"/>
      <c r="X59" s="619"/>
      <c r="Y59" s="619"/>
      <c r="Z59" s="618">
        <f t="shared" si="4"/>
        <v>116782.91912999999</v>
      </c>
      <c r="AA59" s="640">
        <f t="shared" si="2"/>
        <v>2156652.4212900004</v>
      </c>
    </row>
    <row r="60" spans="1:27" s="617" customFormat="1">
      <c r="A60" s="623">
        <v>52</v>
      </c>
      <c r="B60" s="619" t="s">
        <v>1008</v>
      </c>
      <c r="C60" s="619" t="s">
        <v>1009</v>
      </c>
      <c r="D60" s="619" t="s">
        <v>683</v>
      </c>
      <c r="E60" s="622" t="s">
        <v>906</v>
      </c>
      <c r="F60" s="622">
        <v>1</v>
      </c>
      <c r="G60" s="621">
        <f t="shared" si="3"/>
        <v>9999.9999700000008</v>
      </c>
      <c r="H60" s="619"/>
      <c r="I60" s="60">
        <v>9999.9999700000008</v>
      </c>
      <c r="J60" s="619"/>
      <c r="K60" s="619"/>
      <c r="L60" s="619"/>
      <c r="M60" s="619"/>
      <c r="N60" s="620"/>
      <c r="O60" s="620"/>
      <c r="P60" s="620"/>
      <c r="Q60" s="620"/>
      <c r="R60" s="619"/>
      <c r="S60" s="619"/>
      <c r="T60" s="619"/>
      <c r="U60" s="619"/>
      <c r="V60" s="619"/>
      <c r="W60" s="619"/>
      <c r="X60" s="619"/>
      <c r="Y60" s="619"/>
      <c r="Z60" s="618">
        <f t="shared" si="4"/>
        <v>9999.9999700000008</v>
      </c>
      <c r="AA60" s="640">
        <f t="shared" si="2"/>
        <v>2156652.4212900004</v>
      </c>
    </row>
    <row r="61" spans="1:27" s="617" customFormat="1">
      <c r="A61" s="623">
        <v>53</v>
      </c>
      <c r="B61" s="619" t="s">
        <v>971</v>
      </c>
      <c r="C61" s="619" t="s">
        <v>972</v>
      </c>
      <c r="D61" s="619" t="s">
        <v>683</v>
      </c>
      <c r="E61" s="622" t="s">
        <v>906</v>
      </c>
      <c r="F61" s="622">
        <v>1</v>
      </c>
      <c r="G61" s="621">
        <f t="shared" si="3"/>
        <v>76031.01595999999</v>
      </c>
      <c r="H61" s="619"/>
      <c r="I61" s="60">
        <v>76031.01595999999</v>
      </c>
      <c r="J61" s="619"/>
      <c r="K61" s="619"/>
      <c r="L61" s="619"/>
      <c r="M61" s="619"/>
      <c r="N61" s="620"/>
      <c r="O61" s="620"/>
      <c r="P61" s="620"/>
      <c r="Q61" s="620"/>
      <c r="R61" s="619"/>
      <c r="S61" s="619"/>
      <c r="T61" s="619"/>
      <c r="U61" s="619"/>
      <c r="V61" s="619"/>
      <c r="W61" s="619"/>
      <c r="X61" s="619"/>
      <c r="Y61" s="619"/>
      <c r="Z61" s="618">
        <f t="shared" si="4"/>
        <v>76031.01595999999</v>
      </c>
      <c r="AA61" s="640">
        <f t="shared" si="2"/>
        <v>2156652.4212900004</v>
      </c>
    </row>
    <row r="62" spans="1:27" s="617" customFormat="1">
      <c r="A62" s="623">
        <v>54</v>
      </c>
      <c r="B62" s="619" t="s">
        <v>1010</v>
      </c>
      <c r="C62" s="619" t="s">
        <v>1011</v>
      </c>
      <c r="D62" s="619" t="s">
        <v>683</v>
      </c>
      <c r="E62" s="622" t="s">
        <v>906</v>
      </c>
      <c r="F62" s="622">
        <v>1</v>
      </c>
      <c r="G62" s="621">
        <f t="shared" si="3"/>
        <v>998.81754000000001</v>
      </c>
      <c r="H62" s="619"/>
      <c r="I62" s="60">
        <v>998.81754000000001</v>
      </c>
      <c r="J62" s="619"/>
      <c r="K62" s="619"/>
      <c r="L62" s="619"/>
      <c r="M62" s="619"/>
      <c r="N62" s="620"/>
      <c r="O62" s="620"/>
      <c r="P62" s="620"/>
      <c r="Q62" s="620"/>
      <c r="R62" s="619"/>
      <c r="S62" s="619"/>
      <c r="T62" s="619"/>
      <c r="U62" s="619"/>
      <c r="V62" s="619"/>
      <c r="W62" s="619"/>
      <c r="X62" s="619"/>
      <c r="Y62" s="619"/>
      <c r="Z62" s="618">
        <f t="shared" si="4"/>
        <v>998.81754000000001</v>
      </c>
      <c r="AA62" s="640">
        <f t="shared" si="2"/>
        <v>2156652.4212900004</v>
      </c>
    </row>
    <row r="63" spans="1:27" s="617" customFormat="1">
      <c r="A63" s="623">
        <v>55</v>
      </c>
      <c r="B63" s="619"/>
      <c r="C63" s="619"/>
      <c r="D63" s="619"/>
      <c r="E63" s="622"/>
      <c r="F63" s="622"/>
      <c r="G63" s="621">
        <f t="shared" si="3"/>
        <v>0</v>
      </c>
      <c r="H63" s="619"/>
      <c r="I63" s="60"/>
      <c r="J63" s="619"/>
      <c r="K63" s="619"/>
      <c r="L63" s="619"/>
      <c r="M63" s="619"/>
      <c r="N63" s="620"/>
      <c r="O63" s="620"/>
      <c r="P63" s="620"/>
      <c r="Q63" s="620"/>
      <c r="R63" s="619"/>
      <c r="S63" s="619"/>
      <c r="T63" s="619"/>
      <c r="U63" s="619"/>
      <c r="V63" s="619"/>
      <c r="W63" s="619"/>
      <c r="X63" s="619"/>
      <c r="Y63" s="619"/>
      <c r="Z63" s="618">
        <f t="shared" si="4"/>
        <v>0</v>
      </c>
      <c r="AA63" s="640">
        <f t="shared" si="2"/>
        <v>0</v>
      </c>
    </row>
    <row r="64" spans="1:27" s="571" customFormat="1">
      <c r="A64" s="616" t="s">
        <v>863</v>
      </c>
      <c r="B64" s="613"/>
      <c r="C64" s="613"/>
      <c r="D64" s="613"/>
      <c r="E64" s="612"/>
      <c r="F64" s="612"/>
      <c r="G64" s="611">
        <f>SUM(G9:G63)</f>
        <v>2307941.7552800002</v>
      </c>
      <c r="H64" s="611">
        <f t="shared" ref="H64:V64" si="5">SUM(H9:H63)</f>
        <v>0</v>
      </c>
      <c r="I64" s="611">
        <f t="shared" si="5"/>
        <v>2307941.7552800002</v>
      </c>
      <c r="J64" s="611">
        <f t="shared" si="5"/>
        <v>0</v>
      </c>
      <c r="K64" s="611">
        <f t="shared" si="5"/>
        <v>0</v>
      </c>
      <c r="L64" s="611">
        <f t="shared" si="5"/>
        <v>0</v>
      </c>
      <c r="M64" s="611">
        <f t="shared" si="5"/>
        <v>0</v>
      </c>
      <c r="N64" s="611">
        <f t="shared" si="5"/>
        <v>0</v>
      </c>
      <c r="O64" s="611">
        <f t="shared" si="5"/>
        <v>0</v>
      </c>
      <c r="P64" s="611">
        <f t="shared" si="5"/>
        <v>0</v>
      </c>
      <c r="Q64" s="611">
        <f t="shared" si="5"/>
        <v>0</v>
      </c>
      <c r="R64" s="611">
        <f t="shared" si="5"/>
        <v>0</v>
      </c>
      <c r="S64" s="611">
        <f t="shared" si="5"/>
        <v>0</v>
      </c>
      <c r="T64" s="611">
        <f t="shared" si="5"/>
        <v>0</v>
      </c>
      <c r="U64" s="615"/>
      <c r="V64" s="611">
        <f t="shared" si="5"/>
        <v>0</v>
      </c>
      <c r="W64" s="615"/>
      <c r="X64" s="611">
        <f t="shared" ref="X64:Z64" si="6">SUM(X9:X63)</f>
        <v>0</v>
      </c>
      <c r="Y64" s="611">
        <f t="shared" si="6"/>
        <v>0</v>
      </c>
      <c r="Z64" s="611">
        <f t="shared" si="6"/>
        <v>2307941.7552800002</v>
      </c>
      <c r="AA64" s="640"/>
    </row>
    <row r="65" spans="1:32" s="571" customFormat="1">
      <c r="A65" s="614" t="s">
        <v>862</v>
      </c>
      <c r="B65" s="613"/>
      <c r="C65" s="613"/>
      <c r="D65" s="613"/>
      <c r="E65" s="612"/>
      <c r="F65" s="612"/>
      <c r="G65" s="611">
        <f>+SUMIF($F$9:$F$63,$AA$65,$G$9:$G$63)</f>
        <v>2156652.4212900004</v>
      </c>
      <c r="H65" s="611">
        <f>+SUMIF($F$9:$F$63,$AA$65,$H$9:$H$63)</f>
        <v>0</v>
      </c>
      <c r="I65" s="611">
        <f>+SUMIF($F$9:$F$63,$AA$65,$I$9:$I$63)</f>
        <v>2156652.4212900004</v>
      </c>
      <c r="J65" s="611">
        <f>+SUMIF($F$9:$F$63,$AA$65,$J$9:$J$63)</f>
        <v>0</v>
      </c>
      <c r="K65" s="611">
        <f>+SUMIF($F$9:$F$63,$AA$65,$K$9:$K$63)</f>
        <v>0</v>
      </c>
      <c r="L65" s="611">
        <f>+SUMIF($F$9:$F$63,$AA$65,$L$9:$L$63)</f>
        <v>0</v>
      </c>
      <c r="M65" s="611">
        <f>+SUMIF($F$9:$F$63,$AA$65,$M$9:$M$63)</f>
        <v>0</v>
      </c>
      <c r="N65" s="611">
        <f>+SUMIF($F$9:$F$63,$AA$65,$N$9:$N$63)</f>
        <v>0</v>
      </c>
      <c r="O65" s="611">
        <f>+SUMIF($F$9:$F$63,$AA$65,$O$9:$O$63)</f>
        <v>0</v>
      </c>
      <c r="P65" s="611">
        <f>+SUMIF($F$9:$F$63,$AA$65,$P$9:$P$63)</f>
        <v>0</v>
      </c>
      <c r="Q65" s="611">
        <f>+SUMIF($F$9:$F$63,$AA$65,$Q$9:$Q$63)</f>
        <v>0</v>
      </c>
      <c r="R65" s="611">
        <f>+SUMIF($F$9:$F$63,$AA$65,$R$9:$R$63)</f>
        <v>0</v>
      </c>
      <c r="S65" s="611">
        <f>+SUMIF($F$9:$F$63,$AA$65,$S$9:$S$63)</f>
        <v>0</v>
      </c>
      <c r="T65" s="611">
        <f>+SUMIF($F$9:$F$63,$AA$65,$T$9:$T$63)</f>
        <v>0</v>
      </c>
      <c r="U65" s="615"/>
      <c r="V65" s="611">
        <f>+SUMIF($F$9:$F$63,$AA$65,$V$9:$V$63)</f>
        <v>0</v>
      </c>
      <c r="W65" s="615"/>
      <c r="X65" s="611">
        <f>+SUMIF($F$9:$F$63,$AA$65,$X$9:$X$63)</f>
        <v>0</v>
      </c>
      <c r="Y65" s="611">
        <f>+SUMIF($F$9:$F$63,$AA$65,$Y$9:$Y$63)</f>
        <v>0</v>
      </c>
      <c r="Z65" s="611">
        <f>+MAX(AA9:AA63)</f>
        <v>2156652.4212900004</v>
      </c>
      <c r="AA65" s="640">
        <f>INDEX($F$9:$F$63,MATCH($Z65,$AA$9:$AA$63,0))</f>
        <v>1</v>
      </c>
    </row>
    <row r="66" spans="1:32" s="571" customFormat="1">
      <c r="AA66" s="643"/>
    </row>
    <row r="67" spans="1:32" s="571" customFormat="1">
      <c r="AA67" s="643"/>
    </row>
    <row r="68" spans="1:32" s="571" customFormat="1">
      <c r="B68" s="571" t="s">
        <v>861</v>
      </c>
      <c r="V68" s="609"/>
      <c r="AA68" s="643"/>
    </row>
    <row r="69" spans="1:32" s="571" customFormat="1">
      <c r="V69" s="609"/>
      <c r="AA69" s="643"/>
    </row>
    <row r="70" spans="1:32" s="571" customFormat="1">
      <c r="B70" s="610" t="s">
        <v>1</v>
      </c>
      <c r="V70" s="609"/>
      <c r="AA70" s="643"/>
    </row>
    <row r="71" spans="1:32" s="571" customFormat="1">
      <c r="B71" s="610"/>
      <c r="V71" s="609"/>
      <c r="AA71" s="643"/>
    </row>
    <row r="72" spans="1:32" s="571" customFormat="1">
      <c r="B72" s="610"/>
      <c r="V72" s="609"/>
      <c r="AA72" s="643"/>
    </row>
    <row r="73" spans="1:32" s="571" customFormat="1">
      <c r="V73" s="609"/>
      <c r="AA73" s="643"/>
    </row>
    <row r="74" spans="1:32" s="571" customFormat="1" ht="15.75">
      <c r="B74" s="711"/>
      <c r="C74" s="711"/>
      <c r="D74" s="711"/>
      <c r="E74" s="711"/>
      <c r="F74" s="711"/>
      <c r="G74" s="711"/>
      <c r="H74" s="711"/>
      <c r="I74" s="711"/>
      <c r="J74" s="711"/>
      <c r="K74" s="711"/>
      <c r="L74" s="711"/>
      <c r="M74" s="711"/>
      <c r="N74" s="711"/>
      <c r="O74" s="711"/>
      <c r="P74" s="711"/>
      <c r="Q74" s="711"/>
      <c r="R74" s="711"/>
      <c r="S74" s="711"/>
      <c r="T74" s="711"/>
      <c r="V74" s="609"/>
      <c r="AA74" s="643"/>
    </row>
    <row r="75" spans="1:32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V75" s="608"/>
      <c r="W75" s="95"/>
      <c r="X75" s="95"/>
      <c r="Y75" s="95"/>
      <c r="Z75" s="95"/>
      <c r="AA75" s="644"/>
      <c r="AB75" s="95"/>
      <c r="AC75" s="95"/>
      <c r="AD75" s="95"/>
      <c r="AE75" s="95"/>
      <c r="AF75" s="95"/>
    </row>
    <row r="76" spans="1:32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V76" s="608"/>
      <c r="W76" s="95"/>
      <c r="X76" s="95"/>
      <c r="Y76" s="95"/>
      <c r="Z76" s="95"/>
      <c r="AA76" s="644"/>
      <c r="AB76" s="95"/>
      <c r="AC76" s="95"/>
      <c r="AD76" s="95"/>
      <c r="AE76" s="95"/>
      <c r="AF76" s="95"/>
    </row>
    <row r="77" spans="1:32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V77" s="608"/>
      <c r="W77" s="95"/>
      <c r="X77" s="95"/>
      <c r="Y77" s="95"/>
      <c r="Z77" s="95"/>
      <c r="AA77" s="644"/>
      <c r="AB77" s="95"/>
      <c r="AC77" s="95"/>
      <c r="AD77" s="95"/>
      <c r="AE77" s="95"/>
      <c r="AF77" s="95"/>
    </row>
    <row r="78" spans="1:32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V78" s="608"/>
      <c r="W78" s="95"/>
      <c r="X78" s="95"/>
      <c r="Y78" s="95"/>
      <c r="Z78" s="95"/>
      <c r="AA78" s="644"/>
      <c r="AB78" s="95"/>
      <c r="AC78" s="95"/>
      <c r="AD78" s="95"/>
      <c r="AE78" s="95"/>
      <c r="AF78" s="95"/>
    </row>
    <row r="79" spans="1:32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V79" s="608"/>
      <c r="W79" s="95"/>
      <c r="X79" s="95"/>
      <c r="Y79" s="95"/>
      <c r="Z79" s="95"/>
      <c r="AA79" s="644"/>
      <c r="AB79" s="95"/>
      <c r="AC79" s="95"/>
      <c r="AD79" s="95"/>
      <c r="AE79" s="95"/>
      <c r="AF79" s="95"/>
    </row>
    <row r="80" spans="1:32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V80" s="608"/>
      <c r="W80" s="95"/>
      <c r="X80" s="95"/>
      <c r="Y80" s="95"/>
      <c r="Z80" s="95"/>
      <c r="AA80" s="644"/>
      <c r="AB80" s="95"/>
      <c r="AC80" s="95"/>
      <c r="AD80" s="95"/>
      <c r="AE80" s="95"/>
      <c r="AF80" s="95"/>
    </row>
    <row r="81" spans="1:32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V81" s="608"/>
      <c r="W81" s="95"/>
      <c r="X81" s="95"/>
      <c r="Y81" s="95"/>
      <c r="Z81" s="95"/>
      <c r="AA81" s="644"/>
      <c r="AB81" s="95"/>
      <c r="AC81" s="95"/>
      <c r="AD81" s="95"/>
      <c r="AE81" s="95"/>
      <c r="AF81" s="95"/>
    </row>
    <row r="82" spans="1:3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V82" s="608"/>
      <c r="W82" s="95"/>
      <c r="X82" s="95"/>
      <c r="Y82" s="95"/>
      <c r="Z82" s="95"/>
      <c r="AA82" s="644"/>
      <c r="AB82" s="95"/>
      <c r="AC82" s="95"/>
      <c r="AD82" s="95"/>
      <c r="AE82" s="95"/>
      <c r="AF82" s="95"/>
    </row>
    <row r="83" spans="1:32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V83" s="608"/>
      <c r="W83" s="95"/>
      <c r="X83" s="95"/>
      <c r="Y83" s="95"/>
      <c r="Z83" s="95"/>
      <c r="AA83" s="644"/>
      <c r="AB83" s="95"/>
      <c r="AC83" s="95"/>
      <c r="AD83" s="95"/>
      <c r="AE83" s="95"/>
      <c r="AF83" s="95"/>
    </row>
    <row r="84" spans="1:32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V84" s="608"/>
      <c r="W84" s="95"/>
      <c r="X84" s="95"/>
      <c r="Y84" s="95"/>
      <c r="Z84" s="95"/>
      <c r="AA84" s="644"/>
      <c r="AB84" s="95"/>
      <c r="AC84" s="95"/>
      <c r="AD84" s="95"/>
      <c r="AE84" s="95"/>
      <c r="AF84" s="95"/>
    </row>
    <row r="85" spans="1:32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V85" s="608"/>
      <c r="W85" s="95"/>
      <c r="X85" s="95"/>
      <c r="Y85" s="95"/>
      <c r="Z85" s="95"/>
      <c r="AA85" s="644"/>
      <c r="AB85" s="95"/>
      <c r="AC85" s="95"/>
      <c r="AD85" s="95"/>
      <c r="AE85" s="95"/>
      <c r="AF85" s="95"/>
    </row>
    <row r="86" spans="1:32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V86" s="608"/>
      <c r="W86" s="95"/>
      <c r="X86" s="95"/>
      <c r="Y86" s="95"/>
      <c r="Z86" s="95"/>
      <c r="AA86" s="644"/>
      <c r="AB86" s="95"/>
      <c r="AC86" s="95"/>
      <c r="AD86" s="95"/>
      <c r="AE86" s="95"/>
      <c r="AF86" s="95"/>
    </row>
    <row r="87" spans="1:32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V87" s="608"/>
      <c r="W87" s="95"/>
      <c r="X87" s="95"/>
      <c r="Y87" s="95"/>
      <c r="Z87" s="95"/>
      <c r="AA87" s="644"/>
      <c r="AB87" s="95"/>
      <c r="AC87" s="95"/>
      <c r="AD87" s="95"/>
      <c r="AE87" s="95"/>
      <c r="AF87" s="95"/>
    </row>
    <row r="88" spans="1:32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V88" s="608"/>
      <c r="W88" s="95"/>
      <c r="X88" s="95"/>
      <c r="Y88" s="95"/>
      <c r="Z88" s="95"/>
      <c r="AA88" s="644"/>
      <c r="AB88" s="95"/>
      <c r="AC88" s="95"/>
      <c r="AD88" s="95"/>
      <c r="AE88" s="95"/>
      <c r="AF88" s="95"/>
    </row>
    <row r="89" spans="1:32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V89" s="608"/>
      <c r="W89" s="95"/>
      <c r="X89" s="95"/>
      <c r="Y89" s="95"/>
      <c r="Z89" s="95"/>
      <c r="AA89" s="644"/>
      <c r="AB89" s="95"/>
      <c r="AC89" s="95"/>
      <c r="AD89" s="95"/>
      <c r="AE89" s="95"/>
      <c r="AF89" s="95"/>
    </row>
    <row r="90" spans="1:32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V90" s="608"/>
      <c r="W90" s="95"/>
      <c r="X90" s="95"/>
      <c r="Y90" s="95"/>
      <c r="Z90" s="95"/>
      <c r="AA90" s="644"/>
      <c r="AB90" s="95"/>
      <c r="AC90" s="95"/>
      <c r="AD90" s="95"/>
      <c r="AE90" s="95"/>
      <c r="AF90" s="95"/>
    </row>
    <row r="91" spans="1:32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V91" s="608"/>
      <c r="W91" s="95"/>
      <c r="X91" s="95"/>
      <c r="Y91" s="95"/>
      <c r="Z91" s="95"/>
      <c r="AA91" s="644"/>
      <c r="AB91" s="95"/>
      <c r="AC91" s="95"/>
      <c r="AD91" s="95"/>
      <c r="AE91" s="95"/>
      <c r="AF91" s="95"/>
    </row>
    <row r="92" spans="1:3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V92" s="608"/>
      <c r="W92" s="95"/>
      <c r="X92" s="95"/>
      <c r="Y92" s="95"/>
      <c r="Z92" s="95"/>
      <c r="AA92" s="644"/>
      <c r="AB92" s="95"/>
      <c r="AC92" s="95"/>
      <c r="AD92" s="95"/>
      <c r="AE92" s="95"/>
      <c r="AF92" s="95"/>
    </row>
    <row r="93" spans="1:32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V93" s="608"/>
      <c r="W93" s="95"/>
      <c r="X93" s="95"/>
      <c r="Y93" s="95"/>
      <c r="Z93" s="95"/>
      <c r="AA93" s="644"/>
      <c r="AB93" s="95"/>
      <c r="AC93" s="95"/>
      <c r="AD93" s="95"/>
      <c r="AE93" s="95"/>
      <c r="AF93" s="95"/>
    </row>
    <row r="94" spans="1:32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V94" s="608"/>
      <c r="W94" s="95"/>
      <c r="X94" s="95"/>
      <c r="Y94" s="95"/>
      <c r="Z94" s="95"/>
      <c r="AA94" s="644"/>
      <c r="AB94" s="95"/>
      <c r="AC94" s="95"/>
      <c r="AD94" s="95"/>
      <c r="AE94" s="95"/>
      <c r="AF94" s="95"/>
    </row>
    <row r="95" spans="1:32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V95" s="608"/>
      <c r="W95" s="95"/>
      <c r="X95" s="95"/>
      <c r="Y95" s="95"/>
      <c r="Z95" s="95"/>
      <c r="AA95" s="644"/>
      <c r="AB95" s="95"/>
      <c r="AC95" s="95"/>
      <c r="AD95" s="95"/>
      <c r="AE95" s="95"/>
      <c r="AF95" s="95"/>
    </row>
    <row r="96" spans="1:32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V96" s="608"/>
      <c r="W96" s="95"/>
      <c r="X96" s="95"/>
      <c r="Y96" s="95"/>
      <c r="Z96" s="95"/>
      <c r="AA96" s="644"/>
      <c r="AB96" s="95"/>
      <c r="AC96" s="95"/>
      <c r="AD96" s="95"/>
      <c r="AE96" s="95"/>
      <c r="AF96" s="95"/>
    </row>
    <row r="97" spans="1:32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V97" s="608"/>
      <c r="W97" s="95"/>
      <c r="X97" s="95"/>
      <c r="Y97" s="95"/>
      <c r="Z97" s="95"/>
      <c r="AA97" s="644"/>
      <c r="AB97" s="95"/>
      <c r="AC97" s="95"/>
      <c r="AD97" s="95"/>
      <c r="AE97" s="95"/>
      <c r="AF97" s="95"/>
    </row>
    <row r="98" spans="1:32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V98" s="608"/>
      <c r="W98" s="95"/>
      <c r="X98" s="95"/>
      <c r="Y98" s="95"/>
      <c r="Z98" s="95"/>
      <c r="AA98" s="644"/>
      <c r="AB98" s="95"/>
      <c r="AC98" s="95"/>
      <c r="AD98" s="95"/>
      <c r="AE98" s="95"/>
      <c r="AF98" s="95"/>
    </row>
    <row r="99" spans="1:32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V99" s="608"/>
      <c r="W99" s="95"/>
      <c r="X99" s="95"/>
      <c r="Y99" s="95"/>
      <c r="Z99" s="95"/>
      <c r="AA99" s="644"/>
      <c r="AB99" s="95"/>
      <c r="AC99" s="95"/>
      <c r="AD99" s="95"/>
      <c r="AE99" s="95"/>
      <c r="AF99" s="95"/>
    </row>
    <row r="100" spans="1:32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V100" s="608"/>
      <c r="W100" s="95"/>
      <c r="X100" s="95"/>
      <c r="Y100" s="95"/>
      <c r="Z100" s="95"/>
      <c r="AA100" s="644"/>
      <c r="AB100" s="95"/>
      <c r="AC100" s="95"/>
      <c r="AD100" s="95"/>
      <c r="AE100" s="95"/>
      <c r="AF100" s="95"/>
    </row>
    <row r="101" spans="1:32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V101" s="608"/>
      <c r="W101" s="95"/>
      <c r="X101" s="95"/>
      <c r="Y101" s="95"/>
      <c r="Z101" s="95"/>
      <c r="AA101" s="644"/>
      <c r="AB101" s="95"/>
      <c r="AC101" s="95"/>
      <c r="AD101" s="95"/>
      <c r="AE101" s="95"/>
      <c r="AF101" s="95"/>
    </row>
    <row r="102" spans="1:3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V102" s="608"/>
      <c r="W102" s="95"/>
      <c r="X102" s="95"/>
      <c r="Y102" s="95"/>
      <c r="Z102" s="95"/>
      <c r="AA102" s="644"/>
      <c r="AB102" s="95"/>
      <c r="AC102" s="95"/>
      <c r="AD102" s="95"/>
      <c r="AE102" s="95"/>
      <c r="AF102" s="95"/>
    </row>
    <row r="103" spans="1:32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V103" s="608"/>
      <c r="W103" s="95"/>
      <c r="X103" s="95"/>
      <c r="Y103" s="95"/>
      <c r="Z103" s="95"/>
      <c r="AA103" s="644"/>
      <c r="AB103" s="95"/>
      <c r="AC103" s="95"/>
      <c r="AD103" s="95"/>
      <c r="AE103" s="95"/>
      <c r="AF103" s="95"/>
    </row>
    <row r="104" spans="1:32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V104" s="608"/>
      <c r="W104" s="95"/>
      <c r="X104" s="95"/>
      <c r="Y104" s="95"/>
      <c r="Z104" s="95"/>
      <c r="AA104" s="644"/>
      <c r="AB104" s="95"/>
      <c r="AC104" s="95"/>
      <c r="AD104" s="95"/>
      <c r="AE104" s="95"/>
      <c r="AF104" s="95"/>
    </row>
    <row r="105" spans="1:32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V105" s="608"/>
      <c r="W105" s="95"/>
      <c r="X105" s="95"/>
      <c r="Y105" s="95"/>
      <c r="Z105" s="95"/>
      <c r="AA105" s="644"/>
      <c r="AB105" s="95"/>
      <c r="AC105" s="95"/>
      <c r="AD105" s="95"/>
      <c r="AE105" s="95"/>
      <c r="AF105" s="95"/>
    </row>
    <row r="106" spans="1:32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V106" s="608"/>
      <c r="W106" s="95"/>
      <c r="X106" s="95"/>
      <c r="Y106" s="95"/>
      <c r="Z106" s="95"/>
      <c r="AA106" s="644"/>
      <c r="AB106" s="95"/>
      <c r="AC106" s="95"/>
      <c r="AD106" s="95"/>
      <c r="AE106" s="95"/>
      <c r="AF106" s="95"/>
    </row>
  </sheetData>
  <sheetProtection sheet="1" objects="1" scenarios="1"/>
  <mergeCells count="35">
    <mergeCell ref="L8:M8"/>
    <mergeCell ref="N8:O8"/>
    <mergeCell ref="P8:Q8"/>
    <mergeCell ref="R8:S8"/>
    <mergeCell ref="Z4:Z7"/>
    <mergeCell ref="U6:U7"/>
    <mergeCell ref="V6:V7"/>
    <mergeCell ref="T4:T7"/>
    <mergeCell ref="U4:V5"/>
    <mergeCell ref="W4:W7"/>
    <mergeCell ref="X4:X7"/>
    <mergeCell ref="Y4:Y7"/>
    <mergeCell ref="B74:T74"/>
    <mergeCell ref="Y3:Z3"/>
    <mergeCell ref="A1:W1"/>
    <mergeCell ref="F4:F7"/>
    <mergeCell ref="G4:G7"/>
    <mergeCell ref="H4:S4"/>
    <mergeCell ref="U3:W3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D4:D7"/>
    <mergeCell ref="E4:E7"/>
    <mergeCell ref="H5:K5"/>
    <mergeCell ref="L5:S5"/>
    <mergeCell ref="H6:H7"/>
    <mergeCell ref="P6:Q6"/>
    <mergeCell ref="R6:S6"/>
  </mergeCells>
  <dataValidations disablePrompts="1" count="1">
    <dataValidation type="date" operator="greaterThan" allowBlank="1" showInputMessage="1" showErrorMessage="1" prompt="Введите дату в формате ЧЧ.ММ.ГГГГ" sqref="Y75:Z104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5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106"/>
  <sheetViews>
    <sheetView topLeftCell="A4" zoomScale="85" zoomScaleNormal="85" zoomScaleSheetLayoutView="70" workbookViewId="0">
      <pane xSplit="7" ySplit="4" topLeftCell="H8" activePane="bottomRight" state="frozen"/>
      <selection activeCell="C73" sqref="C73"/>
      <selection pane="topRight" activeCell="C73" sqref="C73"/>
      <selection pane="bottomLeft" activeCell="C73" sqref="C73"/>
      <selection pane="bottomRight" activeCell="I10" sqref="I10"/>
    </sheetView>
  </sheetViews>
  <sheetFormatPr defaultRowHeight="12.75"/>
  <cols>
    <col min="1" max="1" width="5.140625" style="561" customWidth="1"/>
    <col min="2" max="2" width="43.42578125" style="561" customWidth="1"/>
    <col min="3" max="3" width="14.140625" style="561" customWidth="1"/>
    <col min="4" max="6" width="10.140625" style="561" customWidth="1"/>
    <col min="7" max="8" width="14.28515625" style="561" customWidth="1"/>
    <col min="9" max="19" width="13.85546875" style="561" customWidth="1"/>
    <col min="20" max="20" width="8.28515625" style="561" customWidth="1"/>
    <col min="21" max="21" width="10.140625" style="561" customWidth="1"/>
    <col min="22" max="22" width="14" style="607" customWidth="1"/>
    <col min="23" max="23" width="9.85546875" style="561" customWidth="1"/>
    <col min="24" max="24" width="14" style="561" customWidth="1"/>
    <col min="25" max="25" width="13.28515625" style="561" customWidth="1"/>
    <col min="26" max="26" width="14.7109375" style="561" customWidth="1"/>
    <col min="27" max="27" width="13.140625" style="641" bestFit="1" customWidth="1"/>
    <col min="28" max="16384" width="9.140625" style="561"/>
  </cols>
  <sheetData>
    <row r="1" spans="1:28" ht="20.25">
      <c r="A1" s="713" t="s">
        <v>901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Y1" s="633" t="s">
        <v>900</v>
      </c>
    </row>
    <row r="2" spans="1:28">
      <c r="A2" s="632"/>
      <c r="B2" s="631"/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1"/>
      <c r="O2" s="631"/>
      <c r="Q2" s="631"/>
      <c r="R2" s="631"/>
      <c r="S2" s="631"/>
      <c r="T2" s="631"/>
    </row>
    <row r="3" spans="1:28" ht="15.75">
      <c r="A3" s="583"/>
      <c r="B3" s="630" t="str">
        <f>+'Asset quality'!B3</f>
        <v>"Микрокредитбанк"</v>
      </c>
      <c r="D3" s="583"/>
      <c r="E3" s="583"/>
      <c r="F3" s="583"/>
      <c r="G3" s="583"/>
      <c r="H3" s="583"/>
      <c r="I3" s="583"/>
      <c r="J3" s="583"/>
      <c r="K3" s="583"/>
      <c r="L3" s="583"/>
      <c r="M3" s="583"/>
      <c r="Q3" s="583"/>
      <c r="R3" s="583"/>
      <c r="T3" s="629"/>
      <c r="U3" s="714">
        <f>+'Asset quality'!P3</f>
        <v>44560</v>
      </c>
      <c r="V3" s="714" t="e">
        <f>+#REF!</f>
        <v>#REF!</v>
      </c>
      <c r="W3" s="714"/>
      <c r="Y3" s="712" t="s">
        <v>382</v>
      </c>
      <c r="Z3" s="712"/>
    </row>
    <row r="4" spans="1:28" ht="27.75" customHeight="1">
      <c r="A4" s="715" t="s">
        <v>83</v>
      </c>
      <c r="B4" s="715" t="s">
        <v>895</v>
      </c>
      <c r="C4" s="704" t="s">
        <v>894</v>
      </c>
      <c r="D4" s="704" t="s">
        <v>893</v>
      </c>
      <c r="E4" s="704" t="s">
        <v>892</v>
      </c>
      <c r="F4" s="704" t="s">
        <v>891</v>
      </c>
      <c r="G4" s="704" t="s">
        <v>890</v>
      </c>
      <c r="H4" s="707" t="s">
        <v>90</v>
      </c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4" t="s">
        <v>889</v>
      </c>
      <c r="U4" s="720" t="s">
        <v>888</v>
      </c>
      <c r="V4" s="721"/>
      <c r="W4" s="704" t="s">
        <v>887</v>
      </c>
      <c r="X4" s="704" t="s">
        <v>886</v>
      </c>
      <c r="Y4" s="704" t="s">
        <v>885</v>
      </c>
      <c r="Z4" s="704" t="s">
        <v>884</v>
      </c>
      <c r="AB4" s="607"/>
    </row>
    <row r="5" spans="1:28" ht="27.75" customHeight="1">
      <c r="A5" s="716"/>
      <c r="B5" s="716"/>
      <c r="C5" s="705"/>
      <c r="D5" s="705"/>
      <c r="E5" s="705"/>
      <c r="F5" s="705"/>
      <c r="G5" s="705"/>
      <c r="H5" s="707" t="s">
        <v>883</v>
      </c>
      <c r="I5" s="708"/>
      <c r="J5" s="708"/>
      <c r="K5" s="708"/>
      <c r="L5" s="707" t="s">
        <v>882</v>
      </c>
      <c r="M5" s="708"/>
      <c r="N5" s="708"/>
      <c r="O5" s="708"/>
      <c r="P5" s="708"/>
      <c r="Q5" s="708"/>
      <c r="R5" s="708"/>
      <c r="S5" s="708"/>
      <c r="T5" s="705"/>
      <c r="U5" s="722"/>
      <c r="V5" s="723"/>
      <c r="W5" s="705"/>
      <c r="X5" s="705"/>
      <c r="Y5" s="705"/>
      <c r="Z5" s="705"/>
      <c r="AB5" s="607"/>
    </row>
    <row r="6" spans="1:28" ht="108.75" customHeight="1">
      <c r="A6" s="716"/>
      <c r="B6" s="716"/>
      <c r="C6" s="705"/>
      <c r="D6" s="705"/>
      <c r="E6" s="705"/>
      <c r="F6" s="705"/>
      <c r="G6" s="705"/>
      <c r="H6" s="704" t="s">
        <v>881</v>
      </c>
      <c r="I6" s="704" t="s">
        <v>880</v>
      </c>
      <c r="J6" s="704" t="s">
        <v>879</v>
      </c>
      <c r="K6" s="704" t="s">
        <v>875</v>
      </c>
      <c r="L6" s="709" t="s">
        <v>878</v>
      </c>
      <c r="M6" s="710"/>
      <c r="N6" s="709" t="s">
        <v>877</v>
      </c>
      <c r="O6" s="710"/>
      <c r="P6" s="709" t="s">
        <v>876</v>
      </c>
      <c r="Q6" s="710"/>
      <c r="R6" s="709" t="s">
        <v>875</v>
      </c>
      <c r="S6" s="710"/>
      <c r="T6" s="705"/>
      <c r="U6" s="704" t="s">
        <v>874</v>
      </c>
      <c r="V6" s="704" t="s">
        <v>577</v>
      </c>
      <c r="W6" s="705"/>
      <c r="X6" s="705"/>
      <c r="Y6" s="705"/>
      <c r="Z6" s="705"/>
      <c r="AB6" s="607"/>
    </row>
    <row r="7" spans="1:28" ht="41.25" customHeight="1">
      <c r="A7" s="717"/>
      <c r="B7" s="717"/>
      <c r="C7" s="706"/>
      <c r="D7" s="706"/>
      <c r="E7" s="706"/>
      <c r="F7" s="706"/>
      <c r="G7" s="706"/>
      <c r="H7" s="706"/>
      <c r="I7" s="706"/>
      <c r="J7" s="706"/>
      <c r="K7" s="706"/>
      <c r="L7" s="628" t="s">
        <v>873</v>
      </c>
      <c r="M7" s="628" t="s">
        <v>872</v>
      </c>
      <c r="N7" s="628" t="s">
        <v>873</v>
      </c>
      <c r="O7" s="628" t="s">
        <v>872</v>
      </c>
      <c r="P7" s="628" t="s">
        <v>873</v>
      </c>
      <c r="Q7" s="628" t="s">
        <v>872</v>
      </c>
      <c r="R7" s="628" t="s">
        <v>873</v>
      </c>
      <c r="S7" s="628" t="s">
        <v>872</v>
      </c>
      <c r="T7" s="706"/>
      <c r="U7" s="706"/>
      <c r="V7" s="706"/>
      <c r="W7" s="706"/>
      <c r="X7" s="706"/>
      <c r="Y7" s="706"/>
      <c r="Z7" s="706"/>
      <c r="AB7" s="607"/>
    </row>
    <row r="8" spans="1:28" s="626" customFormat="1" ht="15">
      <c r="A8" s="606"/>
      <c r="B8" s="606" t="s">
        <v>182</v>
      </c>
      <c r="C8" s="606" t="s">
        <v>183</v>
      </c>
      <c r="D8" s="606" t="s">
        <v>195</v>
      </c>
      <c r="E8" s="606" t="s">
        <v>184</v>
      </c>
      <c r="F8" s="606" t="s">
        <v>185</v>
      </c>
      <c r="G8" s="605" t="s">
        <v>196</v>
      </c>
      <c r="H8" s="606" t="s">
        <v>871</v>
      </c>
      <c r="I8" s="606" t="s">
        <v>870</v>
      </c>
      <c r="J8" s="606" t="s">
        <v>869</v>
      </c>
      <c r="K8" s="606" t="s">
        <v>868</v>
      </c>
      <c r="L8" s="718" t="s">
        <v>867</v>
      </c>
      <c r="M8" s="719"/>
      <c r="N8" s="718" t="s">
        <v>866</v>
      </c>
      <c r="O8" s="719"/>
      <c r="P8" s="718" t="s">
        <v>865</v>
      </c>
      <c r="Q8" s="719"/>
      <c r="R8" s="718" t="s">
        <v>864</v>
      </c>
      <c r="S8" s="719"/>
      <c r="T8" s="606" t="s">
        <v>186</v>
      </c>
      <c r="U8" s="606" t="s">
        <v>187</v>
      </c>
      <c r="V8" s="606" t="s">
        <v>188</v>
      </c>
      <c r="W8" s="606" t="s">
        <v>189</v>
      </c>
      <c r="X8" s="606" t="s">
        <v>190</v>
      </c>
      <c r="Y8" s="606" t="s">
        <v>191</v>
      </c>
      <c r="Z8" s="606" t="s">
        <v>192</v>
      </c>
      <c r="AA8" s="642"/>
      <c r="AB8" s="627"/>
    </row>
    <row r="9" spans="1:28" s="617" customFormat="1">
      <c r="A9" s="623">
        <v>1</v>
      </c>
      <c r="B9" s="619" t="s">
        <v>1001</v>
      </c>
      <c r="C9" s="624">
        <v>306892604</v>
      </c>
      <c r="D9" s="624" t="s">
        <v>1000</v>
      </c>
      <c r="E9" s="622">
        <v>978</v>
      </c>
      <c r="F9" s="622">
        <v>1</v>
      </c>
      <c r="G9" s="638">
        <f t="shared" ref="G9:G40" si="0">+H9+I9+J9+K9+M9+O9+Q9+S9</f>
        <v>416775671</v>
      </c>
      <c r="H9" s="636"/>
      <c r="I9" s="636">
        <v>416775671</v>
      </c>
      <c r="J9" s="636">
        <v>0</v>
      </c>
      <c r="K9" s="636">
        <v>0</v>
      </c>
      <c r="L9" s="636"/>
      <c r="M9" s="636"/>
      <c r="N9" s="636"/>
      <c r="O9" s="636"/>
      <c r="P9" s="636"/>
      <c r="Q9" s="636"/>
      <c r="R9" s="636"/>
      <c r="S9" s="636"/>
      <c r="T9" s="639"/>
      <c r="U9" s="639"/>
      <c r="V9" s="639"/>
      <c r="W9" s="639"/>
      <c r="X9" s="639"/>
      <c r="Y9" s="639"/>
      <c r="Z9" s="635">
        <f t="shared" ref="Z9:Z40" si="1">+G9-V9-X9</f>
        <v>416775671</v>
      </c>
      <c r="AA9" s="640">
        <f>SUMIF($F$9:$F$63,$F9,$Z$9:$Z$63)</f>
        <v>416775671</v>
      </c>
    </row>
    <row r="10" spans="1:28" s="617" customFormat="1" ht="25.5">
      <c r="A10" s="623">
        <v>2</v>
      </c>
      <c r="B10" s="619" t="s">
        <v>999</v>
      </c>
      <c r="C10" s="624">
        <v>305922787</v>
      </c>
      <c r="D10" s="624" t="s">
        <v>1000</v>
      </c>
      <c r="E10" s="622">
        <v>978</v>
      </c>
      <c r="F10" s="622">
        <v>2</v>
      </c>
      <c r="G10" s="638">
        <f t="shared" si="0"/>
        <v>371127209</v>
      </c>
      <c r="H10" s="636"/>
      <c r="I10" s="636">
        <v>371127209</v>
      </c>
      <c r="J10" s="636">
        <v>0</v>
      </c>
      <c r="K10" s="636">
        <v>0</v>
      </c>
      <c r="L10" s="636"/>
      <c r="M10" s="636"/>
      <c r="N10" s="636"/>
      <c r="O10" s="636"/>
      <c r="P10" s="636"/>
      <c r="Q10" s="636"/>
      <c r="R10" s="636"/>
      <c r="S10" s="636"/>
      <c r="T10" s="639"/>
      <c r="U10" s="639"/>
      <c r="V10" s="639"/>
      <c r="W10" s="639"/>
      <c r="X10" s="636"/>
      <c r="Y10" s="636"/>
      <c r="Z10" s="635">
        <f t="shared" si="1"/>
        <v>371127209</v>
      </c>
      <c r="AA10" s="640">
        <f t="shared" ref="AA10:AA63" si="2">SUMIF($F$9:$F$63,$F10,$Z$9:$Z$63)</f>
        <v>371127209</v>
      </c>
    </row>
    <row r="11" spans="1:28" s="617" customFormat="1">
      <c r="A11" s="623">
        <v>3</v>
      </c>
      <c r="B11" s="619"/>
      <c r="C11" s="624"/>
      <c r="D11" s="624"/>
      <c r="E11" s="622"/>
      <c r="F11" s="622"/>
      <c r="G11" s="638">
        <f t="shared" si="0"/>
        <v>0</v>
      </c>
      <c r="H11" s="636"/>
      <c r="I11" s="636"/>
      <c r="J11" s="636"/>
      <c r="K11" s="636"/>
      <c r="L11" s="636"/>
      <c r="M11" s="636"/>
      <c r="N11" s="636"/>
      <c r="O11" s="636"/>
      <c r="P11" s="636"/>
      <c r="Q11" s="636"/>
      <c r="R11" s="636"/>
      <c r="S11" s="636"/>
      <c r="T11" s="639"/>
      <c r="U11" s="639"/>
      <c r="V11" s="639"/>
      <c r="W11" s="639"/>
      <c r="X11" s="636"/>
      <c r="Y11" s="636"/>
      <c r="Z11" s="635">
        <f t="shared" si="1"/>
        <v>0</v>
      </c>
      <c r="AA11" s="640">
        <f t="shared" si="2"/>
        <v>0</v>
      </c>
    </row>
    <row r="12" spans="1:28" s="617" customFormat="1">
      <c r="A12" s="623">
        <v>4</v>
      </c>
      <c r="B12" s="619"/>
      <c r="C12" s="624"/>
      <c r="D12" s="624"/>
      <c r="E12" s="622"/>
      <c r="F12" s="622"/>
      <c r="G12" s="638">
        <f t="shared" si="0"/>
        <v>0</v>
      </c>
      <c r="H12" s="636"/>
      <c r="I12" s="636"/>
      <c r="J12" s="636"/>
      <c r="K12" s="636"/>
      <c r="L12" s="636"/>
      <c r="M12" s="636"/>
      <c r="N12" s="636"/>
      <c r="O12" s="636"/>
      <c r="P12" s="636"/>
      <c r="Q12" s="636"/>
      <c r="R12" s="636"/>
      <c r="S12" s="636"/>
      <c r="T12" s="639"/>
      <c r="U12" s="639"/>
      <c r="V12" s="636"/>
      <c r="W12" s="639"/>
      <c r="X12" s="636"/>
      <c r="Y12" s="639"/>
      <c r="Z12" s="635">
        <f t="shared" si="1"/>
        <v>0</v>
      </c>
      <c r="AA12" s="640">
        <f t="shared" si="2"/>
        <v>0</v>
      </c>
    </row>
    <row r="13" spans="1:28" s="617" customFormat="1">
      <c r="A13" s="623">
        <v>5</v>
      </c>
      <c r="B13" s="619"/>
      <c r="C13" s="619"/>
      <c r="D13" s="624"/>
      <c r="E13" s="622"/>
      <c r="F13" s="622"/>
      <c r="G13" s="638">
        <f t="shared" si="0"/>
        <v>0</v>
      </c>
      <c r="H13" s="636"/>
      <c r="I13" s="636"/>
      <c r="J13" s="636"/>
      <c r="K13" s="636"/>
      <c r="L13" s="636"/>
      <c r="M13" s="636"/>
      <c r="N13" s="636"/>
      <c r="O13" s="636"/>
      <c r="P13" s="636"/>
      <c r="Q13" s="636"/>
      <c r="R13" s="636"/>
      <c r="S13" s="636"/>
      <c r="T13" s="639"/>
      <c r="U13" s="636"/>
      <c r="V13" s="636"/>
      <c r="W13" s="639"/>
      <c r="X13" s="636"/>
      <c r="Y13" s="639"/>
      <c r="Z13" s="635">
        <f t="shared" si="1"/>
        <v>0</v>
      </c>
      <c r="AA13" s="640">
        <f t="shared" si="2"/>
        <v>0</v>
      </c>
    </row>
    <row r="14" spans="1:28" s="617" customFormat="1">
      <c r="A14" s="623">
        <v>6</v>
      </c>
      <c r="B14" s="619"/>
      <c r="C14" s="619"/>
      <c r="D14" s="624"/>
      <c r="E14" s="622"/>
      <c r="F14" s="622"/>
      <c r="G14" s="638">
        <f t="shared" si="0"/>
        <v>0</v>
      </c>
      <c r="H14" s="636"/>
      <c r="I14" s="636"/>
      <c r="J14" s="636"/>
      <c r="K14" s="636"/>
      <c r="L14" s="636"/>
      <c r="M14" s="636"/>
      <c r="N14" s="636"/>
      <c r="O14" s="636"/>
      <c r="P14" s="636"/>
      <c r="Q14" s="636"/>
      <c r="R14" s="636"/>
      <c r="S14" s="636"/>
      <c r="T14" s="639"/>
      <c r="U14" s="636"/>
      <c r="V14" s="636"/>
      <c r="W14" s="639"/>
      <c r="X14" s="636"/>
      <c r="Y14" s="639"/>
      <c r="Z14" s="635">
        <f t="shared" si="1"/>
        <v>0</v>
      </c>
      <c r="AA14" s="640">
        <f t="shared" si="2"/>
        <v>0</v>
      </c>
    </row>
    <row r="15" spans="1:28" s="617" customFormat="1">
      <c r="A15" s="623">
        <v>7</v>
      </c>
      <c r="B15" s="619"/>
      <c r="C15" s="619"/>
      <c r="D15" s="624"/>
      <c r="E15" s="622"/>
      <c r="F15" s="622"/>
      <c r="G15" s="638">
        <f t="shared" si="0"/>
        <v>0</v>
      </c>
      <c r="H15" s="636"/>
      <c r="I15" s="636"/>
      <c r="J15" s="636"/>
      <c r="K15" s="636"/>
      <c r="L15" s="636"/>
      <c r="M15" s="636"/>
      <c r="N15" s="637"/>
      <c r="O15" s="637"/>
      <c r="P15" s="637"/>
      <c r="Q15" s="637"/>
      <c r="R15" s="636"/>
      <c r="S15" s="636"/>
      <c r="T15" s="639"/>
      <c r="U15" s="636"/>
      <c r="V15" s="636"/>
      <c r="W15" s="639"/>
      <c r="X15" s="636"/>
      <c r="Y15" s="636"/>
      <c r="Z15" s="635">
        <f t="shared" si="1"/>
        <v>0</v>
      </c>
      <c r="AA15" s="640">
        <f t="shared" si="2"/>
        <v>0</v>
      </c>
    </row>
    <row r="16" spans="1:28" s="617" customFormat="1">
      <c r="A16" s="623">
        <v>8</v>
      </c>
      <c r="B16" s="619"/>
      <c r="C16" s="619"/>
      <c r="D16" s="624"/>
      <c r="E16" s="622"/>
      <c r="F16" s="622"/>
      <c r="G16" s="638">
        <f t="shared" si="0"/>
        <v>0</v>
      </c>
      <c r="H16" s="636"/>
      <c r="I16" s="636"/>
      <c r="J16" s="636"/>
      <c r="K16" s="636"/>
      <c r="L16" s="636"/>
      <c r="M16" s="636"/>
      <c r="N16" s="637"/>
      <c r="O16" s="637"/>
      <c r="P16" s="637"/>
      <c r="Q16" s="637"/>
      <c r="R16" s="636"/>
      <c r="S16" s="636"/>
      <c r="T16" s="639"/>
      <c r="U16" s="636"/>
      <c r="V16" s="636"/>
      <c r="W16" s="639"/>
      <c r="X16" s="636"/>
      <c r="Y16" s="636"/>
      <c r="Z16" s="635">
        <f t="shared" si="1"/>
        <v>0</v>
      </c>
      <c r="AA16" s="640">
        <f t="shared" si="2"/>
        <v>0</v>
      </c>
    </row>
    <row r="17" spans="1:27" s="617" customFormat="1">
      <c r="A17" s="623">
        <v>9</v>
      </c>
      <c r="B17" s="619"/>
      <c r="C17" s="619"/>
      <c r="D17" s="624"/>
      <c r="E17" s="622"/>
      <c r="F17" s="622"/>
      <c r="G17" s="638">
        <f t="shared" si="0"/>
        <v>0</v>
      </c>
      <c r="H17" s="636"/>
      <c r="I17" s="636"/>
      <c r="J17" s="636"/>
      <c r="K17" s="636"/>
      <c r="L17" s="636"/>
      <c r="M17" s="636"/>
      <c r="N17" s="637"/>
      <c r="O17" s="637"/>
      <c r="P17" s="637"/>
      <c r="Q17" s="637"/>
      <c r="R17" s="636"/>
      <c r="S17" s="636"/>
      <c r="T17" s="639"/>
      <c r="U17" s="636"/>
      <c r="V17" s="636"/>
      <c r="W17" s="639"/>
      <c r="X17" s="636"/>
      <c r="Y17" s="636"/>
      <c r="Z17" s="635">
        <f t="shared" si="1"/>
        <v>0</v>
      </c>
      <c r="AA17" s="640">
        <f t="shared" si="2"/>
        <v>0</v>
      </c>
    </row>
    <row r="18" spans="1:27" s="617" customFormat="1">
      <c r="A18" s="623">
        <v>10</v>
      </c>
      <c r="B18" s="619"/>
      <c r="C18" s="619"/>
      <c r="D18" s="624"/>
      <c r="E18" s="622"/>
      <c r="F18" s="622"/>
      <c r="G18" s="638">
        <f t="shared" si="0"/>
        <v>0</v>
      </c>
      <c r="H18" s="636"/>
      <c r="I18" s="636"/>
      <c r="J18" s="636"/>
      <c r="K18" s="636"/>
      <c r="L18" s="636"/>
      <c r="M18" s="636"/>
      <c r="N18" s="636"/>
      <c r="O18" s="636"/>
      <c r="P18" s="636"/>
      <c r="Q18" s="636"/>
      <c r="R18" s="636"/>
      <c r="S18" s="636"/>
      <c r="T18" s="639"/>
      <c r="U18" s="636"/>
      <c r="V18" s="636"/>
      <c r="W18" s="639"/>
      <c r="X18" s="636"/>
      <c r="Y18" s="636"/>
      <c r="Z18" s="635">
        <f t="shared" si="1"/>
        <v>0</v>
      </c>
      <c r="AA18" s="640">
        <f t="shared" si="2"/>
        <v>0</v>
      </c>
    </row>
    <row r="19" spans="1:27" s="617" customFormat="1">
      <c r="A19" s="623">
        <v>11</v>
      </c>
      <c r="B19" s="619"/>
      <c r="C19" s="619"/>
      <c r="D19" s="624"/>
      <c r="E19" s="622"/>
      <c r="F19" s="622"/>
      <c r="G19" s="638">
        <f t="shared" si="0"/>
        <v>0</v>
      </c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9"/>
      <c r="U19" s="636"/>
      <c r="V19" s="636"/>
      <c r="W19" s="639"/>
      <c r="X19" s="636"/>
      <c r="Y19" s="636"/>
      <c r="Z19" s="635">
        <f t="shared" si="1"/>
        <v>0</v>
      </c>
      <c r="AA19" s="640">
        <f t="shared" si="2"/>
        <v>0</v>
      </c>
    </row>
    <row r="20" spans="1:27" s="617" customFormat="1">
      <c r="A20" s="623">
        <v>12</v>
      </c>
      <c r="B20" s="619"/>
      <c r="C20" s="619"/>
      <c r="D20" s="624"/>
      <c r="E20" s="622"/>
      <c r="F20" s="622"/>
      <c r="G20" s="638">
        <f t="shared" si="0"/>
        <v>0</v>
      </c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9"/>
      <c r="U20" s="636"/>
      <c r="V20" s="636"/>
      <c r="W20" s="639"/>
      <c r="X20" s="636"/>
      <c r="Y20" s="636"/>
      <c r="Z20" s="635">
        <f t="shared" si="1"/>
        <v>0</v>
      </c>
      <c r="AA20" s="640">
        <f t="shared" si="2"/>
        <v>0</v>
      </c>
    </row>
    <row r="21" spans="1:27" s="617" customFormat="1">
      <c r="A21" s="623">
        <v>13</v>
      </c>
      <c r="B21" s="619"/>
      <c r="C21" s="619"/>
      <c r="D21" s="619"/>
      <c r="E21" s="622"/>
      <c r="F21" s="622"/>
      <c r="G21" s="638">
        <f t="shared" si="0"/>
        <v>0</v>
      </c>
      <c r="H21" s="636"/>
      <c r="I21" s="636"/>
      <c r="J21" s="636"/>
      <c r="K21" s="636"/>
      <c r="L21" s="636"/>
      <c r="M21" s="636"/>
      <c r="N21" s="637"/>
      <c r="O21" s="637"/>
      <c r="P21" s="637"/>
      <c r="Q21" s="637"/>
      <c r="R21" s="636"/>
      <c r="S21" s="636"/>
      <c r="T21" s="636"/>
      <c r="U21" s="636"/>
      <c r="V21" s="636"/>
      <c r="W21" s="636"/>
      <c r="X21" s="636"/>
      <c r="Y21" s="636"/>
      <c r="Z21" s="635">
        <f t="shared" si="1"/>
        <v>0</v>
      </c>
      <c r="AA21" s="640">
        <f t="shared" si="2"/>
        <v>0</v>
      </c>
    </row>
    <row r="22" spans="1:27" s="617" customFormat="1">
      <c r="A22" s="623">
        <v>14</v>
      </c>
      <c r="B22" s="619"/>
      <c r="C22" s="619"/>
      <c r="D22" s="624"/>
      <c r="E22" s="622"/>
      <c r="F22" s="622"/>
      <c r="G22" s="638">
        <f t="shared" si="0"/>
        <v>0</v>
      </c>
      <c r="H22" s="636"/>
      <c r="I22" s="636"/>
      <c r="J22" s="636"/>
      <c r="K22" s="636"/>
      <c r="L22" s="636"/>
      <c r="M22" s="636"/>
      <c r="N22" s="636"/>
      <c r="O22" s="636"/>
      <c r="P22" s="636"/>
      <c r="Q22" s="636"/>
      <c r="R22" s="636"/>
      <c r="S22" s="636"/>
      <c r="T22" s="639"/>
      <c r="U22" s="636"/>
      <c r="V22" s="636"/>
      <c r="W22" s="639"/>
      <c r="X22" s="636"/>
      <c r="Y22" s="639"/>
      <c r="Z22" s="635">
        <f t="shared" si="1"/>
        <v>0</v>
      </c>
      <c r="AA22" s="640">
        <f t="shared" si="2"/>
        <v>0</v>
      </c>
    </row>
    <row r="23" spans="1:27" s="617" customFormat="1">
      <c r="A23" s="623">
        <v>15</v>
      </c>
      <c r="B23" s="619"/>
      <c r="C23" s="619"/>
      <c r="D23" s="624"/>
      <c r="E23" s="622"/>
      <c r="F23" s="622"/>
      <c r="G23" s="638">
        <f t="shared" si="0"/>
        <v>0</v>
      </c>
      <c r="H23" s="636"/>
      <c r="I23" s="636"/>
      <c r="J23" s="636"/>
      <c r="K23" s="636"/>
      <c r="L23" s="636"/>
      <c r="M23" s="636"/>
      <c r="N23" s="636"/>
      <c r="O23" s="636"/>
      <c r="P23" s="636"/>
      <c r="Q23" s="636"/>
      <c r="R23" s="636"/>
      <c r="S23" s="636"/>
      <c r="T23" s="639"/>
      <c r="U23" s="636"/>
      <c r="V23" s="636"/>
      <c r="W23" s="639"/>
      <c r="X23" s="636"/>
      <c r="Y23" s="639"/>
      <c r="Z23" s="635">
        <f t="shared" si="1"/>
        <v>0</v>
      </c>
      <c r="AA23" s="640">
        <f t="shared" si="2"/>
        <v>0</v>
      </c>
    </row>
    <row r="24" spans="1:27" s="617" customFormat="1">
      <c r="A24" s="623">
        <v>16</v>
      </c>
      <c r="B24" s="619"/>
      <c r="C24" s="619"/>
      <c r="D24" s="624"/>
      <c r="E24" s="622"/>
      <c r="F24" s="622"/>
      <c r="G24" s="638">
        <f t="shared" si="0"/>
        <v>0</v>
      </c>
      <c r="H24" s="636"/>
      <c r="I24" s="636"/>
      <c r="J24" s="636"/>
      <c r="K24" s="636"/>
      <c r="L24" s="636"/>
      <c r="M24" s="636"/>
      <c r="N24" s="637"/>
      <c r="O24" s="637"/>
      <c r="P24" s="637"/>
      <c r="Q24" s="637"/>
      <c r="R24" s="636"/>
      <c r="S24" s="636"/>
      <c r="T24" s="639"/>
      <c r="U24" s="636"/>
      <c r="V24" s="636"/>
      <c r="W24" s="639"/>
      <c r="X24" s="636"/>
      <c r="Y24" s="639"/>
      <c r="Z24" s="635">
        <f t="shared" si="1"/>
        <v>0</v>
      </c>
      <c r="AA24" s="640">
        <f t="shared" si="2"/>
        <v>0</v>
      </c>
    </row>
    <row r="25" spans="1:27" s="617" customFormat="1">
      <c r="A25" s="623">
        <v>17</v>
      </c>
      <c r="B25" s="619"/>
      <c r="C25" s="619"/>
      <c r="D25" s="624"/>
      <c r="E25" s="622"/>
      <c r="F25" s="622"/>
      <c r="G25" s="638">
        <f t="shared" si="0"/>
        <v>0</v>
      </c>
      <c r="H25" s="636"/>
      <c r="I25" s="636"/>
      <c r="J25" s="636"/>
      <c r="K25" s="636"/>
      <c r="L25" s="636"/>
      <c r="M25" s="636"/>
      <c r="N25" s="637"/>
      <c r="O25" s="637"/>
      <c r="P25" s="637"/>
      <c r="Q25" s="637"/>
      <c r="R25" s="636"/>
      <c r="S25" s="636"/>
      <c r="T25" s="639"/>
      <c r="U25" s="636"/>
      <c r="V25" s="636"/>
      <c r="W25" s="639"/>
      <c r="X25" s="636"/>
      <c r="Y25" s="639"/>
      <c r="Z25" s="635">
        <f t="shared" si="1"/>
        <v>0</v>
      </c>
      <c r="AA25" s="640">
        <f t="shared" si="2"/>
        <v>0</v>
      </c>
    </row>
    <row r="26" spans="1:27" s="617" customFormat="1">
      <c r="A26" s="623">
        <v>18</v>
      </c>
      <c r="B26" s="619"/>
      <c r="C26" s="619"/>
      <c r="D26" s="624"/>
      <c r="E26" s="622"/>
      <c r="F26" s="622"/>
      <c r="G26" s="638">
        <f t="shared" si="0"/>
        <v>0</v>
      </c>
      <c r="H26" s="636"/>
      <c r="I26" s="636"/>
      <c r="J26" s="636"/>
      <c r="K26" s="636"/>
      <c r="L26" s="636"/>
      <c r="M26" s="636"/>
      <c r="N26" s="637"/>
      <c r="O26" s="637"/>
      <c r="P26" s="637"/>
      <c r="Q26" s="637"/>
      <c r="R26" s="636"/>
      <c r="S26" s="636"/>
      <c r="T26" s="639"/>
      <c r="U26" s="636"/>
      <c r="V26" s="636"/>
      <c r="W26" s="639"/>
      <c r="X26" s="636"/>
      <c r="Y26" s="636"/>
      <c r="Z26" s="635">
        <f t="shared" si="1"/>
        <v>0</v>
      </c>
      <c r="AA26" s="640">
        <f t="shared" si="2"/>
        <v>0</v>
      </c>
    </row>
    <row r="27" spans="1:27" s="617" customFormat="1">
      <c r="A27" s="623">
        <v>19</v>
      </c>
      <c r="B27" s="619"/>
      <c r="C27" s="619"/>
      <c r="D27" s="624"/>
      <c r="E27" s="622"/>
      <c r="F27" s="622"/>
      <c r="G27" s="638">
        <f t="shared" si="0"/>
        <v>0</v>
      </c>
      <c r="H27" s="636"/>
      <c r="I27" s="636"/>
      <c r="J27" s="636"/>
      <c r="K27" s="636"/>
      <c r="L27" s="636"/>
      <c r="M27" s="636"/>
      <c r="N27" s="637"/>
      <c r="O27" s="637"/>
      <c r="P27" s="637"/>
      <c r="Q27" s="637"/>
      <c r="R27" s="636"/>
      <c r="S27" s="636"/>
      <c r="T27" s="639"/>
      <c r="U27" s="636"/>
      <c r="V27" s="636"/>
      <c r="W27" s="639"/>
      <c r="X27" s="636"/>
      <c r="Y27" s="636"/>
      <c r="Z27" s="635">
        <f t="shared" si="1"/>
        <v>0</v>
      </c>
      <c r="AA27" s="640">
        <f t="shared" si="2"/>
        <v>0</v>
      </c>
    </row>
    <row r="28" spans="1:27" s="617" customFormat="1">
      <c r="A28" s="623">
        <v>20</v>
      </c>
      <c r="B28" s="619"/>
      <c r="C28" s="619"/>
      <c r="D28" s="624"/>
      <c r="E28" s="622"/>
      <c r="F28" s="622"/>
      <c r="G28" s="638">
        <f t="shared" si="0"/>
        <v>0</v>
      </c>
      <c r="H28" s="636"/>
      <c r="I28" s="636"/>
      <c r="J28" s="636"/>
      <c r="K28" s="636"/>
      <c r="L28" s="636"/>
      <c r="M28" s="636"/>
      <c r="N28" s="637"/>
      <c r="O28" s="637"/>
      <c r="P28" s="637"/>
      <c r="Q28" s="637"/>
      <c r="R28" s="636"/>
      <c r="S28" s="636"/>
      <c r="T28" s="639"/>
      <c r="U28" s="636"/>
      <c r="V28" s="636"/>
      <c r="W28" s="639"/>
      <c r="X28" s="636"/>
      <c r="Y28" s="636"/>
      <c r="Z28" s="635">
        <f t="shared" si="1"/>
        <v>0</v>
      </c>
      <c r="AA28" s="640">
        <f t="shared" si="2"/>
        <v>0</v>
      </c>
    </row>
    <row r="29" spans="1:27" s="617" customFormat="1">
      <c r="A29" s="623">
        <v>21</v>
      </c>
      <c r="B29" s="619"/>
      <c r="C29" s="619"/>
      <c r="D29" s="624"/>
      <c r="E29" s="622"/>
      <c r="F29" s="622"/>
      <c r="G29" s="638">
        <f t="shared" si="0"/>
        <v>0</v>
      </c>
      <c r="H29" s="636"/>
      <c r="I29" s="636"/>
      <c r="J29" s="636"/>
      <c r="K29" s="636"/>
      <c r="L29" s="636"/>
      <c r="M29" s="636"/>
      <c r="N29" s="637"/>
      <c r="O29" s="637"/>
      <c r="P29" s="60"/>
      <c r="Q29" s="624"/>
      <c r="R29" s="636"/>
      <c r="S29" s="636"/>
      <c r="T29" s="639"/>
      <c r="U29" s="636"/>
      <c r="V29" s="636"/>
      <c r="W29" s="639"/>
      <c r="X29" s="636"/>
      <c r="Y29" s="636"/>
      <c r="Z29" s="635">
        <f t="shared" si="1"/>
        <v>0</v>
      </c>
      <c r="AA29" s="640">
        <f t="shared" si="2"/>
        <v>0</v>
      </c>
    </row>
    <row r="30" spans="1:27" s="617" customFormat="1">
      <c r="A30" s="623">
        <v>22</v>
      </c>
      <c r="B30" s="619"/>
      <c r="C30" s="619"/>
      <c r="D30" s="624"/>
      <c r="E30" s="622"/>
      <c r="F30" s="622"/>
      <c r="G30" s="638">
        <f t="shared" si="0"/>
        <v>0</v>
      </c>
      <c r="H30" s="636"/>
      <c r="I30" s="636"/>
      <c r="J30" s="636"/>
      <c r="K30" s="636"/>
      <c r="L30" s="636"/>
      <c r="M30" s="636"/>
      <c r="N30" s="637"/>
      <c r="O30" s="637"/>
      <c r="P30" s="637"/>
      <c r="Q30" s="637"/>
      <c r="R30" s="636"/>
      <c r="S30" s="636"/>
      <c r="T30" s="639"/>
      <c r="U30" s="636"/>
      <c r="V30" s="636"/>
      <c r="W30" s="639"/>
      <c r="X30" s="636"/>
      <c r="Y30" s="636"/>
      <c r="Z30" s="635">
        <f t="shared" si="1"/>
        <v>0</v>
      </c>
      <c r="AA30" s="640">
        <f t="shared" si="2"/>
        <v>0</v>
      </c>
    </row>
    <row r="31" spans="1:27" s="617" customFormat="1">
      <c r="A31" s="623">
        <v>23</v>
      </c>
      <c r="B31" s="619"/>
      <c r="C31" s="619"/>
      <c r="D31" s="624"/>
      <c r="E31" s="622"/>
      <c r="F31" s="622"/>
      <c r="G31" s="638">
        <f t="shared" si="0"/>
        <v>0</v>
      </c>
      <c r="H31" s="636"/>
      <c r="I31" s="636"/>
      <c r="J31" s="636"/>
      <c r="K31" s="636"/>
      <c r="L31" s="636"/>
      <c r="M31" s="636"/>
      <c r="N31" s="637"/>
      <c r="O31" s="637"/>
      <c r="P31" s="637"/>
      <c r="Q31" s="637"/>
      <c r="R31" s="636"/>
      <c r="S31" s="636"/>
      <c r="T31" s="639"/>
      <c r="U31" s="636"/>
      <c r="V31" s="636"/>
      <c r="W31" s="639"/>
      <c r="X31" s="636"/>
      <c r="Y31" s="636"/>
      <c r="Z31" s="635">
        <f t="shared" si="1"/>
        <v>0</v>
      </c>
      <c r="AA31" s="640">
        <f t="shared" si="2"/>
        <v>0</v>
      </c>
    </row>
    <row r="32" spans="1:27" s="617" customFormat="1">
      <c r="A32" s="623">
        <v>24</v>
      </c>
      <c r="B32" s="619"/>
      <c r="C32" s="619"/>
      <c r="D32" s="624"/>
      <c r="E32" s="622"/>
      <c r="F32" s="622"/>
      <c r="G32" s="638">
        <f t="shared" si="0"/>
        <v>0</v>
      </c>
      <c r="H32" s="636"/>
      <c r="I32" s="636"/>
      <c r="J32" s="636"/>
      <c r="K32" s="636"/>
      <c r="L32" s="636"/>
      <c r="M32" s="636"/>
      <c r="N32" s="637"/>
      <c r="O32" s="637"/>
      <c r="P32" s="637"/>
      <c r="Q32" s="637"/>
      <c r="R32" s="636"/>
      <c r="S32" s="636"/>
      <c r="T32" s="639"/>
      <c r="U32" s="636"/>
      <c r="V32" s="636"/>
      <c r="W32" s="639"/>
      <c r="X32" s="636"/>
      <c r="Y32" s="636"/>
      <c r="Z32" s="635">
        <f t="shared" si="1"/>
        <v>0</v>
      </c>
      <c r="AA32" s="640">
        <f t="shared" si="2"/>
        <v>0</v>
      </c>
    </row>
    <row r="33" spans="1:27" s="617" customFormat="1">
      <c r="A33" s="623">
        <v>25</v>
      </c>
      <c r="B33" s="619"/>
      <c r="C33" s="619"/>
      <c r="D33" s="624"/>
      <c r="E33" s="622"/>
      <c r="F33" s="622"/>
      <c r="G33" s="638">
        <f t="shared" si="0"/>
        <v>0</v>
      </c>
      <c r="H33" s="636"/>
      <c r="I33" s="636"/>
      <c r="J33" s="636"/>
      <c r="K33" s="636"/>
      <c r="L33" s="636"/>
      <c r="M33" s="636"/>
      <c r="N33" s="636"/>
      <c r="O33" s="636"/>
      <c r="P33" s="636"/>
      <c r="Q33" s="636"/>
      <c r="R33" s="636"/>
      <c r="S33" s="636"/>
      <c r="T33" s="639"/>
      <c r="U33" s="636"/>
      <c r="V33" s="636"/>
      <c r="W33" s="639"/>
      <c r="X33" s="636"/>
      <c r="Y33" s="636"/>
      <c r="Z33" s="635">
        <f t="shared" si="1"/>
        <v>0</v>
      </c>
      <c r="AA33" s="640">
        <f t="shared" si="2"/>
        <v>0</v>
      </c>
    </row>
    <row r="34" spans="1:27" s="617" customFormat="1">
      <c r="A34" s="623">
        <v>26</v>
      </c>
      <c r="B34" s="619"/>
      <c r="C34" s="619"/>
      <c r="D34" s="624"/>
      <c r="E34" s="622"/>
      <c r="F34" s="622"/>
      <c r="G34" s="638">
        <f t="shared" si="0"/>
        <v>0</v>
      </c>
      <c r="H34" s="636"/>
      <c r="I34" s="636"/>
      <c r="J34" s="636"/>
      <c r="K34" s="636"/>
      <c r="L34" s="636"/>
      <c r="M34" s="636"/>
      <c r="N34" s="636"/>
      <c r="O34" s="636"/>
      <c r="P34" s="636"/>
      <c r="Q34" s="636"/>
      <c r="R34" s="636"/>
      <c r="S34" s="636"/>
      <c r="T34" s="639"/>
      <c r="U34" s="636"/>
      <c r="V34" s="636"/>
      <c r="W34" s="639"/>
      <c r="X34" s="636"/>
      <c r="Y34" s="636"/>
      <c r="Z34" s="635">
        <f t="shared" si="1"/>
        <v>0</v>
      </c>
      <c r="AA34" s="640">
        <f t="shared" si="2"/>
        <v>0</v>
      </c>
    </row>
    <row r="35" spans="1:27" s="617" customFormat="1">
      <c r="A35" s="623">
        <v>27</v>
      </c>
      <c r="B35" s="619"/>
      <c r="C35" s="619"/>
      <c r="D35" s="624"/>
      <c r="E35" s="622"/>
      <c r="F35" s="622"/>
      <c r="G35" s="638">
        <f t="shared" si="0"/>
        <v>0</v>
      </c>
      <c r="H35" s="636"/>
      <c r="I35" s="636"/>
      <c r="J35" s="636"/>
      <c r="K35" s="636"/>
      <c r="L35" s="636"/>
      <c r="M35" s="636"/>
      <c r="N35" s="636"/>
      <c r="O35" s="636"/>
      <c r="P35" s="636"/>
      <c r="Q35" s="636"/>
      <c r="R35" s="636"/>
      <c r="S35" s="636"/>
      <c r="T35" s="639"/>
      <c r="U35" s="636"/>
      <c r="V35" s="636"/>
      <c r="W35" s="639"/>
      <c r="X35" s="636"/>
      <c r="Y35" s="636"/>
      <c r="Z35" s="635">
        <f t="shared" si="1"/>
        <v>0</v>
      </c>
      <c r="AA35" s="640">
        <f t="shared" si="2"/>
        <v>0</v>
      </c>
    </row>
    <row r="36" spans="1:27" s="617" customFormat="1">
      <c r="A36" s="623">
        <v>28</v>
      </c>
      <c r="B36" s="619"/>
      <c r="C36" s="619"/>
      <c r="D36" s="624"/>
      <c r="E36" s="622"/>
      <c r="F36" s="622"/>
      <c r="G36" s="638">
        <f t="shared" si="0"/>
        <v>0</v>
      </c>
      <c r="H36" s="636"/>
      <c r="I36" s="636"/>
      <c r="J36" s="636"/>
      <c r="K36" s="636"/>
      <c r="L36" s="636"/>
      <c r="M36" s="636"/>
      <c r="N36" s="636"/>
      <c r="O36" s="636"/>
      <c r="P36" s="636"/>
      <c r="Q36" s="636"/>
      <c r="R36" s="636"/>
      <c r="S36" s="636"/>
      <c r="T36" s="639"/>
      <c r="U36" s="636"/>
      <c r="V36" s="636"/>
      <c r="W36" s="639"/>
      <c r="X36" s="636"/>
      <c r="Y36" s="636"/>
      <c r="Z36" s="635">
        <f t="shared" si="1"/>
        <v>0</v>
      </c>
      <c r="AA36" s="640">
        <f t="shared" si="2"/>
        <v>0</v>
      </c>
    </row>
    <row r="37" spans="1:27" s="617" customFormat="1">
      <c r="A37" s="623">
        <v>29</v>
      </c>
      <c r="B37" s="619"/>
      <c r="C37" s="619"/>
      <c r="D37" s="624"/>
      <c r="E37" s="622"/>
      <c r="F37" s="622"/>
      <c r="G37" s="638">
        <f t="shared" si="0"/>
        <v>0</v>
      </c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9"/>
      <c r="U37" s="636"/>
      <c r="V37" s="636"/>
      <c r="W37" s="639"/>
      <c r="X37" s="636"/>
      <c r="Y37" s="636"/>
      <c r="Z37" s="635">
        <f t="shared" si="1"/>
        <v>0</v>
      </c>
      <c r="AA37" s="640">
        <f t="shared" si="2"/>
        <v>0</v>
      </c>
    </row>
    <row r="38" spans="1:27" s="617" customFormat="1">
      <c r="A38" s="623">
        <v>30</v>
      </c>
      <c r="B38" s="619"/>
      <c r="C38" s="619"/>
      <c r="D38" s="624"/>
      <c r="E38" s="622"/>
      <c r="F38" s="622"/>
      <c r="G38" s="638">
        <f t="shared" si="0"/>
        <v>0</v>
      </c>
      <c r="H38" s="636"/>
      <c r="I38" s="636"/>
      <c r="J38" s="636"/>
      <c r="K38" s="636"/>
      <c r="L38" s="636"/>
      <c r="M38" s="636"/>
      <c r="N38" s="636"/>
      <c r="O38" s="636"/>
      <c r="P38" s="636"/>
      <c r="Q38" s="636"/>
      <c r="R38" s="636"/>
      <c r="S38" s="636"/>
      <c r="T38" s="639"/>
      <c r="U38" s="636"/>
      <c r="V38" s="636"/>
      <c r="W38" s="639"/>
      <c r="X38" s="636"/>
      <c r="Y38" s="636"/>
      <c r="Z38" s="635">
        <f t="shared" si="1"/>
        <v>0</v>
      </c>
      <c r="AA38" s="640">
        <f t="shared" si="2"/>
        <v>0</v>
      </c>
    </row>
    <row r="39" spans="1:27" s="617" customFormat="1">
      <c r="A39" s="623">
        <v>31</v>
      </c>
      <c r="B39" s="619"/>
      <c r="C39" s="619"/>
      <c r="D39" s="619"/>
      <c r="E39" s="622"/>
      <c r="F39" s="622"/>
      <c r="G39" s="638">
        <f t="shared" si="0"/>
        <v>0</v>
      </c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9"/>
      <c r="U39" s="636"/>
      <c r="V39" s="636"/>
      <c r="W39" s="639"/>
      <c r="X39" s="636"/>
      <c r="Y39" s="636"/>
      <c r="Z39" s="635">
        <f t="shared" si="1"/>
        <v>0</v>
      </c>
      <c r="AA39" s="640">
        <f t="shared" si="2"/>
        <v>0</v>
      </c>
    </row>
    <row r="40" spans="1:27" s="617" customFormat="1">
      <c r="A40" s="623">
        <v>32</v>
      </c>
      <c r="B40" s="619"/>
      <c r="C40" s="619"/>
      <c r="D40" s="619"/>
      <c r="E40" s="622"/>
      <c r="F40" s="622"/>
      <c r="G40" s="638">
        <f t="shared" si="0"/>
        <v>0</v>
      </c>
      <c r="H40" s="636"/>
      <c r="I40" s="636"/>
      <c r="J40" s="636"/>
      <c r="K40" s="636"/>
      <c r="L40" s="636"/>
      <c r="M40" s="636"/>
      <c r="N40" s="637"/>
      <c r="O40" s="637"/>
      <c r="P40" s="637"/>
      <c r="Q40" s="637"/>
      <c r="R40" s="636"/>
      <c r="S40" s="636"/>
      <c r="T40" s="639"/>
      <c r="U40" s="636"/>
      <c r="V40" s="636"/>
      <c r="W40" s="639"/>
      <c r="X40" s="636"/>
      <c r="Y40" s="636"/>
      <c r="Z40" s="635">
        <f t="shared" si="1"/>
        <v>0</v>
      </c>
      <c r="AA40" s="640">
        <f t="shared" si="2"/>
        <v>0</v>
      </c>
    </row>
    <row r="41" spans="1:27" s="617" customFormat="1">
      <c r="A41" s="623">
        <v>33</v>
      </c>
      <c r="B41" s="619"/>
      <c r="C41" s="619"/>
      <c r="D41" s="619"/>
      <c r="E41" s="622"/>
      <c r="F41" s="622"/>
      <c r="G41" s="638">
        <f t="shared" ref="G41:G63" si="3">+H41+I41+J41+K41+M41+O41+Q41+S41</f>
        <v>0</v>
      </c>
      <c r="H41" s="636"/>
      <c r="I41" s="636"/>
      <c r="J41" s="636"/>
      <c r="K41" s="636"/>
      <c r="L41" s="636"/>
      <c r="M41" s="636"/>
      <c r="N41" s="637"/>
      <c r="O41" s="637"/>
      <c r="P41" s="637"/>
      <c r="Q41" s="637"/>
      <c r="R41" s="636"/>
      <c r="S41" s="636"/>
      <c r="T41" s="639"/>
      <c r="U41" s="636"/>
      <c r="V41" s="636"/>
      <c r="W41" s="639"/>
      <c r="X41" s="636"/>
      <c r="Y41" s="636"/>
      <c r="Z41" s="635">
        <f t="shared" ref="Z41:Z63" si="4">+G41-V41-X41</f>
        <v>0</v>
      </c>
      <c r="AA41" s="640">
        <f t="shared" si="2"/>
        <v>0</v>
      </c>
    </row>
    <row r="42" spans="1:27" s="617" customFormat="1">
      <c r="A42" s="623">
        <v>34</v>
      </c>
      <c r="B42" s="619"/>
      <c r="C42" s="619"/>
      <c r="D42" s="619"/>
      <c r="E42" s="622"/>
      <c r="F42" s="622"/>
      <c r="G42" s="638">
        <f t="shared" si="3"/>
        <v>0</v>
      </c>
      <c r="H42" s="636"/>
      <c r="I42" s="636"/>
      <c r="J42" s="636"/>
      <c r="K42" s="636"/>
      <c r="L42" s="636"/>
      <c r="M42" s="636"/>
      <c r="N42" s="637"/>
      <c r="O42" s="637"/>
      <c r="P42" s="637"/>
      <c r="Q42" s="637"/>
      <c r="R42" s="636"/>
      <c r="S42" s="636"/>
      <c r="T42" s="639"/>
      <c r="U42" s="636"/>
      <c r="V42" s="636"/>
      <c r="W42" s="639"/>
      <c r="X42" s="636"/>
      <c r="Y42" s="636"/>
      <c r="Z42" s="635">
        <f t="shared" si="4"/>
        <v>0</v>
      </c>
      <c r="AA42" s="640">
        <f t="shared" si="2"/>
        <v>0</v>
      </c>
    </row>
    <row r="43" spans="1:27" s="617" customFormat="1">
      <c r="A43" s="623">
        <v>35</v>
      </c>
      <c r="B43" s="619"/>
      <c r="C43" s="619"/>
      <c r="D43" s="619"/>
      <c r="E43" s="622"/>
      <c r="F43" s="622"/>
      <c r="G43" s="638">
        <f t="shared" si="3"/>
        <v>0</v>
      </c>
      <c r="H43" s="636"/>
      <c r="I43" s="636"/>
      <c r="J43" s="636"/>
      <c r="K43" s="636"/>
      <c r="L43" s="636"/>
      <c r="M43" s="636"/>
      <c r="N43" s="637"/>
      <c r="O43" s="637"/>
      <c r="P43" s="637"/>
      <c r="Q43" s="637"/>
      <c r="R43" s="636"/>
      <c r="S43" s="636"/>
      <c r="T43" s="639"/>
      <c r="U43" s="636"/>
      <c r="V43" s="636"/>
      <c r="W43" s="639"/>
      <c r="X43" s="636"/>
      <c r="Y43" s="636"/>
      <c r="Z43" s="635">
        <f t="shared" si="4"/>
        <v>0</v>
      </c>
      <c r="AA43" s="640">
        <f t="shared" si="2"/>
        <v>0</v>
      </c>
    </row>
    <row r="44" spans="1:27" s="617" customFormat="1">
      <c r="A44" s="623">
        <v>36</v>
      </c>
      <c r="B44" s="619"/>
      <c r="C44" s="619"/>
      <c r="D44" s="619"/>
      <c r="E44" s="622"/>
      <c r="F44" s="622"/>
      <c r="G44" s="638">
        <f t="shared" si="3"/>
        <v>0</v>
      </c>
      <c r="H44" s="636"/>
      <c r="I44" s="636"/>
      <c r="J44" s="636"/>
      <c r="K44" s="636"/>
      <c r="L44" s="636"/>
      <c r="M44" s="636"/>
      <c r="N44" s="637"/>
      <c r="O44" s="637"/>
      <c r="P44" s="637"/>
      <c r="Q44" s="637"/>
      <c r="R44" s="636"/>
      <c r="S44" s="636"/>
      <c r="T44" s="639"/>
      <c r="U44" s="636"/>
      <c r="V44" s="636"/>
      <c r="W44" s="639"/>
      <c r="X44" s="636"/>
      <c r="Y44" s="636"/>
      <c r="Z44" s="635">
        <f t="shared" si="4"/>
        <v>0</v>
      </c>
      <c r="AA44" s="640">
        <f t="shared" si="2"/>
        <v>0</v>
      </c>
    </row>
    <row r="45" spans="1:27" s="617" customFormat="1">
      <c r="A45" s="623">
        <v>37</v>
      </c>
      <c r="B45" s="619"/>
      <c r="C45" s="619"/>
      <c r="D45" s="619"/>
      <c r="E45" s="622"/>
      <c r="F45" s="622"/>
      <c r="G45" s="638">
        <f t="shared" si="3"/>
        <v>0</v>
      </c>
      <c r="H45" s="636"/>
      <c r="I45" s="636"/>
      <c r="J45" s="636"/>
      <c r="K45" s="636"/>
      <c r="L45" s="636"/>
      <c r="M45" s="636"/>
      <c r="N45" s="637"/>
      <c r="O45" s="637"/>
      <c r="P45" s="637"/>
      <c r="Q45" s="637"/>
      <c r="R45" s="636"/>
      <c r="S45" s="636"/>
      <c r="T45" s="639"/>
      <c r="U45" s="636"/>
      <c r="V45" s="636"/>
      <c r="W45" s="639"/>
      <c r="X45" s="636"/>
      <c r="Y45" s="636"/>
      <c r="Z45" s="635">
        <f t="shared" si="4"/>
        <v>0</v>
      </c>
      <c r="AA45" s="640">
        <f t="shared" si="2"/>
        <v>0</v>
      </c>
    </row>
    <row r="46" spans="1:27" s="617" customFormat="1">
      <c r="A46" s="623">
        <v>38</v>
      </c>
      <c r="B46" s="619"/>
      <c r="C46" s="619"/>
      <c r="D46" s="619"/>
      <c r="E46" s="622"/>
      <c r="F46" s="622"/>
      <c r="G46" s="638">
        <f t="shared" si="3"/>
        <v>0</v>
      </c>
      <c r="H46" s="636"/>
      <c r="I46" s="636"/>
      <c r="J46" s="636"/>
      <c r="K46" s="636"/>
      <c r="L46" s="636"/>
      <c r="M46" s="636"/>
      <c r="N46" s="637"/>
      <c r="O46" s="637"/>
      <c r="P46" s="637"/>
      <c r="Q46" s="637"/>
      <c r="R46" s="636"/>
      <c r="S46" s="636"/>
      <c r="T46" s="639"/>
      <c r="U46" s="636"/>
      <c r="V46" s="636"/>
      <c r="W46" s="639"/>
      <c r="X46" s="636"/>
      <c r="Y46" s="636"/>
      <c r="Z46" s="635">
        <f t="shared" si="4"/>
        <v>0</v>
      </c>
      <c r="AA46" s="640">
        <f t="shared" si="2"/>
        <v>0</v>
      </c>
    </row>
    <row r="47" spans="1:27" s="617" customFormat="1">
      <c r="A47" s="623">
        <v>39</v>
      </c>
      <c r="B47" s="619"/>
      <c r="C47" s="619"/>
      <c r="D47" s="619"/>
      <c r="E47" s="622"/>
      <c r="F47" s="622"/>
      <c r="G47" s="638">
        <f t="shared" si="3"/>
        <v>0</v>
      </c>
      <c r="H47" s="636"/>
      <c r="I47" s="636"/>
      <c r="J47" s="636"/>
      <c r="K47" s="636"/>
      <c r="L47" s="636"/>
      <c r="M47" s="636"/>
      <c r="N47" s="637"/>
      <c r="O47" s="637"/>
      <c r="P47" s="637"/>
      <c r="Q47" s="637"/>
      <c r="R47" s="636"/>
      <c r="S47" s="636"/>
      <c r="T47" s="639"/>
      <c r="U47" s="636"/>
      <c r="V47" s="636"/>
      <c r="W47" s="639"/>
      <c r="X47" s="636"/>
      <c r="Y47" s="636"/>
      <c r="Z47" s="635">
        <f t="shared" si="4"/>
        <v>0</v>
      </c>
      <c r="AA47" s="640">
        <f t="shared" si="2"/>
        <v>0</v>
      </c>
    </row>
    <row r="48" spans="1:27" s="617" customFormat="1">
      <c r="A48" s="623">
        <v>40</v>
      </c>
      <c r="B48" s="619"/>
      <c r="C48" s="619"/>
      <c r="D48" s="619"/>
      <c r="E48" s="622"/>
      <c r="F48" s="622"/>
      <c r="G48" s="638">
        <f t="shared" si="3"/>
        <v>0</v>
      </c>
      <c r="H48" s="636"/>
      <c r="I48" s="636"/>
      <c r="J48" s="636"/>
      <c r="K48" s="636"/>
      <c r="L48" s="636"/>
      <c r="M48" s="636"/>
      <c r="N48" s="637"/>
      <c r="O48" s="637"/>
      <c r="P48" s="60"/>
      <c r="Q48" s="624"/>
      <c r="R48" s="636"/>
      <c r="S48" s="636"/>
      <c r="T48" s="639"/>
      <c r="U48" s="636"/>
      <c r="V48" s="636"/>
      <c r="W48" s="639"/>
      <c r="X48" s="636"/>
      <c r="Y48" s="636"/>
      <c r="Z48" s="635">
        <f t="shared" si="4"/>
        <v>0</v>
      </c>
      <c r="AA48" s="640">
        <f t="shared" si="2"/>
        <v>0</v>
      </c>
    </row>
    <row r="49" spans="1:27" s="617" customFormat="1">
      <c r="A49" s="623">
        <v>41</v>
      </c>
      <c r="B49" s="619"/>
      <c r="C49" s="619"/>
      <c r="D49" s="619"/>
      <c r="E49" s="622"/>
      <c r="F49" s="622"/>
      <c r="G49" s="638">
        <f t="shared" si="3"/>
        <v>0</v>
      </c>
      <c r="H49" s="636"/>
      <c r="I49" s="636"/>
      <c r="J49" s="636"/>
      <c r="K49" s="636"/>
      <c r="L49" s="636"/>
      <c r="M49" s="636"/>
      <c r="N49" s="637"/>
      <c r="O49" s="637"/>
      <c r="P49" s="637"/>
      <c r="Q49" s="637"/>
      <c r="R49" s="636"/>
      <c r="S49" s="636"/>
      <c r="T49" s="639"/>
      <c r="U49" s="636"/>
      <c r="V49" s="636"/>
      <c r="W49" s="639"/>
      <c r="X49" s="636"/>
      <c r="Y49" s="636"/>
      <c r="Z49" s="635">
        <f t="shared" si="4"/>
        <v>0</v>
      </c>
      <c r="AA49" s="640">
        <f t="shared" si="2"/>
        <v>0</v>
      </c>
    </row>
    <row r="50" spans="1:27" s="617" customFormat="1">
      <c r="A50" s="623">
        <v>42</v>
      </c>
      <c r="B50" s="619"/>
      <c r="C50" s="619"/>
      <c r="D50" s="619"/>
      <c r="E50" s="622"/>
      <c r="F50" s="622"/>
      <c r="G50" s="638">
        <f t="shared" si="3"/>
        <v>0</v>
      </c>
      <c r="H50" s="636"/>
      <c r="I50" s="636"/>
      <c r="J50" s="636"/>
      <c r="K50" s="636"/>
      <c r="L50" s="636"/>
      <c r="M50" s="636"/>
      <c r="N50" s="637"/>
      <c r="O50" s="637"/>
      <c r="P50" s="637"/>
      <c r="Q50" s="637"/>
      <c r="R50" s="636"/>
      <c r="S50" s="636"/>
      <c r="T50" s="639"/>
      <c r="U50" s="636"/>
      <c r="V50" s="636"/>
      <c r="W50" s="639"/>
      <c r="X50" s="636"/>
      <c r="Y50" s="636"/>
      <c r="Z50" s="635">
        <f t="shared" si="4"/>
        <v>0</v>
      </c>
      <c r="AA50" s="640">
        <f t="shared" si="2"/>
        <v>0</v>
      </c>
    </row>
    <row r="51" spans="1:27" s="617" customFormat="1">
      <c r="A51" s="623">
        <v>43</v>
      </c>
      <c r="B51" s="619"/>
      <c r="C51" s="619"/>
      <c r="D51" s="619"/>
      <c r="E51" s="622"/>
      <c r="F51" s="622"/>
      <c r="G51" s="638">
        <f t="shared" si="3"/>
        <v>0</v>
      </c>
      <c r="H51" s="636"/>
      <c r="I51" s="636"/>
      <c r="J51" s="636"/>
      <c r="K51" s="636"/>
      <c r="L51" s="636"/>
      <c r="M51" s="636"/>
      <c r="N51" s="637"/>
      <c r="O51" s="637"/>
      <c r="P51" s="637"/>
      <c r="Q51" s="637"/>
      <c r="R51" s="636"/>
      <c r="S51" s="636"/>
      <c r="T51" s="636"/>
      <c r="U51" s="636"/>
      <c r="V51" s="636"/>
      <c r="W51" s="636"/>
      <c r="X51" s="636"/>
      <c r="Y51" s="636"/>
      <c r="Z51" s="635">
        <f t="shared" si="4"/>
        <v>0</v>
      </c>
      <c r="AA51" s="640">
        <f t="shared" si="2"/>
        <v>0</v>
      </c>
    </row>
    <row r="52" spans="1:27" s="617" customFormat="1">
      <c r="A52" s="623">
        <v>44</v>
      </c>
      <c r="B52" s="619"/>
      <c r="C52" s="619"/>
      <c r="D52" s="619"/>
      <c r="E52" s="622"/>
      <c r="F52" s="622"/>
      <c r="G52" s="638">
        <f t="shared" si="3"/>
        <v>0</v>
      </c>
      <c r="H52" s="636"/>
      <c r="I52" s="636"/>
      <c r="J52" s="636"/>
      <c r="K52" s="636"/>
      <c r="L52" s="636"/>
      <c r="M52" s="636"/>
      <c r="N52" s="637"/>
      <c r="O52" s="637"/>
      <c r="P52" s="636"/>
      <c r="Q52" s="637"/>
      <c r="R52" s="636"/>
      <c r="S52" s="636"/>
      <c r="T52" s="636"/>
      <c r="U52" s="636"/>
      <c r="V52" s="636"/>
      <c r="W52" s="636"/>
      <c r="X52" s="636"/>
      <c r="Y52" s="636"/>
      <c r="Z52" s="635">
        <f t="shared" si="4"/>
        <v>0</v>
      </c>
      <c r="AA52" s="640">
        <f t="shared" si="2"/>
        <v>0</v>
      </c>
    </row>
    <row r="53" spans="1:27" s="617" customFormat="1">
      <c r="A53" s="623">
        <v>45</v>
      </c>
      <c r="B53" s="619"/>
      <c r="C53" s="619"/>
      <c r="D53" s="619"/>
      <c r="E53" s="622"/>
      <c r="F53" s="622"/>
      <c r="G53" s="638">
        <f t="shared" si="3"/>
        <v>0</v>
      </c>
      <c r="H53" s="636"/>
      <c r="I53" s="636"/>
      <c r="J53" s="636"/>
      <c r="K53" s="636"/>
      <c r="L53" s="636"/>
      <c r="M53" s="636"/>
      <c r="N53" s="637"/>
      <c r="O53" s="637"/>
      <c r="P53" s="636"/>
      <c r="Q53" s="637"/>
      <c r="R53" s="636"/>
      <c r="S53" s="636"/>
      <c r="T53" s="636"/>
      <c r="U53" s="636"/>
      <c r="V53" s="636"/>
      <c r="W53" s="636"/>
      <c r="X53" s="636"/>
      <c r="Y53" s="636"/>
      <c r="Z53" s="635">
        <f t="shared" si="4"/>
        <v>0</v>
      </c>
      <c r="AA53" s="640">
        <f t="shared" si="2"/>
        <v>0</v>
      </c>
    </row>
    <row r="54" spans="1:27" s="617" customFormat="1">
      <c r="A54" s="623">
        <v>46</v>
      </c>
      <c r="B54" s="619"/>
      <c r="C54" s="619"/>
      <c r="D54" s="619"/>
      <c r="E54" s="622"/>
      <c r="F54" s="622"/>
      <c r="G54" s="638">
        <f t="shared" si="3"/>
        <v>0</v>
      </c>
      <c r="H54" s="636"/>
      <c r="I54" s="636"/>
      <c r="J54" s="636"/>
      <c r="K54" s="636"/>
      <c r="L54" s="636"/>
      <c r="M54" s="636"/>
      <c r="N54" s="637"/>
      <c r="O54" s="637"/>
      <c r="P54" s="636"/>
      <c r="Q54" s="637"/>
      <c r="R54" s="636"/>
      <c r="S54" s="636"/>
      <c r="T54" s="636"/>
      <c r="U54" s="636"/>
      <c r="V54" s="636"/>
      <c r="W54" s="636"/>
      <c r="X54" s="636"/>
      <c r="Y54" s="636"/>
      <c r="Z54" s="635">
        <f t="shared" si="4"/>
        <v>0</v>
      </c>
      <c r="AA54" s="640">
        <f t="shared" si="2"/>
        <v>0</v>
      </c>
    </row>
    <row r="55" spans="1:27" s="617" customFormat="1">
      <c r="A55" s="623">
        <v>47</v>
      </c>
      <c r="B55" s="619"/>
      <c r="C55" s="619"/>
      <c r="D55" s="619"/>
      <c r="E55" s="622"/>
      <c r="F55" s="622"/>
      <c r="G55" s="638">
        <f t="shared" si="3"/>
        <v>0</v>
      </c>
      <c r="H55" s="636"/>
      <c r="I55" s="636"/>
      <c r="J55" s="636"/>
      <c r="K55" s="636"/>
      <c r="L55" s="636"/>
      <c r="M55" s="636"/>
      <c r="N55" s="637"/>
      <c r="O55" s="637"/>
      <c r="P55" s="60"/>
      <c r="Q55" s="637"/>
      <c r="R55" s="636"/>
      <c r="S55" s="636"/>
      <c r="T55" s="636"/>
      <c r="U55" s="636"/>
      <c r="V55" s="636"/>
      <c r="W55" s="636"/>
      <c r="X55" s="636"/>
      <c r="Y55" s="636"/>
      <c r="Z55" s="635">
        <f t="shared" si="4"/>
        <v>0</v>
      </c>
      <c r="AA55" s="640">
        <f t="shared" si="2"/>
        <v>0</v>
      </c>
    </row>
    <row r="56" spans="1:27" s="617" customFormat="1">
      <c r="A56" s="623">
        <v>48</v>
      </c>
      <c r="B56" s="619"/>
      <c r="C56" s="619"/>
      <c r="D56" s="619"/>
      <c r="E56" s="622"/>
      <c r="F56" s="622"/>
      <c r="G56" s="638">
        <f t="shared" si="3"/>
        <v>0</v>
      </c>
      <c r="H56" s="636"/>
      <c r="I56" s="636"/>
      <c r="J56" s="636"/>
      <c r="K56" s="636"/>
      <c r="L56" s="636"/>
      <c r="M56" s="636"/>
      <c r="N56" s="637"/>
      <c r="O56" s="637"/>
      <c r="P56" s="637"/>
      <c r="Q56" s="637"/>
      <c r="R56" s="636"/>
      <c r="S56" s="636"/>
      <c r="T56" s="636"/>
      <c r="U56" s="636"/>
      <c r="V56" s="636"/>
      <c r="W56" s="636"/>
      <c r="X56" s="636"/>
      <c r="Y56" s="636"/>
      <c r="Z56" s="635">
        <f t="shared" si="4"/>
        <v>0</v>
      </c>
      <c r="AA56" s="640">
        <f t="shared" si="2"/>
        <v>0</v>
      </c>
    </row>
    <row r="57" spans="1:27" s="617" customFormat="1">
      <c r="A57" s="623">
        <v>49</v>
      </c>
      <c r="B57" s="619"/>
      <c r="C57" s="619"/>
      <c r="D57" s="619"/>
      <c r="E57" s="622"/>
      <c r="F57" s="622"/>
      <c r="G57" s="638">
        <f t="shared" si="3"/>
        <v>0</v>
      </c>
      <c r="H57" s="636"/>
      <c r="I57" s="636"/>
      <c r="J57" s="636"/>
      <c r="K57" s="636"/>
      <c r="L57" s="636"/>
      <c r="M57" s="636"/>
      <c r="N57" s="637"/>
      <c r="O57" s="637"/>
      <c r="P57" s="637"/>
      <c r="Q57" s="637"/>
      <c r="R57" s="636"/>
      <c r="S57" s="636"/>
      <c r="T57" s="636"/>
      <c r="U57" s="636"/>
      <c r="V57" s="636"/>
      <c r="W57" s="636"/>
      <c r="X57" s="636"/>
      <c r="Y57" s="636"/>
      <c r="Z57" s="635">
        <f t="shared" si="4"/>
        <v>0</v>
      </c>
      <c r="AA57" s="640">
        <f t="shared" si="2"/>
        <v>0</v>
      </c>
    </row>
    <row r="58" spans="1:27" s="617" customFormat="1">
      <c r="A58" s="623">
        <v>50</v>
      </c>
      <c r="B58" s="619"/>
      <c r="C58" s="619"/>
      <c r="D58" s="619"/>
      <c r="E58" s="622"/>
      <c r="F58" s="622"/>
      <c r="G58" s="638">
        <f t="shared" si="3"/>
        <v>0</v>
      </c>
      <c r="H58" s="636"/>
      <c r="I58" s="636"/>
      <c r="J58" s="636"/>
      <c r="K58" s="636"/>
      <c r="L58" s="636"/>
      <c r="M58" s="636"/>
      <c r="N58" s="637"/>
      <c r="O58" s="637"/>
      <c r="P58" s="637"/>
      <c r="Q58" s="637"/>
      <c r="R58" s="636"/>
      <c r="S58" s="636"/>
      <c r="T58" s="636"/>
      <c r="U58" s="636"/>
      <c r="V58" s="636"/>
      <c r="W58" s="636"/>
      <c r="X58" s="636"/>
      <c r="Y58" s="636"/>
      <c r="Z58" s="635">
        <f t="shared" si="4"/>
        <v>0</v>
      </c>
      <c r="AA58" s="640">
        <f t="shared" si="2"/>
        <v>0</v>
      </c>
    </row>
    <row r="59" spans="1:27" s="617" customFormat="1">
      <c r="A59" s="623">
        <v>51</v>
      </c>
      <c r="B59" s="619"/>
      <c r="C59" s="619"/>
      <c r="D59" s="619"/>
      <c r="E59" s="622"/>
      <c r="F59" s="622"/>
      <c r="G59" s="638">
        <f t="shared" si="3"/>
        <v>0</v>
      </c>
      <c r="H59" s="636"/>
      <c r="I59" s="636"/>
      <c r="J59" s="636"/>
      <c r="K59" s="636"/>
      <c r="L59" s="636"/>
      <c r="M59" s="636"/>
      <c r="N59" s="637"/>
      <c r="O59" s="637"/>
      <c r="P59" s="637"/>
      <c r="Q59" s="637"/>
      <c r="R59" s="636"/>
      <c r="S59" s="636"/>
      <c r="T59" s="636"/>
      <c r="U59" s="636"/>
      <c r="V59" s="636"/>
      <c r="W59" s="636"/>
      <c r="X59" s="636"/>
      <c r="Y59" s="636"/>
      <c r="Z59" s="635">
        <f t="shared" si="4"/>
        <v>0</v>
      </c>
      <c r="AA59" s="640">
        <f t="shared" si="2"/>
        <v>0</v>
      </c>
    </row>
    <row r="60" spans="1:27" s="617" customFormat="1">
      <c r="A60" s="623">
        <v>52</v>
      </c>
      <c r="B60" s="619"/>
      <c r="C60" s="619"/>
      <c r="D60" s="619"/>
      <c r="E60" s="622"/>
      <c r="F60" s="622"/>
      <c r="G60" s="638">
        <f t="shared" si="3"/>
        <v>0</v>
      </c>
      <c r="H60" s="636"/>
      <c r="I60" s="636"/>
      <c r="J60" s="636"/>
      <c r="K60" s="636"/>
      <c r="L60" s="636"/>
      <c r="M60" s="636"/>
      <c r="N60" s="637"/>
      <c r="O60" s="637"/>
      <c r="P60" s="637"/>
      <c r="Q60" s="637"/>
      <c r="R60" s="636"/>
      <c r="S60" s="636"/>
      <c r="T60" s="636"/>
      <c r="U60" s="636"/>
      <c r="V60" s="636"/>
      <c r="W60" s="636"/>
      <c r="X60" s="636"/>
      <c r="Y60" s="636"/>
      <c r="Z60" s="635">
        <f t="shared" si="4"/>
        <v>0</v>
      </c>
      <c r="AA60" s="640">
        <f t="shared" si="2"/>
        <v>0</v>
      </c>
    </row>
    <row r="61" spans="1:27" s="617" customFormat="1">
      <c r="A61" s="623">
        <v>53</v>
      </c>
      <c r="B61" s="619"/>
      <c r="C61" s="619"/>
      <c r="D61" s="619"/>
      <c r="E61" s="622"/>
      <c r="F61" s="622"/>
      <c r="G61" s="638">
        <f t="shared" si="3"/>
        <v>0</v>
      </c>
      <c r="H61" s="636"/>
      <c r="I61" s="636"/>
      <c r="J61" s="636"/>
      <c r="K61" s="636"/>
      <c r="L61" s="636"/>
      <c r="M61" s="636"/>
      <c r="N61" s="637"/>
      <c r="O61" s="637"/>
      <c r="P61" s="637"/>
      <c r="Q61" s="637"/>
      <c r="R61" s="636"/>
      <c r="S61" s="636"/>
      <c r="T61" s="636"/>
      <c r="U61" s="636"/>
      <c r="V61" s="636"/>
      <c r="W61" s="636"/>
      <c r="X61" s="636"/>
      <c r="Y61" s="636"/>
      <c r="Z61" s="635">
        <f t="shared" si="4"/>
        <v>0</v>
      </c>
      <c r="AA61" s="640">
        <f t="shared" si="2"/>
        <v>0</v>
      </c>
    </row>
    <row r="62" spans="1:27" s="617" customFormat="1">
      <c r="A62" s="623">
        <v>54</v>
      </c>
      <c r="B62" s="619"/>
      <c r="C62" s="619"/>
      <c r="D62" s="619"/>
      <c r="E62" s="622"/>
      <c r="F62" s="622"/>
      <c r="G62" s="638">
        <f t="shared" si="3"/>
        <v>0</v>
      </c>
      <c r="H62" s="636"/>
      <c r="I62" s="636"/>
      <c r="J62" s="636"/>
      <c r="K62" s="636"/>
      <c r="L62" s="636"/>
      <c r="M62" s="636"/>
      <c r="N62" s="637"/>
      <c r="O62" s="637"/>
      <c r="P62" s="637"/>
      <c r="Q62" s="637"/>
      <c r="R62" s="636"/>
      <c r="S62" s="636"/>
      <c r="T62" s="636"/>
      <c r="U62" s="636"/>
      <c r="V62" s="636"/>
      <c r="W62" s="636"/>
      <c r="X62" s="636"/>
      <c r="Y62" s="636"/>
      <c r="Z62" s="635">
        <f t="shared" si="4"/>
        <v>0</v>
      </c>
      <c r="AA62" s="640">
        <f t="shared" si="2"/>
        <v>0</v>
      </c>
    </row>
    <row r="63" spans="1:27" s="617" customFormat="1">
      <c r="A63" s="623">
        <v>55</v>
      </c>
      <c r="B63" s="619"/>
      <c r="C63" s="619"/>
      <c r="D63" s="619"/>
      <c r="E63" s="622"/>
      <c r="F63" s="622"/>
      <c r="G63" s="638">
        <f t="shared" si="3"/>
        <v>0</v>
      </c>
      <c r="H63" s="636"/>
      <c r="I63" s="636"/>
      <c r="J63" s="636"/>
      <c r="K63" s="636"/>
      <c r="L63" s="636"/>
      <c r="M63" s="636"/>
      <c r="N63" s="637"/>
      <c r="O63" s="637"/>
      <c r="P63" s="637"/>
      <c r="Q63" s="637"/>
      <c r="R63" s="636"/>
      <c r="S63" s="636"/>
      <c r="T63" s="636"/>
      <c r="U63" s="636"/>
      <c r="V63" s="636"/>
      <c r="W63" s="636"/>
      <c r="X63" s="636"/>
      <c r="Y63" s="636"/>
      <c r="Z63" s="635">
        <f t="shared" si="4"/>
        <v>0</v>
      </c>
      <c r="AA63" s="640">
        <f t="shared" si="2"/>
        <v>0</v>
      </c>
    </row>
    <row r="64" spans="1:27" s="617" customFormat="1">
      <c r="A64" s="623"/>
      <c r="B64" s="634" t="s">
        <v>899</v>
      </c>
      <c r="C64" s="634"/>
      <c r="D64" s="634"/>
      <c r="E64" s="612"/>
      <c r="F64" s="612"/>
      <c r="G64" s="611">
        <f>SUM(G9:G63)</f>
        <v>787902880</v>
      </c>
      <c r="H64" s="611">
        <f t="shared" ref="H64:V64" si="5">SUM(H9:H63)</f>
        <v>0</v>
      </c>
      <c r="I64" s="611">
        <f t="shared" si="5"/>
        <v>787902880</v>
      </c>
      <c r="J64" s="611">
        <f t="shared" si="5"/>
        <v>0</v>
      </c>
      <c r="K64" s="611">
        <f t="shared" si="5"/>
        <v>0</v>
      </c>
      <c r="L64" s="611">
        <f t="shared" si="5"/>
        <v>0</v>
      </c>
      <c r="M64" s="611">
        <f t="shared" si="5"/>
        <v>0</v>
      </c>
      <c r="N64" s="611">
        <f t="shared" si="5"/>
        <v>0</v>
      </c>
      <c r="O64" s="611">
        <f t="shared" si="5"/>
        <v>0</v>
      </c>
      <c r="P64" s="611">
        <f t="shared" si="5"/>
        <v>0</v>
      </c>
      <c r="Q64" s="611">
        <f t="shared" si="5"/>
        <v>0</v>
      </c>
      <c r="R64" s="611">
        <f t="shared" si="5"/>
        <v>0</v>
      </c>
      <c r="S64" s="611">
        <f t="shared" si="5"/>
        <v>0</v>
      </c>
      <c r="T64" s="611">
        <f t="shared" si="5"/>
        <v>0</v>
      </c>
      <c r="U64" s="615"/>
      <c r="V64" s="611">
        <f t="shared" si="5"/>
        <v>0</v>
      </c>
      <c r="W64" s="615"/>
      <c r="X64" s="611">
        <f t="shared" ref="X64:Z64" si="6">SUM(X9:X63)</f>
        <v>0</v>
      </c>
      <c r="Y64" s="611">
        <f t="shared" si="6"/>
        <v>0</v>
      </c>
      <c r="Z64" s="611">
        <f t="shared" si="6"/>
        <v>787902880</v>
      </c>
      <c r="AA64" s="640"/>
    </row>
    <row r="65" spans="1:32" s="617" customFormat="1">
      <c r="A65" s="623"/>
      <c r="B65" s="613" t="s">
        <v>898</v>
      </c>
      <c r="C65" s="634"/>
      <c r="D65" s="634"/>
      <c r="E65" s="612"/>
      <c r="F65" s="612"/>
      <c r="G65" s="611">
        <f>+SUMIF($F$9:$F$63,$AA$65,$G$9:$G$63)</f>
        <v>416775671</v>
      </c>
      <c r="H65" s="611">
        <f>+SUMIF($F$9:$F$63,$AA$65,$H$9:$H$63)</f>
        <v>0</v>
      </c>
      <c r="I65" s="611">
        <f>+SUMIF($F$9:$F$63,$AA$65,$I$9:$I$63)</f>
        <v>416775671</v>
      </c>
      <c r="J65" s="611">
        <f>+SUMIF($F$9:$F$63,$AA$65,$J$9:$J$63)</f>
        <v>0</v>
      </c>
      <c r="K65" s="611">
        <f>+SUMIF($F$9:$F$63,$AA$65,$K$9:$K$63)</f>
        <v>0</v>
      </c>
      <c r="L65" s="611">
        <f>+SUMIF($F$9:$F$63,$AA$65,$L$9:$L$63)</f>
        <v>0</v>
      </c>
      <c r="M65" s="611">
        <f>+SUMIF($F$9:$F$63,$AA$65,$M$9:$M$63)</f>
        <v>0</v>
      </c>
      <c r="N65" s="611">
        <f>+SUMIF($F$9:$F$63,$AA$65,$N$9:$N$63)</f>
        <v>0</v>
      </c>
      <c r="O65" s="611">
        <f>+SUMIF($F$9:$F$63,$AA$65,$O$9:$O$63)</f>
        <v>0</v>
      </c>
      <c r="P65" s="611">
        <f>+SUMIF($F$9:$F$63,$AA$65,$P$9:$P$63)</f>
        <v>0</v>
      </c>
      <c r="Q65" s="611">
        <f>+SUMIF($F$9:$F$63,$AA$65,$Q$9:$Q$63)</f>
        <v>0</v>
      </c>
      <c r="R65" s="611">
        <f>+SUMIF($F$9:$F$63,$AA$65,$R$9:$R$63)</f>
        <v>0</v>
      </c>
      <c r="S65" s="611">
        <f>+SUMIF($F$9:$F$63,$AA$65,$S$9:$S$63)</f>
        <v>0</v>
      </c>
      <c r="T65" s="611">
        <f>+SUMIF($F$9:$F$63,$AA$65,$T$9:$T$63)</f>
        <v>0</v>
      </c>
      <c r="U65" s="615"/>
      <c r="V65" s="611">
        <f>+SUMIF($F$9:$F$63,$AA$65,$V$9:$V$63)</f>
        <v>0</v>
      </c>
      <c r="W65" s="615"/>
      <c r="X65" s="611">
        <f>+SUMIF($F$9:$F$63,$AA$65,$X$9:$X$63)</f>
        <v>0</v>
      </c>
      <c r="Y65" s="611">
        <f>+SUMIF($F$9:$F$63,$AA$65,$Y$9:$Y$63)</f>
        <v>0</v>
      </c>
      <c r="Z65" s="611">
        <f>+MAX(AA9:AA63)</f>
        <v>416775671</v>
      </c>
      <c r="AA65" s="640">
        <f>INDEX($F$9:$F$63,MATCH($Z65,$AA$9:$AA$63,0))</f>
        <v>1</v>
      </c>
    </row>
    <row r="66" spans="1:32" s="571" customFormat="1">
      <c r="AA66" s="643"/>
    </row>
    <row r="67" spans="1:32" s="571" customFormat="1">
      <c r="AA67" s="643"/>
    </row>
    <row r="68" spans="1:32" s="571" customFormat="1">
      <c r="B68" s="571" t="s">
        <v>0</v>
      </c>
      <c r="V68" s="609"/>
      <c r="AA68" s="643"/>
    </row>
    <row r="69" spans="1:32" s="571" customFormat="1">
      <c r="V69" s="609"/>
      <c r="AA69" s="643"/>
    </row>
    <row r="70" spans="1:32" s="571" customFormat="1">
      <c r="B70" s="610" t="s">
        <v>1</v>
      </c>
      <c r="V70" s="609"/>
      <c r="AA70" s="643"/>
    </row>
    <row r="71" spans="1:32" s="571" customFormat="1">
      <c r="B71" s="610"/>
      <c r="V71" s="609"/>
      <c r="AA71" s="643"/>
    </row>
    <row r="72" spans="1:32" s="571" customFormat="1">
      <c r="B72" s="610"/>
      <c r="V72" s="609"/>
      <c r="AA72" s="643"/>
    </row>
    <row r="73" spans="1:32" s="571" customFormat="1">
      <c r="V73" s="609"/>
      <c r="AA73" s="643"/>
    </row>
    <row r="74" spans="1:32" s="571" customFormat="1" ht="15.75">
      <c r="B74" s="711"/>
      <c r="C74" s="711"/>
      <c r="D74" s="711"/>
      <c r="E74" s="711"/>
      <c r="F74" s="711"/>
      <c r="G74" s="711"/>
      <c r="H74" s="711"/>
      <c r="I74" s="711"/>
      <c r="J74" s="711"/>
      <c r="K74" s="711"/>
      <c r="L74" s="711"/>
      <c r="M74" s="711"/>
      <c r="N74" s="711"/>
      <c r="O74" s="711"/>
      <c r="P74" s="711"/>
      <c r="Q74" s="711"/>
      <c r="R74" s="711"/>
      <c r="S74" s="711"/>
      <c r="T74" s="711"/>
      <c r="V74" s="609"/>
      <c r="AA74" s="643"/>
    </row>
    <row r="75" spans="1:32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V75" s="608"/>
      <c r="W75" s="95"/>
      <c r="X75" s="95"/>
      <c r="Y75" s="95"/>
      <c r="Z75" s="95"/>
      <c r="AA75" s="644"/>
      <c r="AB75" s="95"/>
      <c r="AC75" s="95"/>
      <c r="AD75" s="95"/>
      <c r="AE75" s="95"/>
      <c r="AF75" s="95"/>
    </row>
    <row r="76" spans="1:32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V76" s="608"/>
      <c r="W76" s="95"/>
      <c r="X76" s="95"/>
      <c r="Y76" s="95"/>
      <c r="Z76" s="95"/>
      <c r="AA76" s="644"/>
      <c r="AB76" s="95"/>
      <c r="AC76" s="95"/>
      <c r="AD76" s="95"/>
      <c r="AE76" s="95"/>
      <c r="AF76" s="95"/>
    </row>
    <row r="77" spans="1:32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V77" s="608"/>
      <c r="W77" s="95"/>
      <c r="X77" s="95"/>
      <c r="Y77" s="95"/>
      <c r="Z77" s="95"/>
      <c r="AA77" s="644"/>
      <c r="AB77" s="95"/>
      <c r="AC77" s="95"/>
      <c r="AD77" s="95"/>
      <c r="AE77" s="95"/>
      <c r="AF77" s="95"/>
    </row>
    <row r="78" spans="1:32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V78" s="608"/>
      <c r="W78" s="95"/>
      <c r="X78" s="95"/>
      <c r="Y78" s="95"/>
      <c r="Z78" s="95"/>
      <c r="AA78" s="644"/>
      <c r="AB78" s="95"/>
      <c r="AC78" s="95"/>
      <c r="AD78" s="95"/>
      <c r="AE78" s="95"/>
      <c r="AF78" s="95"/>
    </row>
    <row r="79" spans="1:32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V79" s="608"/>
      <c r="W79" s="95"/>
      <c r="X79" s="95"/>
      <c r="Y79" s="95"/>
      <c r="Z79" s="95"/>
      <c r="AA79" s="644"/>
      <c r="AB79" s="95"/>
      <c r="AC79" s="95"/>
      <c r="AD79" s="95"/>
      <c r="AE79" s="95"/>
      <c r="AF79" s="95"/>
    </row>
    <row r="80" spans="1:32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V80" s="608"/>
      <c r="W80" s="95"/>
      <c r="X80" s="95"/>
      <c r="Y80" s="95"/>
      <c r="Z80" s="95"/>
      <c r="AA80" s="644"/>
      <c r="AB80" s="95"/>
      <c r="AC80" s="95"/>
      <c r="AD80" s="95"/>
      <c r="AE80" s="95"/>
      <c r="AF80" s="95"/>
    </row>
    <row r="81" spans="1:32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V81" s="608"/>
      <c r="W81" s="95"/>
      <c r="X81" s="95"/>
      <c r="Y81" s="95"/>
      <c r="Z81" s="95"/>
      <c r="AA81" s="644"/>
      <c r="AB81" s="95"/>
      <c r="AC81" s="95"/>
      <c r="AD81" s="95"/>
      <c r="AE81" s="95"/>
      <c r="AF81" s="95"/>
    </row>
    <row r="82" spans="1:3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V82" s="608"/>
      <c r="W82" s="95"/>
      <c r="X82" s="95"/>
      <c r="Y82" s="95"/>
      <c r="Z82" s="95"/>
      <c r="AA82" s="644"/>
      <c r="AB82" s="95"/>
      <c r="AC82" s="95"/>
      <c r="AD82" s="95"/>
      <c r="AE82" s="95"/>
      <c r="AF82" s="95"/>
    </row>
    <row r="83" spans="1:32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V83" s="608"/>
      <c r="W83" s="95"/>
      <c r="X83" s="95"/>
      <c r="Y83" s="95"/>
      <c r="Z83" s="95"/>
      <c r="AA83" s="644"/>
      <c r="AB83" s="95"/>
      <c r="AC83" s="95"/>
      <c r="AD83" s="95"/>
      <c r="AE83" s="95"/>
      <c r="AF83" s="95"/>
    </row>
    <row r="84" spans="1:32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V84" s="608"/>
      <c r="W84" s="95"/>
      <c r="X84" s="95"/>
      <c r="Y84" s="95"/>
      <c r="Z84" s="95"/>
      <c r="AA84" s="644"/>
      <c r="AB84" s="95"/>
      <c r="AC84" s="95"/>
      <c r="AD84" s="95"/>
      <c r="AE84" s="95"/>
      <c r="AF84" s="95"/>
    </row>
    <row r="85" spans="1:32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V85" s="608"/>
      <c r="W85" s="95"/>
      <c r="X85" s="95"/>
      <c r="Y85" s="95"/>
      <c r="Z85" s="95"/>
      <c r="AA85" s="644"/>
      <c r="AB85" s="95"/>
      <c r="AC85" s="95"/>
      <c r="AD85" s="95"/>
      <c r="AE85" s="95"/>
      <c r="AF85" s="95"/>
    </row>
    <row r="86" spans="1:32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V86" s="608"/>
      <c r="W86" s="95"/>
      <c r="X86" s="95"/>
      <c r="Y86" s="95"/>
      <c r="Z86" s="95"/>
      <c r="AA86" s="644"/>
      <c r="AB86" s="95"/>
      <c r="AC86" s="95"/>
      <c r="AD86" s="95"/>
      <c r="AE86" s="95"/>
      <c r="AF86" s="95"/>
    </row>
    <row r="87" spans="1:32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V87" s="608"/>
      <c r="W87" s="95"/>
      <c r="X87" s="95"/>
      <c r="Y87" s="95"/>
      <c r="Z87" s="95"/>
      <c r="AA87" s="644"/>
      <c r="AB87" s="95"/>
      <c r="AC87" s="95"/>
      <c r="AD87" s="95"/>
      <c r="AE87" s="95"/>
      <c r="AF87" s="95"/>
    </row>
    <row r="88" spans="1:32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V88" s="608"/>
      <c r="W88" s="95"/>
      <c r="X88" s="95"/>
      <c r="Y88" s="95"/>
      <c r="Z88" s="95"/>
      <c r="AA88" s="644"/>
      <c r="AB88" s="95"/>
      <c r="AC88" s="95"/>
      <c r="AD88" s="95"/>
      <c r="AE88" s="95"/>
      <c r="AF88" s="95"/>
    </row>
    <row r="89" spans="1:32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V89" s="608"/>
      <c r="W89" s="95"/>
      <c r="X89" s="95"/>
      <c r="Y89" s="95"/>
      <c r="Z89" s="95"/>
      <c r="AA89" s="644"/>
      <c r="AB89" s="95"/>
      <c r="AC89" s="95"/>
      <c r="AD89" s="95"/>
      <c r="AE89" s="95"/>
      <c r="AF89" s="95"/>
    </row>
    <row r="90" spans="1:32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V90" s="608"/>
      <c r="W90" s="95"/>
      <c r="X90" s="95"/>
      <c r="Y90" s="95"/>
      <c r="Z90" s="95"/>
      <c r="AA90" s="644"/>
      <c r="AB90" s="95"/>
      <c r="AC90" s="95"/>
      <c r="AD90" s="95"/>
      <c r="AE90" s="95"/>
      <c r="AF90" s="95"/>
    </row>
    <row r="91" spans="1:32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V91" s="608"/>
      <c r="W91" s="95"/>
      <c r="X91" s="95"/>
      <c r="Y91" s="95"/>
      <c r="Z91" s="95"/>
      <c r="AA91" s="644"/>
      <c r="AB91" s="95"/>
      <c r="AC91" s="95"/>
      <c r="AD91" s="95"/>
      <c r="AE91" s="95"/>
      <c r="AF91" s="95"/>
    </row>
    <row r="92" spans="1:3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V92" s="608"/>
      <c r="W92" s="95"/>
      <c r="X92" s="95"/>
      <c r="Y92" s="95"/>
      <c r="Z92" s="95"/>
      <c r="AA92" s="644"/>
      <c r="AB92" s="95"/>
      <c r="AC92" s="95"/>
      <c r="AD92" s="95"/>
      <c r="AE92" s="95"/>
      <c r="AF92" s="95"/>
    </row>
    <row r="93" spans="1:32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V93" s="608"/>
      <c r="W93" s="95"/>
      <c r="X93" s="95"/>
      <c r="Y93" s="95"/>
      <c r="Z93" s="95"/>
      <c r="AA93" s="644"/>
      <c r="AB93" s="95"/>
      <c r="AC93" s="95"/>
      <c r="AD93" s="95"/>
      <c r="AE93" s="95"/>
      <c r="AF93" s="95"/>
    </row>
    <row r="94" spans="1:32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V94" s="608"/>
      <c r="W94" s="95"/>
      <c r="X94" s="95"/>
      <c r="Y94" s="95"/>
      <c r="Z94" s="95"/>
      <c r="AA94" s="644"/>
      <c r="AB94" s="95"/>
      <c r="AC94" s="95"/>
      <c r="AD94" s="95"/>
      <c r="AE94" s="95"/>
      <c r="AF94" s="95"/>
    </row>
    <row r="95" spans="1:32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V95" s="608"/>
      <c r="W95" s="95"/>
      <c r="X95" s="95"/>
      <c r="Y95" s="95"/>
      <c r="Z95" s="95"/>
      <c r="AA95" s="644"/>
      <c r="AB95" s="95"/>
      <c r="AC95" s="95"/>
      <c r="AD95" s="95"/>
      <c r="AE95" s="95"/>
      <c r="AF95" s="95"/>
    </row>
    <row r="96" spans="1:32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V96" s="608"/>
      <c r="W96" s="95"/>
      <c r="X96" s="95"/>
      <c r="Y96" s="95"/>
      <c r="Z96" s="95"/>
      <c r="AA96" s="644"/>
      <c r="AB96" s="95"/>
      <c r="AC96" s="95"/>
      <c r="AD96" s="95"/>
      <c r="AE96" s="95"/>
      <c r="AF96" s="95"/>
    </row>
    <row r="97" spans="1:32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V97" s="608"/>
      <c r="W97" s="95"/>
      <c r="X97" s="95"/>
      <c r="Y97" s="95"/>
      <c r="Z97" s="95"/>
      <c r="AA97" s="644"/>
      <c r="AB97" s="95"/>
      <c r="AC97" s="95"/>
      <c r="AD97" s="95"/>
      <c r="AE97" s="95"/>
      <c r="AF97" s="95"/>
    </row>
    <row r="98" spans="1:32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V98" s="608"/>
      <c r="W98" s="95"/>
      <c r="X98" s="95"/>
      <c r="Y98" s="95"/>
      <c r="Z98" s="95"/>
      <c r="AA98" s="644"/>
      <c r="AB98" s="95"/>
      <c r="AC98" s="95"/>
      <c r="AD98" s="95"/>
      <c r="AE98" s="95"/>
      <c r="AF98" s="95"/>
    </row>
    <row r="99" spans="1:32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V99" s="608"/>
      <c r="W99" s="95"/>
      <c r="X99" s="95"/>
      <c r="Y99" s="95"/>
      <c r="Z99" s="95"/>
      <c r="AA99" s="644"/>
      <c r="AB99" s="95"/>
      <c r="AC99" s="95"/>
      <c r="AD99" s="95"/>
      <c r="AE99" s="95"/>
      <c r="AF99" s="95"/>
    </row>
    <row r="100" spans="1:32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V100" s="608"/>
      <c r="W100" s="95"/>
      <c r="X100" s="95"/>
      <c r="Y100" s="95"/>
      <c r="Z100" s="95"/>
      <c r="AA100" s="644"/>
      <c r="AB100" s="95"/>
      <c r="AC100" s="95"/>
      <c r="AD100" s="95"/>
      <c r="AE100" s="95"/>
      <c r="AF100" s="95"/>
    </row>
    <row r="101" spans="1:32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V101" s="608"/>
      <c r="W101" s="95"/>
      <c r="X101" s="95"/>
      <c r="Y101" s="95"/>
      <c r="Z101" s="95"/>
      <c r="AA101" s="644"/>
      <c r="AB101" s="95"/>
      <c r="AC101" s="95"/>
      <c r="AD101" s="95"/>
      <c r="AE101" s="95"/>
      <c r="AF101" s="95"/>
    </row>
    <row r="102" spans="1:3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V102" s="608"/>
      <c r="W102" s="95"/>
      <c r="X102" s="95"/>
      <c r="Y102" s="95"/>
      <c r="Z102" s="95"/>
      <c r="AA102" s="644"/>
      <c r="AB102" s="95"/>
      <c r="AC102" s="95"/>
      <c r="AD102" s="95"/>
      <c r="AE102" s="95"/>
      <c r="AF102" s="95"/>
    </row>
    <row r="103" spans="1:32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V103" s="608"/>
      <c r="W103" s="95"/>
      <c r="X103" s="95"/>
      <c r="Y103" s="95"/>
      <c r="Z103" s="95"/>
      <c r="AA103" s="644"/>
      <c r="AB103" s="95"/>
      <c r="AC103" s="95"/>
      <c r="AD103" s="95"/>
      <c r="AE103" s="95"/>
      <c r="AF103" s="95"/>
    </row>
    <row r="104" spans="1:32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V104" s="608"/>
      <c r="W104" s="95"/>
      <c r="X104" s="95"/>
      <c r="Y104" s="95"/>
      <c r="Z104" s="95"/>
      <c r="AA104" s="644"/>
      <c r="AB104" s="95"/>
      <c r="AC104" s="95"/>
      <c r="AD104" s="95"/>
      <c r="AE104" s="95"/>
      <c r="AF104" s="95"/>
    </row>
    <row r="105" spans="1:32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V105" s="608"/>
      <c r="W105" s="95"/>
      <c r="X105" s="95"/>
      <c r="Y105" s="95"/>
      <c r="Z105" s="95"/>
      <c r="AA105" s="644"/>
      <c r="AB105" s="95"/>
      <c r="AC105" s="95"/>
      <c r="AD105" s="95"/>
      <c r="AE105" s="95"/>
      <c r="AF105" s="95"/>
    </row>
    <row r="106" spans="1:32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V106" s="608"/>
      <c r="W106" s="95"/>
      <c r="X106" s="95"/>
      <c r="Y106" s="95"/>
      <c r="Z106" s="95"/>
      <c r="AA106" s="644"/>
      <c r="AB106" s="95"/>
      <c r="AC106" s="95"/>
      <c r="AD106" s="95"/>
      <c r="AE106" s="95"/>
      <c r="AF106" s="95"/>
    </row>
  </sheetData>
  <sheetProtection sheet="1" objects="1" scenarios="1"/>
  <mergeCells count="34">
    <mergeCell ref="B74:T74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U3:W3"/>
    <mergeCell ref="T4:T7"/>
    <mergeCell ref="Z4:Z7"/>
    <mergeCell ref="U6:U7"/>
    <mergeCell ref="V6:V7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52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>
    <pageSetUpPr fitToPage="1"/>
  </sheetPr>
  <dimension ref="A1:O53"/>
  <sheetViews>
    <sheetView view="pageBreakPreview" zoomScale="70" zoomScaleSheetLayoutView="70" workbookViewId="0">
      <pane xSplit="2" ySplit="6" topLeftCell="C31" activePane="bottomRight" state="frozen"/>
      <selection activeCell="C73" sqref="C73"/>
      <selection pane="topRight" activeCell="C73" sqref="C73"/>
      <selection pane="bottomLeft" activeCell="C73" sqref="C73"/>
      <selection pane="bottomRight" activeCell="E6" sqref="E6"/>
    </sheetView>
  </sheetViews>
  <sheetFormatPr defaultColWidth="9.42578125" defaultRowHeight="15"/>
  <cols>
    <col min="1" max="1" width="11" style="582" bestFit="1" customWidth="1"/>
    <col min="2" max="2" width="31" style="308" customWidth="1"/>
    <col min="3" max="3" width="17.28515625" style="308" customWidth="1"/>
    <col min="4" max="10" width="16.28515625" style="308" customWidth="1"/>
    <col min="11" max="11" width="9.42578125" style="308"/>
    <col min="12" max="12" width="15.140625" style="308" customWidth="1"/>
    <col min="13" max="13" width="9.42578125" style="308"/>
    <col min="14" max="14" width="24.7109375" style="308" customWidth="1"/>
    <col min="15" max="16384" width="9.42578125" style="308"/>
  </cols>
  <sheetData>
    <row r="1" spans="1:14" s="571" customFormat="1" ht="35.25" customHeight="1">
      <c r="A1" s="724" t="s">
        <v>835</v>
      </c>
      <c r="B1" s="724"/>
      <c r="C1" s="724"/>
      <c r="D1" s="724"/>
      <c r="E1" s="724"/>
      <c r="F1" s="724"/>
      <c r="G1" s="724"/>
      <c r="H1" s="724"/>
      <c r="I1" s="724"/>
      <c r="J1" s="596" t="s">
        <v>591</v>
      </c>
    </row>
    <row r="2" spans="1:14" s="561" customFormat="1" ht="15.75" customHeight="1">
      <c r="A2" s="572"/>
      <c r="B2" s="573"/>
      <c r="C2" s="573"/>
      <c r="E2" s="574"/>
    </row>
    <row r="3" spans="1:14" s="561" customFormat="1" ht="16.5" customHeight="1">
      <c r="A3" s="575" t="s">
        <v>836</v>
      </c>
      <c r="C3" s="575"/>
      <c r="F3" s="576"/>
      <c r="I3" s="714">
        <f>+'Asset quality'!P3</f>
        <v>44560</v>
      </c>
      <c r="J3" s="714"/>
    </row>
    <row r="4" spans="1:14" s="504" customFormat="1" ht="36" customHeight="1">
      <c r="A4" s="725" t="s">
        <v>83</v>
      </c>
      <c r="B4" s="728" t="s">
        <v>837</v>
      </c>
      <c r="C4" s="715" t="str">
        <f>"Остаток списаных кредита и лизинга на"&amp;" "&amp;DAY(I3)&amp;"."&amp;IF(LEN(MONTH(I3))&lt;2,"0"&amp;MONTH(I3),MONTH(I3))&amp;"."&amp;YEAR(I3)-1&amp;"г"</f>
        <v>Остаток списаных кредита и лизинга на 30.12.2020г</v>
      </c>
      <c r="D4" s="718" t="s">
        <v>838</v>
      </c>
      <c r="E4" s="729"/>
      <c r="F4" s="729"/>
      <c r="G4" s="729"/>
      <c r="H4" s="729"/>
      <c r="I4" s="719"/>
      <c r="J4" s="715" t="str">
        <f>"Остаток списаных кредита и лизинга на"&amp;" "&amp;DAY(I3)&amp;"."&amp;IF(LEN(MONTH(I3))&lt;2,"0"&amp;MONTH(I3),MONTH(I3))&amp;"."&amp;YEAR(I3)&amp;"г"</f>
        <v>Остаток списаных кредита и лизинга на 30.12.2021г</v>
      </c>
    </row>
    <row r="5" spans="1:14" s="504" customFormat="1" ht="33.75" customHeight="1">
      <c r="A5" s="726"/>
      <c r="B5" s="728"/>
      <c r="C5" s="716"/>
      <c r="D5" s="730" t="s">
        <v>839</v>
      </c>
      <c r="E5" s="731"/>
      <c r="F5" s="722" t="s">
        <v>840</v>
      </c>
      <c r="G5" s="732"/>
      <c r="H5" s="722" t="s">
        <v>841</v>
      </c>
      <c r="I5" s="732"/>
      <c r="J5" s="716"/>
      <c r="N5" s="577"/>
    </row>
    <row r="6" spans="1:14" s="504" customFormat="1" ht="44.25" customHeight="1">
      <c r="A6" s="727"/>
      <c r="B6" s="728"/>
      <c r="C6" s="717"/>
      <c r="D6" s="595" t="s">
        <v>152</v>
      </c>
      <c r="E6" s="595" t="s">
        <v>197</v>
      </c>
      <c r="F6" s="595" t="s">
        <v>152</v>
      </c>
      <c r="G6" s="595" t="s">
        <v>197</v>
      </c>
      <c r="H6" s="595" t="s">
        <v>152</v>
      </c>
      <c r="I6" s="595" t="s">
        <v>197</v>
      </c>
      <c r="J6" s="717"/>
    </row>
    <row r="7" spans="1:14" ht="19.5" customHeight="1">
      <c r="A7" s="595"/>
      <c r="B7" s="595" t="s">
        <v>182</v>
      </c>
      <c r="C7" s="595" t="s">
        <v>183</v>
      </c>
      <c r="D7" s="595" t="s">
        <v>195</v>
      </c>
      <c r="E7" s="595" t="s">
        <v>184</v>
      </c>
      <c r="F7" s="595" t="s">
        <v>185</v>
      </c>
      <c r="G7" s="595" t="s">
        <v>196</v>
      </c>
      <c r="H7" s="595" t="s">
        <v>186</v>
      </c>
      <c r="I7" s="595" t="s">
        <v>187</v>
      </c>
      <c r="J7" s="595" t="s">
        <v>188</v>
      </c>
    </row>
    <row r="8" spans="1:14" ht="19.5" customHeight="1">
      <c r="A8" s="595">
        <v>1</v>
      </c>
      <c r="B8" s="595" t="s">
        <v>752</v>
      </c>
      <c r="C8" s="595">
        <f>SUM(C10:C17)</f>
        <v>107764489.83048201</v>
      </c>
      <c r="D8" s="595">
        <f t="shared" ref="D8:J8" si="0">SUM(D10:D17)</f>
        <v>36544482.33113499</v>
      </c>
      <c r="E8" s="595">
        <f t="shared" si="0"/>
        <v>0</v>
      </c>
      <c r="F8" s="595">
        <f t="shared" si="0"/>
        <v>233380258.12678298</v>
      </c>
      <c r="G8" s="595">
        <f t="shared" si="0"/>
        <v>0</v>
      </c>
      <c r="H8" s="595">
        <f t="shared" si="0"/>
        <v>0</v>
      </c>
      <c r="I8" s="595">
        <f t="shared" si="0"/>
        <v>0</v>
      </c>
      <c r="J8" s="595">
        <f t="shared" si="0"/>
        <v>304600265.62612998</v>
      </c>
    </row>
    <row r="9" spans="1:14" ht="19.5" customHeight="1">
      <c r="A9" s="578"/>
      <c r="B9" s="579" t="s">
        <v>90</v>
      </c>
      <c r="C9" s="580"/>
      <c r="D9" s="581"/>
      <c r="E9" s="581"/>
      <c r="F9" s="581"/>
      <c r="G9" s="581"/>
      <c r="H9" s="581"/>
      <c r="I9" s="581"/>
      <c r="J9" s="581"/>
      <c r="K9" s="582"/>
    </row>
    <row r="10" spans="1:14" ht="28.5" customHeight="1">
      <c r="A10" s="568" t="s">
        <v>242</v>
      </c>
      <c r="B10" s="580" t="s">
        <v>118</v>
      </c>
      <c r="C10" s="597"/>
      <c r="D10" s="597"/>
      <c r="E10" s="597"/>
      <c r="F10" s="597"/>
      <c r="G10" s="597"/>
      <c r="H10" s="597"/>
      <c r="I10" s="597"/>
      <c r="J10" s="597"/>
    </row>
    <row r="11" spans="1:14" ht="28.5" customHeight="1">
      <c r="A11" s="568" t="s">
        <v>243</v>
      </c>
      <c r="B11" s="580" t="s">
        <v>126</v>
      </c>
      <c r="C11" s="597">
        <v>55588094.560517043</v>
      </c>
      <c r="D11" s="597"/>
      <c r="E11" s="597"/>
      <c r="F11" s="597">
        <v>232221819.52562299</v>
      </c>
      <c r="G11" s="597"/>
      <c r="H11" s="597"/>
      <c r="I11" s="597"/>
      <c r="J11" s="597">
        <v>287809914.08614004</v>
      </c>
    </row>
    <row r="12" spans="1:14" ht="28.5" customHeight="1">
      <c r="A12" s="568" t="s">
        <v>244</v>
      </c>
      <c r="B12" s="580" t="s">
        <v>129</v>
      </c>
      <c r="C12" s="597">
        <v>3422144.0894539948</v>
      </c>
      <c r="D12" s="597">
        <v>1630475.7728839901</v>
      </c>
      <c r="E12" s="597"/>
      <c r="F12" s="597">
        <v>0</v>
      </c>
      <c r="G12" s="597"/>
      <c r="H12" s="597"/>
      <c r="I12" s="597"/>
      <c r="J12" s="597">
        <v>1791668.3165700003</v>
      </c>
    </row>
    <row r="13" spans="1:14" ht="28.5" customHeight="1">
      <c r="A13" s="568" t="s">
        <v>248</v>
      </c>
      <c r="B13" s="580" t="s">
        <v>131</v>
      </c>
      <c r="C13" s="597"/>
      <c r="D13" s="597"/>
      <c r="E13" s="597"/>
      <c r="F13" s="597">
        <v>0</v>
      </c>
      <c r="G13" s="597"/>
      <c r="H13" s="597"/>
      <c r="I13" s="597"/>
      <c r="J13" s="597"/>
    </row>
    <row r="14" spans="1:14" ht="28.5" customHeight="1">
      <c r="A14" s="568" t="s">
        <v>249</v>
      </c>
      <c r="B14" s="580" t="s">
        <v>133</v>
      </c>
      <c r="C14" s="597">
        <v>14771712.177113995</v>
      </c>
      <c r="D14" s="597">
        <v>14512301.320774</v>
      </c>
      <c r="E14" s="597"/>
      <c r="F14" s="597">
        <v>0</v>
      </c>
      <c r="G14" s="597"/>
      <c r="H14" s="597"/>
      <c r="I14" s="597"/>
      <c r="J14" s="597">
        <v>259410.85634</v>
      </c>
    </row>
    <row r="15" spans="1:14" ht="28.5" customHeight="1">
      <c r="A15" s="568" t="s">
        <v>278</v>
      </c>
      <c r="B15" s="580" t="s">
        <v>135</v>
      </c>
      <c r="C15" s="597"/>
      <c r="D15" s="597"/>
      <c r="E15" s="597"/>
      <c r="F15" s="597">
        <v>101104.35120999999</v>
      </c>
      <c r="G15" s="597"/>
      <c r="H15" s="597"/>
      <c r="I15" s="597"/>
      <c r="J15" s="597">
        <v>101104.35120999999</v>
      </c>
    </row>
    <row r="16" spans="1:14" ht="28.5" customHeight="1">
      <c r="A16" s="568" t="s">
        <v>842</v>
      </c>
      <c r="B16" s="580" t="s">
        <v>137</v>
      </c>
      <c r="C16" s="597">
        <v>311167</v>
      </c>
      <c r="D16" s="597"/>
      <c r="E16" s="597"/>
      <c r="F16" s="597">
        <v>1057334.2499500001</v>
      </c>
      <c r="G16" s="597"/>
      <c r="H16" s="597"/>
      <c r="I16" s="597"/>
      <c r="J16" s="597">
        <v>1368501.2499500001</v>
      </c>
    </row>
    <row r="17" spans="1:15" ht="28.5" customHeight="1">
      <c r="A17" s="568" t="s">
        <v>843</v>
      </c>
      <c r="B17" s="580" t="s">
        <v>175</v>
      </c>
      <c r="C17" s="597">
        <v>33671372.003396973</v>
      </c>
      <c r="D17" s="597">
        <v>20401705.237477001</v>
      </c>
      <c r="E17" s="597"/>
      <c r="F17" s="597">
        <v>0</v>
      </c>
      <c r="G17" s="597"/>
      <c r="H17" s="597"/>
      <c r="I17" s="597"/>
      <c r="J17" s="597">
        <v>13269666.765919985</v>
      </c>
    </row>
    <row r="18" spans="1:15" ht="19.5" customHeight="1">
      <c r="A18" s="595">
        <v>2</v>
      </c>
      <c r="B18" s="595" t="s">
        <v>164</v>
      </c>
      <c r="C18" s="595">
        <f>SUM(C20:C24)</f>
        <v>4576151.4080079924</v>
      </c>
      <c r="D18" s="595">
        <f t="shared" ref="D18:J18" si="1">SUM(D20:D24)</f>
        <v>1878860.067800994</v>
      </c>
      <c r="E18" s="595">
        <f t="shared" si="1"/>
        <v>0</v>
      </c>
      <c r="F18" s="595">
        <f t="shared" si="1"/>
        <v>2317281.535953003</v>
      </c>
      <c r="G18" s="595">
        <f t="shared" si="1"/>
        <v>0</v>
      </c>
      <c r="H18" s="595">
        <f t="shared" si="1"/>
        <v>0</v>
      </c>
      <c r="I18" s="595">
        <f t="shared" si="1"/>
        <v>0</v>
      </c>
      <c r="J18" s="595">
        <f t="shared" si="1"/>
        <v>5067353.4649</v>
      </c>
    </row>
    <row r="19" spans="1:15" ht="19.5" customHeight="1">
      <c r="A19" s="578"/>
      <c r="B19" s="579" t="s">
        <v>90</v>
      </c>
      <c r="C19" s="580"/>
      <c r="D19" s="581"/>
      <c r="E19" s="581"/>
      <c r="F19" s="581"/>
      <c r="G19" s="581"/>
      <c r="H19" s="581"/>
      <c r="I19" s="581"/>
      <c r="J19" s="581"/>
    </row>
    <row r="20" spans="1:15" ht="28.5" customHeight="1">
      <c r="A20" s="568" t="s">
        <v>255</v>
      </c>
      <c r="B20" s="580" t="s">
        <v>844</v>
      </c>
      <c r="C20" s="597">
        <v>1232815.5051169973</v>
      </c>
      <c r="D20" s="597"/>
      <c r="E20" s="597"/>
      <c r="F20" s="597">
        <v>2317281.535953003</v>
      </c>
      <c r="G20" s="597"/>
      <c r="H20" s="597"/>
      <c r="I20" s="597"/>
      <c r="J20" s="597">
        <v>3550097.0410700003</v>
      </c>
    </row>
    <row r="21" spans="1:15" ht="28.5" customHeight="1">
      <c r="A21" s="568" t="s">
        <v>256</v>
      </c>
      <c r="B21" s="580" t="s">
        <v>845</v>
      </c>
      <c r="C21" s="597"/>
      <c r="D21" s="597"/>
      <c r="E21" s="597"/>
      <c r="F21" s="597"/>
      <c r="G21" s="597"/>
      <c r="H21" s="597"/>
      <c r="I21" s="597"/>
      <c r="J21" s="597">
        <v>52780.588739999999</v>
      </c>
    </row>
    <row r="22" spans="1:15" ht="28.5" customHeight="1">
      <c r="A22" s="568" t="s">
        <v>258</v>
      </c>
      <c r="B22" s="580" t="s">
        <v>846</v>
      </c>
      <c r="C22" s="597">
        <v>987079.42666699737</v>
      </c>
      <c r="D22" s="597">
        <v>408816.09556699701</v>
      </c>
      <c r="E22" s="597"/>
      <c r="F22" s="597"/>
      <c r="G22" s="597"/>
      <c r="H22" s="597"/>
      <c r="I22" s="597"/>
      <c r="J22" s="597">
        <v>578263.33109999995</v>
      </c>
    </row>
    <row r="23" spans="1:15" ht="28.5" customHeight="1">
      <c r="A23" s="568" t="s">
        <v>260</v>
      </c>
      <c r="B23" s="580" t="s">
        <v>625</v>
      </c>
      <c r="C23" s="597">
        <v>1267098.7417469975</v>
      </c>
      <c r="D23" s="597">
        <v>585901.41555699694</v>
      </c>
      <c r="E23" s="597"/>
      <c r="F23" s="597"/>
      <c r="G23" s="597"/>
      <c r="H23" s="597"/>
      <c r="I23" s="597"/>
      <c r="J23" s="597">
        <v>681197.32619000005</v>
      </c>
    </row>
    <row r="24" spans="1:15" ht="28.5" customHeight="1">
      <c r="A24" s="568" t="s">
        <v>619</v>
      </c>
      <c r="B24" s="580" t="s">
        <v>613</v>
      </c>
      <c r="C24" s="597">
        <v>1089157.7344770001</v>
      </c>
      <c r="D24" s="597">
        <v>884142.55667700002</v>
      </c>
      <c r="E24" s="597"/>
      <c r="F24" s="597"/>
      <c r="G24" s="597"/>
      <c r="H24" s="597"/>
      <c r="I24" s="597"/>
      <c r="J24" s="597">
        <v>205015.1778</v>
      </c>
    </row>
    <row r="25" spans="1:15" ht="19.5" customHeight="1">
      <c r="A25" s="595">
        <v>3</v>
      </c>
      <c r="B25" s="595" t="s">
        <v>279</v>
      </c>
      <c r="C25" s="595">
        <f>+C18+C8</f>
        <v>112340641.23849</v>
      </c>
      <c r="D25" s="595">
        <f t="shared" ref="D25:J25" si="2">+D18+D8</f>
        <v>38423342.398935981</v>
      </c>
      <c r="E25" s="595">
        <f t="shared" si="2"/>
        <v>0</v>
      </c>
      <c r="F25" s="595">
        <f t="shared" si="2"/>
        <v>235697539.662736</v>
      </c>
      <c r="G25" s="595">
        <f t="shared" si="2"/>
        <v>0</v>
      </c>
      <c r="H25" s="595">
        <f t="shared" si="2"/>
        <v>0</v>
      </c>
      <c r="I25" s="595">
        <f t="shared" si="2"/>
        <v>0</v>
      </c>
      <c r="J25" s="595">
        <f t="shared" si="2"/>
        <v>309667619.09103</v>
      </c>
    </row>
    <row r="26" spans="1:15">
      <c r="B26" s="572"/>
      <c r="C26" s="572"/>
      <c r="D26" s="583"/>
      <c r="E26" s="583"/>
      <c r="F26" s="583"/>
      <c r="G26" s="583"/>
      <c r="H26" s="583"/>
      <c r="I26" s="583"/>
      <c r="J26" s="583"/>
    </row>
    <row r="27" spans="1:15" s="561" customFormat="1" ht="16.5" customHeight="1">
      <c r="A27" s="575" t="s">
        <v>847</v>
      </c>
      <c r="B27" s="575"/>
      <c r="C27" s="575"/>
      <c r="G27" s="584"/>
      <c r="H27" s="562"/>
      <c r="L27" s="308"/>
      <c r="N27" s="585"/>
      <c r="O27" s="585"/>
    </row>
    <row r="28" spans="1:15" s="504" customFormat="1" ht="33.75" customHeight="1">
      <c r="A28" s="725" t="s">
        <v>83</v>
      </c>
      <c r="B28" s="728" t="s">
        <v>837</v>
      </c>
      <c r="C28" s="715" t="str">
        <f>"Резервы возможных потерь по кредитам и лизингу на"&amp;" "&amp;DAY(I3)&amp;"."&amp;IF(LEN(MONTH(I3))&lt;2,"0"&amp;MONTH(I3),MONTH(I3))&amp;"."&amp;YEAR(I3)-1&amp;"г"</f>
        <v>Резервы возможных потерь по кредитам и лизингу на 30.12.2020г</v>
      </c>
      <c r="D28" s="718" t="s">
        <v>848</v>
      </c>
      <c r="E28" s="729"/>
      <c r="F28" s="729"/>
      <c r="G28" s="729"/>
      <c r="H28" s="715" t="s">
        <v>902</v>
      </c>
      <c r="I28" s="715" t="str">
        <f>"Резервы возможных потерь по кредитам и лизингу на"&amp;" "&amp;DAY(I3)&amp;"."&amp;IF(LEN(MONTH(I3))&lt;2,"0"&amp;MONTH(I3),MONTH(I3))&amp;"."&amp;YEAR(I3)&amp;"г"</f>
        <v>Резервы возможных потерь по кредитам и лизингу на 30.12.2021г</v>
      </c>
      <c r="L28" s="308"/>
    </row>
    <row r="29" spans="1:15" s="504" customFormat="1" ht="28.5" customHeight="1">
      <c r="A29" s="726"/>
      <c r="B29" s="728"/>
      <c r="C29" s="716"/>
      <c r="D29" s="730" t="s">
        <v>849</v>
      </c>
      <c r="E29" s="731"/>
      <c r="F29" s="718" t="s">
        <v>850</v>
      </c>
      <c r="G29" s="719"/>
      <c r="H29" s="716"/>
      <c r="I29" s="716"/>
      <c r="L29" s="308"/>
    </row>
    <row r="30" spans="1:15" s="504" customFormat="1" ht="37.5" customHeight="1">
      <c r="A30" s="727"/>
      <c r="B30" s="728"/>
      <c r="C30" s="717"/>
      <c r="D30" s="595" t="s">
        <v>152</v>
      </c>
      <c r="E30" s="595" t="s">
        <v>197</v>
      </c>
      <c r="F30" s="595" t="s">
        <v>152</v>
      </c>
      <c r="G30" s="595" t="s">
        <v>197</v>
      </c>
      <c r="H30" s="717"/>
      <c r="I30" s="717"/>
      <c r="L30" s="308"/>
    </row>
    <row r="31" spans="1:15" ht="19.5" customHeight="1">
      <c r="A31" s="595"/>
      <c r="B31" s="595" t="s">
        <v>182</v>
      </c>
      <c r="C31" s="595" t="s">
        <v>183</v>
      </c>
      <c r="D31" s="595" t="s">
        <v>195</v>
      </c>
      <c r="E31" s="595" t="s">
        <v>184</v>
      </c>
      <c r="F31" s="595" t="s">
        <v>185</v>
      </c>
      <c r="G31" s="595" t="s">
        <v>196</v>
      </c>
      <c r="H31" s="595" t="s">
        <v>186</v>
      </c>
      <c r="I31" s="605" t="s">
        <v>187</v>
      </c>
    </row>
    <row r="32" spans="1:15" ht="19.5" customHeight="1">
      <c r="A32" s="595">
        <v>1</v>
      </c>
      <c r="B32" s="595" t="s">
        <v>752</v>
      </c>
      <c r="C32" s="595">
        <f>SUM(C34:C41)</f>
        <v>150054895.13844007</v>
      </c>
      <c r="D32" s="595">
        <f t="shared" ref="D32:H32" si="3">SUM(D34:D41)</f>
        <v>10479759</v>
      </c>
      <c r="E32" s="595">
        <f t="shared" si="3"/>
        <v>0</v>
      </c>
      <c r="F32" s="595">
        <f t="shared" si="3"/>
        <v>60287142.557610177</v>
      </c>
      <c r="G32" s="595">
        <f t="shared" si="3"/>
        <v>0</v>
      </c>
      <c r="H32" s="595">
        <f t="shared" si="3"/>
        <v>0</v>
      </c>
      <c r="I32" s="595">
        <f>SUM(I34:I41)</f>
        <v>100247511.62745003</v>
      </c>
    </row>
    <row r="33" spans="1:9" ht="19.5" customHeight="1">
      <c r="A33" s="578"/>
      <c r="B33" s="579" t="s">
        <v>90</v>
      </c>
      <c r="C33" s="580"/>
      <c r="D33" s="581"/>
      <c r="E33" s="581"/>
      <c r="F33" s="581"/>
      <c r="G33" s="581"/>
      <c r="H33" s="581"/>
      <c r="I33" s="581"/>
    </row>
    <row r="34" spans="1:9" ht="28.5" customHeight="1">
      <c r="A34" s="568" t="s">
        <v>242</v>
      </c>
      <c r="B34" s="580" t="s">
        <v>118</v>
      </c>
      <c r="C34" s="597">
        <v>17386796.344259832</v>
      </c>
      <c r="D34" s="597">
        <v>10479759</v>
      </c>
      <c r="E34" s="597"/>
      <c r="F34" s="597"/>
      <c r="G34" s="597"/>
      <c r="H34" s="597"/>
      <c r="I34" s="597">
        <v>27866555.390880004</v>
      </c>
    </row>
    <row r="35" spans="1:9" ht="28.5" customHeight="1">
      <c r="A35" s="568" t="s">
        <v>243</v>
      </c>
      <c r="B35" s="580" t="s">
        <v>126</v>
      </c>
      <c r="C35" s="597">
        <v>33372999.344742317</v>
      </c>
      <c r="D35" s="597"/>
      <c r="E35" s="597"/>
      <c r="F35" s="597">
        <f t="shared" ref="F35:F41" si="4">+C35-I35</f>
        <v>6928963.5388523005</v>
      </c>
      <c r="G35" s="597"/>
      <c r="H35" s="597"/>
      <c r="I35" s="597">
        <v>26444035.805890016</v>
      </c>
    </row>
    <row r="36" spans="1:9" ht="28.5" customHeight="1">
      <c r="A36" s="568" t="s">
        <v>244</v>
      </c>
      <c r="B36" s="580" t="s">
        <v>129</v>
      </c>
      <c r="C36" s="597">
        <v>22942647.507092327</v>
      </c>
      <c r="D36" s="597"/>
      <c r="E36" s="597"/>
      <c r="F36" s="597">
        <f t="shared" si="4"/>
        <v>14341864.154172322</v>
      </c>
      <c r="G36" s="597"/>
      <c r="H36" s="597"/>
      <c r="I36" s="597">
        <v>8600783.3529200051</v>
      </c>
    </row>
    <row r="37" spans="1:9" ht="28.5" customHeight="1">
      <c r="A37" s="568" t="s">
        <v>248</v>
      </c>
      <c r="B37" s="580" t="s">
        <v>131</v>
      </c>
      <c r="C37" s="597">
        <v>19048260.034052331</v>
      </c>
      <c r="D37" s="597"/>
      <c r="E37" s="597"/>
      <c r="F37" s="597">
        <f t="shared" si="4"/>
        <v>10655410.080432329</v>
      </c>
      <c r="G37" s="597"/>
      <c r="H37" s="597"/>
      <c r="I37" s="597">
        <v>8392849.9536200017</v>
      </c>
    </row>
    <row r="38" spans="1:9" ht="28.5" customHeight="1">
      <c r="A38" s="568" t="s">
        <v>249</v>
      </c>
      <c r="B38" s="580" t="s">
        <v>133</v>
      </c>
      <c r="C38" s="597">
        <v>18618712.50422233</v>
      </c>
      <c r="D38" s="597"/>
      <c r="E38" s="597"/>
      <c r="F38" s="597">
        <f t="shared" si="4"/>
        <v>8151271.8831423223</v>
      </c>
      <c r="G38" s="597"/>
      <c r="H38" s="597"/>
      <c r="I38" s="597">
        <v>10467440.621080007</v>
      </c>
    </row>
    <row r="39" spans="1:9" ht="28.5" customHeight="1">
      <c r="A39" s="568" t="s">
        <v>278</v>
      </c>
      <c r="B39" s="580" t="s">
        <v>135</v>
      </c>
      <c r="C39" s="597">
        <v>17621512.69752375</v>
      </c>
      <c r="D39" s="597"/>
      <c r="E39" s="597"/>
      <c r="F39" s="597">
        <f t="shared" si="4"/>
        <v>2060802.3909737468</v>
      </c>
      <c r="G39" s="597"/>
      <c r="H39" s="597"/>
      <c r="I39" s="597">
        <v>15560710.306550004</v>
      </c>
    </row>
    <row r="40" spans="1:9" ht="28.5" customHeight="1">
      <c r="A40" s="568" t="s">
        <v>842</v>
      </c>
      <c r="B40" s="580" t="s">
        <v>137</v>
      </c>
      <c r="C40" s="597">
        <v>16721842.543943759</v>
      </c>
      <c r="D40" s="597"/>
      <c r="E40" s="597"/>
      <c r="F40" s="597">
        <f t="shared" si="4"/>
        <v>16593196.481263759</v>
      </c>
      <c r="G40" s="597"/>
      <c r="H40" s="597"/>
      <c r="I40" s="597">
        <v>128646.06268</v>
      </c>
    </row>
    <row r="41" spans="1:9" ht="28.5" customHeight="1">
      <c r="A41" s="568" t="s">
        <v>843</v>
      </c>
      <c r="B41" s="580" t="s">
        <v>175</v>
      </c>
      <c r="C41" s="597">
        <v>4342124.1626034053</v>
      </c>
      <c r="D41" s="597"/>
      <c r="E41" s="597"/>
      <c r="F41" s="597">
        <f t="shared" si="4"/>
        <v>1555634.0287734056</v>
      </c>
      <c r="G41" s="597"/>
      <c r="H41" s="597"/>
      <c r="I41" s="597">
        <v>2786490.1338299997</v>
      </c>
    </row>
    <row r="42" spans="1:9" ht="19.5" customHeight="1">
      <c r="A42" s="595">
        <v>2</v>
      </c>
      <c r="B42" s="595" t="s">
        <v>164</v>
      </c>
      <c r="C42" s="595">
        <f>SUM(C44:C48)</f>
        <v>47339256.635400005</v>
      </c>
      <c r="D42" s="595">
        <f t="shared" ref="D42:H42" si="5">SUM(D44:D48)</f>
        <v>95810782.989093348</v>
      </c>
      <c r="E42" s="595">
        <f t="shared" si="5"/>
        <v>0</v>
      </c>
      <c r="F42" s="595">
        <f t="shared" si="5"/>
        <v>22289252.117943324</v>
      </c>
      <c r="G42" s="595">
        <f t="shared" si="5"/>
        <v>0</v>
      </c>
      <c r="H42" s="595">
        <f t="shared" si="5"/>
        <v>0</v>
      </c>
      <c r="I42" s="595">
        <f>SUM(I44:I48)</f>
        <v>120860787.50655003</v>
      </c>
    </row>
    <row r="43" spans="1:9" ht="19.5" customHeight="1">
      <c r="A43" s="578"/>
      <c r="B43" s="579" t="s">
        <v>90</v>
      </c>
      <c r="C43" s="586"/>
      <c r="D43" s="178"/>
      <c r="E43" s="178"/>
      <c r="F43" s="178"/>
      <c r="G43" s="178"/>
      <c r="H43" s="178"/>
      <c r="I43" s="178"/>
    </row>
    <row r="44" spans="1:9" ht="28.5" customHeight="1">
      <c r="A44" s="568" t="s">
        <v>255</v>
      </c>
      <c r="B44" s="580" t="s">
        <v>844</v>
      </c>
      <c r="C44" s="597">
        <v>10886247.394648327</v>
      </c>
      <c r="D44" s="597"/>
      <c r="E44" s="597"/>
      <c r="F44" s="597">
        <f>+C44-I44</f>
        <v>2143137.4355583284</v>
      </c>
      <c r="G44" s="597"/>
      <c r="H44" s="597"/>
      <c r="I44" s="597">
        <v>8743109.9590899982</v>
      </c>
    </row>
    <row r="45" spans="1:9" ht="28.5" customHeight="1">
      <c r="A45" s="568" t="s">
        <v>256</v>
      </c>
      <c r="B45" s="580" t="s">
        <v>845</v>
      </c>
      <c r="C45" s="597">
        <v>3369130.3391166581</v>
      </c>
      <c r="D45" s="597"/>
      <c r="E45" s="597"/>
      <c r="F45" s="597">
        <f t="shared" ref="F45:F46" si="6">+C45-I45</f>
        <v>2634698.2110166582</v>
      </c>
      <c r="G45" s="597"/>
      <c r="H45" s="597"/>
      <c r="I45" s="597">
        <v>734432.12809999974</v>
      </c>
    </row>
    <row r="46" spans="1:9" ht="28.5" customHeight="1">
      <c r="A46" s="568" t="s">
        <v>258</v>
      </c>
      <c r="B46" s="580" t="s">
        <v>846</v>
      </c>
      <c r="C46" s="597">
        <v>26140345.151468366</v>
      </c>
      <c r="D46" s="597"/>
      <c r="E46" s="597"/>
      <c r="F46" s="597">
        <f t="shared" si="6"/>
        <v>17511416.471368335</v>
      </c>
      <c r="G46" s="597"/>
      <c r="H46" s="597"/>
      <c r="I46" s="597">
        <v>8628928.6801000331</v>
      </c>
    </row>
    <row r="47" spans="1:9" ht="28.5" customHeight="1">
      <c r="A47" s="568" t="s">
        <v>260</v>
      </c>
      <c r="B47" s="580" t="s">
        <v>625</v>
      </c>
      <c r="C47" s="597">
        <v>4997474.804088329</v>
      </c>
      <c r="D47" s="597">
        <v>8218629.1903916504</v>
      </c>
      <c r="E47" s="597"/>
      <c r="F47" s="597"/>
      <c r="G47" s="597"/>
      <c r="H47" s="597"/>
      <c r="I47" s="597">
        <v>13216103.994479977</v>
      </c>
    </row>
    <row r="48" spans="1:9" ht="28.5" customHeight="1">
      <c r="A48" s="568" t="s">
        <v>619</v>
      </c>
      <c r="B48" s="580" t="s">
        <v>613</v>
      </c>
      <c r="C48" s="597">
        <v>1946058.9460783224</v>
      </c>
      <c r="D48" s="597">
        <v>87592153.798701704</v>
      </c>
      <c r="E48" s="597"/>
      <c r="F48" s="597"/>
      <c r="G48" s="597"/>
      <c r="H48" s="597"/>
      <c r="I48" s="597">
        <v>89538212.744780019</v>
      </c>
    </row>
    <row r="49" spans="1:10" ht="19.5" customHeight="1">
      <c r="A49" s="595">
        <v>3</v>
      </c>
      <c r="B49" s="595" t="s">
        <v>279</v>
      </c>
      <c r="C49" s="595">
        <f>+C42+C32</f>
        <v>197394151.77384007</v>
      </c>
      <c r="D49" s="595">
        <f t="shared" ref="D49:H49" si="7">+D42+D32</f>
        <v>106290541.98909335</v>
      </c>
      <c r="E49" s="595">
        <f t="shared" si="7"/>
        <v>0</v>
      </c>
      <c r="F49" s="595">
        <f t="shared" si="7"/>
        <v>82576394.675553501</v>
      </c>
      <c r="G49" s="595">
        <f t="shared" si="7"/>
        <v>0</v>
      </c>
      <c r="H49" s="595">
        <f t="shared" si="7"/>
        <v>0</v>
      </c>
      <c r="I49" s="595">
        <f>+I42+I32</f>
        <v>221108299.13400006</v>
      </c>
    </row>
    <row r="51" spans="1:10" ht="15.75">
      <c r="A51" s="362"/>
      <c r="B51" s="363" t="s">
        <v>0</v>
      </c>
      <c r="J51" s="362"/>
    </row>
    <row r="52" spans="1:10" ht="15.75">
      <c r="A52" s="362"/>
      <c r="B52" s="363"/>
      <c r="J52" s="362"/>
    </row>
    <row r="53" spans="1:10" ht="15.75">
      <c r="A53" s="362"/>
      <c r="B53" s="363" t="s">
        <v>1</v>
      </c>
      <c r="J53" s="362"/>
    </row>
  </sheetData>
  <sheetProtection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I3:J3"/>
    <mergeCell ref="A1:I1"/>
    <mergeCell ref="A4:A6"/>
    <mergeCell ref="B4:B6"/>
    <mergeCell ref="C4:C6"/>
    <mergeCell ref="D4:I4"/>
  </mergeCells>
  <phoneticPr fontId="16" type="noConversion"/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L59"/>
  <sheetViews>
    <sheetView zoomScaleNormal="100" zoomScaleSheetLayoutView="70" workbookViewId="0">
      <pane xSplit="3" ySplit="8" topLeftCell="E16" activePane="bottomRight" state="frozen"/>
      <selection pane="topRight" activeCell="D1" sqref="D1"/>
      <selection pane="bottomLeft" activeCell="A9" sqref="A9"/>
      <selection pane="bottomRight" activeCell="G53" sqref="G53"/>
    </sheetView>
  </sheetViews>
  <sheetFormatPr defaultRowHeight="15.75"/>
  <cols>
    <col min="1" max="1" width="10.140625" style="139" customWidth="1"/>
    <col min="2" max="2" width="52" style="139" customWidth="1"/>
    <col min="3" max="3" width="18.5703125" style="139" customWidth="1"/>
    <col min="4" max="4" width="20.42578125" style="193" customWidth="1"/>
    <col min="5" max="5" width="18.5703125" style="139" customWidth="1"/>
    <col min="6" max="6" width="20.42578125" style="139" customWidth="1"/>
    <col min="7" max="7" width="18.5703125" style="139" customWidth="1"/>
    <col min="8" max="8" width="20.42578125" style="139" customWidth="1"/>
    <col min="9" max="9" width="9.140625" style="139"/>
    <col min="10" max="12" width="16.85546875" style="139" customWidth="1"/>
    <col min="13" max="16384" width="9.140625" style="139"/>
  </cols>
  <sheetData>
    <row r="1" spans="1:12" s="144" customFormat="1" ht="37.5" customHeight="1">
      <c r="A1" s="733" t="s">
        <v>631</v>
      </c>
      <c r="B1" s="733"/>
      <c r="C1" s="733"/>
      <c r="D1" s="733"/>
      <c r="E1" s="733"/>
      <c r="F1" s="733"/>
      <c r="G1" s="733"/>
      <c r="H1" s="179" t="s">
        <v>592</v>
      </c>
    </row>
    <row r="2" spans="1:12" ht="19.5" customHeight="1">
      <c r="B2" s="734"/>
      <c r="C2" s="734"/>
      <c r="D2" s="734"/>
      <c r="E2" s="734"/>
      <c r="F2" s="734"/>
      <c r="G2" s="734"/>
      <c r="H2" s="734"/>
    </row>
    <row r="3" spans="1:12" ht="19.5" customHeight="1">
      <c r="B3" s="168" t="str">
        <f>+'Asset quality'!B3</f>
        <v>"Микрокредитбанк"</v>
      </c>
      <c r="C3" s="180"/>
      <c r="D3" s="191"/>
      <c r="F3" s="742">
        <f>+'Asset quality'!P3</f>
        <v>44560</v>
      </c>
      <c r="G3" s="742"/>
      <c r="H3" s="169" t="s">
        <v>382</v>
      </c>
    </row>
    <row r="4" spans="1:12" s="140" customFormat="1" ht="29.25" customHeight="1">
      <c r="A4" s="725" t="s">
        <v>83</v>
      </c>
      <c r="B4" s="725" t="s">
        <v>615</v>
      </c>
      <c r="C4" s="735" t="s">
        <v>605</v>
      </c>
      <c r="D4" s="736"/>
      <c r="E4" s="739" t="s">
        <v>606</v>
      </c>
      <c r="F4" s="740"/>
      <c r="G4" s="740"/>
      <c r="H4" s="741"/>
    </row>
    <row r="5" spans="1:12" s="140" customFormat="1" ht="30" customHeight="1">
      <c r="A5" s="726"/>
      <c r="B5" s="726"/>
      <c r="C5" s="737"/>
      <c r="D5" s="738"/>
      <c r="E5" s="739" t="s">
        <v>617</v>
      </c>
      <c r="F5" s="741"/>
      <c r="G5" s="739" t="s">
        <v>197</v>
      </c>
      <c r="H5" s="741"/>
    </row>
    <row r="6" spans="1:12" s="140" customFormat="1" ht="55.5" customHeight="1">
      <c r="A6" s="726"/>
      <c r="B6" s="727"/>
      <c r="C6" s="211" t="s">
        <v>614</v>
      </c>
      <c r="D6" s="211" t="s">
        <v>609</v>
      </c>
      <c r="E6" s="211" t="s">
        <v>614</v>
      </c>
      <c r="F6" s="211" t="s">
        <v>609</v>
      </c>
      <c r="G6" s="211" t="s">
        <v>614</v>
      </c>
      <c r="H6" s="211" t="s">
        <v>609</v>
      </c>
    </row>
    <row r="7" spans="1:12" s="140" customFormat="1">
      <c r="A7" s="727"/>
      <c r="B7" s="211" t="s">
        <v>182</v>
      </c>
      <c r="C7" s="301" t="s">
        <v>183</v>
      </c>
      <c r="D7" s="211" t="s">
        <v>195</v>
      </c>
      <c r="E7" s="211" t="s">
        <v>184</v>
      </c>
      <c r="F7" s="211" t="s">
        <v>185</v>
      </c>
      <c r="G7" s="211" t="s">
        <v>196</v>
      </c>
      <c r="H7" s="211" t="s">
        <v>186</v>
      </c>
    </row>
    <row r="8" spans="1:12" s="140" customFormat="1" ht="24" customHeight="1">
      <c r="A8" s="157">
        <v>1</v>
      </c>
      <c r="B8" s="214" t="s">
        <v>651</v>
      </c>
      <c r="C8" s="286">
        <f>SUM(C10:C14)</f>
        <v>1749358606</v>
      </c>
      <c r="D8" s="287">
        <f>IFERROR(((C10*D10)/C8)+((C11*D11)/C8)+((C12*D12)/C8)+((C13*D13)/C8)+((C14*D14)/C8),0)</f>
        <v>0.13012904782232659</v>
      </c>
      <c r="E8" s="286">
        <f>SUM(E10:E14)</f>
        <v>1749358606</v>
      </c>
      <c r="F8" s="287">
        <f>IFERROR(((E10*F10)/E8)+((E11*F11)/E8)+((E12*F12)/E8)+((E13*F13)/E8)+((E14*F14)/E8),0)</f>
        <v>0.13012904782232659</v>
      </c>
      <c r="G8" s="286">
        <f>SUM(G10:G14)</f>
        <v>0</v>
      </c>
      <c r="H8" s="287">
        <f>IFERROR(((G10*H10)/G8)+((G11*H11)/G8)+((G12*H12)/G8)+((G13*H13)/G8)+((G14*H14)/G8),0)</f>
        <v>0</v>
      </c>
      <c r="J8" s="460">
        <f>+C8+C16+C24+C33</f>
        <v>10815884011</v>
      </c>
      <c r="K8" s="460">
        <f>+E8+E16+E24+E33</f>
        <v>7204289323</v>
      </c>
      <c r="L8" s="460">
        <f>+G8+G16+G24+G33</f>
        <v>3611594688</v>
      </c>
    </row>
    <row r="9" spans="1:12" s="140" customFormat="1" ht="17.25" customHeight="1">
      <c r="A9" s="157"/>
      <c r="B9" s="215" t="s">
        <v>616</v>
      </c>
      <c r="C9" s="284"/>
      <c r="D9" s="181"/>
      <c r="E9" s="284"/>
      <c r="F9" s="181"/>
      <c r="G9" s="284"/>
      <c r="H9" s="181"/>
      <c r="J9" s="460">
        <f>+'loans type'!C8</f>
        <v>10815884011</v>
      </c>
      <c r="K9" s="460">
        <f>+'loans type'!E8</f>
        <v>7204289323</v>
      </c>
      <c r="L9" s="460">
        <f>+'loans type'!G8</f>
        <v>3611594688</v>
      </c>
    </row>
    <row r="10" spans="1:12" s="140" customFormat="1" ht="24" customHeight="1">
      <c r="A10" s="143" t="s">
        <v>242</v>
      </c>
      <c r="B10" s="216" t="s">
        <v>607</v>
      </c>
      <c r="C10" s="284">
        <f>+E10+G10</f>
        <v>22828512</v>
      </c>
      <c r="D10" s="195">
        <v>9.5631002690742373E-2</v>
      </c>
      <c r="E10" s="285">
        <v>22828512</v>
      </c>
      <c r="F10" s="195">
        <v>9.5631002690742373E-2</v>
      </c>
      <c r="G10" s="285">
        <v>0</v>
      </c>
      <c r="H10" s="195">
        <v>0</v>
      </c>
      <c r="J10" s="460">
        <f>+J8-J9</f>
        <v>0</v>
      </c>
      <c r="K10" s="460">
        <f t="shared" ref="K10:L10" si="0">+K8-K9</f>
        <v>0</v>
      </c>
      <c r="L10" s="460">
        <f t="shared" si="0"/>
        <v>0</v>
      </c>
    </row>
    <row r="11" spans="1:12" s="140" customFormat="1" ht="24" customHeight="1">
      <c r="A11" s="143" t="s">
        <v>243</v>
      </c>
      <c r="B11" s="216" t="s">
        <v>608</v>
      </c>
      <c r="C11" s="284">
        <f t="shared" ref="C11:C14" si="1">+E11+G11</f>
        <v>0</v>
      </c>
      <c r="D11" s="195">
        <v>0</v>
      </c>
      <c r="E11" s="285">
        <v>0</v>
      </c>
      <c r="F11" s="195">
        <v>0</v>
      </c>
      <c r="G11" s="285">
        <v>0</v>
      </c>
      <c r="H11" s="195">
        <v>0</v>
      </c>
    </row>
    <row r="12" spans="1:12" s="140" customFormat="1" ht="24" customHeight="1">
      <c r="A12" s="143" t="s">
        <v>244</v>
      </c>
      <c r="B12" s="216" t="s">
        <v>761</v>
      </c>
      <c r="C12" s="284">
        <f t="shared" si="1"/>
        <v>470352</v>
      </c>
      <c r="D12" s="195">
        <v>0.13952228907258057</v>
      </c>
      <c r="E12" s="285">
        <v>470352</v>
      </c>
      <c r="F12" s="195">
        <v>0.13952228907258057</v>
      </c>
      <c r="G12" s="285">
        <v>0</v>
      </c>
      <c r="H12" s="195">
        <v>0</v>
      </c>
    </row>
    <row r="13" spans="1:12" s="140" customFormat="1" ht="24" customHeight="1">
      <c r="A13" s="143" t="s">
        <v>248</v>
      </c>
      <c r="B13" s="216" t="s">
        <v>625</v>
      </c>
      <c r="C13" s="284">
        <f t="shared" si="1"/>
        <v>3159304</v>
      </c>
      <c r="D13" s="195">
        <v>6.339872575300011E-2</v>
      </c>
      <c r="E13" s="285">
        <v>3159304</v>
      </c>
      <c r="F13" s="195">
        <v>6.339872575300011E-2</v>
      </c>
      <c r="G13" s="285">
        <v>0</v>
      </c>
      <c r="H13" s="195">
        <v>0</v>
      </c>
    </row>
    <row r="14" spans="1:12" s="140" customFormat="1" ht="24" customHeight="1">
      <c r="A14" s="143" t="s">
        <v>249</v>
      </c>
      <c r="B14" s="216" t="s">
        <v>613</v>
      </c>
      <c r="C14" s="284">
        <f t="shared" si="1"/>
        <v>1722900438</v>
      </c>
      <c r="D14" s="195">
        <v>0.1307059484133109</v>
      </c>
      <c r="E14" s="285">
        <v>1722900438</v>
      </c>
      <c r="F14" s="195">
        <v>0.1307059484133109</v>
      </c>
      <c r="G14" s="285">
        <v>0</v>
      </c>
      <c r="H14" s="195">
        <v>0</v>
      </c>
    </row>
    <row r="15" spans="1:12" s="140" customFormat="1">
      <c r="A15" s="141"/>
      <c r="B15" s="217"/>
      <c r="C15" s="284"/>
      <c r="D15" s="192"/>
      <c r="E15" s="284"/>
      <c r="F15" s="194"/>
      <c r="G15" s="284"/>
      <c r="H15" s="194"/>
    </row>
    <row r="16" spans="1:12" s="140" customFormat="1" ht="24" customHeight="1">
      <c r="A16" s="154">
        <v>2</v>
      </c>
      <c r="B16" s="214" t="s">
        <v>653</v>
      </c>
      <c r="C16" s="286">
        <f>SUM(C18:C22)</f>
        <v>1335123311</v>
      </c>
      <c r="D16" s="287">
        <f>IFERROR(((C18*D18)/C16)+((C19*D19)/C16)+((C20*D20)/C16)+((C21*D21)/C16)+((C22*D22)/C16),0)</f>
        <v>0.19602914701193383</v>
      </c>
      <c r="E16" s="286">
        <f>SUM(E18:E22)</f>
        <v>1335123311</v>
      </c>
      <c r="F16" s="287">
        <f>IFERROR(((E18*F18)/E16)+((E19*F19)/E16)+((E20*F20)/E16)+((E21*F21)/E16)+((E22*F22)/E16),0)</f>
        <v>0.19602914701193383</v>
      </c>
      <c r="G16" s="286">
        <f>SUM(G18:G22)</f>
        <v>0</v>
      </c>
      <c r="H16" s="287">
        <f>IFERROR(((G18*H18)/G16)+((G19*H19)/G16)+((G20*H20)/G16)+((G21*H21)/G16)+((G22*H22)/G16),0)</f>
        <v>0</v>
      </c>
    </row>
    <row r="17" spans="1:8" s="140" customFormat="1" ht="17.25" customHeight="1">
      <c r="A17" s="142"/>
      <c r="B17" s="215" t="s">
        <v>616</v>
      </c>
      <c r="C17" s="284"/>
      <c r="D17" s="181"/>
      <c r="E17" s="284"/>
      <c r="F17" s="181"/>
      <c r="G17" s="284"/>
      <c r="H17" s="181"/>
    </row>
    <row r="18" spans="1:8" s="140" customFormat="1" ht="24" customHeight="1">
      <c r="A18" s="143" t="s">
        <v>255</v>
      </c>
      <c r="B18" s="216" t="s">
        <v>607</v>
      </c>
      <c r="C18" s="284">
        <f t="shared" ref="C18:C22" si="2">+E18+G18</f>
        <v>480100952</v>
      </c>
      <c r="D18" s="195">
        <v>0.17191684335015306</v>
      </c>
      <c r="E18" s="285">
        <v>480100952</v>
      </c>
      <c r="F18" s="195">
        <v>0.17191684335015306</v>
      </c>
      <c r="G18" s="285">
        <v>0</v>
      </c>
      <c r="H18" s="195">
        <v>0</v>
      </c>
    </row>
    <row r="19" spans="1:8" s="140" customFormat="1" ht="24" customHeight="1">
      <c r="A19" s="143" t="s">
        <v>256</v>
      </c>
      <c r="B19" s="216" t="s">
        <v>608</v>
      </c>
      <c r="C19" s="284">
        <f t="shared" si="2"/>
        <v>84557811</v>
      </c>
      <c r="D19" s="195">
        <v>0.26628017226692863</v>
      </c>
      <c r="E19" s="285">
        <v>84557811</v>
      </c>
      <c r="F19" s="195">
        <v>0.26628017226692863</v>
      </c>
      <c r="G19" s="285">
        <v>0</v>
      </c>
      <c r="H19" s="195">
        <v>0</v>
      </c>
    </row>
    <row r="20" spans="1:8" s="140" customFormat="1" ht="24" customHeight="1">
      <c r="A20" s="143" t="s">
        <v>258</v>
      </c>
      <c r="B20" s="216" t="s">
        <v>761</v>
      </c>
      <c r="C20" s="284">
        <f t="shared" si="2"/>
        <v>181378038</v>
      </c>
      <c r="D20" s="195">
        <v>0.25039444368625846</v>
      </c>
      <c r="E20" s="285">
        <v>181378038</v>
      </c>
      <c r="F20" s="195">
        <v>0.25039444368625846</v>
      </c>
      <c r="G20" s="285">
        <v>0</v>
      </c>
      <c r="H20" s="195">
        <v>0</v>
      </c>
    </row>
    <row r="21" spans="1:8" s="140" customFormat="1" ht="24" customHeight="1">
      <c r="A21" s="143" t="s">
        <v>260</v>
      </c>
      <c r="B21" s="216" t="s">
        <v>625</v>
      </c>
      <c r="C21" s="284">
        <f t="shared" si="2"/>
        <v>169949778</v>
      </c>
      <c r="D21" s="195">
        <v>0.27902329078223881</v>
      </c>
      <c r="E21" s="285">
        <v>169949778</v>
      </c>
      <c r="F21" s="195">
        <v>0.27902329078223881</v>
      </c>
      <c r="G21" s="285">
        <v>0</v>
      </c>
      <c r="H21" s="195">
        <v>0</v>
      </c>
    </row>
    <row r="22" spans="1:8" s="140" customFormat="1" ht="24" customHeight="1">
      <c r="A22" s="143" t="s">
        <v>619</v>
      </c>
      <c r="B22" s="216" t="s">
        <v>613</v>
      </c>
      <c r="C22" s="284">
        <f t="shared" si="2"/>
        <v>419136732</v>
      </c>
      <c r="D22" s="195">
        <v>0.15229773735759136</v>
      </c>
      <c r="E22" s="285">
        <v>419136732</v>
      </c>
      <c r="F22" s="195">
        <v>0.15229773735759136</v>
      </c>
      <c r="G22" s="285">
        <v>0</v>
      </c>
      <c r="H22" s="195">
        <v>0</v>
      </c>
    </row>
    <row r="23" spans="1:8" s="140" customFormat="1">
      <c r="A23" s="141"/>
      <c r="B23" s="217"/>
      <c r="C23" s="284"/>
      <c r="D23" s="192"/>
      <c r="E23" s="284"/>
      <c r="F23" s="194"/>
      <c r="G23" s="284"/>
      <c r="H23" s="194"/>
    </row>
    <row r="24" spans="1:8" s="140" customFormat="1" ht="36.75" customHeight="1">
      <c r="A24" s="154">
        <v>3</v>
      </c>
      <c r="B24" s="214" t="s">
        <v>652</v>
      </c>
      <c r="C24" s="286">
        <f>SUM(C26:C31)</f>
        <v>1652980345</v>
      </c>
      <c r="D24" s="287">
        <f>IFERROR(((C26*D26)/C24)+((C27*D27)/C24)+((C28*D28)/C24)+((C29*D29)/C24)+((C30*D30)/C24)+((C31*D31)/C24),0)</f>
        <v>0</v>
      </c>
      <c r="E24" s="286">
        <f>SUM(E26:E31)</f>
        <v>1652980345</v>
      </c>
      <c r="F24" s="287">
        <f>IFERROR(((E26*F26)/E24)+((E27*F27)/E24)+((E28*F28)/E24)+((E29*F29)/E24)+((E30*F30)/E24)+((E31*F31)/E24),0)</f>
        <v>0.11454890717515473</v>
      </c>
      <c r="G24" s="286">
        <f>SUM(G26:G31)</f>
        <v>0</v>
      </c>
      <c r="H24" s="287">
        <f>IFERROR(((G26*H26)/G24)+((G27*H27)/G24)+((G28*H28)/G24)+((G29*H29)/G24)+((G30*H30)/G24)+((G31*H31)/G24),0)</f>
        <v>0</v>
      </c>
    </row>
    <row r="25" spans="1:8" s="140" customFormat="1">
      <c r="A25" s="142"/>
      <c r="B25" s="215" t="s">
        <v>616</v>
      </c>
      <c r="C25" s="284"/>
      <c r="D25" s="194"/>
      <c r="E25" s="284"/>
      <c r="F25" s="194"/>
      <c r="G25" s="284"/>
      <c r="H25" s="194"/>
    </row>
    <row r="26" spans="1:8" s="140" customFormat="1" ht="24" customHeight="1">
      <c r="A26" s="143" t="s">
        <v>263</v>
      </c>
      <c r="B26" s="217" t="s">
        <v>626</v>
      </c>
      <c r="C26" s="284">
        <f t="shared" ref="C26:C31" si="3">+E26+G26</f>
        <v>385193135</v>
      </c>
      <c r="D26" s="195">
        <v>0</v>
      </c>
      <c r="E26" s="285">
        <v>385193135</v>
      </c>
      <c r="F26" s="195">
        <v>0.12189886511187815</v>
      </c>
      <c r="G26" s="285">
        <v>0</v>
      </c>
      <c r="H26" s="195">
        <v>0</v>
      </c>
    </row>
    <row r="27" spans="1:8" s="140" customFormat="1" ht="24" customHeight="1">
      <c r="A27" s="143" t="s">
        <v>264</v>
      </c>
      <c r="B27" s="217" t="s">
        <v>627</v>
      </c>
      <c r="C27" s="284">
        <f t="shared" si="3"/>
        <v>0</v>
      </c>
      <c r="D27" s="195">
        <v>0</v>
      </c>
      <c r="E27" s="285">
        <v>0</v>
      </c>
      <c r="F27" s="195">
        <v>0</v>
      </c>
      <c r="G27" s="285">
        <v>0</v>
      </c>
      <c r="H27" s="195">
        <v>0</v>
      </c>
    </row>
    <row r="28" spans="1:8" s="140" customFormat="1" ht="24" customHeight="1">
      <c r="A28" s="143" t="s">
        <v>265</v>
      </c>
      <c r="B28" s="217" t="s">
        <v>628</v>
      </c>
      <c r="C28" s="284">
        <f t="shared" si="3"/>
        <v>19801</v>
      </c>
      <c r="D28" s="195">
        <v>0</v>
      </c>
      <c r="E28" s="285">
        <v>19801</v>
      </c>
      <c r="F28" s="195">
        <v>0.14000000000000001</v>
      </c>
      <c r="G28" s="285">
        <v>0</v>
      </c>
      <c r="H28" s="195">
        <v>0</v>
      </c>
    </row>
    <row r="29" spans="1:8" s="140" customFormat="1" ht="32.25" customHeight="1">
      <c r="A29" s="143" t="s">
        <v>266</v>
      </c>
      <c r="B29" s="217" t="s">
        <v>629</v>
      </c>
      <c r="C29" s="284">
        <f t="shared" si="3"/>
        <v>0</v>
      </c>
      <c r="D29" s="195">
        <v>0</v>
      </c>
      <c r="E29" s="285">
        <v>0</v>
      </c>
      <c r="F29" s="195">
        <v>0</v>
      </c>
      <c r="G29" s="285">
        <v>0</v>
      </c>
      <c r="H29" s="195">
        <v>0</v>
      </c>
    </row>
    <row r="30" spans="1:8" s="140" customFormat="1" ht="32.25" customHeight="1">
      <c r="A30" s="143" t="s">
        <v>268</v>
      </c>
      <c r="B30" s="217" t="s">
        <v>630</v>
      </c>
      <c r="C30" s="284">
        <f t="shared" si="3"/>
        <v>0</v>
      </c>
      <c r="D30" s="195">
        <v>0</v>
      </c>
      <c r="E30" s="285">
        <v>0</v>
      </c>
      <c r="F30" s="195">
        <v>0</v>
      </c>
      <c r="G30" s="285">
        <v>0</v>
      </c>
      <c r="H30" s="195">
        <v>0</v>
      </c>
    </row>
    <row r="31" spans="1:8" s="140" customFormat="1" ht="32.25" customHeight="1">
      <c r="A31" s="143" t="s">
        <v>269</v>
      </c>
      <c r="B31" s="216" t="s">
        <v>618</v>
      </c>
      <c r="C31" s="284">
        <f t="shared" si="3"/>
        <v>1267767409</v>
      </c>
      <c r="D31" s="195">
        <v>0</v>
      </c>
      <c r="E31" s="285">
        <v>1267767409</v>
      </c>
      <c r="F31" s="195">
        <v>0.11231532925167172</v>
      </c>
      <c r="G31" s="285">
        <v>0</v>
      </c>
      <c r="H31" s="195">
        <v>0</v>
      </c>
    </row>
    <row r="32" spans="1:8" s="140" customFormat="1">
      <c r="A32" s="141"/>
      <c r="B32" s="217"/>
      <c r="C32" s="284"/>
      <c r="D32" s="192"/>
      <c r="E32" s="284"/>
      <c r="F32" s="194"/>
      <c r="G32" s="284"/>
      <c r="H32" s="194"/>
    </row>
    <row r="33" spans="1:10" s="140" customFormat="1" ht="36.75" customHeight="1">
      <c r="A33" s="154">
        <v>4</v>
      </c>
      <c r="B33" s="214" t="s">
        <v>654</v>
      </c>
      <c r="C33" s="286">
        <f>SUM(C35:C40)</f>
        <v>6078421749</v>
      </c>
      <c r="D33" s="287">
        <f>IFERROR(((C35*D35)/C33)+((C36*D36)/C33)+((C37*D37)/C33)+((C38*D38)/C33)+((C39*D39)/C33)+((C40*D40)/C33),0)</f>
        <v>0.20278222320487244</v>
      </c>
      <c r="E33" s="286">
        <f>SUM(E35:E40)</f>
        <v>2466827061</v>
      </c>
      <c r="F33" s="287">
        <f>IFERROR(((E35*F35)/E33)+((E36*F36)/E33)+((E37*F37)/E33)+((E38*F38)/E33)+((E39*F39)/E33)+((E40*F40)/E33),0)</f>
        <v>0.19608910209301456</v>
      </c>
      <c r="G33" s="286">
        <f>SUM(G35:G40)</f>
        <v>3611594688</v>
      </c>
      <c r="H33" s="287">
        <f>IFERROR(((G35*H35)/G33)+((G36*H36)/G33)+((G37*H37)/G33)+((G38*H38)/G33)+((G39*H39)/G33)+((G40*H40)/G33),0)</f>
        <v>0</v>
      </c>
    </row>
    <row r="34" spans="1:10" s="140" customFormat="1">
      <c r="A34" s="142"/>
      <c r="B34" s="215" t="s">
        <v>616</v>
      </c>
      <c r="C34" s="284"/>
      <c r="D34" s="194"/>
      <c r="E34" s="284"/>
      <c r="F34" s="194"/>
      <c r="G34" s="284"/>
      <c r="H34" s="194"/>
    </row>
    <row r="35" spans="1:10" s="140" customFormat="1" ht="24" customHeight="1">
      <c r="A35" s="143" t="s">
        <v>559</v>
      </c>
      <c r="B35" s="217" t="s">
        <v>626</v>
      </c>
      <c r="C35" s="284">
        <f t="shared" ref="C35:C40" si="4">+E35+G35</f>
        <v>295309348</v>
      </c>
      <c r="D35" s="195">
        <v>0.16405390129780167</v>
      </c>
      <c r="E35" s="285">
        <v>293529356</v>
      </c>
      <c r="F35" s="195">
        <v>0.16405390129780167</v>
      </c>
      <c r="G35" s="285">
        <v>1779992</v>
      </c>
      <c r="H35" s="195">
        <v>0</v>
      </c>
    </row>
    <row r="36" spans="1:10" s="140" customFormat="1" ht="24" customHeight="1">
      <c r="A36" s="143" t="s">
        <v>560</v>
      </c>
      <c r="B36" s="217" t="s">
        <v>627</v>
      </c>
      <c r="C36" s="284">
        <f t="shared" si="4"/>
        <v>0</v>
      </c>
      <c r="D36" s="195">
        <v>0</v>
      </c>
      <c r="E36" s="285">
        <v>0</v>
      </c>
      <c r="F36" s="195">
        <v>0</v>
      </c>
      <c r="G36" s="285">
        <v>0</v>
      </c>
      <c r="H36" s="195">
        <v>0</v>
      </c>
    </row>
    <row r="37" spans="1:10" s="140" customFormat="1" ht="24" customHeight="1">
      <c r="A37" s="143" t="s">
        <v>655</v>
      </c>
      <c r="B37" s="217" t="s">
        <v>628</v>
      </c>
      <c r="C37" s="284">
        <f t="shared" si="4"/>
        <v>5504646</v>
      </c>
      <c r="D37" s="195">
        <v>0.18537441799052692</v>
      </c>
      <c r="E37" s="285">
        <v>320993</v>
      </c>
      <c r="F37" s="195">
        <v>0.18537441799052692</v>
      </c>
      <c r="G37" s="285">
        <v>5183653</v>
      </c>
      <c r="H37" s="195">
        <v>0</v>
      </c>
    </row>
    <row r="38" spans="1:10" s="140" customFormat="1" ht="32.25" customHeight="1">
      <c r="A38" s="143" t="s">
        <v>656</v>
      </c>
      <c r="B38" s="217" t="s">
        <v>629</v>
      </c>
      <c r="C38" s="284">
        <f t="shared" si="4"/>
        <v>86599877</v>
      </c>
      <c r="D38" s="195">
        <v>3.2043820005685966E-2</v>
      </c>
      <c r="E38" s="285">
        <v>86599877</v>
      </c>
      <c r="F38" s="195">
        <v>3.2043820005685966E-2</v>
      </c>
      <c r="G38" s="285">
        <v>0</v>
      </c>
      <c r="H38" s="195">
        <v>0</v>
      </c>
    </row>
    <row r="39" spans="1:10" s="140" customFormat="1" ht="32.25" customHeight="1">
      <c r="A39" s="143" t="s">
        <v>657</v>
      </c>
      <c r="B39" s="217" t="s">
        <v>630</v>
      </c>
      <c r="C39" s="284">
        <f t="shared" si="4"/>
        <v>0</v>
      </c>
      <c r="D39" s="195">
        <v>0</v>
      </c>
      <c r="E39" s="285">
        <v>0</v>
      </c>
      <c r="F39" s="195">
        <v>0</v>
      </c>
      <c r="G39" s="285">
        <v>0</v>
      </c>
      <c r="H39" s="195">
        <v>0</v>
      </c>
    </row>
    <row r="40" spans="1:10" s="140" customFormat="1" ht="32.25" customHeight="1">
      <c r="A40" s="143" t="s">
        <v>658</v>
      </c>
      <c r="B40" s="216" t="s">
        <v>618</v>
      </c>
      <c r="C40" s="284">
        <f t="shared" si="4"/>
        <v>5691007878</v>
      </c>
      <c r="D40" s="195">
        <v>0.20740681423993676</v>
      </c>
      <c r="E40" s="285">
        <v>2086376835</v>
      </c>
      <c r="F40" s="195">
        <v>0.20740681423993676</v>
      </c>
      <c r="G40" s="285">
        <v>3604631043</v>
      </c>
      <c r="H40" s="195">
        <v>0</v>
      </c>
    </row>
    <row r="41" spans="1:10" s="20" customFormat="1" ht="12" customHeight="1">
      <c r="B41" s="30"/>
      <c r="C41" s="77"/>
    </row>
    <row r="42" spans="1:10" s="20" customFormat="1" ht="12.75">
      <c r="B42" s="30"/>
      <c r="C42" s="77"/>
    </row>
    <row r="43" spans="1:10" s="23" customFormat="1">
      <c r="A43" s="82"/>
      <c r="B43" s="92" t="s">
        <v>0</v>
      </c>
      <c r="C43" s="308"/>
      <c r="J43" s="82"/>
    </row>
    <row r="44" spans="1:10" s="23" customFormat="1">
      <c r="A44" s="82"/>
      <c r="B44" s="92"/>
      <c r="C44" s="308"/>
      <c r="J44" s="82"/>
    </row>
    <row r="45" spans="1:10" s="23" customFormat="1">
      <c r="A45" s="82"/>
      <c r="B45" s="92" t="s">
        <v>1</v>
      </c>
      <c r="C45" s="308"/>
      <c r="J45" s="82"/>
    </row>
    <row r="46" spans="1:10" s="23" customFormat="1">
      <c r="A46" s="82"/>
      <c r="B46" s="92"/>
      <c r="J46" s="82"/>
    </row>
    <row r="47" spans="1:10">
      <c r="A47" s="302"/>
      <c r="B47" s="302" t="s">
        <v>152</v>
      </c>
      <c r="C47" s="307">
        <f>+C8+C16+C24+C33</f>
        <v>10815884011</v>
      </c>
      <c r="D47" s="307"/>
      <c r="E47" s="307">
        <f>+E8+E16+E24+E33</f>
        <v>7204289323</v>
      </c>
      <c r="F47" s="307"/>
      <c r="G47" s="307">
        <f>+G8+G16+G24+G33</f>
        <v>3611594688</v>
      </c>
      <c r="H47" s="303"/>
    </row>
    <row r="48" spans="1:10">
      <c r="A48" s="302"/>
      <c r="B48" s="303"/>
      <c r="C48" s="307">
        <f>+C50+C54</f>
        <v>10815884011</v>
      </c>
      <c r="D48" s="307"/>
      <c r="E48" s="307">
        <f>+E9+E17+E25+E34</f>
        <v>0</v>
      </c>
      <c r="F48" s="307"/>
      <c r="G48" s="307">
        <f>+G50+G54</f>
        <v>3611594689</v>
      </c>
      <c r="H48" s="303"/>
    </row>
    <row r="49" spans="1:8">
      <c r="A49" s="302"/>
      <c r="B49" s="302"/>
      <c r="C49" s="307"/>
      <c r="D49" s="307"/>
      <c r="E49" s="307"/>
      <c r="F49" s="307"/>
      <c r="G49" s="307"/>
      <c r="H49" s="303"/>
    </row>
    <row r="50" spans="1:8">
      <c r="A50" s="303"/>
      <c r="B50" s="302" t="s">
        <v>683</v>
      </c>
      <c r="C50" s="307">
        <f>+'Asset Classification'!C12</f>
        <v>3084481917</v>
      </c>
      <c r="D50" s="307"/>
      <c r="E50" s="307"/>
      <c r="F50" s="307"/>
      <c r="G50" s="307">
        <f>+'Asset Classification'!D12</f>
        <v>0</v>
      </c>
      <c r="H50" s="304"/>
    </row>
    <row r="51" spans="1:8">
      <c r="A51" s="303"/>
      <c r="B51" s="302"/>
      <c r="C51" s="307">
        <f>C8+C16</f>
        <v>3084481917</v>
      </c>
      <c r="D51" s="307"/>
      <c r="E51" s="307"/>
      <c r="F51" s="307"/>
      <c r="G51" s="307">
        <f>G8+G16</f>
        <v>0</v>
      </c>
      <c r="H51" s="304"/>
    </row>
    <row r="52" spans="1:8">
      <c r="A52" s="303"/>
      <c r="B52" s="302"/>
      <c r="C52" s="307">
        <f>+C50-C51</f>
        <v>0</v>
      </c>
      <c r="D52" s="307"/>
      <c r="E52" s="307"/>
      <c r="F52" s="307"/>
      <c r="G52" s="307">
        <f>+G50-G51</f>
        <v>0</v>
      </c>
      <c r="H52" s="304"/>
    </row>
    <row r="53" spans="1:8">
      <c r="A53" s="303"/>
      <c r="B53" s="302"/>
      <c r="C53" s="306"/>
      <c r="D53" s="306"/>
      <c r="E53" s="306"/>
      <c r="F53" s="306"/>
      <c r="G53" s="306"/>
      <c r="H53" s="304"/>
    </row>
    <row r="54" spans="1:8">
      <c r="A54" s="303"/>
      <c r="B54" s="302" t="s">
        <v>684</v>
      </c>
      <c r="C54" s="307">
        <f>+'Asset Classification'!C30-'Asset Classification'!C12</f>
        <v>7731402094</v>
      </c>
      <c r="D54" s="307"/>
      <c r="E54" s="307"/>
      <c r="F54" s="307"/>
      <c r="G54" s="307">
        <f>+'Asset Classification'!D30-'Asset Classification'!D12</f>
        <v>3611594689</v>
      </c>
      <c r="H54" s="304"/>
    </row>
    <row r="55" spans="1:8">
      <c r="A55" s="303"/>
      <c r="B55" s="302"/>
      <c r="C55" s="307">
        <f>C24+C33</f>
        <v>7731402094</v>
      </c>
      <c r="D55" s="307"/>
      <c r="E55" s="307"/>
      <c r="F55" s="307"/>
      <c r="G55" s="307">
        <f>G24+G33</f>
        <v>3611594688</v>
      </c>
      <c r="H55" s="304"/>
    </row>
    <row r="56" spans="1:8">
      <c r="A56" s="303"/>
      <c r="B56" s="302"/>
      <c r="C56" s="307">
        <f>+C54-C55</f>
        <v>0</v>
      </c>
      <c r="D56" s="307"/>
      <c r="E56" s="307"/>
      <c r="F56" s="307"/>
      <c r="G56" s="307">
        <f>+G54-G55</f>
        <v>1</v>
      </c>
      <c r="H56" s="304"/>
    </row>
    <row r="57" spans="1:8">
      <c r="A57" s="303"/>
      <c r="B57" s="302"/>
      <c r="C57" s="304"/>
      <c r="D57" s="304"/>
      <c r="E57" s="304"/>
      <c r="F57" s="304"/>
      <c r="G57" s="304"/>
      <c r="H57" s="304"/>
    </row>
    <row r="58" spans="1:8">
      <c r="A58" s="303"/>
      <c r="B58" s="302"/>
      <c r="C58" s="304"/>
      <c r="D58" s="304"/>
      <c r="E58" s="304"/>
      <c r="F58" s="304"/>
      <c r="G58" s="304"/>
      <c r="H58" s="304"/>
    </row>
    <row r="59" spans="1:8">
      <c r="B59" s="302"/>
    </row>
  </sheetData>
  <sheetProtection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5" priority="2" operator="notEqual">
      <formula>$C$54-$C$24</formula>
    </cfRule>
  </conditionalFormatting>
  <conditionalFormatting sqref="C16">
    <cfRule type="cellIs" dxfId="4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97" customWidth="1"/>
    <col min="2" max="2" width="105.140625" style="97" customWidth="1"/>
    <col min="3" max="3" width="19.7109375" style="130" customWidth="1"/>
    <col min="4" max="4" width="10.28515625" style="219" bestFit="1" customWidth="1"/>
    <col min="5" max="5" width="19.42578125" style="220" bestFit="1" customWidth="1"/>
    <col min="6" max="6" width="9.28515625" style="219" bestFit="1" customWidth="1"/>
    <col min="7" max="7" width="9.140625" style="219"/>
    <col min="8" max="8" width="17.42578125" style="219" bestFit="1" customWidth="1"/>
    <col min="9" max="16384" width="9.140625" style="97"/>
  </cols>
  <sheetData>
    <row r="1" spans="1:8" ht="23.25" customHeight="1">
      <c r="A1" s="743" t="s">
        <v>644</v>
      </c>
      <c r="B1" s="744"/>
      <c r="C1" s="96" t="s">
        <v>604</v>
      </c>
    </row>
    <row r="2" spans="1:8">
      <c r="A2" s="132"/>
      <c r="B2" s="132"/>
      <c r="C2" s="132"/>
    </row>
    <row r="3" spans="1:8" ht="15.75">
      <c r="A3" s="98"/>
      <c r="B3" s="164" t="e">
        <f>#REF!</f>
        <v>#REF!</v>
      </c>
      <c r="C3" s="163" t="e">
        <f>+#REF!</f>
        <v>#REF!</v>
      </c>
    </row>
    <row r="4" spans="1:8" s="99" customFormat="1" ht="43.5" customHeight="1">
      <c r="A4" s="204" t="s">
        <v>83</v>
      </c>
      <c r="B4" s="204" t="s">
        <v>57</v>
      </c>
      <c r="C4" s="204" t="s">
        <v>16</v>
      </c>
      <c r="D4" s="221"/>
      <c r="E4" s="222"/>
      <c r="F4" s="221"/>
      <c r="G4" s="221"/>
      <c r="H4" s="221"/>
    </row>
    <row r="5" spans="1:8" ht="12.75" customHeight="1">
      <c r="A5" s="175" t="s">
        <v>61</v>
      </c>
      <c r="B5" s="101" t="s">
        <v>238</v>
      </c>
      <c r="C5" s="102"/>
    </row>
    <row r="6" spans="1:8" ht="12.75" customHeight="1">
      <c r="A6" s="100">
        <v>1</v>
      </c>
      <c r="B6" s="101" t="s">
        <v>239</v>
      </c>
      <c r="C6" s="103"/>
    </row>
    <row r="7" spans="1:8" s="110" customFormat="1" ht="18" customHeight="1">
      <c r="A7" s="107" t="s">
        <v>242</v>
      </c>
      <c r="B7" s="108" t="s">
        <v>240</v>
      </c>
      <c r="C7" s="138" t="s">
        <v>210</v>
      </c>
      <c r="D7" s="223"/>
      <c r="E7" s="149"/>
      <c r="F7" s="223"/>
      <c r="G7" s="223"/>
      <c r="H7" s="223"/>
    </row>
    <row r="8" spans="1:8" s="99" customFormat="1" ht="18" customHeight="1">
      <c r="A8" s="117" t="s">
        <v>62</v>
      </c>
      <c r="B8" s="189" t="s">
        <v>63</v>
      </c>
      <c r="C8" s="133"/>
      <c r="D8" s="221"/>
      <c r="E8" s="222"/>
      <c r="F8" s="221"/>
      <c r="G8" s="221"/>
      <c r="H8" s="221"/>
    </row>
    <row r="9" spans="1:8" s="99" customFormat="1" ht="18" customHeight="1">
      <c r="A9" s="117" t="s">
        <v>64</v>
      </c>
      <c r="B9" s="189" t="s">
        <v>65</v>
      </c>
      <c r="C9" s="134"/>
      <c r="D9" s="221"/>
      <c r="E9" s="222"/>
      <c r="F9" s="221"/>
      <c r="G9" s="221"/>
      <c r="H9" s="221"/>
    </row>
    <row r="10" spans="1:8" s="110" customFormat="1" ht="18" customHeight="1">
      <c r="A10" s="107" t="s">
        <v>243</v>
      </c>
      <c r="B10" s="108" t="s">
        <v>241</v>
      </c>
      <c r="C10" s="146">
        <v>0</v>
      </c>
      <c r="D10" s="223"/>
      <c r="E10" s="149"/>
      <c r="F10" s="223"/>
      <c r="G10" s="223"/>
      <c r="H10" s="223"/>
    </row>
    <row r="11" spans="1:8" s="99" customFormat="1" ht="18" customHeight="1">
      <c r="A11" s="117" t="s">
        <v>244</v>
      </c>
      <c r="B11" s="189" t="s">
        <v>245</v>
      </c>
      <c r="C11" s="138" t="s">
        <v>210</v>
      </c>
      <c r="D11" s="221"/>
      <c r="E11" s="222"/>
      <c r="F11" s="221"/>
      <c r="G11" s="221"/>
      <c r="H11" s="221"/>
    </row>
    <row r="12" spans="1:8" s="99" customFormat="1" ht="18" customHeight="1">
      <c r="A12" s="117" t="s">
        <v>68</v>
      </c>
      <c r="B12" s="189" t="s">
        <v>71</v>
      </c>
      <c r="C12" s="148"/>
      <c r="D12" s="221"/>
      <c r="E12" s="222"/>
      <c r="F12" s="221"/>
      <c r="G12" s="221"/>
      <c r="H12" s="221"/>
    </row>
    <row r="13" spans="1:8" s="99" customFormat="1" ht="18" customHeight="1">
      <c r="A13" s="112" t="s">
        <v>64</v>
      </c>
      <c r="B13" s="190" t="s">
        <v>72</v>
      </c>
      <c r="C13" s="148"/>
      <c r="D13" s="221"/>
      <c r="E13" s="222"/>
      <c r="F13" s="221"/>
      <c r="G13" s="221"/>
      <c r="H13" s="221"/>
    </row>
    <row r="14" spans="1:8" s="110" customFormat="1" ht="18" customHeight="1">
      <c r="A14" s="122" t="s">
        <v>66</v>
      </c>
      <c r="B14" s="187" t="s">
        <v>246</v>
      </c>
      <c r="C14" s="145"/>
      <c r="D14" s="223"/>
      <c r="E14" s="149"/>
      <c r="F14" s="223"/>
      <c r="G14" s="223"/>
      <c r="H14" s="223"/>
    </row>
    <row r="15" spans="1:8" s="110" customFormat="1" ht="18" customHeight="1">
      <c r="A15" s="122" t="s">
        <v>73</v>
      </c>
      <c r="B15" s="187" t="s">
        <v>247</v>
      </c>
      <c r="C15" s="145"/>
      <c r="D15" s="223"/>
      <c r="E15" s="149"/>
      <c r="F15" s="223"/>
      <c r="G15" s="223"/>
      <c r="H15" s="223"/>
    </row>
    <row r="16" spans="1:8" s="99" customFormat="1" ht="18" customHeight="1">
      <c r="A16" s="112" t="s">
        <v>248</v>
      </c>
      <c r="B16" s="190" t="s">
        <v>74</v>
      </c>
      <c r="C16" s="146"/>
      <c r="D16" s="221"/>
      <c r="E16" s="222"/>
      <c r="F16" s="221"/>
      <c r="G16" s="221"/>
      <c r="H16" s="221"/>
    </row>
    <row r="17" spans="1:8" s="99" customFormat="1" ht="18" customHeight="1">
      <c r="A17" s="112" t="s">
        <v>249</v>
      </c>
      <c r="B17" s="190" t="s">
        <v>17</v>
      </c>
      <c r="C17" s="146"/>
      <c r="D17" s="221"/>
      <c r="E17" s="222"/>
      <c r="F17" s="221"/>
      <c r="G17" s="221"/>
      <c r="H17" s="221"/>
    </row>
    <row r="18" spans="1:8" s="99" customFormat="1" ht="18" customHeight="1">
      <c r="A18" s="112"/>
      <c r="B18" s="190" t="s">
        <v>250</v>
      </c>
      <c r="C18" s="138" t="s">
        <v>210</v>
      </c>
      <c r="D18" s="221"/>
      <c r="E18" s="222"/>
      <c r="F18" s="221"/>
      <c r="G18" s="221"/>
      <c r="H18" s="221"/>
    </row>
    <row r="19" spans="1:8" s="99" customFormat="1" ht="18" customHeight="1">
      <c r="A19" s="112" t="s">
        <v>278</v>
      </c>
      <c r="B19" s="190" t="s">
        <v>251</v>
      </c>
      <c r="C19" s="138" t="s">
        <v>210</v>
      </c>
      <c r="D19" s="221"/>
      <c r="E19" s="222"/>
      <c r="F19" s="221"/>
      <c r="G19" s="221"/>
      <c r="H19" s="221"/>
    </row>
    <row r="20" spans="1:8" s="110" customFormat="1" ht="18" customHeight="1">
      <c r="A20" s="174" t="s">
        <v>68</v>
      </c>
      <c r="B20" s="340" t="s">
        <v>76</v>
      </c>
      <c r="C20" s="145"/>
      <c r="D20" s="223"/>
      <c r="E20" s="149"/>
      <c r="F20" s="223"/>
      <c r="G20" s="223"/>
      <c r="H20" s="223"/>
    </row>
    <row r="21" spans="1:8" s="109" customFormat="1" ht="25.5">
      <c r="A21" s="174" t="s">
        <v>64</v>
      </c>
      <c r="B21" s="187" t="s">
        <v>28</v>
      </c>
      <c r="C21" s="145"/>
      <c r="D21" s="223"/>
      <c r="E21" s="149"/>
      <c r="F21" s="223"/>
      <c r="G21" s="223"/>
      <c r="H21" s="223"/>
    </row>
    <row r="22" spans="1:8" s="110" customFormat="1" ht="18" customHeight="1">
      <c r="A22" s="174" t="s">
        <v>66</v>
      </c>
      <c r="B22" s="187" t="s">
        <v>18</v>
      </c>
      <c r="C22" s="145"/>
      <c r="D22" s="223"/>
      <c r="E22" s="149"/>
      <c r="F22" s="223"/>
      <c r="G22" s="223"/>
      <c r="H22" s="223"/>
    </row>
    <row r="23" spans="1:8" s="110" customFormat="1" ht="15" customHeight="1">
      <c r="A23" s="107" t="s">
        <v>252</v>
      </c>
      <c r="B23" s="108" t="s">
        <v>253</v>
      </c>
      <c r="C23" s="138" t="s">
        <v>210</v>
      </c>
      <c r="D23" s="223"/>
      <c r="E23" s="149"/>
      <c r="F23" s="223"/>
      <c r="G23" s="223"/>
      <c r="H23" s="223"/>
    </row>
    <row r="24" spans="1:8" ht="16.5" customHeight="1">
      <c r="A24" s="104">
        <v>2</v>
      </c>
      <c r="B24" s="111" t="s">
        <v>254</v>
      </c>
      <c r="C24" s="105"/>
    </row>
    <row r="25" spans="1:8" s="110" customFormat="1" ht="18" customHeight="1">
      <c r="A25" s="122" t="s">
        <v>255</v>
      </c>
      <c r="B25" s="187" t="s">
        <v>67</v>
      </c>
      <c r="C25" s="186">
        <f>+C26+C27</f>
        <v>0</v>
      </c>
      <c r="D25" s="223"/>
      <c r="E25" s="149"/>
      <c r="F25" s="223"/>
      <c r="G25" s="223"/>
      <c r="H25" s="223"/>
    </row>
    <row r="26" spans="1:8" s="110" customFormat="1" ht="18" customHeight="1">
      <c r="A26" s="122" t="s">
        <v>68</v>
      </c>
      <c r="B26" s="187" t="s">
        <v>69</v>
      </c>
      <c r="C26" s="145"/>
      <c r="D26" s="223"/>
      <c r="E26" s="149"/>
      <c r="F26" s="223"/>
      <c r="G26" s="223"/>
      <c r="H26" s="223"/>
    </row>
    <row r="27" spans="1:8" s="110" customFormat="1" ht="18" customHeight="1">
      <c r="A27" s="122" t="s">
        <v>64</v>
      </c>
      <c r="B27" s="187" t="s">
        <v>70</v>
      </c>
      <c r="C27" s="145"/>
      <c r="D27" s="223"/>
      <c r="E27" s="149"/>
      <c r="F27" s="223"/>
      <c r="G27" s="223"/>
      <c r="H27" s="223"/>
    </row>
    <row r="28" spans="1:8" s="110" customFormat="1" ht="18" customHeight="1">
      <c r="A28" s="122" t="s">
        <v>256</v>
      </c>
      <c r="B28" s="187" t="s">
        <v>257</v>
      </c>
      <c r="C28" s="145">
        <v>0</v>
      </c>
      <c r="D28" s="223"/>
      <c r="E28" s="149"/>
      <c r="F28" s="223"/>
      <c r="G28" s="223"/>
      <c r="H28" s="223"/>
    </row>
    <row r="29" spans="1:8">
      <c r="A29" s="112" t="s">
        <v>258</v>
      </c>
      <c r="B29" s="188" t="s">
        <v>259</v>
      </c>
      <c r="C29" s="135">
        <v>0</v>
      </c>
    </row>
    <row r="30" spans="1:8" s="110" customFormat="1" ht="29.25" customHeight="1">
      <c r="A30" s="122" t="s">
        <v>260</v>
      </c>
      <c r="B30" s="187" t="s">
        <v>27</v>
      </c>
      <c r="C30" s="145">
        <v>0</v>
      </c>
      <c r="D30" s="223"/>
      <c r="E30" s="149"/>
      <c r="F30" s="223"/>
      <c r="G30" s="223"/>
      <c r="H30" s="223"/>
    </row>
    <row r="31" spans="1:8" s="114" customFormat="1">
      <c r="A31" s="113" t="s">
        <v>75</v>
      </c>
      <c r="B31" s="153" t="s">
        <v>261</v>
      </c>
      <c r="C31" s="147">
        <f>+C25+C28+C29+C30</f>
        <v>0</v>
      </c>
      <c r="D31" s="224"/>
      <c r="E31" s="225"/>
      <c r="F31" s="226"/>
      <c r="G31" s="226"/>
      <c r="H31" s="226"/>
    </row>
    <row r="32" spans="1:8" s="114" customFormat="1" ht="16.5" customHeight="1">
      <c r="A32" s="113" t="s">
        <v>77</v>
      </c>
      <c r="B32" s="210" t="s">
        <v>262</v>
      </c>
      <c r="C32" s="138" t="s">
        <v>210</v>
      </c>
      <c r="D32" s="226"/>
      <c r="E32" s="225"/>
      <c r="F32" s="226"/>
      <c r="G32" s="226"/>
      <c r="H32" s="226"/>
    </row>
    <row r="33" spans="1:8" s="116" customFormat="1" ht="13.5" customHeight="1">
      <c r="A33" s="115"/>
      <c r="B33" s="115" t="s">
        <v>79</v>
      </c>
      <c r="C33" s="106"/>
      <c r="D33" s="227"/>
      <c r="E33" s="228"/>
      <c r="F33" s="227"/>
      <c r="G33" s="227"/>
      <c r="H33" s="229"/>
    </row>
    <row r="34" spans="1:8" s="110" customFormat="1" ht="18" customHeight="1">
      <c r="A34" s="122" t="s">
        <v>263</v>
      </c>
      <c r="B34" s="321" t="s">
        <v>711</v>
      </c>
      <c r="C34" s="145"/>
      <c r="D34" s="223"/>
      <c r="E34" s="149"/>
      <c r="F34" s="223"/>
      <c r="G34" s="223"/>
      <c r="H34" s="223"/>
    </row>
    <row r="35" spans="1:8" s="110" customFormat="1" ht="25.5">
      <c r="A35" s="122" t="s">
        <v>264</v>
      </c>
      <c r="B35" s="187" t="s">
        <v>29</v>
      </c>
      <c r="C35" s="313" t="e">
        <f>IF(#REF!&lt;(C43*1.25%),#REF!,(C43*1.25%))</f>
        <v>#REF!</v>
      </c>
      <c r="D35" s="223"/>
      <c r="E35" s="149"/>
      <c r="F35" s="223"/>
      <c r="G35" s="223"/>
      <c r="H35" s="223"/>
    </row>
    <row r="36" spans="1:8" s="110" customFormat="1" ht="18" customHeight="1">
      <c r="A36" s="122" t="s">
        <v>265</v>
      </c>
      <c r="B36" s="187" t="s">
        <v>19</v>
      </c>
      <c r="C36" s="145"/>
      <c r="D36" s="223"/>
      <c r="E36" s="149"/>
      <c r="F36" s="223"/>
      <c r="G36" s="223"/>
      <c r="H36" s="223"/>
    </row>
    <row r="37" spans="1:8" s="110" customFormat="1" ht="18" customHeight="1">
      <c r="A37" s="122" t="s">
        <v>266</v>
      </c>
      <c r="B37" s="187" t="s">
        <v>267</v>
      </c>
      <c r="C37" s="145"/>
      <c r="D37" s="223"/>
      <c r="E37" s="149"/>
      <c r="F37" s="223"/>
      <c r="G37" s="223"/>
      <c r="H37" s="223"/>
    </row>
    <row r="38" spans="1:8" s="110" customFormat="1" ht="18" customHeight="1">
      <c r="A38" s="122" t="s">
        <v>268</v>
      </c>
      <c r="B38" s="187" t="s">
        <v>20</v>
      </c>
      <c r="C38" s="145"/>
      <c r="D38" s="223"/>
      <c r="E38" s="149"/>
      <c r="F38" s="223"/>
      <c r="G38" s="223"/>
      <c r="H38" s="223"/>
    </row>
    <row r="39" spans="1:8" s="110" customFormat="1" ht="18" customHeight="1">
      <c r="A39" s="122" t="s">
        <v>269</v>
      </c>
      <c r="B39" s="187" t="s">
        <v>80</v>
      </c>
      <c r="C39" s="138" t="s">
        <v>210</v>
      </c>
      <c r="D39" s="223"/>
      <c r="E39" s="149"/>
      <c r="F39" s="223"/>
      <c r="G39" s="223"/>
      <c r="H39" s="223"/>
    </row>
    <row r="40" spans="1:8" ht="18.75" customHeight="1">
      <c r="A40" s="117"/>
      <c r="B40" s="118" t="s">
        <v>39</v>
      </c>
      <c r="C40" s="106" t="e">
        <f>SUM(C34:C38)</f>
        <v>#REF!</v>
      </c>
      <c r="D40" s="224"/>
    </row>
    <row r="41" spans="1:8" s="99" customFormat="1" ht="22.5" customHeight="1">
      <c r="A41" s="136" t="s">
        <v>78</v>
      </c>
      <c r="B41" s="119" t="s">
        <v>40</v>
      </c>
      <c r="C41" s="138" t="s">
        <v>210</v>
      </c>
      <c r="D41" s="230"/>
      <c r="E41" s="222"/>
      <c r="F41" s="221"/>
      <c r="G41" s="221"/>
      <c r="H41" s="221"/>
    </row>
    <row r="42" spans="1:8" s="99" customFormat="1" ht="15.75" customHeight="1">
      <c r="A42" s="115" t="s">
        <v>81</v>
      </c>
      <c r="B42" s="119" t="s">
        <v>270</v>
      </c>
      <c r="C42" s="138" t="s">
        <v>210</v>
      </c>
      <c r="D42" s="230"/>
      <c r="E42" s="222"/>
      <c r="F42" s="221"/>
      <c r="G42" s="221"/>
      <c r="H42" s="221"/>
    </row>
    <row r="43" spans="1:8" s="99" customFormat="1" ht="21.75" customHeight="1">
      <c r="A43" s="115" t="s">
        <v>25</v>
      </c>
      <c r="B43" s="108" t="s">
        <v>271</v>
      </c>
      <c r="C43" s="120" t="e">
        <f>+C44+C45+C46</f>
        <v>#REF!</v>
      </c>
      <c r="D43" s="221"/>
      <c r="E43" s="222"/>
      <c r="F43" s="221"/>
      <c r="G43" s="221"/>
      <c r="H43" s="221"/>
    </row>
    <row r="44" spans="1:8" s="110" customFormat="1" ht="18" customHeight="1">
      <c r="A44" s="122" t="s">
        <v>68</v>
      </c>
      <c r="B44" s="187" t="s">
        <v>30</v>
      </c>
      <c r="C44" s="186" t="e">
        <f>+#REF!</f>
        <v>#REF!</v>
      </c>
      <c r="D44" s="223"/>
      <c r="E44" s="149"/>
      <c r="F44" s="223"/>
      <c r="G44" s="223"/>
      <c r="H44" s="223"/>
    </row>
    <row r="45" spans="1:8" s="110" customFormat="1" ht="18" customHeight="1">
      <c r="A45" s="122" t="s">
        <v>64</v>
      </c>
      <c r="B45" s="187" t="s">
        <v>23</v>
      </c>
      <c r="C45" s="186" t="e">
        <f>+#REF!</f>
        <v>#REF!</v>
      </c>
      <c r="D45" s="223"/>
      <c r="E45" s="149"/>
      <c r="F45" s="223"/>
      <c r="G45" s="223"/>
      <c r="H45" s="223"/>
    </row>
    <row r="46" spans="1:8" s="110" customFormat="1" ht="18" customHeight="1">
      <c r="A46" s="122" t="s">
        <v>66</v>
      </c>
      <c r="B46" s="187" t="s">
        <v>24</v>
      </c>
      <c r="C46" s="186" t="e">
        <f>+#REF!</f>
        <v>#REF!</v>
      </c>
      <c r="D46" s="223"/>
      <c r="E46" s="149" t="e">
        <f>+#REF!</f>
        <v>#REF!</v>
      </c>
      <c r="F46" s="223"/>
      <c r="G46" s="223"/>
      <c r="H46" s="223"/>
    </row>
    <row r="47" spans="1:8" s="116" customFormat="1" ht="21.75" customHeight="1">
      <c r="A47" s="136" t="s">
        <v>26</v>
      </c>
      <c r="B47" s="137" t="s">
        <v>272</v>
      </c>
      <c r="C47" s="138" t="s">
        <v>210</v>
      </c>
      <c r="D47" s="227"/>
      <c r="E47" s="228"/>
      <c r="F47" s="227"/>
      <c r="G47" s="227"/>
      <c r="H47" s="227"/>
    </row>
    <row r="48" spans="1:8" s="116" customFormat="1" ht="21.75" customHeight="1">
      <c r="A48" s="136" t="s">
        <v>82</v>
      </c>
      <c r="B48" s="137" t="s">
        <v>273</v>
      </c>
      <c r="C48" s="138" t="s">
        <v>210</v>
      </c>
      <c r="D48" s="227"/>
      <c r="E48" s="228"/>
      <c r="F48" s="227"/>
      <c r="G48" s="227"/>
      <c r="H48" s="227"/>
    </row>
    <row r="49" spans="1:8" s="116" customFormat="1" ht="21.75" customHeight="1">
      <c r="A49" s="136" t="s">
        <v>41</v>
      </c>
      <c r="B49" s="137" t="s">
        <v>274</v>
      </c>
      <c r="C49" s="138" t="s">
        <v>210</v>
      </c>
      <c r="D49" s="227"/>
      <c r="E49" s="228"/>
      <c r="F49" s="227"/>
      <c r="G49" s="227"/>
      <c r="H49" s="227"/>
    </row>
    <row r="50" spans="1:8" s="121" customFormat="1" ht="21.75" customHeight="1">
      <c r="A50" s="115" t="s">
        <v>42</v>
      </c>
      <c r="B50" s="108" t="s">
        <v>33</v>
      </c>
      <c r="C50" s="138" t="s">
        <v>210</v>
      </c>
      <c r="D50" s="231"/>
      <c r="E50" s="232"/>
      <c r="F50" s="233"/>
      <c r="G50" s="231"/>
      <c r="H50" s="231"/>
    </row>
    <row r="51" spans="1:8" s="125" customFormat="1" ht="21.75" customHeight="1">
      <c r="A51" s="122" t="s">
        <v>68</v>
      </c>
      <c r="B51" s="123" t="s">
        <v>46</v>
      </c>
      <c r="C51" s="124" t="e">
        <f>+#REF!</f>
        <v>#REF!</v>
      </c>
      <c r="D51" s="234"/>
      <c r="E51" s="235"/>
      <c r="F51" s="236"/>
      <c r="G51" s="234"/>
      <c r="H51" s="234"/>
    </row>
    <row r="52" spans="1:8" s="125" customFormat="1" ht="21.75" customHeight="1">
      <c r="A52" s="122" t="s">
        <v>64</v>
      </c>
      <c r="B52" s="123" t="s">
        <v>275</v>
      </c>
      <c r="C52" s="258" t="e">
        <f>SUM(#REF!)</f>
        <v>#REF!</v>
      </c>
      <c r="D52" s="236" t="e">
        <f>+#REF!</f>
        <v>#REF!</v>
      </c>
      <c r="E52" s="235"/>
      <c r="F52" s="236"/>
      <c r="G52" s="234"/>
      <c r="H52" s="234"/>
    </row>
    <row r="53" spans="1:8" s="128" customFormat="1" ht="21.75" customHeight="1">
      <c r="A53" s="126" t="s">
        <v>66</v>
      </c>
      <c r="B53" s="127" t="s">
        <v>276</v>
      </c>
      <c r="C53" s="260" t="e">
        <f>SUM(#REF!)</f>
        <v>#REF!</v>
      </c>
      <c r="D53" s="257"/>
      <c r="E53" s="259"/>
      <c r="F53" s="237"/>
      <c r="G53" s="237"/>
      <c r="H53" s="237"/>
    </row>
    <row r="54" spans="1:8" s="128" customFormat="1" ht="21.75" customHeight="1">
      <c r="A54" s="126" t="s">
        <v>73</v>
      </c>
      <c r="B54" s="127" t="s">
        <v>277</v>
      </c>
      <c r="C54" s="158" t="str">
        <f>+C19</f>
        <v>Формула</v>
      </c>
      <c r="D54" s="237"/>
      <c r="E54" s="238"/>
      <c r="F54" s="237"/>
      <c r="G54" s="237"/>
      <c r="H54" s="237"/>
    </row>
    <row r="55" spans="1:8" s="116" customFormat="1" ht="21.75" customHeight="1">
      <c r="A55" s="136" t="s">
        <v>43</v>
      </c>
      <c r="B55" s="137" t="s">
        <v>47</v>
      </c>
      <c r="C55" s="138" t="s">
        <v>210</v>
      </c>
      <c r="D55" s="227"/>
      <c r="E55" s="228"/>
      <c r="F55" s="227"/>
      <c r="G55" s="227"/>
      <c r="H55" s="227"/>
    </row>
    <row r="56" spans="1:8">
      <c r="B56" s="129"/>
    </row>
    <row r="57" spans="1:8" s="1" customFormat="1">
      <c r="A57" s="46"/>
      <c r="B57" s="5" t="s">
        <v>0</v>
      </c>
      <c r="D57" s="93"/>
      <c r="E57" s="93"/>
      <c r="F57" s="93"/>
      <c r="G57" s="93"/>
      <c r="H57" s="93"/>
    </row>
    <row r="58" spans="1:8" s="1" customFormat="1">
      <c r="A58" s="46"/>
      <c r="B58" s="5"/>
      <c r="D58" s="93"/>
      <c r="E58" s="93"/>
      <c r="F58" s="93"/>
      <c r="G58" s="93"/>
      <c r="H58" s="93"/>
    </row>
    <row r="59" spans="1:8" s="1" customFormat="1">
      <c r="A59" s="46"/>
      <c r="B59" s="5" t="s">
        <v>1</v>
      </c>
      <c r="D59" s="93"/>
      <c r="E59" s="93"/>
      <c r="F59" s="93"/>
      <c r="G59" s="93"/>
      <c r="H59" s="93"/>
    </row>
    <row r="60" spans="1:8">
      <c r="B60" s="131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4">
    <pageSetUpPr fitToPage="1"/>
  </sheetPr>
  <dimension ref="A1:Z31"/>
  <sheetViews>
    <sheetView zoomScale="70" zoomScaleNormal="70" zoomScaleSheetLayoutView="80" workbookViewId="0">
      <pane xSplit="3" ySplit="7" topLeftCell="D8" activePane="bottomRight" state="frozen"/>
      <selection activeCell="O33" sqref="O33"/>
      <selection pane="topRight" activeCell="O33" sqref="O33"/>
      <selection pane="bottomLeft" activeCell="O33" sqref="O33"/>
      <selection pane="bottomRight" activeCell="D13" sqref="D13"/>
    </sheetView>
  </sheetViews>
  <sheetFormatPr defaultRowHeight="15.75"/>
  <cols>
    <col min="1" max="1" width="9.7109375" style="159" customWidth="1"/>
    <col min="2" max="2" width="31.140625" style="139" customWidth="1"/>
    <col min="3" max="3" width="17.140625" style="139" customWidth="1"/>
    <col min="4" max="4" width="16.5703125" style="139" customWidth="1"/>
    <col min="5" max="5" width="17.140625" style="139" customWidth="1"/>
    <col min="6" max="6" width="16.5703125" style="139" customWidth="1"/>
    <col min="7" max="7" width="17.140625" style="139" customWidth="1"/>
    <col min="8" max="8" width="16.5703125" style="139" customWidth="1"/>
    <col min="9" max="9" width="19" style="139" customWidth="1"/>
    <col min="10" max="10" width="16.5703125" style="139" customWidth="1"/>
    <col min="11" max="11" width="17.140625" style="139" customWidth="1"/>
    <col min="12" max="12" width="16.5703125" style="139" customWidth="1"/>
    <col min="13" max="13" width="19" style="139" customWidth="1"/>
    <col min="14" max="14" width="16.5703125" style="139" customWidth="1"/>
    <col min="15" max="15" width="9.140625" style="139"/>
    <col min="16" max="16" width="26" style="139" customWidth="1"/>
    <col min="17" max="17" width="13.5703125" style="139" customWidth="1"/>
    <col min="18" max="16384" width="9.140625" style="139"/>
  </cols>
  <sheetData>
    <row r="1" spans="1:26" s="144" customFormat="1" ht="48.75" customHeight="1">
      <c r="A1" s="747" t="s">
        <v>634</v>
      </c>
      <c r="B1" s="747"/>
      <c r="C1" s="747"/>
      <c r="D1" s="747"/>
      <c r="E1" s="747"/>
      <c r="F1" s="747"/>
      <c r="G1" s="747"/>
      <c r="H1" s="747"/>
      <c r="I1" s="747"/>
      <c r="J1" s="747"/>
      <c r="K1" s="747"/>
      <c r="L1" s="747"/>
      <c r="M1" s="747"/>
      <c r="N1" s="179" t="s">
        <v>633</v>
      </c>
    </row>
    <row r="2" spans="1:26" ht="18.75">
      <c r="B2" s="168" t="str">
        <f>+'Asset quality'!B3</f>
        <v>"Микрокредитбанк"</v>
      </c>
      <c r="K2" s="746">
        <f>+'loans_av rate'!F3</f>
        <v>44560</v>
      </c>
      <c r="L2" s="746"/>
      <c r="N2" s="160" t="s">
        <v>382</v>
      </c>
    </row>
    <row r="3" spans="1:26" s="140" customFormat="1" ht="38.25" customHeight="1">
      <c r="A3" s="745" t="s">
        <v>83</v>
      </c>
      <c r="B3" s="725" t="s">
        <v>685</v>
      </c>
      <c r="C3" s="745" t="s">
        <v>610</v>
      </c>
      <c r="D3" s="745"/>
      <c r="E3" s="745"/>
      <c r="F3" s="745"/>
      <c r="G3" s="745"/>
      <c r="H3" s="745"/>
      <c r="I3" s="745" t="s">
        <v>611</v>
      </c>
      <c r="J3" s="745"/>
      <c r="K3" s="745"/>
      <c r="L3" s="745"/>
      <c r="M3" s="745"/>
      <c r="N3" s="745"/>
    </row>
    <row r="4" spans="1:26" s="140" customFormat="1" ht="24" customHeight="1">
      <c r="A4" s="745"/>
      <c r="B4" s="726"/>
      <c r="C4" s="745" t="s">
        <v>612</v>
      </c>
      <c r="D4" s="745" t="s">
        <v>609</v>
      </c>
      <c r="E4" s="745" t="s">
        <v>616</v>
      </c>
      <c r="F4" s="745"/>
      <c r="G4" s="745"/>
      <c r="H4" s="745"/>
      <c r="I4" s="745" t="s">
        <v>612</v>
      </c>
      <c r="J4" s="745" t="s">
        <v>609</v>
      </c>
      <c r="K4" s="745" t="s">
        <v>616</v>
      </c>
      <c r="L4" s="745"/>
      <c r="M4" s="745"/>
      <c r="N4" s="745"/>
    </row>
    <row r="5" spans="1:26" s="140" customFormat="1" ht="54.75" customHeight="1">
      <c r="A5" s="745"/>
      <c r="B5" s="726"/>
      <c r="C5" s="745"/>
      <c r="D5" s="745"/>
      <c r="E5" s="745" t="s">
        <v>617</v>
      </c>
      <c r="F5" s="745"/>
      <c r="G5" s="745" t="s">
        <v>197</v>
      </c>
      <c r="H5" s="745"/>
      <c r="I5" s="745"/>
      <c r="J5" s="745"/>
      <c r="K5" s="745" t="s">
        <v>617</v>
      </c>
      <c r="L5" s="745"/>
      <c r="M5" s="745" t="s">
        <v>197</v>
      </c>
      <c r="N5" s="745"/>
    </row>
    <row r="6" spans="1:26" s="140" customFormat="1" ht="54.75" customHeight="1">
      <c r="A6" s="745"/>
      <c r="B6" s="727"/>
      <c r="C6" s="745"/>
      <c r="D6" s="745"/>
      <c r="E6" s="297" t="s">
        <v>614</v>
      </c>
      <c r="F6" s="297" t="s">
        <v>609</v>
      </c>
      <c r="G6" s="297" t="s">
        <v>614</v>
      </c>
      <c r="H6" s="297" t="s">
        <v>609</v>
      </c>
      <c r="I6" s="745"/>
      <c r="J6" s="745"/>
      <c r="K6" s="297" t="s">
        <v>614</v>
      </c>
      <c r="L6" s="297" t="s">
        <v>609</v>
      </c>
      <c r="M6" s="297" t="s">
        <v>614</v>
      </c>
      <c r="N6" s="297" t="s">
        <v>609</v>
      </c>
    </row>
    <row r="7" spans="1:26" s="140" customFormat="1" ht="22.5" customHeight="1">
      <c r="A7" s="745"/>
      <c r="B7" s="297" t="s">
        <v>182</v>
      </c>
      <c r="C7" s="297" t="s">
        <v>183</v>
      </c>
      <c r="D7" s="297" t="s">
        <v>195</v>
      </c>
      <c r="E7" s="297" t="s">
        <v>184</v>
      </c>
      <c r="F7" s="297" t="s">
        <v>185</v>
      </c>
      <c r="G7" s="297" t="s">
        <v>196</v>
      </c>
      <c r="H7" s="297" t="s">
        <v>186</v>
      </c>
      <c r="I7" s="297" t="s">
        <v>187</v>
      </c>
      <c r="J7" s="297" t="s">
        <v>188</v>
      </c>
      <c r="K7" s="297" t="s">
        <v>189</v>
      </c>
      <c r="L7" s="297" t="s">
        <v>190</v>
      </c>
      <c r="M7" s="297" t="s">
        <v>191</v>
      </c>
      <c r="N7" s="297" t="s">
        <v>192</v>
      </c>
    </row>
    <row r="8" spans="1:26" s="282" customFormat="1" ht="41.25" customHeight="1">
      <c r="A8" s="278">
        <v>1</v>
      </c>
      <c r="B8" s="279" t="s">
        <v>199</v>
      </c>
      <c r="C8" s="310">
        <f t="shared" ref="C8:C15" si="0">+E8+G8</f>
        <v>202800634</v>
      </c>
      <c r="D8" s="280">
        <f t="shared" ref="D8:D15" si="1">+(E8*F8+G8*H8)/(E8+G8)</f>
        <v>0</v>
      </c>
      <c r="E8" s="298">
        <v>195708915</v>
      </c>
      <c r="F8" s="280">
        <v>0</v>
      </c>
      <c r="G8" s="298">
        <v>7091719</v>
      </c>
      <c r="H8" s="280">
        <v>0</v>
      </c>
      <c r="I8" s="310">
        <f t="shared" ref="I8:I15" si="2">+K8+M8</f>
        <v>487847877</v>
      </c>
      <c r="J8" s="280">
        <f>+(K8*L8+M8*N8)/(K8+M8)</f>
        <v>6.1810814667558342E-3</v>
      </c>
      <c r="K8" s="298">
        <v>432279259</v>
      </c>
      <c r="L8" s="280">
        <v>6.9756468957047043E-3</v>
      </c>
      <c r="M8" s="298">
        <v>55568618</v>
      </c>
      <c r="N8" s="280">
        <v>0</v>
      </c>
      <c r="O8" s="281"/>
      <c r="P8" s="311">
        <f>+'[8]Bank Liabilities Analysis'!$C$22</f>
        <v>690648511</v>
      </c>
      <c r="Q8" s="311">
        <f t="shared" ref="Q8:Q15" si="3">+P8-C8-I8</f>
        <v>0</v>
      </c>
      <c r="R8" s="281"/>
      <c r="S8" s="281"/>
      <c r="T8" s="281"/>
      <c r="U8" s="281"/>
      <c r="V8" s="281"/>
      <c r="W8" s="281"/>
      <c r="X8" s="281"/>
      <c r="Y8" s="281"/>
      <c r="Z8" s="281"/>
    </row>
    <row r="9" spans="1:26" s="282" customFormat="1" ht="41.25" customHeight="1">
      <c r="A9" s="278">
        <v>2</v>
      </c>
      <c r="B9" s="279" t="s">
        <v>686</v>
      </c>
      <c r="C9" s="310">
        <f t="shared" si="0"/>
        <v>11117249</v>
      </c>
      <c r="D9" s="280">
        <f t="shared" si="1"/>
        <v>0.13344689767141946</v>
      </c>
      <c r="E9" s="298">
        <v>7914207</v>
      </c>
      <c r="F9" s="280">
        <v>0.16721956978010433</v>
      </c>
      <c r="G9" s="298">
        <v>3203042</v>
      </c>
      <c r="H9" s="280">
        <v>5.000000000000001E-2</v>
      </c>
      <c r="I9" s="310">
        <f t="shared" si="2"/>
        <v>119084437</v>
      </c>
      <c r="J9" s="280">
        <f t="shared" ref="J9:J15" si="4">+(K9*L9+M9*N9)/(K9+M9)</f>
        <v>0.16652173913043478</v>
      </c>
      <c r="K9" s="298">
        <v>119084437</v>
      </c>
      <c r="L9" s="280">
        <v>0.16652173913043478</v>
      </c>
      <c r="M9" s="298">
        <v>0</v>
      </c>
      <c r="N9" s="280">
        <v>0</v>
      </c>
      <c r="O9" s="281"/>
      <c r="P9" s="311">
        <f>+'[8]Bank Liabilities Analysis'!$E$22</f>
        <v>130201686</v>
      </c>
      <c r="Q9" s="311">
        <f t="shared" si="3"/>
        <v>0</v>
      </c>
      <c r="R9" s="281"/>
      <c r="S9" s="281"/>
      <c r="T9" s="281"/>
      <c r="U9" s="281"/>
      <c r="V9" s="281"/>
      <c r="W9" s="281"/>
      <c r="X9" s="281"/>
      <c r="Y9" s="281"/>
      <c r="Z9" s="281"/>
    </row>
    <row r="10" spans="1:26" s="282" customFormat="1" ht="41.25" customHeight="1">
      <c r="A10" s="278">
        <v>3</v>
      </c>
      <c r="B10" s="279" t="s">
        <v>687</v>
      </c>
      <c r="C10" s="310">
        <f t="shared" si="0"/>
        <v>17331571</v>
      </c>
      <c r="D10" s="280">
        <f t="shared" si="1"/>
        <v>0.12721294195039709</v>
      </c>
      <c r="E10" s="298">
        <v>11247910</v>
      </c>
      <c r="F10" s="280">
        <v>0.16883737801479551</v>
      </c>
      <c r="G10" s="298">
        <v>6083661</v>
      </c>
      <c r="H10" s="280">
        <v>5.0254690881984886E-2</v>
      </c>
      <c r="I10" s="310">
        <f t="shared" si="2"/>
        <v>38500000</v>
      </c>
      <c r="J10" s="280">
        <f t="shared" si="4"/>
        <v>0.15524000120403028</v>
      </c>
      <c r="K10" s="298">
        <v>38500000</v>
      </c>
      <c r="L10" s="280">
        <v>0.15524000120403028</v>
      </c>
      <c r="M10" s="298">
        <v>0</v>
      </c>
      <c r="N10" s="280">
        <v>0</v>
      </c>
      <c r="O10" s="281"/>
      <c r="P10" s="311">
        <f>+'[8]Bank Liabilities Analysis'!$G$22</f>
        <v>55831571</v>
      </c>
      <c r="Q10" s="311">
        <f t="shared" si="3"/>
        <v>0</v>
      </c>
      <c r="R10" s="281"/>
      <c r="S10" s="281"/>
      <c r="T10" s="281"/>
      <c r="U10" s="281"/>
      <c r="V10" s="281"/>
      <c r="W10" s="281"/>
      <c r="X10" s="281"/>
      <c r="Y10" s="281"/>
      <c r="Z10" s="281"/>
    </row>
    <row r="11" spans="1:26" s="282" customFormat="1" ht="41.25" customHeight="1">
      <c r="A11" s="278">
        <v>4</v>
      </c>
      <c r="B11" s="279" t="s">
        <v>578</v>
      </c>
      <c r="C11" s="310">
        <f t="shared" si="0"/>
        <v>128073638</v>
      </c>
      <c r="D11" s="280">
        <f t="shared" si="1"/>
        <v>0.1537701005751069</v>
      </c>
      <c r="E11" s="298">
        <v>114065616</v>
      </c>
      <c r="F11" s="280">
        <v>0.166408779782104</v>
      </c>
      <c r="G11" s="298">
        <v>14008022</v>
      </c>
      <c r="H11" s="280">
        <v>5.0854876057861251E-2</v>
      </c>
      <c r="I11" s="310">
        <f t="shared" si="2"/>
        <v>416285977</v>
      </c>
      <c r="J11" s="280">
        <f t="shared" si="4"/>
        <v>9.9633180691163961E-2</v>
      </c>
      <c r="K11" s="298">
        <v>260223432</v>
      </c>
      <c r="L11" s="280">
        <v>0.12447967318488219</v>
      </c>
      <c r="M11" s="298">
        <v>156062545</v>
      </c>
      <c r="N11" s="280">
        <v>5.8203383747396378E-2</v>
      </c>
      <c r="O11" s="281"/>
      <c r="P11" s="311">
        <f>+'[8]Bank Liabilities Analysis'!$I$22</f>
        <v>544359615</v>
      </c>
      <c r="Q11" s="311">
        <f t="shared" si="3"/>
        <v>0</v>
      </c>
      <c r="R11" s="281"/>
      <c r="S11" s="281"/>
      <c r="T11" s="281"/>
      <c r="U11" s="281"/>
      <c r="V11" s="281"/>
      <c r="W11" s="281"/>
      <c r="X11" s="281"/>
      <c r="Y11" s="281"/>
      <c r="Z11" s="281"/>
    </row>
    <row r="12" spans="1:26" s="282" customFormat="1" ht="41.25" customHeight="1">
      <c r="A12" s="278">
        <v>5</v>
      </c>
      <c r="B12" s="279" t="s">
        <v>579</v>
      </c>
      <c r="C12" s="310">
        <f t="shared" si="0"/>
        <v>180055631</v>
      </c>
      <c r="D12" s="280">
        <f t="shared" si="1"/>
        <v>0.18018999908011105</v>
      </c>
      <c r="E12" s="298">
        <v>148283740</v>
      </c>
      <c r="F12" s="280">
        <v>0.20820202613565258</v>
      </c>
      <c r="G12" s="298">
        <v>31771891</v>
      </c>
      <c r="H12" s="280">
        <v>4.9454055891306678E-2</v>
      </c>
      <c r="I12" s="310">
        <f t="shared" si="2"/>
        <v>57123822</v>
      </c>
      <c r="J12" s="280">
        <f t="shared" si="4"/>
        <v>0.1689482065042176</v>
      </c>
      <c r="K12" s="298">
        <v>57123822</v>
      </c>
      <c r="L12" s="280">
        <v>0.1689482065042176</v>
      </c>
      <c r="M12" s="298">
        <v>0</v>
      </c>
      <c r="N12" s="280">
        <v>0</v>
      </c>
      <c r="O12" s="281"/>
      <c r="P12" s="311">
        <f>+'[8]Bank Liabilities Analysis'!$K$22</f>
        <v>237179453</v>
      </c>
      <c r="Q12" s="311">
        <f t="shared" si="3"/>
        <v>0</v>
      </c>
      <c r="R12" s="281"/>
      <c r="S12" s="281"/>
      <c r="T12" s="281"/>
      <c r="U12" s="281"/>
      <c r="V12" s="281"/>
      <c r="W12" s="281"/>
      <c r="X12" s="281"/>
      <c r="Y12" s="281"/>
      <c r="Z12" s="281"/>
    </row>
    <row r="13" spans="1:26" s="282" customFormat="1" ht="41.25" customHeight="1">
      <c r="A13" s="278">
        <v>6</v>
      </c>
      <c r="B13" s="279" t="s">
        <v>638</v>
      </c>
      <c r="C13" s="310">
        <f t="shared" si="0"/>
        <v>209613208</v>
      </c>
      <c r="D13" s="280">
        <f t="shared" si="1"/>
        <v>0.20371779051880992</v>
      </c>
      <c r="E13" s="298">
        <v>200282167</v>
      </c>
      <c r="F13" s="280">
        <v>0.21084568751452776</v>
      </c>
      <c r="G13" s="298">
        <v>9331041</v>
      </c>
      <c r="H13" s="280">
        <v>5.0724072405776512E-2</v>
      </c>
      <c r="I13" s="310">
        <f t="shared" si="2"/>
        <v>280006150</v>
      </c>
      <c r="J13" s="280">
        <f t="shared" si="4"/>
        <v>0.16273092620024074</v>
      </c>
      <c r="K13" s="298">
        <v>267271899</v>
      </c>
      <c r="L13" s="280">
        <v>0.16810202550049433</v>
      </c>
      <c r="M13" s="298">
        <v>12734251</v>
      </c>
      <c r="N13" s="280">
        <v>0.05</v>
      </c>
      <c r="O13" s="281"/>
      <c r="P13" s="311">
        <f>+'[8]Bank Liabilities Analysis'!$M$22</f>
        <v>489619358</v>
      </c>
      <c r="Q13" s="311">
        <f t="shared" si="3"/>
        <v>0</v>
      </c>
      <c r="R13" s="281"/>
      <c r="S13" s="281"/>
      <c r="T13" s="281"/>
      <c r="U13" s="281"/>
      <c r="V13" s="281"/>
      <c r="W13" s="281"/>
      <c r="X13" s="281"/>
      <c r="Y13" s="281"/>
      <c r="Z13" s="281"/>
    </row>
    <row r="14" spans="1:26" s="282" customFormat="1" ht="41.25" customHeight="1">
      <c r="A14" s="278">
        <v>7</v>
      </c>
      <c r="B14" s="279" t="s">
        <v>639</v>
      </c>
      <c r="C14" s="310">
        <f t="shared" si="0"/>
        <v>24129175</v>
      </c>
      <c r="D14" s="280">
        <f t="shared" si="1"/>
        <v>0.21000881972866819</v>
      </c>
      <c r="E14" s="298">
        <v>23856386</v>
      </c>
      <c r="F14" s="280">
        <v>0.21183846173416573</v>
      </c>
      <c r="G14" s="298">
        <v>272789</v>
      </c>
      <c r="H14" s="280">
        <v>4.9999999999999989E-2</v>
      </c>
      <c r="I14" s="310">
        <f t="shared" si="2"/>
        <v>58223977</v>
      </c>
      <c r="J14" s="280">
        <f t="shared" si="4"/>
        <v>0.10965298855292274</v>
      </c>
      <c r="K14" s="298">
        <v>41967487</v>
      </c>
      <c r="L14" s="280">
        <v>0.13276011936303542</v>
      </c>
      <c r="M14" s="298">
        <v>16256490</v>
      </c>
      <c r="N14" s="280">
        <v>0.05</v>
      </c>
      <c r="O14" s="281"/>
      <c r="P14" s="311">
        <f>+'[8]Bank Liabilities Analysis'!$O$22</f>
        <v>82353152</v>
      </c>
      <c r="Q14" s="311">
        <f t="shared" si="3"/>
        <v>0</v>
      </c>
      <c r="R14" s="281"/>
      <c r="S14" s="281"/>
      <c r="T14" s="281"/>
      <c r="U14" s="281"/>
      <c r="V14" s="281"/>
      <c r="W14" s="281"/>
      <c r="X14" s="281"/>
      <c r="Y14" s="281"/>
      <c r="Z14" s="281"/>
    </row>
    <row r="15" spans="1:26" s="282" customFormat="1" ht="41.25" customHeight="1">
      <c r="A15" s="278">
        <v>8</v>
      </c>
      <c r="B15" s="279" t="s">
        <v>158</v>
      </c>
      <c r="C15" s="310">
        <f t="shared" si="0"/>
        <v>2180763</v>
      </c>
      <c r="D15" s="280">
        <f t="shared" si="1"/>
        <v>0.18796292292244585</v>
      </c>
      <c r="E15" s="298">
        <v>2180763</v>
      </c>
      <c r="F15" s="280">
        <v>0.18796292292244585</v>
      </c>
      <c r="G15" s="298">
        <v>0</v>
      </c>
      <c r="H15" s="280">
        <v>0</v>
      </c>
      <c r="I15" s="310">
        <f t="shared" si="2"/>
        <v>921301030</v>
      </c>
      <c r="J15" s="280">
        <f t="shared" si="4"/>
        <v>0.10279500068008744</v>
      </c>
      <c r="K15" s="298">
        <v>646371271</v>
      </c>
      <c r="L15" s="280">
        <v>0.13070418095576797</v>
      </c>
      <c r="M15" s="298">
        <v>274929759</v>
      </c>
      <c r="N15" s="280">
        <v>3.7179359823399559E-2</v>
      </c>
      <c r="O15" s="281"/>
      <c r="P15" s="311">
        <f>+'[8]Bank Liabilities Analysis'!$Q$22</f>
        <v>923481793</v>
      </c>
      <c r="Q15" s="311">
        <f t="shared" si="3"/>
        <v>0</v>
      </c>
      <c r="R15" s="281"/>
      <c r="S15" s="281"/>
      <c r="T15" s="281"/>
      <c r="U15" s="281"/>
      <c r="V15" s="281"/>
      <c r="W15" s="281"/>
      <c r="X15" s="281"/>
      <c r="Y15" s="281"/>
      <c r="Z15" s="281"/>
    </row>
    <row r="16" spans="1:26" s="282" customFormat="1" ht="41.25" customHeight="1">
      <c r="A16" s="278">
        <v>9</v>
      </c>
      <c r="B16" s="283" t="s">
        <v>688</v>
      </c>
      <c r="C16" s="299">
        <f>SUM(C8:C15)</f>
        <v>775301869</v>
      </c>
      <c r="D16" s="300">
        <f>IFERROR(((C8*D8)/C16)+((C9*D9)/C16)+((C10*D10)/C16)+((C11*D11)/C16)+((C12*D12)/C16)+((C13*D13)/C16)+((C14*D14)/C16)+((C15*D15)/C16),0)</f>
        <v>0.13414860535250284</v>
      </c>
      <c r="E16" s="299">
        <f>SUM(E8:E15)</f>
        <v>703539704</v>
      </c>
      <c r="F16" s="300">
        <f>IFERROR(((E8*F8)/E16)+((E9*F9)/E16)+((E10*F10)/E16)+((E11*F11)/E16)+((E12*F12)/E16)+((E13*F13)/E16)+((E14*F14)/E16)+((E15*F15)/E16),0)</f>
        <v>0.14323172712557458</v>
      </c>
      <c r="G16" s="299">
        <f t="shared" ref="G16:M16" si="5">SUM(G8:G15)</f>
        <v>71762165</v>
      </c>
      <c r="H16" s="300">
        <f>IFERROR(((G8*H8)/G16)+((G9*H9)/G16)+((G10*H10)/G16)+((G11*H11)/G16)+((G12*H12)/G16)+((G13*H13)/G16)+((G14*H14)/G16)+((G15*H15)/G16),0)</f>
        <v>4.5099775741205043E-2</v>
      </c>
      <c r="I16" s="299">
        <f t="shared" si="5"/>
        <v>2378373270</v>
      </c>
      <c r="J16" s="300">
        <f>IFERROR(((I8*J8)/I16)+((I9*J9)/I16)+((I10*J10)/I16)+((I11*J11)/I16)+((I12*J12)/I16)+((I13*J13)/I16)+((I14*J14)/I16)+((I15*J15)/I16),0)</f>
        <v>9.5277059488418775E-2</v>
      </c>
      <c r="K16" s="299">
        <f t="shared" si="5"/>
        <v>1862821607</v>
      </c>
      <c r="L16" s="300">
        <f>IFERROR(((K8*L8)/K16)+((K9*L9)/K16)+((K10*L10)/K16)+((K11*L11)/K16)+((K12*L12)/K16)+((K13*L13)/K16)+((K14*L14)/K16)+((K15*L15)/K16),0)</f>
        <v>0.11050429792991082</v>
      </c>
      <c r="M16" s="299">
        <f t="shared" si="5"/>
        <v>515551663</v>
      </c>
      <c r="N16" s="300">
        <f>IFERROR(((M8*N8)/M16)+((M9*N9)/M16)+((M10*N10)/M16)+((M11*N11)/M16)+((M12*N12)/M16)+((M13*N13)/M16)+((M14*N14)/M16)+((M15*N15)/M16),0)</f>
        <v>4.0257105486733419E-2</v>
      </c>
      <c r="O16" s="281"/>
      <c r="P16" s="312">
        <f>+'[8]Bank Liabilities Analysis'!$S$22</f>
        <v>3153675139</v>
      </c>
      <c r="Q16" s="311">
        <f>+P16-C16-I16</f>
        <v>0</v>
      </c>
      <c r="R16" s="281"/>
      <c r="S16" s="281"/>
      <c r="T16" s="281"/>
      <c r="U16" s="281"/>
      <c r="V16" s="281"/>
      <c r="W16" s="281"/>
      <c r="X16" s="281"/>
      <c r="Y16" s="281"/>
      <c r="Z16" s="281"/>
    </row>
    <row r="17" spans="1:26" s="20" customFormat="1" ht="12" customHeight="1">
      <c r="B17" s="30"/>
      <c r="C17" s="77"/>
      <c r="I17" s="77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</row>
    <row r="18" spans="1:26" s="20" customFormat="1" ht="12.75">
      <c r="B18" s="30"/>
      <c r="C18" s="77"/>
      <c r="I18" s="77"/>
    </row>
    <row r="19" spans="1:26" s="23" customFormat="1">
      <c r="A19" s="82"/>
      <c r="B19" s="92" t="s">
        <v>0</v>
      </c>
      <c r="C19" s="308"/>
      <c r="J19" s="82"/>
    </row>
    <row r="20" spans="1:26" s="23" customFormat="1">
      <c r="A20" s="82"/>
      <c r="B20" s="92"/>
      <c r="J20" s="82"/>
    </row>
    <row r="21" spans="1:26" s="23" customFormat="1">
      <c r="A21" s="82"/>
      <c r="B21" s="92" t="s">
        <v>1</v>
      </c>
      <c r="J21" s="82"/>
    </row>
    <row r="24" spans="1:26" s="303" customFormat="1">
      <c r="A24" s="302"/>
      <c r="B24" s="303" t="s">
        <v>683</v>
      </c>
      <c r="C24" s="307">
        <f>+'[8]Deposits by Client'!$C$6+'[8]Deposits by Client'!$C$15</f>
        <v>775301869</v>
      </c>
      <c r="D24" s="307"/>
      <c r="E24" s="307"/>
      <c r="F24" s="307"/>
      <c r="G24" s="307">
        <f>+'[8]Deposits by Client'!$D$6+'[8]Deposits by Client'!$D$15</f>
        <v>71762165</v>
      </c>
      <c r="H24" s="307"/>
      <c r="I24" s="307"/>
      <c r="J24" s="307"/>
      <c r="K24" s="307"/>
      <c r="L24" s="307"/>
      <c r="M24" s="307"/>
      <c r="N24" s="305"/>
    </row>
    <row r="25" spans="1:26" s="303" customFormat="1">
      <c r="A25" s="302"/>
      <c r="C25" s="307">
        <f>+C16</f>
        <v>775301869</v>
      </c>
      <c r="D25" s="307"/>
      <c r="E25" s="307"/>
      <c r="F25" s="307"/>
      <c r="G25" s="307">
        <f>+G16</f>
        <v>71762165</v>
      </c>
      <c r="H25" s="307"/>
      <c r="I25" s="309"/>
      <c r="J25" s="309"/>
      <c r="K25" s="309"/>
      <c r="L25" s="309"/>
      <c r="M25" s="309"/>
      <c r="N25" s="305"/>
    </row>
    <row r="26" spans="1:26" s="303" customFormat="1">
      <c r="A26" s="302"/>
      <c r="C26" s="307">
        <f>+C24-C25</f>
        <v>0</v>
      </c>
      <c r="D26" s="307"/>
      <c r="E26" s="307"/>
      <c r="F26" s="307"/>
      <c r="G26" s="307">
        <f>+G24-G25</f>
        <v>0</v>
      </c>
      <c r="H26" s="307"/>
      <c r="I26" s="309"/>
      <c r="J26" s="309"/>
      <c r="K26" s="309"/>
      <c r="L26" s="309"/>
      <c r="M26" s="309"/>
      <c r="N26" s="305"/>
    </row>
    <row r="27" spans="1:26" s="303" customFormat="1">
      <c r="A27" s="302"/>
      <c r="B27" s="303" t="s">
        <v>684</v>
      </c>
      <c r="C27" s="309"/>
      <c r="D27" s="309"/>
      <c r="E27" s="309"/>
      <c r="F27" s="309"/>
      <c r="G27" s="309"/>
      <c r="H27" s="309"/>
      <c r="I27" s="307">
        <f>+'[8]Deposits by Client'!$C$22-'[8]Deposits by Client'!$C$6-'[8]Deposits by Client'!$C$15</f>
        <v>2378373270</v>
      </c>
      <c r="J27" s="307"/>
      <c r="K27" s="307"/>
      <c r="L27" s="307"/>
      <c r="M27" s="307">
        <f>+'[8]Deposits by Client'!$D$22-'[8]Deposits by Client'!$D$6-'[8]Deposits by Client'!$D$15</f>
        <v>515551663</v>
      </c>
    </row>
    <row r="28" spans="1:26" s="303" customFormat="1">
      <c r="A28" s="302"/>
      <c r="C28" s="309"/>
      <c r="D28" s="309"/>
      <c r="E28" s="309"/>
      <c r="F28" s="309"/>
      <c r="G28" s="309"/>
      <c r="H28" s="309"/>
      <c r="I28" s="307">
        <f>+I16</f>
        <v>2378373270</v>
      </c>
      <c r="J28" s="307"/>
      <c r="K28" s="307"/>
      <c r="L28" s="307"/>
      <c r="M28" s="307">
        <f>+M16</f>
        <v>515551663</v>
      </c>
    </row>
    <row r="29" spans="1:26" s="303" customFormat="1">
      <c r="A29" s="302"/>
      <c r="C29" s="309"/>
      <c r="D29" s="309"/>
      <c r="E29" s="309"/>
      <c r="F29" s="309"/>
      <c r="G29" s="309"/>
      <c r="H29" s="309"/>
      <c r="I29" s="307">
        <f>+I27-I28</f>
        <v>0</v>
      </c>
      <c r="J29" s="309"/>
      <c r="K29" s="309"/>
      <c r="L29" s="309"/>
      <c r="M29" s="307">
        <f>+M27-M28</f>
        <v>0</v>
      </c>
    </row>
    <row r="30" spans="1:26" s="303" customFormat="1">
      <c r="A30" s="302"/>
    </row>
    <row r="31" spans="1:26" s="303" customFormat="1">
      <c r="A31" s="302"/>
    </row>
  </sheetData>
  <sheetProtection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0">
    <pageSetUpPr fitToPage="1"/>
  </sheetPr>
  <dimension ref="A1:M49"/>
  <sheetViews>
    <sheetView zoomScaleNormal="100" zoomScaleSheetLayoutView="100" workbookViewId="0">
      <pane xSplit="1" ySplit="5" topLeftCell="B18" activePane="bottomRight" state="frozen"/>
      <selection activeCell="O33" sqref="O33"/>
      <selection pane="topRight" activeCell="O33" sqref="O33"/>
      <selection pane="bottomLeft" activeCell="O33" sqref="O33"/>
      <selection pane="bottomRight" activeCell="I32" sqref="I32:I33"/>
    </sheetView>
  </sheetViews>
  <sheetFormatPr defaultColWidth="9" defaultRowHeight="12.75"/>
  <cols>
    <col min="1" max="1" width="5" style="77" customWidth="1"/>
    <col min="2" max="3" width="9" style="78" customWidth="1"/>
    <col min="4" max="4" width="25.42578125" style="78" customWidth="1"/>
    <col min="5" max="5" width="42.140625" style="78" customWidth="1"/>
    <col min="6" max="6" width="15.42578125" style="78" bestFit="1" customWidth="1"/>
    <col min="7" max="7" width="9" style="78" customWidth="1"/>
    <col min="8" max="8" width="36.28515625" style="78" customWidth="1"/>
    <col min="9" max="9" width="18.42578125" style="78" customWidth="1"/>
    <col min="10" max="10" width="15" style="77" customWidth="1"/>
    <col min="11" max="11" width="15.5703125" style="78" customWidth="1"/>
    <col min="12" max="12" width="9" style="78"/>
    <col min="13" max="13" width="9" style="600"/>
    <col min="14" max="16384" width="9" style="78"/>
  </cols>
  <sheetData>
    <row r="1" spans="1:13" s="503" customFormat="1" ht="27" customHeight="1">
      <c r="A1" s="750" t="s">
        <v>755</v>
      </c>
      <c r="B1" s="750"/>
      <c r="C1" s="750"/>
      <c r="D1" s="750"/>
      <c r="E1" s="750"/>
      <c r="F1" s="750"/>
      <c r="G1" s="750"/>
      <c r="H1" s="750"/>
      <c r="I1" s="751" t="s">
        <v>635</v>
      </c>
      <c r="J1" s="751"/>
      <c r="K1" s="751"/>
      <c r="M1" s="599"/>
    </row>
    <row r="2" spans="1:13" ht="21" customHeight="1">
      <c r="A2" s="421"/>
      <c r="B2" s="776" t="str">
        <f>+'Asset quality'!B3</f>
        <v>"Микрокредитбанк"</v>
      </c>
      <c r="C2" s="776"/>
      <c r="D2" s="776"/>
      <c r="E2" s="422"/>
      <c r="F2" s="422"/>
      <c r="G2" s="422"/>
      <c r="H2" s="422"/>
      <c r="I2" s="423">
        <f>+'Asset quality'!P3</f>
        <v>44560</v>
      </c>
      <c r="J2" s="176"/>
      <c r="K2" s="26"/>
    </row>
    <row r="3" spans="1:13" ht="6.75" customHeight="1">
      <c r="A3" s="752"/>
      <c r="B3" s="753"/>
      <c r="C3" s="753"/>
      <c r="D3" s="753"/>
      <c r="E3" s="753"/>
      <c r="F3" s="753"/>
      <c r="G3" s="753"/>
      <c r="H3" s="753"/>
      <c r="I3" s="753"/>
      <c r="J3" s="753"/>
      <c r="K3" s="754"/>
    </row>
    <row r="4" spans="1:13" s="504" customFormat="1" ht="41.25" customHeight="1">
      <c r="A4" s="765" t="s">
        <v>83</v>
      </c>
      <c r="B4" s="765" t="s">
        <v>209</v>
      </c>
      <c r="C4" s="765"/>
      <c r="D4" s="765"/>
      <c r="E4" s="765"/>
      <c r="F4" s="765" t="s">
        <v>210</v>
      </c>
      <c r="G4" s="765"/>
      <c r="H4" s="765"/>
      <c r="I4" s="463" t="s">
        <v>211</v>
      </c>
      <c r="J4" s="463" t="s">
        <v>212</v>
      </c>
      <c r="K4" s="463" t="s">
        <v>213</v>
      </c>
      <c r="M4" s="601"/>
    </row>
    <row r="5" spans="1:13" s="504" customFormat="1" ht="14.25">
      <c r="A5" s="765"/>
      <c r="B5" s="765" t="s">
        <v>214</v>
      </c>
      <c r="C5" s="765"/>
      <c r="D5" s="765"/>
      <c r="E5" s="765"/>
      <c r="F5" s="765" t="s">
        <v>183</v>
      </c>
      <c r="G5" s="765"/>
      <c r="H5" s="765"/>
      <c r="I5" s="463" t="s">
        <v>195</v>
      </c>
      <c r="J5" s="463" t="s">
        <v>184</v>
      </c>
      <c r="K5" s="463" t="s">
        <v>185</v>
      </c>
      <c r="M5" s="601"/>
    </row>
    <row r="6" spans="1:13" s="505" customFormat="1">
      <c r="A6" s="424">
        <v>1</v>
      </c>
      <c r="B6" s="760" t="s">
        <v>215</v>
      </c>
      <c r="C6" s="761"/>
      <c r="D6" s="761"/>
      <c r="E6" s="761"/>
      <c r="F6" s="761"/>
      <c r="G6" s="761"/>
      <c r="H6" s="761"/>
      <c r="I6" s="761"/>
      <c r="J6" s="761"/>
      <c r="K6" s="762"/>
      <c r="M6" s="602"/>
    </row>
    <row r="7" spans="1:13" ht="24" customHeight="1">
      <c r="A7" s="766" t="s">
        <v>203</v>
      </c>
      <c r="B7" s="757" t="s">
        <v>216</v>
      </c>
      <c r="C7" s="768"/>
      <c r="D7" s="768"/>
      <c r="E7" s="769"/>
      <c r="F7" s="773" t="s">
        <v>217</v>
      </c>
      <c r="G7" s="774"/>
      <c r="H7" s="775"/>
      <c r="I7" s="755">
        <f>+'[9]Bank Capital Calc'!$C$51</f>
        <v>0.13760026565653186</v>
      </c>
      <c r="J7" s="425" t="s">
        <v>218</v>
      </c>
      <c r="K7" s="763" t="str">
        <f>IF(I7="",0-J8,(IF((I7-J8)&gt;0,"",I7-J8)))</f>
        <v/>
      </c>
    </row>
    <row r="8" spans="1:13">
      <c r="A8" s="767"/>
      <c r="B8" s="770"/>
      <c r="C8" s="771"/>
      <c r="D8" s="771"/>
      <c r="E8" s="772"/>
      <c r="F8" s="757" t="s">
        <v>219</v>
      </c>
      <c r="G8" s="758"/>
      <c r="H8" s="759"/>
      <c r="I8" s="756"/>
      <c r="J8" s="426">
        <v>0.13</v>
      </c>
      <c r="K8" s="764"/>
    </row>
    <row r="9" spans="1:13">
      <c r="A9" s="766" t="s">
        <v>205</v>
      </c>
      <c r="B9" s="757" t="s">
        <v>220</v>
      </c>
      <c r="C9" s="768"/>
      <c r="D9" s="768"/>
      <c r="E9" s="769"/>
      <c r="F9" s="777" t="s">
        <v>221</v>
      </c>
      <c r="G9" s="778"/>
      <c r="H9" s="779"/>
      <c r="I9" s="755">
        <f>+'[9]Bank Capital Calc'!$C$50</f>
        <v>0.13217900797559978</v>
      </c>
      <c r="J9" s="425" t="s">
        <v>218</v>
      </c>
      <c r="K9" s="763" t="str">
        <f>IF(I9="",0-J10,(IF((I9-J10)&gt;0,"",I9-J10)))</f>
        <v/>
      </c>
    </row>
    <row r="10" spans="1:13">
      <c r="A10" s="767"/>
      <c r="B10" s="783"/>
      <c r="C10" s="784"/>
      <c r="D10" s="784"/>
      <c r="E10" s="785"/>
      <c r="F10" s="790" t="s">
        <v>219</v>
      </c>
      <c r="G10" s="791"/>
      <c r="H10" s="792"/>
      <c r="I10" s="756"/>
      <c r="J10" s="426">
        <v>0.1</v>
      </c>
      <c r="K10" s="764"/>
    </row>
    <row r="11" spans="1:13">
      <c r="A11" s="766" t="s">
        <v>206</v>
      </c>
      <c r="B11" s="780" t="s">
        <v>574</v>
      </c>
      <c r="C11" s="781"/>
      <c r="D11" s="781"/>
      <c r="E11" s="782"/>
      <c r="F11" s="777" t="s">
        <v>575</v>
      </c>
      <c r="G11" s="778"/>
      <c r="H11" s="779"/>
      <c r="I11" s="755">
        <f>+'[9]Bank Capital Calc'!$C$49</f>
        <v>0.13217043592103245</v>
      </c>
      <c r="J11" s="425" t="s">
        <v>218</v>
      </c>
      <c r="K11" s="763" t="str">
        <f>IF(I11="",0-J12,(IF((I11-J12)&gt;0,"",I11-J12)))</f>
        <v/>
      </c>
    </row>
    <row r="12" spans="1:13" ht="24.75" customHeight="1">
      <c r="A12" s="767"/>
      <c r="B12" s="770"/>
      <c r="C12" s="771"/>
      <c r="D12" s="771"/>
      <c r="E12" s="772"/>
      <c r="F12" s="773" t="s">
        <v>219</v>
      </c>
      <c r="G12" s="774"/>
      <c r="H12" s="775"/>
      <c r="I12" s="756"/>
      <c r="J12" s="426">
        <v>0.08</v>
      </c>
      <c r="K12" s="764"/>
    </row>
    <row r="13" spans="1:13">
      <c r="A13" s="766" t="s">
        <v>208</v>
      </c>
      <c r="B13" s="780" t="s">
        <v>222</v>
      </c>
      <c r="C13" s="781"/>
      <c r="D13" s="781"/>
      <c r="E13" s="782"/>
      <c r="F13" s="787" t="s">
        <v>221</v>
      </c>
      <c r="G13" s="788"/>
      <c r="H13" s="789"/>
      <c r="I13" s="755">
        <f>+'[9]Bank Capital Calc'!$C$57</f>
        <v>0.18388277657702928</v>
      </c>
      <c r="J13" s="425" t="s">
        <v>218</v>
      </c>
      <c r="K13" s="763" t="str">
        <f>IF(I13="",0-J14,(IF((I13-J14)&gt;0,"",I13-J14)))</f>
        <v/>
      </c>
    </row>
    <row r="14" spans="1:13" ht="24.75" customHeight="1">
      <c r="A14" s="767"/>
      <c r="B14" s="770"/>
      <c r="C14" s="771"/>
      <c r="D14" s="771"/>
      <c r="E14" s="772"/>
      <c r="F14" s="773" t="s">
        <v>645</v>
      </c>
      <c r="G14" s="774"/>
      <c r="H14" s="775"/>
      <c r="I14" s="756"/>
      <c r="J14" s="426">
        <v>0.06</v>
      </c>
      <c r="K14" s="764"/>
    </row>
    <row r="15" spans="1:13" s="505" customFormat="1">
      <c r="A15" s="427">
        <v>2</v>
      </c>
      <c r="B15" s="786" t="s">
        <v>642</v>
      </c>
      <c r="C15" s="761"/>
      <c r="D15" s="761"/>
      <c r="E15" s="761"/>
      <c r="F15" s="761"/>
      <c r="G15" s="761"/>
      <c r="H15" s="761"/>
      <c r="I15" s="761"/>
      <c r="J15" s="761"/>
      <c r="K15" s="762"/>
      <c r="M15" s="602"/>
    </row>
    <row r="16" spans="1:13" s="503" customFormat="1" ht="15.75" customHeight="1">
      <c r="A16" s="793" t="s">
        <v>223</v>
      </c>
      <c r="B16" s="797" t="s">
        <v>48</v>
      </c>
      <c r="C16" s="798"/>
      <c r="D16" s="798"/>
      <c r="E16" s="428" t="s">
        <v>152</v>
      </c>
      <c r="F16" s="803" t="s">
        <v>49</v>
      </c>
      <c r="G16" s="804"/>
      <c r="H16" s="805"/>
      <c r="I16" s="649">
        <f>IFERROR((+'[8]Liquidity Analysis'!$C$23),0)</f>
        <v>1.6518340323364784</v>
      </c>
      <c r="J16" s="748" t="s">
        <v>218</v>
      </c>
      <c r="K16" s="465" t="str">
        <f>IF(I16="",0-$J$18,(IF((I16-$J$18)&gt;0,"",I16-$J$18)))</f>
        <v/>
      </c>
      <c r="M16" s="599"/>
    </row>
    <row r="17" spans="1:13" s="503" customFormat="1" ht="15.75" customHeight="1">
      <c r="A17" s="794"/>
      <c r="B17" s="799"/>
      <c r="C17" s="800"/>
      <c r="D17" s="800"/>
      <c r="E17" s="429" t="s">
        <v>280</v>
      </c>
      <c r="F17" s="806"/>
      <c r="G17" s="807"/>
      <c r="H17" s="808"/>
      <c r="I17" s="649">
        <f>IFERROR((+'[8]Liquidity Analysis'!$D$23),0)</f>
        <v>1.7392091352426935</v>
      </c>
      <c r="J17" s="749"/>
      <c r="K17" s="465" t="str">
        <f>IF(I17="",0-$J$18,(IF((I17-$J$18)&gt;0,"",I17-$J$18)))</f>
        <v/>
      </c>
      <c r="M17" s="599"/>
    </row>
    <row r="18" spans="1:13" s="503" customFormat="1" ht="15.75" customHeight="1">
      <c r="A18" s="795"/>
      <c r="B18" s="801"/>
      <c r="C18" s="802"/>
      <c r="D18" s="802"/>
      <c r="E18" s="429" t="s">
        <v>197</v>
      </c>
      <c r="F18" s="796" t="s">
        <v>50</v>
      </c>
      <c r="G18" s="796"/>
      <c r="H18" s="796"/>
      <c r="I18" s="649">
        <f>IFERROR((+'[8]Liquidity Analysis'!$E$23),0)</f>
        <v>1.5338095992348775</v>
      </c>
      <c r="J18" s="430">
        <v>1</v>
      </c>
      <c r="K18" s="465" t="str">
        <f>IF(I18="",0-$J$18,(IF((I18-$J$18)&gt;0,"",I18-$J$18)))</f>
        <v/>
      </c>
      <c r="M18" s="599"/>
    </row>
    <row r="19" spans="1:13" s="503" customFormat="1" ht="15" customHeight="1">
      <c r="A19" s="793" t="s">
        <v>55</v>
      </c>
      <c r="B19" s="797" t="s">
        <v>53</v>
      </c>
      <c r="C19" s="798"/>
      <c r="D19" s="798"/>
      <c r="E19" s="428" t="s">
        <v>152</v>
      </c>
      <c r="F19" s="831" t="s">
        <v>52</v>
      </c>
      <c r="G19" s="832"/>
      <c r="H19" s="833"/>
      <c r="I19" s="649">
        <f>IFERROR((+'[8]Liquidity Analysis'!$C$28),0)</f>
        <v>1.1713698894097626</v>
      </c>
      <c r="J19" s="748" t="s">
        <v>218</v>
      </c>
      <c r="K19" s="465" t="str">
        <f>IF(I19="",0-$J$21,(IF((I19-$J$21)&gt;0,"",I19-$J$21)))</f>
        <v/>
      </c>
      <c r="M19" s="599"/>
    </row>
    <row r="20" spans="1:13" s="503" customFormat="1" ht="15" customHeight="1">
      <c r="A20" s="794"/>
      <c r="B20" s="799"/>
      <c r="C20" s="800"/>
      <c r="D20" s="800"/>
      <c r="E20" s="429" t="s">
        <v>280</v>
      </c>
      <c r="F20" s="834"/>
      <c r="G20" s="835"/>
      <c r="H20" s="836"/>
      <c r="I20" s="649">
        <f>IFERROR((+'[8]Liquidity Analysis'!$D$28),0)</f>
        <v>1.1994252538614842</v>
      </c>
      <c r="J20" s="749"/>
      <c r="K20" s="465" t="str">
        <f>IF(I20="",0-$J$21,(IF((I20-$J$21)&gt;0,"",I20-$J$21)))</f>
        <v/>
      </c>
      <c r="M20" s="599"/>
    </row>
    <row r="21" spans="1:13" s="503" customFormat="1" ht="15" customHeight="1">
      <c r="A21" s="795"/>
      <c r="B21" s="801"/>
      <c r="C21" s="802"/>
      <c r="D21" s="802"/>
      <c r="E21" s="429" t="s">
        <v>197</v>
      </c>
      <c r="F21" s="830" t="s">
        <v>51</v>
      </c>
      <c r="G21" s="830"/>
      <c r="H21" s="830"/>
      <c r="I21" s="649">
        <f>IFERROR((+'[8]Liquidity Analysis'!$E$28),0)</f>
        <v>1.1134913496115204</v>
      </c>
      <c r="J21" s="462">
        <v>1</v>
      </c>
      <c r="K21" s="465" t="str">
        <f>IF(I21="",0-$J$21,(IF((I21-$J$21)&gt;0,"",I21-$J$21)))</f>
        <v/>
      </c>
      <c r="M21" s="599"/>
    </row>
    <row r="22" spans="1:13" s="505" customFormat="1">
      <c r="A22" s="427">
        <v>3</v>
      </c>
      <c r="B22" s="827" t="s">
        <v>224</v>
      </c>
      <c r="C22" s="828"/>
      <c r="D22" s="828"/>
      <c r="E22" s="828"/>
      <c r="F22" s="828"/>
      <c r="G22" s="828"/>
      <c r="H22" s="828"/>
      <c r="I22" s="828"/>
      <c r="J22" s="828"/>
      <c r="K22" s="829"/>
      <c r="M22" s="602"/>
    </row>
    <row r="23" spans="1:13" ht="24" customHeight="1">
      <c r="A23" s="766" t="s">
        <v>225</v>
      </c>
      <c r="B23" s="820" t="s">
        <v>827</v>
      </c>
      <c r="C23" s="821"/>
      <c r="D23" s="821"/>
      <c r="E23" s="822"/>
      <c r="F23" s="431" t="s">
        <v>828</v>
      </c>
      <c r="G23" s="432"/>
      <c r="H23" s="433"/>
      <c r="I23" s="815">
        <f>IFERROR((+' Largest risk'!Z65/'[9]Bank Capital Calc'!$C$34),0)</f>
        <v>0.18746481908583323</v>
      </c>
      <c r="J23" s="461" t="s">
        <v>226</v>
      </c>
      <c r="K23" s="815" t="str">
        <f>IF(I23="","",IF(I23&lt;0,"ОТР",IF((I23-J24)&lt;0,"",I23-J24)))</f>
        <v/>
      </c>
    </row>
    <row r="24" spans="1:13">
      <c r="A24" s="767"/>
      <c r="B24" s="823"/>
      <c r="C24" s="824"/>
      <c r="D24" s="824"/>
      <c r="E24" s="825"/>
      <c r="F24" s="817" t="s">
        <v>221</v>
      </c>
      <c r="G24" s="818"/>
      <c r="H24" s="819"/>
      <c r="I24" s="816"/>
      <c r="J24" s="430">
        <v>0.25</v>
      </c>
      <c r="K24" s="826"/>
    </row>
    <row r="25" spans="1:13" s="94" customFormat="1" ht="28.5" customHeight="1">
      <c r="A25" s="793" t="s">
        <v>227</v>
      </c>
      <c r="B25" s="854" t="s">
        <v>857</v>
      </c>
      <c r="C25" s="821"/>
      <c r="D25" s="821"/>
      <c r="E25" s="822"/>
      <c r="F25" s="431" t="s">
        <v>857</v>
      </c>
      <c r="G25" s="432"/>
      <c r="H25" s="433"/>
      <c r="I25" s="846">
        <v>7.0000000000000001E-3</v>
      </c>
      <c r="J25" s="450" t="s">
        <v>226</v>
      </c>
      <c r="K25" s="763" t="str">
        <f>IF(I25&lt;0,"ОТР",IF((I25-J26)&lt;0,"",I25-J26))</f>
        <v/>
      </c>
      <c r="M25" s="599" t="s">
        <v>856</v>
      </c>
    </row>
    <row r="26" spans="1:13" s="94" customFormat="1">
      <c r="A26" s="795"/>
      <c r="B26" s="812"/>
      <c r="C26" s="813"/>
      <c r="D26" s="813"/>
      <c r="E26" s="814"/>
      <c r="F26" s="817" t="s">
        <v>221</v>
      </c>
      <c r="G26" s="818"/>
      <c r="H26" s="819"/>
      <c r="I26" s="847"/>
      <c r="J26" s="449">
        <v>0.25</v>
      </c>
      <c r="K26" s="764"/>
      <c r="M26" s="599"/>
    </row>
    <row r="27" spans="1:13" s="94" customFormat="1" ht="36">
      <c r="A27" s="793" t="s">
        <v>31</v>
      </c>
      <c r="B27" s="820" t="s">
        <v>829</v>
      </c>
      <c r="C27" s="821"/>
      <c r="D27" s="821"/>
      <c r="E27" s="822"/>
      <c r="F27" s="560" t="s">
        <v>829</v>
      </c>
      <c r="G27" s="432"/>
      <c r="H27" s="433"/>
      <c r="I27" s="846">
        <v>0</v>
      </c>
      <c r="J27" s="450" t="s">
        <v>226</v>
      </c>
      <c r="K27" s="763" t="str">
        <f>IF(I27&lt;0,"ОТР",IF((I27-J28)&lt;0,"",I27-J28))</f>
        <v/>
      </c>
      <c r="M27" s="599" t="s">
        <v>856</v>
      </c>
    </row>
    <row r="28" spans="1:13" s="94" customFormat="1">
      <c r="A28" s="795"/>
      <c r="B28" s="812"/>
      <c r="C28" s="813"/>
      <c r="D28" s="813"/>
      <c r="E28" s="814"/>
      <c r="F28" s="817" t="s">
        <v>221</v>
      </c>
      <c r="G28" s="818"/>
      <c r="H28" s="819"/>
      <c r="I28" s="847"/>
      <c r="J28" s="449">
        <v>0.05</v>
      </c>
      <c r="K28" s="764"/>
      <c r="M28" s="599"/>
    </row>
    <row r="29" spans="1:13" s="94" customFormat="1" ht="14.25" customHeight="1">
      <c r="A29" s="793" t="s">
        <v>580</v>
      </c>
      <c r="B29" s="809" t="s">
        <v>858</v>
      </c>
      <c r="C29" s="810"/>
      <c r="D29" s="810"/>
      <c r="E29" s="811"/>
      <c r="F29" s="434" t="s">
        <v>858</v>
      </c>
      <c r="G29" s="435"/>
      <c r="H29" s="436"/>
      <c r="I29" s="815">
        <f>IFERROR((+' Largest risk'!Z64/'[9]Bank Capital Calc'!$C$34),0)</f>
        <v>0.35439705609977162</v>
      </c>
      <c r="J29" s="448" t="s">
        <v>226</v>
      </c>
      <c r="K29" s="763" t="str">
        <f>IF(I29="","",IF(I29&lt;0,"ОТР",IF((I29-J30)&lt;0,"",I29-J30)))</f>
        <v/>
      </c>
      <c r="M29" s="599"/>
    </row>
    <row r="30" spans="1:13" s="94" customFormat="1">
      <c r="A30" s="795"/>
      <c r="B30" s="812"/>
      <c r="C30" s="813"/>
      <c r="D30" s="813"/>
      <c r="E30" s="814"/>
      <c r="F30" s="817" t="s">
        <v>221</v>
      </c>
      <c r="G30" s="818"/>
      <c r="H30" s="819"/>
      <c r="I30" s="816"/>
      <c r="J30" s="448">
        <v>5</v>
      </c>
      <c r="K30" s="764"/>
      <c r="M30" s="599"/>
    </row>
    <row r="31" spans="1:13" s="506" customFormat="1">
      <c r="A31" s="407">
        <v>4</v>
      </c>
      <c r="B31" s="837" t="s">
        <v>228</v>
      </c>
      <c r="C31" s="838"/>
      <c r="D31" s="838"/>
      <c r="E31" s="838"/>
      <c r="F31" s="838"/>
      <c r="G31" s="838"/>
      <c r="H31" s="838"/>
      <c r="I31" s="838"/>
      <c r="J31" s="838"/>
      <c r="K31" s="839"/>
      <c r="M31" s="603"/>
    </row>
    <row r="32" spans="1:13" s="94" customFormat="1">
      <c r="A32" s="793" t="s">
        <v>229</v>
      </c>
      <c r="B32" s="840" t="s">
        <v>230</v>
      </c>
      <c r="C32" s="841"/>
      <c r="D32" s="841"/>
      <c r="E32" s="842"/>
      <c r="F32" s="431" t="s">
        <v>231</v>
      </c>
      <c r="G32" s="432"/>
      <c r="H32" s="433"/>
      <c r="I32" s="846">
        <v>0</v>
      </c>
      <c r="J32" s="450" t="s">
        <v>226</v>
      </c>
      <c r="K32" s="763" t="str">
        <f>IF(I32&lt;0,"ОТР",IF((I32-J33)&lt;0,"",I32-J33))</f>
        <v/>
      </c>
      <c r="M32" s="599" t="s">
        <v>856</v>
      </c>
    </row>
    <row r="33" spans="1:13" s="94" customFormat="1">
      <c r="A33" s="795"/>
      <c r="B33" s="824"/>
      <c r="C33" s="824"/>
      <c r="D33" s="824"/>
      <c r="E33" s="825"/>
      <c r="F33" s="817" t="s">
        <v>221</v>
      </c>
      <c r="G33" s="818"/>
      <c r="H33" s="819"/>
      <c r="I33" s="847"/>
      <c r="J33" s="449">
        <v>0.15</v>
      </c>
      <c r="K33" s="764"/>
      <c r="M33" s="599"/>
    </row>
    <row r="34" spans="1:13" s="94" customFormat="1" ht="24.75" customHeight="1">
      <c r="A34" s="793" t="s">
        <v>37</v>
      </c>
      <c r="B34" s="840" t="s">
        <v>232</v>
      </c>
      <c r="C34" s="841"/>
      <c r="D34" s="841"/>
      <c r="E34" s="842"/>
      <c r="F34" s="843" t="s">
        <v>233</v>
      </c>
      <c r="G34" s="851"/>
      <c r="H34" s="852"/>
      <c r="I34" s="815">
        <f>IFERROR((+('[8]Investment Securities'!$B$22+'[8]Investment Securities'!$B$23+'[8]Investment Securities'!$B$24+'[8]Investment Securities'!$B$25-'[8]Investment Securities'!$B$28)/'[9]Bank Capital Calc'!$C$34),0)</f>
        <v>0</v>
      </c>
      <c r="J34" s="450" t="s">
        <v>226</v>
      </c>
      <c r="K34" s="763" t="str">
        <f>IF(I34="","",IF(I34&lt;0,"ОТР",IF((I34-J35)&lt;0,"",I34-J35)))</f>
        <v/>
      </c>
      <c r="M34" s="599"/>
    </row>
    <row r="35" spans="1:13" s="94" customFormat="1">
      <c r="A35" s="795"/>
      <c r="B35" s="824"/>
      <c r="C35" s="824"/>
      <c r="D35" s="824"/>
      <c r="E35" s="825"/>
      <c r="F35" s="817" t="s">
        <v>221</v>
      </c>
      <c r="G35" s="818"/>
      <c r="H35" s="819"/>
      <c r="I35" s="853"/>
      <c r="J35" s="449">
        <v>0.25</v>
      </c>
      <c r="K35" s="764"/>
      <c r="M35" s="599"/>
    </row>
    <row r="36" spans="1:13" s="94" customFormat="1" ht="36" customHeight="1">
      <c r="A36" s="793" t="s">
        <v>38</v>
      </c>
      <c r="B36" s="840" t="s">
        <v>234</v>
      </c>
      <c r="C36" s="841"/>
      <c r="D36" s="841"/>
      <c r="E36" s="842"/>
      <c r="F36" s="843" t="s">
        <v>235</v>
      </c>
      <c r="G36" s="851"/>
      <c r="H36" s="852"/>
      <c r="I36" s="815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Calc'!$C$34),0)</f>
        <v>4.822733019457616E-5</v>
      </c>
      <c r="J36" s="448" t="s">
        <v>226</v>
      </c>
      <c r="K36" s="763" t="str">
        <f>IF(I36="","",IF(I36&lt;0,"ОТР",IF((I36-J37)&lt;0,"",I36-J37)))</f>
        <v/>
      </c>
      <c r="M36" s="599"/>
    </row>
    <row r="37" spans="1:13" s="94" customFormat="1">
      <c r="A37" s="795"/>
      <c r="B37" s="824"/>
      <c r="C37" s="824"/>
      <c r="D37" s="824"/>
      <c r="E37" s="825"/>
      <c r="F37" s="848" t="s">
        <v>221</v>
      </c>
      <c r="G37" s="849"/>
      <c r="H37" s="850"/>
      <c r="I37" s="816"/>
      <c r="J37" s="448">
        <v>0.5</v>
      </c>
      <c r="K37" s="764"/>
      <c r="M37" s="599"/>
    </row>
    <row r="38" spans="1:13" s="506" customFormat="1">
      <c r="A38" s="407">
        <v>5</v>
      </c>
      <c r="B38" s="855" t="s">
        <v>855</v>
      </c>
      <c r="C38" s="856"/>
      <c r="D38" s="856"/>
      <c r="E38" s="856"/>
      <c r="F38" s="856"/>
      <c r="G38" s="856"/>
      <c r="H38" s="856"/>
      <c r="I38" s="856"/>
      <c r="J38" s="856"/>
      <c r="K38" s="857"/>
      <c r="M38" s="603"/>
    </row>
    <row r="39" spans="1:13" s="94" customFormat="1" ht="23.25" customHeight="1">
      <c r="A39" s="793" t="s">
        <v>236</v>
      </c>
      <c r="B39" s="854" t="s">
        <v>830</v>
      </c>
      <c r="C39" s="841"/>
      <c r="D39" s="841"/>
      <c r="E39" s="842"/>
      <c r="F39" s="843" t="s">
        <v>830</v>
      </c>
      <c r="G39" s="844"/>
      <c r="H39" s="845"/>
      <c r="I39" s="815">
        <f>IFERROR(((+'Transactions of related parties'!Z65-'[9]Bank Capital Calc'!$C$24)/'[9]Bank Capital Calc'!$C$34),0)</f>
        <v>9.7005771718415427E-4</v>
      </c>
      <c r="J39" s="450" t="s">
        <v>226</v>
      </c>
      <c r="K39" s="763" t="str">
        <f>IF(I39="","",IF(I39&lt;0,"ОТР",IF((I39-J40)&lt;0,"",I39-J40)))</f>
        <v/>
      </c>
      <c r="M39" s="599"/>
    </row>
    <row r="40" spans="1:13" s="94" customFormat="1">
      <c r="A40" s="795"/>
      <c r="B40" s="823"/>
      <c r="C40" s="824"/>
      <c r="D40" s="824"/>
      <c r="E40" s="825"/>
      <c r="F40" s="817" t="s">
        <v>221</v>
      </c>
      <c r="G40" s="818"/>
      <c r="H40" s="819"/>
      <c r="I40" s="816"/>
      <c r="J40" s="449">
        <v>0.25</v>
      </c>
      <c r="K40" s="764"/>
      <c r="M40" s="599"/>
    </row>
    <row r="41" spans="1:13" s="94" customFormat="1" ht="23.25" customHeight="1">
      <c r="A41" s="793" t="s">
        <v>823</v>
      </c>
      <c r="B41" s="858" t="s">
        <v>859</v>
      </c>
      <c r="C41" s="859"/>
      <c r="D41" s="859"/>
      <c r="E41" s="859"/>
      <c r="F41" s="860" t="s">
        <v>859</v>
      </c>
      <c r="G41" s="861"/>
      <c r="H41" s="862"/>
      <c r="I41" s="815">
        <f>IFERROR(((+'Transactions of related parties'!Z64-'[9]Bank Capital Calc'!$C$24)/'[9]Bank Capital Calc'!$C$34),0)</f>
        <v>1.0381073409973722E-3</v>
      </c>
      <c r="J41" s="448" t="s">
        <v>226</v>
      </c>
      <c r="K41" s="763" t="str">
        <f>IF(I41="","",IF(I41&lt;0,"ОТР",IF((I41-J42)&lt;0,"",I41-J42)))</f>
        <v/>
      </c>
      <c r="M41" s="599"/>
    </row>
    <row r="42" spans="1:13" s="94" customFormat="1">
      <c r="A42" s="795"/>
      <c r="B42" s="859"/>
      <c r="C42" s="859"/>
      <c r="D42" s="859"/>
      <c r="E42" s="859"/>
      <c r="F42" s="817" t="s">
        <v>221</v>
      </c>
      <c r="G42" s="818"/>
      <c r="H42" s="819"/>
      <c r="I42" s="816"/>
      <c r="J42" s="448">
        <v>0.5</v>
      </c>
      <c r="K42" s="764"/>
      <c r="M42" s="599"/>
    </row>
    <row r="43" spans="1:13" s="506" customFormat="1">
      <c r="A43" s="407">
        <v>6</v>
      </c>
      <c r="B43" s="855" t="s">
        <v>770</v>
      </c>
      <c r="C43" s="856"/>
      <c r="D43" s="856"/>
      <c r="E43" s="856"/>
      <c r="F43" s="856"/>
      <c r="G43" s="856"/>
      <c r="H43" s="856"/>
      <c r="I43" s="856"/>
      <c r="J43" s="856"/>
      <c r="K43" s="857"/>
      <c r="M43" s="603"/>
    </row>
    <row r="44" spans="1:13" s="94" customFormat="1" ht="23.25" customHeight="1">
      <c r="A44" s="793" t="s">
        <v>771</v>
      </c>
      <c r="B44" s="854" t="s">
        <v>772</v>
      </c>
      <c r="C44" s="841"/>
      <c r="D44" s="841"/>
      <c r="E44" s="842"/>
      <c r="F44" s="843" t="s">
        <v>773</v>
      </c>
      <c r="G44" s="844"/>
      <c r="H44" s="845"/>
      <c r="I44" s="846">
        <v>0</v>
      </c>
      <c r="J44" s="448" t="s">
        <v>226</v>
      </c>
      <c r="K44" s="763" t="str">
        <f>IF(I44="","",IF(I44&lt;0,"ОТР",IF((I44-J45)&lt;0,"",I44-J45)))</f>
        <v/>
      </c>
      <c r="M44" s="599" t="s">
        <v>856</v>
      </c>
    </row>
    <row r="45" spans="1:13" s="94" customFormat="1">
      <c r="A45" s="795"/>
      <c r="B45" s="812"/>
      <c r="C45" s="813"/>
      <c r="D45" s="813"/>
      <c r="E45" s="814"/>
      <c r="F45" s="817" t="s">
        <v>221</v>
      </c>
      <c r="G45" s="818"/>
      <c r="H45" s="819"/>
      <c r="I45" s="847"/>
      <c r="J45" s="449">
        <v>1</v>
      </c>
      <c r="K45" s="764"/>
      <c r="M45" s="599"/>
    </row>
    <row r="46" spans="1:13" s="94" customFormat="1">
      <c r="A46" s="451"/>
      <c r="J46" s="451"/>
      <c r="M46" s="599"/>
    </row>
    <row r="47" spans="1:13" s="94" customFormat="1">
      <c r="A47" s="451"/>
      <c r="D47" s="452" t="s">
        <v>0</v>
      </c>
      <c r="J47" s="451"/>
      <c r="M47" s="599"/>
    </row>
    <row r="48" spans="1:13" s="94" customFormat="1">
      <c r="A48" s="451"/>
      <c r="D48" s="452"/>
      <c r="J48" s="451"/>
      <c r="M48" s="599"/>
    </row>
    <row r="49" spans="1:13" s="94" customFormat="1">
      <c r="A49" s="451"/>
      <c r="D49" s="452" t="s">
        <v>1</v>
      </c>
      <c r="J49" s="451"/>
      <c r="M49" s="599"/>
    </row>
  </sheetData>
  <sheetProtection sheet="1" objects="1" scenarios="1"/>
  <mergeCells count="108">
    <mergeCell ref="I25:I26"/>
    <mergeCell ref="K25:K26"/>
    <mergeCell ref="F26:H26"/>
    <mergeCell ref="B43:K43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  <mergeCell ref="B19:D21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25:A26"/>
    <mergeCell ref="B25:E26"/>
    <mergeCell ref="A16:A18"/>
    <mergeCell ref="F18:H18"/>
    <mergeCell ref="K13:K14"/>
    <mergeCell ref="F14:H14"/>
    <mergeCell ref="B16:D18"/>
    <mergeCell ref="F16:H17"/>
    <mergeCell ref="A27:A28"/>
    <mergeCell ref="B29:E30"/>
    <mergeCell ref="I29:I30"/>
    <mergeCell ref="K29:K30"/>
    <mergeCell ref="F30:H30"/>
    <mergeCell ref="K27:K28"/>
    <mergeCell ref="F28:H28"/>
    <mergeCell ref="A19:A21"/>
    <mergeCell ref="A29:A30"/>
    <mergeCell ref="A23:A24"/>
    <mergeCell ref="B23:E24"/>
    <mergeCell ref="I23:I24"/>
    <mergeCell ref="K23:K24"/>
    <mergeCell ref="F24:H24"/>
    <mergeCell ref="B22:E22"/>
    <mergeCell ref="F22:K22"/>
    <mergeCell ref="F21:H21"/>
    <mergeCell ref="F19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J16:J17"/>
    <mergeCell ref="J19:J2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  <mergeCell ref="A9:A10"/>
  </mergeCells>
  <phoneticPr fontId="16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1 I7:I14 I34:I36 I29:I30 I44:I45 I39:I42" xr:uid="{00000000-0002-0000-0E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3 I25:I28" xr:uid="{00000000-0002-0000-0E00-000001000000}"/>
  </dataValidations>
  <printOptions horizontalCentered="1" verticalCentered="1"/>
  <pageMargins left="0.16" right="0.18" top="0.22" bottom="0.15" header="0.51181102362204722" footer="0.51181102362204722"/>
  <pageSetup paperSize="9" scale="69" orientation="landscape" r:id="rId1"/>
  <headerFooter alignWithMargins="0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1">
    <pageSetUpPr fitToPage="1"/>
  </sheetPr>
  <dimension ref="A1:E30"/>
  <sheetViews>
    <sheetView view="pageBreakPreview" zoomScaleSheetLayoutView="100" workbookViewId="0">
      <pane xSplit="1" ySplit="2" topLeftCell="B3" activePane="bottomRight" state="frozen"/>
      <selection activeCell="C73" sqref="C73"/>
      <selection pane="topRight" activeCell="C73" sqref="C73"/>
      <selection pane="bottomLeft" activeCell="C73" sqref="C73"/>
      <selection pane="bottomRight" activeCell="C3" sqref="C3"/>
    </sheetView>
  </sheetViews>
  <sheetFormatPr defaultRowHeight="12.75"/>
  <cols>
    <col min="1" max="1" width="6" style="1" customWidth="1"/>
    <col min="2" max="2" width="71.85546875" style="22" customWidth="1"/>
    <col min="3" max="3" width="19.28515625" style="1" customWidth="1"/>
    <col min="4" max="16384" width="9.140625" style="1"/>
  </cols>
  <sheetData>
    <row r="1" spans="1:5" s="20" customFormat="1" ht="39.75" customHeight="1">
      <c r="B1" s="57" t="s">
        <v>237</v>
      </c>
      <c r="C1" s="58" t="s">
        <v>636</v>
      </c>
    </row>
    <row r="2" spans="1:5" s="20" customFormat="1" ht="35.25" customHeight="1">
      <c r="A2" s="438"/>
      <c r="B2" s="438" t="str">
        <f>+'Asset quality'!B3</f>
        <v>"Микрокредитбанк"</v>
      </c>
      <c r="C2" s="213" t="s">
        <v>382</v>
      </c>
    </row>
    <row r="3" spans="1:5" s="20" customFormat="1" ht="32.25" customHeight="1">
      <c r="A3" s="49" t="s">
        <v>562</v>
      </c>
      <c r="B3" s="65" t="s">
        <v>573</v>
      </c>
      <c r="C3" s="63">
        <v>2558</v>
      </c>
    </row>
    <row r="4" spans="1:5" s="64" customFormat="1" ht="30" customHeight="1">
      <c r="A4" s="62" t="s">
        <v>68</v>
      </c>
      <c r="B4" s="67" t="s">
        <v>563</v>
      </c>
      <c r="C4" s="63">
        <v>3708</v>
      </c>
    </row>
    <row r="5" spans="1:5" s="64" customFormat="1" ht="30" customHeight="1">
      <c r="A5" s="62" t="s">
        <v>64</v>
      </c>
      <c r="B5" s="67" t="s">
        <v>564</v>
      </c>
      <c r="C5" s="63">
        <v>3575</v>
      </c>
    </row>
    <row r="6" spans="1:5" s="20" customFormat="1" ht="32.25" customHeight="1">
      <c r="A6" s="49" t="s">
        <v>479</v>
      </c>
      <c r="B6" s="65" t="s">
        <v>571</v>
      </c>
      <c r="C6" s="63"/>
    </row>
    <row r="7" spans="1:5" s="20" customFormat="1">
      <c r="A7" s="49"/>
      <c r="B7" s="66" t="s">
        <v>572</v>
      </c>
      <c r="C7" s="61"/>
    </row>
    <row r="8" spans="1:5" s="64" customFormat="1" ht="30" customHeight="1">
      <c r="A8" s="62" t="s">
        <v>68</v>
      </c>
      <c r="B8" s="67" t="s">
        <v>565</v>
      </c>
      <c r="C8" s="63">
        <v>71</v>
      </c>
    </row>
    <row r="9" spans="1:5" s="64" customFormat="1" ht="30" customHeight="1">
      <c r="A9" s="62" t="s">
        <v>64</v>
      </c>
      <c r="B9" s="67" t="s">
        <v>566</v>
      </c>
      <c r="C9" s="63">
        <v>24</v>
      </c>
    </row>
    <row r="10" spans="1:5" s="64" customFormat="1" ht="30" customHeight="1">
      <c r="A10" s="62" t="s">
        <v>66</v>
      </c>
      <c r="B10" s="67" t="s">
        <v>646</v>
      </c>
      <c r="C10" s="63">
        <v>24</v>
      </c>
    </row>
    <row r="11" spans="1:5" s="444" customFormat="1" ht="30" customHeight="1">
      <c r="A11" s="441" t="s">
        <v>73</v>
      </c>
      <c r="B11" s="442" t="s">
        <v>774</v>
      </c>
      <c r="C11" s="443">
        <v>87</v>
      </c>
    </row>
    <row r="12" spans="1:5" s="71" customFormat="1" ht="30" customHeight="1">
      <c r="A12" s="445" t="s">
        <v>480</v>
      </c>
      <c r="B12" s="446" t="s">
        <v>567</v>
      </c>
      <c r="C12" s="569">
        <f>C14+C15+C16</f>
        <v>2026344</v>
      </c>
    </row>
    <row r="13" spans="1:5" s="71" customFormat="1">
      <c r="A13" s="445"/>
      <c r="B13" s="446" t="s">
        <v>572</v>
      </c>
      <c r="C13" s="447"/>
    </row>
    <row r="14" spans="1:5" s="444" customFormat="1" ht="30" customHeight="1">
      <c r="A14" s="441" t="s">
        <v>68</v>
      </c>
      <c r="B14" s="442" t="s">
        <v>164</v>
      </c>
      <c r="C14" s="443">
        <v>1282401</v>
      </c>
    </row>
    <row r="15" spans="1:5" s="444" customFormat="1" ht="30" customHeight="1">
      <c r="A15" s="441" t="s">
        <v>64</v>
      </c>
      <c r="B15" s="442" t="s">
        <v>825</v>
      </c>
      <c r="C15" s="443">
        <v>210012</v>
      </c>
    </row>
    <row r="16" spans="1:5" s="444" customFormat="1" ht="30" customHeight="1">
      <c r="A16" s="441" t="s">
        <v>66</v>
      </c>
      <c r="B16" s="442" t="s">
        <v>752</v>
      </c>
      <c r="C16" s="570">
        <f>+C18+C19+C20+C21+C22</f>
        <v>533931</v>
      </c>
      <c r="E16" s="587" t="s">
        <v>852</v>
      </c>
    </row>
    <row r="17" spans="1:5" s="444" customFormat="1">
      <c r="A17" s="441"/>
      <c r="B17" s="442" t="s">
        <v>775</v>
      </c>
      <c r="C17" s="443"/>
      <c r="E17" s="587" t="s">
        <v>851</v>
      </c>
    </row>
    <row r="18" spans="1:5" s="444" customFormat="1" ht="30" customHeight="1">
      <c r="A18" s="441" t="s">
        <v>824</v>
      </c>
      <c r="B18" s="442" t="s">
        <v>165</v>
      </c>
      <c r="C18" s="443">
        <v>1076</v>
      </c>
    </row>
    <row r="19" spans="1:5" s="444" customFormat="1" ht="29.25" customHeight="1">
      <c r="A19" s="441" t="s">
        <v>824</v>
      </c>
      <c r="B19" s="442" t="s">
        <v>167</v>
      </c>
      <c r="C19" s="443">
        <v>486342</v>
      </c>
    </row>
    <row r="20" spans="1:5" s="444" customFormat="1" ht="30" customHeight="1">
      <c r="A20" s="441" t="s">
        <v>824</v>
      </c>
      <c r="B20" s="442" t="s">
        <v>168</v>
      </c>
      <c r="C20" s="443">
        <v>3812</v>
      </c>
    </row>
    <row r="21" spans="1:5" s="444" customFormat="1" ht="30" customHeight="1">
      <c r="A21" s="441" t="s">
        <v>824</v>
      </c>
      <c r="B21" s="442" t="s">
        <v>163</v>
      </c>
      <c r="C21" s="443">
        <v>0</v>
      </c>
    </row>
    <row r="22" spans="1:5" s="444" customFormat="1" ht="30" customHeight="1">
      <c r="A22" s="441" t="s">
        <v>824</v>
      </c>
      <c r="B22" s="442" t="s">
        <v>172</v>
      </c>
      <c r="C22" s="443">
        <v>42701</v>
      </c>
    </row>
    <row r="23" spans="1:5" s="20" customFormat="1" ht="32.25" customHeight="1">
      <c r="A23" s="49" t="s">
        <v>481</v>
      </c>
      <c r="B23" s="65" t="s">
        <v>568</v>
      </c>
      <c r="C23" s="646" t="s">
        <v>1002</v>
      </c>
    </row>
    <row r="24" spans="1:5" s="444" customFormat="1" ht="30" customHeight="1">
      <c r="A24" s="441" t="s">
        <v>68</v>
      </c>
      <c r="B24" s="442" t="s">
        <v>569</v>
      </c>
      <c r="C24" s="63" t="s">
        <v>1003</v>
      </c>
    </row>
    <row r="25" spans="1:5" s="444" customFormat="1" ht="30" customHeight="1">
      <c r="A25" s="441" t="s">
        <v>64</v>
      </c>
      <c r="B25" s="442" t="s">
        <v>570</v>
      </c>
      <c r="C25" s="63" t="s">
        <v>1002</v>
      </c>
    </row>
    <row r="26" spans="1:5" s="20" customFormat="1" ht="12" customHeight="1">
      <c r="B26" s="30"/>
    </row>
    <row r="27" spans="1:5" s="20" customFormat="1">
      <c r="B27" s="30"/>
    </row>
    <row r="28" spans="1:5">
      <c r="A28" s="20"/>
      <c r="B28" s="5" t="s">
        <v>0</v>
      </c>
    </row>
    <row r="29" spans="1:5">
      <c r="A29" s="20"/>
      <c r="B29" s="5"/>
    </row>
    <row r="30" spans="1:5">
      <c r="A30" s="20"/>
      <c r="B30" s="5" t="s">
        <v>1</v>
      </c>
    </row>
  </sheetData>
  <sheetProtection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 xr:uid="{00000000-0002-0000-0F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1">
    <pageSetUpPr fitToPage="1"/>
  </sheetPr>
  <dimension ref="A1:AF54"/>
  <sheetViews>
    <sheetView view="pageBreakPreview" zoomScale="70" zoomScaleNormal="40" zoomScaleSheetLayoutView="70" workbookViewId="0">
      <pane xSplit="1" ySplit="3" topLeftCell="B4" activePane="bottomRight" state="frozen"/>
      <selection activeCell="O33" sqref="O33"/>
      <selection pane="topRight" activeCell="O33" sqref="O33"/>
      <selection pane="bottomLeft" activeCell="O33" sqref="O33"/>
      <selection pane="bottomRight" activeCell="G18" sqref="G18"/>
    </sheetView>
  </sheetViews>
  <sheetFormatPr defaultColWidth="97.7109375" defaultRowHeight="18.75"/>
  <cols>
    <col min="1" max="1" width="103.140625" style="393" customWidth="1"/>
    <col min="2" max="2" width="24.85546875" style="394" bestFit="1" customWidth="1"/>
    <col min="3" max="4" width="14.7109375" style="387" customWidth="1"/>
    <col min="5" max="5" width="8.5703125" style="394" bestFit="1" customWidth="1"/>
    <col min="6" max="6" width="9.7109375" style="394" customWidth="1"/>
    <col min="7" max="9" width="9.7109375" style="387" customWidth="1"/>
    <col min="10" max="10" width="15" style="387" customWidth="1"/>
    <col min="11" max="11" width="10.140625" style="394" customWidth="1"/>
    <col min="12" max="13" width="19.5703125" style="387" customWidth="1"/>
    <col min="14" max="14" width="3.85546875" style="387" bestFit="1" customWidth="1"/>
    <col min="15" max="16" width="19.5703125" style="387" customWidth="1"/>
    <col min="17" max="16384" width="97.7109375" style="387"/>
  </cols>
  <sheetData>
    <row r="1" spans="1:16" s="395" customFormat="1" ht="33.75" customHeight="1">
      <c r="A1" s="863" t="s">
        <v>776</v>
      </c>
      <c r="B1" s="863"/>
    </row>
    <row r="2" spans="1:16" ht="20.25" customHeight="1">
      <c r="A2" s="440" t="str">
        <f>+'Asset quality'!B3</f>
        <v>"Микрокредитбанк"</v>
      </c>
      <c r="B2" s="368" t="s">
        <v>382</v>
      </c>
      <c r="C2" s="397" t="s">
        <v>809</v>
      </c>
      <c r="D2" s="406"/>
      <c r="E2" s="408"/>
      <c r="F2" s="408"/>
      <c r="K2" s="387"/>
      <c r="M2" s="388"/>
    </row>
    <row r="3" spans="1:16" s="389" customFormat="1" ht="59.25" customHeight="1">
      <c r="A3" s="438" t="s">
        <v>777</v>
      </c>
      <c r="B3" s="439">
        <f>+'Asset quality'!P3</f>
        <v>44560</v>
      </c>
      <c r="C3" s="437"/>
      <c r="D3" s="406"/>
      <c r="E3" s="408"/>
      <c r="F3" s="408"/>
      <c r="K3" s="397" t="s">
        <v>809</v>
      </c>
      <c r="L3" s="399" t="s">
        <v>806</v>
      </c>
      <c r="M3" s="397" t="s">
        <v>807</v>
      </c>
      <c r="N3" s="408"/>
      <c r="O3" s="398" t="s">
        <v>791</v>
      </c>
      <c r="P3" s="400" t="s">
        <v>793</v>
      </c>
    </row>
    <row r="4" spans="1:16" ht="24" customHeight="1">
      <c r="A4" s="390" t="s">
        <v>778</v>
      </c>
      <c r="B4" s="413">
        <f>IFERROR((B5/B6),0)</f>
        <v>0.13760026565653186</v>
      </c>
      <c r="D4" s="406"/>
      <c r="E4" s="651"/>
      <c r="F4" s="408"/>
      <c r="J4" s="419" t="s">
        <v>810</v>
      </c>
      <c r="K4" s="420">
        <v>1</v>
      </c>
      <c r="L4" s="508">
        <v>10282915665</v>
      </c>
      <c r="M4" s="508">
        <v>1738289532</v>
      </c>
      <c r="N4" s="408"/>
      <c r="O4" s="389"/>
      <c r="P4" s="389"/>
    </row>
    <row r="5" spans="1:16" ht="24" customHeight="1">
      <c r="A5" s="391" t="s">
        <v>779</v>
      </c>
      <c r="B5" s="414">
        <f>+'[9]Bank Capital Calc'!$C$44</f>
        <v>2314405041</v>
      </c>
      <c r="D5" s="406"/>
      <c r="E5" s="651"/>
      <c r="F5" s="458"/>
      <c r="J5" s="419" t="s">
        <v>811</v>
      </c>
      <c r="K5" s="420">
        <v>2</v>
      </c>
      <c r="L5" s="508">
        <v>10462381502</v>
      </c>
      <c r="M5" s="508">
        <v>1776207829</v>
      </c>
      <c r="N5" s="410">
        <v>1</v>
      </c>
      <c r="O5" s="411">
        <f>+(L4+L5)/2</f>
        <v>10372648583.5</v>
      </c>
      <c r="P5" s="411">
        <f>+(M4+M5)/2</f>
        <v>1757248680.5</v>
      </c>
    </row>
    <row r="6" spans="1:16" ht="24" customHeight="1">
      <c r="A6" s="392" t="s">
        <v>780</v>
      </c>
      <c r="B6" s="415">
        <f>+'[9]Bank Capital Calc'!$C$45</f>
        <v>16819771604.053846</v>
      </c>
      <c r="D6" s="406"/>
      <c r="E6" s="651"/>
      <c r="F6" s="458"/>
      <c r="J6" s="419" t="s">
        <v>812</v>
      </c>
      <c r="K6" s="420">
        <v>3</v>
      </c>
      <c r="L6" s="508">
        <v>10551550910</v>
      </c>
      <c r="M6" s="508">
        <v>1773838218</v>
      </c>
      <c r="N6" s="410">
        <v>2</v>
      </c>
      <c r="O6" s="411">
        <f>+(L4+L5+L6)/3</f>
        <v>10432282692.333334</v>
      </c>
      <c r="P6" s="411">
        <f>+(M4+M5+M6)/3</f>
        <v>1762778526.3333333</v>
      </c>
    </row>
    <row r="7" spans="1:16" ht="24" customHeight="1">
      <c r="A7" s="390" t="s">
        <v>781</v>
      </c>
      <c r="B7" s="413">
        <f>IFERROR((B8/B9),0)</f>
        <v>0.13217900797559978</v>
      </c>
      <c r="D7" s="406"/>
      <c r="E7" s="651"/>
      <c r="F7" s="408"/>
      <c r="J7" s="419" t="s">
        <v>813</v>
      </c>
      <c r="K7" s="420">
        <v>4</v>
      </c>
      <c r="L7" s="508">
        <v>10645189610</v>
      </c>
      <c r="M7" s="508">
        <v>1774167357</v>
      </c>
      <c r="N7" s="410">
        <v>3</v>
      </c>
      <c r="O7" s="412">
        <f>+(L4+L7)/2</f>
        <v>10464052637.5</v>
      </c>
      <c r="P7" s="412">
        <f>+(M4+M7)/2</f>
        <v>1756228444.5</v>
      </c>
    </row>
    <row r="8" spans="1:16" ht="24" customHeight="1">
      <c r="A8" s="391" t="s">
        <v>782</v>
      </c>
      <c r="B8" s="414">
        <f>+'[9]Bank Capital Calc'!$C$34</f>
        <v>2223220725</v>
      </c>
      <c r="D8" s="406"/>
      <c r="E8" s="651"/>
      <c r="F8" s="458"/>
      <c r="J8" s="419" t="s">
        <v>814</v>
      </c>
      <c r="K8" s="420">
        <v>5</v>
      </c>
      <c r="L8" s="508">
        <v>11182732279</v>
      </c>
      <c r="M8" s="508">
        <v>1768540700</v>
      </c>
      <c r="N8" s="410">
        <v>4</v>
      </c>
      <c r="O8" s="411">
        <f>+(+L4+L5+L6+L7+L8)/5</f>
        <v>10624953993.200001</v>
      </c>
      <c r="P8" s="411">
        <f>+(+M4+M5+M6+M7+M8)/5</f>
        <v>1766208727.2</v>
      </c>
    </row>
    <row r="9" spans="1:16" ht="24" customHeight="1">
      <c r="A9" s="392" t="s">
        <v>780</v>
      </c>
      <c r="B9" s="415">
        <f>+'[9]Bank Capital Calc'!$C$45</f>
        <v>16819771604.053846</v>
      </c>
      <c r="D9" s="406"/>
      <c r="E9" s="651"/>
      <c r="F9" s="458"/>
      <c r="J9" s="419" t="s">
        <v>815</v>
      </c>
      <c r="K9" s="420">
        <v>6</v>
      </c>
      <c r="L9" s="508">
        <v>11550881753</v>
      </c>
      <c r="M9" s="508">
        <v>1770979785</v>
      </c>
      <c r="N9" s="410">
        <v>5</v>
      </c>
      <c r="O9" s="411">
        <f>+(+L4+L5+L6+L7+L8+L9)/6</f>
        <v>10779275286.5</v>
      </c>
      <c r="P9" s="411">
        <f>+(+M4+M5+M6+M7+M8+M9)/6</f>
        <v>1767003903.5</v>
      </c>
    </row>
    <row r="10" spans="1:16" ht="24" customHeight="1">
      <c r="A10" s="390" t="s">
        <v>783</v>
      </c>
      <c r="B10" s="413">
        <f>IFERROR((B11/B12),0)</f>
        <v>0.22284551554331722</v>
      </c>
      <c r="D10" s="406"/>
      <c r="E10" s="651"/>
      <c r="F10" s="408"/>
      <c r="J10" s="419" t="s">
        <v>816</v>
      </c>
      <c r="K10" s="420">
        <v>7</v>
      </c>
      <c r="L10" s="508">
        <v>12715256100</v>
      </c>
      <c r="M10" s="508">
        <v>2170115463</v>
      </c>
      <c r="N10" s="410">
        <v>6</v>
      </c>
      <c r="O10" s="412">
        <f>+(L4+L7+L10)/3</f>
        <v>11214453791.666666</v>
      </c>
      <c r="P10" s="412">
        <f>+(M4+M7+M10)/3</f>
        <v>1894190784</v>
      </c>
    </row>
    <row r="11" spans="1:16" ht="24" customHeight="1">
      <c r="A11" s="391" t="s">
        <v>784</v>
      </c>
      <c r="B11" s="414">
        <f>+('Asset Classification'!M50-'Asset Classification'!O50+'Asset Classification'!Q50-'Asset Classification'!S50+'Asset Classification'!U50-'Asset Classification'!W50)</f>
        <v>517245886</v>
      </c>
      <c r="D11" s="406"/>
      <c r="E11" s="651"/>
      <c r="F11" s="408"/>
      <c r="J11" s="419" t="s">
        <v>817</v>
      </c>
      <c r="K11" s="420">
        <v>8</v>
      </c>
      <c r="L11" s="508">
        <v>12614107193</v>
      </c>
      <c r="M11" s="508">
        <v>2171574828</v>
      </c>
      <c r="N11" s="410">
        <v>7</v>
      </c>
      <c r="O11" s="411">
        <f>(L4+L5+L6+L7+L8+L9+L10+L11)/8</f>
        <v>11250626876.5</v>
      </c>
      <c r="P11" s="411">
        <f>(M4+M5+M6+M7+M8+M9+M10+M11)/8</f>
        <v>1867964214</v>
      </c>
    </row>
    <row r="12" spans="1:16" ht="24" customHeight="1">
      <c r="A12" s="392" t="s">
        <v>785</v>
      </c>
      <c r="B12" s="415">
        <f>+B35</f>
        <v>2321096230</v>
      </c>
      <c r="D12" s="406"/>
      <c r="E12" s="651"/>
      <c r="F12" s="408"/>
      <c r="J12" s="419" t="s">
        <v>818</v>
      </c>
      <c r="K12" s="420">
        <v>9</v>
      </c>
      <c r="L12" s="508">
        <v>12678935359</v>
      </c>
      <c r="M12" s="508">
        <v>2337862088</v>
      </c>
      <c r="N12" s="410">
        <v>8</v>
      </c>
      <c r="O12" s="411">
        <f>(L4+L5+L6+L7+L8+L9+L10+L11+L12)/9</f>
        <v>11409327819</v>
      </c>
      <c r="P12" s="411">
        <f>(M4+M5+M6+M7+M8+M9+M10+M11+M12)/9</f>
        <v>1920175088.8888888</v>
      </c>
    </row>
    <row r="13" spans="1:16" ht="24" customHeight="1">
      <c r="A13" s="390" t="s">
        <v>786</v>
      </c>
      <c r="B13" s="413">
        <f>IFERROR((B14/B15),0)</f>
        <v>5.9380282956697471E-2</v>
      </c>
      <c r="E13" s="387"/>
      <c r="F13" s="387"/>
      <c r="J13" s="419" t="s">
        <v>819</v>
      </c>
      <c r="K13" s="420">
        <v>10</v>
      </c>
      <c r="L13" s="508">
        <v>12733558140</v>
      </c>
      <c r="M13" s="508">
        <v>2304429434</v>
      </c>
      <c r="N13" s="410">
        <v>9</v>
      </c>
      <c r="O13" s="412">
        <f>+(L4+L7+L10+L13)/4</f>
        <v>11594229878.75</v>
      </c>
      <c r="P13" s="412">
        <f>+(M4+M7+M10+M13)/4</f>
        <v>1996750446.5</v>
      </c>
    </row>
    <row r="14" spans="1:16" ht="24" customHeight="1">
      <c r="A14" s="391" t="s">
        <v>787</v>
      </c>
      <c r="B14" s="414">
        <f>+('Asset Classification'!M50+'Asset Classification'!Q50+'Asset Classification'!U50)</f>
        <v>642250253</v>
      </c>
      <c r="E14" s="387"/>
      <c r="F14" s="387"/>
      <c r="J14" s="419" t="s">
        <v>820</v>
      </c>
      <c r="K14" s="420">
        <v>11</v>
      </c>
      <c r="L14" s="508">
        <v>13001343679</v>
      </c>
      <c r="M14" s="508">
        <v>2306845268</v>
      </c>
      <c r="N14" s="410">
        <v>10</v>
      </c>
      <c r="O14" s="411">
        <f>(+L4+L5+L6+L7+L8+L9+L10+L11+L12+L13+L14)/11</f>
        <v>11674441108.181818</v>
      </c>
      <c r="P14" s="411">
        <f>(+M4+M5+M6+M7+M8+M9+M10+M11+M12+M13+M14)/11</f>
        <v>1990259136.5454545</v>
      </c>
    </row>
    <row r="15" spans="1:16" ht="24" customHeight="1">
      <c r="A15" s="392" t="s">
        <v>788</v>
      </c>
      <c r="B15" s="415">
        <f>+'Loans Receivable'!C92</f>
        <v>10815884011</v>
      </c>
      <c r="E15" s="387"/>
      <c r="F15" s="387"/>
      <c r="J15" s="419" t="s">
        <v>821</v>
      </c>
      <c r="K15" s="420">
        <v>12</v>
      </c>
      <c r="L15" s="508">
        <v>13114369198</v>
      </c>
      <c r="M15" s="508">
        <v>2319234197</v>
      </c>
      <c r="N15" s="410">
        <v>11</v>
      </c>
      <c r="O15" s="411">
        <f>(+L4+L5+L6+L7+L8+L9+L10+L11+L12+L13+L14+L15)/12</f>
        <v>11794435115.666666</v>
      </c>
      <c r="P15" s="411">
        <f>(+M4+M5+M6+M7+M8+M9+M10+M11+M12+M13+M14+M15)/12</f>
        <v>2017673724.9166667</v>
      </c>
    </row>
    <row r="16" spans="1:16" ht="24" customHeight="1">
      <c r="A16" s="390" t="s">
        <v>789</v>
      </c>
      <c r="B16" s="413">
        <f>IFERROR((B17/B18),0)</f>
        <v>4.2897204024874725E-3</v>
      </c>
      <c r="E16" s="387"/>
      <c r="F16" s="387"/>
      <c r="J16" s="419" t="s">
        <v>822</v>
      </c>
      <c r="K16" s="420">
        <v>13</v>
      </c>
      <c r="L16" s="508">
        <v>13483353628</v>
      </c>
      <c r="M16" s="508">
        <v>2321096230</v>
      </c>
      <c r="N16" s="410">
        <v>12</v>
      </c>
      <c r="O16" s="412">
        <f>+(L4+L7+L10+L13+L16)/5</f>
        <v>11972054628.6</v>
      </c>
      <c r="P16" s="412">
        <f>+(M4+M7+M10+M13+M16)/5</f>
        <v>2061619603.2</v>
      </c>
    </row>
    <row r="17" spans="1:11" ht="24" customHeight="1">
      <c r="A17" s="391" t="s">
        <v>790</v>
      </c>
      <c r="B17" s="414">
        <f>(+'Income '!C72)/MONTH(B3)*12</f>
        <v>51356767</v>
      </c>
      <c r="C17" s="409"/>
      <c r="E17" s="387"/>
      <c r="F17" s="387"/>
      <c r="K17" s="387"/>
    </row>
    <row r="18" spans="1:11" ht="24" customHeight="1">
      <c r="A18" s="392" t="s">
        <v>791</v>
      </c>
      <c r="B18" s="415">
        <f>VLOOKUP(MONTH(B3),$N$4:$P$16,2,0)</f>
        <v>11972054628.6</v>
      </c>
      <c r="E18" s="387"/>
      <c r="F18" s="387"/>
      <c r="K18" s="387"/>
    </row>
    <row r="19" spans="1:11" ht="24" customHeight="1">
      <c r="A19" s="390" t="s">
        <v>792</v>
      </c>
      <c r="B19" s="413">
        <f>IFERROR((B20/B21),0)</f>
        <v>1.8647031654302034E-2</v>
      </c>
      <c r="E19" s="387"/>
      <c r="F19" s="387"/>
      <c r="K19" s="387"/>
    </row>
    <row r="20" spans="1:11" ht="24" customHeight="1">
      <c r="A20" s="391" t="s">
        <v>826</v>
      </c>
      <c r="B20" s="414">
        <f>(+'Income '!C79)/MONTH(B3)*12</f>
        <v>38443086</v>
      </c>
      <c r="E20" s="387"/>
      <c r="F20" s="387"/>
      <c r="K20" s="387"/>
    </row>
    <row r="21" spans="1:11" ht="24" customHeight="1">
      <c r="A21" s="392" t="s">
        <v>793</v>
      </c>
      <c r="B21" s="415">
        <f>VLOOKUP(MONTH(B3),$N$4:$P$16,3,0)</f>
        <v>2061619603.2</v>
      </c>
      <c r="E21" s="387"/>
      <c r="F21" s="387"/>
      <c r="K21" s="387"/>
    </row>
    <row r="22" spans="1:11" ht="24" customHeight="1">
      <c r="A22" s="390" t="s">
        <v>794</v>
      </c>
      <c r="B22" s="413">
        <f>IFERROR((B23/B24),0)</f>
        <v>0.53271497793144584</v>
      </c>
      <c r="E22" s="387"/>
      <c r="F22" s="387"/>
      <c r="K22" s="387"/>
    </row>
    <row r="23" spans="1:11" ht="24" customHeight="1">
      <c r="A23" s="391" t="s">
        <v>795</v>
      </c>
      <c r="B23" s="414">
        <f>+'Income '!C30</f>
        <v>625259227</v>
      </c>
      <c r="E23" s="387"/>
      <c r="F23" s="387"/>
      <c r="K23" s="387"/>
    </row>
    <row r="24" spans="1:11" ht="24" customHeight="1">
      <c r="A24" s="392" t="s">
        <v>796</v>
      </c>
      <c r="B24" s="415">
        <f>+B27</f>
        <v>1173721883</v>
      </c>
      <c r="E24" s="387"/>
      <c r="F24" s="387"/>
      <c r="K24" s="387"/>
    </row>
    <row r="25" spans="1:11" ht="24" customHeight="1">
      <c r="A25" s="390" t="s">
        <v>797</v>
      </c>
      <c r="B25" s="413">
        <f>IFERROR((B26/B27),0)</f>
        <v>0.58774000126570014</v>
      </c>
      <c r="E25" s="387"/>
      <c r="F25" s="387"/>
      <c r="K25" s="387"/>
    </row>
    <row r="26" spans="1:11" ht="24" customHeight="1">
      <c r="A26" s="391" t="s">
        <v>798</v>
      </c>
      <c r="B26" s="414">
        <f>+'Income '!C54+'Income '!C70</f>
        <v>689843301</v>
      </c>
      <c r="E26" s="387"/>
      <c r="F26" s="387"/>
      <c r="K26" s="387"/>
    </row>
    <row r="27" spans="1:11" ht="24" customHeight="1">
      <c r="A27" s="392" t="s">
        <v>799</v>
      </c>
      <c r="B27" s="415">
        <f>+'Income '!C30+'Income '!C46</f>
        <v>1173721883</v>
      </c>
      <c r="E27" s="387"/>
      <c r="F27" s="387"/>
      <c r="K27" s="387"/>
    </row>
    <row r="28" spans="1:11" ht="24" customHeight="1">
      <c r="A28" s="390" t="s">
        <v>800</v>
      </c>
      <c r="B28" s="413">
        <f>IFERROR((B29/B30),0)</f>
        <v>0.12235750107258107</v>
      </c>
      <c r="E28" s="387"/>
      <c r="F28" s="387"/>
      <c r="K28" s="387"/>
    </row>
    <row r="29" spans="1:11" ht="24" customHeight="1">
      <c r="A29" s="391" t="s">
        <v>682</v>
      </c>
      <c r="B29" s="414">
        <f>+B32</f>
        <v>1649789456</v>
      </c>
      <c r="E29" s="387"/>
      <c r="F29" s="387"/>
      <c r="K29" s="387"/>
    </row>
    <row r="30" spans="1:11" ht="24" customHeight="1">
      <c r="A30" s="392" t="s">
        <v>801</v>
      </c>
      <c r="B30" s="415">
        <f>+B36</f>
        <v>13483353628</v>
      </c>
      <c r="E30" s="387"/>
      <c r="F30" s="387"/>
      <c r="K30" s="387"/>
    </row>
    <row r="31" spans="1:11" ht="24" customHeight="1">
      <c r="A31" s="390" t="s">
        <v>802</v>
      </c>
      <c r="B31" s="413">
        <f>IFERROR((B29/B33),0)</f>
        <v>0.30937436131591445</v>
      </c>
      <c r="E31" s="387"/>
      <c r="F31" s="387"/>
      <c r="K31" s="387"/>
    </row>
    <row r="32" spans="1:11" ht="24" customHeight="1">
      <c r="A32" s="391" t="s">
        <v>682</v>
      </c>
      <c r="B32" s="401">
        <f>+B54</f>
        <v>1649789456</v>
      </c>
      <c r="E32" s="387"/>
      <c r="F32" s="387"/>
      <c r="K32" s="387"/>
    </row>
    <row r="33" spans="1:32" ht="24" customHeight="1">
      <c r="A33" s="392" t="s">
        <v>769</v>
      </c>
      <c r="B33" s="415">
        <f>+('[8]Bank Liabilities Analysis'!$C$39+'[8]Bank Liabilities Analysis'!$E$39+'[8]Bank Liabilities Analysis'!$G$39+'[8]Bank Liabilities Analysis'!$I$39+'[8]Bank Liabilities Analysis'!$K$39+'[8]Bank Liabilities Analysis'!$M$39)</f>
        <v>5332663796</v>
      </c>
      <c r="E33" s="387"/>
      <c r="F33" s="387"/>
      <c r="K33" s="387"/>
    </row>
    <row r="34" spans="1:32" ht="24" customHeight="1">
      <c r="A34" s="390" t="s">
        <v>803</v>
      </c>
      <c r="B34" s="413">
        <f>IFERROR((B35/B36),0)</f>
        <v>0.17214532037340702</v>
      </c>
      <c r="E34" s="387"/>
      <c r="F34" s="387"/>
      <c r="K34" s="387"/>
    </row>
    <row r="35" spans="1:32" ht="24" customHeight="1">
      <c r="A35" s="391" t="s">
        <v>785</v>
      </c>
      <c r="B35" s="414">
        <f>+[8]Balance!$C$77</f>
        <v>2321096230</v>
      </c>
      <c r="E35" s="387"/>
      <c r="F35" s="387"/>
      <c r="K35" s="387"/>
    </row>
    <row r="36" spans="1:32" ht="24" customHeight="1">
      <c r="A36" s="392" t="s">
        <v>801</v>
      </c>
      <c r="B36" s="415">
        <f>+[8]Balance!$C$45</f>
        <v>13483353628</v>
      </c>
      <c r="E36" s="387"/>
      <c r="F36" s="387"/>
      <c r="K36" s="387"/>
    </row>
    <row r="37" spans="1:32" ht="24" customHeight="1">
      <c r="A37" s="390" t="s">
        <v>804</v>
      </c>
      <c r="B37" s="413">
        <f>IFERROR((B38/B39),0)</f>
        <v>6.5471589689325371E-2</v>
      </c>
      <c r="E37" s="387"/>
      <c r="F37" s="387"/>
      <c r="K37" s="387"/>
    </row>
    <row r="38" spans="1:32" ht="24" customHeight="1">
      <c r="A38" s="391" t="s">
        <v>805</v>
      </c>
      <c r="B38" s="414">
        <f>+'[9]Calculation of Risk'!$C$26</f>
        <v>151965860</v>
      </c>
      <c r="E38" s="387"/>
      <c r="F38" s="387"/>
      <c r="K38" s="387"/>
    </row>
    <row r="39" spans="1:32" ht="24" customHeight="1">
      <c r="A39" s="392" t="s">
        <v>785</v>
      </c>
      <c r="B39" s="415">
        <f>+B35</f>
        <v>2321096230</v>
      </c>
      <c r="E39" s="387"/>
      <c r="F39" s="387"/>
      <c r="K39" s="387"/>
    </row>
    <row r="40" spans="1:32">
      <c r="E40" s="387"/>
      <c r="F40" s="387"/>
      <c r="K40" s="387"/>
    </row>
    <row r="42" spans="1:32" s="366" customFormat="1" ht="15.75">
      <c r="A42" s="365" t="s">
        <v>0</v>
      </c>
      <c r="J42" s="364"/>
      <c r="AB42" s="378"/>
      <c r="AC42" s="378"/>
      <c r="AD42" s="378"/>
      <c r="AE42" s="378"/>
      <c r="AF42" s="378"/>
    </row>
    <row r="43" spans="1:32" s="366" customFormat="1" ht="15.75">
      <c r="A43" s="365"/>
      <c r="J43" s="364"/>
      <c r="AB43" s="378"/>
      <c r="AC43" s="378"/>
      <c r="AD43" s="378"/>
      <c r="AE43" s="378"/>
      <c r="AF43" s="378"/>
    </row>
    <row r="44" spans="1:32" s="366" customFormat="1" ht="15.75">
      <c r="A44" s="365" t="s">
        <v>1</v>
      </c>
      <c r="J44" s="364"/>
      <c r="AB44" s="378"/>
      <c r="AC44" s="378"/>
      <c r="AD44" s="378"/>
      <c r="AE44" s="378"/>
      <c r="AF44" s="378"/>
    </row>
    <row r="46" spans="1:32">
      <c r="A46" s="201" t="s">
        <v>682</v>
      </c>
      <c r="B46" s="604" t="s">
        <v>577</v>
      </c>
      <c r="C46" s="604" t="s">
        <v>690</v>
      </c>
      <c r="D46" s="604" t="s">
        <v>691</v>
      </c>
      <c r="E46" s="393"/>
    </row>
    <row r="47" spans="1:32" s="94" customFormat="1" ht="13.5" customHeight="1">
      <c r="A47" s="396" t="s">
        <v>808</v>
      </c>
      <c r="B47" s="402">
        <f>+'[8]Liquidity Analysis'!C50</f>
        <v>296970345</v>
      </c>
      <c r="C47" s="402">
        <f>+'[8]Liquidity Analysis'!D50</f>
        <v>140098936</v>
      </c>
      <c r="D47" s="402">
        <f>+'[8]Liquidity Analysis'!E50</f>
        <v>156871409</v>
      </c>
      <c r="E47" s="416" t="s">
        <v>303</v>
      </c>
      <c r="F47" s="403"/>
      <c r="G47" s="403"/>
      <c r="H47" s="404"/>
      <c r="I47" s="404"/>
      <c r="J47" s="403"/>
      <c r="K47" s="403"/>
      <c r="L47" s="403"/>
    </row>
    <row r="48" spans="1:32" s="94" customFormat="1" ht="13.5" customHeight="1">
      <c r="A48" s="396" t="s">
        <v>504</v>
      </c>
      <c r="B48" s="402">
        <f>+'[8]Liquidity Analysis'!C51</f>
        <v>580486619</v>
      </c>
      <c r="C48" s="402">
        <f>+'[8]Liquidity Analysis'!D51</f>
        <v>354325926</v>
      </c>
      <c r="D48" s="402">
        <f>+'[8]Liquidity Analysis'!E51</f>
        <v>226160693</v>
      </c>
      <c r="E48" s="650" t="s">
        <v>315</v>
      </c>
      <c r="F48" s="403"/>
      <c r="G48" s="403"/>
      <c r="H48" s="404"/>
      <c r="I48" s="404"/>
      <c r="J48" s="403"/>
      <c r="K48" s="403"/>
      <c r="L48" s="403"/>
    </row>
    <row r="49" spans="1:12" s="94" customFormat="1" ht="13.5" customHeight="1">
      <c r="A49" s="396" t="s">
        <v>201</v>
      </c>
      <c r="B49" s="402">
        <f>+'[8]Liquidity Analysis'!C52</f>
        <v>255752492</v>
      </c>
      <c r="C49" s="402">
        <f>+'[8]Liquidity Analysis'!D52</f>
        <v>2708695</v>
      </c>
      <c r="D49" s="402">
        <f>+'[8]Liquidity Analysis'!E52</f>
        <v>253043797</v>
      </c>
      <c r="E49" s="650" t="s">
        <v>530</v>
      </c>
      <c r="F49" s="403"/>
      <c r="G49" s="403"/>
      <c r="H49" s="404"/>
      <c r="I49" s="404"/>
      <c r="J49" s="403"/>
      <c r="K49" s="403"/>
      <c r="L49" s="403"/>
    </row>
    <row r="50" spans="1:12" s="94" customFormat="1" ht="13.5" customHeight="1">
      <c r="A50" s="396" t="s">
        <v>581</v>
      </c>
      <c r="B50" s="402">
        <f>+'[8]Liquidity Analysis'!C53</f>
        <v>0</v>
      </c>
      <c r="C50" s="402">
        <f>+'[8]Liquidity Analysis'!D53</f>
        <v>3082007</v>
      </c>
      <c r="D50" s="402">
        <f>+'[8]Liquidity Analysis'!E53</f>
        <v>0</v>
      </c>
      <c r="E50" s="650" t="s">
        <v>576</v>
      </c>
      <c r="F50" s="405"/>
      <c r="G50" s="405"/>
      <c r="H50" s="405"/>
      <c r="I50" s="404"/>
      <c r="J50" s="403"/>
      <c r="K50" s="403"/>
      <c r="L50" s="403"/>
    </row>
    <row r="51" spans="1:12" s="94" customFormat="1" ht="27.75" customHeight="1">
      <c r="A51" s="396" t="s">
        <v>32</v>
      </c>
      <c r="B51" s="402">
        <f>+'[8]Liquidity Analysis'!C54</f>
        <v>516580000</v>
      </c>
      <c r="C51" s="402">
        <f>+'[8]Liquidity Analysis'!D54</f>
        <v>516580000</v>
      </c>
      <c r="D51" s="402">
        <f>+'[8]Liquidity Analysis'!E54</f>
        <v>0</v>
      </c>
      <c r="E51" s="650" t="s">
        <v>327</v>
      </c>
      <c r="F51" s="403"/>
      <c r="G51" s="403"/>
      <c r="H51" s="404"/>
      <c r="I51" s="404"/>
      <c r="J51" s="403"/>
      <c r="K51" s="403"/>
      <c r="L51" s="403"/>
    </row>
    <row r="52" spans="1:12" s="94" customFormat="1" ht="13.5" customHeight="1">
      <c r="A52" s="396" t="s">
        <v>582</v>
      </c>
      <c r="B52" s="402">
        <f>+'[8]Liquidity Analysis'!C55</f>
        <v>0</v>
      </c>
      <c r="C52" s="402">
        <f>+'[8]Liquidity Analysis'!D55</f>
        <v>0</v>
      </c>
      <c r="D52" s="402">
        <f>+'[8]Liquidity Analysis'!E55</f>
        <v>0</v>
      </c>
      <c r="E52" s="416" t="s">
        <v>334</v>
      </c>
      <c r="F52" s="403"/>
      <c r="G52" s="403"/>
      <c r="H52" s="404"/>
      <c r="I52" s="404"/>
      <c r="J52" s="403"/>
      <c r="K52" s="403"/>
      <c r="L52" s="403"/>
    </row>
    <row r="53" spans="1:12" s="94" customFormat="1" ht="13.5" customHeight="1">
      <c r="A53" s="396" t="s">
        <v>583</v>
      </c>
      <c r="B53" s="402">
        <f>+'[8]Liquidity Analysis'!C56</f>
        <v>0</v>
      </c>
      <c r="C53" s="402">
        <f>+'[8]Liquidity Analysis'!D56</f>
        <v>0</v>
      </c>
      <c r="D53" s="402">
        <f>+'[8]Liquidity Analysis'!E56</f>
        <v>0</v>
      </c>
      <c r="E53" s="416" t="s">
        <v>531</v>
      </c>
      <c r="F53" s="403"/>
      <c r="G53" s="403"/>
      <c r="H53" s="404"/>
      <c r="I53" s="404"/>
      <c r="J53" s="403"/>
      <c r="K53" s="403"/>
      <c r="L53" s="403"/>
    </row>
    <row r="54" spans="1:12" s="94" customFormat="1" ht="13.5" customHeight="1">
      <c r="A54" s="417" t="s">
        <v>584</v>
      </c>
      <c r="B54" s="402">
        <f>+'[8]Liquidity Analysis'!C57</f>
        <v>1649789456</v>
      </c>
      <c r="C54" s="402">
        <f>+'[8]Liquidity Analysis'!D57</f>
        <v>1016795564</v>
      </c>
      <c r="D54" s="402">
        <f>+'[8]Liquidity Analysis'!E57</f>
        <v>636075899</v>
      </c>
      <c r="E54" s="418" t="s">
        <v>336</v>
      </c>
      <c r="F54" s="403"/>
      <c r="G54" s="403"/>
      <c r="H54" s="404"/>
      <c r="I54" s="405"/>
      <c r="J54" s="403"/>
      <c r="K54" s="403"/>
      <c r="L54" s="403"/>
    </row>
  </sheetData>
  <sheetProtection sheet="1" objects="1" scenarios="1"/>
  <mergeCells count="1">
    <mergeCell ref="A1:B1"/>
  </mergeCells>
  <conditionalFormatting sqref="F4">
    <cfRule type="cellIs" dxfId="3" priority="3" stopIfTrue="1" operator="equal">
      <formula>"Error"</formula>
    </cfRule>
    <cfRule type="cellIs" dxfId="2" priority="4" stopIfTrue="1" operator="equal">
      <formula>"?"</formula>
    </cfRule>
  </conditionalFormatting>
  <conditionalFormatting sqref="B34 B37 E4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disablePrompts="1" count="1">
    <dataValidation allowBlank="1" showErrorMessage="1" prompt="Введите самостоятельно рассчитанный коэффициент" sqref="B46:D46" xr:uid="{00000000-0002-0000-1000-000000000000}"/>
  </dataValidations>
  <printOptions horizontalCentered="1"/>
  <pageMargins left="0" right="0" top="0.31496062992125984" bottom="0.39370078740157483" header="0.23622047244094491" footer="0.15748031496062992"/>
  <pageSetup paperSize="9" scale="76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loans type</vt:lpstr>
      <vt:lpstr>Transactions of related parties</vt:lpstr>
      <vt:lpstr> Largest risk</vt:lpstr>
      <vt:lpstr>Charge-offs and Recoveries</vt:lpstr>
      <vt:lpstr>loans_av rate</vt:lpstr>
      <vt:lpstr>Bank Capital Calc (2)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Пользователь</cp:lastModifiedBy>
  <cp:lastPrinted>2022-01-10T07:58:38Z</cp:lastPrinted>
  <dcterms:created xsi:type="dcterms:W3CDTF">2014-01-27T05:06:32Z</dcterms:created>
  <dcterms:modified xsi:type="dcterms:W3CDTF">2024-12-11T09:52:52Z</dcterms:modified>
</cp:coreProperties>
</file>